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TRADING\"/>
    </mc:Choice>
  </mc:AlternateContent>
  <xr:revisionPtr revIDLastSave="0" documentId="13_ncr:1_{5588B9B8-BFDB-4D1E-9194-E0969D37867C}" xr6:coauthVersionLast="47" xr6:coauthVersionMax="47" xr10:uidLastSave="{00000000-0000-0000-0000-000000000000}"/>
  <bookViews>
    <workbookView xWindow="-110" yWindow="-110" windowWidth="19420" windowHeight="10300" tabRatio="854" activeTab="1" xr2:uid="{00000000-000D-0000-FFFF-FFFF00000000}"/>
  </bookViews>
  <sheets>
    <sheet name="NOTES" sheetId="16" r:id="rId1"/>
    <sheet name="MONTHLY AUDUSDT PL CRYPTO" sheetId="9" r:id="rId2"/>
    <sheet name="TIME DIFFERENCES" sheetId="11" r:id="rId3"/>
    <sheet name="MONTHLY AUDUSDT PL STOCKS OPT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5" i="9" l="1"/>
  <c r="I85" i="9" s="1"/>
  <c r="D85" i="9"/>
  <c r="I84" i="9"/>
  <c r="E84" i="9"/>
  <c r="I83" i="9"/>
  <c r="I82" i="9"/>
  <c r="E83" i="9" l="1"/>
  <c r="D82" i="9"/>
  <c r="E82" i="9"/>
  <c r="I81" i="9"/>
  <c r="D81" i="9"/>
  <c r="I80" i="9"/>
  <c r="E81" i="9"/>
  <c r="E80" i="9"/>
  <c r="D79" i="9"/>
  <c r="I79" i="9" s="1"/>
  <c r="D80" i="9"/>
  <c r="I78" i="9"/>
  <c r="E79" i="9"/>
  <c r="I77" i="9"/>
  <c r="E78" i="9"/>
  <c r="D78" i="9"/>
  <c r="E77" i="9"/>
  <c r="D77" i="9"/>
  <c r="I76" i="9"/>
  <c r="E76" i="9"/>
  <c r="I75" i="9"/>
  <c r="D76" i="9"/>
  <c r="D75" i="9"/>
  <c r="E75" i="9"/>
  <c r="I74" i="9" l="1"/>
  <c r="D74" i="9"/>
  <c r="I73" i="9"/>
  <c r="D73" i="9"/>
  <c r="E74" i="9"/>
  <c r="E73" i="9"/>
  <c r="B44" i="16" l="1"/>
  <c r="B40" i="16" l="1"/>
  <c r="B36" i="16"/>
  <c r="B32" i="16"/>
  <c r="B28" i="16"/>
  <c r="B24" i="16"/>
  <c r="I45" i="12" l="1"/>
  <c r="H45" i="12"/>
  <c r="G45" i="12"/>
  <c r="E45" i="12"/>
  <c r="D45" i="12"/>
  <c r="I44" i="12"/>
  <c r="D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B2" i="11"/>
  <c r="B7" i="11" s="1"/>
  <c r="B6" i="11" s="1"/>
  <c r="I72" i="9"/>
  <c r="E72" i="9"/>
  <c r="D72" i="9"/>
  <c r="I71" i="9"/>
  <c r="E71" i="9"/>
  <c r="D71" i="9"/>
  <c r="I70" i="9"/>
  <c r="D70" i="9"/>
  <c r="I69" i="9"/>
  <c r="E69" i="9"/>
  <c r="D69" i="9"/>
  <c r="I68" i="9"/>
  <c r="E68" i="9"/>
  <c r="D68" i="9"/>
  <c r="I67" i="9"/>
  <c r="D67" i="9"/>
  <c r="I66" i="9"/>
  <c r="E66" i="9"/>
  <c r="D66" i="9"/>
  <c r="I65" i="9"/>
  <c r="E65" i="9"/>
  <c r="D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X52" i="16"/>
  <c r="X49" i="16"/>
  <c r="B6" i="16"/>
  <c r="B3" i="16"/>
  <c r="B3" i="11" l="1"/>
  <c r="B4" i="11"/>
  <c r="B5" i="11"/>
</calcChain>
</file>

<file path=xl/sharedStrings.xml><?xml version="1.0" encoding="utf-8"?>
<sst xmlns="http://schemas.openxmlformats.org/spreadsheetml/2006/main" count="403" uniqueCount="188">
  <si>
    <t>TIMEFRAME</t>
  </si>
  <si>
    <t>MT4</t>
  </si>
  <si>
    <t>UTC</t>
  </si>
  <si>
    <t>LOCAL</t>
  </si>
  <si>
    <t>US EASTERN TIME (DAYLIGHT SAVINGS)</t>
  </si>
  <si>
    <t>US EASTERN TIME (NO DAYLIGHT SAVINGS)</t>
  </si>
  <si>
    <t>DAYLIGHT SAVINGS US START DATE</t>
  </si>
  <si>
    <t>DAYLIGHT SAVINGS US END DATE</t>
  </si>
  <si>
    <t>GMT +8 NO DS</t>
  </si>
  <si>
    <t>GMT +7 DS</t>
  </si>
  <si>
    <t>TRADINGVIEW (DAILY)</t>
  </si>
  <si>
    <t>month</t>
  </si>
  <si>
    <t>jan</t>
  </si>
  <si>
    <t>31.01.2024 14:00:00.000</t>
  </si>
  <si>
    <t>year</t>
  </si>
  <si>
    <t>31.12.2023 14:00:00.000</t>
  </si>
  <si>
    <t>31.01.2024 13:59:00.000</t>
  </si>
  <si>
    <t>start month balance (USDT)</t>
  </si>
  <si>
    <t>end month balance (USDT)</t>
  </si>
  <si>
    <t>start month rate timestamp (UTC)</t>
  </si>
  <si>
    <t>monthly p/l app dep incl. (AUD)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</si>
  <si>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</si>
  <si>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</si>
  <si>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</si>
  <si>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</si>
  <si>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</si>
  <si>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</si>
  <si>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</si>
  <si>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</si>
  <si>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</si>
  <si>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</si>
  <si>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</si>
  <si>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30.11.2023 14:00:00.000</t>
  </si>
  <si>
    <t>31.12.2023 13:59:00.000</t>
  </si>
  <si>
    <t>start month rate (OPEN)</t>
  </si>
  <si>
    <t>end month rate (CLOSE)</t>
  </si>
  <si>
    <t>31.10.2023 14:00:00.000</t>
  </si>
  <si>
    <t>end month rate timestamp (UTC)</t>
  </si>
  <si>
    <t>30.11.2023 13:59:00.000</t>
  </si>
  <si>
    <t>30.09.2023 14:00:00.000</t>
  </si>
  <si>
    <t>31.10.2023 13:59:00.000</t>
  </si>
  <si>
    <t>31.08.2023 14:00:00.000</t>
  </si>
  <si>
    <t>30.09.2023 13:59:00.000</t>
  </si>
  <si>
    <t>31.07.2023 14:00:00.000</t>
  </si>
  <si>
    <t>31.08.2023 13:59:00.000</t>
  </si>
  <si>
    <t>30.06.2023 14:00:00.000</t>
  </si>
  <si>
    <t>31.07.2023 13:59:00.000</t>
  </si>
  <si>
    <t>31.05.2023 14:00:00.000</t>
  </si>
  <si>
    <t>30.06.2023 13:59:00.000</t>
  </si>
  <si>
    <t>30.04.2023 14:00:00.000</t>
  </si>
  <si>
    <t>31.05.2023 13:59:00.000</t>
  </si>
  <si>
    <t>31.03.2023 14:00:00.000</t>
  </si>
  <si>
    <t>30.04.2023 13:59:00.000</t>
  </si>
  <si>
    <t>28.02.2023 14:00:00.000</t>
  </si>
  <si>
    <t>31.03.2023 13:59:00.000</t>
  </si>
  <si>
    <t>31.01.2023 14:00:00.000</t>
  </si>
  <si>
    <t>28.02.2023 13:59:00.000</t>
  </si>
  <si>
    <t>31.12.2022 14:00:00.000</t>
  </si>
  <si>
    <t>31.01.2023 13:59:00.000</t>
  </si>
  <si>
    <t>30.11.2022 14:00:00.000</t>
  </si>
  <si>
    <t>31.12.2022 13:59:00.000</t>
  </si>
  <si>
    <t>31.10.2022 14:00:00.000</t>
  </si>
  <si>
    <t>30.11.2022 13:59:00.000</t>
  </si>
  <si>
    <t>30.09.2022 14:00:00.000</t>
  </si>
  <si>
    <t>31.10.2022 13:59:00.000</t>
  </si>
  <si>
    <t>31.08.2022 14:00:00.000</t>
  </si>
  <si>
    <t>30.09.2022 13:59:00.000</t>
  </si>
  <si>
    <t>31.07.2022 14:00:00.000</t>
  </si>
  <si>
    <t>31.08.2022 13:59:00.000</t>
  </si>
  <si>
    <t>30.06.2022 14:00:00.000</t>
  </si>
  <si>
    <t>31.07.2022 13:59:00.000</t>
  </si>
  <si>
    <t>31.05.2022 14:00:00.000</t>
  </si>
  <si>
    <t>30.06.2022 13:59:00.000</t>
  </si>
  <si>
    <t>30.04.2022 14:00:00.000</t>
  </si>
  <si>
    <t>31.05.2022 13:59:00.000</t>
  </si>
  <si>
    <t>31.03.2022 14:00:00.000</t>
  </si>
  <si>
    <t>30.04.2022 13:59:00.000</t>
  </si>
  <si>
    <t>28.02.2022 14:00:00.000</t>
  </si>
  <si>
    <t>31.03.2022 13:59:00.000</t>
  </si>
  <si>
    <t>31.01.2022 14:00:00.000</t>
  </si>
  <si>
    <t>28.02.2022 13:59:00.000</t>
  </si>
  <si>
    <t>31.12.2021 14:00:00.000</t>
  </si>
  <si>
    <t>31.01.2022 13:59:00.000</t>
  </si>
  <si>
    <t>30.11.2021 14:00:00.000</t>
  </si>
  <si>
    <t>31.12.2021 13:59:00.000</t>
  </si>
  <si>
    <t>31.10.2021 14:00:00.000</t>
  </si>
  <si>
    <t>30.11.2021 13:59:00.000</t>
  </si>
  <si>
    <t>30.09.2021 14:00:00.000</t>
  </si>
  <si>
    <t>31.10.2021 13:59:00.000</t>
  </si>
  <si>
    <t>31.08.2021 14:00:00.000</t>
  </si>
  <si>
    <t>30.09.2021 13:59:00.000</t>
  </si>
  <si>
    <t>31.07.2021 14:00:00.000</t>
  </si>
  <si>
    <t>31.08.2021 13:59:00.000</t>
  </si>
  <si>
    <t>30.06.2021 14:00:00.000</t>
  </si>
  <si>
    <t>31.07.2021 13:59:00.000</t>
  </si>
  <si>
    <t>31.05.2021 14:00:00.000</t>
  </si>
  <si>
    <t>30.06.2021 13:59:00.000</t>
  </si>
  <si>
    <t>30.04.2021 14:00:00.000</t>
  </si>
  <si>
    <t>31.05.2021 13:59:00.000</t>
  </si>
  <si>
    <t>31.03.2021 14:00:00.000</t>
  </si>
  <si>
    <t>30.04.2021 13:59:00.000</t>
  </si>
  <si>
    <t>28.02.2021 14:00:00.000</t>
  </si>
  <si>
    <t>31.03.2021 13:59:00.000</t>
  </si>
  <si>
    <t>31.01.2021 14:00:00.000</t>
  </si>
  <si>
    <t>28.02.2021 13:59:00.000</t>
  </si>
  <si>
    <t>31.12.2020 14:00:00.000</t>
  </si>
  <si>
    <t>31.01.2021 13:59:00.000</t>
  </si>
  <si>
    <t>30.11.2020 14:00:00.000</t>
  </si>
  <si>
    <t>oct (bybit)</t>
  </si>
  <si>
    <t>31.12.2020 13:59:00.000</t>
  </si>
  <si>
    <t>31.10.2020 14:00:00.000</t>
  </si>
  <si>
    <t>30.11.2020 13:59:00.000</t>
  </si>
  <si>
    <t>11.04.2020 04:02:00.000</t>
  </si>
  <si>
    <t xml:space="preserve"> apr 1</t>
  </si>
  <si>
    <t xml:space="preserve"> apr 2</t>
  </si>
  <si>
    <t>11.04.2020 07:06:00.000</t>
  </si>
  <si>
    <t>12.04.2020 05:55:00.000</t>
  </si>
  <si>
    <t xml:space="preserve"> apr 3</t>
  </si>
  <si>
    <t>30.04.2020 13:59:00.000</t>
  </si>
  <si>
    <t xml:space="preserve"> may 1</t>
  </si>
  <si>
    <t xml:space="preserve"> may 2</t>
  </si>
  <si>
    <t>30.04.2020 14:00:00.000</t>
  </si>
  <si>
    <t>27.05.2020 11:25:00.000</t>
  </si>
  <si>
    <t>27.05.2020 17:02:00.000</t>
  </si>
  <si>
    <t xml:space="preserve"> may 3</t>
  </si>
  <si>
    <t>31.05.2020 13:59:00.000</t>
  </si>
  <si>
    <t>31.05.2020 14:00:00.000</t>
  </si>
  <si>
    <t>30.06.2020 13:59:00.000</t>
  </si>
  <si>
    <t>30.06.2020 14:00:00.000</t>
  </si>
  <si>
    <t>31.07.2020 13:59:00.000</t>
  </si>
  <si>
    <t>31.07.2020 14:00:00.000</t>
  </si>
  <si>
    <t>31.08.2020 13:59:00.000</t>
  </si>
  <si>
    <t>31.08.2020 14:00:00.000</t>
  </si>
  <si>
    <t>30.09.2020 13:59:00.000</t>
  </si>
  <si>
    <t>30.09.2020 14:00:00.000</t>
  </si>
  <si>
    <t>17.10.2020 17:07:00.000</t>
  </si>
  <si>
    <t xml:space="preserve"> oct 1 (binance)</t>
  </si>
  <si>
    <t xml:space="preserve"> oct 2 (binance)</t>
  </si>
  <si>
    <t xml:space="preserve"> oct 3 (binance)</t>
  </si>
  <si>
    <t>19.10.2020 13:45:00.000</t>
  </si>
  <si>
    <t xml:space="preserve"> oct 4 (binance)</t>
  </si>
  <si>
    <t>25.10.2020 22:23:00.000</t>
  </si>
  <si>
    <t>30.10.2020 17:39:00.000</t>
  </si>
  <si>
    <t>31.10.2020 13:59:00.000</t>
  </si>
  <si>
    <t>26.10.2020 01:09:00.000</t>
  </si>
  <si>
    <t xml:space="preserve"> apr 4 transfer fees</t>
  </si>
  <si>
    <t xml:space="preserve"> may 4 transfer fees</t>
  </si>
  <si>
    <t>12.03.2021 22:00:00.000</t>
  </si>
  <si>
    <t>26.03.2021 21:00:00.000</t>
  </si>
  <si>
    <t>NOTES</t>
  </si>
  <si>
    <t>**3.69299359 USDT deposit not included in end balance total calc.</t>
  </si>
  <si>
    <t>start month balance (USD)</t>
  </si>
  <si>
    <t>end month balance (USD)</t>
  </si>
  <si>
    <t>june</t>
  </si>
  <si>
    <t>july</t>
  </si>
  <si>
    <t>SHORT</t>
  </si>
  <si>
    <t>15M</t>
  </si>
  <si>
    <t>1M</t>
  </si>
  <si>
    <t>*NEW TRADINGVIEW DAILY CANDLES OPEN @ 10AM (UTC 12AM)</t>
  </si>
  <si>
    <t>START</t>
  </si>
  <si>
    <t>DURATION</t>
  </si>
  <si>
    <t>TRADING CAREER</t>
  </si>
  <si>
    <t>TARGET</t>
  </si>
  <si>
    <t>**Full balance stolen. Replaced with exact amount before theft</t>
  </si>
  <si>
    <t>SOL</t>
  </si>
  <si>
    <t>DOGE</t>
  </si>
  <si>
    <t>AUD</t>
  </si>
  <si>
    <t>PER MONTH</t>
  </si>
  <si>
    <t>PER DAY</t>
  </si>
  <si>
    <t>cryptocurrencyalerting.com</t>
  </si>
  <si>
    <t>PER YEAR</t>
  </si>
  <si>
    <t>COIN</t>
  </si>
  <si>
    <t>OFFSET %</t>
  </si>
  <si>
    <t>TYPE</t>
  </si>
  <si>
    <t>STOP</t>
  </si>
  <si>
    <t>ENTRY</t>
  </si>
  <si>
    <t>EDGEWONK</t>
  </si>
  <si>
    <t>AUD PER DAY (gst incl.)</t>
  </si>
  <si>
    <t>EDGEWONK ($10 USD OFF)</t>
  </si>
  <si>
    <t>WORKING LIFE</t>
  </si>
  <si>
    <t>SINCE LEAVING HIGH SCHOOL</t>
  </si>
  <si>
    <t>SINCE LEAVING CLINICAL LABS</t>
  </si>
  <si>
    <t>SINCE USING DARK WEB</t>
  </si>
  <si>
    <t>SINCE GRADUATING TAFE</t>
  </si>
  <si>
    <t>MILA</t>
  </si>
  <si>
    <t>DURATION (DAYS)</t>
  </si>
  <si>
    <t>GPT PLUS</t>
  </si>
  <si>
    <t>YESCHAT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</si>
</sst>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;[Red]\-&quot;$&quot;#,##0.00"/>
    <numFmt numFmtId="44" formatCode="_-&quot;$&quot;* #,##0.00_-;\-&quot;$&quot;* #,##0.00_-;_-&quot;$&quot;* &quot;-&quot;??_-;_-@_-"/>
    <numFmt numFmtId="164" formatCode="0.00000"/>
    <numFmt numFmtId="165" formatCode="0.000000"/>
    <numFmt numFmtId="166" formatCode="0.0"/>
    <numFmt numFmtId="167" formatCode="0.0000"/>
    <numFmt numFmtId="168" formatCode="0.0%"/>
    <numFmt numFmtId="169" formatCode="0.000%"/>
    <numFmt numFmtId="170" formatCode="yyyy"/>
    <numFmt numFmtId="171" formatCode="0.00000000"/>
    <numFmt numFmtId="172" formatCode="0.0000%"/>
    <numFmt numFmtId="173" formatCode="_-&quot;$&quot;* #,##0.0000_-;\-&quot;$&quot;* #,##0.0000_-;_-&quot;$&quot;* &quot;-&quot;??_-;_-@_-"/>
    <numFmt numFmtId="174" formatCode="_-&quot;$&quot;* #,##0.00000_-;\-&quot;$&quot;* #,##0.000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51">
    <xf numFmtId="0" fontId="0" fillId="0" borderId="0" xfId="0"/>
    <xf numFmtId="0" fontId="2" fillId="0" borderId="0" xfId="0" applyFont="1"/>
    <xf numFmtId="2" fontId="0" fillId="0" borderId="0" xfId="0" applyNumberFormat="1"/>
    <xf numFmtId="44" fontId="0" fillId="0" borderId="0" xfId="1" applyFont="1" applyFill="1"/>
    <xf numFmtId="4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0" fontId="4" fillId="0" borderId="2" xfId="0" applyFont="1" applyBorder="1" applyAlignment="1">
      <alignment horizontal="center"/>
    </xf>
    <xf numFmtId="8" fontId="3" fillId="0" borderId="0" xfId="0" applyNumberFormat="1" applyFont="1" applyAlignment="1">
      <alignment horizontal="center" vertical="center"/>
    </xf>
    <xf numFmtId="8" fontId="4" fillId="0" borderId="2" xfId="0" applyNumberFormat="1" applyFont="1" applyBorder="1" applyAlignment="1">
      <alignment horizontal="center"/>
    </xf>
    <xf numFmtId="44" fontId="0" fillId="0" borderId="0" xfId="1" applyFont="1"/>
    <xf numFmtId="167" fontId="0" fillId="0" borderId="0" xfId="0" applyNumberFormat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2" xfId="0" applyBorder="1"/>
    <xf numFmtId="0" fontId="0" fillId="0" borderId="1" xfId="0" applyBorder="1"/>
    <xf numFmtId="0" fontId="6" fillId="0" borderId="2" xfId="0" applyFont="1" applyBorder="1" applyAlignment="1">
      <alignment horizontal="left"/>
    </xf>
    <xf numFmtId="17" fontId="0" fillId="0" borderId="0" xfId="0" applyNumberFormat="1"/>
    <xf numFmtId="166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8" fontId="0" fillId="0" borderId="0" xfId="2" applyNumberFormat="1" applyFont="1"/>
    <xf numFmtId="9" fontId="0" fillId="0" borderId="0" xfId="0" applyNumberFormat="1"/>
    <xf numFmtId="165" fontId="0" fillId="0" borderId="0" xfId="0" applyNumberFormat="1"/>
    <xf numFmtId="1" fontId="0" fillId="0" borderId="0" xfId="0" applyNumberFormat="1"/>
    <xf numFmtId="169" fontId="0" fillId="0" borderId="0" xfId="1" applyNumberFormat="1" applyFont="1"/>
    <xf numFmtId="17" fontId="0" fillId="0" borderId="0" xfId="1" applyNumberFormat="1" applyFont="1"/>
    <xf numFmtId="167" fontId="0" fillId="0" borderId="3" xfId="0" applyNumberFormat="1" applyBorder="1"/>
    <xf numFmtId="167" fontId="0" fillId="0" borderId="4" xfId="0" applyNumberFormat="1" applyBorder="1"/>
    <xf numFmtId="0" fontId="0" fillId="0" borderId="5" xfId="0" applyBorder="1"/>
    <xf numFmtId="170" fontId="0" fillId="0" borderId="0" xfId="1" applyNumberFormat="1" applyFont="1"/>
    <xf numFmtId="9" fontId="0" fillId="0" borderId="0" xfId="2" applyFont="1"/>
    <xf numFmtId="22" fontId="0" fillId="0" borderId="0" xfId="1" applyNumberFormat="1" applyFont="1"/>
    <xf numFmtId="2" fontId="0" fillId="0" borderId="0" xfId="1" applyNumberFormat="1" applyFont="1"/>
    <xf numFmtId="171" fontId="0" fillId="0" borderId="0" xfId="0" applyNumberFormat="1"/>
    <xf numFmtId="168" fontId="0" fillId="0" borderId="0" xfId="0" applyNumberFormat="1"/>
    <xf numFmtId="0" fontId="7" fillId="0" borderId="0" xfId="4"/>
    <xf numFmtId="10" fontId="0" fillId="0" borderId="0" xfId="2" applyNumberFormat="1" applyFont="1"/>
    <xf numFmtId="172" fontId="0" fillId="0" borderId="0" xfId="2" applyNumberFormat="1" applyFont="1"/>
    <xf numFmtId="0" fontId="0" fillId="0" borderId="0" xfId="1" applyNumberFormat="1" applyFont="1"/>
    <xf numFmtId="10" fontId="0" fillId="0" borderId="0" xfId="1" applyNumberFormat="1" applyFont="1"/>
    <xf numFmtId="173" fontId="0" fillId="0" borderId="0" xfId="1" applyNumberFormat="1" applyFont="1"/>
    <xf numFmtId="174" fontId="0" fillId="0" borderId="0" xfId="1" applyNumberFormat="1" applyFont="1"/>
    <xf numFmtId="10" fontId="0" fillId="0" borderId="0" xfId="0" applyNumberFormat="1"/>
    <xf numFmtId="44" fontId="0" fillId="0" borderId="0" xfId="1" applyFont="1" applyAlignment="1">
      <alignment horizontal="center"/>
    </xf>
    <xf numFmtId="44" fontId="0" fillId="0" borderId="0" xfId="1" applyFont="1" applyAlignment="1"/>
    <xf numFmtId="2" fontId="0" fillId="2" borderId="0" xfId="0" applyNumberFormat="1" applyFill="1"/>
    <xf numFmtId="0" fontId="4" fillId="0" borderId="2" xfId="0" applyFont="1" applyBorder="1" applyAlignment="1">
      <alignment horizontal="left"/>
    </xf>
    <xf numFmtId="8" fontId="0" fillId="0" borderId="0" xfId="1" applyNumberFormat="1" applyFont="1"/>
  </cellXfs>
  <cellStyles count="6">
    <cellStyle name="Currency" xfId="1" builtinId="4"/>
    <cellStyle name="Currency 3" xfId="3" xr:uid="{00000000-0005-0000-0000-000001000000}"/>
    <cellStyle name="Hyperlink" xfId="4" builtinId="8"/>
    <cellStyle name="Normal" xfId="0" builtinId="0"/>
    <cellStyle name="Normal 2" xfId="5" xr:uid="{EBD13044-2A3D-4A10-995B-A02D10D4C415}"/>
    <cellStyle name="Percent" xfId="2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F2CA-474C-408C-8881-A145D5069D9F}">
  <sheetPr codeName="Sheet4"/>
  <dimension ref="A1:AR100"/>
  <sheetViews>
    <sheetView zoomScale="87" zoomScaleNormal="87" workbookViewId="0">
      <selection activeCell="E10" sqref="E10"/>
    </sheetView>
  </sheetViews>
  <sheetFormatPr defaultRowHeight="14.5" x14ac:dyDescent="0.35"/>
  <cols>
    <col min="1" max="1" width="23.81640625" bestFit="1" customWidth="1"/>
    <col min="2" max="2" width="21.453125" bestFit="1" customWidth="1"/>
    <col min="3" max="3" width="12.453125" bestFit="1" customWidth="1"/>
    <col min="4" max="4" width="9.7265625" bestFit="1" customWidth="1"/>
    <col min="5" max="5" width="7.54296875" bestFit="1" customWidth="1"/>
    <col min="6" max="6" width="5.1796875" bestFit="1" customWidth="1"/>
    <col min="7" max="7" width="9.1796875" bestFit="1" customWidth="1"/>
    <col min="8" max="8" width="12.453125" bestFit="1" customWidth="1"/>
    <col min="9" max="9" width="5.1796875" bestFit="1" customWidth="1"/>
    <col min="10" max="10" width="7.81640625" bestFit="1" customWidth="1"/>
    <col min="11" max="11" width="18.1796875" bestFit="1" customWidth="1"/>
    <col min="12" max="12" width="35.54296875" bestFit="1" customWidth="1"/>
    <col min="13" max="13" width="21.453125" bestFit="1" customWidth="1"/>
    <col min="14" max="14" width="19.54296875" bestFit="1" customWidth="1"/>
    <col min="15" max="15" width="8.453125" bestFit="1" customWidth="1"/>
    <col min="16" max="16" width="17.81640625" bestFit="1" customWidth="1"/>
    <col min="17" max="17" width="4.54296875" bestFit="1" customWidth="1"/>
    <col min="18" max="18" width="6.1796875" bestFit="1" customWidth="1"/>
    <col min="19" max="19" width="14.81640625" style="12" bestFit="1" customWidth="1"/>
    <col min="20" max="20" width="11.1796875" style="12" bestFit="1" customWidth="1"/>
    <col min="21" max="21" width="14.54296875" style="12" bestFit="1" customWidth="1"/>
    <col min="22" max="22" width="11" style="12" bestFit="1" customWidth="1"/>
    <col min="23" max="23" width="5.7265625" style="12" bestFit="1" customWidth="1"/>
    <col min="24" max="24" width="8.81640625" style="12" bestFit="1" customWidth="1"/>
    <col min="25" max="25" width="7.453125" bestFit="1" customWidth="1"/>
    <col min="26" max="26" width="12.1796875" customWidth="1"/>
    <col min="28" max="28" width="19.54296875" bestFit="1" customWidth="1"/>
    <col min="29" max="29" width="10.54296875" bestFit="1" customWidth="1"/>
    <col min="32" max="32" width="27.81640625" bestFit="1" customWidth="1"/>
    <col min="44" max="44" width="6.453125" bestFit="1" customWidth="1"/>
  </cols>
  <sheetData>
    <row r="1" spans="1:44" x14ac:dyDescent="0.35">
      <c r="A1" t="s">
        <v>161</v>
      </c>
      <c r="H1" s="49"/>
      <c r="S1"/>
      <c r="T1"/>
      <c r="U1"/>
      <c r="V1"/>
      <c r="W1"/>
      <c r="X1"/>
    </row>
    <row r="2" spans="1:44" x14ac:dyDescent="0.35">
      <c r="A2" s="1" t="s">
        <v>159</v>
      </c>
      <c r="B2" s="6">
        <v>42991</v>
      </c>
      <c r="H2" s="49"/>
      <c r="K2" s="12"/>
      <c r="N2" s="4"/>
      <c r="O2" s="4"/>
      <c r="Y2" s="47"/>
      <c r="Z2" s="47"/>
      <c r="AA2" s="12"/>
      <c r="AB2" s="12"/>
      <c r="AC2" s="12"/>
      <c r="AD2" s="12"/>
      <c r="AE2" s="12"/>
      <c r="AF2" s="12"/>
    </row>
    <row r="3" spans="1:44" x14ac:dyDescent="0.35">
      <c r="A3" s="1" t="s">
        <v>160</v>
      </c>
      <c r="B3" s="2">
        <f ca="1">(TODAY()-B2)/365</f>
        <v>8.5643835616438349</v>
      </c>
      <c r="H3" s="49"/>
      <c r="U3" s="34"/>
      <c r="V3" s="34"/>
      <c r="W3" s="34"/>
      <c r="X3" s="35"/>
      <c r="Y3" s="36"/>
      <c r="Z3" s="46"/>
      <c r="AB3" s="12"/>
      <c r="AC3" s="25"/>
      <c r="AE3" s="12"/>
    </row>
    <row r="4" spans="1:44" x14ac:dyDescent="0.35">
      <c r="U4" s="34"/>
      <c r="V4" s="34"/>
      <c r="W4" s="34"/>
      <c r="X4" s="35"/>
      <c r="Y4" s="36"/>
      <c r="AA4" s="37"/>
      <c r="AC4" s="25"/>
    </row>
    <row r="5" spans="1:44" x14ac:dyDescent="0.35">
      <c r="A5" s="12"/>
      <c r="B5" s="12" t="s">
        <v>177</v>
      </c>
      <c r="O5" s="8"/>
      <c r="P5" s="22"/>
      <c r="Q5" s="8"/>
      <c r="R5" s="39"/>
      <c r="U5" s="34"/>
      <c r="V5" s="34"/>
      <c r="W5" s="34"/>
      <c r="X5" s="35"/>
      <c r="Y5" s="36"/>
      <c r="AA5" s="37"/>
      <c r="AC5" s="25"/>
    </row>
    <row r="6" spans="1:44" x14ac:dyDescent="0.35">
      <c r="A6" s="12" t="s">
        <v>176</v>
      </c>
      <c r="B6" s="2">
        <f>298.55/365</f>
        <v>0.81794520547945204</v>
      </c>
      <c r="O6" s="8"/>
      <c r="Q6" s="8"/>
      <c r="R6" s="39"/>
      <c r="S6" s="21"/>
      <c r="T6" s="22"/>
      <c r="U6" s="34"/>
      <c r="V6" s="34"/>
      <c r="W6" s="34"/>
      <c r="X6" s="35"/>
      <c r="Y6" s="36"/>
      <c r="AA6" s="37"/>
    </row>
    <row r="7" spans="1:44" x14ac:dyDescent="0.35">
      <c r="A7" s="12" t="s">
        <v>178</v>
      </c>
      <c r="B7" s="48">
        <v>0.76</v>
      </c>
      <c r="O7" s="8"/>
      <c r="Q7" s="8"/>
      <c r="R7" s="39"/>
      <c r="T7" s="22"/>
      <c r="U7" s="34"/>
      <c r="V7" s="34"/>
      <c r="W7" s="34"/>
      <c r="X7" s="35"/>
      <c r="Y7" s="36"/>
      <c r="AA7" s="37"/>
    </row>
    <row r="8" spans="1:44" x14ac:dyDescent="0.35">
      <c r="A8" s="12" t="s">
        <v>186</v>
      </c>
      <c r="B8" s="50">
        <v>1.18</v>
      </c>
      <c r="O8" s="8"/>
      <c r="Q8" s="8"/>
      <c r="R8" s="39"/>
      <c r="T8" s="22"/>
      <c r="U8" s="34"/>
      <c r="V8" s="34"/>
      <c r="W8" s="34"/>
      <c r="X8" s="35"/>
      <c r="Y8" s="36"/>
      <c r="AA8" s="37"/>
    </row>
    <row r="9" spans="1:44" x14ac:dyDescent="0.35">
      <c r="A9" s="12" t="s">
        <v>187</v>
      </c>
      <c r="B9">
        <v>0.47</v>
      </c>
      <c r="O9" s="8"/>
      <c r="Q9" s="8"/>
      <c r="R9" s="39"/>
      <c r="S9" s="22"/>
      <c r="T9" s="22"/>
      <c r="U9" s="34"/>
      <c r="V9" s="34"/>
      <c r="W9" s="34"/>
      <c r="X9" s="35"/>
      <c r="Y9" s="36"/>
      <c r="AA9" s="37"/>
      <c r="AC9" s="25"/>
    </row>
    <row r="10" spans="1:44" x14ac:dyDescent="0.35">
      <c r="S10"/>
      <c r="T10"/>
      <c r="U10" s="34"/>
      <c r="V10" s="34"/>
      <c r="W10" s="34"/>
      <c r="X10" s="35"/>
      <c r="Y10" s="36"/>
      <c r="AA10" s="37"/>
      <c r="AF10" s="38"/>
    </row>
    <row r="11" spans="1:44" x14ac:dyDescent="0.35">
      <c r="S11"/>
      <c r="T11"/>
    </row>
    <row r="12" spans="1:44" x14ac:dyDescent="0.35">
      <c r="S12"/>
      <c r="T12"/>
    </row>
    <row r="13" spans="1:44" x14ac:dyDescent="0.35">
      <c r="S13"/>
      <c r="T13"/>
    </row>
    <row r="14" spans="1:44" x14ac:dyDescent="0.35">
      <c r="K14" s="12"/>
      <c r="L14" s="12"/>
      <c r="M14" s="12"/>
      <c r="N14" s="12"/>
      <c r="O14" s="12"/>
      <c r="S14"/>
      <c r="T14"/>
      <c r="W14" s="34"/>
      <c r="X14" s="35"/>
      <c r="Y14" s="36"/>
      <c r="AA14" s="24"/>
    </row>
    <row r="15" spans="1:44" x14ac:dyDescent="0.35">
      <c r="A15" t="s">
        <v>169</v>
      </c>
      <c r="E15" s="33"/>
      <c r="L15" s="12"/>
      <c r="M15" s="12"/>
      <c r="N15" s="12"/>
      <c r="S15"/>
      <c r="T15"/>
      <c r="Y15" s="36"/>
      <c r="AA15" s="24"/>
      <c r="AR15" s="5"/>
    </row>
    <row r="16" spans="1:44" x14ac:dyDescent="0.35">
      <c r="A16" s="12"/>
      <c r="B16" s="12" t="s">
        <v>166</v>
      </c>
      <c r="E16" s="23"/>
      <c r="L16" s="12"/>
      <c r="M16" s="12"/>
      <c r="N16" s="12"/>
      <c r="S16"/>
      <c r="T16"/>
      <c r="AA16" s="24"/>
    </row>
    <row r="17" spans="1:27" x14ac:dyDescent="0.35">
      <c r="A17" s="12" t="s">
        <v>167</v>
      </c>
      <c r="B17" s="12">
        <v>6.58</v>
      </c>
      <c r="E17" s="8"/>
      <c r="F17" s="8"/>
      <c r="G17" s="8"/>
      <c r="L17" s="12"/>
      <c r="M17" s="12"/>
      <c r="N17" s="12"/>
      <c r="S17"/>
      <c r="T17"/>
      <c r="AA17" s="24"/>
    </row>
    <row r="18" spans="1:27" x14ac:dyDescent="0.35">
      <c r="A18" s="12" t="s">
        <v>168</v>
      </c>
      <c r="B18" s="12">
        <v>0.22</v>
      </c>
      <c r="E18" s="23"/>
      <c r="L18" s="12"/>
      <c r="M18" s="12"/>
      <c r="N18" s="12"/>
      <c r="O18" s="22"/>
      <c r="S18"/>
      <c r="T18"/>
      <c r="AA18" s="24"/>
    </row>
    <row r="19" spans="1:27" x14ac:dyDescent="0.35">
      <c r="A19" s="32" t="s">
        <v>170</v>
      </c>
      <c r="B19" s="12">
        <v>78.87</v>
      </c>
      <c r="L19" s="12"/>
      <c r="M19" s="12"/>
      <c r="N19" s="12"/>
      <c r="O19" s="2"/>
      <c r="S19"/>
      <c r="T19"/>
      <c r="AA19" s="24"/>
    </row>
    <row r="20" spans="1:27" x14ac:dyDescent="0.35">
      <c r="G20" s="36"/>
      <c r="L20" s="12"/>
      <c r="M20" s="12"/>
      <c r="N20" s="12"/>
      <c r="S20"/>
      <c r="T20"/>
      <c r="AA20" s="24"/>
    </row>
    <row r="21" spans="1:27" x14ac:dyDescent="0.35">
      <c r="L21" s="12"/>
      <c r="M21" s="12"/>
      <c r="N21" s="12"/>
      <c r="S21"/>
      <c r="T21"/>
      <c r="AA21" s="24"/>
    </row>
    <row r="22" spans="1:27" x14ac:dyDescent="0.35">
      <c r="A22" t="s">
        <v>179</v>
      </c>
      <c r="L22" s="12"/>
      <c r="M22" s="12"/>
      <c r="N22" s="12"/>
      <c r="S22"/>
      <c r="T22"/>
    </row>
    <row r="23" spans="1:27" x14ac:dyDescent="0.35">
      <c r="A23" s="1" t="s">
        <v>159</v>
      </c>
      <c r="B23" s="6">
        <v>38395</v>
      </c>
      <c r="L23" s="12"/>
      <c r="M23" s="12"/>
      <c r="N23" s="12"/>
      <c r="S23"/>
      <c r="T23"/>
      <c r="W23"/>
      <c r="Y23" s="12"/>
    </row>
    <row r="24" spans="1:27" x14ac:dyDescent="0.35">
      <c r="A24" s="1" t="s">
        <v>160</v>
      </c>
      <c r="B24" s="2">
        <f ca="1">(TODAY()-B23)/365</f>
        <v>21.156164383561645</v>
      </c>
      <c r="L24" s="12"/>
      <c r="M24" s="12"/>
      <c r="N24" s="12"/>
      <c r="O24" s="22"/>
      <c r="Y24" s="12"/>
    </row>
    <row r="25" spans="1:27" x14ac:dyDescent="0.35">
      <c r="L25" s="12"/>
      <c r="M25" s="12"/>
      <c r="N25" s="12"/>
      <c r="Y25" s="12"/>
    </row>
    <row r="26" spans="1:27" x14ac:dyDescent="0.35">
      <c r="A26" t="s">
        <v>180</v>
      </c>
      <c r="L26" s="12"/>
      <c r="M26" s="12"/>
      <c r="N26" s="12"/>
      <c r="O26" s="22"/>
      <c r="S26"/>
      <c r="T26"/>
      <c r="U26"/>
      <c r="Y26" s="12"/>
    </row>
    <row r="27" spans="1:27" x14ac:dyDescent="0.35">
      <c r="A27" s="1" t="s">
        <v>159</v>
      </c>
      <c r="B27" s="6">
        <v>39046</v>
      </c>
      <c r="L27" s="12"/>
      <c r="M27" s="12"/>
      <c r="N27" s="12"/>
      <c r="O27" s="2"/>
      <c r="S27"/>
      <c r="T27"/>
      <c r="U27"/>
      <c r="Y27" s="12"/>
    </row>
    <row r="28" spans="1:27" x14ac:dyDescent="0.35">
      <c r="A28" s="1" t="s">
        <v>160</v>
      </c>
      <c r="B28" s="2">
        <f ca="1">(TODAY()-B27)/365</f>
        <v>19.372602739726027</v>
      </c>
      <c r="L28" s="12"/>
      <c r="M28" s="12"/>
      <c r="N28" s="12"/>
      <c r="O28" s="39"/>
      <c r="Y28" s="12"/>
    </row>
    <row r="29" spans="1:27" x14ac:dyDescent="0.35">
      <c r="L29" s="12"/>
      <c r="M29" s="12"/>
      <c r="N29" s="12"/>
      <c r="W29"/>
      <c r="Y29" s="12"/>
    </row>
    <row r="30" spans="1:27" x14ac:dyDescent="0.35">
      <c r="A30" t="s">
        <v>181</v>
      </c>
      <c r="L30" s="12"/>
      <c r="M30" s="12"/>
      <c r="N30" s="12"/>
      <c r="O30" s="22"/>
      <c r="P30" s="23"/>
      <c r="W30"/>
      <c r="Y30" s="12"/>
    </row>
    <row r="31" spans="1:27" x14ac:dyDescent="0.35">
      <c r="A31" s="1" t="s">
        <v>159</v>
      </c>
      <c r="B31" s="6">
        <v>44844</v>
      </c>
      <c r="L31" s="12"/>
      <c r="M31" s="12"/>
      <c r="N31" s="12"/>
      <c r="O31" s="22"/>
      <c r="P31" s="23"/>
      <c r="W31"/>
      <c r="Y31" s="12"/>
    </row>
    <row r="32" spans="1:27" x14ac:dyDescent="0.35">
      <c r="A32" s="1" t="s">
        <v>160</v>
      </c>
      <c r="B32" s="2">
        <f ca="1">(TODAY()-B31)/365</f>
        <v>3.4876712328767123</v>
      </c>
      <c r="L32" s="12"/>
      <c r="M32" s="12"/>
      <c r="N32" s="12"/>
      <c r="O32" s="2"/>
    </row>
    <row r="33" spans="1:28" x14ac:dyDescent="0.35">
      <c r="L33" s="12"/>
      <c r="M33" s="12"/>
      <c r="N33" s="12"/>
      <c r="S33"/>
      <c r="V33"/>
      <c r="W33"/>
      <c r="X33"/>
    </row>
    <row r="34" spans="1:28" x14ac:dyDescent="0.35">
      <c r="A34" t="s">
        <v>182</v>
      </c>
      <c r="L34" s="12"/>
      <c r="M34" s="12"/>
      <c r="N34" s="12"/>
      <c r="R34" s="25"/>
      <c r="S34" s="25"/>
      <c r="V34" s="25"/>
      <c r="W34" s="25"/>
      <c r="X34" s="2"/>
      <c r="Y34" s="25"/>
      <c r="Z34" s="25"/>
    </row>
    <row r="35" spans="1:28" x14ac:dyDescent="0.35">
      <c r="A35" s="1" t="s">
        <v>159</v>
      </c>
      <c r="B35" s="6">
        <v>41223</v>
      </c>
      <c r="R35" s="25"/>
      <c r="S35" s="25"/>
      <c r="V35" s="25"/>
      <c r="W35" s="25"/>
      <c r="X35" s="25"/>
      <c r="Y35" s="25"/>
      <c r="Z35" s="25"/>
    </row>
    <row r="36" spans="1:28" x14ac:dyDescent="0.35">
      <c r="A36" s="1" t="s">
        <v>160</v>
      </c>
      <c r="B36" s="2">
        <f ca="1">(TODAY()-B35)/365</f>
        <v>13.408219178082192</v>
      </c>
      <c r="R36" s="25"/>
      <c r="S36" s="25"/>
      <c r="V36" s="25"/>
      <c r="W36" s="25"/>
      <c r="X36" s="25"/>
      <c r="Y36" s="25"/>
      <c r="Z36" s="25"/>
    </row>
    <row r="37" spans="1:28" x14ac:dyDescent="0.35">
      <c r="R37" s="25"/>
      <c r="S37" s="26"/>
      <c r="W37" s="25"/>
      <c r="X37" s="25"/>
      <c r="Y37" s="25"/>
      <c r="Z37" s="25"/>
    </row>
    <row r="38" spans="1:28" x14ac:dyDescent="0.35">
      <c r="A38" t="s">
        <v>183</v>
      </c>
      <c r="S38"/>
      <c r="AB38" s="45"/>
    </row>
    <row r="39" spans="1:28" x14ac:dyDescent="0.35">
      <c r="A39" s="1" t="s">
        <v>159</v>
      </c>
      <c r="B39" s="6">
        <v>41798</v>
      </c>
      <c r="AB39" s="40"/>
    </row>
    <row r="40" spans="1:28" x14ac:dyDescent="0.35">
      <c r="A40" s="1" t="s">
        <v>160</v>
      </c>
      <c r="B40" s="2">
        <f ca="1">(TODAY()-B39)/365</f>
        <v>11.832876712328767</v>
      </c>
      <c r="T40" s="32"/>
      <c r="X40" s="39"/>
      <c r="AB40" s="39"/>
    </row>
    <row r="41" spans="1:28" x14ac:dyDescent="0.35">
      <c r="W41"/>
      <c r="X41" s="43"/>
    </row>
    <row r="42" spans="1:28" x14ac:dyDescent="0.35">
      <c r="A42" t="s">
        <v>184</v>
      </c>
      <c r="U42" s="25"/>
      <c r="V42"/>
      <c r="W42" s="41"/>
      <c r="X42" s="44"/>
    </row>
    <row r="43" spans="1:28" x14ac:dyDescent="0.35">
      <c r="A43" s="1" t="s">
        <v>159</v>
      </c>
      <c r="B43" s="6">
        <v>45583</v>
      </c>
      <c r="E43" s="12"/>
      <c r="F43" s="12"/>
      <c r="U43" s="25"/>
      <c r="V43"/>
      <c r="X43" s="41"/>
    </row>
    <row r="44" spans="1:28" x14ac:dyDescent="0.35">
      <c r="A44" s="1" t="s">
        <v>185</v>
      </c>
      <c r="B44" s="26">
        <f ca="1">(TODAY()-B43)</f>
        <v>534</v>
      </c>
      <c r="E44" s="12"/>
      <c r="F44" s="12"/>
      <c r="G44" s="4"/>
      <c r="V44" s="41"/>
      <c r="W44" s="41"/>
      <c r="X44" s="42"/>
    </row>
    <row r="45" spans="1:28" x14ac:dyDescent="0.35">
      <c r="E45" s="12"/>
      <c r="F45" s="12"/>
      <c r="V45" s="41"/>
      <c r="W45" s="41"/>
      <c r="X45" s="40"/>
    </row>
    <row r="46" spans="1:28" x14ac:dyDescent="0.35">
      <c r="G46" s="4"/>
      <c r="V46" s="41" t="s">
        <v>0</v>
      </c>
      <c r="W46" s="41" t="s">
        <v>171</v>
      </c>
      <c r="X46" s="39" t="s">
        <v>172</v>
      </c>
      <c r="Y46" t="s">
        <v>173</v>
      </c>
    </row>
    <row r="47" spans="1:28" x14ac:dyDescent="0.35">
      <c r="V47" s="41" t="s">
        <v>157</v>
      </c>
      <c r="W47" s="41" t="s">
        <v>165</v>
      </c>
      <c r="X47" s="39">
        <v>1.1999999999999999E-3</v>
      </c>
      <c r="Y47" t="s">
        <v>174</v>
      </c>
    </row>
    <row r="48" spans="1:28" x14ac:dyDescent="0.35">
      <c r="V48" s="12" t="s">
        <v>156</v>
      </c>
      <c r="W48" s="41" t="s">
        <v>164</v>
      </c>
      <c r="X48" s="42">
        <v>1.4E-3</v>
      </c>
      <c r="Y48" t="s">
        <v>174</v>
      </c>
    </row>
    <row r="49" spans="7:44" x14ac:dyDescent="0.35">
      <c r="V49" s="41" t="s">
        <v>157</v>
      </c>
      <c r="W49" s="41" t="s">
        <v>165</v>
      </c>
      <c r="X49" s="39">
        <f>0.0027%*158</f>
        <v>4.2660000000000007E-3</v>
      </c>
      <c r="Y49" t="s">
        <v>175</v>
      </c>
    </row>
    <row r="50" spans="7:44" x14ac:dyDescent="0.35">
      <c r="V50" s="12" t="s">
        <v>156</v>
      </c>
      <c r="W50" s="41" t="s">
        <v>164</v>
      </c>
      <c r="X50" s="42">
        <v>1.6999999999999999E-3</v>
      </c>
      <c r="Y50" t="s">
        <v>175</v>
      </c>
    </row>
    <row r="51" spans="7:44" x14ac:dyDescent="0.35">
      <c r="V51" s="12" t="s">
        <v>156</v>
      </c>
      <c r="W51" s="41" t="s">
        <v>164</v>
      </c>
      <c r="X51" s="42">
        <v>1.2999999999999999E-3</v>
      </c>
      <c r="Y51" t="s">
        <v>162</v>
      </c>
      <c r="AR51" s="5" t="s">
        <v>155</v>
      </c>
    </row>
    <row r="52" spans="7:44" x14ac:dyDescent="0.35">
      <c r="V52" s="41" t="s">
        <v>157</v>
      </c>
      <c r="W52" s="41" t="s">
        <v>165</v>
      </c>
      <c r="X52" s="39">
        <f>0.0027%*12</f>
        <v>3.2400000000000001E-4</v>
      </c>
      <c r="Y52" t="s">
        <v>162</v>
      </c>
    </row>
    <row r="64" spans="7:44" x14ac:dyDescent="0.35">
      <c r="G64" s="23"/>
    </row>
    <row r="73" spans="7:22" x14ac:dyDescent="0.35">
      <c r="S73"/>
      <c r="T73"/>
    </row>
    <row r="74" spans="7:22" x14ac:dyDescent="0.35">
      <c r="G74" s="24"/>
      <c r="H74" s="26"/>
      <c r="I74" s="24"/>
      <c r="J74" s="26"/>
      <c r="K74" s="24"/>
      <c r="L74" s="24"/>
      <c r="M74" s="24"/>
      <c r="N74" s="26"/>
      <c r="O74" s="26"/>
      <c r="P74" s="24"/>
      <c r="Q74" s="26"/>
      <c r="R74" s="24"/>
      <c r="S74" s="26"/>
      <c r="T74" s="19"/>
      <c r="U74" s="27"/>
      <c r="V74" s="27"/>
    </row>
    <row r="75" spans="7:22" x14ac:dyDescent="0.35">
      <c r="G75" s="24"/>
      <c r="H75" s="26"/>
      <c r="I75" s="24"/>
      <c r="J75" s="26"/>
      <c r="K75" s="24"/>
      <c r="L75" s="24"/>
      <c r="M75" s="24"/>
      <c r="N75" s="26"/>
      <c r="O75" s="26"/>
      <c r="P75" s="24"/>
      <c r="Q75" s="26"/>
      <c r="R75" s="24"/>
      <c r="S75" s="26"/>
      <c r="T75" s="19"/>
      <c r="U75" s="27"/>
      <c r="V75" s="27"/>
    </row>
    <row r="76" spans="7:22" x14ac:dyDescent="0.35">
      <c r="G76" s="24"/>
      <c r="H76" s="24"/>
      <c r="I76" s="24"/>
      <c r="J76" s="26"/>
      <c r="K76" s="24"/>
      <c r="L76" s="24"/>
      <c r="M76" s="24"/>
      <c r="N76" s="26"/>
      <c r="O76" s="26"/>
      <c r="P76" s="24"/>
      <c r="Q76" s="26"/>
      <c r="R76" s="24"/>
      <c r="S76" s="26"/>
      <c r="T76" s="19"/>
      <c r="U76" s="27"/>
      <c r="V76" s="27"/>
    </row>
    <row r="77" spans="7:22" x14ac:dyDescent="0.35">
      <c r="G77" s="24"/>
      <c r="H77" s="24"/>
      <c r="I77" s="24"/>
      <c r="J77" s="26"/>
      <c r="K77" s="24"/>
      <c r="L77" s="24"/>
      <c r="M77" s="24"/>
      <c r="N77" s="26"/>
      <c r="O77" s="26"/>
      <c r="P77" s="24"/>
      <c r="Q77" s="26"/>
      <c r="R77" s="24"/>
      <c r="S77" s="26"/>
      <c r="T77" s="28"/>
      <c r="U77" s="27"/>
      <c r="V77" s="27"/>
    </row>
    <row r="78" spans="7:22" x14ac:dyDescent="0.35">
      <c r="G78" s="24"/>
      <c r="H78" s="24"/>
      <c r="I78" s="24"/>
      <c r="J78" s="26"/>
      <c r="K78" s="24"/>
      <c r="L78" s="24"/>
      <c r="M78" s="24"/>
      <c r="N78" s="26"/>
      <c r="O78" s="26"/>
      <c r="P78" s="24"/>
      <c r="Q78" s="26"/>
      <c r="R78" s="24"/>
      <c r="S78" s="26"/>
      <c r="T78" s="28"/>
      <c r="U78" s="27"/>
      <c r="V78" s="27"/>
    </row>
    <row r="79" spans="7:22" x14ac:dyDescent="0.35">
      <c r="G79" s="24"/>
      <c r="H79" s="24"/>
      <c r="I79" s="24"/>
      <c r="J79" s="26"/>
      <c r="K79" s="24"/>
      <c r="L79" s="24"/>
      <c r="M79" s="24"/>
      <c r="N79" s="26"/>
      <c r="O79" s="26"/>
      <c r="P79" s="24"/>
      <c r="Q79" s="26"/>
      <c r="R79" s="24"/>
      <c r="S79" s="26"/>
    </row>
    <row r="89" spans="2:8" x14ac:dyDescent="0.35">
      <c r="B89" s="29"/>
      <c r="H89" s="20"/>
    </row>
    <row r="90" spans="2:8" x14ac:dyDescent="0.35">
      <c r="B90" s="13"/>
    </row>
    <row r="91" spans="2:8" x14ac:dyDescent="0.35">
      <c r="B91" s="13"/>
    </row>
    <row r="98" spans="3:4" ht="15" thickBot="1" x14ac:dyDescent="0.4"/>
    <row r="99" spans="3:4" ht="15" thickBot="1" x14ac:dyDescent="0.4">
      <c r="C99" s="30"/>
    </row>
    <row r="100" spans="3:4" ht="15" thickBot="1" x14ac:dyDescent="0.4">
      <c r="D100" s="31"/>
    </row>
  </sheetData>
  <phoneticPr fontId="5" type="noConversion"/>
  <conditionalFormatting sqref="S6">
    <cfRule type="cellIs" dxfId="4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49B6-0498-45E0-8177-A773FE30F180}">
  <sheetPr codeName="Sheet5"/>
  <dimension ref="A1:J94"/>
  <sheetViews>
    <sheetView tabSelected="1" topLeftCell="C1" zoomScale="90" zoomScaleNormal="90" workbookViewId="0">
      <pane ySplit="1" topLeftCell="A76" activePane="bottomLeft" state="frozen"/>
      <selection pane="bottomLeft" activeCell="H89" sqref="H89"/>
    </sheetView>
  </sheetViews>
  <sheetFormatPr defaultColWidth="8.7265625" defaultRowHeight="14.5" x14ac:dyDescent="0.35"/>
  <cols>
    <col min="1" max="1" width="9.1796875" customWidth="1"/>
    <col min="2" max="2" width="16.54296875" bestFit="1" customWidth="1"/>
    <col min="3" max="3" width="29.453125" bestFit="1" customWidth="1"/>
    <col min="4" max="4" width="24.1796875" customWidth="1"/>
    <col min="5" max="5" width="21.54296875" bestFit="1" customWidth="1"/>
    <col min="6" max="6" width="29.453125" bestFit="1" customWidth="1"/>
    <col min="7" max="7" width="17.1796875" bestFit="1" customWidth="1"/>
    <col min="8" max="8" width="21.453125" bestFit="1" customWidth="1"/>
    <col min="9" max="9" width="27.453125" style="3" bestFit="1" customWidth="1"/>
    <col min="10" max="10" width="56.7265625" bestFit="1" customWidth="1"/>
  </cols>
  <sheetData>
    <row r="1" spans="1:10" x14ac:dyDescent="0.35">
      <c r="A1" t="s">
        <v>14</v>
      </c>
      <c r="B1" t="s">
        <v>11</v>
      </c>
      <c r="C1" t="s">
        <v>19</v>
      </c>
      <c r="D1" t="s">
        <v>17</v>
      </c>
      <c r="E1" t="s">
        <v>34</v>
      </c>
      <c r="F1" t="s">
        <v>37</v>
      </c>
      <c r="G1" t="s">
        <v>18</v>
      </c>
      <c r="H1" t="s">
        <v>35</v>
      </c>
      <c r="I1" t="s">
        <v>20</v>
      </c>
      <c r="J1" t="s">
        <v>149</v>
      </c>
    </row>
    <row r="2" spans="1:10" x14ac:dyDescent="0.35">
      <c r="I2"/>
    </row>
    <row r="3" spans="1:10" x14ac:dyDescent="0.35">
      <c r="A3">
        <v>2020</v>
      </c>
      <c r="B3" t="s">
        <v>113</v>
      </c>
      <c r="C3" t="s">
        <v>112</v>
      </c>
      <c r="D3" s="15">
        <v>61.443819150000003</v>
      </c>
      <c r="E3">
        <v>0.63409000000000004</v>
      </c>
      <c r="F3" t="s">
        <v>115</v>
      </c>
      <c r="G3" s="15">
        <v>59.984076350000002</v>
      </c>
      <c r="H3">
        <v>0.63409000000000004</v>
      </c>
      <c r="I3" s="3">
        <f>ROUNDUP((G3/H3)-(D3/E3),2)</f>
        <v>-2.3099999999999996</v>
      </c>
    </row>
    <row r="4" spans="1:10" x14ac:dyDescent="0.35">
      <c r="A4">
        <v>2020</v>
      </c>
      <c r="B4" t="s">
        <v>114</v>
      </c>
      <c r="C4" t="s">
        <v>115</v>
      </c>
      <c r="D4" s="15">
        <v>59.984076350000002</v>
      </c>
      <c r="E4">
        <v>0.63409000000000004</v>
      </c>
      <c r="F4" t="s">
        <v>116</v>
      </c>
      <c r="G4" s="15">
        <v>59.984076350000002</v>
      </c>
      <c r="H4">
        <v>0.63409000000000004</v>
      </c>
      <c r="I4" s="3">
        <f>ROUNDUP((G4/H4)-(D4/E4),2)</f>
        <v>0</v>
      </c>
    </row>
    <row r="5" spans="1:10" x14ac:dyDescent="0.35">
      <c r="A5">
        <v>2020</v>
      </c>
      <c r="B5" t="s">
        <v>117</v>
      </c>
      <c r="C5" t="s">
        <v>116</v>
      </c>
      <c r="D5" s="15">
        <v>118.91182259</v>
      </c>
      <c r="E5">
        <v>0.63409000000000004</v>
      </c>
      <c r="F5" t="s">
        <v>118</v>
      </c>
      <c r="G5" s="15">
        <v>113.28210971999999</v>
      </c>
      <c r="H5">
        <v>0.65154999999999996</v>
      </c>
      <c r="I5" s="3">
        <f>ROUNDUP((G5/H5)-(D5/E5),2)</f>
        <v>-13.67</v>
      </c>
    </row>
    <row r="6" spans="1:10" x14ac:dyDescent="0.35">
      <c r="A6">
        <v>2020</v>
      </c>
      <c r="B6" t="s">
        <v>145</v>
      </c>
      <c r="I6" s="3">
        <f>ROUNDUP(1.98019802,2)</f>
        <v>1.99</v>
      </c>
    </row>
    <row r="7" spans="1:10" x14ac:dyDescent="0.35">
      <c r="A7">
        <v>2020</v>
      </c>
      <c r="B7" t="s">
        <v>119</v>
      </c>
      <c r="C7" t="s">
        <v>121</v>
      </c>
      <c r="D7" s="15">
        <v>113.28210971999999</v>
      </c>
      <c r="E7">
        <v>0.65156000000000003</v>
      </c>
      <c r="F7" t="s">
        <v>122</v>
      </c>
      <c r="G7" s="15">
        <v>100.89628912000001</v>
      </c>
      <c r="H7">
        <v>0.66637999999999997</v>
      </c>
      <c r="I7" s="12">
        <f>ROUNDUP((G7/H7)-(D7/E7),2)</f>
        <v>-22.46</v>
      </c>
    </row>
    <row r="8" spans="1:10" x14ac:dyDescent="0.35">
      <c r="A8">
        <v>2020</v>
      </c>
      <c r="B8" t="s">
        <v>120</v>
      </c>
      <c r="C8" t="s">
        <v>122</v>
      </c>
      <c r="D8" s="15">
        <v>100.89628912000001</v>
      </c>
      <c r="E8">
        <v>0.66637999999999997</v>
      </c>
      <c r="F8" t="s">
        <v>123</v>
      </c>
      <c r="G8" s="15">
        <v>100.89628912000001</v>
      </c>
      <c r="H8">
        <v>0.65925999999999996</v>
      </c>
      <c r="I8" s="3">
        <f>ROUNDUP((G8/H8)-(D8/E8),2)</f>
        <v>1.64</v>
      </c>
    </row>
    <row r="9" spans="1:10" x14ac:dyDescent="0.35">
      <c r="A9">
        <v>2020</v>
      </c>
      <c r="B9" t="s">
        <v>124</v>
      </c>
      <c r="C9" t="s">
        <v>123</v>
      </c>
      <c r="D9" s="15">
        <v>196.04596867000001</v>
      </c>
      <c r="E9">
        <v>0.65925999999999996</v>
      </c>
      <c r="F9" t="s">
        <v>125</v>
      </c>
      <c r="G9" s="9">
        <v>202.65922107</v>
      </c>
      <c r="H9">
        <v>0.66649999999999998</v>
      </c>
      <c r="I9" s="12">
        <f>ROUNDUP((G9/H9)-(D9/E9),2)</f>
        <v>6.7</v>
      </c>
    </row>
    <row r="10" spans="1:10" x14ac:dyDescent="0.35">
      <c r="A10">
        <v>2020</v>
      </c>
      <c r="B10" t="s">
        <v>146</v>
      </c>
      <c r="D10" s="9"/>
      <c r="G10" s="9"/>
      <c r="I10" s="12">
        <f>ROUNDUP(1.53465347,2)</f>
        <v>1.54</v>
      </c>
    </row>
    <row r="11" spans="1:10" x14ac:dyDescent="0.35">
      <c r="A11">
        <v>2020</v>
      </c>
      <c r="B11" t="s">
        <v>27</v>
      </c>
      <c r="C11" t="s">
        <v>126</v>
      </c>
      <c r="D11" s="9">
        <v>202.65922107</v>
      </c>
      <c r="E11">
        <v>0.66649999999999998</v>
      </c>
      <c r="F11" t="s">
        <v>127</v>
      </c>
      <c r="G11" s="9">
        <v>189.58291399000001</v>
      </c>
      <c r="H11">
        <v>0.68679999999999997</v>
      </c>
      <c r="I11" s="12">
        <f t="shared" ref="I11:I42" si="0">ROUNDUP((G11/H11)-(D11/E11),2)</f>
        <v>-28.03</v>
      </c>
    </row>
    <row r="12" spans="1:10" x14ac:dyDescent="0.35">
      <c r="A12">
        <v>2020</v>
      </c>
      <c r="B12" t="s">
        <v>26</v>
      </c>
      <c r="C12" t="s">
        <v>128</v>
      </c>
      <c r="D12" s="9">
        <v>189.58291399000001</v>
      </c>
      <c r="E12">
        <v>0.68679000000000001</v>
      </c>
      <c r="F12" t="s">
        <v>129</v>
      </c>
      <c r="G12" s="9">
        <v>194.39468256999999</v>
      </c>
      <c r="H12">
        <v>0.71816999999999998</v>
      </c>
      <c r="I12" s="12">
        <f t="shared" si="0"/>
        <v>-5.37</v>
      </c>
    </row>
    <row r="13" spans="1:10" x14ac:dyDescent="0.35">
      <c r="A13">
        <v>2020</v>
      </c>
      <c r="B13" t="s">
        <v>25</v>
      </c>
      <c r="C13" t="s">
        <v>130</v>
      </c>
      <c r="D13" s="9">
        <v>194.39468256999999</v>
      </c>
      <c r="E13">
        <v>0.71816000000000002</v>
      </c>
      <c r="F13" t="s">
        <v>131</v>
      </c>
      <c r="G13" s="9">
        <v>207.50310697</v>
      </c>
      <c r="H13">
        <v>0.73655999999999999</v>
      </c>
      <c r="I13" s="12">
        <f t="shared" si="0"/>
        <v>11.04</v>
      </c>
    </row>
    <row r="14" spans="1:10" x14ac:dyDescent="0.35">
      <c r="A14">
        <v>2020</v>
      </c>
      <c r="B14" t="s">
        <v>24</v>
      </c>
      <c r="C14" t="s">
        <v>132</v>
      </c>
      <c r="D14" s="9">
        <v>207.50310697</v>
      </c>
      <c r="E14">
        <v>0.73653999999999997</v>
      </c>
      <c r="F14" t="s">
        <v>133</v>
      </c>
      <c r="G14" s="9">
        <v>207.89350196999999</v>
      </c>
      <c r="H14">
        <v>0.71396999999999999</v>
      </c>
      <c r="I14" s="12">
        <f t="shared" si="0"/>
        <v>9.4599999999999991</v>
      </c>
    </row>
    <row r="15" spans="1:10" x14ac:dyDescent="0.35">
      <c r="A15">
        <v>2020</v>
      </c>
      <c r="B15" t="s">
        <v>136</v>
      </c>
      <c r="C15" t="s">
        <v>134</v>
      </c>
      <c r="D15" s="9">
        <v>207.89350196999999</v>
      </c>
      <c r="E15">
        <v>0.71401999999999999</v>
      </c>
      <c r="F15" t="s">
        <v>135</v>
      </c>
      <c r="G15" s="9">
        <v>203.55271567</v>
      </c>
      <c r="H15">
        <v>0.70762999999999998</v>
      </c>
      <c r="I15" s="12">
        <f t="shared" si="0"/>
        <v>-3.51</v>
      </c>
    </row>
    <row r="16" spans="1:10" x14ac:dyDescent="0.35">
      <c r="A16">
        <v>2020</v>
      </c>
      <c r="B16" t="s">
        <v>137</v>
      </c>
      <c r="C16" t="s">
        <v>135</v>
      </c>
      <c r="D16" s="9">
        <v>203.55271567</v>
      </c>
      <c r="E16">
        <v>0.70762999999999998</v>
      </c>
      <c r="F16" t="s">
        <v>139</v>
      </c>
      <c r="G16" s="9">
        <v>203.55271567</v>
      </c>
      <c r="H16">
        <v>0.71040000000000003</v>
      </c>
      <c r="I16" s="12">
        <f t="shared" si="0"/>
        <v>-1.1300000000000001</v>
      </c>
    </row>
    <row r="17" spans="1:9" x14ac:dyDescent="0.35">
      <c r="A17">
        <v>2020</v>
      </c>
      <c r="B17" t="s">
        <v>138</v>
      </c>
      <c r="C17" t="s">
        <v>139</v>
      </c>
      <c r="D17" s="9">
        <v>381.24455850999999</v>
      </c>
      <c r="E17">
        <v>0.71040000000000003</v>
      </c>
      <c r="F17" t="s">
        <v>141</v>
      </c>
      <c r="G17" s="9">
        <v>359.05533515000002</v>
      </c>
      <c r="H17">
        <v>0.71269000000000005</v>
      </c>
      <c r="I17" s="12">
        <f t="shared" si="0"/>
        <v>-32.86</v>
      </c>
    </row>
    <row r="18" spans="1:9" x14ac:dyDescent="0.35">
      <c r="A18">
        <v>2020</v>
      </c>
      <c r="B18" t="s">
        <v>108</v>
      </c>
      <c r="C18" t="s">
        <v>144</v>
      </c>
      <c r="D18" s="9">
        <v>397.99190363000002</v>
      </c>
      <c r="E18">
        <v>0.71333999999999997</v>
      </c>
      <c r="F18" t="s">
        <v>143</v>
      </c>
      <c r="G18" s="9">
        <v>397.53171987000002</v>
      </c>
      <c r="H18">
        <v>0.7026</v>
      </c>
      <c r="I18" s="12">
        <f t="shared" si="0"/>
        <v>7.88</v>
      </c>
    </row>
    <row r="19" spans="1:9" x14ac:dyDescent="0.35">
      <c r="A19">
        <v>2020</v>
      </c>
      <c r="B19" t="s">
        <v>140</v>
      </c>
      <c r="C19" t="s">
        <v>142</v>
      </c>
      <c r="D19" s="9">
        <v>377.57113751000003</v>
      </c>
      <c r="E19">
        <v>0.70164000000000004</v>
      </c>
      <c r="F19" t="s">
        <v>143</v>
      </c>
      <c r="G19" s="9">
        <v>377.57113751000003</v>
      </c>
      <c r="H19">
        <v>0.7026</v>
      </c>
      <c r="I19" s="12">
        <f t="shared" si="0"/>
        <v>-0.74</v>
      </c>
    </row>
    <row r="20" spans="1:9" x14ac:dyDescent="0.35">
      <c r="A20">
        <v>2020</v>
      </c>
      <c r="B20" t="s">
        <v>22</v>
      </c>
      <c r="C20" t="s">
        <v>110</v>
      </c>
      <c r="D20" s="9">
        <v>397.53171987000002</v>
      </c>
      <c r="E20">
        <v>0.7026</v>
      </c>
      <c r="F20" t="s">
        <v>111</v>
      </c>
      <c r="G20" s="9">
        <v>378.79712997000001</v>
      </c>
      <c r="H20">
        <v>0.73806000000000005</v>
      </c>
      <c r="I20" s="12">
        <f t="shared" si="0"/>
        <v>-52.57</v>
      </c>
    </row>
    <row r="21" spans="1:9" x14ac:dyDescent="0.35">
      <c r="A21">
        <v>2020</v>
      </c>
      <c r="B21" t="s">
        <v>21</v>
      </c>
      <c r="C21" t="s">
        <v>107</v>
      </c>
      <c r="D21" s="9">
        <v>378.79712997000001</v>
      </c>
      <c r="E21">
        <v>0.73807999999999996</v>
      </c>
      <c r="F21" t="s">
        <v>109</v>
      </c>
      <c r="G21" s="9">
        <v>369.48372836999999</v>
      </c>
      <c r="H21">
        <v>0.77307000000000003</v>
      </c>
      <c r="I21" s="12">
        <f t="shared" si="0"/>
        <v>-35.28</v>
      </c>
    </row>
    <row r="22" spans="1:9" x14ac:dyDescent="0.35">
      <c r="A22">
        <v>2021</v>
      </c>
      <c r="B22" t="s">
        <v>12</v>
      </c>
      <c r="C22" t="s">
        <v>105</v>
      </c>
      <c r="D22" s="9">
        <v>369.48372836999999</v>
      </c>
      <c r="E22">
        <v>0.77305999999999997</v>
      </c>
      <c r="F22" t="s">
        <v>106</v>
      </c>
      <c r="G22" s="9">
        <v>351.10201893999999</v>
      </c>
      <c r="H22">
        <v>0.76405000000000001</v>
      </c>
      <c r="I22" s="12">
        <f t="shared" si="0"/>
        <v>-18.430000000000003</v>
      </c>
    </row>
    <row r="23" spans="1:9" x14ac:dyDescent="0.35">
      <c r="A23">
        <v>2021</v>
      </c>
      <c r="B23" t="s">
        <v>31</v>
      </c>
      <c r="C23" t="s">
        <v>103</v>
      </c>
      <c r="D23" s="9">
        <v>351.10201893999999</v>
      </c>
      <c r="E23">
        <v>0.76405000000000001</v>
      </c>
      <c r="F23" t="s">
        <v>104</v>
      </c>
      <c r="G23" s="9">
        <v>340.27259228000003</v>
      </c>
      <c r="H23">
        <v>0.77034000000000002</v>
      </c>
      <c r="I23" s="12">
        <f t="shared" si="0"/>
        <v>-17.82</v>
      </c>
    </row>
    <row r="24" spans="1:9" x14ac:dyDescent="0.35">
      <c r="A24">
        <v>2021</v>
      </c>
      <c r="B24" t="s">
        <v>30</v>
      </c>
      <c r="C24" t="s">
        <v>101</v>
      </c>
      <c r="D24" s="9">
        <v>340.27259228000003</v>
      </c>
      <c r="E24">
        <v>0.77034000000000002</v>
      </c>
      <c r="F24" t="s">
        <v>102</v>
      </c>
      <c r="G24" s="9">
        <v>311.36400994000002</v>
      </c>
      <c r="H24">
        <v>0.76190999999999998</v>
      </c>
      <c r="I24" s="12">
        <f t="shared" si="0"/>
        <v>-33.059999999999995</v>
      </c>
    </row>
    <row r="25" spans="1:9" x14ac:dyDescent="0.35">
      <c r="A25">
        <v>2021</v>
      </c>
      <c r="B25" t="s">
        <v>29</v>
      </c>
      <c r="C25" t="s">
        <v>99</v>
      </c>
      <c r="D25" s="9">
        <v>311.36400994000002</v>
      </c>
      <c r="E25">
        <v>0.76193999999999995</v>
      </c>
      <c r="F25" t="s">
        <v>100</v>
      </c>
      <c r="G25" s="9">
        <v>284.61506317999999</v>
      </c>
      <c r="H25">
        <v>0.77558000000000005</v>
      </c>
      <c r="I25" s="12">
        <f t="shared" si="0"/>
        <v>-41.68</v>
      </c>
    </row>
    <row r="26" spans="1:9" x14ac:dyDescent="0.35">
      <c r="A26">
        <v>2021</v>
      </c>
      <c r="B26" t="s">
        <v>28</v>
      </c>
      <c r="C26" t="s">
        <v>97</v>
      </c>
      <c r="D26" s="9">
        <v>284.61506317999999</v>
      </c>
      <c r="E26">
        <v>0.77558000000000005</v>
      </c>
      <c r="F26" t="s">
        <v>98</v>
      </c>
      <c r="G26" s="9">
        <v>284.60847565</v>
      </c>
      <c r="H26">
        <v>0.77393999999999996</v>
      </c>
      <c r="I26" s="12">
        <f t="shared" si="0"/>
        <v>0.77</v>
      </c>
    </row>
    <row r="27" spans="1:9" x14ac:dyDescent="0.35">
      <c r="A27">
        <v>2021</v>
      </c>
      <c r="B27" t="s">
        <v>27</v>
      </c>
      <c r="C27" t="s">
        <v>95</v>
      </c>
      <c r="D27" s="9">
        <v>284.60847565</v>
      </c>
      <c r="E27">
        <v>0.77395000000000003</v>
      </c>
      <c r="F27" t="s">
        <v>96</v>
      </c>
      <c r="G27" s="9">
        <v>285.16500000000002</v>
      </c>
      <c r="H27">
        <v>0.75024999999999997</v>
      </c>
      <c r="I27" s="12">
        <f t="shared" si="0"/>
        <v>12.36</v>
      </c>
    </row>
    <row r="28" spans="1:9" x14ac:dyDescent="0.35">
      <c r="A28">
        <v>2021</v>
      </c>
      <c r="B28" t="s">
        <v>26</v>
      </c>
      <c r="C28" t="s">
        <v>93</v>
      </c>
      <c r="D28" s="9">
        <v>285.16500000000002</v>
      </c>
      <c r="E28">
        <v>0.75024999999999997</v>
      </c>
      <c r="F28" t="s">
        <v>94</v>
      </c>
      <c r="G28" s="9">
        <v>276.41922757999998</v>
      </c>
      <c r="H28">
        <v>0.73414999999999997</v>
      </c>
      <c r="I28" s="12">
        <f t="shared" si="0"/>
        <v>-3.5799999999999996</v>
      </c>
    </row>
    <row r="29" spans="1:9" x14ac:dyDescent="0.35">
      <c r="A29">
        <v>2021</v>
      </c>
      <c r="B29" t="s">
        <v>25</v>
      </c>
      <c r="C29" t="s">
        <v>91</v>
      </c>
      <c r="D29" s="9">
        <v>276.41922757999998</v>
      </c>
      <c r="E29">
        <v>0.73414999999999997</v>
      </c>
      <c r="F29" t="s">
        <v>92</v>
      </c>
      <c r="G29" s="9">
        <v>267.53988084000002</v>
      </c>
      <c r="H29">
        <v>0.73101000000000005</v>
      </c>
      <c r="I29" s="12">
        <f t="shared" si="0"/>
        <v>-10.53</v>
      </c>
    </row>
    <row r="30" spans="1:9" x14ac:dyDescent="0.35">
      <c r="A30">
        <v>2021</v>
      </c>
      <c r="B30" t="s">
        <v>24</v>
      </c>
      <c r="C30" t="s">
        <v>89</v>
      </c>
      <c r="D30" s="9">
        <v>267.53988084000002</v>
      </c>
      <c r="E30">
        <v>0.73101000000000005</v>
      </c>
      <c r="F30" t="s">
        <v>90</v>
      </c>
      <c r="G30" s="9">
        <v>263.34388611999998</v>
      </c>
      <c r="H30">
        <v>0.72233000000000003</v>
      </c>
      <c r="I30" s="12">
        <f t="shared" si="0"/>
        <v>-1.42</v>
      </c>
    </row>
    <row r="31" spans="1:9" x14ac:dyDescent="0.35">
      <c r="A31">
        <v>2021</v>
      </c>
      <c r="B31" t="s">
        <v>23</v>
      </c>
      <c r="C31" t="s">
        <v>87</v>
      </c>
      <c r="D31" s="9">
        <v>263.34388611999998</v>
      </c>
      <c r="E31">
        <v>0.72233000000000003</v>
      </c>
      <c r="F31" t="s">
        <v>88</v>
      </c>
      <c r="G31" s="9">
        <v>253.93988411999999</v>
      </c>
      <c r="H31">
        <v>0.75190999999999997</v>
      </c>
      <c r="I31" s="12">
        <f t="shared" si="0"/>
        <v>-26.85</v>
      </c>
    </row>
    <row r="32" spans="1:9" x14ac:dyDescent="0.35">
      <c r="A32">
        <v>2021</v>
      </c>
      <c r="B32" t="s">
        <v>22</v>
      </c>
      <c r="C32" t="s">
        <v>85</v>
      </c>
      <c r="D32" s="9">
        <v>253.93988411999999</v>
      </c>
      <c r="E32">
        <v>0.75190999999999997</v>
      </c>
      <c r="F32" t="s">
        <v>86</v>
      </c>
      <c r="G32" s="9">
        <v>245.33119558000001</v>
      </c>
      <c r="H32">
        <v>0.71516000000000002</v>
      </c>
      <c r="I32" s="12">
        <f t="shared" si="0"/>
        <v>5.3199999999999994</v>
      </c>
    </row>
    <row r="33" spans="1:9" x14ac:dyDescent="0.35">
      <c r="A33">
        <v>2021</v>
      </c>
      <c r="B33" t="s">
        <v>21</v>
      </c>
      <c r="C33" t="s">
        <v>83</v>
      </c>
      <c r="D33" s="9">
        <v>245.33119558000001</v>
      </c>
      <c r="E33">
        <v>0.71518000000000004</v>
      </c>
      <c r="F33" t="s">
        <v>84</v>
      </c>
      <c r="G33" s="9">
        <v>245.33119558000001</v>
      </c>
      <c r="H33">
        <v>0.72572999999999999</v>
      </c>
      <c r="I33" s="12">
        <f t="shared" si="0"/>
        <v>-4.99</v>
      </c>
    </row>
    <row r="34" spans="1:9" x14ac:dyDescent="0.35">
      <c r="A34">
        <v>2022</v>
      </c>
      <c r="B34" t="s">
        <v>12</v>
      </c>
      <c r="C34" t="s">
        <v>81</v>
      </c>
      <c r="D34" s="9">
        <v>245.33119558000001</v>
      </c>
      <c r="E34">
        <v>0.72572999999999999</v>
      </c>
      <c r="F34" t="s">
        <v>82</v>
      </c>
      <c r="G34" s="9">
        <v>245.33119558000001</v>
      </c>
      <c r="H34">
        <v>0.70669000000000004</v>
      </c>
      <c r="I34" s="12">
        <f t="shared" si="0"/>
        <v>9.11</v>
      </c>
    </row>
    <row r="35" spans="1:9" x14ac:dyDescent="0.35">
      <c r="A35">
        <v>2022</v>
      </c>
      <c r="B35" t="s">
        <v>31</v>
      </c>
      <c r="C35" t="s">
        <v>79</v>
      </c>
      <c r="D35" s="9">
        <v>245.33119558000001</v>
      </c>
      <c r="E35">
        <v>0.70669000000000004</v>
      </c>
      <c r="F35" t="s">
        <v>80</v>
      </c>
      <c r="G35" s="9">
        <v>245.33119558000001</v>
      </c>
      <c r="H35">
        <v>0.72311000000000003</v>
      </c>
      <c r="I35" s="12">
        <f t="shared" si="0"/>
        <v>-7.89</v>
      </c>
    </row>
    <row r="36" spans="1:9" x14ac:dyDescent="0.35">
      <c r="A36">
        <v>2022</v>
      </c>
      <c r="B36" t="s">
        <v>30</v>
      </c>
      <c r="C36" t="s">
        <v>77</v>
      </c>
      <c r="D36" s="9">
        <v>245.33119558000001</v>
      </c>
      <c r="E36">
        <v>0.72311000000000003</v>
      </c>
      <c r="F36" t="s">
        <v>78</v>
      </c>
      <c r="G36" s="9">
        <v>244.05581713000001</v>
      </c>
      <c r="H36">
        <v>0.74985000000000002</v>
      </c>
      <c r="I36" s="12">
        <f t="shared" si="0"/>
        <v>-13.799999999999999</v>
      </c>
    </row>
    <row r="37" spans="1:9" x14ac:dyDescent="0.35">
      <c r="A37">
        <v>2022</v>
      </c>
      <c r="B37" t="s">
        <v>29</v>
      </c>
      <c r="C37" t="s">
        <v>75</v>
      </c>
      <c r="D37" s="9">
        <v>244.05581713000001</v>
      </c>
      <c r="E37">
        <v>0.74985999999999997</v>
      </c>
      <c r="F37" t="s">
        <v>76</v>
      </c>
      <c r="G37" s="9">
        <v>244.05581713000001</v>
      </c>
      <c r="H37">
        <v>0.70581000000000005</v>
      </c>
      <c r="I37" s="12">
        <f t="shared" si="0"/>
        <v>20.32</v>
      </c>
    </row>
    <row r="38" spans="1:9" x14ac:dyDescent="0.35">
      <c r="A38">
        <v>2022</v>
      </c>
      <c r="B38" t="s">
        <v>28</v>
      </c>
      <c r="C38" t="s">
        <v>73</v>
      </c>
      <c r="D38" s="9">
        <v>244.05581713000001</v>
      </c>
      <c r="E38">
        <v>0.70581000000000005</v>
      </c>
      <c r="F38" t="s">
        <v>74</v>
      </c>
      <c r="G38" s="9">
        <v>242.80580032</v>
      </c>
      <c r="H38">
        <v>0.71745999999999999</v>
      </c>
      <c r="I38" s="12">
        <f t="shared" si="0"/>
        <v>-7.3599999999999994</v>
      </c>
    </row>
    <row r="39" spans="1:9" x14ac:dyDescent="0.35">
      <c r="A39">
        <v>2022</v>
      </c>
      <c r="B39" t="s">
        <v>27</v>
      </c>
      <c r="C39" t="s">
        <v>71</v>
      </c>
      <c r="D39" s="9">
        <v>242.80580032</v>
      </c>
      <c r="E39">
        <v>0.71745999999999999</v>
      </c>
      <c r="F39" t="s">
        <v>72</v>
      </c>
      <c r="G39" s="9">
        <v>242.80580032</v>
      </c>
      <c r="H39">
        <v>0.69018999999999997</v>
      </c>
      <c r="I39" s="12">
        <f t="shared" si="0"/>
        <v>13.379999999999999</v>
      </c>
    </row>
    <row r="40" spans="1:9" x14ac:dyDescent="0.35">
      <c r="A40">
        <v>2022</v>
      </c>
      <c r="B40" t="s">
        <v>26</v>
      </c>
      <c r="C40" t="s">
        <v>69</v>
      </c>
      <c r="D40" s="9">
        <v>242.80580032</v>
      </c>
      <c r="E40">
        <v>0.69020999999999999</v>
      </c>
      <c r="F40" t="s">
        <v>70</v>
      </c>
      <c r="G40" s="9">
        <v>242.80580032</v>
      </c>
      <c r="H40">
        <v>0.69881000000000004</v>
      </c>
      <c r="I40" s="12">
        <f t="shared" si="0"/>
        <v>-4.33</v>
      </c>
    </row>
    <row r="41" spans="1:9" x14ac:dyDescent="0.35">
      <c r="A41">
        <v>2022</v>
      </c>
      <c r="B41" t="s">
        <v>25</v>
      </c>
      <c r="C41" t="s">
        <v>67</v>
      </c>
      <c r="D41" s="9">
        <v>242.80580032</v>
      </c>
      <c r="E41">
        <v>0.69881000000000004</v>
      </c>
      <c r="F41" t="s">
        <v>68</v>
      </c>
      <c r="G41" s="9">
        <v>242.80580032</v>
      </c>
      <c r="H41">
        <v>0.68532000000000004</v>
      </c>
      <c r="I41" s="12">
        <f t="shared" si="0"/>
        <v>6.84</v>
      </c>
    </row>
    <row r="42" spans="1:9" x14ac:dyDescent="0.35">
      <c r="A42">
        <v>2022</v>
      </c>
      <c r="B42" t="s">
        <v>24</v>
      </c>
      <c r="C42" t="s">
        <v>65</v>
      </c>
      <c r="D42" s="9">
        <v>242.80580032</v>
      </c>
      <c r="E42">
        <v>0.68532999999999999</v>
      </c>
      <c r="F42" t="s">
        <v>66</v>
      </c>
      <c r="G42" s="9">
        <v>242.80580032</v>
      </c>
      <c r="H42">
        <v>0.64783999999999997</v>
      </c>
      <c r="I42" s="12">
        <f t="shared" si="0"/>
        <v>20.51</v>
      </c>
    </row>
    <row r="43" spans="1:9" x14ac:dyDescent="0.35">
      <c r="A43">
        <v>2022</v>
      </c>
      <c r="B43" t="s">
        <v>23</v>
      </c>
      <c r="C43" t="s">
        <v>63</v>
      </c>
      <c r="D43" s="9">
        <v>242.80580032</v>
      </c>
      <c r="E43">
        <v>0.64783999999999997</v>
      </c>
      <c r="F43" t="s">
        <v>64</v>
      </c>
      <c r="G43" s="9">
        <v>242.80580032</v>
      </c>
      <c r="H43">
        <v>0.63688</v>
      </c>
      <c r="I43" s="12">
        <f t="shared" ref="I43:I81" si="1">ROUNDUP((G43/H43)-(D43/E43),2)</f>
        <v>6.45</v>
      </c>
    </row>
    <row r="44" spans="1:9" x14ac:dyDescent="0.35">
      <c r="A44">
        <v>2022</v>
      </c>
      <c r="B44" t="s">
        <v>22</v>
      </c>
      <c r="C44" t="s">
        <v>61</v>
      </c>
      <c r="D44" s="9">
        <v>242.80580032</v>
      </c>
      <c r="E44">
        <v>0.63690999999999998</v>
      </c>
      <c r="F44" t="s">
        <v>62</v>
      </c>
      <c r="G44" s="9">
        <v>242.80580032</v>
      </c>
      <c r="H44">
        <v>0.67135</v>
      </c>
      <c r="I44" s="12">
        <f t="shared" si="1"/>
        <v>-19.560000000000002</v>
      </c>
    </row>
    <row r="45" spans="1:9" x14ac:dyDescent="0.35">
      <c r="A45">
        <v>2022</v>
      </c>
      <c r="B45" t="s">
        <v>21</v>
      </c>
      <c r="C45" t="s">
        <v>59</v>
      </c>
      <c r="D45" s="9">
        <v>242.80580032</v>
      </c>
      <c r="E45">
        <v>0.67132999999999998</v>
      </c>
      <c r="F45" t="s">
        <v>60</v>
      </c>
      <c r="G45" s="9">
        <v>242.80580032</v>
      </c>
      <c r="H45">
        <v>0.68125999999999998</v>
      </c>
      <c r="I45" s="12">
        <f t="shared" si="1"/>
        <v>-5.2799999999999994</v>
      </c>
    </row>
    <row r="46" spans="1:9" x14ac:dyDescent="0.35">
      <c r="A46">
        <v>2023</v>
      </c>
      <c r="B46" t="s">
        <v>12</v>
      </c>
      <c r="C46" t="s">
        <v>57</v>
      </c>
      <c r="D46" s="9">
        <v>242.80580032</v>
      </c>
      <c r="E46">
        <v>0.68125999999999998</v>
      </c>
      <c r="F46" t="s">
        <v>58</v>
      </c>
      <c r="G46" s="9">
        <v>242.80580032</v>
      </c>
      <c r="H46">
        <v>0.70255999999999996</v>
      </c>
      <c r="I46" s="12">
        <f t="shared" si="1"/>
        <v>-10.81</v>
      </c>
    </row>
    <row r="47" spans="1:9" x14ac:dyDescent="0.35">
      <c r="A47">
        <v>2023</v>
      </c>
      <c r="B47" t="s">
        <v>31</v>
      </c>
      <c r="C47" t="s">
        <v>55</v>
      </c>
      <c r="D47" s="9">
        <v>242.80580032</v>
      </c>
      <c r="E47">
        <v>0.70257000000000003</v>
      </c>
      <c r="F47" t="s">
        <v>56</v>
      </c>
      <c r="G47" s="9">
        <v>242.80580032</v>
      </c>
      <c r="H47">
        <v>0.67415000000000003</v>
      </c>
      <c r="I47" s="12">
        <f t="shared" si="1"/>
        <v>14.57</v>
      </c>
    </row>
    <row r="48" spans="1:9" x14ac:dyDescent="0.35">
      <c r="A48">
        <v>2023</v>
      </c>
      <c r="B48" t="s">
        <v>30</v>
      </c>
      <c r="C48" t="s">
        <v>53</v>
      </c>
      <c r="D48" s="9">
        <v>242.80580032</v>
      </c>
      <c r="E48">
        <v>0.67413999999999996</v>
      </c>
      <c r="F48" t="s">
        <v>54</v>
      </c>
      <c r="G48" s="9">
        <v>249.2589084</v>
      </c>
      <c r="H48">
        <v>0.67054000000000002</v>
      </c>
      <c r="I48" s="12">
        <f t="shared" si="1"/>
        <v>11.56</v>
      </c>
    </row>
    <row r="49" spans="1:10" x14ac:dyDescent="0.35">
      <c r="A49">
        <v>2023</v>
      </c>
      <c r="B49" t="s">
        <v>29</v>
      </c>
      <c r="C49" t="s">
        <v>51</v>
      </c>
      <c r="D49" s="9">
        <v>249.2589084</v>
      </c>
      <c r="E49">
        <v>0.67061000000000004</v>
      </c>
      <c r="F49" t="s">
        <v>52</v>
      </c>
      <c r="G49" s="9">
        <v>256.03865798999999</v>
      </c>
      <c r="H49">
        <v>0.66112000000000004</v>
      </c>
      <c r="I49" s="12">
        <f t="shared" si="1"/>
        <v>15.6</v>
      </c>
    </row>
    <row r="50" spans="1:10" x14ac:dyDescent="0.35">
      <c r="A50">
        <v>2023</v>
      </c>
      <c r="B50" t="s">
        <v>28</v>
      </c>
      <c r="C50" t="s">
        <v>49</v>
      </c>
      <c r="D50" s="9">
        <v>256.03865798999999</v>
      </c>
      <c r="E50">
        <v>0.66112000000000004</v>
      </c>
      <c r="F50" t="s">
        <v>50</v>
      </c>
      <c r="G50" s="9">
        <v>256.03865798999999</v>
      </c>
      <c r="H50">
        <v>0.64881999999999995</v>
      </c>
      <c r="I50" s="12">
        <f t="shared" si="1"/>
        <v>7.35</v>
      </c>
    </row>
    <row r="51" spans="1:10" x14ac:dyDescent="0.35">
      <c r="A51">
        <v>2023</v>
      </c>
      <c r="B51" t="s">
        <v>27</v>
      </c>
      <c r="C51" t="s">
        <v>47</v>
      </c>
      <c r="D51" s="9">
        <v>256.03865798999999</v>
      </c>
      <c r="E51">
        <v>0.64883999999999997</v>
      </c>
      <c r="F51" t="s">
        <v>48</v>
      </c>
      <c r="G51" s="9">
        <v>249.20449120999999</v>
      </c>
      <c r="H51">
        <v>0.66498000000000002</v>
      </c>
      <c r="I51" s="12">
        <f t="shared" si="1"/>
        <v>-19.860000000000003</v>
      </c>
    </row>
    <row r="52" spans="1:10" x14ac:dyDescent="0.35">
      <c r="A52">
        <v>2023</v>
      </c>
      <c r="B52" t="s">
        <v>26</v>
      </c>
      <c r="C52" t="s">
        <v>45</v>
      </c>
      <c r="D52" s="9">
        <v>249.20449120999999</v>
      </c>
      <c r="E52">
        <v>0.66501999999999994</v>
      </c>
      <c r="F52" t="s">
        <v>46</v>
      </c>
      <c r="G52" s="9">
        <v>237.77049126</v>
      </c>
      <c r="H52">
        <v>0.67169999999999996</v>
      </c>
      <c r="I52" s="12">
        <f t="shared" si="1"/>
        <v>-20.75</v>
      </c>
    </row>
    <row r="53" spans="1:10" x14ac:dyDescent="0.35">
      <c r="A53">
        <v>2023</v>
      </c>
      <c r="B53" t="s">
        <v>25</v>
      </c>
      <c r="C53" t="s">
        <v>43</v>
      </c>
      <c r="D53" s="9">
        <v>237.77049126</v>
      </c>
      <c r="E53">
        <v>0.67173000000000005</v>
      </c>
      <c r="F53" t="s">
        <v>44</v>
      </c>
      <c r="G53" s="9">
        <v>239.25050242</v>
      </c>
      <c r="H53">
        <v>0.64768000000000003</v>
      </c>
      <c r="I53" s="12">
        <f t="shared" si="1"/>
        <v>15.43</v>
      </c>
    </row>
    <row r="54" spans="1:10" x14ac:dyDescent="0.35">
      <c r="A54">
        <v>2023</v>
      </c>
      <c r="B54" t="s">
        <v>24</v>
      </c>
      <c r="C54" t="s">
        <v>41</v>
      </c>
      <c r="D54" s="9">
        <v>239.25050242</v>
      </c>
      <c r="E54">
        <v>0.64768999999999999</v>
      </c>
      <c r="F54" t="s">
        <v>42</v>
      </c>
      <c r="G54" s="9">
        <v>239.25050242</v>
      </c>
      <c r="H54">
        <v>0.64285000000000003</v>
      </c>
      <c r="I54" s="12">
        <f t="shared" si="1"/>
        <v>2.7899999999999996</v>
      </c>
    </row>
    <row r="55" spans="1:10" x14ac:dyDescent="0.35">
      <c r="A55">
        <v>2023</v>
      </c>
      <c r="B55" t="s">
        <v>23</v>
      </c>
      <c r="C55" t="s">
        <v>39</v>
      </c>
      <c r="D55" s="9">
        <v>239.25050242</v>
      </c>
      <c r="E55">
        <v>0.64285000000000003</v>
      </c>
      <c r="F55" t="s">
        <v>40</v>
      </c>
      <c r="G55" s="9">
        <v>239.25050242</v>
      </c>
      <c r="H55">
        <v>0.63365000000000005</v>
      </c>
      <c r="I55" s="12">
        <f t="shared" si="1"/>
        <v>5.41</v>
      </c>
    </row>
    <row r="56" spans="1:10" x14ac:dyDescent="0.35">
      <c r="A56">
        <v>2023</v>
      </c>
      <c r="B56" t="s">
        <v>22</v>
      </c>
      <c r="C56" t="s">
        <v>36</v>
      </c>
      <c r="D56" s="9">
        <v>239.25050242</v>
      </c>
      <c r="E56">
        <v>0.63365000000000005</v>
      </c>
      <c r="F56" t="s">
        <v>38</v>
      </c>
      <c r="G56" s="9">
        <v>239.25050242</v>
      </c>
      <c r="H56">
        <v>0.65905999999999998</v>
      </c>
      <c r="I56" s="12">
        <f t="shared" si="1"/>
        <v>-14.56</v>
      </c>
    </row>
    <row r="57" spans="1:10" x14ac:dyDescent="0.35">
      <c r="A57">
        <v>2023</v>
      </c>
      <c r="B57" t="s">
        <v>21</v>
      </c>
      <c r="C57" t="s">
        <v>32</v>
      </c>
      <c r="D57" s="9">
        <v>239.25050242</v>
      </c>
      <c r="E57">
        <v>0.65905999999999998</v>
      </c>
      <c r="F57" t="s">
        <v>33</v>
      </c>
      <c r="G57" s="9">
        <v>239.25050242</v>
      </c>
      <c r="H57">
        <v>0.68078000000000005</v>
      </c>
      <c r="I57" s="12">
        <f t="shared" si="1"/>
        <v>-11.59</v>
      </c>
    </row>
    <row r="58" spans="1:10" x14ac:dyDescent="0.35">
      <c r="A58">
        <v>2024</v>
      </c>
      <c r="B58" t="s">
        <v>12</v>
      </c>
      <c r="C58" t="s">
        <v>15</v>
      </c>
      <c r="D58" s="16">
        <v>239.25050242</v>
      </c>
      <c r="E58">
        <v>0.68078000000000005</v>
      </c>
      <c r="F58" t="s">
        <v>16</v>
      </c>
      <c r="G58" s="16">
        <v>238.45588192</v>
      </c>
      <c r="H58">
        <v>0.65956000000000004</v>
      </c>
      <c r="I58" s="12">
        <f t="shared" si="1"/>
        <v>10.11</v>
      </c>
    </row>
    <row r="59" spans="1:10" x14ac:dyDescent="0.35">
      <c r="A59">
        <v>2024</v>
      </c>
      <c r="B59" t="s">
        <v>31</v>
      </c>
      <c r="C59" s="14"/>
      <c r="D59" s="16">
        <v>238.45588192</v>
      </c>
      <c r="E59">
        <v>0.65961999999999998</v>
      </c>
      <c r="F59" s="14"/>
      <c r="G59" s="9">
        <v>238.14165249999999</v>
      </c>
      <c r="H59">
        <v>0.65115000000000001</v>
      </c>
      <c r="I59" s="12">
        <f t="shared" si="1"/>
        <v>4.22</v>
      </c>
      <c r="J59" t="s">
        <v>150</v>
      </c>
    </row>
    <row r="60" spans="1:10" x14ac:dyDescent="0.35">
      <c r="A60">
        <v>2024</v>
      </c>
      <c r="B60" t="s">
        <v>30</v>
      </c>
      <c r="C60" s="14"/>
      <c r="D60" s="16">
        <v>241.83464609000001</v>
      </c>
      <c r="E60">
        <v>0.65115000000000001</v>
      </c>
      <c r="F60" s="14"/>
      <c r="G60" s="16">
        <v>232.82229254000001</v>
      </c>
      <c r="H60">
        <v>0.65159999999999996</v>
      </c>
      <c r="I60" s="12">
        <f t="shared" si="1"/>
        <v>-14.09</v>
      </c>
    </row>
    <row r="61" spans="1:10" x14ac:dyDescent="0.35">
      <c r="A61">
        <v>2024</v>
      </c>
      <c r="B61" t="s">
        <v>29</v>
      </c>
      <c r="C61" s="14"/>
      <c r="D61" s="16">
        <v>232.82229254000001</v>
      </c>
      <c r="E61">
        <v>0.65178000000000003</v>
      </c>
      <c r="F61" s="14"/>
      <c r="G61" s="16">
        <v>232.73782012000001</v>
      </c>
      <c r="H61">
        <v>0.64920999999999995</v>
      </c>
      <c r="I61" s="12">
        <f t="shared" si="1"/>
        <v>1.29</v>
      </c>
    </row>
    <row r="62" spans="1:10" x14ac:dyDescent="0.35">
      <c r="A62">
        <v>2024</v>
      </c>
      <c r="B62" t="s">
        <v>28</v>
      </c>
      <c r="C62" s="14"/>
      <c r="D62" s="16">
        <v>232.73782012000001</v>
      </c>
      <c r="E62">
        <v>0.64917999999999998</v>
      </c>
      <c r="F62" s="14"/>
      <c r="G62" s="16">
        <v>232.73782012000001</v>
      </c>
      <c r="H62">
        <v>0.66656000000000004</v>
      </c>
      <c r="I62" s="12">
        <f t="shared" si="1"/>
        <v>-9.35</v>
      </c>
    </row>
    <row r="63" spans="1:10" x14ac:dyDescent="0.35">
      <c r="A63">
        <v>2024</v>
      </c>
      <c r="B63" t="s">
        <v>153</v>
      </c>
      <c r="C63" s="14"/>
      <c r="D63" s="16">
        <v>232.73782012000001</v>
      </c>
      <c r="E63">
        <v>0.66657</v>
      </c>
      <c r="F63" s="14"/>
      <c r="G63" s="16">
        <v>234.47341012000001</v>
      </c>
      <c r="H63">
        <v>0.66693999999999998</v>
      </c>
      <c r="I63" s="12">
        <f t="shared" si="1"/>
        <v>2.4099999999999997</v>
      </c>
    </row>
    <row r="64" spans="1:10" x14ac:dyDescent="0.35">
      <c r="A64">
        <v>2024</v>
      </c>
      <c r="B64" t="s">
        <v>154</v>
      </c>
      <c r="C64" s="14"/>
      <c r="D64">
        <v>234.47341012000001</v>
      </c>
      <c r="E64">
        <v>0.66693999999999998</v>
      </c>
      <c r="F64" s="14"/>
      <c r="G64" s="16">
        <v>234.47341012000001</v>
      </c>
      <c r="H64">
        <v>0.65315000000000001</v>
      </c>
      <c r="I64" s="3">
        <f t="shared" si="1"/>
        <v>7.43</v>
      </c>
    </row>
    <row r="65" spans="1:10" x14ac:dyDescent="0.35">
      <c r="A65">
        <v>2024</v>
      </c>
      <c r="B65" t="s">
        <v>25</v>
      </c>
      <c r="C65" s="14"/>
      <c r="D65">
        <f>G64</f>
        <v>234.47341012000001</v>
      </c>
      <c r="E65">
        <f>H64</f>
        <v>0.65315000000000001</v>
      </c>
      <c r="F65" s="14"/>
      <c r="G65">
        <v>229.48085026000001</v>
      </c>
      <c r="H65">
        <v>0.67652000000000001</v>
      </c>
      <c r="I65" s="3">
        <f t="shared" si="1"/>
        <v>-19.790000000000003</v>
      </c>
    </row>
    <row r="66" spans="1:10" x14ac:dyDescent="0.35">
      <c r="A66">
        <v>2024</v>
      </c>
      <c r="B66" t="s">
        <v>24</v>
      </c>
      <c r="C66" s="14"/>
      <c r="D66">
        <f>G65</f>
        <v>229.48085026000001</v>
      </c>
      <c r="E66">
        <f>H65</f>
        <v>0.67652000000000001</v>
      </c>
      <c r="F66" s="14"/>
      <c r="G66" s="18">
        <v>227.29823124999999</v>
      </c>
      <c r="H66">
        <v>0.69332000000000005</v>
      </c>
      <c r="I66" s="3">
        <f t="shared" si="1"/>
        <v>-11.37</v>
      </c>
    </row>
    <row r="67" spans="1:10" x14ac:dyDescent="0.35">
      <c r="A67">
        <v>2024</v>
      </c>
      <c r="B67" t="s">
        <v>23</v>
      </c>
      <c r="C67" s="14"/>
      <c r="D67">
        <f t="shared" ref="D67:D76" si="2">G66</f>
        <v>227.29823124999999</v>
      </c>
      <c r="E67">
        <v>0.69327000000000005</v>
      </c>
      <c r="F67" s="14"/>
      <c r="G67" s="18">
        <v>226.06221982</v>
      </c>
      <c r="H67">
        <v>0.65483999999999998</v>
      </c>
      <c r="I67" s="3">
        <f t="shared" si="1"/>
        <v>17.360000000000003</v>
      </c>
    </row>
    <row r="68" spans="1:10" x14ac:dyDescent="0.35">
      <c r="A68">
        <v>2024</v>
      </c>
      <c r="B68" t="s">
        <v>22</v>
      </c>
      <c r="C68" s="14"/>
      <c r="D68">
        <f t="shared" si="2"/>
        <v>226.06221982</v>
      </c>
      <c r="E68">
        <f>H67</f>
        <v>0.65483999999999998</v>
      </c>
      <c r="F68" s="14"/>
      <c r="G68">
        <v>236.68507413</v>
      </c>
      <c r="H68">
        <v>0.65142</v>
      </c>
      <c r="I68" s="3">
        <f t="shared" si="1"/>
        <v>18.12</v>
      </c>
    </row>
    <row r="69" spans="1:10" x14ac:dyDescent="0.35">
      <c r="A69">
        <v>2024</v>
      </c>
      <c r="B69" t="s">
        <v>21</v>
      </c>
      <c r="C69" s="14"/>
      <c r="D69">
        <f t="shared" si="2"/>
        <v>236.68507413</v>
      </c>
      <c r="E69">
        <f>H68</f>
        <v>0.65142</v>
      </c>
      <c r="F69" s="14"/>
      <c r="G69">
        <v>234.36150000000001</v>
      </c>
      <c r="H69">
        <v>0.63599000000000006</v>
      </c>
      <c r="I69" s="3">
        <f t="shared" si="1"/>
        <v>5.17</v>
      </c>
      <c r="J69" t="s">
        <v>163</v>
      </c>
    </row>
    <row r="70" spans="1:10" x14ac:dyDescent="0.35">
      <c r="A70">
        <v>2024</v>
      </c>
      <c r="B70" t="s">
        <v>21</v>
      </c>
      <c r="C70" s="14"/>
      <c r="D70">
        <f t="shared" si="2"/>
        <v>234.36150000000001</v>
      </c>
      <c r="E70" s="22">
        <v>0.625473236960291</v>
      </c>
      <c r="F70" s="14"/>
      <c r="G70">
        <v>234.36150000000001</v>
      </c>
      <c r="H70">
        <v>0.62002999999999997</v>
      </c>
      <c r="I70" s="3">
        <f t="shared" si="1"/>
        <v>3.2899999999999996</v>
      </c>
    </row>
    <row r="71" spans="1:10" x14ac:dyDescent="0.35">
      <c r="A71">
        <v>2025</v>
      </c>
      <c r="B71" t="s">
        <v>12</v>
      </c>
      <c r="C71" s="14"/>
      <c r="D71">
        <f t="shared" si="2"/>
        <v>234.36150000000001</v>
      </c>
      <c r="E71">
        <f t="shared" ref="E71:E85" si="3">H70</f>
        <v>0.62002999999999997</v>
      </c>
      <c r="F71" s="14"/>
      <c r="G71">
        <v>231.22982794999999</v>
      </c>
      <c r="H71">
        <v>0.62200999999999995</v>
      </c>
      <c r="I71" s="3">
        <f t="shared" si="1"/>
        <v>-6.24</v>
      </c>
    </row>
    <row r="72" spans="1:10" x14ac:dyDescent="0.35">
      <c r="A72">
        <v>2025</v>
      </c>
      <c r="B72" t="s">
        <v>31</v>
      </c>
      <c r="C72" s="14"/>
      <c r="D72">
        <f t="shared" si="2"/>
        <v>231.22982794999999</v>
      </c>
      <c r="E72">
        <f t="shared" si="3"/>
        <v>0.62200999999999995</v>
      </c>
      <c r="F72" s="14"/>
      <c r="G72">
        <v>229.05871307000001</v>
      </c>
      <c r="H72">
        <v>0.62124999999999997</v>
      </c>
      <c r="I72" s="3">
        <f t="shared" si="1"/>
        <v>-3.0399999999999996</v>
      </c>
    </row>
    <row r="73" spans="1:10" x14ac:dyDescent="0.35">
      <c r="A73">
        <v>2025</v>
      </c>
      <c r="B73" t="s">
        <v>30</v>
      </c>
      <c r="C73" s="14"/>
      <c r="D73">
        <f t="shared" si="2"/>
        <v>229.05871307000001</v>
      </c>
      <c r="E73">
        <f t="shared" si="3"/>
        <v>0.62124999999999997</v>
      </c>
      <c r="F73" s="14"/>
      <c r="G73">
        <v>229.05871307000001</v>
      </c>
      <c r="H73">
        <v>0.62295</v>
      </c>
      <c r="I73" s="3">
        <f t="shared" si="1"/>
        <v>-1.01</v>
      </c>
    </row>
    <row r="74" spans="1:10" x14ac:dyDescent="0.35">
      <c r="A74">
        <v>2025</v>
      </c>
      <c r="B74" t="s">
        <v>29</v>
      </c>
      <c r="C74" s="14"/>
      <c r="D74">
        <f t="shared" si="2"/>
        <v>229.05871307000001</v>
      </c>
      <c r="E74">
        <f t="shared" si="3"/>
        <v>0.62295</v>
      </c>
      <c r="F74" s="14"/>
      <c r="G74">
        <v>233.60980000000001</v>
      </c>
      <c r="H74">
        <v>0.63583000000000001</v>
      </c>
      <c r="I74" s="3">
        <f t="shared" si="1"/>
        <v>-0.3</v>
      </c>
    </row>
    <row r="75" spans="1:10" x14ac:dyDescent="0.35">
      <c r="A75">
        <v>2025</v>
      </c>
      <c r="B75" t="s">
        <v>28</v>
      </c>
      <c r="C75" s="14"/>
      <c r="D75">
        <f t="shared" si="2"/>
        <v>233.60980000000001</v>
      </c>
      <c r="E75">
        <f t="shared" si="3"/>
        <v>0.63583000000000001</v>
      </c>
      <c r="F75" s="14"/>
      <c r="G75">
        <v>234.7073</v>
      </c>
      <c r="H75">
        <v>0.64327000000000001</v>
      </c>
      <c r="I75" s="3">
        <f t="shared" si="1"/>
        <v>-2.5499999999999998</v>
      </c>
    </row>
    <row r="76" spans="1:10" x14ac:dyDescent="0.35">
      <c r="A76">
        <v>2025</v>
      </c>
      <c r="B76" t="s">
        <v>27</v>
      </c>
      <c r="C76" s="14"/>
      <c r="D76">
        <f t="shared" si="2"/>
        <v>234.7073</v>
      </c>
      <c r="E76">
        <f t="shared" si="3"/>
        <v>0.64327000000000001</v>
      </c>
      <c r="F76" s="14"/>
      <c r="G76">
        <v>238.82140000000001</v>
      </c>
      <c r="H76">
        <v>0.65437999999999996</v>
      </c>
      <c r="I76" s="3">
        <f t="shared" si="1"/>
        <v>9.9999999999999992E-2</v>
      </c>
    </row>
    <row r="77" spans="1:10" x14ac:dyDescent="0.35">
      <c r="A77">
        <v>2025</v>
      </c>
      <c r="B77" t="s">
        <v>26</v>
      </c>
      <c r="C77" s="14"/>
      <c r="D77">
        <f t="shared" ref="D77:D82" si="4">G76</f>
        <v>238.82140000000001</v>
      </c>
      <c r="E77">
        <f t="shared" si="3"/>
        <v>0.65437999999999996</v>
      </c>
      <c r="F77" s="14"/>
      <c r="G77">
        <v>233.92770945000001</v>
      </c>
      <c r="H77">
        <v>0.64344999999999997</v>
      </c>
      <c r="I77" s="3">
        <f t="shared" si="1"/>
        <v>-1.41</v>
      </c>
    </row>
    <row r="78" spans="1:10" x14ac:dyDescent="0.35">
      <c r="A78">
        <v>2025</v>
      </c>
      <c r="B78" t="s">
        <v>25</v>
      </c>
      <c r="C78" s="14"/>
      <c r="D78">
        <f t="shared" si="4"/>
        <v>233.92770945000001</v>
      </c>
      <c r="E78">
        <f t="shared" si="3"/>
        <v>0.64344999999999997</v>
      </c>
      <c r="F78" s="14"/>
      <c r="G78">
        <v>227.51360439000001</v>
      </c>
      <c r="H78">
        <v>0.65359999999999996</v>
      </c>
      <c r="I78" s="3">
        <f t="shared" si="1"/>
        <v>-15.459999999999999</v>
      </c>
    </row>
    <row r="79" spans="1:10" x14ac:dyDescent="0.35">
      <c r="A79">
        <v>2025</v>
      </c>
      <c r="B79" t="s">
        <v>24</v>
      </c>
      <c r="C79" s="14"/>
      <c r="D79">
        <f t="shared" si="4"/>
        <v>227.51360439000001</v>
      </c>
      <c r="E79">
        <f t="shared" si="3"/>
        <v>0.65359999999999996</v>
      </c>
      <c r="F79" s="14"/>
      <c r="G79">
        <v>231.96001952</v>
      </c>
      <c r="H79">
        <v>0.66188999999999998</v>
      </c>
      <c r="I79" s="3">
        <f t="shared" si="1"/>
        <v>2.36</v>
      </c>
    </row>
    <row r="80" spans="1:10" x14ac:dyDescent="0.35">
      <c r="A80">
        <v>2025</v>
      </c>
      <c r="B80" t="s">
        <v>23</v>
      </c>
      <c r="C80" s="14"/>
      <c r="D80">
        <f t="shared" si="4"/>
        <v>231.96001952</v>
      </c>
      <c r="E80">
        <f t="shared" si="3"/>
        <v>0.66188999999999998</v>
      </c>
      <c r="F80" s="14"/>
      <c r="G80">
        <v>224.87769878</v>
      </c>
      <c r="H80">
        <v>0.65466999999999997</v>
      </c>
      <c r="I80" s="3">
        <f t="shared" si="1"/>
        <v>-6.96</v>
      </c>
    </row>
    <row r="81" spans="1:9" x14ac:dyDescent="0.35">
      <c r="A81">
        <v>2025</v>
      </c>
      <c r="B81" t="s">
        <v>22</v>
      </c>
      <c r="C81" s="14"/>
      <c r="D81">
        <f t="shared" si="4"/>
        <v>224.87769878</v>
      </c>
      <c r="E81">
        <f t="shared" si="3"/>
        <v>0.65466999999999997</v>
      </c>
      <c r="F81" s="14"/>
      <c r="G81">
        <v>224.87769878</v>
      </c>
      <c r="H81">
        <v>0.65463000000000005</v>
      </c>
      <c r="I81" s="3">
        <f t="shared" si="1"/>
        <v>0.03</v>
      </c>
    </row>
    <row r="82" spans="1:9" x14ac:dyDescent="0.35">
      <c r="A82">
        <v>2025</v>
      </c>
      <c r="B82" t="s">
        <v>21</v>
      </c>
      <c r="C82" s="14"/>
      <c r="D82">
        <f t="shared" si="4"/>
        <v>224.87769878</v>
      </c>
      <c r="E82">
        <f t="shared" si="3"/>
        <v>0.65463000000000005</v>
      </c>
      <c r="F82" s="14"/>
      <c r="G82">
        <v>224.87769878</v>
      </c>
      <c r="H82">
        <v>0.66832999999999998</v>
      </c>
      <c r="I82" s="3">
        <f>ROUNDUP((G82/H82)-(D82/E82),2)</f>
        <v>-7.05</v>
      </c>
    </row>
    <row r="83" spans="1:9" x14ac:dyDescent="0.35">
      <c r="A83">
        <v>2026</v>
      </c>
      <c r="B83" t="s">
        <v>12</v>
      </c>
      <c r="C83" s="14"/>
      <c r="D83">
        <v>224.87769878</v>
      </c>
      <c r="E83">
        <f t="shared" si="3"/>
        <v>0.66832999999999998</v>
      </c>
      <c r="F83" s="14"/>
      <c r="G83">
        <v>224.87769878</v>
      </c>
      <c r="H83">
        <v>0.69610000000000005</v>
      </c>
      <c r="I83" s="3">
        <f>ROUNDUP((G83/H83)-(D83/E83),2)</f>
        <v>-13.43</v>
      </c>
    </row>
    <row r="84" spans="1:9" x14ac:dyDescent="0.35">
      <c r="A84">
        <v>2026</v>
      </c>
      <c r="B84" t="s">
        <v>31</v>
      </c>
      <c r="C84" s="14"/>
      <c r="D84">
        <v>224.87769878</v>
      </c>
      <c r="E84">
        <f t="shared" si="3"/>
        <v>0.69610000000000005</v>
      </c>
      <c r="F84" s="14"/>
      <c r="G84">
        <v>224.87769878</v>
      </c>
      <c r="H84">
        <v>0.70806999999999998</v>
      </c>
      <c r="I84" s="3">
        <f>ROUNDUP((G84/H84)-(D84/E84),2)</f>
        <v>-5.47</v>
      </c>
    </row>
    <row r="85" spans="1:9" x14ac:dyDescent="0.35">
      <c r="A85">
        <v>2026</v>
      </c>
      <c r="B85" t="s">
        <v>30</v>
      </c>
      <c r="C85" s="14"/>
      <c r="D85">
        <f t="shared" ref="D85" si="5">G84</f>
        <v>224.87769878</v>
      </c>
      <c r="E85">
        <f t="shared" si="3"/>
        <v>0.70806999999999998</v>
      </c>
      <c r="F85" s="14"/>
      <c r="G85">
        <v>224.87769878</v>
      </c>
      <c r="H85">
        <v>0.68840999999999997</v>
      </c>
      <c r="I85" s="3">
        <f>ROUNDUP((G85/H85)-(D85/E85),2)</f>
        <v>9.07</v>
      </c>
    </row>
    <row r="86" spans="1:9" x14ac:dyDescent="0.35">
      <c r="A86">
        <v>2026</v>
      </c>
      <c r="B86" t="s">
        <v>29</v>
      </c>
      <c r="C86" s="14"/>
      <c r="F86" s="14"/>
    </row>
    <row r="87" spans="1:9" x14ac:dyDescent="0.35">
      <c r="A87">
        <v>2026</v>
      </c>
      <c r="B87" t="s">
        <v>28</v>
      </c>
      <c r="C87" s="14"/>
      <c r="F87" s="14"/>
    </row>
    <row r="88" spans="1:9" x14ac:dyDescent="0.35">
      <c r="A88">
        <v>2026</v>
      </c>
      <c r="B88" t="s">
        <v>153</v>
      </c>
      <c r="C88" s="14"/>
      <c r="F88" s="14"/>
    </row>
    <row r="89" spans="1:9" x14ac:dyDescent="0.35">
      <c r="A89">
        <v>2026</v>
      </c>
      <c r="B89" t="s">
        <v>154</v>
      </c>
      <c r="C89" s="14"/>
      <c r="F89" s="14"/>
    </row>
    <row r="90" spans="1:9" x14ac:dyDescent="0.35">
      <c r="A90">
        <v>2026</v>
      </c>
      <c r="B90" t="s">
        <v>25</v>
      </c>
      <c r="C90" s="14"/>
      <c r="F90" s="14"/>
    </row>
    <row r="91" spans="1:9" x14ac:dyDescent="0.35">
      <c r="A91">
        <v>2026</v>
      </c>
      <c r="B91" t="s">
        <v>24</v>
      </c>
      <c r="C91" s="14"/>
      <c r="F91" s="14"/>
    </row>
    <row r="92" spans="1:9" x14ac:dyDescent="0.35">
      <c r="A92">
        <v>2026</v>
      </c>
      <c r="B92" t="s">
        <v>23</v>
      </c>
      <c r="C92" s="14"/>
      <c r="F92" s="14"/>
    </row>
    <row r="93" spans="1:9" x14ac:dyDescent="0.35">
      <c r="A93">
        <v>2026</v>
      </c>
      <c r="B93" t="s">
        <v>22</v>
      </c>
      <c r="C93" s="14"/>
      <c r="F93" s="14"/>
    </row>
    <row r="94" spans="1:9" x14ac:dyDescent="0.35">
      <c r="A94">
        <v>2026</v>
      </c>
      <c r="B94" t="s">
        <v>21</v>
      </c>
      <c r="C94" s="14"/>
      <c r="F94" s="14"/>
    </row>
  </sheetData>
  <phoneticPr fontId="5" type="noConversion"/>
  <conditionalFormatting sqref="I3:I1048576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5D6B-95B0-43CC-ADEC-8DDCC12AB53A}">
  <sheetPr codeName="Sheet6"/>
  <dimension ref="A2:J17"/>
  <sheetViews>
    <sheetView workbookViewId="0">
      <selection activeCell="B5" sqref="B5"/>
    </sheetView>
  </sheetViews>
  <sheetFormatPr defaultRowHeight="14.5" x14ac:dyDescent="0.35"/>
  <cols>
    <col min="1" max="1" width="37" bestFit="1" customWidth="1"/>
    <col min="2" max="2" width="28.7265625" bestFit="1" customWidth="1"/>
    <col min="3" max="3" width="19.54296875" bestFit="1" customWidth="1"/>
    <col min="4" max="4" width="50.453125" bestFit="1" customWidth="1"/>
  </cols>
  <sheetData>
    <row r="2" spans="1:10" x14ac:dyDescent="0.35">
      <c r="A2" t="s">
        <v>3</v>
      </c>
      <c r="B2" s="7">
        <f ca="1">TODAY()+TIME(10,0,0)</f>
        <v>46117.416666666664</v>
      </c>
    </row>
    <row r="3" spans="1:10" x14ac:dyDescent="0.35">
      <c r="A3" t="s">
        <v>9</v>
      </c>
      <c r="B3" s="7">
        <f ca="1">B2-0.291666667</f>
        <v>46117.124999999665</v>
      </c>
      <c r="C3" t="s">
        <v>1</v>
      </c>
    </row>
    <row r="4" spans="1:10" x14ac:dyDescent="0.35">
      <c r="A4" t="s">
        <v>8</v>
      </c>
      <c r="B4" s="7">
        <f ca="1">B2-0.333333333</f>
        <v>46117.083333333663</v>
      </c>
      <c r="C4" t="s">
        <v>1</v>
      </c>
    </row>
    <row r="5" spans="1:10" x14ac:dyDescent="0.35">
      <c r="A5" t="s">
        <v>2</v>
      </c>
      <c r="B5" s="7">
        <f ca="1">B2-0.416666667</f>
        <v>46116.999999999665</v>
      </c>
      <c r="C5" t="s">
        <v>10</v>
      </c>
    </row>
    <row r="6" spans="1:10" x14ac:dyDescent="0.35">
      <c r="A6" t="s">
        <v>4</v>
      </c>
      <c r="B6" s="7">
        <f ca="1">B7-0.041666667</f>
        <v>46116.749999999665</v>
      </c>
    </row>
    <row r="7" spans="1:10" x14ac:dyDescent="0.35">
      <c r="A7" t="s">
        <v>5</v>
      </c>
      <c r="B7" s="7">
        <f ca="1">B2-0.625</f>
        <v>46116.791666666664</v>
      </c>
    </row>
    <row r="8" spans="1:10" x14ac:dyDescent="0.35">
      <c r="D8" t="s">
        <v>158</v>
      </c>
    </row>
    <row r="10" spans="1:10" x14ac:dyDescent="0.35">
      <c r="C10" s="8"/>
    </row>
    <row r="12" spans="1:10" x14ac:dyDescent="0.35">
      <c r="A12" t="s">
        <v>6</v>
      </c>
      <c r="B12" t="s">
        <v>7</v>
      </c>
    </row>
    <row r="13" spans="1:10" x14ac:dyDescent="0.35">
      <c r="A13" s="6">
        <v>44269</v>
      </c>
      <c r="B13" s="6">
        <v>44507</v>
      </c>
    </row>
    <row r="14" spans="1:10" x14ac:dyDescent="0.35">
      <c r="A14" s="6">
        <v>44633</v>
      </c>
      <c r="B14" s="6">
        <v>44871</v>
      </c>
    </row>
    <row r="15" spans="1:10" x14ac:dyDescent="0.35">
      <c r="A15" s="6">
        <v>44997</v>
      </c>
      <c r="B15" s="6">
        <v>45235</v>
      </c>
    </row>
    <row r="16" spans="1:10" x14ac:dyDescent="0.35">
      <c r="A16" s="6">
        <v>45362</v>
      </c>
      <c r="B16" s="6">
        <v>45600</v>
      </c>
      <c r="I16" s="19"/>
      <c r="J16" s="8"/>
    </row>
    <row r="17" spans="1:10" x14ac:dyDescent="0.35">
      <c r="A17" s="6">
        <v>45726</v>
      </c>
      <c r="B17" s="6">
        <v>45964</v>
      </c>
      <c r="I17" s="19"/>
      <c r="J17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78F9-553C-4313-A398-710F6E2D8182}">
  <sheetPr codeName="Sheet7"/>
  <dimension ref="A1:I53"/>
  <sheetViews>
    <sheetView zoomScale="90" zoomScaleNormal="90" workbookViewId="0">
      <pane ySplit="1" topLeftCell="A35" activePane="bottomLeft" state="frozen"/>
      <selection pane="bottomLeft" activeCell="A48" sqref="A48"/>
    </sheetView>
  </sheetViews>
  <sheetFormatPr defaultColWidth="8.7265625" defaultRowHeight="14.5" x14ac:dyDescent="0.35"/>
  <cols>
    <col min="1" max="1" width="9.1796875" customWidth="1"/>
    <col min="2" max="2" width="6.54296875" bestFit="1" customWidth="1"/>
    <col min="3" max="3" width="29.453125" bestFit="1" customWidth="1"/>
    <col min="4" max="4" width="23.54296875" bestFit="1" customWidth="1"/>
    <col min="5" max="5" width="21.54296875" bestFit="1" customWidth="1"/>
    <col min="6" max="6" width="29.453125" bestFit="1" customWidth="1"/>
    <col min="7" max="7" width="17.1796875" bestFit="1" customWidth="1"/>
    <col min="8" max="8" width="21.453125" bestFit="1" customWidth="1"/>
    <col min="9" max="9" width="27.453125" style="3" bestFit="1" customWidth="1"/>
  </cols>
  <sheetData>
    <row r="1" spans="1:9" x14ac:dyDescent="0.35">
      <c r="A1" t="s">
        <v>14</v>
      </c>
      <c r="B1" t="s">
        <v>11</v>
      </c>
      <c r="C1" t="s">
        <v>19</v>
      </c>
      <c r="D1" t="s">
        <v>151</v>
      </c>
      <c r="E1" t="s">
        <v>34</v>
      </c>
      <c r="F1" t="s">
        <v>37</v>
      </c>
      <c r="G1" t="s">
        <v>152</v>
      </c>
      <c r="H1" t="s">
        <v>35</v>
      </c>
      <c r="I1" t="s">
        <v>20</v>
      </c>
    </row>
    <row r="2" spans="1:9" x14ac:dyDescent="0.35">
      <c r="I2"/>
    </row>
    <row r="3" spans="1:9" x14ac:dyDescent="0.35">
      <c r="A3">
        <v>2021</v>
      </c>
      <c r="B3" t="s">
        <v>30</v>
      </c>
      <c r="C3" t="s">
        <v>147</v>
      </c>
      <c r="D3" s="15">
        <v>1975</v>
      </c>
      <c r="E3">
        <v>0.77576000000000001</v>
      </c>
      <c r="F3" t="s">
        <v>148</v>
      </c>
      <c r="G3" s="15">
        <v>2000</v>
      </c>
      <c r="H3">
        <v>0.76371</v>
      </c>
      <c r="I3" s="3">
        <f>ROUND((G3/H3)-(D3/E3),2)</f>
        <v>72.900000000000006</v>
      </c>
    </row>
    <row r="4" spans="1:9" x14ac:dyDescent="0.35">
      <c r="A4">
        <v>2021</v>
      </c>
      <c r="B4" t="s">
        <v>30</v>
      </c>
      <c r="C4" t="s">
        <v>148</v>
      </c>
      <c r="D4" s="15">
        <v>2000</v>
      </c>
      <c r="E4">
        <v>0.76371</v>
      </c>
      <c r="F4" t="s">
        <v>102</v>
      </c>
      <c r="G4" s="15">
        <v>2000</v>
      </c>
      <c r="H4">
        <v>0.76190999999999998</v>
      </c>
      <c r="I4" s="3">
        <f>ROUND(((G4/H4)-(D4/E4))-7.37,2)</f>
        <v>-1.18</v>
      </c>
    </row>
    <row r="5" spans="1:9" x14ac:dyDescent="0.35">
      <c r="A5">
        <v>2021</v>
      </c>
      <c r="B5" t="s">
        <v>29</v>
      </c>
      <c r="C5" t="s">
        <v>99</v>
      </c>
      <c r="D5" s="15">
        <v>2000</v>
      </c>
      <c r="E5">
        <v>0.76193999999999995</v>
      </c>
      <c r="F5" t="s">
        <v>100</v>
      </c>
      <c r="G5" s="10">
        <v>2008.06</v>
      </c>
      <c r="H5">
        <v>0.77558000000000005</v>
      </c>
      <c r="I5" s="3">
        <f t="shared" ref="I5:I44" si="0">ROUND(((G5/H5)-(D5/E5))-7.37,2)</f>
        <v>-43.14</v>
      </c>
    </row>
    <row r="6" spans="1:9" x14ac:dyDescent="0.35">
      <c r="A6">
        <v>2021</v>
      </c>
      <c r="B6" t="s">
        <v>28</v>
      </c>
      <c r="C6" t="s">
        <v>97</v>
      </c>
      <c r="D6" s="10">
        <v>2008.06</v>
      </c>
      <c r="E6">
        <v>0.77558000000000005</v>
      </c>
      <c r="F6" t="s">
        <v>98</v>
      </c>
      <c r="G6" s="10">
        <v>1994.69</v>
      </c>
      <c r="H6">
        <v>0.77393999999999996</v>
      </c>
      <c r="I6" s="3">
        <f t="shared" si="0"/>
        <v>-19.16</v>
      </c>
    </row>
    <row r="7" spans="1:9" x14ac:dyDescent="0.35">
      <c r="A7">
        <v>2021</v>
      </c>
      <c r="B7" t="s">
        <v>27</v>
      </c>
      <c r="C7" t="s">
        <v>95</v>
      </c>
      <c r="D7" s="10">
        <v>1994.69</v>
      </c>
      <c r="E7">
        <v>0.77395000000000003</v>
      </c>
      <c r="F7" t="s">
        <v>96</v>
      </c>
      <c r="G7" s="10">
        <v>1972.09</v>
      </c>
      <c r="H7">
        <v>0.75024999999999997</v>
      </c>
      <c r="I7" s="3">
        <f t="shared" si="0"/>
        <v>43.92</v>
      </c>
    </row>
    <row r="8" spans="1:9" x14ac:dyDescent="0.35">
      <c r="A8">
        <v>2021</v>
      </c>
      <c r="B8" t="s">
        <v>26</v>
      </c>
      <c r="C8" t="s">
        <v>93</v>
      </c>
      <c r="D8" s="10">
        <v>1972.09</v>
      </c>
      <c r="E8">
        <v>0.75024999999999997</v>
      </c>
      <c r="F8" t="s">
        <v>94</v>
      </c>
      <c r="G8" s="15">
        <v>1976.8</v>
      </c>
      <c r="H8">
        <v>0.73414999999999997</v>
      </c>
      <c r="I8" s="3">
        <f t="shared" si="0"/>
        <v>56.69</v>
      </c>
    </row>
    <row r="9" spans="1:9" x14ac:dyDescent="0.35">
      <c r="A9">
        <v>2021</v>
      </c>
      <c r="B9" t="s">
        <v>25</v>
      </c>
      <c r="C9" t="s">
        <v>91</v>
      </c>
      <c r="D9" s="9">
        <v>1976.8</v>
      </c>
      <c r="E9">
        <v>0.73414999999999997</v>
      </c>
      <c r="F9" t="s">
        <v>92</v>
      </c>
      <c r="G9" s="15">
        <v>1942.47</v>
      </c>
      <c r="H9">
        <v>0.73101000000000005</v>
      </c>
      <c r="I9" s="3">
        <f t="shared" si="0"/>
        <v>-42.77</v>
      </c>
    </row>
    <row r="10" spans="1:9" x14ac:dyDescent="0.35">
      <c r="A10">
        <v>2021</v>
      </c>
      <c r="B10" t="s">
        <v>24</v>
      </c>
      <c r="C10" t="s">
        <v>89</v>
      </c>
      <c r="D10" s="11">
        <v>1942.47</v>
      </c>
      <c r="E10">
        <v>0.73101000000000005</v>
      </c>
      <c r="F10" t="s">
        <v>90</v>
      </c>
      <c r="G10" s="9">
        <v>1942.49</v>
      </c>
      <c r="H10">
        <v>0.72233000000000003</v>
      </c>
      <c r="I10" s="3">
        <f t="shared" si="0"/>
        <v>24.59</v>
      </c>
    </row>
    <row r="11" spans="1:9" x14ac:dyDescent="0.35">
      <c r="A11">
        <v>2021</v>
      </c>
      <c r="B11" t="s">
        <v>23</v>
      </c>
      <c r="C11" t="s">
        <v>87</v>
      </c>
      <c r="D11" s="11">
        <v>1942.49</v>
      </c>
      <c r="E11">
        <v>0.72233000000000003</v>
      </c>
      <c r="F11" t="s">
        <v>88</v>
      </c>
      <c r="G11" s="9">
        <v>1931.09</v>
      </c>
      <c r="H11">
        <v>0.75190999999999997</v>
      </c>
      <c r="I11" s="3">
        <f t="shared" si="0"/>
        <v>-128.32</v>
      </c>
    </row>
    <row r="12" spans="1:9" x14ac:dyDescent="0.35">
      <c r="A12">
        <v>2021</v>
      </c>
      <c r="B12" t="s">
        <v>22</v>
      </c>
      <c r="C12" t="s">
        <v>85</v>
      </c>
      <c r="D12" s="11">
        <v>1931.09</v>
      </c>
      <c r="E12">
        <v>0.75190999999999997</v>
      </c>
      <c r="F12" t="s">
        <v>86</v>
      </c>
      <c r="G12" s="9">
        <v>1874</v>
      </c>
      <c r="H12">
        <v>0.71516000000000002</v>
      </c>
      <c r="I12" s="3">
        <f t="shared" si="0"/>
        <v>44.78</v>
      </c>
    </row>
    <row r="13" spans="1:9" x14ac:dyDescent="0.35">
      <c r="A13">
        <v>2021</v>
      </c>
      <c r="B13" t="s">
        <v>21</v>
      </c>
      <c r="C13" t="s">
        <v>83</v>
      </c>
      <c r="D13" s="11">
        <v>1874</v>
      </c>
      <c r="E13">
        <v>0.71518000000000004</v>
      </c>
      <c r="F13" t="s">
        <v>84</v>
      </c>
      <c r="G13" s="9">
        <v>1872.1</v>
      </c>
      <c r="H13">
        <v>0.72572999999999999</v>
      </c>
      <c r="I13" s="3">
        <f t="shared" si="0"/>
        <v>-48.08</v>
      </c>
    </row>
    <row r="14" spans="1:9" x14ac:dyDescent="0.35">
      <c r="A14">
        <v>2022</v>
      </c>
      <c r="B14" t="s">
        <v>12</v>
      </c>
      <c r="C14" t="s">
        <v>81</v>
      </c>
      <c r="D14" s="9">
        <v>1872.1</v>
      </c>
      <c r="E14">
        <v>0.72572999999999999</v>
      </c>
      <c r="F14" t="s">
        <v>82</v>
      </c>
      <c r="G14" s="9">
        <v>1872.1</v>
      </c>
      <c r="H14">
        <v>0.70669000000000004</v>
      </c>
      <c r="I14" s="3">
        <f t="shared" si="0"/>
        <v>62.13</v>
      </c>
    </row>
    <row r="15" spans="1:9" x14ac:dyDescent="0.35">
      <c r="A15">
        <v>2022</v>
      </c>
      <c r="B15" t="s">
        <v>31</v>
      </c>
      <c r="C15" t="s">
        <v>79</v>
      </c>
      <c r="D15" s="9">
        <v>1872.1</v>
      </c>
      <c r="E15">
        <v>0.70669000000000004</v>
      </c>
      <c r="F15" t="s">
        <v>80</v>
      </c>
      <c r="G15" s="9">
        <v>1872.12</v>
      </c>
      <c r="H15">
        <v>0.72311000000000003</v>
      </c>
      <c r="I15" s="3">
        <f t="shared" si="0"/>
        <v>-67.5</v>
      </c>
    </row>
    <row r="16" spans="1:9" x14ac:dyDescent="0.35">
      <c r="A16">
        <v>2022</v>
      </c>
      <c r="B16" t="s">
        <v>30</v>
      </c>
      <c r="C16" t="s">
        <v>77</v>
      </c>
      <c r="D16" s="9">
        <v>1872.12</v>
      </c>
      <c r="E16">
        <v>0.72311000000000003</v>
      </c>
      <c r="F16" t="s">
        <v>78</v>
      </c>
      <c r="G16" s="9">
        <v>1872.13</v>
      </c>
      <c r="H16">
        <v>0.74985000000000002</v>
      </c>
      <c r="I16" s="3">
        <f t="shared" si="0"/>
        <v>-99.68</v>
      </c>
    </row>
    <row r="17" spans="1:9" x14ac:dyDescent="0.35">
      <c r="A17">
        <v>2022</v>
      </c>
      <c r="B17" t="s">
        <v>29</v>
      </c>
      <c r="C17" t="s">
        <v>75</v>
      </c>
      <c r="D17" s="9">
        <v>1872.13</v>
      </c>
      <c r="E17">
        <v>0.74985999999999997</v>
      </c>
      <c r="F17" t="s">
        <v>76</v>
      </c>
      <c r="G17" s="9">
        <v>1872.15</v>
      </c>
      <c r="H17">
        <v>0.70581000000000005</v>
      </c>
      <c r="I17" s="3">
        <f t="shared" si="0"/>
        <v>148.47999999999999</v>
      </c>
    </row>
    <row r="18" spans="1:9" x14ac:dyDescent="0.35">
      <c r="A18">
        <v>2022</v>
      </c>
      <c r="B18" t="s">
        <v>28</v>
      </c>
      <c r="C18" t="s">
        <v>73</v>
      </c>
      <c r="D18" s="9">
        <v>1872.15</v>
      </c>
      <c r="E18">
        <v>0.70581000000000005</v>
      </c>
      <c r="F18" t="s">
        <v>74</v>
      </c>
      <c r="G18" s="9">
        <v>1891.42</v>
      </c>
      <c r="H18">
        <v>0.71745999999999999</v>
      </c>
      <c r="I18" s="3">
        <f t="shared" si="0"/>
        <v>-23.58</v>
      </c>
    </row>
    <row r="19" spans="1:9" x14ac:dyDescent="0.35">
      <c r="A19">
        <v>2022</v>
      </c>
      <c r="B19" t="s">
        <v>27</v>
      </c>
      <c r="C19" t="s">
        <v>71</v>
      </c>
      <c r="D19" s="11">
        <v>1891.42</v>
      </c>
      <c r="E19">
        <v>0.71745999999999999</v>
      </c>
      <c r="F19" t="s">
        <v>72</v>
      </c>
      <c r="G19" s="9">
        <v>1896.1</v>
      </c>
      <c r="H19">
        <v>0.69018999999999997</v>
      </c>
      <c r="I19" s="3">
        <f t="shared" si="0"/>
        <v>103.57</v>
      </c>
    </row>
    <row r="20" spans="1:9" x14ac:dyDescent="0.35">
      <c r="A20">
        <v>2022</v>
      </c>
      <c r="B20" t="s">
        <v>26</v>
      </c>
      <c r="C20" t="s">
        <v>69</v>
      </c>
      <c r="D20" s="11">
        <v>1896.1</v>
      </c>
      <c r="E20">
        <v>0.69020999999999999</v>
      </c>
      <c r="F20" t="s">
        <v>70</v>
      </c>
      <c r="G20" s="9">
        <v>1883.23</v>
      </c>
      <c r="H20">
        <v>0.69881000000000004</v>
      </c>
      <c r="I20" s="3">
        <f t="shared" si="0"/>
        <v>-59.6</v>
      </c>
    </row>
    <row r="21" spans="1:9" x14ac:dyDescent="0.35">
      <c r="A21">
        <v>2022</v>
      </c>
      <c r="B21" t="s">
        <v>25</v>
      </c>
      <c r="C21" t="s">
        <v>67</v>
      </c>
      <c r="D21" s="9">
        <v>1883.23</v>
      </c>
      <c r="E21">
        <v>0.69881000000000004</v>
      </c>
      <c r="F21" t="s">
        <v>68</v>
      </c>
      <c r="G21" s="9">
        <v>1883.25</v>
      </c>
      <c r="H21">
        <v>0.68532000000000004</v>
      </c>
      <c r="I21" s="3">
        <f t="shared" si="0"/>
        <v>45.71</v>
      </c>
    </row>
    <row r="22" spans="1:9" x14ac:dyDescent="0.35">
      <c r="A22">
        <v>2022</v>
      </c>
      <c r="B22" t="s">
        <v>24</v>
      </c>
      <c r="C22" t="s">
        <v>65</v>
      </c>
      <c r="D22" s="9">
        <v>1883.25</v>
      </c>
      <c r="E22">
        <v>0.68532999999999999</v>
      </c>
      <c r="F22" t="s">
        <v>66</v>
      </c>
      <c r="G22" s="9">
        <v>1883.27</v>
      </c>
      <c r="H22">
        <v>0.64783999999999997</v>
      </c>
      <c r="I22" s="3">
        <f t="shared" si="0"/>
        <v>151.68</v>
      </c>
    </row>
    <row r="23" spans="1:9" x14ac:dyDescent="0.35">
      <c r="A23">
        <v>2022</v>
      </c>
      <c r="B23" t="s">
        <v>23</v>
      </c>
      <c r="C23" t="s">
        <v>63</v>
      </c>
      <c r="D23" s="9">
        <v>1883.27</v>
      </c>
      <c r="E23">
        <v>0.64783999999999997</v>
      </c>
      <c r="F23" t="s">
        <v>64</v>
      </c>
      <c r="G23" s="9">
        <v>1883.29</v>
      </c>
      <c r="H23">
        <v>0.63688</v>
      </c>
      <c r="I23" s="3">
        <f t="shared" si="0"/>
        <v>42.69</v>
      </c>
    </row>
    <row r="24" spans="1:9" x14ac:dyDescent="0.35">
      <c r="A24">
        <v>2022</v>
      </c>
      <c r="B24" t="s">
        <v>22</v>
      </c>
      <c r="C24" t="s">
        <v>61</v>
      </c>
      <c r="D24" s="9">
        <v>1883.29</v>
      </c>
      <c r="E24">
        <v>0.63690999999999998</v>
      </c>
      <c r="F24" t="s">
        <v>62</v>
      </c>
      <c r="G24" s="9">
        <v>1883.31</v>
      </c>
      <c r="H24">
        <v>0.67135</v>
      </c>
      <c r="I24" s="3">
        <f t="shared" si="0"/>
        <v>-159.03</v>
      </c>
    </row>
    <row r="25" spans="1:9" x14ac:dyDescent="0.35">
      <c r="A25">
        <v>2022</v>
      </c>
      <c r="B25" t="s">
        <v>21</v>
      </c>
      <c r="C25" t="s">
        <v>59</v>
      </c>
      <c r="D25" s="9">
        <v>1883.31</v>
      </c>
      <c r="E25">
        <v>0.67132999999999998</v>
      </c>
      <c r="F25" t="s">
        <v>60</v>
      </c>
      <c r="G25" s="9">
        <v>1883.33</v>
      </c>
      <c r="H25">
        <v>0.68125999999999998</v>
      </c>
      <c r="I25" s="3">
        <f t="shared" si="0"/>
        <v>-48.23</v>
      </c>
    </row>
    <row r="26" spans="1:9" x14ac:dyDescent="0.35">
      <c r="A26">
        <v>2023</v>
      </c>
      <c r="B26" t="s">
        <v>12</v>
      </c>
      <c r="C26" t="s">
        <v>57</v>
      </c>
      <c r="D26" s="9">
        <v>1883.33</v>
      </c>
      <c r="E26">
        <v>0.68125999999999998</v>
      </c>
      <c r="F26" t="s">
        <v>58</v>
      </c>
      <c r="G26" s="9">
        <v>1883.33</v>
      </c>
      <c r="H26">
        <v>0.70255999999999996</v>
      </c>
      <c r="I26" s="3">
        <f t="shared" si="0"/>
        <v>-91.18</v>
      </c>
    </row>
    <row r="27" spans="1:9" x14ac:dyDescent="0.35">
      <c r="A27">
        <v>2023</v>
      </c>
      <c r="B27" t="s">
        <v>31</v>
      </c>
      <c r="C27" t="s">
        <v>55</v>
      </c>
      <c r="D27" s="9">
        <v>1883.33</v>
      </c>
      <c r="E27">
        <v>0.70257000000000003</v>
      </c>
      <c r="F27" t="s">
        <v>56</v>
      </c>
      <c r="G27" s="9">
        <v>1883.35</v>
      </c>
      <c r="H27">
        <v>0.67415000000000003</v>
      </c>
      <c r="I27" s="3">
        <f t="shared" si="0"/>
        <v>105.67</v>
      </c>
    </row>
    <row r="28" spans="1:9" x14ac:dyDescent="0.35">
      <c r="A28">
        <v>2023</v>
      </c>
      <c r="B28" t="s">
        <v>30</v>
      </c>
      <c r="C28" t="s">
        <v>53</v>
      </c>
      <c r="D28" s="9">
        <v>1883.35</v>
      </c>
      <c r="E28">
        <v>0.67413999999999996</v>
      </c>
      <c r="F28" t="s">
        <v>54</v>
      </c>
      <c r="G28" s="9">
        <v>1896.65</v>
      </c>
      <c r="H28">
        <v>0.67054000000000002</v>
      </c>
      <c r="I28" s="3">
        <f t="shared" si="0"/>
        <v>27.46</v>
      </c>
    </row>
    <row r="29" spans="1:9" x14ac:dyDescent="0.35">
      <c r="A29">
        <v>2023</v>
      </c>
      <c r="B29" t="s">
        <v>29</v>
      </c>
      <c r="C29" t="s">
        <v>51</v>
      </c>
      <c r="D29" s="9">
        <v>1896.65</v>
      </c>
      <c r="E29">
        <v>0.67061000000000004</v>
      </c>
      <c r="F29" t="s">
        <v>52</v>
      </c>
      <c r="G29" s="9">
        <v>1910.8</v>
      </c>
      <c r="H29">
        <v>0.66112000000000004</v>
      </c>
      <c r="I29" s="3">
        <f t="shared" si="0"/>
        <v>54.63</v>
      </c>
    </row>
    <row r="30" spans="1:9" x14ac:dyDescent="0.35">
      <c r="A30">
        <v>2023</v>
      </c>
      <c r="B30" t="s">
        <v>28</v>
      </c>
      <c r="C30" t="s">
        <v>49</v>
      </c>
      <c r="D30" s="9">
        <v>1910.8</v>
      </c>
      <c r="E30">
        <v>0.66112000000000004</v>
      </c>
      <c r="F30" t="s">
        <v>50</v>
      </c>
      <c r="G30" s="9">
        <v>1902.63</v>
      </c>
      <c r="H30">
        <v>0.64881999999999995</v>
      </c>
      <c r="I30" s="3">
        <f t="shared" si="0"/>
        <v>34.83</v>
      </c>
    </row>
    <row r="31" spans="1:9" x14ac:dyDescent="0.35">
      <c r="A31">
        <v>2023</v>
      </c>
      <c r="B31" t="s">
        <v>27</v>
      </c>
      <c r="C31" t="s">
        <v>47</v>
      </c>
      <c r="D31" s="9">
        <v>1902.63</v>
      </c>
      <c r="E31">
        <v>0.64883999999999997</v>
      </c>
      <c r="F31" t="s">
        <v>48</v>
      </c>
      <c r="G31" s="9">
        <v>1897.39</v>
      </c>
      <c r="H31">
        <v>0.66498000000000002</v>
      </c>
      <c r="I31" s="3">
        <f t="shared" si="0"/>
        <v>-86.42</v>
      </c>
    </row>
    <row r="32" spans="1:9" x14ac:dyDescent="0.35">
      <c r="A32">
        <v>2023</v>
      </c>
      <c r="B32" t="s">
        <v>26</v>
      </c>
      <c r="C32" t="s">
        <v>45</v>
      </c>
      <c r="D32" s="9">
        <v>1897.39</v>
      </c>
      <c r="E32">
        <v>0.66501999999999994</v>
      </c>
      <c r="F32" t="s">
        <v>46</v>
      </c>
      <c r="G32" s="9">
        <v>1857.99</v>
      </c>
      <c r="H32">
        <v>0.67169999999999996</v>
      </c>
      <c r="I32" s="3">
        <f t="shared" si="0"/>
        <v>-94.4</v>
      </c>
    </row>
    <row r="33" spans="1:9" x14ac:dyDescent="0.35">
      <c r="A33">
        <v>2023</v>
      </c>
      <c r="B33" t="s">
        <v>25</v>
      </c>
      <c r="C33" t="s">
        <v>43</v>
      </c>
      <c r="D33" s="9">
        <v>1857.99</v>
      </c>
      <c r="E33">
        <v>0.67173000000000005</v>
      </c>
      <c r="F33" t="s">
        <v>44</v>
      </c>
      <c r="G33" s="9">
        <v>1827.02</v>
      </c>
      <c r="H33">
        <v>0.64768000000000003</v>
      </c>
      <c r="I33" s="3">
        <f t="shared" si="0"/>
        <v>47.52</v>
      </c>
    </row>
    <row r="34" spans="1:9" x14ac:dyDescent="0.35">
      <c r="A34">
        <v>2023</v>
      </c>
      <c r="B34" t="s">
        <v>24</v>
      </c>
      <c r="C34" t="s">
        <v>41</v>
      </c>
      <c r="D34" s="9">
        <v>1827.02</v>
      </c>
      <c r="E34">
        <v>0.64768999999999999</v>
      </c>
      <c r="F34" t="s">
        <v>42</v>
      </c>
      <c r="G34" s="9">
        <v>1796.13</v>
      </c>
      <c r="H34">
        <v>0.64285000000000003</v>
      </c>
      <c r="I34" s="3">
        <f t="shared" si="0"/>
        <v>-34.18</v>
      </c>
    </row>
    <row r="35" spans="1:9" x14ac:dyDescent="0.35">
      <c r="A35">
        <v>2023</v>
      </c>
      <c r="B35" t="s">
        <v>23</v>
      </c>
      <c r="C35" t="s">
        <v>39</v>
      </c>
      <c r="D35" s="9">
        <v>1796.13</v>
      </c>
      <c r="E35">
        <v>0.64285000000000003</v>
      </c>
      <c r="F35" t="s">
        <v>40</v>
      </c>
      <c r="G35" s="9">
        <v>1795.59</v>
      </c>
      <c r="H35">
        <v>0.63365000000000005</v>
      </c>
      <c r="I35" s="3">
        <f t="shared" si="0"/>
        <v>32.340000000000003</v>
      </c>
    </row>
    <row r="36" spans="1:9" x14ac:dyDescent="0.35">
      <c r="A36">
        <v>2023</v>
      </c>
      <c r="B36" t="s">
        <v>22</v>
      </c>
      <c r="C36" t="s">
        <v>36</v>
      </c>
      <c r="D36" s="9">
        <v>1795.59</v>
      </c>
      <c r="E36">
        <v>0.63365000000000005</v>
      </c>
      <c r="F36" t="s">
        <v>38</v>
      </c>
      <c r="G36" s="9">
        <v>1809.55</v>
      </c>
      <c r="H36">
        <v>0.65905999999999998</v>
      </c>
      <c r="I36" s="3">
        <f t="shared" si="0"/>
        <v>-95.44</v>
      </c>
    </row>
    <row r="37" spans="1:9" x14ac:dyDescent="0.35">
      <c r="A37">
        <v>2023</v>
      </c>
      <c r="B37" t="s">
        <v>21</v>
      </c>
      <c r="C37" t="s">
        <v>32</v>
      </c>
      <c r="D37" s="9">
        <v>1809.55</v>
      </c>
      <c r="E37">
        <v>0.65905999999999998</v>
      </c>
      <c r="F37" t="s">
        <v>33</v>
      </c>
      <c r="G37" s="9">
        <v>1809.57</v>
      </c>
      <c r="H37">
        <v>0.68078000000000005</v>
      </c>
      <c r="I37" s="3">
        <f t="shared" si="0"/>
        <v>-94.94</v>
      </c>
    </row>
    <row r="38" spans="1:9" x14ac:dyDescent="0.35">
      <c r="A38">
        <v>2024</v>
      </c>
      <c r="B38" t="s">
        <v>12</v>
      </c>
      <c r="C38" t="s">
        <v>15</v>
      </c>
      <c r="D38" s="9">
        <v>1809.57</v>
      </c>
      <c r="E38">
        <v>0.68078000000000005</v>
      </c>
      <c r="F38" t="s">
        <v>16</v>
      </c>
      <c r="G38" s="16">
        <v>1820.35</v>
      </c>
      <c r="H38">
        <v>0.65956000000000004</v>
      </c>
      <c r="I38" s="3">
        <f t="shared" si="0"/>
        <v>94.49</v>
      </c>
    </row>
    <row r="39" spans="1:9" x14ac:dyDescent="0.35">
      <c r="A39">
        <v>2024</v>
      </c>
      <c r="B39" t="s">
        <v>31</v>
      </c>
      <c r="C39" t="s">
        <v>13</v>
      </c>
      <c r="D39">
        <v>1820.35</v>
      </c>
      <c r="E39">
        <v>0.65954999999999997</v>
      </c>
      <c r="F39" s="14"/>
      <c r="G39" s="16">
        <v>1820.37</v>
      </c>
      <c r="H39">
        <v>0.65115000000000001</v>
      </c>
      <c r="I39" s="3">
        <f t="shared" si="0"/>
        <v>28.27</v>
      </c>
    </row>
    <row r="40" spans="1:9" x14ac:dyDescent="0.35">
      <c r="A40">
        <v>2024</v>
      </c>
      <c r="B40" t="s">
        <v>30</v>
      </c>
      <c r="C40" s="14"/>
      <c r="D40" s="17">
        <v>1820.37</v>
      </c>
      <c r="E40">
        <v>0.65115000000000001</v>
      </c>
      <c r="F40" s="14"/>
      <c r="G40">
        <v>1820.38</v>
      </c>
      <c r="H40">
        <v>0.65159999999999996</v>
      </c>
      <c r="I40" s="3">
        <f t="shared" si="0"/>
        <v>-9.2899999999999991</v>
      </c>
    </row>
    <row r="41" spans="1:9" x14ac:dyDescent="0.35">
      <c r="A41">
        <v>2024</v>
      </c>
      <c r="B41" t="s">
        <v>29</v>
      </c>
      <c r="C41" s="14"/>
      <c r="D41">
        <v>1820.38</v>
      </c>
      <c r="E41">
        <v>0.65178000000000003</v>
      </c>
      <c r="F41" s="14"/>
      <c r="G41" s="17">
        <v>1820.4</v>
      </c>
      <c r="H41">
        <v>0.64920999999999995</v>
      </c>
      <c r="I41" s="3">
        <f t="shared" si="0"/>
        <v>3.72</v>
      </c>
    </row>
    <row r="42" spans="1:9" x14ac:dyDescent="0.35">
      <c r="A42">
        <v>2024</v>
      </c>
      <c r="B42" t="s">
        <v>28</v>
      </c>
      <c r="C42" s="14"/>
      <c r="D42" s="16">
        <v>1820.4</v>
      </c>
      <c r="E42">
        <v>0.64917999999999998</v>
      </c>
      <c r="F42" s="14"/>
      <c r="G42">
        <v>1820.42</v>
      </c>
      <c r="H42">
        <v>0.66656000000000004</v>
      </c>
      <c r="I42" s="3">
        <f t="shared" si="0"/>
        <v>-80.459999999999994</v>
      </c>
    </row>
    <row r="43" spans="1:9" x14ac:dyDescent="0.35">
      <c r="A43">
        <v>2024</v>
      </c>
      <c r="B43" t="s">
        <v>27</v>
      </c>
      <c r="C43" s="14"/>
      <c r="D43" s="16">
        <v>1820.42</v>
      </c>
      <c r="E43">
        <v>0.66657</v>
      </c>
      <c r="F43" s="14"/>
      <c r="G43" s="16">
        <v>1820.44</v>
      </c>
      <c r="H43">
        <v>0.66693999999999998</v>
      </c>
      <c r="I43" s="3">
        <f t="shared" si="0"/>
        <v>-8.86</v>
      </c>
    </row>
    <row r="44" spans="1:9" x14ac:dyDescent="0.35">
      <c r="A44">
        <v>2024</v>
      </c>
      <c r="B44" t="s">
        <v>26</v>
      </c>
      <c r="C44" s="14"/>
      <c r="D44" s="16">
        <f>G43</f>
        <v>1820.44</v>
      </c>
      <c r="E44">
        <v>0.66693999999999998</v>
      </c>
      <c r="F44" s="14"/>
      <c r="G44" s="16">
        <v>1820.46</v>
      </c>
      <c r="H44">
        <v>0.65315000000000001</v>
      </c>
      <c r="I44" s="3">
        <f t="shared" si="0"/>
        <v>50.29</v>
      </c>
    </row>
    <row r="45" spans="1:9" x14ac:dyDescent="0.35">
      <c r="A45">
        <v>2024</v>
      </c>
      <c r="B45" t="s">
        <v>25</v>
      </c>
      <c r="C45" s="14"/>
      <c r="D45" s="16">
        <f>G44</f>
        <v>1820.46</v>
      </c>
      <c r="E45">
        <f>H44</f>
        <v>0.65315000000000001</v>
      </c>
      <c r="F45" s="14"/>
      <c r="G45" s="16">
        <f>G44</f>
        <v>1820.46</v>
      </c>
      <c r="H45">
        <f>AVERAGE(0.65162,0.65127)</f>
        <v>0.65144500000000005</v>
      </c>
      <c r="I45" s="3">
        <f>ROUND(((G45/H45)-(D45/E45))-7.31,2)</f>
        <v>-0.02</v>
      </c>
    </row>
    <row r="51" spans="3:3" x14ac:dyDescent="0.35">
      <c r="C51" s="4"/>
    </row>
    <row r="52" spans="3:3" x14ac:dyDescent="0.35">
      <c r="C52" s="4"/>
    </row>
    <row r="53" spans="3:3" x14ac:dyDescent="0.35">
      <c r="C53" s="4"/>
    </row>
  </sheetData>
  <phoneticPr fontId="5" type="noConversion"/>
  <conditionalFormatting sqref="I3:I104857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05D93-E04E-4ABA-85FB-ED1030A6F8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MONTHLY AUDUSDT PL CRYPTO</vt:lpstr>
      <vt:lpstr>TIME DIFFERENCES</vt:lpstr>
      <vt:lpstr>MONTHLY AUDUSDT PL STOCKS OPT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A S</cp:lastModifiedBy>
  <cp:revision/>
  <dcterms:created xsi:type="dcterms:W3CDTF">2022-04-25T12:48:44Z</dcterms:created>
  <dcterms:modified xsi:type="dcterms:W3CDTF">2026-04-05T07:42:26Z</dcterms:modified>
  <cp:category/>
  <cp:contentStatus/>
</cp:coreProperties>
</file>