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3" autoFilterDateGrouping="1"/>
  </bookViews>
  <sheets>
    <sheet name="STATS1" sheetId="1" state="visible" r:id="rId1"/>
    <sheet name="STATS2" sheetId="2" state="visible" r:id="rId2"/>
    <sheet name="SYMBOLS" sheetId="3" state="visible" r:id="rId3"/>
    <sheet name="Trade Log" sheetId="4" state="visible" r:id="rId4"/>
    <sheet name="P&amp;L Calendar" sheetId="5" state="visible" r:id="rId5"/>
    <sheet name=" SIM" sheetId="6" state="visible" r:id="rId6"/>
    <sheet name="YEARLY REPORT" sheetId="7" state="visible" r:id="rId7"/>
    <sheet name="2018" sheetId="8" state="visible" r:id="rId8"/>
    <sheet name="2019" sheetId="9" state="visible" r:id="rId9"/>
    <sheet name="2020" sheetId="10" state="visible" r:id="rId10"/>
    <sheet name="2021" sheetId="11" state="visible" r:id="rId11"/>
    <sheet name="2022" sheetId="12" state="visible" r:id="rId12"/>
    <sheet name="2023" sheetId="13" state="visible" r:id="rId13"/>
    <sheet name="2024" sheetId="14" state="visible" r:id="rId14"/>
    <sheet name="2025" sheetId="15" state="visible" r:id="rId15"/>
    <sheet name="2026" sheetId="16" state="visible" r:id="rId16"/>
  </sheets>
  <definedNames>
    <definedName name="_CODEX_ACCOUNT_BALANCE_SOURCE_4C120812A73696BA998A" description="Codex Account Balances provenance" hidden="1">"{""source"":""cashflow_anchor_plus_trades"",""timeline_as_of"":""2020-10-26T00:00:00""}"</definedName>
    <definedName name="_CODEX_ACCOUNT_BALANCE_SOURCE_1D37ED12BCCB6C2C343F" description="Codex Account Balances provenance" hidden="1">"{""source"":""authoritative_trade_balance"",""timeline_as_of"":""2025-10-11T01:31:00""}"</definedName>
    <definedName name="_CODEX_ACCOUNT_BALANCE_SOURCE_926755F5B6E065E25C0D" description="Codex Account Balances provenance" hidden="1">"{""source"":""journal_recorded_balance_timeline"",""timeline_as_of"":""2026-10-19T17:15:01""}"</definedName>
    <definedName name="_CODEX_ACCOUNT_BALANCE_SOURCE_4758B2B9798E5D50D443" description="Codex Account Balances provenance" hidden="1">"{""source"":""authoritative_trade_balance"",""timeline_as_of"":""2026-08-01T05:00:01""}"</definedName>
    <definedName name="_CODEX_ACCOUNT_BALANCE_SOURCE_176B49DCD9409C5C8636" description="Codex Account Balances provenance" hidden="1">"{""source"":""authoritative_trade_balance"",""timeline_as_of"":""2025-11-06T11:28:13""}"</definedName>
    <definedName name="_CODEX_ACCOUNT_BALANCE_SOURCE_C3C0108FB95E612D3B4E" description="Codex Account Balances provenance" hidden="1">"{""source"":""authoritative_trade_balance"",""timeline_as_of"":""2026-10-15T17:05:20"",""account_identity"":""dd92b8014efc0346a494""}"</definedName>
    <definedName name="_CODEX_ACCOUNT_BALANCE_SOURCE_A821D8CAF7D5AD80B446" description="Codex Account Balances provenance" hidden="1">"{""source"":""authoritative_trade_balance"",""timeline_as_of"":""2025-07-28T22:08:00""}"</definedName>
    <definedName name="_xlnm._FilterDatabase" localSheetId="2" hidden="1">'SYMBOLS'!$A$2:$AV$123</definedName>
    <definedName name="_xlnm._FilterDatabase" localSheetId="3" hidden="1">'Trade Log'!$A$3:$AX$1568</definedName>
    <definedName name="_xlnm._FilterDatabase" localSheetId="4" hidden="1">'P&amp;L Calendar'!$A$1:$I$13</definedName>
  </definedNames>
  <calcPr calcId="191029"/>
</workbook>
</file>

<file path=xl/styles.xml><?xml version="1.0" encoding="utf-8"?>
<styleSheet xmlns="http://schemas.openxmlformats.org/spreadsheetml/2006/main">
  <numFmts count="36">
    <numFmt numFmtId="164" formatCode="0;\-0;;@"/>
    <numFmt numFmtId="165" formatCode="yyyy\-mm\-dd\ hh:mm:ss"/>
    <numFmt numFmtId="166" formatCode="#,##0.00\ &quot;AUD&quot;"/>
    <numFmt numFmtId="167" formatCode="#,##0.0000000000"/>
    <numFmt numFmtId="168" formatCode="0.0\ \R"/>
    <numFmt numFmtId="169" formatCode="0.00\ \R"/>
    <numFmt numFmtId="170" formatCode="0.0%"/>
    <numFmt numFmtId="171" formatCode="_(&quot;$&quot;* #,##0_);_(&quot;$&quot;* \(#,##0\);_(&quot;$&quot;* &quot;-&quot;??_);_(@_)"/>
    <numFmt numFmtId="172" formatCode="_-* #,##0.00_-;\-* #,##0.00_-;_-* &quot;-&quot;??_-;_-@_-"/>
    <numFmt numFmtId="173" formatCode="_(* #,##0.0000_);_(* \(#,##0.0000\);_(* &quot;-&quot;??_);_(@_)"/>
    <numFmt numFmtId="174" formatCode="0.000&quot;R&quot;"/>
    <numFmt numFmtId="175" formatCode="#,##0.########\ &quot;USDT&quot;"/>
    <numFmt numFmtId="176" formatCode="0.000%"/>
    <numFmt numFmtId="177" formatCode="#,##0.00\ &quot;USDT&quot;"/>
    <numFmt numFmtId="178" formatCode="0.000"/>
    <numFmt numFmtId="179" formatCode="0.00&quot;R&quot;"/>
    <numFmt numFmtId="180" formatCode="#,##0.000\ &quot;USDT&quot;"/>
    <numFmt numFmtId="181" formatCode="0.0000"/>
    <numFmt numFmtId="182" formatCode="0.0000%"/>
    <numFmt numFmtId="183" formatCode="0.00000"/>
    <numFmt numFmtId="184" formatCode="#,##0.000\ &quot;AUD&quot;"/>
    <numFmt numFmtId="185" formatCode="0.000000"/>
    <numFmt numFmtId="186" formatCode="0.00000%"/>
    <numFmt numFmtId="187" formatCode="#,##0.0000\ &quot;USDT&quot;"/>
    <numFmt numFmtId="188" formatCode="0.0000&quot;R&quot;"/>
    <numFmt numFmtId="189" formatCode="#,##0.######## &quot;USDT&quot;"/>
    <numFmt numFmtId="190" formatCode="#,##0.00 &quot;AUD&quot;"/>
    <numFmt numFmtId="191" formatCode="0;-0;;@"/>
    <numFmt numFmtId="192" formatCode="yyyy-mm-dd hh:mm:ss"/>
    <numFmt numFmtId="193" formatCode="#,##0.000 &quot;USDT&quot;"/>
    <numFmt numFmtId="194" formatCode="#,##0.00 &quot;USDT&quot;"/>
    <numFmt numFmtId="195" formatCode="#,##0.000 &quot;AUD&quot;"/>
    <numFmt numFmtId="196" formatCode="#,##0.0000 &quot;USDT&quot;"/>
    <numFmt numFmtId="197" formatCode="_(&quot;$&quot;* #,##0.00_);_(&quot;$&quot;* \(#,##0.00\);_(&quot;$&quot;* &quot;-&quot;??_);_(@_)"/>
    <numFmt numFmtId="198" formatCode="00\:00\:00\:00"/>
    <numFmt numFmtId="199" formatCode="yyyy-mm-dd h:mm:ss"/>
  </numFmts>
  <fonts count="52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rgb="FF000000"/>
      <sz val="11"/>
      <scheme val="minor"/>
    </font>
    <font>
      <name val="Calibri"/>
      <b val="1"/>
      <color rgb="FF000000"/>
      <sz val="11"/>
    </font>
    <font>
      <name val="Calibri"/>
      <b val="1"/>
      <color rgb="FF000000"/>
      <sz val="11"/>
    </font>
    <font>
      <name val="Calibri"/>
      <family val="2"/>
      <b val="1"/>
      <color rgb="FF000000"/>
      <sz val="11"/>
      <scheme val="minor"/>
    </font>
    <font>
      <name val="Calibri"/>
      <family val="2"/>
      <i val="1"/>
      <color rgb="FF000000"/>
      <sz val="11"/>
    </font>
    <font>
      <name val="Calibri"/>
      <b val="1"/>
      <sz val="11"/>
    </font>
    <font>
      <name val="Calibri"/>
      <family val="2"/>
      <color rgb="FF000000"/>
      <sz val="11"/>
      <scheme val="minor"/>
    </font>
    <font>
      <name val="Calibri"/>
      <b val="1"/>
      <sz val="11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000000"/>
      <sz val="11"/>
      <scheme val="minor"/>
    </font>
    <font>
      <name val="Calibri"/>
      <b val="1"/>
      <color rgb="FF9C0006"/>
      <sz val="11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Arial"/>
      <charset val="204"/>
      <family val="2"/>
      <sz val="10"/>
    </font>
    <font>
      <name val="Arial"/>
      <family val="2"/>
      <b val="1"/>
      <i val="1"/>
      <color rgb="FF0000FF"/>
      <sz val="11"/>
    </font>
    <font>
      <name val="Arial"/>
      <family val="2"/>
      <b val="1"/>
      <i val="1"/>
      <sz val="11"/>
    </font>
    <font>
      <name val="Calibri"/>
      <family val="2"/>
      <b val="1"/>
      <i val="1"/>
      <color theme="1"/>
      <sz val="11"/>
      <scheme val="minor"/>
    </font>
    <font>
      <name val="Arial"/>
      <charset val="204"/>
      <family val="2"/>
      <b val="1"/>
      <i val="1"/>
      <sz val="12"/>
    </font>
    <font>
      <name val="Arial"/>
      <charset val="204"/>
      <family val="2"/>
      <b val="1"/>
      <sz val="12"/>
    </font>
    <font>
      <name val="Arial"/>
      <charset val="204"/>
      <family val="2"/>
      <b val="1"/>
      <sz val="10"/>
    </font>
    <font>
      <name val="Calibri"/>
      <b val="1"/>
      <color rgb="FF006100"/>
      <sz val="11"/>
    </font>
    <font>
      <name val="Calibri"/>
      <b val="1"/>
      <sz val="11"/>
    </font>
    <font>
      <name val="Calibri"/>
      <family val="2"/>
      <b val="1"/>
      <color rgb="FF000000"/>
      <sz val="11"/>
    </font>
    <font>
      <name val="Calibri"/>
      <family val="2"/>
      <b val="1"/>
      <sz val="11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sz val="11"/>
    </font>
    <font>
      <name val="Calibri"/>
      <family val="2"/>
      <color rgb="FF0563C1"/>
      <sz val="11"/>
      <u val="single"/>
      <scheme val="minor"/>
    </font>
    <font>
      <name val="Calibri"/>
      <family val="2"/>
      <color rgb="FF0563C1"/>
      <sz val="11"/>
      <u val="single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color rgb="FF000000"/>
      <sz val="11"/>
    </font>
    <font>
      <name val="Calibri"/>
      <b val="1"/>
      <color rgb="FF9C0006"/>
      <sz val="11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color rgb="FF9C0006"/>
      <sz val="11"/>
    </font>
    <font>
      <name val="Calibri"/>
      <b val="1"/>
      <color rgb="FF9C0006"/>
      <sz val="11"/>
    </font>
    <font>
      <name val="Calibri"/>
      <b val="1"/>
      <color rgb="FF006100"/>
      <sz val="11"/>
    </font>
    <font>
      <name val="Calibri"/>
      <family val="2"/>
      <color rgb="FF0563C1"/>
      <sz val="11"/>
      <u val="single"/>
      <scheme val="minor"/>
    </font>
    <font>
      <name val="Calibri"/>
      <family val="2"/>
      <color rgb="FF0563C1"/>
      <sz val="11"/>
      <scheme val="minor"/>
    </font>
    <font>
      <name val="Calibri"/>
      <family val="2"/>
      <color rgb="00006100"/>
      <sz val="11"/>
      <scheme val="minor"/>
    </font>
    <font>
      <name val="Calibri"/>
      <family val="2"/>
      <color rgb="009C0006"/>
      <sz val="11"/>
      <scheme val="minor"/>
    </font>
    <font>
      <name val="Calibri"/>
      <color rgb="009C0006"/>
      <sz val="11"/>
    </font>
    <font>
      <name val="Calibri"/>
      <b val="1"/>
      <color rgb="009C0006"/>
      <sz val="11"/>
    </font>
    <font>
      <name val="Calibri"/>
      <b val="1"/>
      <color rgb="00006100"/>
      <sz val="11"/>
    </font>
    <font>
      <b val="1"/>
    </font>
    <font>
      <name val="Calibri"/>
      <family val="2"/>
      <color rgb="000563C1"/>
      <sz val="11"/>
      <u val="single"/>
      <scheme val="minor"/>
    </font>
    <font>
      <name val="Calibri"/>
      <family val="2"/>
      <color rgb="000563C1"/>
      <sz val="11"/>
      <scheme val="minor"/>
    </font>
  </fonts>
  <fills count="24">
    <fill>
      <patternFill/>
    </fill>
    <fill>
      <patternFill patternType="gray125"/>
    </fill>
    <fill>
      <patternFill patternType="solid">
        <fgColor rgb="FFE5E7EB"/>
      </patternFill>
    </fill>
    <fill>
      <patternFill patternType="solid">
        <fgColor rgb="FFE5E7EB"/>
      </patternFill>
    </fill>
    <fill>
      <patternFill patternType="solid">
        <fgColor rgb="FFE5E7EB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A7BA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49DFF"/>
        <bgColor indexed="64"/>
      </patternFill>
    </fill>
    <fill>
      <patternFill patternType="solid">
        <fgColor rgb="FF979BFF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E5E7EB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E5E7EB"/>
      </patternFill>
    </fill>
  </fills>
  <borders count="136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ck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/>
      <bottom/>
      <diagonal/>
    </border>
    <border>
      <left style="thin">
        <color rgb="FFD1D5DB"/>
      </left>
      <right style="thin">
        <color rgb="FFD1D5DB"/>
      </right>
      <top/>
      <bottom style="thin">
        <color rgb="FFD1D5DB"/>
      </bottom>
      <diagonal/>
    </border>
    <border>
      <left style="thin">
        <color rgb="FFD1D5DB"/>
      </left>
      <right style="thick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ck">
        <color rgb="FFD1D5DB"/>
      </bottom>
      <diagonal/>
    </border>
    <border>
      <left style="thin">
        <color rgb="FFD1D5DB"/>
      </left>
      <right style="thick">
        <color rgb="FFD1D5DB"/>
      </right>
      <top style="thin">
        <color rgb="FFD1D5DB"/>
      </top>
      <bottom style="thick">
        <color rgb="FFD1D5DB"/>
      </bottom>
      <diagonal/>
    </border>
    <border>
      <left/>
      <right/>
      <top/>
      <bottom/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  <border>
      <left style="thin">
        <color rgb="FFD1D5DB"/>
      </left>
      <right/>
      <top/>
      <bottom style="thin">
        <color rgb="FFD1D5DB"/>
      </bottom>
      <diagonal/>
    </border>
    <border>
      <left style="thick">
        <color rgb="FFD1D5DB"/>
      </left>
      <right/>
      <top style="thick">
        <color rgb="FFD1D5DB"/>
      </top>
      <bottom style="thin">
        <color rgb="FFD1D5DB"/>
      </bottom>
      <diagonal/>
    </border>
    <border>
      <left/>
      <right style="thin">
        <color rgb="FFD1D5DB"/>
      </right>
      <top/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ck">
        <color rgb="FFD1D5DB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D1D5DB"/>
      </bottom>
      <diagonal/>
    </border>
    <border>
      <left style="medium">
        <color indexed="64"/>
      </left>
      <right style="medium">
        <color indexed="64"/>
      </right>
      <top/>
      <bottom style="thin">
        <color rgb="FFD1D5DB"/>
      </bottom>
      <diagonal/>
    </border>
    <border>
      <left style="medium">
        <color indexed="64"/>
      </left>
      <right style="medium">
        <color indexed="64"/>
      </right>
      <top style="thin">
        <color rgb="FFD1D5DB"/>
      </top>
      <bottom style="thin">
        <color rgb="FFD1D5DB"/>
      </bottom>
      <diagonal/>
    </border>
    <border>
      <left style="medium">
        <color indexed="64"/>
      </left>
      <right style="medium">
        <color indexed="64"/>
      </right>
      <top style="thin">
        <color rgb="FFD1D5DB"/>
      </top>
      <bottom style="thick">
        <color rgb="FFD1D5DB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D1D5DB"/>
      </right>
      <top style="medium">
        <color indexed="64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medium">
        <color indexed="64"/>
      </top>
      <bottom style="thin">
        <color rgb="FFD1D5DB"/>
      </bottom>
      <diagonal/>
    </border>
    <border>
      <left style="thin">
        <color rgb="FFD1D5DB"/>
      </left>
      <right style="medium">
        <color indexed="64"/>
      </right>
      <top style="medium">
        <color indexed="64"/>
      </top>
      <bottom style="thin">
        <color rgb="FFD1D5DB"/>
      </bottom>
      <diagonal/>
    </border>
    <border>
      <left style="medium">
        <color indexed="64"/>
      </left>
      <right style="thin">
        <color rgb="FFD1D5DB"/>
      </right>
      <top/>
      <bottom style="thin">
        <color rgb="FFD1D5DB"/>
      </bottom>
      <diagonal/>
    </border>
    <border>
      <left style="thin">
        <color rgb="FFD1D5DB"/>
      </left>
      <right style="medium">
        <color indexed="64"/>
      </right>
      <top/>
      <bottom style="thin">
        <color rgb="FFD1D5DB"/>
      </bottom>
      <diagonal/>
    </border>
    <border>
      <left style="medium">
        <color indexed="64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medium">
        <color indexed="64"/>
      </right>
      <top style="thin">
        <color rgb="FFD1D5DB"/>
      </top>
      <bottom style="thin">
        <color rgb="FFD1D5DB"/>
      </bottom>
      <diagonal/>
    </border>
    <border>
      <left style="medium">
        <color indexed="64"/>
      </left>
      <right style="thin">
        <color rgb="FFD1D5DB"/>
      </right>
      <top style="thin">
        <color rgb="FFD1D5DB"/>
      </top>
      <bottom style="thick">
        <color rgb="FFD1D5DB"/>
      </bottom>
      <diagonal/>
    </border>
    <border>
      <left style="thin">
        <color rgb="FFD1D5DB"/>
      </left>
      <right style="medium">
        <color indexed="64"/>
      </right>
      <top style="thin">
        <color rgb="FFD1D5DB"/>
      </top>
      <bottom style="thick">
        <color rgb="FFD1D5DB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rgb="FFD1D5DB"/>
      </bottom>
      <diagonal/>
    </border>
    <border>
      <left style="medium">
        <color indexed="64"/>
      </left>
      <right/>
      <top/>
      <bottom style="thin">
        <color rgb="FFD1D5DB"/>
      </bottom>
      <diagonal/>
    </border>
    <border>
      <left style="medium">
        <color indexed="64"/>
      </left>
      <right/>
      <top style="thin">
        <color rgb="FFD1D5DB"/>
      </top>
      <bottom style="thin">
        <color rgb="FFD1D5DB"/>
      </bottom>
      <diagonal/>
    </border>
    <border>
      <left style="medium">
        <color indexed="64"/>
      </left>
      <right/>
      <top style="thin">
        <color rgb="FFD1D5DB"/>
      </top>
      <bottom style="thick">
        <color rgb="FFD1D5DB"/>
      </bottom>
      <diagonal/>
    </border>
    <border>
      <left/>
      <right style="medium">
        <color indexed="64"/>
      </right>
      <top style="medium">
        <color indexed="64"/>
      </top>
      <bottom style="thin">
        <color rgb="FFD1D5DB"/>
      </bottom>
      <diagonal/>
    </border>
    <border>
      <left/>
      <right style="medium">
        <color indexed="64"/>
      </right>
      <top/>
      <bottom style="thin">
        <color rgb="FFD1D5DB"/>
      </bottom>
      <diagonal/>
    </border>
    <border>
      <left/>
      <right style="medium">
        <color indexed="64"/>
      </right>
      <top style="thin">
        <color rgb="FFD1D5DB"/>
      </top>
      <bottom style="thin">
        <color rgb="FFD1D5DB"/>
      </bottom>
      <diagonal/>
    </border>
    <border>
      <left/>
      <right style="medium">
        <color indexed="64"/>
      </right>
      <top style="thin">
        <color rgb="FFD1D5DB"/>
      </top>
      <bottom style="thick">
        <color rgb="FFD1D5DB"/>
      </bottom>
      <diagonal/>
    </border>
    <border>
      <left/>
      <right/>
      <top style="medium">
        <color indexed="64"/>
      </top>
      <bottom style="thin">
        <color rgb="FFD1D5DB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D1D5DB"/>
      </right>
      <top style="medium">
        <color indexed="64"/>
      </top>
      <bottom/>
      <diagonal/>
    </border>
    <border>
      <left style="thin">
        <color rgb="FFD1D5DB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D1D5DB"/>
      </right>
      <top/>
      <bottom/>
      <diagonal/>
    </border>
    <border>
      <left style="thin">
        <color rgb="FFD1D5DB"/>
      </left>
      <right style="medium">
        <color indexed="64"/>
      </right>
      <top/>
      <bottom/>
      <diagonal/>
    </border>
    <border>
      <left style="thin">
        <color rgb="FFD1D5DB"/>
      </left>
      <right style="thin">
        <color rgb="FFD1D5DB"/>
      </right>
      <top style="medium">
        <color indexed="64"/>
      </top>
      <bottom/>
      <diagonal/>
    </border>
    <border>
      <left style="medium">
        <color indexed="64"/>
      </left>
      <right style="thin">
        <color rgb="FFD1D5DB"/>
      </right>
      <top style="thick">
        <color rgb="FFD1D5DB"/>
      </top>
      <bottom style="thin">
        <color rgb="FFD1D5DB"/>
      </bottom>
      <diagonal/>
    </border>
    <border>
      <left/>
      <right style="thick">
        <color rgb="FFD1D5DB"/>
      </right>
      <top/>
      <bottom/>
      <diagonal/>
    </border>
    <border>
      <left/>
      <right style="thick">
        <color rgb="FFD1D5DB"/>
      </right>
      <top style="thin">
        <color rgb="FFD1D5DB"/>
      </top>
      <bottom style="thin">
        <color rgb="FFD1D5DB"/>
      </bottom>
      <diagonal/>
    </border>
    <border>
      <left/>
      <right style="thick">
        <color rgb="FFD1D5DB"/>
      </right>
      <top style="thin">
        <color rgb="FFD1D5DB"/>
      </top>
      <bottom style="thick">
        <color rgb="FFD1D5DB"/>
      </bottom>
      <diagonal/>
    </border>
    <border>
      <left/>
      <right style="thin">
        <color rgb="FFD1D5DB"/>
      </right>
      <top style="medium">
        <color indexed="64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/>
      <bottom/>
      <diagonal/>
    </border>
    <border>
      <left style="thick">
        <color rgb="FFD1D5DB"/>
      </left>
      <right style="thin">
        <color rgb="FFD1D5DB"/>
      </right>
      <top style="thick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ck">
        <color rgb="FFD1D5DB"/>
      </top>
      <bottom style="thin">
        <color rgb="FFD1D5DB"/>
      </bottom>
      <diagonal/>
    </border>
    <border>
      <left style="thin">
        <color rgb="FFD1D5DB"/>
      </left>
      <right style="thick">
        <color rgb="FFD1D5DB"/>
      </right>
      <top style="thick">
        <color rgb="FFD1D5DB"/>
      </top>
      <bottom style="thin">
        <color rgb="FFD1D5DB"/>
      </bottom>
      <diagonal/>
    </border>
    <border>
      <left style="thick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ck">
        <color rgb="FFD1D5DB"/>
      </right>
      <top style="thin">
        <color rgb="FFD1D5DB"/>
      </top>
      <bottom style="thin">
        <color rgb="FFD1D5DB"/>
      </bottom>
      <diagonal/>
    </border>
    <border>
      <left style="thick">
        <color rgb="FFD1D5DB"/>
      </left>
      <right style="thin">
        <color rgb="FFD1D5DB"/>
      </right>
      <top style="thin">
        <color rgb="FFD1D5DB"/>
      </top>
      <bottom style="thick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ck">
        <color rgb="FFD1D5DB"/>
      </bottom>
      <diagonal/>
    </border>
    <border>
      <left style="thin">
        <color rgb="FFD1D5DB"/>
      </left>
      <right style="thick">
        <color rgb="FFD1D5DB"/>
      </right>
      <top style="thin">
        <color rgb="FFD1D5DB"/>
      </top>
      <bottom style="thick">
        <color rgb="FFD1D5DB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1D5DB"/>
      </left>
      <right style="thick">
        <color rgb="FFD1D5DB"/>
      </right>
      <top style="thick">
        <color rgb="FFD1D5DB"/>
      </top>
      <bottom style="thin">
        <color rgb="FFD1D5DB"/>
      </bottom>
      <diagonal/>
    </border>
    <border>
      <left style="thin">
        <color rgb="FFD1D5DB"/>
      </left>
      <right style="thick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ck">
        <color rgb="FFD1D5DB"/>
      </right>
      <top style="thin">
        <color rgb="FFD1D5DB"/>
      </top>
      <bottom style="thick">
        <color rgb="FFD1D5DB"/>
      </bottom>
      <diagonal/>
    </border>
    <border>
      <left style="medium">
        <color rgb="FF808080"/>
      </left>
      <right/>
      <top style="medium">
        <color rgb="FF808080"/>
      </top>
      <bottom style="thin">
        <color rgb="FFD1D5DB"/>
      </bottom>
      <diagonal/>
    </border>
    <border>
      <left style="medium">
        <color rgb="FF808080"/>
      </left>
      <right/>
      <top style="thin">
        <color rgb="FFD1D5DB"/>
      </top>
      <bottom style="thin">
        <color rgb="FFD1D5DB"/>
      </bottom>
      <diagonal/>
    </border>
    <border>
      <left style="medium">
        <color rgb="FF808080"/>
      </left>
      <right/>
      <top style="thin">
        <color rgb="FFD1D5DB"/>
      </top>
      <bottom style="medium">
        <color rgb="FF808080"/>
      </bottom>
      <diagonal/>
    </border>
    <border>
      <left style="medium">
        <color rgb="FF808080"/>
      </left>
      <right/>
      <top style="thin">
        <color rgb="FFD1D5DB"/>
      </top>
      <bottom/>
      <diagonal/>
    </border>
    <border>
      <left style="medium">
        <color indexed="64"/>
      </left>
      <right/>
      <top style="thin">
        <color rgb="FFD1D5DB"/>
      </top>
      <bottom style="medium">
        <color indexed="64"/>
      </bottom>
      <diagonal/>
    </border>
    <border>
      <left style="medium">
        <color indexed="64"/>
      </left>
      <right/>
      <top style="thin">
        <color rgb="FFD1D5DB"/>
      </top>
      <bottom/>
      <diagonal/>
    </border>
    <border>
      <left style="medium">
        <color indexed="64"/>
      </left>
      <right style="medium">
        <color indexed="64"/>
      </right>
      <top style="thin">
        <color rgb="FFD1D5DB"/>
      </top>
      <bottom style="medium">
        <color rgb="FF808080"/>
      </bottom>
      <diagonal/>
    </border>
    <border>
      <left style="medium">
        <color indexed="64"/>
      </left>
      <right style="medium">
        <color indexed="64"/>
      </right>
      <top style="medium">
        <color rgb="FF808080"/>
      </top>
      <bottom style="thin">
        <color rgb="FFD1D5DB"/>
      </bottom>
      <diagonal/>
    </border>
    <border>
      <left style="medium">
        <color indexed="64"/>
      </left>
      <right style="medium">
        <color indexed="64"/>
      </right>
      <top style="thin">
        <color rgb="FFD1D5DB"/>
      </top>
      <bottom/>
      <diagonal/>
    </border>
    <border>
      <left style="medium">
        <color indexed="64"/>
      </left>
      <right style="medium">
        <color indexed="64"/>
      </right>
      <top style="thin">
        <color rgb="FFD1D5DB"/>
      </top>
      <bottom style="medium">
        <color indexed="64"/>
      </bottom>
      <diagonal/>
    </border>
    <border>
      <left/>
      <right style="medium">
        <color rgb="FF808080"/>
      </right>
      <top style="medium">
        <color rgb="FF808080"/>
      </top>
      <bottom style="thin">
        <color rgb="FFD1D5DB"/>
      </bottom>
      <diagonal/>
    </border>
    <border>
      <left/>
      <right style="medium">
        <color rgb="FF808080"/>
      </right>
      <top style="thin">
        <color rgb="FFD1D5DB"/>
      </top>
      <bottom style="thin">
        <color rgb="FFD1D5DB"/>
      </bottom>
      <diagonal/>
    </border>
    <border>
      <left/>
      <right style="medium">
        <color rgb="FF808080"/>
      </right>
      <top style="thin">
        <color rgb="FFD1D5DB"/>
      </top>
      <bottom style="medium">
        <color rgb="FF808080"/>
      </bottom>
      <diagonal/>
    </border>
    <border>
      <left/>
      <right style="medium">
        <color rgb="FF808080"/>
      </right>
      <top style="thin">
        <color rgb="FFD1D5DB"/>
      </top>
      <bottom/>
      <diagonal/>
    </border>
    <border>
      <left/>
      <right style="medium">
        <color indexed="64"/>
      </right>
      <top style="thin">
        <color rgb="FFD1D5DB"/>
      </top>
      <bottom style="medium">
        <color indexed="64"/>
      </bottom>
      <diagonal/>
    </border>
    <border>
      <left/>
      <right style="medium">
        <color indexed="64"/>
      </right>
      <top style="thin">
        <color rgb="FFD1D5DB"/>
      </top>
      <bottom/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/>
      <bottom/>
      <diagonal/>
    </border>
    <border>
      <left style="medium">
        <color rgb="FF808080"/>
      </left>
      <right style="thin">
        <color rgb="FFD1D5DB"/>
      </right>
      <top style="medium">
        <color rgb="FF808080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medium">
        <color rgb="FF808080"/>
      </top>
      <bottom style="thin">
        <color rgb="FFD1D5DB"/>
      </bottom>
      <diagonal/>
    </border>
    <border>
      <left style="thin">
        <color rgb="FFD1D5DB"/>
      </left>
      <right style="medium">
        <color rgb="FF808080"/>
      </right>
      <top style="medium">
        <color rgb="FF808080"/>
      </top>
      <bottom style="thin">
        <color rgb="FFD1D5DB"/>
      </bottom>
      <diagonal/>
    </border>
    <border>
      <left style="medium">
        <color rgb="FF808080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medium">
        <color rgb="FF808080"/>
      </right>
      <top style="thin">
        <color rgb="FFD1D5DB"/>
      </top>
      <bottom style="thin">
        <color rgb="FFD1D5DB"/>
      </bottom>
      <diagonal/>
    </border>
    <border>
      <left style="medium">
        <color rgb="FF808080"/>
      </left>
      <right style="thin">
        <color rgb="FFD1D5DB"/>
      </right>
      <top style="thin">
        <color rgb="FFD1D5DB"/>
      </top>
      <bottom style="medium">
        <color rgb="FF808080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medium">
        <color rgb="FF808080"/>
      </bottom>
      <diagonal/>
    </border>
    <border>
      <left style="thin">
        <color rgb="FFD1D5DB"/>
      </left>
      <right style="medium">
        <color rgb="FF808080"/>
      </right>
      <top style="thin">
        <color rgb="FFD1D5DB"/>
      </top>
      <bottom style="medium">
        <color rgb="FF808080"/>
      </bottom>
      <diagonal/>
    </border>
    <border>
      <left style="thin">
        <color rgb="FFD1D5DB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rgb="FFD1D5DB"/>
      </right>
      <top style="medium">
        <color indexed="64"/>
      </top>
      <bottom/>
      <diagonal/>
    </border>
    <border>
      <left/>
      <right style="thin">
        <color rgb="FFD1D5DB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/>
    <border>
      <left style="medium">
        <color rgb="00808080"/>
      </left>
      <right style="thin">
        <color rgb="00D1D5DB"/>
      </right>
      <top style="medium">
        <color rgb="00808080"/>
      </top>
      <bottom style="thin">
        <color rgb="00D1D5DB"/>
      </bottom>
    </border>
    <border>
      <left style="thin">
        <color rgb="00D1D5DB"/>
      </left>
      <right style="thin">
        <color rgb="00D1D5DB"/>
      </right>
      <top style="medium">
        <color rgb="00808080"/>
      </top>
      <bottom style="thin">
        <color rgb="00D1D5DB"/>
      </bottom>
    </border>
    <border>
      <left style="thin">
        <color rgb="00D1D5DB"/>
      </left>
      <right style="medium">
        <color rgb="00808080"/>
      </right>
      <top style="medium">
        <color rgb="00808080"/>
      </top>
      <bottom style="thin">
        <color rgb="00D1D5DB"/>
      </bottom>
    </border>
    <border>
      <left style="medium">
        <color rgb="00808080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 style="medium">
        <color rgb="00808080"/>
      </right>
      <top style="thin">
        <color rgb="00D1D5DB"/>
      </top>
      <bottom style="thin">
        <color rgb="00D1D5DB"/>
      </bottom>
    </border>
    <border>
      <left style="medium">
        <color rgb="00808080"/>
      </left>
      <right style="thin">
        <color rgb="00D1D5DB"/>
      </right>
      <top style="thin">
        <color rgb="00D1D5DB"/>
      </top>
      <bottom style="medium">
        <color rgb="00808080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medium">
        <color rgb="00808080"/>
      </bottom>
    </border>
    <border>
      <left style="thin">
        <color rgb="00D1D5DB"/>
      </left>
      <right style="medium">
        <color rgb="00808080"/>
      </right>
      <top style="thin">
        <color rgb="00D1D5DB"/>
      </top>
      <bottom style="medium">
        <color rgb="00808080"/>
      </bottom>
    </border>
    <border>
      <left style="thick">
        <color rgb="00D1D5DB"/>
      </left>
      <right style="thin">
        <color rgb="00D1D5DB"/>
      </right>
      <top style="thick">
        <color rgb="00D1D5DB"/>
      </top>
      <bottom style="thin">
        <color rgb="00D1D5DB"/>
      </bottom>
    </border>
    <border>
      <left style="thin">
        <color rgb="00D1D5DB"/>
      </left>
      <right style="thin">
        <color rgb="00D1D5DB"/>
      </right>
      <top style="thick">
        <color rgb="00D1D5DB"/>
      </top>
      <bottom style="thin">
        <color rgb="00D1D5DB"/>
      </bottom>
    </border>
    <border>
      <left style="thin">
        <color rgb="00D1D5DB"/>
      </left>
      <right style="thick">
        <color rgb="00D1D5DB"/>
      </right>
      <top style="thick">
        <color rgb="00D1D5DB"/>
      </top>
      <bottom style="thin">
        <color rgb="00D1D5DB"/>
      </bottom>
    </border>
    <border>
      <left style="thick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 style="thick">
        <color rgb="00D1D5DB"/>
      </right>
      <top style="thin">
        <color rgb="00D1D5DB"/>
      </top>
      <bottom style="thin">
        <color rgb="00D1D5DB"/>
      </bottom>
    </border>
    <border>
      <left style="thick">
        <color rgb="00D1D5DB"/>
      </left>
      <right style="thin">
        <color rgb="00D1D5DB"/>
      </right>
      <top style="thin">
        <color rgb="00D1D5DB"/>
      </top>
      <bottom style="thick">
        <color rgb="00D1D5DB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ck">
        <color rgb="00D1D5DB"/>
      </bottom>
    </border>
    <border>
      <left style="thin">
        <color rgb="00D1D5DB"/>
      </left>
      <right style="thick">
        <color rgb="00D1D5DB"/>
      </right>
      <top style="thin">
        <color rgb="00D1D5DB"/>
      </top>
      <bottom style="thick">
        <color rgb="00D1D5DB"/>
      </bottom>
    </border>
  </borders>
  <cellStyleXfs count="6">
    <xf numFmtId="0" fontId="14" fillId="0" borderId="103"/>
    <xf numFmtId="0" fontId="14" fillId="0" borderId="103"/>
    <xf numFmtId="0" fontId="17" fillId="0" borderId="103"/>
    <xf numFmtId="197" fontId="14" fillId="0" borderId="103"/>
    <xf numFmtId="9" fontId="14" fillId="0" borderId="103"/>
    <xf numFmtId="43" fontId="14" fillId="0" borderId="103"/>
  </cellStyleXfs>
  <cellXfs count="1011">
    <xf numFmtId="0" fontId="0" fillId="0" borderId="0" pivotButton="0" quotePrefix="0" xfId="0"/>
    <xf numFmtId="0" fontId="0" fillId="0" borderId="1" applyAlignment="1" pivotButton="0" quotePrefix="0" xfId="0">
      <alignment horizontal="left"/>
    </xf>
    <xf numFmtId="0" fontId="0" fillId="0" borderId="2" applyAlignment="1" pivotButton="0" quotePrefix="0" xfId="0">
      <alignment horizontal="left"/>
    </xf>
    <xf numFmtId="10" fontId="0" fillId="0" borderId="3" applyAlignment="1" pivotButton="0" quotePrefix="0" xfId="0">
      <alignment horizontal="left"/>
    </xf>
    <xf numFmtId="0" fontId="0" fillId="0" borderId="3" applyAlignment="1" pivotButton="0" quotePrefix="0" xfId="0">
      <alignment horizontal="left"/>
    </xf>
    <xf numFmtId="0" fontId="8" fillId="0" borderId="3" applyAlignment="1" pivotButton="0" quotePrefix="0" xfId="0">
      <alignment horizontal="left"/>
    </xf>
    <xf numFmtId="0" fontId="0" fillId="0" borderId="3" pivotButton="0" quotePrefix="0" xfId="0"/>
    <xf numFmtId="0" fontId="0" fillId="0" borderId="6" applyAlignment="1" pivotButton="0" quotePrefix="0" xfId="0">
      <alignment horizontal="left"/>
    </xf>
    <xf numFmtId="0" fontId="0" fillId="0" borderId="7" applyAlignment="1" pivotButton="0" quotePrefix="0" xfId="0">
      <alignment horizontal="left"/>
    </xf>
    <xf numFmtId="10" fontId="0" fillId="0" borderId="3" pivotButton="0" quotePrefix="0" xfId="0"/>
    <xf numFmtId="0" fontId="3" fillId="2" borderId="13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8" applyAlignment="1" pivotButton="0" quotePrefix="0" xfId="0">
      <alignment horizontal="left"/>
    </xf>
    <xf numFmtId="0" fontId="0" fillId="0" borderId="19" applyAlignment="1" pivotButton="0" quotePrefix="0" xfId="0">
      <alignment horizontal="left"/>
    </xf>
    <xf numFmtId="0" fontId="0" fillId="0" borderId="20" pivotButton="0" quotePrefix="0" xfId="0"/>
    <xf numFmtId="164" fontId="0" fillId="0" borderId="18" applyAlignment="1" pivotButton="0" quotePrefix="0" xfId="0">
      <alignment horizontal="left"/>
    </xf>
    <xf numFmtId="164" fontId="0" fillId="0" borderId="19" applyAlignment="1" pivotButton="0" quotePrefix="0" xfId="0">
      <alignment horizontal="left"/>
    </xf>
    <xf numFmtId="164" fontId="0" fillId="0" borderId="27" applyAlignment="1" pivotButton="0" quotePrefix="0" xfId="0">
      <alignment horizontal="left"/>
    </xf>
    <xf numFmtId="164" fontId="0" fillId="0" borderId="29" applyAlignment="1" pivotButton="0" quotePrefix="0" xfId="0">
      <alignment horizontal="left"/>
    </xf>
    <xf numFmtId="0" fontId="0" fillId="0" borderId="30" pivotButton="0" quotePrefix="0" xfId="0"/>
    <xf numFmtId="0" fontId="0" fillId="0" borderId="31" pivotButton="0" quotePrefix="0" xfId="0"/>
    <xf numFmtId="164" fontId="0" fillId="0" borderId="38" applyAlignment="1" pivotButton="0" quotePrefix="0" xfId="0">
      <alignment horizontal="left"/>
    </xf>
    <xf numFmtId="164" fontId="0" fillId="0" borderId="39" applyAlignment="1" pivotButton="0" quotePrefix="0" xfId="0">
      <alignment horizontal="left"/>
    </xf>
    <xf numFmtId="164" fontId="0" fillId="0" borderId="26" applyAlignment="1" pivotButton="0" quotePrefix="0" xfId="0">
      <alignment horizontal="left"/>
    </xf>
    <xf numFmtId="164" fontId="0" fillId="0" borderId="28" applyAlignment="1" pivotButton="0" quotePrefix="0" xfId="0">
      <alignment horizontal="left"/>
    </xf>
    <xf numFmtId="164" fontId="2" fillId="0" borderId="18" applyAlignment="1" pivotButton="0" quotePrefix="0" xfId="0">
      <alignment horizontal="left"/>
    </xf>
    <xf numFmtId="164" fontId="2" fillId="0" borderId="19" applyAlignment="1" pivotButton="0" quotePrefix="0" xfId="0">
      <alignment horizontal="left"/>
    </xf>
    <xf numFmtId="0" fontId="0" fillId="0" borderId="10" applyAlignment="1" pivotButton="0" quotePrefix="0" xfId="0">
      <alignment horizontal="left"/>
    </xf>
    <xf numFmtId="0" fontId="0" fillId="0" borderId="18" applyAlignment="1" pivotButton="0" quotePrefix="0" xfId="0">
      <alignment horizontal="center"/>
    </xf>
    <xf numFmtId="0" fontId="0" fillId="0" borderId="19" applyAlignment="1" pivotButton="0" quotePrefix="0" xfId="0">
      <alignment horizontal="center"/>
    </xf>
    <xf numFmtId="0" fontId="0" fillId="0" borderId="15" applyAlignment="1" pivotButton="0" quotePrefix="0" xfId="0">
      <alignment horizontal="left"/>
    </xf>
    <xf numFmtId="0" fontId="0" fillId="0" borderId="26" applyAlignment="1" pivotButton="0" quotePrefix="0" xfId="0">
      <alignment horizontal="left"/>
    </xf>
    <xf numFmtId="0" fontId="0" fillId="0" borderId="28" applyAlignment="1" pivotButton="0" quotePrefix="0" xfId="0">
      <alignment horizontal="left"/>
    </xf>
    <xf numFmtId="10" fontId="0" fillId="0" borderId="18" applyAlignment="1" pivotButton="0" quotePrefix="0" xfId="0">
      <alignment horizontal="left"/>
    </xf>
    <xf numFmtId="10" fontId="0" fillId="0" borderId="19" applyAlignment="1" pivotButton="0" quotePrefix="0" xfId="0">
      <alignment horizontal="left"/>
    </xf>
    <xf numFmtId="10" fontId="0" fillId="0" borderId="26" applyAlignment="1" pivotButton="0" quotePrefix="0" xfId="0">
      <alignment horizontal="left"/>
    </xf>
    <xf numFmtId="10" fontId="0" fillId="0" borderId="27" applyAlignment="1" pivotButton="0" quotePrefix="0" xfId="0">
      <alignment horizontal="left"/>
    </xf>
    <xf numFmtId="10" fontId="0" fillId="0" borderId="28" applyAlignment="1" pivotButton="0" quotePrefix="0" xfId="0">
      <alignment horizontal="left"/>
    </xf>
    <xf numFmtId="10" fontId="0" fillId="0" borderId="7" applyAlignment="1" pivotButton="0" quotePrefix="0" xfId="0">
      <alignment horizontal="left"/>
    </xf>
    <xf numFmtId="0" fontId="0" fillId="0" borderId="27" applyAlignment="1" pivotButton="0" quotePrefix="0" xfId="0">
      <alignment horizontal="left" wrapText="1"/>
    </xf>
    <xf numFmtId="0" fontId="0" fillId="0" borderId="29" applyAlignment="1" pivotButton="0" quotePrefix="0" xfId="0">
      <alignment horizontal="left" wrapText="1"/>
    </xf>
    <xf numFmtId="49" fontId="0" fillId="0" borderId="18" pivotButton="0" quotePrefix="0" xfId="0"/>
    <xf numFmtId="49" fontId="0" fillId="0" borderId="18" applyAlignment="1" pivotButton="0" quotePrefix="0" xfId="0">
      <alignment horizontal="left"/>
    </xf>
    <xf numFmtId="165" fontId="0" fillId="0" borderId="26" applyAlignment="1" pivotButton="0" quotePrefix="0" xfId="0">
      <alignment horizontal="left"/>
    </xf>
    <xf numFmtId="165" fontId="0" fillId="0" borderId="27" applyAlignment="1" pivotButton="0" quotePrefix="0" xfId="0">
      <alignment horizontal="left"/>
    </xf>
    <xf numFmtId="0" fontId="0" fillId="0" borderId="18" pivotButton="0" quotePrefix="0" xfId="0"/>
    <xf numFmtId="10" fontId="0" fillId="0" borderId="27" pivotButton="0" quotePrefix="0" xfId="0"/>
    <xf numFmtId="166" fontId="0" fillId="0" borderId="18" pivotButton="0" quotePrefix="0" xfId="0"/>
    <xf numFmtId="166" fontId="0" fillId="0" borderId="26" applyAlignment="1" pivotButton="0" quotePrefix="0" xfId="0">
      <alignment horizontal="left"/>
    </xf>
    <xf numFmtId="2" fontId="0" fillId="0" borderId="27" pivotButton="0" quotePrefix="0" xfId="0"/>
    <xf numFmtId="166" fontId="0" fillId="0" borderId="26" pivotButton="0" quotePrefix="0" xfId="0"/>
    <xf numFmtId="2" fontId="0" fillId="0" borderId="27" applyAlignment="1" pivotButton="0" quotePrefix="0" xfId="0">
      <alignment horizontal="left"/>
    </xf>
    <xf numFmtId="4" fontId="0" fillId="0" borderId="18" pivotButton="0" quotePrefix="0" xfId="0"/>
    <xf numFmtId="167" fontId="0" fillId="0" borderId="18" applyAlignment="1" pivotButton="0" quotePrefix="0" xfId="0">
      <alignment horizontal="left"/>
    </xf>
    <xf numFmtId="4" fontId="0" fillId="0" borderId="18" applyAlignment="1" pivotButton="0" quotePrefix="0" xfId="0">
      <alignment horizontal="left"/>
    </xf>
    <xf numFmtId="165" fontId="0" fillId="0" borderId="26" pivotButton="0" quotePrefix="0" xfId="0"/>
    <xf numFmtId="0" fontId="0" fillId="0" borderId="18" applyAlignment="1" pivotButton="0" quotePrefix="0" xfId="0">
      <alignment horizontal="left" wrapText="1"/>
    </xf>
    <xf numFmtId="0" fontId="0" fillId="0" borderId="49" applyAlignment="1" pivotButton="0" quotePrefix="0" xfId="0">
      <alignment horizontal="left"/>
    </xf>
    <xf numFmtId="164" fontId="10" fillId="6" borderId="34" applyAlignment="1" pivotButton="0" quotePrefix="0" xfId="0">
      <alignment horizontal="left"/>
    </xf>
    <xf numFmtId="164" fontId="11" fillId="5" borderId="18" applyAlignment="1" pivotButton="0" quotePrefix="0" xfId="0">
      <alignment horizontal="left"/>
    </xf>
    <xf numFmtId="164" fontId="10" fillId="6" borderId="3" applyAlignment="1" pivotButton="0" quotePrefix="0" xfId="0">
      <alignment horizontal="left"/>
    </xf>
    <xf numFmtId="164" fontId="11" fillId="5" borderId="3" applyAlignment="1" pivotButton="0" quotePrefix="0" xfId="0">
      <alignment horizontal="left"/>
    </xf>
    <xf numFmtId="0" fontId="8" fillId="0" borderId="27" applyAlignment="1" pivotButton="0" quotePrefix="0" xfId="0">
      <alignment horizontal="left"/>
    </xf>
    <xf numFmtId="164" fontId="10" fillId="6" borderId="35" applyAlignment="1" pivotButton="0" quotePrefix="0" xfId="0">
      <alignment horizontal="left"/>
    </xf>
    <xf numFmtId="164" fontId="11" fillId="5" borderId="19" applyAlignment="1" pivotButton="0" quotePrefix="0" xfId="0">
      <alignment horizontal="left"/>
    </xf>
    <xf numFmtId="164" fontId="10" fillId="6" borderId="7" applyAlignment="1" pivotButton="0" quotePrefix="0" xfId="0">
      <alignment horizontal="left"/>
    </xf>
    <xf numFmtId="164" fontId="11" fillId="5" borderId="7" applyAlignment="1" pivotButton="0" quotePrefix="0" xfId="0">
      <alignment horizontal="left"/>
    </xf>
    <xf numFmtId="0" fontId="8" fillId="0" borderId="7" applyAlignment="1" pivotButton="0" quotePrefix="0" xfId="0">
      <alignment horizontal="left"/>
    </xf>
    <xf numFmtId="0" fontId="8" fillId="0" borderId="29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9" fillId="4" borderId="54" applyAlignment="1" pivotButton="0" quotePrefix="0" xfId="0">
      <alignment horizontal="left" vertical="center"/>
    </xf>
    <xf numFmtId="0" fontId="9" fillId="4" borderId="55" applyAlignment="1" pivotButton="0" quotePrefix="0" xfId="0">
      <alignment horizontal="left" vertical="center"/>
    </xf>
    <xf numFmtId="0" fontId="9" fillId="4" borderId="56" applyAlignment="1" pivotButton="0" quotePrefix="0" xfId="0">
      <alignment horizontal="left" vertical="center"/>
    </xf>
    <xf numFmtId="0" fontId="7" fillId="3" borderId="57" applyAlignment="1" pivotButton="0" quotePrefix="0" xfId="0">
      <alignment horizontal="left" vertical="center"/>
    </xf>
    <xf numFmtId="0" fontId="7" fillId="0" borderId="52" applyAlignment="1" pivotButton="0" quotePrefix="0" xfId="0">
      <alignment horizontal="center" vertical="center"/>
    </xf>
    <xf numFmtId="0" fontId="7" fillId="0" borderId="58" applyAlignment="1" pivotButton="0" quotePrefix="0" xfId="0">
      <alignment horizontal="center" vertical="center"/>
    </xf>
    <xf numFmtId="0" fontId="7" fillId="3" borderId="59" applyAlignment="1" pivotButton="0" quotePrefix="0" xfId="0">
      <alignment horizontal="left" vertical="center"/>
    </xf>
    <xf numFmtId="0" fontId="7" fillId="0" borderId="60" applyAlignment="1" pivotButton="0" quotePrefix="0" xfId="0">
      <alignment horizontal="center" vertical="center"/>
    </xf>
    <xf numFmtId="0" fontId="9" fillId="4" borderId="16" pivotButton="0" quotePrefix="0" xfId="0"/>
    <xf numFmtId="0" fontId="9" fillId="4" borderId="21" pivotButton="0" quotePrefix="0" xfId="0"/>
    <xf numFmtId="0" fontId="9" fillId="4" borderId="22" pivotButton="0" quotePrefix="0" xfId="0"/>
    <xf numFmtId="0" fontId="9" fillId="4" borderId="23" pivotButton="0" quotePrefix="0" xfId="0"/>
    <xf numFmtId="0" fontId="9" fillId="4" borderId="3" applyAlignment="1" pivotButton="0" quotePrefix="0" xfId="0">
      <alignment horizontal="left" vertical="center" wrapText="1"/>
    </xf>
    <xf numFmtId="0" fontId="9" fillId="4" borderId="26" applyAlignment="1" pivotButton="0" quotePrefix="0" xfId="0">
      <alignment horizontal="left" vertical="center" wrapText="1"/>
    </xf>
    <xf numFmtId="0" fontId="9" fillId="4" borderId="27" applyAlignment="1" pivotButton="0" quotePrefix="0" xfId="0">
      <alignment horizontal="left" vertical="center" wrapText="1"/>
    </xf>
    <xf numFmtId="0" fontId="9" fillId="4" borderId="18" applyAlignment="1" pivotButton="0" quotePrefix="0" xfId="0">
      <alignment horizontal="left" vertical="center" wrapText="1"/>
    </xf>
    <xf numFmtId="0" fontId="14" fillId="0" borderId="53" applyAlignment="1" pivotButton="0" quotePrefix="0" xfId="1">
      <alignment horizontal="center"/>
    </xf>
    <xf numFmtId="0" fontId="18" fillId="0" borderId="53" applyAlignment="1" pivotButton="0" quotePrefix="0" xfId="2">
      <alignment horizontal="center" vertical="center" wrapText="1"/>
    </xf>
    <xf numFmtId="0" fontId="18" fillId="0" borderId="53" applyAlignment="1" pivotButton="0" quotePrefix="0" xfId="2">
      <alignment horizontal="center" vertical="center"/>
    </xf>
    <xf numFmtId="0" fontId="19" fillId="0" borderId="53" applyAlignment="1" pivotButton="0" quotePrefix="0" xfId="2">
      <alignment horizontal="center" vertical="center"/>
    </xf>
    <xf numFmtId="0" fontId="14" fillId="0" borderId="53" pivotButton="0" quotePrefix="0" xfId="1"/>
    <xf numFmtId="0" fontId="20" fillId="7" borderId="62" pivotButton="0" quotePrefix="0" xfId="1"/>
    <xf numFmtId="0" fontId="20" fillId="7" borderId="63" pivotButton="0" quotePrefix="0" xfId="1"/>
    <xf numFmtId="10" fontId="20" fillId="8" borderId="63" applyAlignment="1" pivotButton="0" quotePrefix="0" xfId="1">
      <alignment horizontal="center"/>
    </xf>
    <xf numFmtId="168" fontId="20" fillId="8" borderId="64" applyAlignment="1" pivotButton="0" quotePrefix="0" xfId="1">
      <alignment horizontal="center"/>
    </xf>
    <xf numFmtId="9" fontId="21" fillId="9" borderId="65" applyAlignment="1" pivotButton="0" quotePrefix="0" xfId="2">
      <alignment horizontal="center"/>
    </xf>
    <xf numFmtId="169" fontId="21" fillId="9" borderId="66" applyAlignment="1" pivotButton="0" quotePrefix="0" xfId="2">
      <alignment horizontal="center"/>
    </xf>
    <xf numFmtId="170" fontId="21" fillId="9" borderId="67" applyAlignment="1" pivotButton="0" quotePrefix="0" xfId="2">
      <alignment horizontal="center"/>
    </xf>
    <xf numFmtId="171" fontId="21" fillId="9" borderId="65" applyAlignment="1" pivotButton="0" quotePrefix="0" xfId="3">
      <alignment horizontal="center"/>
    </xf>
    <xf numFmtId="171" fontId="21" fillId="8" borderId="67" applyAlignment="1" pivotButton="0" quotePrefix="0" xfId="3">
      <alignment horizontal="center"/>
    </xf>
    <xf numFmtId="0" fontId="20" fillId="7" borderId="68" pivotButton="0" quotePrefix="0" xfId="1"/>
    <xf numFmtId="0" fontId="20" fillId="7" borderId="69" pivotButton="0" quotePrefix="0" xfId="1"/>
    <xf numFmtId="170" fontId="20" fillId="8" borderId="69" applyAlignment="1" pivotButton="0" quotePrefix="0" xfId="1">
      <alignment horizontal="center"/>
    </xf>
    <xf numFmtId="168" fontId="20" fillId="8" borderId="70" applyAlignment="1" pivotButton="0" quotePrefix="0" xfId="1">
      <alignment horizontal="center"/>
    </xf>
    <xf numFmtId="0" fontId="22" fillId="0" borderId="53" applyAlignment="1" pivotButton="0" quotePrefix="0" xfId="2">
      <alignment horizontal="center"/>
    </xf>
    <xf numFmtId="169" fontId="21" fillId="9" borderId="65" applyAlignment="1" pivotButton="0" quotePrefix="0" xfId="2">
      <alignment horizontal="center"/>
    </xf>
    <xf numFmtId="169" fontId="21" fillId="9" borderId="67" applyAlignment="1" pivotButton="0" quotePrefix="0" xfId="2">
      <alignment horizontal="center"/>
    </xf>
    <xf numFmtId="0" fontId="20" fillId="0" borderId="53" pivotButton="0" quotePrefix="0" xfId="1"/>
    <xf numFmtId="38" fontId="20" fillId="0" borderId="53" applyAlignment="1" pivotButton="0" quotePrefix="0" xfId="1">
      <alignment horizontal="center"/>
    </xf>
    <xf numFmtId="0" fontId="16" fillId="10" borderId="62" applyAlignment="1" pivotButton="0" quotePrefix="0" xfId="1">
      <alignment horizontal="center"/>
    </xf>
    <xf numFmtId="9" fontId="20" fillId="8" borderId="64" applyAlignment="1" pivotButton="0" quotePrefix="0" xfId="4">
      <alignment horizontal="center"/>
    </xf>
    <xf numFmtId="0" fontId="20" fillId="11" borderId="71" applyAlignment="1" pivotButton="0" quotePrefix="0" xfId="1">
      <alignment horizontal="center"/>
    </xf>
    <xf numFmtId="169" fontId="20" fillId="8" borderId="72" applyAlignment="1" pivotButton="0" quotePrefix="0" xfId="1">
      <alignment horizontal="center"/>
    </xf>
    <xf numFmtId="0" fontId="20" fillId="0" borderId="53" applyAlignment="1" pivotButton="0" quotePrefix="0" xfId="1">
      <alignment horizontal="center"/>
    </xf>
    <xf numFmtId="0" fontId="16" fillId="10" borderId="68" applyAlignment="1" pivotButton="0" quotePrefix="0" xfId="1">
      <alignment horizontal="center"/>
    </xf>
    <xf numFmtId="9" fontId="16" fillId="8" borderId="70" applyAlignment="1" pivotButton="0" quotePrefix="0" xfId="4">
      <alignment horizontal="center"/>
    </xf>
    <xf numFmtId="0" fontId="20" fillId="11" borderId="73" applyAlignment="1" pivotButton="0" quotePrefix="0" xfId="1">
      <alignment horizontal="center"/>
    </xf>
    <xf numFmtId="169" fontId="20" fillId="8" borderId="74" applyAlignment="1" pivotButton="0" quotePrefix="0" xfId="1">
      <alignment horizontal="center"/>
    </xf>
    <xf numFmtId="0" fontId="16" fillId="0" borderId="53" applyAlignment="1" pivotButton="0" quotePrefix="0" xfId="1">
      <alignment horizontal="center"/>
    </xf>
    <xf numFmtId="172" fontId="14" fillId="0" borderId="53" applyAlignment="1" pivotButton="0" quotePrefix="0" xfId="5">
      <alignment horizontal="center"/>
    </xf>
    <xf numFmtId="0" fontId="20" fillId="11" borderId="75" applyAlignment="1" pivotButton="0" quotePrefix="0" xfId="1">
      <alignment horizontal="center"/>
    </xf>
    <xf numFmtId="2" fontId="20" fillId="8" borderId="76" applyAlignment="1" pivotButton="0" quotePrefix="0" xfId="1">
      <alignment horizontal="center"/>
    </xf>
    <xf numFmtId="0" fontId="16" fillId="0" borderId="53" applyAlignment="1" pivotButton="0" quotePrefix="0" xfId="1">
      <alignment horizontal="left"/>
    </xf>
    <xf numFmtId="10" fontId="14" fillId="0" borderId="53" applyAlignment="1" pivotButton="0" quotePrefix="0" xfId="1">
      <alignment horizontal="center"/>
    </xf>
    <xf numFmtId="0" fontId="15" fillId="12" borderId="62" applyAlignment="1" pivotButton="0" quotePrefix="0" xfId="1">
      <alignment horizontal="center"/>
    </xf>
    <xf numFmtId="0" fontId="15" fillId="12" borderId="63" applyAlignment="1" pivotButton="0" quotePrefix="0" xfId="1">
      <alignment horizontal="center"/>
    </xf>
    <xf numFmtId="0" fontId="15" fillId="12" borderId="64" applyAlignment="1" pivotButton="0" quotePrefix="0" xfId="1">
      <alignment horizontal="center"/>
    </xf>
    <xf numFmtId="0" fontId="16" fillId="0" borderId="77" applyAlignment="1" pivotButton="0" quotePrefix="0" xfId="1">
      <alignment horizontal="center"/>
    </xf>
    <xf numFmtId="0" fontId="16" fillId="0" borderId="78" applyAlignment="1" pivotButton="0" quotePrefix="0" xfId="1">
      <alignment horizontal="center"/>
    </xf>
    <xf numFmtId="170" fontId="23" fillId="0" borderId="78" applyAlignment="1" pivotButton="0" quotePrefix="0" xfId="4">
      <alignment horizontal="center"/>
    </xf>
    <xf numFmtId="171" fontId="16" fillId="0" borderId="79" applyAlignment="1" pivotButton="0" quotePrefix="0" xfId="1">
      <alignment horizontal="center"/>
    </xf>
    <xf numFmtId="0" fontId="14" fillId="0" borderId="77" applyAlignment="1" pivotButton="0" quotePrefix="0" xfId="1">
      <alignment horizontal="center"/>
    </xf>
    <xf numFmtId="169" fontId="14" fillId="0" borderId="78" applyAlignment="1" pivotButton="0" quotePrefix="0" xfId="1">
      <alignment horizontal="center"/>
    </xf>
    <xf numFmtId="10" fontId="14" fillId="0" borderId="78" applyAlignment="1" pivotButton="0" quotePrefix="0" xfId="4">
      <alignment horizontal="center"/>
    </xf>
    <xf numFmtId="173" fontId="14" fillId="0" borderId="78" applyAlignment="1" pivotButton="0" quotePrefix="0" xfId="5">
      <alignment horizontal="center"/>
    </xf>
    <xf numFmtId="0" fontId="14" fillId="0" borderId="68" applyAlignment="1" pivotButton="0" quotePrefix="0" xfId="1">
      <alignment horizontal="center"/>
    </xf>
    <xf numFmtId="169" fontId="14" fillId="0" borderId="69" applyAlignment="1" pivotButton="0" quotePrefix="0" xfId="1">
      <alignment horizontal="center"/>
    </xf>
    <xf numFmtId="10" fontId="14" fillId="0" borderId="69" applyAlignment="1" pivotButton="0" quotePrefix="0" xfId="4">
      <alignment horizontal="center"/>
    </xf>
    <xf numFmtId="173" fontId="14" fillId="0" borderId="69" applyAlignment="1" pivotButton="0" quotePrefix="0" xfId="5">
      <alignment horizontal="center"/>
    </xf>
    <xf numFmtId="170" fontId="23" fillId="0" borderId="69" applyAlignment="1" pivotButton="0" quotePrefix="0" xfId="4">
      <alignment horizontal="center"/>
    </xf>
    <xf numFmtId="171" fontId="16" fillId="0" borderId="70" applyAlignment="1" pivotButton="0" quotePrefix="0" xfId="1">
      <alignment horizontal="center"/>
    </xf>
    <xf numFmtId="49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  <xf numFmtId="166" fontId="0" fillId="0" borderId="0" pivotButton="0" quotePrefix="0" xfId="0"/>
    <xf numFmtId="2" fontId="0" fillId="0" borderId="0" pivotButton="0" quotePrefix="0" xfId="0"/>
    <xf numFmtId="0" fontId="25" fillId="13" borderId="80" applyAlignment="1" pivotButton="0" quotePrefix="0" xfId="0">
      <alignment horizontal="center" vertical="center"/>
    </xf>
    <xf numFmtId="0" fontId="9" fillId="0" borderId="81" applyAlignment="1" pivotButton="0" quotePrefix="0" xfId="0">
      <alignment horizontal="center" vertical="center"/>
    </xf>
    <xf numFmtId="0" fontId="9" fillId="0" borderId="82" applyAlignment="1" pivotButton="0" quotePrefix="0" xfId="0">
      <alignment horizontal="center" vertical="center"/>
    </xf>
    <xf numFmtId="166" fontId="0" fillId="0" borderId="18" applyAlignment="1" pivotButton="0" quotePrefix="0" xfId="0">
      <alignment horizontal="left"/>
    </xf>
    <xf numFmtId="10" fontId="0" fillId="0" borderId="3" applyAlignment="1" pivotButton="0" quotePrefix="0" xfId="0">
      <alignment horizontal="center"/>
    </xf>
    <xf numFmtId="0" fontId="26" fillId="0" borderId="30" applyAlignment="1" pivotButton="0" quotePrefix="0" xfId="0">
      <alignment horizontal="left" wrapText="1"/>
    </xf>
    <xf numFmtId="0" fontId="16" fillId="0" borderId="0" pivotButton="0" quotePrefix="0" xfId="0"/>
    <xf numFmtId="0" fontId="27" fillId="2" borderId="83" pivotButton="0" quotePrefix="0" xfId="0"/>
    <xf numFmtId="0" fontId="26" fillId="0" borderId="84" applyAlignment="1" pivotButton="0" quotePrefix="0" xfId="0">
      <alignment horizontal="left" wrapText="1"/>
    </xf>
    <xf numFmtId="0" fontId="6" fillId="0" borderId="84" applyAlignment="1" pivotButton="0" quotePrefix="0" xfId="0">
      <alignment horizontal="left" wrapText="1"/>
    </xf>
    <xf numFmtId="0" fontId="26" fillId="0" borderId="85" applyAlignment="1" pivotButton="0" quotePrefix="0" xfId="0">
      <alignment horizontal="left" wrapText="1"/>
    </xf>
    <xf numFmtId="0" fontId="26" fillId="0" borderId="83" applyAlignment="1" pivotButton="0" quotePrefix="0" xfId="0">
      <alignment horizontal="left" wrapText="1"/>
    </xf>
    <xf numFmtId="0" fontId="6" fillId="0" borderId="85" applyAlignment="1" pivotButton="0" quotePrefix="0" xfId="0">
      <alignment horizontal="left" wrapText="1"/>
    </xf>
    <xf numFmtId="0" fontId="6" fillId="0" borderId="86" applyAlignment="1" pivotButton="0" quotePrefix="0" xfId="0">
      <alignment horizontal="left" wrapText="1"/>
    </xf>
    <xf numFmtId="0" fontId="26" fillId="0" borderId="32" applyAlignment="1" pivotButton="0" quotePrefix="0" xfId="0">
      <alignment horizontal="left" wrapText="1"/>
    </xf>
    <xf numFmtId="0" fontId="26" fillId="0" borderId="34" applyAlignment="1" pivotButton="0" quotePrefix="0" xfId="0">
      <alignment horizontal="left" wrapText="1"/>
    </xf>
    <xf numFmtId="0" fontId="26" fillId="0" borderId="87" applyAlignment="1" pivotButton="0" quotePrefix="0" xfId="0">
      <alignment horizontal="left" wrapText="1"/>
    </xf>
    <xf numFmtId="0" fontId="6" fillId="0" borderId="34" applyAlignment="1" pivotButton="0" quotePrefix="0" xfId="0">
      <alignment horizontal="left" wrapText="1"/>
    </xf>
    <xf numFmtId="0" fontId="6" fillId="0" borderId="87" applyAlignment="1" pivotButton="0" quotePrefix="0" xfId="0">
      <alignment horizontal="left" wrapText="1"/>
    </xf>
    <xf numFmtId="0" fontId="26" fillId="0" borderId="88" applyAlignment="1" pivotButton="0" quotePrefix="0" xfId="0">
      <alignment horizontal="left" wrapText="1"/>
    </xf>
    <xf numFmtId="0" fontId="6" fillId="0" borderId="88" applyAlignment="1" pivotButton="0" quotePrefix="0" xfId="0">
      <alignment horizontal="left" wrapText="1"/>
    </xf>
    <xf numFmtId="0" fontId="6" fillId="0" borderId="33" applyAlignment="1" pivotButton="0" quotePrefix="0" xfId="0">
      <alignment horizontal="left" wrapText="1"/>
    </xf>
    <xf numFmtId="0" fontId="1" fillId="2" borderId="16" applyAlignment="1" pivotButton="0" quotePrefix="0" xfId="0">
      <alignment horizontal="left"/>
    </xf>
    <xf numFmtId="0" fontId="14" fillId="0" borderId="18" applyAlignment="1" pivotButton="0" quotePrefix="0" xfId="0">
      <alignment horizontal="left" wrapText="1"/>
    </xf>
    <xf numFmtId="10" fontId="14" fillId="0" borderId="18" applyAlignment="1" pivotButton="0" quotePrefix="0" xfId="0">
      <alignment horizontal="left"/>
    </xf>
    <xf numFmtId="1" fontId="12" fillId="0" borderId="18" applyAlignment="1" pivotButton="0" quotePrefix="0" xfId="0">
      <alignment horizontal="left"/>
    </xf>
    <xf numFmtId="0" fontId="12" fillId="0" borderId="18" applyAlignment="1" pivotButton="0" quotePrefix="0" xfId="0">
      <alignment horizontal="left"/>
    </xf>
    <xf numFmtId="0" fontId="12" fillId="0" borderId="91" applyAlignment="1" pivotButton="0" quotePrefix="0" xfId="0">
      <alignment horizontal="left"/>
    </xf>
    <xf numFmtId="0" fontId="1" fillId="2" borderId="93" applyAlignment="1" pivotButton="0" quotePrefix="0" xfId="0">
      <alignment horizontal="left"/>
    </xf>
    <xf numFmtId="10" fontId="14" fillId="0" borderId="38" applyAlignment="1" pivotButton="0" quotePrefix="0" xfId="0">
      <alignment horizontal="left"/>
    </xf>
    <xf numFmtId="0" fontId="12" fillId="0" borderId="38" applyAlignment="1" pivotButton="0" quotePrefix="0" xfId="0">
      <alignment horizontal="left"/>
    </xf>
    <xf numFmtId="0" fontId="12" fillId="0" borderId="98" applyAlignment="1" pivotButton="0" quotePrefix="0" xfId="0">
      <alignment horizontal="left"/>
    </xf>
    <xf numFmtId="1" fontId="14" fillId="0" borderId="18" applyAlignment="1" pivotButton="0" quotePrefix="0" xfId="0">
      <alignment horizontal="left"/>
    </xf>
    <xf numFmtId="1" fontId="14" fillId="0" borderId="94" applyAlignment="1" pivotButton="0" quotePrefix="0" xfId="0">
      <alignment horizontal="left"/>
    </xf>
    <xf numFmtId="1" fontId="28" fillId="14" borderId="18" applyAlignment="1" pivotButton="0" quotePrefix="0" xfId="0">
      <alignment horizontal="left"/>
    </xf>
    <xf numFmtId="1" fontId="28" fillId="14" borderId="94" applyAlignment="1" pivotButton="0" quotePrefix="0" xfId="0">
      <alignment horizontal="left"/>
    </xf>
    <xf numFmtId="1" fontId="29" fillId="15" borderId="18" applyAlignment="1" pivotButton="0" quotePrefix="0" xfId="0">
      <alignment horizontal="left"/>
    </xf>
    <xf numFmtId="1" fontId="29" fillId="15" borderId="94" applyAlignment="1" pivotButton="0" quotePrefix="0" xfId="0">
      <alignment horizontal="left"/>
    </xf>
    <xf numFmtId="10" fontId="14" fillId="0" borderId="94" applyAlignment="1" pivotButton="0" quotePrefix="0" xfId="0">
      <alignment horizontal="left"/>
    </xf>
    <xf numFmtId="10" fontId="29" fillId="15" borderId="18" applyAlignment="1" pivotButton="0" quotePrefix="0" xfId="0">
      <alignment horizontal="left"/>
    </xf>
    <xf numFmtId="10" fontId="29" fillId="15" borderId="94" applyAlignment="1" pivotButton="0" quotePrefix="0" xfId="0">
      <alignment horizontal="left"/>
    </xf>
    <xf numFmtId="174" fontId="29" fillId="15" borderId="18" applyAlignment="1" pivotButton="0" quotePrefix="0" xfId="0">
      <alignment horizontal="left"/>
    </xf>
    <xf numFmtId="174" fontId="29" fillId="15" borderId="94" applyAlignment="1" pivotButton="0" quotePrefix="0" xfId="0">
      <alignment horizontal="left"/>
    </xf>
    <xf numFmtId="10" fontId="28" fillId="14" borderId="18" applyAlignment="1" pivotButton="0" quotePrefix="0" xfId="0">
      <alignment horizontal="left"/>
    </xf>
    <xf numFmtId="10" fontId="28" fillId="14" borderId="94" applyAlignment="1" pivotButton="0" quotePrefix="0" xfId="0">
      <alignment horizontal="left"/>
    </xf>
    <xf numFmtId="174" fontId="28" fillId="14" borderId="18" applyAlignment="1" pivotButton="0" quotePrefix="0" xfId="0">
      <alignment horizontal="left"/>
    </xf>
    <xf numFmtId="174" fontId="28" fillId="14" borderId="94" applyAlignment="1" pivotButton="0" quotePrefix="0" xfId="0">
      <alignment horizontal="left"/>
    </xf>
    <xf numFmtId="174" fontId="29" fillId="15" borderId="89" applyAlignment="1" pivotButton="0" quotePrefix="0" xfId="0">
      <alignment horizontal="left"/>
    </xf>
    <xf numFmtId="174" fontId="29" fillId="15" borderId="95" applyAlignment="1" pivotButton="0" quotePrefix="0" xfId="0">
      <alignment horizontal="left"/>
    </xf>
    <xf numFmtId="1" fontId="28" fillId="14" borderId="90" applyAlignment="1" pivotButton="0" quotePrefix="0" xfId="0">
      <alignment horizontal="left"/>
    </xf>
    <xf numFmtId="1" fontId="28" fillId="14" borderId="93" applyAlignment="1" pivotButton="0" quotePrefix="0" xfId="0">
      <alignment horizontal="left"/>
    </xf>
    <xf numFmtId="0" fontId="12" fillId="0" borderId="94" applyAlignment="1" pivotButton="0" quotePrefix="0" xfId="0">
      <alignment horizontal="left"/>
    </xf>
    <xf numFmtId="0" fontId="12" fillId="0" borderId="89" applyAlignment="1" pivotButton="0" quotePrefix="0" xfId="0">
      <alignment horizontal="left"/>
    </xf>
    <xf numFmtId="0" fontId="12" fillId="0" borderId="95" applyAlignment="1" pivotButton="0" quotePrefix="0" xfId="0">
      <alignment horizontal="left"/>
    </xf>
    <xf numFmtId="1" fontId="29" fillId="15" borderId="90" applyAlignment="1" pivotButton="0" quotePrefix="0" xfId="0">
      <alignment horizontal="left"/>
    </xf>
    <xf numFmtId="1" fontId="29" fillId="15" borderId="93" applyAlignment="1" pivotButton="0" quotePrefix="0" xfId="0">
      <alignment horizontal="left"/>
    </xf>
    <xf numFmtId="0" fontId="12" fillId="0" borderId="96" applyAlignment="1" pivotButton="0" quotePrefix="0" xfId="0">
      <alignment horizontal="left"/>
    </xf>
    <xf numFmtId="0" fontId="14" fillId="0" borderId="18" applyAlignment="1" pivotButton="0" quotePrefix="0" xfId="0">
      <alignment horizontal="left"/>
    </xf>
    <xf numFmtId="0" fontId="14" fillId="0" borderId="38" applyAlignment="1" pivotButton="0" quotePrefix="0" xfId="0">
      <alignment horizontal="left"/>
    </xf>
    <xf numFmtId="0" fontId="14" fillId="0" borderId="92" applyAlignment="1" pivotButton="0" quotePrefix="0" xfId="0">
      <alignment horizontal="left"/>
    </xf>
    <xf numFmtId="0" fontId="14" fillId="0" borderId="97" applyAlignment="1" pivotButton="0" quotePrefix="0" xfId="0">
      <alignment horizontal="left"/>
    </xf>
    <xf numFmtId="10" fontId="28" fillId="14" borderId="38" applyAlignment="1" pivotButton="0" quotePrefix="0" xfId="0">
      <alignment horizontal="left"/>
    </xf>
    <xf numFmtId="174" fontId="28" fillId="14" borderId="38" applyAlignment="1" pivotButton="0" quotePrefix="0" xfId="0">
      <alignment horizontal="left"/>
    </xf>
    <xf numFmtId="10" fontId="12" fillId="0" borderId="18" applyAlignment="1" pivotButton="0" quotePrefix="0" xfId="0">
      <alignment horizontal="left"/>
    </xf>
    <xf numFmtId="10" fontId="12" fillId="0" borderId="38" applyAlignment="1" pivotButton="0" quotePrefix="0" xfId="0">
      <alignment horizontal="left"/>
    </xf>
    <xf numFmtId="10" fontId="29" fillId="15" borderId="38" applyAlignment="1" pivotButton="0" quotePrefix="0" xfId="0">
      <alignment horizontal="left"/>
    </xf>
    <xf numFmtId="174" fontId="29" fillId="15" borderId="38" applyAlignment="1" pivotButton="0" quotePrefix="0" xfId="0">
      <alignment horizontal="left"/>
    </xf>
    <xf numFmtId="1" fontId="14" fillId="0" borderId="38" applyAlignment="1" pivotButton="0" quotePrefix="0" xfId="0">
      <alignment horizontal="left"/>
    </xf>
    <xf numFmtId="1" fontId="28" fillId="14" borderId="38" applyAlignment="1" pivotButton="0" quotePrefix="0" xfId="0">
      <alignment horizontal="left"/>
    </xf>
    <xf numFmtId="1" fontId="29" fillId="15" borderId="38" applyAlignment="1" pivotButton="0" quotePrefix="0" xfId="0">
      <alignment horizontal="left"/>
    </xf>
    <xf numFmtId="1" fontId="29" fillId="15" borderId="92" applyAlignment="1" pivotButton="0" quotePrefix="0" xfId="0">
      <alignment horizontal="left"/>
    </xf>
    <xf numFmtId="1" fontId="29" fillId="15" borderId="97" applyAlignment="1" pivotButton="0" quotePrefix="0" xfId="0">
      <alignment horizontal="left"/>
    </xf>
    <xf numFmtId="1" fontId="12" fillId="0" borderId="38" applyAlignment="1" pivotButton="0" quotePrefix="0" xfId="0">
      <alignment horizontal="left"/>
    </xf>
    <xf numFmtId="0" fontId="14" fillId="0" borderId="20" applyAlignment="1" pivotButton="0" quotePrefix="0" xfId="0">
      <alignment horizontal="left"/>
    </xf>
    <xf numFmtId="0" fontId="14" fillId="0" borderId="31" applyAlignment="1" pivotButton="0" quotePrefix="0" xfId="0">
      <alignment horizontal="left"/>
    </xf>
    <xf numFmtId="0" fontId="12" fillId="0" borderId="92" applyAlignment="1" pivotButton="0" quotePrefix="0" xfId="0">
      <alignment horizontal="left"/>
    </xf>
    <xf numFmtId="1" fontId="29" fillId="15" borderId="91" applyAlignment="1" pivotButton="0" quotePrefix="0" xfId="0">
      <alignment horizontal="left"/>
    </xf>
    <xf numFmtId="1" fontId="29" fillId="15" borderId="98" applyAlignment="1" pivotButton="0" quotePrefix="0" xfId="0">
      <alignment horizontal="left"/>
    </xf>
    <xf numFmtId="1" fontId="12" fillId="0" borderId="20" applyAlignment="1" pivotButton="0" quotePrefix="0" xfId="0">
      <alignment horizontal="left"/>
    </xf>
    <xf numFmtId="1" fontId="12" fillId="0" borderId="31" applyAlignment="1" pivotButton="0" quotePrefix="0" xfId="0">
      <alignment horizontal="left"/>
    </xf>
    <xf numFmtId="1" fontId="29" fillId="15" borderId="17" applyAlignment="1" pivotButton="0" quotePrefix="0" xfId="0">
      <alignment horizontal="left"/>
    </xf>
    <xf numFmtId="1" fontId="29" fillId="15" borderId="37" applyAlignment="1" pivotButton="0" quotePrefix="0" xfId="0">
      <alignment horizontal="left"/>
    </xf>
    <xf numFmtId="1" fontId="28" fillId="14" borderId="17" applyAlignment="1" pivotButton="0" quotePrefix="0" xfId="0">
      <alignment horizontal="left"/>
    </xf>
    <xf numFmtId="1" fontId="28" fillId="14" borderId="37" applyAlignment="1" pivotButton="0" quotePrefix="0" xfId="0">
      <alignment horizontal="left"/>
    </xf>
    <xf numFmtId="166" fontId="29" fillId="15" borderId="18" applyAlignment="1" pivotButton="0" quotePrefix="0" xfId="0">
      <alignment horizontal="left"/>
    </xf>
    <xf numFmtId="175" fontId="29" fillId="15" borderId="38" applyAlignment="1" pivotButton="0" quotePrefix="0" xfId="0">
      <alignment horizontal="left"/>
    </xf>
    <xf numFmtId="166" fontId="29" fillId="15" borderId="92" applyAlignment="1" pivotButton="0" quotePrefix="0" xfId="0">
      <alignment horizontal="left"/>
    </xf>
    <xf numFmtId="175" fontId="29" fillId="15" borderId="97" applyAlignment="1" pivotButton="0" quotePrefix="0" xfId="0">
      <alignment horizontal="left"/>
    </xf>
    <xf numFmtId="0" fontId="12" fillId="0" borderId="97" applyAlignment="1" pivotButton="0" quotePrefix="0" xfId="0">
      <alignment horizontal="left"/>
    </xf>
    <xf numFmtId="0" fontId="24" fillId="0" borderId="81" applyAlignment="1" pivotButton="0" quotePrefix="0" xfId="0">
      <alignment horizontal="center" vertical="center"/>
    </xf>
    <xf numFmtId="0" fontId="13" fillId="0" borderId="61" applyAlignment="1" pivotButton="0" quotePrefix="0" xfId="0">
      <alignment horizontal="left" vertical="center"/>
    </xf>
    <xf numFmtId="0" fontId="0" fillId="0" borderId="99" pivotButton="0" quotePrefix="0" xfId="0"/>
    <xf numFmtId="0" fontId="14" fillId="0" borderId="17" applyAlignment="1" pivotButton="0" quotePrefix="0" xfId="0">
      <alignment horizontal="left"/>
    </xf>
    <xf numFmtId="0" fontId="6" fillId="0" borderId="99" applyAlignment="1" pivotButton="0" quotePrefix="0" xfId="0">
      <alignment horizontal="left" wrapText="1"/>
    </xf>
    <xf numFmtId="10" fontId="14" fillId="0" borderId="17" applyAlignment="1" pivotButton="0" quotePrefix="0" xfId="0">
      <alignment horizontal="left"/>
    </xf>
    <xf numFmtId="10" fontId="14" fillId="0" borderId="37" applyAlignment="1" pivotButton="0" quotePrefix="0" xfId="0">
      <alignment horizontal="left"/>
    </xf>
    <xf numFmtId="0" fontId="26" fillId="0" borderId="41" applyAlignment="1" pivotButton="0" quotePrefix="0" xfId="0">
      <alignment horizontal="left" wrapText="1"/>
    </xf>
    <xf numFmtId="0" fontId="6" fillId="0" borderId="17" applyAlignment="1" pivotButton="0" quotePrefix="0" xfId="0">
      <alignment horizontal="left" wrapText="1"/>
    </xf>
    <xf numFmtId="0" fontId="6" fillId="0" borderId="18" applyAlignment="1" pivotButton="0" quotePrefix="0" xfId="0">
      <alignment horizontal="left" wrapText="1"/>
    </xf>
    <xf numFmtId="0" fontId="6" fillId="0" borderId="92" applyAlignment="1" pivotButton="0" quotePrefix="0" xfId="0">
      <alignment horizontal="left" wrapText="1"/>
    </xf>
    <xf numFmtId="0" fontId="14" fillId="0" borderId="17" applyAlignment="1" pivotButton="0" quotePrefix="0" xfId="0">
      <alignment horizontal="left" wrapText="1"/>
    </xf>
    <xf numFmtId="0" fontId="26" fillId="0" borderId="100" applyAlignment="1" pivotButton="0" quotePrefix="0" xfId="0">
      <alignment horizontal="left" wrapText="1"/>
    </xf>
    <xf numFmtId="10" fontId="14" fillId="0" borderId="20" applyAlignment="1" pivotButton="0" quotePrefix="0" xfId="0">
      <alignment horizontal="left"/>
    </xf>
    <xf numFmtId="0" fontId="31" fillId="16" borderId="41" applyAlignment="1" pivotButton="0" quotePrefix="0" xfId="0">
      <alignment horizontal="left" wrapText="1"/>
    </xf>
    <xf numFmtId="0" fontId="12" fillId="16" borderId="18" applyAlignment="1" pivotButton="0" quotePrefix="0" xfId="0">
      <alignment horizontal="left"/>
    </xf>
    <xf numFmtId="0" fontId="12" fillId="16" borderId="92" applyAlignment="1" pivotButton="0" quotePrefix="0" xfId="0">
      <alignment horizontal="left"/>
    </xf>
    <xf numFmtId="1" fontId="28" fillId="14" borderId="20" applyAlignment="1" pivotButton="0" quotePrefix="0" xfId="0">
      <alignment horizontal="left"/>
    </xf>
    <xf numFmtId="1" fontId="28" fillId="14" borderId="31" applyAlignment="1" pivotButton="0" quotePrefix="0" xfId="0">
      <alignment horizontal="left"/>
    </xf>
    <xf numFmtId="0" fontId="32" fillId="0" borderId="92" applyAlignment="1" pivotButton="0" quotePrefix="0" xfId="0">
      <alignment horizontal="left" wrapText="1"/>
    </xf>
    <xf numFmtId="0" fontId="32" fillId="0" borderId="97" applyAlignment="1" pivotButton="0" quotePrefix="0" xfId="0">
      <alignment horizontal="left" wrapText="1"/>
    </xf>
    <xf numFmtId="165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wrapText="1"/>
    </xf>
    <xf numFmtId="176" fontId="0" fillId="0" borderId="26" applyAlignment="1" pivotButton="0" quotePrefix="0" xfId="0">
      <alignment horizontal="left"/>
    </xf>
    <xf numFmtId="176" fontId="0" fillId="0" borderId="3" applyAlignment="1" pivotButton="0" quotePrefix="0" xfId="0">
      <alignment horizontal="left"/>
    </xf>
    <xf numFmtId="2" fontId="0" fillId="0" borderId="18" applyAlignment="1" pivotButton="0" quotePrefix="0" xfId="0">
      <alignment horizontal="left"/>
    </xf>
    <xf numFmtId="2" fontId="0" fillId="0" borderId="26" applyAlignment="1" pivotButton="0" quotePrefix="0" xfId="0">
      <alignment horizontal="left"/>
    </xf>
    <xf numFmtId="2" fontId="0" fillId="0" borderId="3" pivotButton="0" quotePrefix="0" xfId="0"/>
    <xf numFmtId="2" fontId="0" fillId="0" borderId="18" pivotButton="0" quotePrefix="0" xfId="0"/>
    <xf numFmtId="2" fontId="0" fillId="0" borderId="26" pivotButton="0" quotePrefix="0" xfId="0"/>
    <xf numFmtId="177" fontId="0" fillId="0" borderId="18" pivotButton="0" quotePrefix="0" xfId="0"/>
    <xf numFmtId="177" fontId="0" fillId="0" borderId="26" applyAlignment="1" pivotButton="0" quotePrefix="0" xfId="0">
      <alignment horizontal="left"/>
    </xf>
    <xf numFmtId="2" fontId="0" fillId="0" borderId="3" applyAlignment="1" pivotButton="0" quotePrefix="0" xfId="0">
      <alignment horizontal="left"/>
    </xf>
    <xf numFmtId="177" fontId="0" fillId="0" borderId="18" applyAlignment="1" pivotButton="0" quotePrefix="0" xfId="0">
      <alignment horizontal="left"/>
    </xf>
    <xf numFmtId="177" fontId="0" fillId="0" borderId="26" pivotButton="0" quotePrefix="0" xfId="0"/>
    <xf numFmtId="178" fontId="0" fillId="0" borderId="18" applyAlignment="1" pivotButton="0" quotePrefix="0" xfId="0">
      <alignment horizontal="left"/>
    </xf>
    <xf numFmtId="176" fontId="0" fillId="0" borderId="27" applyAlignment="1" pivotButton="0" quotePrefix="0" xfId="0">
      <alignment horizontal="left"/>
    </xf>
    <xf numFmtId="178" fontId="0" fillId="0" borderId="27" applyAlignment="1" pivotButton="0" quotePrefix="0" xfId="0">
      <alignment horizontal="left"/>
    </xf>
    <xf numFmtId="0" fontId="36" fillId="0" borderId="81" applyAlignment="1" pivotButton="0" quotePrefix="0" xfId="0">
      <alignment horizontal="center" vertical="center"/>
    </xf>
    <xf numFmtId="164" fontId="0" fillId="0" borderId="0" pivotButton="0" quotePrefix="0" xfId="0"/>
    <xf numFmtId="164" fontId="33" fillId="17" borderId="0" pivotButton="0" quotePrefix="0" xfId="0"/>
    <xf numFmtId="164" fontId="34" fillId="18" borderId="0" pivotButton="0" quotePrefix="0" xfId="0"/>
    <xf numFmtId="0" fontId="12" fillId="0" borderId="0" pivotButton="0" quotePrefix="0" xfId="0"/>
    <xf numFmtId="0" fontId="43" fillId="0" borderId="18" applyAlignment="1" pivotButton="0" quotePrefix="0" xfId="0">
      <alignment horizontal="left"/>
    </xf>
    <xf numFmtId="0" fontId="43" fillId="0" borderId="38" applyAlignment="1" pivotButton="0" quotePrefix="0" xfId="0">
      <alignment horizontal="left"/>
    </xf>
    <xf numFmtId="0" fontId="43" fillId="0" borderId="17" applyAlignment="1" pivotButton="0" quotePrefix="0" xfId="0">
      <alignment horizontal="left" wrapText="1"/>
    </xf>
    <xf numFmtId="0" fontId="43" fillId="14" borderId="18" applyAlignment="1" pivotButton="0" quotePrefix="0" xfId="0">
      <alignment horizontal="left"/>
    </xf>
    <xf numFmtId="0" fontId="43" fillId="14" borderId="38" applyAlignment="1" pivotButton="0" quotePrefix="0" xfId="0">
      <alignment horizontal="left"/>
    </xf>
    <xf numFmtId="0" fontId="43" fillId="15" borderId="18" applyAlignment="1" pivotButton="0" quotePrefix="0" xfId="0">
      <alignment horizontal="left"/>
    </xf>
    <xf numFmtId="0" fontId="43" fillId="15" borderId="38" applyAlignment="1" pivotButton="0" quotePrefix="0" xfId="0">
      <alignment horizontal="left"/>
    </xf>
    <xf numFmtId="0" fontId="4" fillId="0" borderId="104" applyAlignment="1" pivotButton="0" quotePrefix="0" xfId="0">
      <alignment horizontal="left"/>
    </xf>
    <xf numFmtId="0" fontId="5" fillId="0" borderId="105" pivotButton="0" quotePrefix="0" xfId="0"/>
    <xf numFmtId="0" fontId="5" fillId="0" borderId="106" pivotButton="0" quotePrefix="0" xfId="0"/>
    <xf numFmtId="0" fontId="4" fillId="0" borderId="107" applyAlignment="1" pivotButton="0" quotePrefix="0" xfId="0">
      <alignment horizontal="left"/>
    </xf>
    <xf numFmtId="0" fontId="4" fillId="0" borderId="108" applyAlignment="1" pivotButton="0" quotePrefix="0" xfId="0">
      <alignment horizontal="left"/>
    </xf>
    <xf numFmtId="0" fontId="4" fillId="0" borderId="109" applyAlignment="1" pivotButton="0" quotePrefix="0" xfId="0">
      <alignment horizontal="left"/>
    </xf>
    <xf numFmtId="0" fontId="12" fillId="0" borderId="107" applyAlignment="1" pivotButton="0" quotePrefix="0" xfId="0">
      <alignment horizontal="left"/>
    </xf>
    <xf numFmtId="175" fontId="12" fillId="0" borderId="108" applyAlignment="1" pivotButton="0" quotePrefix="0" xfId="0">
      <alignment horizontal="right"/>
    </xf>
    <xf numFmtId="0" fontId="12" fillId="0" borderId="108" applyAlignment="1" pivotButton="0" quotePrefix="0" xfId="0">
      <alignment horizontal="left"/>
    </xf>
    <xf numFmtId="10" fontId="12" fillId="0" borderId="108" applyAlignment="1" pivotButton="0" quotePrefix="0" xfId="0">
      <alignment horizontal="left"/>
    </xf>
    <xf numFmtId="10" fontId="12" fillId="0" borderId="109" applyAlignment="1" pivotButton="0" quotePrefix="0" xfId="0">
      <alignment horizontal="left"/>
    </xf>
    <xf numFmtId="10" fontId="12" fillId="0" borderId="108" pivotButton="0" quotePrefix="0" xfId="0"/>
    <xf numFmtId="0" fontId="12" fillId="0" borderId="109" pivotButton="0" quotePrefix="0" xfId="0"/>
    <xf numFmtId="166" fontId="12" fillId="0" borderId="108" applyAlignment="1" pivotButton="0" quotePrefix="0" xfId="0">
      <alignment horizontal="right"/>
    </xf>
    <xf numFmtId="0" fontId="12" fillId="0" borderId="110" applyAlignment="1" pivotButton="0" quotePrefix="0" xfId="0">
      <alignment horizontal="left"/>
    </xf>
    <xf numFmtId="166" fontId="12" fillId="0" borderId="111" applyAlignment="1" pivotButton="0" quotePrefix="0" xfId="0">
      <alignment horizontal="right"/>
    </xf>
    <xf numFmtId="0" fontId="12" fillId="0" borderId="111" applyAlignment="1" pivotButton="0" quotePrefix="0" xfId="0">
      <alignment horizontal="left"/>
    </xf>
    <xf numFmtId="10" fontId="12" fillId="0" borderId="111" applyAlignment="1" pivotButton="0" quotePrefix="0" xfId="0">
      <alignment horizontal="left"/>
    </xf>
    <xf numFmtId="10" fontId="12" fillId="0" borderId="112" applyAlignment="1" pivotButton="0" quotePrefix="0" xfId="0">
      <alignment horizontal="left"/>
    </xf>
    <xf numFmtId="179" fontId="37" fillId="20" borderId="26" applyAlignment="1" pivotButton="0" quotePrefix="0" xfId="0">
      <alignment horizontal="left"/>
    </xf>
    <xf numFmtId="10" fontId="37" fillId="20" borderId="3" applyAlignment="1" pivotButton="0" quotePrefix="0" xfId="0">
      <alignment horizontal="left"/>
    </xf>
    <xf numFmtId="176" fontId="37" fillId="20" borderId="27" applyAlignment="1" pivotButton="0" quotePrefix="0" xfId="0">
      <alignment horizontal="left"/>
    </xf>
    <xf numFmtId="0" fontId="42" fillId="0" borderId="27" applyAlignment="1" pivotButton="0" quotePrefix="0" xfId="0">
      <alignment horizontal="left" wrapText="1"/>
    </xf>
    <xf numFmtId="10" fontId="38" fillId="19" borderId="3" applyAlignment="1" pivotButton="0" quotePrefix="0" xfId="0">
      <alignment horizontal="left"/>
    </xf>
    <xf numFmtId="176" fontId="38" fillId="19" borderId="27" applyAlignment="1" pivotButton="0" quotePrefix="0" xfId="0">
      <alignment horizontal="left"/>
    </xf>
    <xf numFmtId="179" fontId="38" fillId="19" borderId="26" applyAlignment="1" pivotButton="0" quotePrefix="0" xfId="0">
      <alignment horizontal="left"/>
    </xf>
    <xf numFmtId="10" fontId="38" fillId="19" borderId="27" applyAlignment="1" pivotButton="0" quotePrefix="0" xfId="0">
      <alignment horizontal="left"/>
    </xf>
    <xf numFmtId="10" fontId="37" fillId="20" borderId="27" applyAlignment="1" pivotButton="0" quotePrefix="0" xfId="0">
      <alignment horizontal="left"/>
    </xf>
    <xf numFmtId="176" fontId="37" fillId="20" borderId="3" applyAlignment="1" pivotButton="0" quotePrefix="0" xfId="0">
      <alignment horizontal="left"/>
    </xf>
    <xf numFmtId="174" fontId="37" fillId="20" borderId="26" applyAlignment="1" pivotButton="0" quotePrefix="0" xfId="0">
      <alignment horizontal="left"/>
    </xf>
    <xf numFmtId="176" fontId="38" fillId="19" borderId="3" applyAlignment="1" pivotButton="0" quotePrefix="0" xfId="0">
      <alignment horizontal="left"/>
    </xf>
    <xf numFmtId="174" fontId="38" fillId="19" borderId="26" applyAlignment="1" pivotButton="0" quotePrefix="0" xfId="0">
      <alignment horizontal="left"/>
    </xf>
    <xf numFmtId="179" fontId="37" fillId="20" borderId="28" applyAlignment="1" pivotButton="0" quotePrefix="0" xfId="0">
      <alignment horizontal="left"/>
    </xf>
    <xf numFmtId="10" fontId="37" fillId="20" borderId="7" applyAlignment="1" pivotButton="0" quotePrefix="0" xfId="0">
      <alignment horizontal="left"/>
    </xf>
    <xf numFmtId="10" fontId="37" fillId="20" borderId="29" applyAlignment="1" pivotButton="0" quotePrefix="0" xfId="0">
      <alignment horizontal="left"/>
    </xf>
    <xf numFmtId="179" fontId="38" fillId="19" borderId="0" pivotButton="0" quotePrefix="0" xfId="0"/>
    <xf numFmtId="10" fontId="38" fillId="19" borderId="0" pivotButton="0" quotePrefix="0" xfId="0"/>
    <xf numFmtId="164" fontId="37" fillId="20" borderId="0" pivotButton="0" quotePrefix="0" xfId="0"/>
    <xf numFmtId="164" fontId="38" fillId="19" borderId="0" pivotButton="0" quotePrefix="0" xfId="0"/>
    <xf numFmtId="49" fontId="0" fillId="19" borderId="18" applyAlignment="1" pivotButton="0" quotePrefix="0" xfId="0">
      <alignment horizontal="left"/>
    </xf>
    <xf numFmtId="165" fontId="0" fillId="19" borderId="26" applyAlignment="1" pivotButton="0" quotePrefix="0" xfId="0">
      <alignment horizontal="left"/>
    </xf>
    <xf numFmtId="165" fontId="0" fillId="19" borderId="27" applyAlignment="1" pivotButton="0" quotePrefix="0" xfId="0">
      <alignment horizontal="left"/>
    </xf>
    <xf numFmtId="0" fontId="0" fillId="19" borderId="18" applyAlignment="1" pivotButton="0" quotePrefix="0" xfId="0">
      <alignment horizontal="left"/>
    </xf>
    <xf numFmtId="2" fontId="0" fillId="19" borderId="18" applyAlignment="1" pivotButton="0" quotePrefix="0" xfId="0">
      <alignment horizontal="left"/>
    </xf>
    <xf numFmtId="178" fontId="0" fillId="19" borderId="18" applyAlignment="1" pivotButton="0" quotePrefix="0" xfId="0">
      <alignment horizontal="left"/>
    </xf>
    <xf numFmtId="178" fontId="0" fillId="19" borderId="26" applyAlignment="1" pivotButton="0" quotePrefix="0" xfId="0">
      <alignment horizontal="left"/>
    </xf>
    <xf numFmtId="10" fontId="0" fillId="19" borderId="27" applyAlignment="1" pivotButton="0" quotePrefix="0" xfId="0">
      <alignment horizontal="left"/>
    </xf>
    <xf numFmtId="2" fontId="0" fillId="19" borderId="26" applyAlignment="1" pivotButton="0" quotePrefix="0" xfId="0">
      <alignment horizontal="left"/>
    </xf>
    <xf numFmtId="180" fontId="0" fillId="19" borderId="18" applyAlignment="1" pivotButton="0" quotePrefix="0" xfId="0">
      <alignment horizontal="left"/>
    </xf>
    <xf numFmtId="177" fontId="0" fillId="19" borderId="26" applyAlignment="1" pivotButton="0" quotePrefix="0" xfId="0">
      <alignment horizontal="left"/>
    </xf>
    <xf numFmtId="10" fontId="0" fillId="19" borderId="3" applyAlignment="1" pivotButton="0" quotePrefix="0" xfId="0">
      <alignment horizontal="left"/>
    </xf>
    <xf numFmtId="2" fontId="0" fillId="19" borderId="27" applyAlignment="1" pivotButton="0" quotePrefix="0" xfId="0">
      <alignment horizontal="left"/>
    </xf>
    <xf numFmtId="167" fontId="0" fillId="19" borderId="18" applyAlignment="1" pivotButton="0" quotePrefix="0" xfId="0">
      <alignment horizontal="left"/>
    </xf>
    <xf numFmtId="165" fontId="0" fillId="19" borderId="26" pivotButton="0" quotePrefix="0" xfId="0"/>
    <xf numFmtId="0" fontId="0" fillId="19" borderId="3" pivotButton="0" quotePrefix="0" xfId="0"/>
    <xf numFmtId="2" fontId="0" fillId="19" borderId="3" pivotButton="0" quotePrefix="0" xfId="0"/>
    <xf numFmtId="10" fontId="0" fillId="19" borderId="3" pivotButton="0" quotePrefix="0" xfId="0"/>
    <xf numFmtId="10" fontId="0" fillId="19" borderId="27" pivotButton="0" quotePrefix="0" xfId="0"/>
    <xf numFmtId="0" fontId="0" fillId="19" borderId="18" pivotButton="0" quotePrefix="0" xfId="0"/>
    <xf numFmtId="0" fontId="0" fillId="19" borderId="49" applyAlignment="1" pivotButton="0" quotePrefix="0" xfId="0">
      <alignment horizontal="left"/>
    </xf>
    <xf numFmtId="49" fontId="0" fillId="20" borderId="18" applyAlignment="1" pivotButton="0" quotePrefix="0" xfId="0">
      <alignment horizontal="left"/>
    </xf>
    <xf numFmtId="165" fontId="0" fillId="20" borderId="26" applyAlignment="1" pivotButton="0" quotePrefix="0" xfId="0">
      <alignment horizontal="left"/>
    </xf>
    <xf numFmtId="165" fontId="0" fillId="20" borderId="27" applyAlignment="1" pivotButton="0" quotePrefix="0" xfId="0">
      <alignment horizontal="left"/>
    </xf>
    <xf numFmtId="0" fontId="0" fillId="20" borderId="18" applyAlignment="1" pivotButton="0" quotePrefix="0" xfId="0">
      <alignment horizontal="left"/>
    </xf>
    <xf numFmtId="181" fontId="0" fillId="20" borderId="18" applyAlignment="1" pivotButton="0" quotePrefix="0" xfId="0">
      <alignment horizontal="left"/>
    </xf>
    <xf numFmtId="2" fontId="0" fillId="20" borderId="18" applyAlignment="1" pivotButton="0" quotePrefix="0" xfId="0">
      <alignment horizontal="left"/>
    </xf>
    <xf numFmtId="2" fontId="0" fillId="20" borderId="26" applyAlignment="1" pivotButton="0" quotePrefix="0" xfId="0">
      <alignment horizontal="left"/>
    </xf>
    <xf numFmtId="10" fontId="0" fillId="20" borderId="27" applyAlignment="1" pivotButton="0" quotePrefix="0" xfId="0">
      <alignment horizontal="left"/>
    </xf>
    <xf numFmtId="177" fontId="0" fillId="20" borderId="18" applyAlignment="1" pivotButton="0" quotePrefix="0" xfId="0">
      <alignment horizontal="left"/>
    </xf>
    <xf numFmtId="177" fontId="0" fillId="20" borderId="26" applyAlignment="1" pivotButton="0" quotePrefix="0" xfId="0">
      <alignment horizontal="left"/>
    </xf>
    <xf numFmtId="10" fontId="0" fillId="20" borderId="3" applyAlignment="1" pivotButton="0" quotePrefix="0" xfId="0">
      <alignment horizontal="left"/>
    </xf>
    <xf numFmtId="2" fontId="0" fillId="20" borderId="27" applyAlignment="1" pivotButton="0" quotePrefix="0" xfId="0">
      <alignment horizontal="left"/>
    </xf>
    <xf numFmtId="167" fontId="0" fillId="20" borderId="18" applyAlignment="1" pivotButton="0" quotePrefix="0" xfId="0">
      <alignment horizontal="left"/>
    </xf>
    <xf numFmtId="165" fontId="0" fillId="20" borderId="26" pivotButton="0" quotePrefix="0" xfId="0"/>
    <xf numFmtId="0" fontId="0" fillId="20" borderId="3" pivotButton="0" quotePrefix="0" xfId="0"/>
    <xf numFmtId="2" fontId="0" fillId="20" borderId="3" pivotButton="0" quotePrefix="0" xfId="0"/>
    <xf numFmtId="10" fontId="0" fillId="20" borderId="3" pivotButton="0" quotePrefix="0" xfId="0"/>
    <xf numFmtId="10" fontId="0" fillId="20" borderId="27" pivotButton="0" quotePrefix="0" xfId="0"/>
    <xf numFmtId="0" fontId="0" fillId="20" borderId="18" pivotButton="0" quotePrefix="0" xfId="0"/>
    <xf numFmtId="0" fontId="0" fillId="20" borderId="49" applyAlignment="1" pivotButton="0" quotePrefix="0" xfId="0">
      <alignment horizontal="left"/>
    </xf>
    <xf numFmtId="181" fontId="0" fillId="19" borderId="18" applyAlignment="1" pivotButton="0" quotePrefix="0" xfId="0">
      <alignment horizontal="left"/>
    </xf>
    <xf numFmtId="177" fontId="0" fillId="19" borderId="18" applyAlignment="1" pivotButton="0" quotePrefix="0" xfId="0">
      <alignment horizontal="left"/>
    </xf>
    <xf numFmtId="181" fontId="0" fillId="19" borderId="27" applyAlignment="1" pivotButton="0" quotePrefix="0" xfId="0">
      <alignment horizontal="left"/>
    </xf>
    <xf numFmtId="176" fontId="0" fillId="19" borderId="27" applyAlignment="1" pivotButton="0" quotePrefix="0" xfId="0">
      <alignment horizontal="left"/>
    </xf>
    <xf numFmtId="166" fontId="0" fillId="19" borderId="18" applyAlignment="1" pivotButton="0" quotePrefix="0" xfId="0">
      <alignment horizontal="left"/>
    </xf>
    <xf numFmtId="166" fontId="0" fillId="19" borderId="26" applyAlignment="1" pivotButton="0" quotePrefix="0" xfId="0">
      <alignment horizontal="left"/>
    </xf>
    <xf numFmtId="176" fontId="0" fillId="19" borderId="3" applyAlignment="1" pivotButton="0" quotePrefix="0" xfId="0">
      <alignment horizontal="left"/>
    </xf>
    <xf numFmtId="4" fontId="0" fillId="19" borderId="18" applyAlignment="1" pivotButton="0" quotePrefix="0" xfId="0">
      <alignment horizontal="left"/>
    </xf>
    <xf numFmtId="176" fontId="0" fillId="20" borderId="27" applyAlignment="1" pivotButton="0" quotePrefix="0" xfId="0">
      <alignment horizontal="left"/>
    </xf>
    <xf numFmtId="166" fontId="0" fillId="20" borderId="18" applyAlignment="1" pivotButton="0" quotePrefix="0" xfId="0">
      <alignment horizontal="left"/>
    </xf>
    <xf numFmtId="166" fontId="0" fillId="20" borderId="26" applyAlignment="1" pivotButton="0" quotePrefix="0" xfId="0">
      <alignment horizontal="left"/>
    </xf>
    <xf numFmtId="182" fontId="0" fillId="20" borderId="3" applyAlignment="1" pivotButton="0" quotePrefix="0" xfId="0">
      <alignment horizontal="left"/>
    </xf>
    <xf numFmtId="4" fontId="0" fillId="20" borderId="18" applyAlignment="1" pivotButton="0" quotePrefix="0" xfId="0">
      <alignment horizontal="left"/>
    </xf>
    <xf numFmtId="178" fontId="0" fillId="20" borderId="18" applyAlignment="1" pivotButton="0" quotePrefix="0" xfId="0">
      <alignment horizontal="left"/>
    </xf>
    <xf numFmtId="176" fontId="0" fillId="20" borderId="3" applyAlignment="1" pivotButton="0" quotePrefix="0" xfId="0">
      <alignment horizontal="left"/>
    </xf>
    <xf numFmtId="180" fontId="0" fillId="19" borderId="26" applyAlignment="1" pivotButton="0" quotePrefix="0" xfId="0">
      <alignment horizontal="left"/>
    </xf>
    <xf numFmtId="49" fontId="0" fillId="20" borderId="18" pivotButton="0" quotePrefix="0" xfId="0"/>
    <xf numFmtId="49" fontId="0" fillId="19" borderId="18" pivotButton="0" quotePrefix="0" xfId="0"/>
    <xf numFmtId="178" fontId="0" fillId="19" borderId="27" applyAlignment="1" pivotButton="0" quotePrefix="0" xfId="0">
      <alignment horizontal="left"/>
    </xf>
    <xf numFmtId="0" fontId="0" fillId="19" borderId="18" applyAlignment="1" pivotButton="0" quotePrefix="0" xfId="0">
      <alignment horizontal="left" wrapText="1"/>
    </xf>
    <xf numFmtId="2" fontId="0" fillId="20" borderId="26" pivotButton="0" quotePrefix="0" xfId="0"/>
    <xf numFmtId="2" fontId="0" fillId="20" borderId="27" pivotButton="0" quotePrefix="0" xfId="0"/>
    <xf numFmtId="0" fontId="0" fillId="20" borderId="18" applyAlignment="1" pivotButton="0" quotePrefix="0" xfId="0">
      <alignment horizontal="left" wrapText="1"/>
    </xf>
    <xf numFmtId="166" fontId="0" fillId="19" borderId="18" pivotButton="0" quotePrefix="0" xfId="0"/>
    <xf numFmtId="2" fontId="0" fillId="19" borderId="26" pivotButton="0" quotePrefix="0" xfId="0"/>
    <xf numFmtId="2" fontId="0" fillId="19" borderId="27" pivotButton="0" quotePrefix="0" xfId="0"/>
    <xf numFmtId="183" fontId="0" fillId="19" borderId="18" applyAlignment="1" pivotButton="0" quotePrefix="0" xfId="0">
      <alignment horizontal="left"/>
    </xf>
    <xf numFmtId="184" fontId="0" fillId="19" borderId="18" applyAlignment="1" pivotButton="0" quotePrefix="0" xfId="0">
      <alignment horizontal="left"/>
    </xf>
    <xf numFmtId="185" fontId="0" fillId="20" borderId="18" applyAlignment="1" pivotButton="0" quotePrefix="0" xfId="0">
      <alignment horizontal="left"/>
    </xf>
    <xf numFmtId="185" fontId="0" fillId="19" borderId="18" applyAlignment="1" pivotButton="0" quotePrefix="0" xfId="0">
      <alignment horizontal="left"/>
    </xf>
    <xf numFmtId="183" fontId="0" fillId="20" borderId="18" applyAlignment="1" pivotButton="0" quotePrefix="0" xfId="0">
      <alignment horizontal="left"/>
    </xf>
    <xf numFmtId="166" fontId="0" fillId="20" borderId="18" pivotButton="0" quotePrefix="0" xfId="0"/>
    <xf numFmtId="178" fontId="0" fillId="20" borderId="26" applyAlignment="1" pivotButton="0" quotePrefix="0" xfId="0">
      <alignment horizontal="left"/>
    </xf>
    <xf numFmtId="181" fontId="0" fillId="19" borderId="26" applyAlignment="1" pivotButton="0" quotePrefix="0" xfId="0">
      <alignment horizontal="left"/>
    </xf>
    <xf numFmtId="182" fontId="0" fillId="19" borderId="27" applyAlignment="1" pivotButton="0" quotePrefix="0" xfId="0">
      <alignment horizontal="left"/>
    </xf>
    <xf numFmtId="182" fontId="0" fillId="19" borderId="3" applyAlignment="1" pivotButton="0" quotePrefix="0" xfId="0">
      <alignment horizontal="left"/>
    </xf>
    <xf numFmtId="181" fontId="0" fillId="20" borderId="26" applyAlignment="1" pivotButton="0" quotePrefix="0" xfId="0">
      <alignment horizontal="left"/>
    </xf>
    <xf numFmtId="180" fontId="0" fillId="20" borderId="18" applyAlignment="1" pivotButton="0" quotePrefix="0" xfId="0">
      <alignment horizontal="left"/>
    </xf>
    <xf numFmtId="184" fontId="0" fillId="20" borderId="26" applyAlignment="1" pivotButton="0" quotePrefix="0" xfId="0">
      <alignment horizontal="left"/>
    </xf>
    <xf numFmtId="184" fontId="0" fillId="19" borderId="26" applyAlignment="1" pivotButton="0" quotePrefix="0" xfId="0">
      <alignment horizontal="left"/>
    </xf>
    <xf numFmtId="186" fontId="0" fillId="19" borderId="3" applyAlignment="1" pivotButton="0" quotePrefix="0" xfId="0">
      <alignment horizontal="left"/>
    </xf>
    <xf numFmtId="0" fontId="0" fillId="19" borderId="3" applyAlignment="1" pivotButton="0" quotePrefix="0" xfId="0">
      <alignment horizontal="left"/>
    </xf>
    <xf numFmtId="2" fontId="0" fillId="19" borderId="3" applyAlignment="1" pivotButton="0" quotePrefix="0" xfId="0">
      <alignment horizontal="left"/>
    </xf>
    <xf numFmtId="184" fontId="0" fillId="20" borderId="18" applyAlignment="1" pivotButton="0" quotePrefix="0" xfId="0">
      <alignment horizontal="left"/>
    </xf>
    <xf numFmtId="0" fontId="0" fillId="20" borderId="3" applyAlignment="1" pivotButton="0" quotePrefix="0" xfId="0">
      <alignment horizontal="left"/>
    </xf>
    <xf numFmtId="2" fontId="0" fillId="20" borderId="3" applyAlignment="1" pivotButton="0" quotePrefix="0" xfId="0">
      <alignment horizontal="left"/>
    </xf>
    <xf numFmtId="187" fontId="0" fillId="19" borderId="18" applyAlignment="1" pivotButton="0" quotePrefix="0" xfId="0">
      <alignment horizontal="left"/>
    </xf>
    <xf numFmtId="187" fontId="0" fillId="19" borderId="26" applyAlignment="1" pivotButton="0" quotePrefix="0" xfId="0">
      <alignment horizontal="left"/>
    </xf>
    <xf numFmtId="187" fontId="0" fillId="20" borderId="18" applyAlignment="1" pivotButton="0" quotePrefix="0" xfId="0">
      <alignment horizontal="left"/>
    </xf>
    <xf numFmtId="178" fontId="0" fillId="20" borderId="27" applyAlignment="1" pivotButton="0" quotePrefix="0" xfId="0">
      <alignment horizontal="left"/>
    </xf>
    <xf numFmtId="178" fontId="0" fillId="19" borderId="3" applyAlignment="1" pivotButton="0" quotePrefix="0" xfId="0">
      <alignment horizontal="left"/>
    </xf>
    <xf numFmtId="185" fontId="0" fillId="19" borderId="26" applyAlignment="1" pivotButton="0" quotePrefix="0" xfId="0">
      <alignment horizontal="left"/>
    </xf>
    <xf numFmtId="183" fontId="0" fillId="19" borderId="26" applyAlignment="1" pivotButton="0" quotePrefix="0" xfId="0">
      <alignment horizontal="left"/>
    </xf>
    <xf numFmtId="183" fontId="0" fillId="19" borderId="3" applyAlignment="1" pivotButton="0" quotePrefix="0" xfId="0">
      <alignment horizontal="left"/>
    </xf>
    <xf numFmtId="178" fontId="0" fillId="20" borderId="3" applyAlignment="1" pivotButton="0" quotePrefix="0" xfId="0">
      <alignment horizontal="left"/>
    </xf>
    <xf numFmtId="181" fontId="0" fillId="19" borderId="3" applyAlignment="1" pivotButton="0" quotePrefix="0" xfId="0">
      <alignment horizontal="left"/>
    </xf>
    <xf numFmtId="181" fontId="0" fillId="20" borderId="3" applyAlignment="1" pivotButton="0" quotePrefix="0" xfId="0">
      <alignment horizontal="left"/>
    </xf>
    <xf numFmtId="187" fontId="0" fillId="20" borderId="26" applyAlignment="1" pivotButton="0" quotePrefix="0" xfId="0">
      <alignment horizontal="left"/>
    </xf>
    <xf numFmtId="186" fontId="0" fillId="20" borderId="27" applyAlignment="1" pivotButton="0" quotePrefix="0" xfId="0">
      <alignment horizontal="left"/>
    </xf>
    <xf numFmtId="0" fontId="0" fillId="20" borderId="49" applyAlignment="1" pivotButton="0" quotePrefix="0" xfId="0">
      <alignment horizontal="left" wrapText="1"/>
    </xf>
    <xf numFmtId="0" fontId="0" fillId="19" borderId="49" applyAlignment="1" pivotButton="0" quotePrefix="0" xfId="0">
      <alignment horizontal="left" wrapText="1"/>
    </xf>
    <xf numFmtId="49" fontId="0" fillId="20" borderId="19" applyAlignment="1" pivotButton="0" quotePrefix="0" xfId="0">
      <alignment horizontal="left"/>
    </xf>
    <xf numFmtId="165" fontId="0" fillId="20" borderId="28" applyAlignment="1" pivotButton="0" quotePrefix="0" xfId="0">
      <alignment horizontal="left"/>
    </xf>
    <xf numFmtId="165" fontId="0" fillId="20" borderId="29" applyAlignment="1" pivotButton="0" quotePrefix="0" xfId="0">
      <alignment horizontal="left"/>
    </xf>
    <xf numFmtId="0" fontId="0" fillId="20" borderId="19" applyAlignment="1" pivotButton="0" quotePrefix="0" xfId="0">
      <alignment horizontal="left"/>
    </xf>
    <xf numFmtId="178" fontId="0" fillId="20" borderId="19" applyAlignment="1" pivotButton="0" quotePrefix="0" xfId="0">
      <alignment horizontal="left"/>
    </xf>
    <xf numFmtId="2" fontId="0" fillId="20" borderId="19" applyAlignment="1" pivotButton="0" quotePrefix="0" xfId="0">
      <alignment horizontal="left"/>
    </xf>
    <xf numFmtId="2" fontId="0" fillId="20" borderId="28" applyAlignment="1" pivotButton="0" quotePrefix="0" xfId="0">
      <alignment horizontal="left"/>
    </xf>
    <xf numFmtId="176" fontId="0" fillId="20" borderId="29" applyAlignment="1" pivotButton="0" quotePrefix="0" xfId="0">
      <alignment horizontal="left"/>
    </xf>
    <xf numFmtId="2" fontId="0" fillId="20" borderId="28" pivotButton="0" quotePrefix="0" xfId="0"/>
    <xf numFmtId="10" fontId="0" fillId="20" borderId="29" pivotButton="0" quotePrefix="0" xfId="0"/>
    <xf numFmtId="166" fontId="0" fillId="20" borderId="19" pivotButton="0" quotePrefix="0" xfId="0"/>
    <xf numFmtId="166" fontId="0" fillId="20" borderId="28" applyAlignment="1" pivotButton="0" quotePrefix="0" xfId="0">
      <alignment horizontal="left"/>
    </xf>
    <xf numFmtId="10" fontId="0" fillId="20" borderId="7" applyAlignment="1" pivotButton="0" quotePrefix="0" xfId="0">
      <alignment horizontal="left"/>
    </xf>
    <xf numFmtId="2" fontId="0" fillId="20" borderId="29" applyAlignment="1" pivotButton="0" quotePrefix="0" xfId="0">
      <alignment horizontal="left"/>
    </xf>
    <xf numFmtId="4" fontId="0" fillId="20" borderId="19" applyAlignment="1" pivotButton="0" quotePrefix="0" xfId="0">
      <alignment horizontal="left"/>
    </xf>
    <xf numFmtId="165" fontId="0" fillId="20" borderId="28" pivotButton="0" quotePrefix="0" xfId="0"/>
    <xf numFmtId="0" fontId="0" fillId="20" borderId="7" pivotButton="0" quotePrefix="0" xfId="0"/>
    <xf numFmtId="2" fontId="0" fillId="20" borderId="7" pivotButton="0" quotePrefix="0" xfId="0"/>
    <xf numFmtId="10" fontId="0" fillId="20" borderId="7" pivotButton="0" quotePrefix="0" xfId="0"/>
    <xf numFmtId="0" fontId="0" fillId="20" borderId="19" pivotButton="0" quotePrefix="0" xfId="0"/>
    <xf numFmtId="0" fontId="0" fillId="20" borderId="19" applyAlignment="1" pivotButton="0" quotePrefix="0" xfId="0">
      <alignment horizontal="left" wrapText="1"/>
    </xf>
    <xf numFmtId="0" fontId="0" fillId="20" borderId="50" applyAlignment="1" pivotButton="0" quotePrefix="0" xfId="0">
      <alignment horizontal="left"/>
    </xf>
    <xf numFmtId="49" fontId="0" fillId="19" borderId="0" applyAlignment="1" pivotButton="0" quotePrefix="0" xfId="0">
      <alignment horizontal="left"/>
    </xf>
    <xf numFmtId="165" fontId="0" fillId="19" borderId="0" applyAlignment="1" pivotButton="0" quotePrefix="0" xfId="0">
      <alignment horizontal="left"/>
    </xf>
    <xf numFmtId="0" fontId="0" fillId="19" borderId="0" applyAlignment="1" pivotButton="0" quotePrefix="0" xfId="0">
      <alignment horizontal="left"/>
    </xf>
    <xf numFmtId="178" fontId="0" fillId="19" borderId="0" applyAlignment="1" pivotButton="0" quotePrefix="0" xfId="0">
      <alignment horizontal="left"/>
    </xf>
    <xf numFmtId="2" fontId="0" fillId="19" borderId="0" applyAlignment="1" pivotButton="0" quotePrefix="0" xfId="0">
      <alignment horizontal="left"/>
    </xf>
    <xf numFmtId="176" fontId="0" fillId="19" borderId="0" applyAlignment="1" pivotButton="0" quotePrefix="0" xfId="0">
      <alignment horizontal="left"/>
    </xf>
    <xf numFmtId="166" fontId="0" fillId="19" borderId="0" pivotButton="0" quotePrefix="0" xfId="0"/>
    <xf numFmtId="166" fontId="0" fillId="19" borderId="0" applyAlignment="1" pivotButton="0" quotePrefix="0" xfId="0">
      <alignment horizontal="left"/>
    </xf>
    <xf numFmtId="10" fontId="0" fillId="19" borderId="0" applyAlignment="1" pivotButton="0" quotePrefix="0" xfId="0">
      <alignment horizontal="left"/>
    </xf>
    <xf numFmtId="4" fontId="0" fillId="19" borderId="0" applyAlignment="1" pivotButton="0" quotePrefix="0" xfId="0">
      <alignment horizontal="left"/>
    </xf>
    <xf numFmtId="165" fontId="0" fillId="19" borderId="0" pivotButton="0" quotePrefix="0" xfId="0"/>
    <xf numFmtId="0" fontId="0" fillId="19" borderId="0" pivotButton="0" quotePrefix="0" xfId="0"/>
    <xf numFmtId="2" fontId="0" fillId="19" borderId="0" pivotButton="0" quotePrefix="0" xfId="0"/>
    <xf numFmtId="10" fontId="0" fillId="19" borderId="0" pivotButton="0" quotePrefix="0" xfId="0"/>
    <xf numFmtId="0" fontId="0" fillId="19" borderId="0" applyAlignment="1" pivotButton="0" quotePrefix="0" xfId="0">
      <alignment horizontal="left" wrapText="1"/>
    </xf>
    <xf numFmtId="0" fontId="40" fillId="19" borderId="52" applyAlignment="1" pivotButton="0" quotePrefix="0" xfId="0">
      <alignment horizontal="left" vertical="center"/>
    </xf>
    <xf numFmtId="0" fontId="40" fillId="19" borderId="58" applyAlignment="1" pivotButton="0" quotePrefix="0" xfId="0">
      <alignment horizontal="left" vertical="center"/>
    </xf>
    <xf numFmtId="0" fontId="41" fillId="20" borderId="52" applyAlignment="1" pivotButton="0" quotePrefix="0" xfId="0">
      <alignment horizontal="left" vertical="center"/>
    </xf>
    <xf numFmtId="0" fontId="41" fillId="20" borderId="58" applyAlignment="1" pivotButton="0" quotePrefix="0" xfId="0">
      <alignment horizontal="left" vertical="center"/>
    </xf>
    <xf numFmtId="0" fontId="40" fillId="19" borderId="81" applyAlignment="1" pivotButton="0" quotePrefix="0" xfId="0">
      <alignment horizontal="center" vertical="center"/>
    </xf>
    <xf numFmtId="0" fontId="41" fillId="20" borderId="81" applyAlignment="1" pivotButton="0" quotePrefix="0" xfId="0">
      <alignment horizontal="center" vertical="center"/>
    </xf>
    <xf numFmtId="0" fontId="40" fillId="19" borderId="60" applyAlignment="1" pivotButton="0" quotePrefix="0" xfId="0">
      <alignment horizontal="left" vertical="center"/>
    </xf>
    <xf numFmtId="0" fontId="41" fillId="20" borderId="60" applyAlignment="1" pivotButton="0" quotePrefix="0" xfId="0">
      <alignment horizontal="left" vertical="center"/>
    </xf>
    <xf numFmtId="0" fontId="7" fillId="3" borderId="104" applyAlignment="1" pivotButton="0" quotePrefix="0" xfId="0">
      <alignment horizontal="left"/>
    </xf>
    <xf numFmtId="0" fontId="7" fillId="3" borderId="105" applyAlignment="1" pivotButton="0" quotePrefix="0" xfId="0">
      <alignment horizontal="left"/>
    </xf>
    <xf numFmtId="0" fontId="7" fillId="3" borderId="106" applyAlignment="1" pivotButton="0" quotePrefix="0" xfId="0">
      <alignment horizontal="left"/>
    </xf>
    <xf numFmtId="0" fontId="26" fillId="0" borderId="107" applyAlignment="1" pivotButton="0" quotePrefix="0" xfId="0">
      <alignment horizontal="left" wrapText="1"/>
    </xf>
    <xf numFmtId="1" fontId="14" fillId="0" borderId="108" applyAlignment="1" pivotButton="0" quotePrefix="0" xfId="0">
      <alignment horizontal="left"/>
    </xf>
    <xf numFmtId="1" fontId="14" fillId="0" borderId="109" applyAlignment="1" pivotButton="0" quotePrefix="0" xfId="0">
      <alignment horizontal="left"/>
    </xf>
    <xf numFmtId="0" fontId="6" fillId="0" borderId="107" applyAlignment="1" pivotButton="0" quotePrefix="0" xfId="0">
      <alignment horizontal="left" wrapText="1"/>
    </xf>
    <xf numFmtId="1" fontId="37" fillId="20" borderId="108" applyAlignment="1" pivotButton="0" quotePrefix="0" xfId="0">
      <alignment horizontal="left"/>
    </xf>
    <xf numFmtId="1" fontId="37" fillId="20" borderId="109" applyAlignment="1" pivotButton="0" quotePrefix="0" xfId="0">
      <alignment horizontal="left"/>
    </xf>
    <xf numFmtId="1" fontId="38" fillId="19" borderId="108" applyAlignment="1" pivotButton="0" quotePrefix="0" xfId="0">
      <alignment horizontal="left"/>
    </xf>
    <xf numFmtId="1" fontId="38" fillId="19" borderId="109" applyAlignment="1" pivotButton="0" quotePrefix="0" xfId="0">
      <alignment horizontal="left"/>
    </xf>
    <xf numFmtId="10" fontId="14" fillId="0" borderId="108" applyAlignment="1" pivotButton="0" quotePrefix="0" xfId="0">
      <alignment horizontal="left"/>
    </xf>
    <xf numFmtId="10" fontId="14" fillId="0" borderId="109" applyAlignment="1" pivotButton="0" quotePrefix="0" xfId="0">
      <alignment horizontal="left"/>
    </xf>
    <xf numFmtId="10" fontId="38" fillId="19" borderId="108" applyAlignment="1" pivotButton="0" quotePrefix="0" xfId="0">
      <alignment horizontal="left"/>
    </xf>
    <xf numFmtId="10" fontId="37" fillId="20" borderId="108" applyAlignment="1" pivotButton="0" quotePrefix="0" xfId="0">
      <alignment horizontal="left"/>
    </xf>
    <xf numFmtId="10" fontId="38" fillId="19" borderId="109" applyAlignment="1" pivotButton="0" quotePrefix="0" xfId="0">
      <alignment horizontal="left"/>
    </xf>
    <xf numFmtId="176" fontId="37" fillId="20" borderId="109" applyAlignment="1" pivotButton="0" quotePrefix="0" xfId="0">
      <alignment horizontal="left"/>
    </xf>
    <xf numFmtId="179" fontId="37" fillId="20" borderId="108" applyAlignment="1" pivotButton="0" quotePrefix="0" xfId="0">
      <alignment horizontal="left"/>
    </xf>
    <xf numFmtId="179" fontId="37" fillId="20" borderId="109" applyAlignment="1" pivotButton="0" quotePrefix="0" xfId="0">
      <alignment horizontal="left"/>
    </xf>
    <xf numFmtId="179" fontId="38" fillId="19" borderId="108" applyAlignment="1" pivotButton="0" quotePrefix="0" xfId="0">
      <alignment horizontal="left"/>
    </xf>
    <xf numFmtId="179" fontId="38" fillId="19" borderId="109" applyAlignment="1" pivotButton="0" quotePrefix="0" xfId="0">
      <alignment horizontal="left"/>
    </xf>
    <xf numFmtId="0" fontId="12" fillId="0" borderId="109" applyAlignment="1" pivotButton="0" quotePrefix="0" xfId="0">
      <alignment horizontal="left"/>
    </xf>
    <xf numFmtId="176" fontId="38" fillId="19" borderId="108" applyAlignment="1" pivotButton="0" quotePrefix="0" xfId="0">
      <alignment horizontal="left"/>
    </xf>
    <xf numFmtId="176" fontId="37" fillId="20" borderId="108" applyAlignment="1" pivotButton="0" quotePrefix="0" xfId="0">
      <alignment horizontal="left"/>
    </xf>
    <xf numFmtId="0" fontId="26" fillId="0" borderId="110" applyAlignment="1" pivotButton="0" quotePrefix="0" xfId="0">
      <alignment horizontal="left" wrapText="1"/>
    </xf>
    <xf numFmtId="174" fontId="37" fillId="20" borderId="111" applyAlignment="1" pivotButton="0" quotePrefix="0" xfId="0">
      <alignment horizontal="left"/>
    </xf>
    <xf numFmtId="179" fontId="38" fillId="19" borderId="111" applyAlignment="1" pivotButton="0" quotePrefix="0" xfId="0">
      <alignment horizontal="left"/>
    </xf>
    <xf numFmtId="174" fontId="38" fillId="19" borderId="111" applyAlignment="1" pivotButton="0" quotePrefix="0" xfId="0">
      <alignment horizontal="left"/>
    </xf>
    <xf numFmtId="188" fontId="38" fillId="19" borderId="111" applyAlignment="1" pivotButton="0" quotePrefix="0" xfId="0">
      <alignment horizontal="left"/>
    </xf>
    <xf numFmtId="188" fontId="38" fillId="19" borderId="112" applyAlignment="1" pivotButton="0" quotePrefix="0" xfId="0">
      <alignment horizontal="left"/>
    </xf>
    <xf numFmtId="0" fontId="6" fillId="0" borderId="104" applyAlignment="1" pivotButton="0" quotePrefix="0" xfId="0">
      <alignment horizontal="left" wrapText="1"/>
    </xf>
    <xf numFmtId="176" fontId="14" fillId="0" borderId="105" applyAlignment="1" pivotButton="0" quotePrefix="0" xfId="0">
      <alignment horizontal="left"/>
    </xf>
    <xf numFmtId="10" fontId="14" fillId="0" borderId="105" applyAlignment="1" pivotButton="0" quotePrefix="0" xfId="0">
      <alignment horizontal="left"/>
    </xf>
    <xf numFmtId="10" fontId="14" fillId="0" borderId="106" applyAlignment="1" pivotButton="0" quotePrefix="0" xfId="0">
      <alignment horizontal="left"/>
    </xf>
    <xf numFmtId="0" fontId="14" fillId="0" borderId="108" applyAlignment="1" pivotButton="0" quotePrefix="0" xfId="0">
      <alignment horizontal="left"/>
    </xf>
    <xf numFmtId="0" fontId="14" fillId="0" borderId="109" applyAlignment="1" pivotButton="0" quotePrefix="0" xfId="0">
      <alignment horizontal="left"/>
    </xf>
    <xf numFmtId="0" fontId="6" fillId="0" borderId="110" applyAlignment="1" pivotButton="0" quotePrefix="0" xfId="0">
      <alignment horizontal="left" wrapText="1"/>
    </xf>
    <xf numFmtId="0" fontId="14" fillId="0" borderId="111" applyAlignment="1" pivotButton="0" quotePrefix="0" xfId="0">
      <alignment horizontal="left"/>
    </xf>
    <xf numFmtId="0" fontId="14" fillId="0" borderId="112" applyAlignment="1" pivotButton="0" quotePrefix="0" xfId="0">
      <alignment horizontal="left"/>
    </xf>
    <xf numFmtId="0" fontId="14" fillId="0" borderId="105" applyAlignment="1" pivotButton="0" quotePrefix="0" xfId="0">
      <alignment horizontal="left"/>
    </xf>
    <xf numFmtId="0" fontId="14" fillId="0" borderId="106" applyAlignment="1" pivotButton="0" quotePrefix="0" xfId="0">
      <alignment horizontal="left"/>
    </xf>
    <xf numFmtId="0" fontId="26" fillId="0" borderId="104" applyAlignment="1" pivotButton="0" quotePrefix="0" xfId="0">
      <alignment horizontal="left" wrapText="1"/>
    </xf>
    <xf numFmtId="0" fontId="37" fillId="20" borderId="105" applyAlignment="1" pivotButton="0" quotePrefix="0" xfId="0">
      <alignment horizontal="left"/>
    </xf>
    <xf numFmtId="0" fontId="37" fillId="20" borderId="106" applyAlignment="1" pivotButton="0" quotePrefix="0" xfId="0">
      <alignment horizontal="left"/>
    </xf>
    <xf numFmtId="0" fontId="38" fillId="19" borderId="108" applyAlignment="1" pivotButton="0" quotePrefix="0" xfId="0">
      <alignment horizontal="left"/>
    </xf>
    <xf numFmtId="0" fontId="38" fillId="19" borderId="109" applyAlignment="1" pivotButton="0" quotePrefix="0" xfId="0">
      <alignment horizontal="left"/>
    </xf>
    <xf numFmtId="0" fontId="37" fillId="20" borderId="111" applyAlignment="1" pivotButton="0" quotePrefix="0" xfId="0">
      <alignment horizontal="left"/>
    </xf>
    <xf numFmtId="0" fontId="37" fillId="20" borderId="112" applyAlignment="1" pivotButton="0" quotePrefix="0" xfId="0">
      <alignment horizontal="left"/>
    </xf>
    <xf numFmtId="0" fontId="12" fillId="0" borderId="105" applyAlignment="1" pivotButton="0" quotePrefix="0" xfId="0">
      <alignment horizontal="left"/>
    </xf>
    <xf numFmtId="0" fontId="12" fillId="0" borderId="106" applyAlignment="1" pivotButton="0" quotePrefix="0" xfId="0">
      <alignment horizontal="left"/>
    </xf>
    <xf numFmtId="176" fontId="14" fillId="0" borderId="108" applyAlignment="1" pivotButton="0" quotePrefix="0" xfId="0">
      <alignment horizontal="left"/>
    </xf>
    <xf numFmtId="176" fontId="14" fillId="0" borderId="109" applyAlignment="1" pivotButton="0" quotePrefix="0" xfId="0">
      <alignment horizontal="left"/>
    </xf>
    <xf numFmtId="10" fontId="30" fillId="0" borderId="108" applyAlignment="1" pivotButton="0" quotePrefix="0" xfId="0">
      <alignment horizontal="left"/>
    </xf>
    <xf numFmtId="10" fontId="30" fillId="0" borderId="109" applyAlignment="1" pivotButton="0" quotePrefix="0" xfId="0">
      <alignment horizontal="left"/>
    </xf>
    <xf numFmtId="0" fontId="30" fillId="0" borderId="108" applyAlignment="1" pivotButton="0" quotePrefix="0" xfId="0">
      <alignment horizontal="left"/>
    </xf>
    <xf numFmtId="0" fontId="30" fillId="0" borderId="109" applyAlignment="1" pivotButton="0" quotePrefix="0" xfId="0">
      <alignment horizontal="left"/>
    </xf>
    <xf numFmtId="182" fontId="38" fillId="19" borderId="108" applyAlignment="1" pivotButton="0" quotePrefix="0" xfId="0">
      <alignment horizontal="left"/>
    </xf>
    <xf numFmtId="176" fontId="38" fillId="19" borderId="109" applyAlignment="1" pivotButton="0" quotePrefix="0" xfId="0">
      <alignment horizontal="left"/>
    </xf>
    <xf numFmtId="1" fontId="14" fillId="0" borderId="105" applyAlignment="1" pivotButton="0" quotePrefix="0" xfId="0">
      <alignment horizontal="left"/>
    </xf>
    <xf numFmtId="1" fontId="14" fillId="0" borderId="106" applyAlignment="1" pivotButton="0" quotePrefix="0" xfId="0">
      <alignment horizontal="left"/>
    </xf>
    <xf numFmtId="1" fontId="39" fillId="19" borderId="108" applyAlignment="1" pivotButton="0" quotePrefix="0" xfId="0">
      <alignment horizontal="left"/>
    </xf>
    <xf numFmtId="1" fontId="39" fillId="19" borderId="109" applyAlignment="1" pivotButton="0" quotePrefix="0" xfId="0">
      <alignment horizontal="left"/>
    </xf>
    <xf numFmtId="1" fontId="12" fillId="0" borderId="108" applyAlignment="1" pivotButton="0" quotePrefix="0" xfId="0">
      <alignment horizontal="left"/>
    </xf>
    <xf numFmtId="1" fontId="12" fillId="0" borderId="109" applyAlignment="1" pivotButton="0" quotePrefix="0" xfId="0">
      <alignment horizontal="left"/>
    </xf>
    <xf numFmtId="1" fontId="12" fillId="0" borderId="111" applyAlignment="1" pivotButton="0" quotePrefix="0" xfId="0">
      <alignment horizontal="left"/>
    </xf>
    <xf numFmtId="1" fontId="12" fillId="0" borderId="112" applyAlignment="1" pivotButton="0" quotePrefix="0" xfId="0">
      <alignment horizontal="left"/>
    </xf>
    <xf numFmtId="0" fontId="30" fillId="0" borderId="105" applyAlignment="1" pivotButton="0" quotePrefix="0" xfId="0">
      <alignment horizontal="left"/>
    </xf>
    <xf numFmtId="0" fontId="30" fillId="0" borderId="106" applyAlignment="1" pivotButton="0" quotePrefix="0" xfId="0">
      <alignment horizontal="left"/>
    </xf>
    <xf numFmtId="0" fontId="37" fillId="20" borderId="108" applyAlignment="1" pivotButton="0" quotePrefix="0" xfId="0">
      <alignment horizontal="left"/>
    </xf>
    <xf numFmtId="0" fontId="37" fillId="20" borderId="109" applyAlignment="1" pivotButton="0" quotePrefix="0" xfId="0">
      <alignment horizontal="left"/>
    </xf>
    <xf numFmtId="0" fontId="38" fillId="19" borderId="111" applyAlignment="1" pivotButton="0" quotePrefix="0" xfId="0">
      <alignment horizontal="left"/>
    </xf>
    <xf numFmtId="0" fontId="38" fillId="19" borderId="112" applyAlignment="1" pivotButton="0" quotePrefix="0" xfId="0">
      <alignment horizontal="left"/>
    </xf>
    <xf numFmtId="0" fontId="12" fillId="0" borderId="112" applyAlignment="1" pivotButton="0" quotePrefix="0" xfId="0">
      <alignment horizontal="left"/>
    </xf>
    <xf numFmtId="184" fontId="38" fillId="19" borderId="108" applyAlignment="1" pivotButton="0" quotePrefix="0" xfId="0">
      <alignment horizontal="left"/>
    </xf>
    <xf numFmtId="166" fontId="38" fillId="19" borderId="108" applyAlignment="1" pivotButton="0" quotePrefix="0" xfId="0">
      <alignment horizontal="left"/>
    </xf>
    <xf numFmtId="166" fontId="39" fillId="19" borderId="108" applyAlignment="1" pivotButton="0" quotePrefix="0" xfId="0">
      <alignment horizontal="left"/>
    </xf>
    <xf numFmtId="0" fontId="39" fillId="19" borderId="108" applyAlignment="1" pivotButton="0" quotePrefix="0" xfId="0">
      <alignment horizontal="left"/>
    </xf>
    <xf numFmtId="0" fontId="39" fillId="19" borderId="109" applyAlignment="1" pivotButton="0" quotePrefix="0" xfId="0">
      <alignment horizontal="left"/>
    </xf>
    <xf numFmtId="166" fontId="38" fillId="19" borderId="111" applyAlignment="1" pivotButton="0" quotePrefix="0" xfId="0">
      <alignment horizontal="left"/>
    </xf>
    <xf numFmtId="0" fontId="30" fillId="0" borderId="103" applyAlignment="1" pivotButton="0" quotePrefix="0" xfId="0">
      <alignment horizontal="left"/>
    </xf>
    <xf numFmtId="0" fontId="14" fillId="0" borderId="103" pivotButton="0" quotePrefix="0" xfId="0"/>
    <xf numFmtId="0" fontId="14" fillId="0" borderId="103" applyAlignment="1" pivotButton="0" quotePrefix="0" xfId="0">
      <alignment horizontal="left"/>
    </xf>
    <xf numFmtId="0" fontId="12" fillId="0" borderId="103" pivotButton="0" quotePrefix="0" xfId="0"/>
    <xf numFmtId="0" fontId="12" fillId="0" borderId="103" applyAlignment="1" pivotButton="0" quotePrefix="0" xfId="0">
      <alignment horizontal="left"/>
    </xf>
    <xf numFmtId="0" fontId="30" fillId="0" borderId="103" pivotButton="0" quotePrefix="0" xfId="0"/>
    <xf numFmtId="10" fontId="37" fillId="20" borderId="109" applyAlignment="1" pivotButton="0" quotePrefix="0" xfId="0">
      <alignment horizontal="left"/>
    </xf>
    <xf numFmtId="182" fontId="38" fillId="19" borderId="109" applyAlignment="1" pivotButton="0" quotePrefix="0" xfId="0">
      <alignment horizontal="left"/>
    </xf>
    <xf numFmtId="179" fontId="37" fillId="20" borderId="111" applyAlignment="1" pivotButton="0" quotePrefix="0" xfId="0">
      <alignment horizontal="left"/>
    </xf>
    <xf numFmtId="174" fontId="37" fillId="20" borderId="112" applyAlignment="1" pivotButton="0" quotePrefix="0" xfId="0">
      <alignment horizontal="left"/>
    </xf>
    <xf numFmtId="176" fontId="30" fillId="0" borderId="108" applyAlignment="1" pivotButton="0" quotePrefix="0" xfId="0">
      <alignment horizontal="left"/>
    </xf>
    <xf numFmtId="166" fontId="38" fillId="19" borderId="109" applyAlignment="1" pivotButton="0" quotePrefix="0" xfId="0">
      <alignment horizontal="left"/>
    </xf>
    <xf numFmtId="184" fontId="39" fillId="19" borderId="108" applyAlignment="1" pivotButton="0" quotePrefix="0" xfId="0">
      <alignment horizontal="left"/>
    </xf>
    <xf numFmtId="166" fontId="39" fillId="19" borderId="109" applyAlignment="1" pivotButton="0" quotePrefix="0" xfId="0">
      <alignment horizontal="left"/>
    </xf>
    <xf numFmtId="166" fontId="38" fillId="19" borderId="112" applyAlignment="1" pivotButton="0" quotePrefix="0" xfId="0">
      <alignment horizontal="left"/>
    </xf>
    <xf numFmtId="179" fontId="12" fillId="0" borderId="108" applyAlignment="1" pivotButton="0" quotePrefix="0" xfId="0">
      <alignment horizontal="left"/>
    </xf>
    <xf numFmtId="179" fontId="12" fillId="0" borderId="109" applyAlignment="1" pivotButton="0" quotePrefix="0" xfId="0">
      <alignment horizontal="left"/>
    </xf>
    <xf numFmtId="188" fontId="37" fillId="20" borderId="111" applyAlignment="1" pivotButton="0" quotePrefix="0" xfId="0">
      <alignment horizontal="left"/>
    </xf>
    <xf numFmtId="179" fontId="14" fillId="0" borderId="111" applyAlignment="1" pivotButton="0" quotePrefix="0" xfId="0">
      <alignment horizontal="left"/>
    </xf>
    <xf numFmtId="179" fontId="14" fillId="0" borderId="112" applyAlignment="1" pivotButton="0" quotePrefix="0" xfId="0">
      <alignment horizontal="left"/>
    </xf>
    <xf numFmtId="10" fontId="14" fillId="0" borderId="111" applyAlignment="1" pivotButton="0" quotePrefix="0" xfId="0">
      <alignment horizontal="left"/>
    </xf>
    <xf numFmtId="10" fontId="14" fillId="0" borderId="112" applyAlignment="1" pivotButton="0" quotePrefix="0" xfId="0">
      <alignment horizontal="left"/>
    </xf>
    <xf numFmtId="179" fontId="14" fillId="0" borderId="108" applyAlignment="1" pivotButton="0" quotePrefix="0" xfId="0">
      <alignment horizontal="left"/>
    </xf>
    <xf numFmtId="179" fontId="14" fillId="0" borderId="109" applyAlignment="1" pivotButton="0" quotePrefix="0" xfId="0">
      <alignment horizontal="left"/>
    </xf>
    <xf numFmtId="10" fontId="30" fillId="0" borderId="105" applyAlignment="1" pivotButton="0" quotePrefix="0" xfId="0">
      <alignment horizontal="left"/>
    </xf>
    <xf numFmtId="10" fontId="30" fillId="0" borderId="106" applyAlignment="1" pivotButton="0" quotePrefix="0" xfId="0">
      <alignment horizontal="left"/>
    </xf>
    <xf numFmtId="179" fontId="38" fillId="19" borderId="112" applyAlignment="1" pivotButton="0" quotePrefix="0" xfId="0">
      <alignment horizontal="left"/>
    </xf>
    <xf numFmtId="180" fontId="38" fillId="19" borderId="108" applyAlignment="1" pivotButton="0" quotePrefix="0" xfId="0">
      <alignment horizontal="left"/>
    </xf>
    <xf numFmtId="177" fontId="38" fillId="19" borderId="108" applyAlignment="1" pivotButton="0" quotePrefix="0" xfId="0">
      <alignment horizontal="left"/>
    </xf>
    <xf numFmtId="187" fontId="38" fillId="19" borderId="109" applyAlignment="1" pivotButton="0" quotePrefix="0" xfId="0">
      <alignment horizontal="left"/>
    </xf>
    <xf numFmtId="177" fontId="38" fillId="19" borderId="109" applyAlignment="1" pivotButton="0" quotePrefix="0" xfId="0">
      <alignment horizontal="left"/>
    </xf>
    <xf numFmtId="177" fontId="39" fillId="19" borderId="108" applyAlignment="1" pivotButton="0" quotePrefix="0" xfId="0">
      <alignment horizontal="left"/>
    </xf>
    <xf numFmtId="177" fontId="39" fillId="19" borderId="109" applyAlignment="1" pivotButton="0" quotePrefix="0" xfId="0">
      <alignment horizontal="left"/>
    </xf>
    <xf numFmtId="184" fontId="38" fillId="19" borderId="111" applyAlignment="1" pivotButton="0" quotePrefix="0" xfId="0">
      <alignment horizontal="left"/>
    </xf>
    <xf numFmtId="177" fontId="38" fillId="19" borderId="111" applyAlignment="1" pivotButton="0" quotePrefix="0" xfId="0">
      <alignment horizontal="left"/>
    </xf>
    <xf numFmtId="177" fontId="38" fillId="19" borderId="112" applyAlignment="1" pivotButton="0" quotePrefix="0" xfId="0">
      <alignment horizontal="left"/>
    </xf>
    <xf numFmtId="187" fontId="38" fillId="19" borderId="108" applyAlignment="1" pivotButton="0" quotePrefix="0" xfId="0">
      <alignment horizontal="left"/>
    </xf>
    <xf numFmtId="176" fontId="14" fillId="0" borderId="106" applyAlignment="1" pivotButton="0" quotePrefix="0" xfId="0">
      <alignment horizontal="left"/>
    </xf>
    <xf numFmtId="180" fontId="39" fillId="19" borderId="108" applyAlignment="1" pivotButton="0" quotePrefix="0" xfId="0">
      <alignment horizontal="left"/>
    </xf>
    <xf numFmtId="180" fontId="38" fillId="19" borderId="111" applyAlignment="1" pivotButton="0" quotePrefix="0" xfId="0">
      <alignment horizontal="left"/>
    </xf>
    <xf numFmtId="179" fontId="37" fillId="20" borderId="112" applyAlignment="1" pivotButton="0" quotePrefix="0" xfId="0">
      <alignment horizontal="left"/>
    </xf>
    <xf numFmtId="180" fontId="38" fillId="19" borderId="109" applyAlignment="1" pivotButton="0" quotePrefix="0" xfId="0">
      <alignment horizontal="left"/>
    </xf>
    <xf numFmtId="180" fontId="39" fillId="19" borderId="109" applyAlignment="1" pivotButton="0" quotePrefix="0" xfId="0">
      <alignment horizontal="left"/>
    </xf>
    <xf numFmtId="180" fontId="38" fillId="19" borderId="112" applyAlignment="1" pivotButton="0" quotePrefix="0" xfId="0">
      <alignment horizontal="left"/>
    </xf>
    <xf numFmtId="179" fontId="12" fillId="0" borderId="112" applyAlignment="1" pivotButton="0" quotePrefix="0" xfId="0">
      <alignment horizontal="left"/>
    </xf>
    <xf numFmtId="176" fontId="12" fillId="0" borderId="108" applyAlignment="1" pivotButton="0" quotePrefix="0" xfId="0">
      <alignment horizontal="left"/>
    </xf>
    <xf numFmtId="182" fontId="37" fillId="20" borderId="108" applyAlignment="1" pivotButton="0" quotePrefix="0" xfId="0">
      <alignment horizontal="left"/>
    </xf>
    <xf numFmtId="179" fontId="12" fillId="0" borderId="111" applyAlignment="1" pivotButton="0" quotePrefix="0" xfId="0">
      <alignment horizontal="left"/>
    </xf>
    <xf numFmtId="0" fontId="35" fillId="0" borderId="108" applyAlignment="1" pivotButton="0" quotePrefix="0" xfId="0">
      <alignment horizontal="left"/>
    </xf>
    <xf numFmtId="0" fontId="0" fillId="0" borderId="41" applyAlignment="1" pivotButton="0" quotePrefix="0" xfId="0">
      <alignment horizontal="left" vertical="center" wrapText="1"/>
    </xf>
    <xf numFmtId="0" fontId="0" fillId="0" borderId="20" pivotButton="0" quotePrefix="0" xfId="0"/>
    <xf numFmtId="0" fontId="0" fillId="0" borderId="4" applyAlignment="1" pivotButton="0" quotePrefix="0" xfId="0">
      <alignment horizontal="left" vertical="center" wrapText="1"/>
    </xf>
    <xf numFmtId="0" fontId="0" fillId="0" borderId="4" pivotButton="0" quotePrefix="0" xfId="0"/>
    <xf numFmtId="0" fontId="3" fillId="0" borderId="47" applyAlignment="1" pivotButton="0" quotePrefix="0" xfId="0">
      <alignment horizontal="left" vertical="center" wrapText="1"/>
    </xf>
    <xf numFmtId="0" fontId="0" fillId="0" borderId="24" pivotButton="0" quotePrefix="0" xfId="0"/>
    <xf numFmtId="0" fontId="3" fillId="0" borderId="16" applyAlignment="1" pivotButton="0" quotePrefix="0" xfId="0">
      <alignment horizontal="left" vertical="center" wrapText="1"/>
    </xf>
    <xf numFmtId="0" fontId="0" fillId="0" borderId="40" pivotButton="0" quotePrefix="0" xfId="0"/>
    <xf numFmtId="0" fontId="0" fillId="0" borderId="36" pivotButton="0" quotePrefix="0" xfId="0"/>
    <xf numFmtId="0" fontId="0" fillId="0" borderId="48" applyAlignment="1" pivotButton="0" quotePrefix="0" xfId="0">
      <alignment horizontal="left" vertical="center" wrapText="1"/>
    </xf>
    <xf numFmtId="0" fontId="0" fillId="0" borderId="48" pivotButton="0" quotePrefix="0" xfId="0"/>
    <xf numFmtId="0" fontId="0" fillId="0" borderId="46" applyAlignment="1" pivotButton="0" quotePrefix="0" xfId="0">
      <alignment horizontal="left" vertical="center" wrapText="1"/>
    </xf>
    <xf numFmtId="0" fontId="0" fillId="0" borderId="42" applyAlignment="1" pivotButton="0" quotePrefix="0" xfId="0">
      <alignment horizontal="left" vertical="center" wrapText="1"/>
    </xf>
    <xf numFmtId="0" fontId="0" fillId="0" borderId="44" pivotButton="0" quotePrefix="0" xfId="0"/>
    <xf numFmtId="0" fontId="0" fillId="0" borderId="43" applyAlignment="1" pivotButton="0" quotePrefix="0" xfId="0">
      <alignment horizontal="left" vertical="center" wrapText="1"/>
    </xf>
    <xf numFmtId="0" fontId="0" fillId="0" borderId="45" pivotButton="0" quotePrefix="0" xfId="0"/>
    <xf numFmtId="0" fontId="0" fillId="0" borderId="45" applyAlignment="1" pivotButton="0" quotePrefix="0" xfId="0">
      <alignment horizontal="left" vertical="center" wrapText="1"/>
    </xf>
    <xf numFmtId="0" fontId="9" fillId="4" borderId="102" applyAlignment="1" pivotButton="0" quotePrefix="0" xfId="0">
      <alignment horizontal="left" vertical="center" wrapText="1"/>
    </xf>
    <xf numFmtId="0" fontId="0" fillId="0" borderId="5" pivotButton="0" quotePrefix="0" xfId="0"/>
    <xf numFmtId="0" fontId="9" fillId="4" borderId="16" applyAlignment="1" pivotButton="0" quotePrefix="0" xfId="0">
      <alignment horizontal="left" vertical="center" wrapText="1"/>
    </xf>
    <xf numFmtId="0" fontId="0" fillId="0" borderId="17" pivotButton="0" quotePrefix="0" xfId="0"/>
    <xf numFmtId="0" fontId="9" fillId="4" borderId="21" applyAlignment="1" pivotButton="0" quotePrefix="0" xfId="0">
      <alignment horizontal="left" vertical="center" wrapText="1"/>
    </xf>
    <xf numFmtId="0" fontId="9" fillId="4" borderId="21" applyAlignment="1" pivotButton="0" quotePrefix="0" xfId="0">
      <alignment horizontal="left"/>
    </xf>
    <xf numFmtId="0" fontId="0" fillId="0" borderId="51" pivotButton="0" quotePrefix="0" xfId="0"/>
    <xf numFmtId="0" fontId="9" fillId="4" borderId="22" applyAlignment="1" pivotButton="0" quotePrefix="0" xfId="0">
      <alignment horizontal="left" vertical="center" wrapText="1"/>
    </xf>
    <xf numFmtId="0" fontId="9" fillId="4" borderId="23" applyAlignment="1" pivotButton="0" quotePrefix="0" xfId="0">
      <alignment horizontal="left" vertical="center" wrapText="1"/>
    </xf>
    <xf numFmtId="0" fontId="0" fillId="0" borderId="25" pivotButton="0" quotePrefix="0" xfId="0"/>
    <xf numFmtId="0" fontId="9" fillId="4" borderId="10" applyAlignment="1" pivotButton="0" quotePrefix="0" xfId="0">
      <alignment horizontal="left" vertical="center" wrapText="1"/>
    </xf>
    <xf numFmtId="0" fontId="0" fillId="0" borderId="14" pivotButton="0" quotePrefix="0" xfId="0"/>
    <xf numFmtId="0" fontId="9" fillId="4" borderId="11" applyAlignment="1" pivotButton="0" quotePrefix="0" xfId="0">
      <alignment horizontal="left" vertical="center" wrapText="1"/>
    </xf>
    <xf numFmtId="0" fontId="0" fillId="0" borderId="12" pivotButton="0" quotePrefix="0" xfId="0"/>
    <xf numFmtId="0" fontId="9" fillId="4" borderId="32" applyAlignment="1" pivotButton="0" quotePrefix="0" xfId="0">
      <alignment horizontal="left" vertical="center" wrapText="1"/>
    </xf>
    <xf numFmtId="0" fontId="0" fillId="0" borderId="33" pivotButton="0" quotePrefix="0" xfId="0"/>
    <xf numFmtId="0" fontId="9" fillId="4" borderId="36" applyAlignment="1" pivotButton="0" quotePrefix="0" xfId="0">
      <alignment horizontal="left" vertical="center" wrapText="1"/>
    </xf>
    <xf numFmtId="0" fontId="0" fillId="0" borderId="37" pivotButton="0" quotePrefix="0" xfId="0"/>
    <xf numFmtId="174" fontId="29" fillId="15" borderId="18" applyAlignment="1" pivotButton="0" quotePrefix="0" xfId="0">
      <alignment horizontal="left"/>
    </xf>
    <xf numFmtId="174" fontId="29" fillId="15" borderId="94" applyAlignment="1" pivotButton="0" quotePrefix="0" xfId="0">
      <alignment horizontal="left"/>
    </xf>
    <xf numFmtId="174" fontId="28" fillId="14" borderId="18" applyAlignment="1" pivotButton="0" quotePrefix="0" xfId="0">
      <alignment horizontal="left"/>
    </xf>
    <xf numFmtId="174" fontId="28" fillId="14" borderId="94" applyAlignment="1" pivotButton="0" quotePrefix="0" xfId="0">
      <alignment horizontal="left"/>
    </xf>
    <xf numFmtId="174" fontId="29" fillId="15" borderId="89" applyAlignment="1" pivotButton="0" quotePrefix="0" xfId="0">
      <alignment horizontal="left"/>
    </xf>
    <xf numFmtId="174" fontId="29" fillId="15" borderId="95" applyAlignment="1" pivotButton="0" quotePrefix="0" xfId="0">
      <alignment horizontal="left"/>
    </xf>
    <xf numFmtId="0" fontId="51" fillId="0" borderId="18" applyAlignment="1" pivotButton="0" quotePrefix="0" xfId="0">
      <alignment horizontal="left"/>
    </xf>
    <xf numFmtId="0" fontId="51" fillId="0" borderId="38" applyAlignment="1" pivotButton="0" quotePrefix="0" xfId="0">
      <alignment horizontal="left"/>
    </xf>
    <xf numFmtId="0" fontId="51" fillId="0" borderId="17" applyAlignment="1" pivotButton="0" quotePrefix="0" xfId="0">
      <alignment horizontal="left" wrapText="1"/>
    </xf>
    <xf numFmtId="0" fontId="51" fillId="14" borderId="18" applyAlignment="1" pivotButton="0" quotePrefix="0" xfId="0">
      <alignment horizontal="left"/>
    </xf>
    <xf numFmtId="0" fontId="51" fillId="14" borderId="38" applyAlignment="1" pivotButton="0" quotePrefix="0" xfId="0">
      <alignment horizontal="left"/>
    </xf>
    <xf numFmtId="174" fontId="28" fillId="14" borderId="38" applyAlignment="1" pivotButton="0" quotePrefix="0" xfId="0">
      <alignment horizontal="left"/>
    </xf>
    <xf numFmtId="0" fontId="51" fillId="15" borderId="18" applyAlignment="1" pivotButton="0" quotePrefix="0" xfId="0">
      <alignment horizontal="left"/>
    </xf>
    <xf numFmtId="0" fontId="51" fillId="15" borderId="38" applyAlignment="1" pivotButton="0" quotePrefix="0" xfId="0">
      <alignment horizontal="left"/>
    </xf>
    <xf numFmtId="174" fontId="29" fillId="15" borderId="38" applyAlignment="1" pivotButton="0" quotePrefix="0" xfId="0">
      <alignment horizontal="left"/>
    </xf>
    <xf numFmtId="175" fontId="29" fillId="15" borderId="38" applyAlignment="1" pivotButton="0" quotePrefix="0" xfId="0">
      <alignment horizontal="left"/>
    </xf>
    <xf numFmtId="175" fontId="29" fillId="15" borderId="97" applyAlignment="1" pivotButton="0" quotePrefix="0" xfId="0">
      <alignment horizontal="left"/>
    </xf>
    <xf numFmtId="0" fontId="4" fillId="0" borderId="119" applyAlignment="1" pivotButton="0" quotePrefix="0" xfId="0">
      <alignment horizontal="left"/>
    </xf>
    <xf numFmtId="0" fontId="5" fillId="0" borderId="120" pivotButton="0" quotePrefix="0" xfId="0"/>
    <xf numFmtId="0" fontId="5" fillId="0" borderId="121" pivotButton="0" quotePrefix="0" xfId="0"/>
    <xf numFmtId="0" fontId="4" fillId="0" borderId="122" applyAlignment="1" pivotButton="0" quotePrefix="0" xfId="0">
      <alignment horizontal="left"/>
    </xf>
    <xf numFmtId="0" fontId="4" fillId="0" borderId="123" applyAlignment="1" pivotButton="0" quotePrefix="0" xfId="0">
      <alignment horizontal="left"/>
    </xf>
    <xf numFmtId="0" fontId="4" fillId="0" borderId="124" applyAlignment="1" pivotButton="0" quotePrefix="0" xfId="0">
      <alignment horizontal="left"/>
    </xf>
    <xf numFmtId="0" fontId="12" fillId="0" borderId="122" applyAlignment="1" pivotButton="0" quotePrefix="0" xfId="0">
      <alignment horizontal="left"/>
    </xf>
    <xf numFmtId="189" fontId="12" fillId="0" borderId="123" applyAlignment="1" pivotButton="0" quotePrefix="0" xfId="0">
      <alignment horizontal="right"/>
    </xf>
    <xf numFmtId="0" fontId="12" fillId="0" borderId="123" applyAlignment="1" pivotButton="0" quotePrefix="0" xfId="0">
      <alignment horizontal="left"/>
    </xf>
    <xf numFmtId="10" fontId="12" fillId="0" borderId="123" applyAlignment="1" pivotButton="0" quotePrefix="0" xfId="0">
      <alignment horizontal="left"/>
    </xf>
    <xf numFmtId="10" fontId="12" fillId="0" borderId="124" applyAlignment="1" pivotButton="0" quotePrefix="0" xfId="0">
      <alignment horizontal="left"/>
    </xf>
    <xf numFmtId="10" fontId="12" fillId="0" borderId="123" pivotButton="0" quotePrefix="0" xfId="0"/>
    <xf numFmtId="0" fontId="12" fillId="0" borderId="124" pivotButton="0" quotePrefix="0" xfId="0"/>
    <xf numFmtId="190" fontId="12" fillId="0" borderId="123" applyAlignment="1" pivotButton="0" quotePrefix="0" xfId="0">
      <alignment horizontal="right"/>
    </xf>
    <xf numFmtId="0" fontId="12" fillId="0" borderId="125" applyAlignment="1" pivotButton="0" quotePrefix="0" xfId="0">
      <alignment horizontal="left"/>
    </xf>
    <xf numFmtId="190" fontId="12" fillId="0" borderId="126" applyAlignment="1" pivotButton="0" quotePrefix="0" xfId="0">
      <alignment horizontal="right"/>
    </xf>
    <xf numFmtId="0" fontId="12" fillId="0" borderId="126" applyAlignment="1" pivotButton="0" quotePrefix="0" xfId="0">
      <alignment horizontal="left"/>
    </xf>
    <xf numFmtId="10" fontId="12" fillId="0" borderId="126" applyAlignment="1" pivotButton="0" quotePrefix="0" xfId="0">
      <alignment horizontal="left"/>
    </xf>
    <xf numFmtId="10" fontId="12" fillId="0" borderId="127" applyAlignment="1" pivotButton="0" quotePrefix="0" xfId="0">
      <alignment horizontal="left"/>
    </xf>
    <xf numFmtId="0" fontId="9" fillId="4" borderId="108" applyAlignment="1" pivotButton="0" quotePrefix="0" xfId="0">
      <alignment horizontal="left" vertical="center" wrapText="1"/>
    </xf>
    <xf numFmtId="191" fontId="0" fillId="0" borderId="18" applyAlignment="1" pivotButton="0" quotePrefix="0" xfId="0">
      <alignment horizontal="left"/>
    </xf>
    <xf numFmtId="191" fontId="10" fillId="6" borderId="34" applyAlignment="1" pivotButton="0" quotePrefix="0" xfId="0">
      <alignment horizontal="left"/>
    </xf>
    <xf numFmtId="191" fontId="11" fillId="5" borderId="18" applyAlignment="1" pivotButton="0" quotePrefix="0" xfId="0">
      <alignment horizontal="left"/>
    </xf>
    <xf numFmtId="191" fontId="0" fillId="0" borderId="38" applyAlignment="1" pivotButton="0" quotePrefix="0" xfId="0">
      <alignment horizontal="left"/>
    </xf>
    <xf numFmtId="191" fontId="0" fillId="0" borderId="26" applyAlignment="1" pivotButton="0" quotePrefix="0" xfId="0">
      <alignment horizontal="left"/>
    </xf>
    <xf numFmtId="191" fontId="10" fillId="6" borderId="3" applyAlignment="1" pivotButton="0" quotePrefix="0" xfId="0">
      <alignment horizontal="left"/>
    </xf>
    <xf numFmtId="191" fontId="11" fillId="5" borderId="3" applyAlignment="1" pivotButton="0" quotePrefix="0" xfId="0">
      <alignment horizontal="left"/>
    </xf>
    <xf numFmtId="191" fontId="0" fillId="0" borderId="27" applyAlignment="1" pivotButton="0" quotePrefix="0" xfId="0">
      <alignment horizontal="left"/>
    </xf>
    <xf numFmtId="191" fontId="2" fillId="0" borderId="18" applyAlignment="1" pivotButton="0" quotePrefix="0" xfId="0">
      <alignment horizontal="left"/>
    </xf>
    <xf numFmtId="179" fontId="44" fillId="22" borderId="26" applyAlignment="1" pivotButton="0" quotePrefix="0" xfId="0">
      <alignment horizontal="left"/>
    </xf>
    <xf numFmtId="10" fontId="44" fillId="22" borderId="3" applyAlignment="1" pivotButton="0" quotePrefix="0" xfId="0">
      <alignment horizontal="left"/>
    </xf>
    <xf numFmtId="176" fontId="44" fillId="22" borderId="27" applyAlignment="1" pivotButton="0" quotePrefix="0" xfId="0">
      <alignment horizontal="left"/>
    </xf>
    <xf numFmtId="176" fontId="0" fillId="0" borderId="26" applyAlignment="1" pivotButton="0" quotePrefix="0" xfId="0">
      <alignment horizontal="left"/>
    </xf>
    <xf numFmtId="176" fontId="0" fillId="0" borderId="3" applyAlignment="1" pivotButton="0" quotePrefix="0" xfId="0">
      <alignment horizontal="left"/>
    </xf>
    <xf numFmtId="0" fontId="50" fillId="0" borderId="27" applyAlignment="1" pivotButton="0" quotePrefix="0" xfId="0">
      <alignment horizontal="left" wrapText="1"/>
    </xf>
    <xf numFmtId="10" fontId="45" fillId="21" borderId="3" applyAlignment="1" pivotButton="0" quotePrefix="0" xfId="0">
      <alignment horizontal="left"/>
    </xf>
    <xf numFmtId="176" fontId="45" fillId="21" borderId="27" applyAlignment="1" pivotButton="0" quotePrefix="0" xfId="0">
      <alignment horizontal="left"/>
    </xf>
    <xf numFmtId="179" fontId="45" fillId="21" borderId="26" applyAlignment="1" pivotButton="0" quotePrefix="0" xfId="0">
      <alignment horizontal="left"/>
    </xf>
    <xf numFmtId="10" fontId="45" fillId="21" borderId="27" applyAlignment="1" pivotButton="0" quotePrefix="0" xfId="0">
      <alignment horizontal="left"/>
    </xf>
    <xf numFmtId="10" fontId="44" fillId="22" borderId="27" applyAlignment="1" pivotButton="0" quotePrefix="0" xfId="0">
      <alignment horizontal="left"/>
    </xf>
    <xf numFmtId="176" fontId="44" fillId="22" borderId="3" applyAlignment="1" pivotButton="0" quotePrefix="0" xfId="0">
      <alignment horizontal="left"/>
    </xf>
    <xf numFmtId="174" fontId="44" fillId="22" borderId="26" applyAlignment="1" pivotButton="0" quotePrefix="0" xfId="0">
      <alignment horizontal="left"/>
    </xf>
    <xf numFmtId="176" fontId="45" fillId="21" borderId="3" applyAlignment="1" pivotButton="0" quotePrefix="0" xfId="0">
      <alignment horizontal="left"/>
    </xf>
    <xf numFmtId="174" fontId="45" fillId="21" borderId="26" applyAlignment="1" pivotButton="0" quotePrefix="0" xfId="0">
      <alignment horizontal="left"/>
    </xf>
    <xf numFmtId="191" fontId="0" fillId="0" borderId="19" applyAlignment="1" pivotButton="0" quotePrefix="0" xfId="0">
      <alignment horizontal="left"/>
    </xf>
    <xf numFmtId="191" fontId="10" fillId="6" borderId="35" applyAlignment="1" pivotButton="0" quotePrefix="0" xfId="0">
      <alignment horizontal="left"/>
    </xf>
    <xf numFmtId="191" fontId="11" fillId="5" borderId="19" applyAlignment="1" pivotButton="0" quotePrefix="0" xfId="0">
      <alignment horizontal="left"/>
    </xf>
    <xf numFmtId="191" fontId="0" fillId="0" borderId="39" applyAlignment="1" pivotButton="0" quotePrefix="0" xfId="0">
      <alignment horizontal="left"/>
    </xf>
    <xf numFmtId="191" fontId="0" fillId="0" borderId="28" applyAlignment="1" pivotButton="0" quotePrefix="0" xfId="0">
      <alignment horizontal="left"/>
    </xf>
    <xf numFmtId="191" fontId="10" fillId="6" borderId="7" applyAlignment="1" pivotButton="0" quotePrefix="0" xfId="0">
      <alignment horizontal="left"/>
    </xf>
    <xf numFmtId="191" fontId="11" fillId="5" borderId="7" applyAlignment="1" pivotButton="0" quotePrefix="0" xfId="0">
      <alignment horizontal="left"/>
    </xf>
    <xf numFmtId="191" fontId="0" fillId="0" borderId="29" applyAlignment="1" pivotButton="0" quotePrefix="0" xfId="0">
      <alignment horizontal="left"/>
    </xf>
    <xf numFmtId="191" fontId="2" fillId="0" borderId="19" applyAlignment="1" pivotButton="0" quotePrefix="0" xfId="0">
      <alignment horizontal="left"/>
    </xf>
    <xf numFmtId="179" fontId="44" fillId="22" borderId="28" applyAlignment="1" pivotButton="0" quotePrefix="0" xfId="0">
      <alignment horizontal="left"/>
    </xf>
    <xf numFmtId="10" fontId="44" fillId="22" borderId="7" applyAlignment="1" pivotButton="0" quotePrefix="0" xfId="0">
      <alignment horizontal="left"/>
    </xf>
    <xf numFmtId="10" fontId="44" fillId="22" borderId="29" applyAlignment="1" pivotButton="0" quotePrefix="0" xfId="0">
      <alignment horizontal="left"/>
    </xf>
    <xf numFmtId="191" fontId="0" fillId="0" borderId="0" pivotButton="0" quotePrefix="0" xfId="0"/>
    <xf numFmtId="191" fontId="33" fillId="17" borderId="0" pivotButton="0" quotePrefix="0" xfId="0"/>
    <xf numFmtId="191" fontId="34" fillId="18" borderId="0" pivotButton="0" quotePrefix="0" xfId="0"/>
    <xf numFmtId="179" fontId="45" fillId="21" borderId="0" pivotButton="0" quotePrefix="0" xfId="0"/>
    <xf numFmtId="10" fontId="45" fillId="21" borderId="0" pivotButton="0" quotePrefix="0" xfId="0"/>
    <xf numFmtId="191" fontId="37" fillId="20" borderId="0" pivotButton="0" quotePrefix="0" xfId="0"/>
    <xf numFmtId="191" fontId="38" fillId="19" borderId="0" pivotButton="0" quotePrefix="0" xfId="0"/>
    <xf numFmtId="49" fontId="0" fillId="21" borderId="18" applyAlignment="1" pivotButton="0" quotePrefix="0" xfId="0">
      <alignment horizontal="left"/>
    </xf>
    <xf numFmtId="192" fontId="0" fillId="21" borderId="26" applyAlignment="1" pivotButton="0" quotePrefix="0" xfId="0">
      <alignment horizontal="left"/>
    </xf>
    <xf numFmtId="192" fontId="0" fillId="21" borderId="27" applyAlignment="1" pivotButton="0" quotePrefix="0" xfId="0">
      <alignment horizontal="left"/>
    </xf>
    <xf numFmtId="0" fontId="0" fillId="21" borderId="18" applyAlignment="1" pivotButton="0" quotePrefix="0" xfId="0">
      <alignment horizontal="left"/>
    </xf>
    <xf numFmtId="2" fontId="0" fillId="21" borderId="18" applyAlignment="1" pivotButton="0" quotePrefix="0" xfId="0">
      <alignment horizontal="left"/>
    </xf>
    <xf numFmtId="2" fontId="0" fillId="21" borderId="26" applyAlignment="1" pivotButton="0" quotePrefix="0" xfId="0">
      <alignment horizontal="left"/>
    </xf>
    <xf numFmtId="10" fontId="0" fillId="21" borderId="27" applyAlignment="1" pivotButton="0" quotePrefix="0" xfId="0">
      <alignment horizontal="left"/>
    </xf>
    <xf numFmtId="193" fontId="0" fillId="21" borderId="18" applyAlignment="1" pivotButton="0" quotePrefix="0" xfId="0">
      <alignment horizontal="left"/>
    </xf>
    <xf numFmtId="194" fontId="0" fillId="21" borderId="26" applyAlignment="1" pivotButton="0" quotePrefix="0" xfId="0">
      <alignment horizontal="left"/>
    </xf>
    <xf numFmtId="10" fontId="0" fillId="21" borderId="3" applyAlignment="1" pivotButton="0" quotePrefix="0" xfId="0">
      <alignment horizontal="left"/>
    </xf>
    <xf numFmtId="2" fontId="0" fillId="21" borderId="27" applyAlignment="1" pivotButton="0" quotePrefix="0" xfId="0">
      <alignment horizontal="left"/>
    </xf>
    <xf numFmtId="167" fontId="0" fillId="21" borderId="18" applyAlignment="1" pivotButton="0" quotePrefix="0" xfId="0">
      <alignment horizontal="left"/>
    </xf>
    <xf numFmtId="192" fontId="0" fillId="21" borderId="26" pivotButton="0" quotePrefix="0" xfId="0"/>
    <xf numFmtId="0" fontId="0" fillId="21" borderId="3" pivotButton="0" quotePrefix="0" xfId="0"/>
    <xf numFmtId="2" fontId="0" fillId="21" borderId="3" pivotButton="0" quotePrefix="0" xfId="0"/>
    <xf numFmtId="10" fontId="0" fillId="21" borderId="3" pivotButton="0" quotePrefix="0" xfId="0"/>
    <xf numFmtId="10" fontId="0" fillId="21" borderId="27" pivotButton="0" quotePrefix="0" xfId="0"/>
    <xf numFmtId="0" fontId="0" fillId="21" borderId="18" pivotButton="0" quotePrefix="0" xfId="0"/>
    <xf numFmtId="0" fontId="0" fillId="21" borderId="49" applyAlignment="1" pivotButton="0" quotePrefix="0" xfId="0">
      <alignment horizontal="left"/>
    </xf>
    <xf numFmtId="178" fontId="0" fillId="21" borderId="18" applyAlignment="1" pivotButton="0" quotePrefix="0" xfId="0">
      <alignment horizontal="left"/>
    </xf>
    <xf numFmtId="178" fontId="0" fillId="21" borderId="26" applyAlignment="1" pivotButton="0" quotePrefix="0" xfId="0">
      <alignment horizontal="left"/>
    </xf>
    <xf numFmtId="49" fontId="0" fillId="22" borderId="18" applyAlignment="1" pivotButton="0" quotePrefix="0" xfId="0">
      <alignment horizontal="left"/>
    </xf>
    <xf numFmtId="192" fontId="0" fillId="22" borderId="26" applyAlignment="1" pivotButton="0" quotePrefix="0" xfId="0">
      <alignment horizontal="left"/>
    </xf>
    <xf numFmtId="192" fontId="0" fillId="22" borderId="27" applyAlignment="1" pivotButton="0" quotePrefix="0" xfId="0">
      <alignment horizontal="left"/>
    </xf>
    <xf numFmtId="0" fontId="0" fillId="22" borderId="18" applyAlignment="1" pivotButton="0" quotePrefix="0" xfId="0">
      <alignment horizontal="left"/>
    </xf>
    <xf numFmtId="181" fontId="0" fillId="22" borderId="18" applyAlignment="1" pivotButton="0" quotePrefix="0" xfId="0">
      <alignment horizontal="left"/>
    </xf>
    <xf numFmtId="2" fontId="0" fillId="22" borderId="18" applyAlignment="1" pivotButton="0" quotePrefix="0" xfId="0">
      <alignment horizontal="left"/>
    </xf>
    <xf numFmtId="2" fontId="0" fillId="22" borderId="26" applyAlignment="1" pivotButton="0" quotePrefix="0" xfId="0">
      <alignment horizontal="left"/>
    </xf>
    <xf numFmtId="10" fontId="0" fillId="22" borderId="27" applyAlignment="1" pivotButton="0" quotePrefix="0" xfId="0">
      <alignment horizontal="left"/>
    </xf>
    <xf numFmtId="194" fontId="0" fillId="22" borderId="18" applyAlignment="1" pivotButton="0" quotePrefix="0" xfId="0">
      <alignment horizontal="left"/>
    </xf>
    <xf numFmtId="194" fontId="0" fillId="22" borderId="26" applyAlignment="1" pivotButton="0" quotePrefix="0" xfId="0">
      <alignment horizontal="left"/>
    </xf>
    <xf numFmtId="10" fontId="0" fillId="22" borderId="3" applyAlignment="1" pivotButton="0" quotePrefix="0" xfId="0">
      <alignment horizontal="left"/>
    </xf>
    <xf numFmtId="2" fontId="0" fillId="22" borderId="27" applyAlignment="1" pivotButton="0" quotePrefix="0" xfId="0">
      <alignment horizontal="left"/>
    </xf>
    <xf numFmtId="167" fontId="0" fillId="22" borderId="18" applyAlignment="1" pivotButton="0" quotePrefix="0" xfId="0">
      <alignment horizontal="left"/>
    </xf>
    <xf numFmtId="192" fontId="0" fillId="22" borderId="26" pivotButton="0" quotePrefix="0" xfId="0"/>
    <xf numFmtId="0" fontId="0" fillId="22" borderId="3" pivotButton="0" quotePrefix="0" xfId="0"/>
    <xf numFmtId="2" fontId="0" fillId="22" borderId="3" pivotButton="0" quotePrefix="0" xfId="0"/>
    <xf numFmtId="10" fontId="0" fillId="22" borderId="3" pivotButton="0" quotePrefix="0" xfId="0"/>
    <xf numFmtId="10" fontId="0" fillId="22" borderId="27" pivotButton="0" quotePrefix="0" xfId="0"/>
    <xf numFmtId="0" fontId="0" fillId="22" borderId="18" pivotButton="0" quotePrefix="0" xfId="0"/>
    <xf numFmtId="0" fontId="0" fillId="22" borderId="49" applyAlignment="1" pivotButton="0" quotePrefix="0" xfId="0">
      <alignment horizontal="left"/>
    </xf>
    <xf numFmtId="181" fontId="0" fillId="21" borderId="18" applyAlignment="1" pivotButton="0" quotePrefix="0" xfId="0">
      <alignment horizontal="left"/>
    </xf>
    <xf numFmtId="194" fontId="0" fillId="21" borderId="18" applyAlignment="1" pivotButton="0" quotePrefix="0" xfId="0">
      <alignment horizontal="left"/>
    </xf>
    <xf numFmtId="181" fontId="0" fillId="21" borderId="27" applyAlignment="1" pivotButton="0" quotePrefix="0" xfId="0">
      <alignment horizontal="left"/>
    </xf>
    <xf numFmtId="176" fontId="0" fillId="21" borderId="27" applyAlignment="1" pivotButton="0" quotePrefix="0" xfId="0">
      <alignment horizontal="left"/>
    </xf>
    <xf numFmtId="190" fontId="0" fillId="21" borderId="18" applyAlignment="1" pivotButton="0" quotePrefix="0" xfId="0">
      <alignment horizontal="left"/>
    </xf>
    <xf numFmtId="190" fontId="0" fillId="21" borderId="26" applyAlignment="1" pivotButton="0" quotePrefix="0" xfId="0">
      <alignment horizontal="left"/>
    </xf>
    <xf numFmtId="176" fontId="0" fillId="21" borderId="3" applyAlignment="1" pivotButton="0" quotePrefix="0" xfId="0">
      <alignment horizontal="left"/>
    </xf>
    <xf numFmtId="4" fontId="0" fillId="21" borderId="18" applyAlignment="1" pivotButton="0" quotePrefix="0" xfId="0">
      <alignment horizontal="left"/>
    </xf>
    <xf numFmtId="176" fontId="0" fillId="22" borderId="27" applyAlignment="1" pivotButton="0" quotePrefix="0" xfId="0">
      <alignment horizontal="left"/>
    </xf>
    <xf numFmtId="190" fontId="0" fillId="22" borderId="18" applyAlignment="1" pivotButton="0" quotePrefix="0" xfId="0">
      <alignment horizontal="left"/>
    </xf>
    <xf numFmtId="190" fontId="0" fillId="22" borderId="26" applyAlignment="1" pivotButton="0" quotePrefix="0" xfId="0">
      <alignment horizontal="left"/>
    </xf>
    <xf numFmtId="182" fontId="0" fillId="22" borderId="3" applyAlignment="1" pivotButton="0" quotePrefix="0" xfId="0">
      <alignment horizontal="left"/>
    </xf>
    <xf numFmtId="4" fontId="0" fillId="22" borderId="18" applyAlignment="1" pivotButton="0" quotePrefix="0" xfId="0">
      <alignment horizontal="left"/>
    </xf>
    <xf numFmtId="192" fontId="0" fillId="0" borderId="26" applyAlignment="1" pivotButton="0" quotePrefix="0" xfId="0">
      <alignment horizontal="left"/>
    </xf>
    <xf numFmtId="192" fontId="0" fillId="0" borderId="27" applyAlignment="1" pivotButton="0" quotePrefix="0" xfId="0">
      <alignment horizontal="left"/>
    </xf>
    <xf numFmtId="190" fontId="0" fillId="0" borderId="18" applyAlignment="1" pivotButton="0" quotePrefix="0" xfId="0">
      <alignment horizontal="left"/>
    </xf>
    <xf numFmtId="190" fontId="0" fillId="0" borderId="26" applyAlignment="1" pivotButton="0" quotePrefix="0" xfId="0">
      <alignment horizontal="left"/>
    </xf>
    <xf numFmtId="192" fontId="0" fillId="0" borderId="26" pivotButton="0" quotePrefix="0" xfId="0"/>
    <xf numFmtId="178" fontId="0" fillId="22" borderId="18" applyAlignment="1" pivotButton="0" quotePrefix="0" xfId="0">
      <alignment horizontal="left"/>
    </xf>
    <xf numFmtId="176" fontId="0" fillId="22" borderId="3" applyAlignment="1" pivotButton="0" quotePrefix="0" xfId="0">
      <alignment horizontal="left"/>
    </xf>
    <xf numFmtId="193" fontId="0" fillId="21" borderId="26" applyAlignment="1" pivotButton="0" quotePrefix="0" xfId="0">
      <alignment horizontal="left"/>
    </xf>
    <xf numFmtId="49" fontId="0" fillId="22" borderId="18" pivotButton="0" quotePrefix="0" xfId="0"/>
    <xf numFmtId="190" fontId="0" fillId="0" borderId="18" pivotButton="0" quotePrefix="0" xfId="0"/>
    <xf numFmtId="49" fontId="0" fillId="21" borderId="18" pivotButton="0" quotePrefix="0" xfId="0"/>
    <xf numFmtId="178" fontId="0" fillId="21" borderId="27" applyAlignment="1" pivotButton="0" quotePrefix="0" xfId="0">
      <alignment horizontal="left"/>
    </xf>
    <xf numFmtId="0" fontId="0" fillId="21" borderId="18" applyAlignment="1" pivotButton="0" quotePrefix="0" xfId="0">
      <alignment horizontal="left" wrapText="1"/>
    </xf>
    <xf numFmtId="194" fontId="0" fillId="0" borderId="18" pivotButton="0" quotePrefix="0" xfId="0"/>
    <xf numFmtId="194" fontId="0" fillId="0" borderId="26" applyAlignment="1" pivotButton="0" quotePrefix="0" xfId="0">
      <alignment horizontal="left"/>
    </xf>
    <xf numFmtId="2" fontId="0" fillId="22" borderId="26" pivotButton="0" quotePrefix="0" xfId="0"/>
    <xf numFmtId="2" fontId="0" fillId="22" borderId="27" pivotButton="0" quotePrefix="0" xfId="0"/>
    <xf numFmtId="0" fontId="0" fillId="22" borderId="18" applyAlignment="1" pivotButton="0" quotePrefix="0" xfId="0">
      <alignment horizontal="left" wrapText="1"/>
    </xf>
    <xf numFmtId="190" fontId="0" fillId="21" borderId="18" pivotButton="0" quotePrefix="0" xfId="0"/>
    <xf numFmtId="2" fontId="0" fillId="21" borderId="26" pivotButton="0" quotePrefix="0" xfId="0"/>
    <xf numFmtId="2" fontId="0" fillId="21" borderId="27" pivotButton="0" quotePrefix="0" xfId="0"/>
    <xf numFmtId="183" fontId="0" fillId="21" borderId="18" applyAlignment="1" pivotButton="0" quotePrefix="0" xfId="0">
      <alignment horizontal="left"/>
    </xf>
    <xf numFmtId="195" fontId="0" fillId="21" borderId="18" applyAlignment="1" pivotButton="0" quotePrefix="0" xfId="0">
      <alignment horizontal="left"/>
    </xf>
    <xf numFmtId="185" fontId="0" fillId="22" borderId="18" applyAlignment="1" pivotButton="0" quotePrefix="0" xfId="0">
      <alignment horizontal="left"/>
    </xf>
    <xf numFmtId="185" fontId="0" fillId="21" borderId="18" applyAlignment="1" pivotButton="0" quotePrefix="0" xfId="0">
      <alignment horizontal="left"/>
    </xf>
    <xf numFmtId="183" fontId="0" fillId="22" borderId="18" applyAlignment="1" pivotButton="0" quotePrefix="0" xfId="0">
      <alignment horizontal="left"/>
    </xf>
    <xf numFmtId="190" fontId="0" fillId="22" borderId="18" pivotButton="0" quotePrefix="0" xfId="0"/>
    <xf numFmtId="178" fontId="0" fillId="22" borderId="26" applyAlignment="1" pivotButton="0" quotePrefix="0" xfId="0">
      <alignment horizontal="left"/>
    </xf>
    <xf numFmtId="181" fontId="0" fillId="21" borderId="26" applyAlignment="1" pivotButton="0" quotePrefix="0" xfId="0">
      <alignment horizontal="left"/>
    </xf>
    <xf numFmtId="182" fontId="0" fillId="21" borderId="27" applyAlignment="1" pivotButton="0" quotePrefix="0" xfId="0">
      <alignment horizontal="left"/>
    </xf>
    <xf numFmtId="182" fontId="0" fillId="21" borderId="3" applyAlignment="1" pivotButton="0" quotePrefix="0" xfId="0">
      <alignment horizontal="left"/>
    </xf>
    <xf numFmtId="181" fontId="0" fillId="22" borderId="26" applyAlignment="1" pivotButton="0" quotePrefix="0" xfId="0">
      <alignment horizontal="left"/>
    </xf>
    <xf numFmtId="193" fontId="0" fillId="22" borderId="18" applyAlignment="1" pivotButton="0" quotePrefix="0" xfId="0">
      <alignment horizontal="left"/>
    </xf>
    <xf numFmtId="195" fontId="0" fillId="22" borderId="26" applyAlignment="1" pivotButton="0" quotePrefix="0" xfId="0">
      <alignment horizontal="left"/>
    </xf>
    <xf numFmtId="195" fontId="0" fillId="21" borderId="26" applyAlignment="1" pivotButton="0" quotePrefix="0" xfId="0">
      <alignment horizontal="left"/>
    </xf>
    <xf numFmtId="186" fontId="0" fillId="21" borderId="3" applyAlignment="1" pivotButton="0" quotePrefix="0" xfId="0">
      <alignment horizontal="left"/>
    </xf>
    <xf numFmtId="0" fontId="0" fillId="21" borderId="3" applyAlignment="1" pivotButton="0" quotePrefix="0" xfId="0">
      <alignment horizontal="left"/>
    </xf>
    <xf numFmtId="2" fontId="0" fillId="21" borderId="3" applyAlignment="1" pivotButton="0" quotePrefix="0" xfId="0">
      <alignment horizontal="left"/>
    </xf>
    <xf numFmtId="195" fontId="0" fillId="22" borderId="18" applyAlignment="1" pivotButton="0" quotePrefix="0" xfId="0">
      <alignment horizontal="left"/>
    </xf>
    <xf numFmtId="0" fontId="0" fillId="22" borderId="3" applyAlignment="1" pivotButton="0" quotePrefix="0" xfId="0">
      <alignment horizontal="left"/>
    </xf>
    <xf numFmtId="2" fontId="0" fillId="22" borderId="3" applyAlignment="1" pivotButton="0" quotePrefix="0" xfId="0">
      <alignment horizontal="left"/>
    </xf>
    <xf numFmtId="196" fontId="0" fillId="21" borderId="18" applyAlignment="1" pivotButton="0" quotePrefix="0" xfId="0">
      <alignment horizontal="left"/>
    </xf>
    <xf numFmtId="196" fontId="0" fillId="21" borderId="26" applyAlignment="1" pivotButton="0" quotePrefix="0" xfId="0">
      <alignment horizontal="left"/>
    </xf>
    <xf numFmtId="196" fontId="0" fillId="22" borderId="18" applyAlignment="1" pivotButton="0" quotePrefix="0" xfId="0">
      <alignment horizontal="left"/>
    </xf>
    <xf numFmtId="178" fontId="0" fillId="22" borderId="27" applyAlignment="1" pivotButton="0" quotePrefix="0" xfId="0">
      <alignment horizontal="left"/>
    </xf>
    <xf numFmtId="194" fontId="0" fillId="0" borderId="18" applyAlignment="1" pivotButton="0" quotePrefix="0" xfId="0">
      <alignment horizontal="left"/>
    </xf>
    <xf numFmtId="194" fontId="0" fillId="0" borderId="26" pivotButton="0" quotePrefix="0" xfId="0"/>
    <xf numFmtId="178" fontId="0" fillId="21" borderId="3" applyAlignment="1" pivotButton="0" quotePrefix="0" xfId="0">
      <alignment horizontal="left"/>
    </xf>
    <xf numFmtId="185" fontId="0" fillId="21" borderId="26" applyAlignment="1" pivotButton="0" quotePrefix="0" xfId="0">
      <alignment horizontal="left"/>
    </xf>
    <xf numFmtId="183" fontId="0" fillId="21" borderId="26" applyAlignment="1" pivotButton="0" quotePrefix="0" xfId="0">
      <alignment horizontal="left"/>
    </xf>
    <xf numFmtId="183" fontId="0" fillId="21" borderId="3" applyAlignment="1" pivotButton="0" quotePrefix="0" xfId="0">
      <alignment horizontal="left"/>
    </xf>
    <xf numFmtId="178" fontId="0" fillId="22" borderId="3" applyAlignment="1" pivotButton="0" quotePrefix="0" xfId="0">
      <alignment horizontal="left"/>
    </xf>
    <xf numFmtId="181" fontId="0" fillId="21" borderId="3" applyAlignment="1" pivotButton="0" quotePrefix="0" xfId="0">
      <alignment horizontal="left"/>
    </xf>
    <xf numFmtId="181" fontId="0" fillId="22" borderId="3" applyAlignment="1" pivotButton="0" quotePrefix="0" xfId="0">
      <alignment horizontal="left"/>
    </xf>
    <xf numFmtId="190" fontId="0" fillId="0" borderId="26" pivotButton="0" quotePrefix="0" xfId="0"/>
    <xf numFmtId="196" fontId="0" fillId="22" borderId="26" applyAlignment="1" pivotButton="0" quotePrefix="0" xfId="0">
      <alignment horizontal="left"/>
    </xf>
    <xf numFmtId="178" fontId="0" fillId="0" borderId="18" applyAlignment="1" pivotButton="0" quotePrefix="0" xfId="0">
      <alignment horizontal="left"/>
    </xf>
    <xf numFmtId="176" fontId="0" fillId="0" borderId="27" applyAlignment="1" pivotButton="0" quotePrefix="0" xfId="0">
      <alignment horizontal="left"/>
    </xf>
    <xf numFmtId="186" fontId="0" fillId="22" borderId="27" applyAlignment="1" pivotButton="0" quotePrefix="0" xfId="0">
      <alignment horizontal="left"/>
    </xf>
    <xf numFmtId="178" fontId="0" fillId="0" borderId="27" applyAlignment="1" pivotButton="0" quotePrefix="0" xfId="0">
      <alignment horizontal="left"/>
    </xf>
    <xf numFmtId="0" fontId="0" fillId="22" borderId="49" applyAlignment="1" pivotButton="0" quotePrefix="0" xfId="0">
      <alignment horizontal="left" wrapText="1"/>
    </xf>
    <xf numFmtId="0" fontId="0" fillId="21" borderId="49" applyAlignment="1" pivotButton="0" quotePrefix="0" xfId="0">
      <alignment horizontal="left" wrapText="1"/>
    </xf>
    <xf numFmtId="49" fontId="0" fillId="22" borderId="19" applyAlignment="1" pivotButton="0" quotePrefix="0" xfId="0">
      <alignment horizontal="left"/>
    </xf>
    <xf numFmtId="192" fontId="0" fillId="22" borderId="28" applyAlignment="1" pivotButton="0" quotePrefix="0" xfId="0">
      <alignment horizontal="left"/>
    </xf>
    <xf numFmtId="192" fontId="0" fillId="22" borderId="29" applyAlignment="1" pivotButton="0" quotePrefix="0" xfId="0">
      <alignment horizontal="left"/>
    </xf>
    <xf numFmtId="0" fontId="0" fillId="22" borderId="19" applyAlignment="1" pivotButton="0" quotePrefix="0" xfId="0">
      <alignment horizontal="left"/>
    </xf>
    <xf numFmtId="178" fontId="0" fillId="22" borderId="19" applyAlignment="1" pivotButton="0" quotePrefix="0" xfId="0">
      <alignment horizontal="left"/>
    </xf>
    <xf numFmtId="2" fontId="0" fillId="22" borderId="19" applyAlignment="1" pivotButton="0" quotePrefix="0" xfId="0">
      <alignment horizontal="left"/>
    </xf>
    <xf numFmtId="2" fontId="0" fillId="22" borderId="28" applyAlignment="1" pivotButton="0" quotePrefix="0" xfId="0">
      <alignment horizontal="left"/>
    </xf>
    <xf numFmtId="176" fontId="0" fillId="22" borderId="29" applyAlignment="1" pivotButton="0" quotePrefix="0" xfId="0">
      <alignment horizontal="left"/>
    </xf>
    <xf numFmtId="2" fontId="0" fillId="22" borderId="28" pivotButton="0" quotePrefix="0" xfId="0"/>
    <xf numFmtId="10" fontId="0" fillId="22" borderId="29" pivotButton="0" quotePrefix="0" xfId="0"/>
    <xf numFmtId="190" fontId="0" fillId="22" borderId="19" pivotButton="0" quotePrefix="0" xfId="0"/>
    <xf numFmtId="190" fontId="0" fillId="22" borderId="28" applyAlignment="1" pivotButton="0" quotePrefix="0" xfId="0">
      <alignment horizontal="left"/>
    </xf>
    <xf numFmtId="10" fontId="0" fillId="22" borderId="7" applyAlignment="1" pivotButton="0" quotePrefix="0" xfId="0">
      <alignment horizontal="left"/>
    </xf>
    <xf numFmtId="2" fontId="0" fillId="22" borderId="29" applyAlignment="1" pivotButton="0" quotePrefix="0" xfId="0">
      <alignment horizontal="left"/>
    </xf>
    <xf numFmtId="4" fontId="0" fillId="22" borderId="19" applyAlignment="1" pivotButton="0" quotePrefix="0" xfId="0">
      <alignment horizontal="left"/>
    </xf>
    <xf numFmtId="192" fontId="0" fillId="22" borderId="28" pivotButton="0" quotePrefix="0" xfId="0"/>
    <xf numFmtId="0" fontId="0" fillId="22" borderId="7" pivotButton="0" quotePrefix="0" xfId="0"/>
    <xf numFmtId="2" fontId="0" fillId="22" borderId="7" pivotButton="0" quotePrefix="0" xfId="0"/>
    <xf numFmtId="10" fontId="0" fillId="22" borderId="7" pivotButton="0" quotePrefix="0" xfId="0"/>
    <xf numFmtId="0" fontId="0" fillId="22" borderId="19" pivotButton="0" quotePrefix="0" xfId="0"/>
    <xf numFmtId="0" fontId="0" fillId="22" borderId="19" applyAlignment="1" pivotButton="0" quotePrefix="0" xfId="0">
      <alignment horizontal="left" wrapText="1"/>
    </xf>
    <xf numFmtId="0" fontId="0" fillId="22" borderId="50" applyAlignment="1" pivotButton="0" quotePrefix="0" xfId="0">
      <alignment horizontal="left"/>
    </xf>
    <xf numFmtId="49" fontId="0" fillId="21" borderId="0" applyAlignment="1" pivotButton="0" quotePrefix="0" xfId="0">
      <alignment horizontal="left"/>
    </xf>
    <xf numFmtId="192" fontId="0" fillId="21" borderId="0" applyAlignment="1" pivotButton="0" quotePrefix="0" xfId="0">
      <alignment horizontal="left"/>
    </xf>
    <xf numFmtId="0" fontId="0" fillId="21" borderId="0" applyAlignment="1" pivotButton="0" quotePrefix="0" xfId="0">
      <alignment horizontal="left"/>
    </xf>
    <xf numFmtId="178" fontId="0" fillId="21" borderId="0" applyAlignment="1" pivotButton="0" quotePrefix="0" xfId="0">
      <alignment horizontal="left"/>
    </xf>
    <xf numFmtId="2" fontId="0" fillId="21" borderId="0" applyAlignment="1" pivotButton="0" quotePrefix="0" xfId="0">
      <alignment horizontal="left"/>
    </xf>
    <xf numFmtId="176" fontId="0" fillId="21" borderId="0" applyAlignment="1" pivotButton="0" quotePrefix="0" xfId="0">
      <alignment horizontal="left"/>
    </xf>
    <xf numFmtId="190" fontId="0" fillId="21" borderId="0" pivotButton="0" quotePrefix="0" xfId="0"/>
    <xf numFmtId="190" fontId="0" fillId="21" borderId="0" applyAlignment="1" pivotButton="0" quotePrefix="0" xfId="0">
      <alignment horizontal="left"/>
    </xf>
    <xf numFmtId="10" fontId="0" fillId="21" borderId="0" applyAlignment="1" pivotButton="0" quotePrefix="0" xfId="0">
      <alignment horizontal="left"/>
    </xf>
    <xf numFmtId="4" fontId="0" fillId="21" borderId="0" applyAlignment="1" pivotButton="0" quotePrefix="0" xfId="0">
      <alignment horizontal="left"/>
    </xf>
    <xf numFmtId="192" fontId="0" fillId="21" borderId="0" pivotButton="0" quotePrefix="0" xfId="0"/>
    <xf numFmtId="0" fontId="0" fillId="21" borderId="0" pivotButton="0" quotePrefix="0" xfId="0"/>
    <xf numFmtId="2" fontId="0" fillId="21" borderId="0" pivotButton="0" quotePrefix="0" xfId="0"/>
    <xf numFmtId="10" fontId="0" fillId="21" borderId="0" pivotButton="0" quotePrefix="0" xfId="0"/>
    <xf numFmtId="0" fontId="0" fillId="21" borderId="0" applyAlignment="1" pivotButton="0" quotePrefix="0" xfId="0">
      <alignment horizontal="left" wrapText="1"/>
    </xf>
    <xf numFmtId="192" fontId="0" fillId="0" borderId="0" applyAlignment="1" pivotButton="0" quotePrefix="0" xfId="0">
      <alignment horizontal="left"/>
    </xf>
    <xf numFmtId="190" fontId="0" fillId="0" borderId="0" pivotButton="0" quotePrefix="0" xfId="0"/>
    <xf numFmtId="192" fontId="0" fillId="0" borderId="0" pivotButton="0" quotePrefix="0" xfId="0"/>
    <xf numFmtId="0" fontId="47" fillId="21" borderId="52" applyAlignment="1" pivotButton="0" quotePrefix="0" xfId="0">
      <alignment horizontal="left" vertical="center"/>
    </xf>
    <xf numFmtId="0" fontId="47" fillId="21" borderId="58" applyAlignment="1" pivotButton="0" quotePrefix="0" xfId="0">
      <alignment horizontal="left" vertical="center"/>
    </xf>
    <xf numFmtId="0" fontId="48" fillId="22" borderId="52" applyAlignment="1" pivotButton="0" quotePrefix="0" xfId="0">
      <alignment horizontal="left" vertical="center"/>
    </xf>
    <xf numFmtId="0" fontId="48" fillId="22" borderId="58" applyAlignment="1" pivotButton="0" quotePrefix="0" xfId="0">
      <alignment horizontal="left" vertical="center"/>
    </xf>
    <xf numFmtId="0" fontId="47" fillId="21" borderId="81" applyAlignment="1" pivotButton="0" quotePrefix="0" xfId="0">
      <alignment horizontal="center" vertical="center"/>
    </xf>
    <xf numFmtId="0" fontId="48" fillId="22" borderId="81" applyAlignment="1" pivotButton="0" quotePrefix="0" xfId="0">
      <alignment horizontal="center" vertical="center"/>
    </xf>
    <xf numFmtId="0" fontId="47" fillId="21" borderId="60" applyAlignment="1" pivotButton="0" quotePrefix="0" xfId="0">
      <alignment horizontal="left" vertical="center"/>
    </xf>
    <xf numFmtId="0" fontId="48" fillId="22" borderId="60" applyAlignment="1" pivotButton="0" quotePrefix="0" xfId="0">
      <alignment horizontal="left" vertical="center"/>
    </xf>
    <xf numFmtId="172" fontId="14" fillId="0" borderId="53" applyAlignment="1" pivotButton="0" quotePrefix="0" xfId="5">
      <alignment horizontal="center"/>
    </xf>
    <xf numFmtId="173" fontId="14" fillId="0" borderId="78" applyAlignment="1" pivotButton="0" quotePrefix="0" xfId="5">
      <alignment horizontal="center"/>
    </xf>
    <xf numFmtId="173" fontId="14" fillId="0" borderId="69" applyAlignment="1" pivotButton="0" quotePrefix="0" xfId="5">
      <alignment horizontal="center"/>
    </xf>
    <xf numFmtId="0" fontId="7" fillId="3" borderId="119" applyAlignment="1" pivotButton="0" quotePrefix="0" xfId="0">
      <alignment horizontal="left"/>
    </xf>
    <xf numFmtId="0" fontId="7" fillId="3" borderId="120" applyAlignment="1" pivotButton="0" quotePrefix="0" xfId="0">
      <alignment horizontal="left"/>
    </xf>
    <xf numFmtId="0" fontId="7" fillId="3" borderId="121" applyAlignment="1" pivotButton="0" quotePrefix="0" xfId="0">
      <alignment horizontal="left"/>
    </xf>
    <xf numFmtId="0" fontId="26" fillId="0" borderId="122" applyAlignment="1" pivotButton="0" quotePrefix="0" xfId="0">
      <alignment horizontal="left" wrapText="1"/>
    </xf>
    <xf numFmtId="1" fontId="14" fillId="0" borderId="123" applyAlignment="1" pivotButton="0" quotePrefix="0" xfId="0">
      <alignment horizontal="left"/>
    </xf>
    <xf numFmtId="1" fontId="14" fillId="0" borderId="124" applyAlignment="1" pivotButton="0" quotePrefix="0" xfId="0">
      <alignment horizontal="left"/>
    </xf>
    <xf numFmtId="0" fontId="6" fillId="0" borderId="122" applyAlignment="1" pivotButton="0" quotePrefix="0" xfId="0">
      <alignment horizontal="left" wrapText="1"/>
    </xf>
    <xf numFmtId="1" fontId="44" fillId="22" borderId="123" applyAlignment="1" pivotButton="0" quotePrefix="0" xfId="0">
      <alignment horizontal="left"/>
    </xf>
    <xf numFmtId="1" fontId="44" fillId="22" borderId="124" applyAlignment="1" pivotButton="0" quotePrefix="0" xfId="0">
      <alignment horizontal="left"/>
    </xf>
    <xf numFmtId="1" fontId="45" fillId="21" borderId="123" applyAlignment="1" pivotButton="0" quotePrefix="0" xfId="0">
      <alignment horizontal="left"/>
    </xf>
    <xf numFmtId="1" fontId="45" fillId="21" borderId="124" applyAlignment="1" pivotButton="0" quotePrefix="0" xfId="0">
      <alignment horizontal="left"/>
    </xf>
    <xf numFmtId="10" fontId="14" fillId="0" borderId="123" applyAlignment="1" pivotButton="0" quotePrefix="0" xfId="0">
      <alignment horizontal="left"/>
    </xf>
    <xf numFmtId="10" fontId="14" fillId="0" borderId="124" applyAlignment="1" pivotButton="0" quotePrefix="0" xfId="0">
      <alignment horizontal="left"/>
    </xf>
    <xf numFmtId="10" fontId="45" fillId="21" borderId="123" applyAlignment="1" pivotButton="0" quotePrefix="0" xfId="0">
      <alignment horizontal="left"/>
    </xf>
    <xf numFmtId="10" fontId="44" fillId="22" borderId="123" applyAlignment="1" pivotButton="0" quotePrefix="0" xfId="0">
      <alignment horizontal="left"/>
    </xf>
    <xf numFmtId="10" fontId="45" fillId="21" borderId="124" applyAlignment="1" pivotButton="0" quotePrefix="0" xfId="0">
      <alignment horizontal="left"/>
    </xf>
    <xf numFmtId="176" fontId="44" fillId="22" borderId="124" applyAlignment="1" pivotButton="0" quotePrefix="0" xfId="0">
      <alignment horizontal="left"/>
    </xf>
    <xf numFmtId="179" fontId="44" fillId="22" borderId="123" applyAlignment="1" pivotButton="0" quotePrefix="0" xfId="0">
      <alignment horizontal="left"/>
    </xf>
    <xf numFmtId="179" fontId="44" fillId="22" borderId="124" applyAlignment="1" pivotButton="0" quotePrefix="0" xfId="0">
      <alignment horizontal="left"/>
    </xf>
    <xf numFmtId="179" fontId="45" fillId="21" borderId="123" applyAlignment="1" pivotButton="0" quotePrefix="0" xfId="0">
      <alignment horizontal="left"/>
    </xf>
    <xf numFmtId="179" fontId="45" fillId="21" borderId="124" applyAlignment="1" pivotButton="0" quotePrefix="0" xfId="0">
      <alignment horizontal="left"/>
    </xf>
    <xf numFmtId="0" fontId="12" fillId="0" borderId="124" applyAlignment="1" pivotButton="0" quotePrefix="0" xfId="0">
      <alignment horizontal="left"/>
    </xf>
    <xf numFmtId="176" fontId="45" fillId="21" borderId="123" applyAlignment="1" pivotButton="0" quotePrefix="0" xfId="0">
      <alignment horizontal="left"/>
    </xf>
    <xf numFmtId="176" fontId="44" fillId="22" borderId="123" applyAlignment="1" pivotButton="0" quotePrefix="0" xfId="0">
      <alignment horizontal="left"/>
    </xf>
    <xf numFmtId="0" fontId="26" fillId="0" borderId="125" applyAlignment="1" pivotButton="0" quotePrefix="0" xfId="0">
      <alignment horizontal="left" wrapText="1"/>
    </xf>
    <xf numFmtId="174" fontId="44" fillId="22" borderId="126" applyAlignment="1" pivotButton="0" quotePrefix="0" xfId="0">
      <alignment horizontal="left"/>
    </xf>
    <xf numFmtId="179" fontId="45" fillId="21" borderId="126" applyAlignment="1" pivotButton="0" quotePrefix="0" xfId="0">
      <alignment horizontal="left"/>
    </xf>
    <xf numFmtId="174" fontId="45" fillId="21" borderId="126" applyAlignment="1" pivotButton="0" quotePrefix="0" xfId="0">
      <alignment horizontal="left"/>
    </xf>
    <xf numFmtId="188" fontId="45" fillId="21" borderId="126" applyAlignment="1" pivotButton="0" quotePrefix="0" xfId="0">
      <alignment horizontal="left"/>
    </xf>
    <xf numFmtId="174" fontId="45" fillId="21" borderId="127" applyAlignment="1" pivotButton="0" quotePrefix="0" xfId="0">
      <alignment horizontal="left"/>
    </xf>
    <xf numFmtId="0" fontId="6" fillId="0" borderId="119" applyAlignment="1" pivotButton="0" quotePrefix="0" xfId="0">
      <alignment horizontal="left" wrapText="1"/>
    </xf>
    <xf numFmtId="176" fontId="14" fillId="0" borderId="120" applyAlignment="1" pivotButton="0" quotePrefix="0" xfId="0">
      <alignment horizontal="left"/>
    </xf>
    <xf numFmtId="10" fontId="14" fillId="0" borderId="120" applyAlignment="1" pivotButton="0" quotePrefix="0" xfId="0">
      <alignment horizontal="left"/>
    </xf>
    <xf numFmtId="10" fontId="14" fillId="0" borderId="121" applyAlignment="1" pivotButton="0" quotePrefix="0" xfId="0">
      <alignment horizontal="left"/>
    </xf>
    <xf numFmtId="0" fontId="14" fillId="0" borderId="123" applyAlignment="1" pivotButton="0" quotePrefix="0" xfId="0">
      <alignment horizontal="left"/>
    </xf>
    <xf numFmtId="0" fontId="14" fillId="0" borderId="124" applyAlignment="1" pivotButton="0" quotePrefix="0" xfId="0">
      <alignment horizontal="left"/>
    </xf>
    <xf numFmtId="0" fontId="6" fillId="0" borderId="125" applyAlignment="1" pivotButton="0" quotePrefix="0" xfId="0">
      <alignment horizontal="left" wrapText="1"/>
    </xf>
    <xf numFmtId="0" fontId="14" fillId="0" borderId="126" applyAlignment="1" pivotButton="0" quotePrefix="0" xfId="0">
      <alignment horizontal="left"/>
    </xf>
    <xf numFmtId="0" fontId="14" fillId="0" borderId="127" applyAlignment="1" pivotButton="0" quotePrefix="0" xfId="0">
      <alignment horizontal="left"/>
    </xf>
    <xf numFmtId="0" fontId="14" fillId="0" borderId="120" applyAlignment="1" pivotButton="0" quotePrefix="0" xfId="0">
      <alignment horizontal="left"/>
    </xf>
    <xf numFmtId="0" fontId="14" fillId="0" borderId="121" applyAlignment="1" pivotButton="0" quotePrefix="0" xfId="0">
      <alignment horizontal="left"/>
    </xf>
    <xf numFmtId="0" fontId="26" fillId="0" borderId="119" applyAlignment="1" pivotButton="0" quotePrefix="0" xfId="0">
      <alignment horizontal="left" wrapText="1"/>
    </xf>
    <xf numFmtId="0" fontId="44" fillId="22" borderId="120" applyAlignment="1" pivotButton="0" quotePrefix="0" xfId="0">
      <alignment horizontal="left"/>
    </xf>
    <xf numFmtId="0" fontId="44" fillId="22" borderId="121" applyAlignment="1" pivotButton="0" quotePrefix="0" xfId="0">
      <alignment horizontal="left"/>
    </xf>
    <xf numFmtId="0" fontId="45" fillId="21" borderId="123" applyAlignment="1" pivotButton="0" quotePrefix="0" xfId="0">
      <alignment horizontal="left"/>
    </xf>
    <xf numFmtId="0" fontId="45" fillId="21" borderId="124" applyAlignment="1" pivotButton="0" quotePrefix="0" xfId="0">
      <alignment horizontal="left"/>
    </xf>
    <xf numFmtId="0" fontId="44" fillId="22" borderId="126" applyAlignment="1" pivotButton="0" quotePrefix="0" xfId="0">
      <alignment horizontal="left"/>
    </xf>
    <xf numFmtId="0" fontId="44" fillId="22" borderId="127" applyAlignment="1" pivotButton="0" quotePrefix="0" xfId="0">
      <alignment horizontal="left"/>
    </xf>
    <xf numFmtId="0" fontId="12" fillId="0" borderId="120" applyAlignment="1" pivotButton="0" quotePrefix="0" xfId="0">
      <alignment horizontal="left"/>
    </xf>
    <xf numFmtId="0" fontId="12" fillId="0" borderId="121" applyAlignment="1" pivotButton="0" quotePrefix="0" xfId="0">
      <alignment horizontal="left"/>
    </xf>
    <xf numFmtId="176" fontId="14" fillId="0" borderId="123" applyAlignment="1" pivotButton="0" quotePrefix="0" xfId="0">
      <alignment horizontal="left"/>
    </xf>
    <xf numFmtId="176" fontId="14" fillId="0" borderId="124" applyAlignment="1" pivotButton="0" quotePrefix="0" xfId="0">
      <alignment horizontal="left"/>
    </xf>
    <xf numFmtId="10" fontId="30" fillId="0" borderId="123" applyAlignment="1" pivotButton="0" quotePrefix="0" xfId="0">
      <alignment horizontal="left"/>
    </xf>
    <xf numFmtId="10" fontId="30" fillId="0" borderId="124" applyAlignment="1" pivotButton="0" quotePrefix="0" xfId="0">
      <alignment horizontal="left"/>
    </xf>
    <xf numFmtId="0" fontId="30" fillId="0" borderId="123" applyAlignment="1" pivotButton="0" quotePrefix="0" xfId="0">
      <alignment horizontal="left"/>
    </xf>
    <xf numFmtId="0" fontId="30" fillId="0" borderId="124" applyAlignment="1" pivotButton="0" quotePrefix="0" xfId="0">
      <alignment horizontal="left"/>
    </xf>
    <xf numFmtId="182" fontId="45" fillId="21" borderId="123" applyAlignment="1" pivotButton="0" quotePrefix="0" xfId="0">
      <alignment horizontal="left"/>
    </xf>
    <xf numFmtId="176" fontId="45" fillId="21" borderId="124" applyAlignment="1" pivotButton="0" quotePrefix="0" xfId="0">
      <alignment horizontal="left"/>
    </xf>
    <xf numFmtId="1" fontId="14" fillId="0" borderId="120" applyAlignment="1" pivotButton="0" quotePrefix="0" xfId="0">
      <alignment horizontal="left"/>
    </xf>
    <xf numFmtId="1" fontId="14" fillId="0" borderId="121" applyAlignment="1" pivotButton="0" quotePrefix="0" xfId="0">
      <alignment horizontal="left"/>
    </xf>
    <xf numFmtId="1" fontId="46" fillId="21" borderId="123" applyAlignment="1" pivotButton="0" quotePrefix="0" xfId="0">
      <alignment horizontal="left"/>
    </xf>
    <xf numFmtId="1" fontId="46" fillId="21" borderId="124" applyAlignment="1" pivotButton="0" quotePrefix="0" xfId="0">
      <alignment horizontal="left"/>
    </xf>
    <xf numFmtId="1" fontId="12" fillId="0" borderId="123" applyAlignment="1" pivotButton="0" quotePrefix="0" xfId="0">
      <alignment horizontal="left"/>
    </xf>
    <xf numFmtId="1" fontId="12" fillId="0" borderId="124" applyAlignment="1" pivotButton="0" quotePrefix="0" xfId="0">
      <alignment horizontal="left"/>
    </xf>
    <xf numFmtId="1" fontId="12" fillId="0" borderId="126" applyAlignment="1" pivotButton="0" quotePrefix="0" xfId="0">
      <alignment horizontal="left"/>
    </xf>
    <xf numFmtId="1" fontId="12" fillId="0" borderId="127" applyAlignment="1" pivotButton="0" quotePrefix="0" xfId="0">
      <alignment horizontal="left"/>
    </xf>
    <xf numFmtId="0" fontId="30" fillId="0" borderId="120" applyAlignment="1" pivotButton="0" quotePrefix="0" xfId="0">
      <alignment horizontal="left"/>
    </xf>
    <xf numFmtId="0" fontId="30" fillId="0" borderId="121" applyAlignment="1" pivotButton="0" quotePrefix="0" xfId="0">
      <alignment horizontal="left"/>
    </xf>
    <xf numFmtId="0" fontId="44" fillId="22" borderId="123" applyAlignment="1" pivotButton="0" quotePrefix="0" xfId="0">
      <alignment horizontal="left"/>
    </xf>
    <xf numFmtId="0" fontId="44" fillId="22" borderId="124" applyAlignment="1" pivotButton="0" quotePrefix="0" xfId="0">
      <alignment horizontal="left"/>
    </xf>
    <xf numFmtId="0" fontId="45" fillId="21" borderId="126" applyAlignment="1" pivotButton="0" quotePrefix="0" xfId="0">
      <alignment horizontal="left"/>
    </xf>
    <xf numFmtId="0" fontId="45" fillId="21" borderId="127" applyAlignment="1" pivotButton="0" quotePrefix="0" xfId="0">
      <alignment horizontal="left"/>
    </xf>
    <xf numFmtId="0" fontId="12" fillId="0" borderId="127" applyAlignment="1" pivotButton="0" quotePrefix="0" xfId="0">
      <alignment horizontal="left"/>
    </xf>
    <xf numFmtId="195" fontId="45" fillId="21" borderId="123" applyAlignment="1" pivotButton="0" quotePrefix="0" xfId="0">
      <alignment horizontal="left"/>
    </xf>
    <xf numFmtId="190" fontId="45" fillId="21" borderId="123" applyAlignment="1" pivotButton="0" quotePrefix="0" xfId="0">
      <alignment horizontal="left"/>
    </xf>
    <xf numFmtId="190" fontId="46" fillId="21" borderId="123" applyAlignment="1" pivotButton="0" quotePrefix="0" xfId="0">
      <alignment horizontal="left"/>
    </xf>
    <xf numFmtId="0" fontId="46" fillId="21" borderId="123" applyAlignment="1" pivotButton="0" quotePrefix="0" xfId="0">
      <alignment horizontal="left"/>
    </xf>
    <xf numFmtId="0" fontId="46" fillId="21" borderId="124" applyAlignment="1" pivotButton="0" quotePrefix="0" xfId="0">
      <alignment horizontal="left"/>
    </xf>
    <xf numFmtId="190" fontId="45" fillId="21" borderId="126" applyAlignment="1" pivotButton="0" quotePrefix="0" xfId="0">
      <alignment horizontal="left"/>
    </xf>
    <xf numFmtId="0" fontId="30" fillId="0" borderId="118" applyAlignment="1" pivotButton="0" quotePrefix="0" xfId="0">
      <alignment horizontal="left"/>
    </xf>
    <xf numFmtId="0" fontId="14" fillId="0" borderId="118" pivotButton="0" quotePrefix="0" xfId="0"/>
    <xf numFmtId="0" fontId="14" fillId="0" borderId="118" applyAlignment="1" pivotButton="0" quotePrefix="0" xfId="0">
      <alignment horizontal="left"/>
    </xf>
    <xf numFmtId="0" fontId="12" fillId="0" borderId="118" pivotButton="0" quotePrefix="0" xfId="0"/>
    <xf numFmtId="0" fontId="12" fillId="0" borderId="118" applyAlignment="1" pivotButton="0" quotePrefix="0" xfId="0">
      <alignment horizontal="left"/>
    </xf>
    <xf numFmtId="0" fontId="30" fillId="0" borderId="118" pivotButton="0" quotePrefix="0" xfId="0"/>
    <xf numFmtId="10" fontId="44" fillId="22" borderId="124" applyAlignment="1" pivotButton="0" quotePrefix="0" xfId="0">
      <alignment horizontal="left"/>
    </xf>
    <xf numFmtId="182" fontId="45" fillId="21" borderId="124" applyAlignment="1" pivotButton="0" quotePrefix="0" xfId="0">
      <alignment horizontal="left"/>
    </xf>
    <xf numFmtId="179" fontId="44" fillId="22" borderId="126" applyAlignment="1" pivotButton="0" quotePrefix="0" xfId="0">
      <alignment horizontal="left"/>
    </xf>
    <xf numFmtId="174" fontId="44" fillId="22" borderId="127" applyAlignment="1" pivotButton="0" quotePrefix="0" xfId="0">
      <alignment horizontal="left"/>
    </xf>
    <xf numFmtId="176" fontId="30" fillId="0" borderId="123" applyAlignment="1" pivotButton="0" quotePrefix="0" xfId="0">
      <alignment horizontal="left"/>
    </xf>
    <xf numFmtId="190" fontId="45" fillId="21" borderId="124" applyAlignment="1" pivotButton="0" quotePrefix="0" xfId="0">
      <alignment horizontal="left"/>
    </xf>
    <xf numFmtId="195" fontId="46" fillId="21" borderId="123" applyAlignment="1" pivotButton="0" quotePrefix="0" xfId="0">
      <alignment horizontal="left"/>
    </xf>
    <xf numFmtId="190" fontId="46" fillId="21" borderId="124" applyAlignment="1" pivotButton="0" quotePrefix="0" xfId="0">
      <alignment horizontal="left"/>
    </xf>
    <xf numFmtId="190" fontId="45" fillId="21" borderId="127" applyAlignment="1" pivotButton="0" quotePrefix="0" xfId="0">
      <alignment horizontal="left"/>
    </xf>
    <xf numFmtId="179" fontId="12" fillId="0" borderId="123" applyAlignment="1" pivotButton="0" quotePrefix="0" xfId="0">
      <alignment horizontal="left"/>
    </xf>
    <xf numFmtId="179" fontId="12" fillId="0" borderId="124" applyAlignment="1" pivotButton="0" quotePrefix="0" xfId="0">
      <alignment horizontal="left"/>
    </xf>
    <xf numFmtId="188" fontId="44" fillId="22" borderId="126" applyAlignment="1" pivotButton="0" quotePrefix="0" xfId="0">
      <alignment horizontal="left"/>
    </xf>
    <xf numFmtId="179" fontId="14" fillId="0" borderId="126" applyAlignment="1" pivotButton="0" quotePrefix="0" xfId="0">
      <alignment horizontal="left"/>
    </xf>
    <xf numFmtId="179" fontId="14" fillId="0" borderId="127" applyAlignment="1" pivotButton="0" quotePrefix="0" xfId="0">
      <alignment horizontal="left"/>
    </xf>
    <xf numFmtId="10" fontId="14" fillId="0" borderId="126" applyAlignment="1" pivotButton="0" quotePrefix="0" xfId="0">
      <alignment horizontal="left"/>
    </xf>
    <xf numFmtId="10" fontId="14" fillId="0" borderId="127" applyAlignment="1" pivotButton="0" quotePrefix="0" xfId="0">
      <alignment horizontal="left"/>
    </xf>
    <xf numFmtId="179" fontId="14" fillId="0" borderId="123" applyAlignment="1" pivotButton="0" quotePrefix="0" xfId="0">
      <alignment horizontal="left"/>
    </xf>
    <xf numFmtId="179" fontId="14" fillId="0" borderId="124" applyAlignment="1" pivotButton="0" quotePrefix="0" xfId="0">
      <alignment horizontal="left"/>
    </xf>
    <xf numFmtId="10" fontId="30" fillId="0" borderId="120" applyAlignment="1" pivotButton="0" quotePrefix="0" xfId="0">
      <alignment horizontal="left"/>
    </xf>
    <xf numFmtId="10" fontId="30" fillId="0" borderId="121" applyAlignment="1" pivotButton="0" quotePrefix="0" xfId="0">
      <alignment horizontal="left"/>
    </xf>
    <xf numFmtId="179" fontId="45" fillId="21" borderId="127" applyAlignment="1" pivotButton="0" quotePrefix="0" xfId="0">
      <alignment horizontal="left"/>
    </xf>
    <xf numFmtId="193" fontId="45" fillId="21" borderId="123" applyAlignment="1" pivotButton="0" quotePrefix="0" xfId="0">
      <alignment horizontal="left"/>
    </xf>
    <xf numFmtId="194" fontId="45" fillId="21" borderId="123" applyAlignment="1" pivotButton="0" quotePrefix="0" xfId="0">
      <alignment horizontal="left"/>
    </xf>
    <xf numFmtId="196" fontId="45" fillId="21" borderId="124" applyAlignment="1" pivotButton="0" quotePrefix="0" xfId="0">
      <alignment horizontal="left"/>
    </xf>
    <xf numFmtId="194" fontId="45" fillId="21" borderId="124" applyAlignment="1" pivotButton="0" quotePrefix="0" xfId="0">
      <alignment horizontal="left"/>
    </xf>
    <xf numFmtId="194" fontId="46" fillId="21" borderId="123" applyAlignment="1" pivotButton="0" quotePrefix="0" xfId="0">
      <alignment horizontal="left"/>
    </xf>
    <xf numFmtId="194" fontId="46" fillId="21" borderId="124" applyAlignment="1" pivotButton="0" quotePrefix="0" xfId="0">
      <alignment horizontal="left"/>
    </xf>
    <xf numFmtId="195" fontId="45" fillId="21" borderId="126" applyAlignment="1" pivotButton="0" quotePrefix="0" xfId="0">
      <alignment horizontal="left"/>
    </xf>
    <xf numFmtId="194" fontId="45" fillId="21" borderId="126" applyAlignment="1" pivotButton="0" quotePrefix="0" xfId="0">
      <alignment horizontal="left"/>
    </xf>
    <xf numFmtId="194" fontId="45" fillId="21" borderId="127" applyAlignment="1" pivotButton="0" quotePrefix="0" xfId="0">
      <alignment horizontal="left"/>
    </xf>
    <xf numFmtId="196" fontId="45" fillId="21" borderId="123" applyAlignment="1" pivotButton="0" quotePrefix="0" xfId="0">
      <alignment horizontal="left"/>
    </xf>
    <xf numFmtId="176" fontId="14" fillId="0" borderId="121" applyAlignment="1" pivotButton="0" quotePrefix="0" xfId="0">
      <alignment horizontal="left"/>
    </xf>
    <xf numFmtId="193" fontId="46" fillId="21" borderId="123" applyAlignment="1" pivotButton="0" quotePrefix="0" xfId="0">
      <alignment horizontal="left"/>
    </xf>
    <xf numFmtId="193" fontId="45" fillId="21" borderId="126" applyAlignment="1" pivotButton="0" quotePrefix="0" xfId="0">
      <alignment horizontal="left"/>
    </xf>
    <xf numFmtId="179" fontId="44" fillId="22" borderId="127" applyAlignment="1" pivotButton="0" quotePrefix="0" xfId="0">
      <alignment horizontal="left"/>
    </xf>
    <xf numFmtId="193" fontId="45" fillId="21" borderId="124" applyAlignment="1" pivotButton="0" quotePrefix="0" xfId="0">
      <alignment horizontal="left"/>
    </xf>
    <xf numFmtId="193" fontId="46" fillId="21" borderId="124" applyAlignment="1" pivotButton="0" quotePrefix="0" xfId="0">
      <alignment horizontal="left"/>
    </xf>
    <xf numFmtId="193" fontId="45" fillId="21" borderId="127" applyAlignment="1" pivotButton="0" quotePrefix="0" xfId="0">
      <alignment horizontal="left"/>
    </xf>
    <xf numFmtId="179" fontId="12" fillId="0" borderId="127" applyAlignment="1" pivotButton="0" quotePrefix="0" xfId="0">
      <alignment horizontal="left"/>
    </xf>
    <xf numFmtId="176" fontId="12" fillId="0" borderId="123" applyAlignment="1" pivotButton="0" quotePrefix="0" xfId="0">
      <alignment horizontal="left"/>
    </xf>
    <xf numFmtId="182" fontId="44" fillId="22" borderId="123" applyAlignment="1" pivotButton="0" quotePrefix="0" xfId="0">
      <alignment horizontal="left"/>
    </xf>
    <xf numFmtId="179" fontId="12" fillId="0" borderId="126" applyAlignment="1" pivotButton="0" quotePrefix="0" xfId="0">
      <alignment horizontal="left"/>
    </xf>
    <xf numFmtId="0" fontId="35" fillId="0" borderId="123" applyAlignment="1" pivotButton="0" quotePrefix="0" xfId="0">
      <alignment horizontal="left"/>
    </xf>
  </cellXfs>
  <cellStyles count="6">
    <cellStyle name="Normal" xfId="0" builtinId="0"/>
    <cellStyle name="Normal 2" xfId="1"/>
    <cellStyle name="Normal 2 2" xfId="2"/>
    <cellStyle name="Currency 2" xfId="3"/>
    <cellStyle name="Percent 2" xfId="4"/>
    <cellStyle name="Comma 2" xfId="5"/>
  </cellStyles>
  <dxfs count="15"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ont>
        <color rgb="FFFF0000"/>
      </font>
    </dxf>
    <dxf>
      <font>
        <strike val="0"/>
        <color auto="1"/>
      </font>
    </dxf>
    <dxf>
      <font>
        <strike val="0"/>
        <color rgb="FFFF0000"/>
      </font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color rgb="FF006100"/>
      </font>
      <fill>
        <patternFill patternType="solid">
          <fgColor rgb="FFC6EFCE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color rgb="FF006100"/>
      </font>
      <fill>
        <patternFill patternType="solid">
          <fgColor rgb="FFC6EFCE"/>
        </patternFill>
      </fill>
    </dxf>
    <dxf>
      <font>
        <color rgb="00006100"/>
      </font>
      <fill>
        <patternFill patternType="solid">
          <fgColor rgb="00C6EFCE"/>
        </patternFill>
      </fill>
    </dxf>
    <dxf>
      <font>
        <color rgb="009C0006"/>
      </font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200" b="1" i="0" strike="noStrike" baseline="0">
                <a:solidFill>
                  <a:srgbClr val="333399"/>
                </a:solidFill>
                <a:latin typeface="Arial"/>
                <a:ea typeface="Arial"/>
                <a:cs typeface="Arial"/>
              </a:defRPr>
            </a:pPr>
            <a:r>
              <a:rPr lang="en-AU"/>
              <a:t>Compounding of Capital</a:t>
            </a:r>
          </a:p>
        </c:rich>
      </c:tx>
      <c:layout>
        <c:manualLayout>
          <c:xMode val="edge"/>
          <c:yMode val="edge"/>
          <c:x val="0.40353891980511242"/>
          <c:y val="4.5559421351400843E-3"/>
        </c:manualLayout>
      </c:layout>
      <c:overlay val="0"/>
      <c:spPr>
        <a:noFill/>
        <a:ln w="25400"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9.639830508474577E-2"/>
          <c:y val="9.6363721913815481E-2"/>
          <c:w val="0.88877118644067865"/>
          <c:h val="0.73876194047172672"/>
        </c:manualLayout>
      </c:layout>
      <c:lineChart>
        <c:grouping val="standard"/>
        <c:varyColors val="0"/>
        <c:ser>
          <c:idx val="1"/>
          <c:order val="0"/>
          <c:spPr>
            <a:ln w="38100">
              <a:solidFill>
                <a:srgbClr val="0000D4"/>
              </a:solidFill>
              <a:prstDash val="solid"/>
            </a:ln>
          </c:spPr>
          <c:marker>
            <c:symbol val="none"/>
          </c:marker>
          <c:cat>
            <c:numRef>
              <c:f>' SIM'!$A$9:$A$109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cat>
          <c:val>
            <c:numRef>
              <c:f>' SIM'!$F$9:$F$109</c:f>
              <c:numCache>
                <c:formatCode>_("$"* #,##0_);_("$"* \(#,##0\);_("$"* "-"??_);_(@_)</c:formatCode>
                <c:ptCount val="101"/>
                <c:pt idx="0">
                  <c:v>1000</c:v>
                </c:pt>
                <c:pt idx="1">
                  <c:v>1016.6996746331633</c:v>
                </c:pt>
                <c:pt idx="2">
                  <c:v>1007.9064412388475</c:v>
                </c:pt>
                <c:pt idx="3">
                  <c:v>1024.826229336252</c:v>
                </c:pt>
                <c:pt idx="4">
                  <c:v>1015.5725472801475</c:v>
                </c:pt>
                <c:pt idx="5">
                  <c:v>1006.2764794523688</c:v>
                </c:pt>
                <c:pt idx="6">
                  <c:v>996.82952298975772</c:v>
                </c:pt>
                <c:pt idx="7">
                  <c:v>988.15640471411075</c:v>
                </c:pt>
                <c:pt idx="8">
                  <c:v>980.1155237434815</c:v>
                </c:pt>
                <c:pt idx="9">
                  <c:v>996.12904207946463</c:v>
                </c:pt>
                <c:pt idx="10">
                  <c:v>988.51401902895202</c:v>
                </c:pt>
                <c:pt idx="11">
                  <c:v>978.19378398028391</c:v>
                </c:pt>
                <c:pt idx="12">
                  <c:v>996.60259632734335</c:v>
                </c:pt>
                <c:pt idx="13">
                  <c:v>1013.980628433629</c:v>
                </c:pt>
                <c:pt idx="14">
                  <c:v>1004.2164657585939</c:v>
                </c:pt>
                <c:pt idx="15">
                  <c:v>996.27687058150821</c:v>
                </c:pt>
                <c:pt idx="16">
                  <c:v>1012.6944088043936</c:v>
                </c:pt>
                <c:pt idx="17">
                  <c:v>1002.9930375104112</c:v>
                </c:pt>
                <c:pt idx="18">
                  <c:v>1020.6168610545697</c:v>
                </c:pt>
                <c:pt idx="19">
                  <c:v>1012.1774851919134</c:v>
                </c:pt>
                <c:pt idx="20">
                  <c:v>1001.8118998003187</c:v>
                </c:pt>
                <c:pt idx="21">
                  <c:v>992.68582168593264</c:v>
                </c:pt>
                <c:pt idx="22">
                  <c:v>1007.9068279760418</c:v>
                </c:pt>
                <c:pt idx="23">
                  <c:v>997.77624515426771</c:v>
                </c:pt>
                <c:pt idx="24">
                  <c:v>1015.0966261478554</c:v>
                </c:pt>
                <c:pt idx="25">
                  <c:v>1004.4776071343537</c:v>
                </c:pt>
                <c:pt idx="26">
                  <c:v>995.89554323411869</c:v>
                </c:pt>
                <c:pt idx="27">
                  <c:v>1016.3486497575558</c:v>
                </c:pt>
                <c:pt idx="28">
                  <c:v>1005.6422614156828</c:v>
                </c:pt>
                <c:pt idx="29">
                  <c:v>1024.0191791649929</c:v>
                </c:pt>
                <c:pt idx="30">
                  <c:v>1014.8352413837829</c:v>
                </c:pt>
                <c:pt idx="31">
                  <c:v>1007.0987059386164</c:v>
                </c:pt>
                <c:pt idx="32">
                  <c:v>998.79137950445931</c:v>
                </c:pt>
                <c:pt idx="33">
                  <c:v>988.93531552996353</c:v>
                </c:pt>
                <c:pt idx="34">
                  <c:v>981.02699816477514</c:v>
                </c:pt>
                <c:pt idx="35">
                  <c:v>970.36262840185213</c:v>
                </c:pt>
                <c:pt idx="36">
                  <c:v>986.90924678346153</c:v>
                </c:pt>
                <c:pt idx="37">
                  <c:v>979.4918980767942</c:v>
                </c:pt>
                <c:pt idx="38">
                  <c:v>970.59847706515905</c:v>
                </c:pt>
                <c:pt idx="39">
                  <c:v>987.06501747577511</c:v>
                </c:pt>
                <c:pt idx="40">
                  <c:v>976.43772162392349</c:v>
                </c:pt>
                <c:pt idx="41">
                  <c:v>991.32228387908151</c:v>
                </c:pt>
                <c:pt idx="42">
                  <c:v>982.42315260644966</c:v>
                </c:pt>
                <c:pt idx="43">
                  <c:v>974.03469180899856</c:v>
                </c:pt>
                <c:pt idx="44">
                  <c:v>965.23017239488752</c:v>
                </c:pt>
                <c:pt idx="45">
                  <c:v>957.33187414246947</c:v>
                </c:pt>
                <c:pt idx="46">
                  <c:v>946.97541867586835</c:v>
                </c:pt>
                <c:pt idx="47">
                  <c:v>938.89382811815267</c:v>
                </c:pt>
                <c:pt idx="48">
                  <c:v>960.48639716854484</c:v>
                </c:pt>
                <c:pt idx="49">
                  <c:v>979.3522107303163</c:v>
                </c:pt>
                <c:pt idx="50">
                  <c:v>971.33212481091834</c:v>
                </c:pt>
                <c:pt idx="51">
                  <c:v>986.59385198951793</c:v>
                </c:pt>
                <c:pt idx="52">
                  <c:v>979.04308866963697</c:v>
                </c:pt>
                <c:pt idx="53">
                  <c:v>969.50235578981517</c:v>
                </c:pt>
                <c:pt idx="54">
                  <c:v>962.22431107739919</c:v>
                </c:pt>
                <c:pt idx="55">
                  <c:v>977.75471545537971</c:v>
                </c:pt>
                <c:pt idx="56">
                  <c:v>996.83535057006509</c:v>
                </c:pt>
                <c:pt idx="57">
                  <c:v>986.65469659882672</c:v>
                </c:pt>
                <c:pt idx="58">
                  <c:v>976.25288742540818</c:v>
                </c:pt>
                <c:pt idx="59">
                  <c:v>965.82598562375665</c:v>
                </c:pt>
                <c:pt idx="60">
                  <c:v>981.39143229730018</c:v>
                </c:pt>
                <c:pt idx="61">
                  <c:v>998.5163110964703</c:v>
                </c:pt>
                <c:pt idx="62">
                  <c:v>989.7183884629419</c:v>
                </c:pt>
                <c:pt idx="63">
                  <c:v>1009.5994776184303</c:v>
                </c:pt>
                <c:pt idx="64">
                  <c:v>999.10934663875298</c:v>
                </c:pt>
                <c:pt idx="65">
                  <c:v>991.5130233191428</c:v>
                </c:pt>
                <c:pt idx="66">
                  <c:v>983.01496491189346</c:v>
                </c:pt>
                <c:pt idx="67">
                  <c:v>1002.2437818096894</c:v>
                </c:pt>
                <c:pt idx="68">
                  <c:v>993.84164352467633</c:v>
                </c:pt>
                <c:pt idx="69">
                  <c:v>985.64895350029462</c:v>
                </c:pt>
                <c:pt idx="70">
                  <c:v>977.33960610521956</c:v>
                </c:pt>
                <c:pt idx="71">
                  <c:v>967.92423893381715</c:v>
                </c:pt>
                <c:pt idx="72">
                  <c:v>957.47927804869903</c:v>
                </c:pt>
                <c:pt idx="73">
                  <c:v>977.77740639598267</c:v>
                </c:pt>
                <c:pt idx="74">
                  <c:v>967.17097332951391</c:v>
                </c:pt>
                <c:pt idx="75">
                  <c:v>982.55027604999975</c:v>
                </c:pt>
                <c:pt idx="76">
                  <c:v>1000.8548729374695</c:v>
                </c:pt>
                <c:pt idx="77">
                  <c:v>993.28124707782274</c:v>
                </c:pt>
                <c:pt idx="78">
                  <c:v>982.36874591675996</c:v>
                </c:pt>
                <c:pt idx="79">
                  <c:v>1004.7231159708118</c:v>
                </c:pt>
                <c:pt idx="80">
                  <c:v>1022.8144586195607</c:v>
                </c:pt>
                <c:pt idx="81">
                  <c:v>1014.5492656429534</c:v>
                </c:pt>
                <c:pt idx="82">
                  <c:v>1031.852679342494</c:v>
                </c:pt>
                <c:pt idx="83">
                  <c:v>1053.4841791467059</c:v>
                </c:pt>
                <c:pt idx="84">
                  <c:v>1044.7271322837157</c:v>
                </c:pt>
                <c:pt idx="85">
                  <c:v>1034.0937322419638</c:v>
                </c:pt>
                <c:pt idx="86">
                  <c:v>1051.2969665334876</c:v>
                </c:pt>
                <c:pt idx="87">
                  <c:v>1043.2554448015042</c:v>
                </c:pt>
                <c:pt idx="88">
                  <c:v>1033.0424641171983</c:v>
                </c:pt>
                <c:pt idx="89">
                  <c:v>1025.1663285740306</c:v>
                </c:pt>
                <c:pt idx="90">
                  <c:v>1014.8249656279306</c:v>
                </c:pt>
                <c:pt idx="91">
                  <c:v>1005.6508494584222</c:v>
                </c:pt>
                <c:pt idx="92">
                  <c:v>1022.161891058919</c:v>
                </c:pt>
                <c:pt idx="93">
                  <c:v>1039.2543236523175</c:v>
                </c:pt>
                <c:pt idx="94">
                  <c:v>1031.101404659127</c:v>
                </c:pt>
                <c:pt idx="95">
                  <c:v>1023.1259436866892</c:v>
                </c:pt>
                <c:pt idx="96">
                  <c:v>1040.54447160721</c:v>
                </c:pt>
                <c:pt idx="97">
                  <c:v>1030.3889989535992</c:v>
                </c:pt>
                <c:pt idx="98">
                  <c:v>1020.5102971145811</c:v>
                </c:pt>
                <c:pt idx="99">
                  <c:v>1039.9601401061648</c:v>
                </c:pt>
                <c:pt idx="100">
                  <c:v>1059.7373934292652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84B-4376-BC80-77E198C92F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400410416"/>
        <c:axId val="-1400412592"/>
      </c:lineChart>
      <c:catAx>
        <c:axId val="-1400410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AU"/>
                  <a:t>Trades</a:t>
                </a:r>
              </a:p>
            </c:rich>
          </c:tx>
          <c:layout>
            <c:manualLayout>
              <c:xMode val="edge"/>
              <c:yMode val="edge"/>
              <c:x val="0.46568949592444642"/>
              <c:y val="0.92358505768174326"/>
            </c:manualLayout>
          </c:layout>
          <c:overlay val="0"/>
          <c:spPr>
            <a:noFill/>
            <a:ln w="25400">
              <a:noFill/>
              <a:prstDash val="solid"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400412592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-140041259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000" b="1" i="0" strike="noStrike" baseline="0">
                    <a:solidFill>
                      <a:srgbClr val="0000D4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AU"/>
                  <a:t>Account Equity</a:t>
                </a:r>
              </a:p>
            </c:rich>
          </c:tx>
          <c:layout>
            <c:manualLayout>
              <c:xMode val="edge"/>
              <c:yMode val="edge"/>
              <c:x val="6.8002863278453826E-5"/>
              <c:y val="3.1514374656656289E-3"/>
            </c:manualLayout>
          </c:layout>
          <c:overlay val="0"/>
          <c:spPr>
            <a:noFill/>
            <a:ln w="25400">
              <a:noFill/>
              <a:prstDash val="solid"/>
            </a:ln>
          </c:spPr>
        </c:title>
        <c:numFmt formatCode="\$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400410416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38100">
      <a:solidFill>
        <a:srgbClr val="0000D4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9.4466936572199747E-2"/>
          <c:y val="0.1348314606741573"/>
          <c:w val="0.88259109311740891"/>
          <c:h val="0.77153558052434468"/>
        </c:manualLayout>
      </c:layout>
      <c:lineChart>
        <c:grouping val="standard"/>
        <c:varyColors val="0"/>
        <c:ser>
          <c:idx val="1"/>
          <c:order val="0"/>
          <c:tx>
            <c:v>Drawdown</c:v>
          </c:tx>
          <c:spPr>
            <a:ln w="12700">
              <a:solidFill>
                <a:srgbClr val="DD0806"/>
              </a:solidFill>
              <a:prstDash val="solid"/>
            </a:ln>
          </c:spPr>
          <c:marker>
            <c:symbol val="none"/>
          </c:marker>
          <c:cat>
            <c:numRef>
              <c:f>' SIM'!$A$9:$A$109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cat>
          <c:val>
            <c:numRef>
              <c:f>' SIM'!$E$9:$E$109</c:f>
              <c:numCache>
                <c:formatCode>0.0%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-8.6488012278439497E-3</c:v>
                </c:pt>
                <c:pt idx="3">
                  <c:v>0</c:v>
                </c:pt>
                <c:pt idx="4">
                  <c:v>-9.0295132884116169E-3</c:v>
                </c:pt>
                <c:pt idx="5">
                  <c:v>-1.8100385560874344E-2</c:v>
                </c:pt>
                <c:pt idx="6">
                  <c:v>-2.7318491218386254E-2</c:v>
                </c:pt>
                <c:pt idx="7">
                  <c:v>-3.5781504778513717E-2</c:v>
                </c:pt>
                <c:pt idx="8">
                  <c:v>-4.3627596867547247E-2</c:v>
                </c:pt>
                <c:pt idx="9">
                  <c:v>-2.8002003105808138E-2</c:v>
                </c:pt>
                <c:pt idx="10">
                  <c:v>-3.5432553605520334E-2</c:v>
                </c:pt>
                <c:pt idx="11">
                  <c:v>-4.5502782833896194E-2</c:v>
                </c:pt>
                <c:pt idx="12">
                  <c:v>-2.7539920623604885E-2</c:v>
                </c:pt>
                <c:pt idx="13">
                  <c:v>-1.0582868189905059E-2</c:v>
                </c:pt>
                <c:pt idx="14">
                  <c:v>-2.0110495796937577E-2</c:v>
                </c:pt>
                <c:pt idx="15">
                  <c:v>-2.7857755722386579E-2</c:v>
                </c:pt>
                <c:pt idx="16">
                  <c:v>-1.183792938215078E-2</c:v>
                </c:pt>
                <c:pt idx="17">
                  <c:v>-2.130428671793605E-2</c:v>
                </c:pt>
                <c:pt idx="18">
                  <c:v>-4.1073970993196207E-3</c:v>
                </c:pt>
                <c:pt idx="19">
                  <c:v>-1.2342330613972274E-2</c:v>
                </c:pt>
                <c:pt idx="20">
                  <c:v>-2.2456811581451297E-2</c:v>
                </c:pt>
                <c:pt idx="21">
                  <c:v>-3.1361812110464515E-2</c:v>
                </c:pt>
                <c:pt idx="22">
                  <c:v>-1.6509531934178145E-2</c:v>
                </c:pt>
                <c:pt idx="23">
                  <c:v>-2.6394703226422789E-2</c:v>
                </c:pt>
                <c:pt idx="24">
                  <c:v>-9.4939053176831267E-3</c:v>
                </c:pt>
                <c:pt idx="25">
                  <c:v>-1.9855680523592323E-2</c:v>
                </c:pt>
                <c:pt idx="26">
                  <c:v>-2.8229845484020077E-2</c:v>
                </c:pt>
                <c:pt idx="27">
                  <c:v>-8.2722117526079497E-3</c:v>
                </c:pt>
                <c:pt idx="28">
                  <c:v>-1.8719239780771502E-2</c:v>
                </c:pt>
                <c:pt idx="29">
                  <c:v>-7.8749952738987883E-4</c:v>
                </c:pt>
                <c:pt idx="30">
                  <c:v>-9.7489580833035605E-3</c:v>
                </c:pt>
                <c:pt idx="31">
                  <c:v>-1.7298077361971087E-2</c:v>
                </c:pt>
                <c:pt idx="32">
                  <c:v>-2.5404160321554903E-2</c:v>
                </c:pt>
                <c:pt idx="33">
                  <c:v>-3.5021462935754366E-2</c:v>
                </c:pt>
                <c:pt idx="34">
                  <c:v>-4.2738202748620391E-2</c:v>
                </c:pt>
                <c:pt idx="35">
                  <c:v>-5.314423009028002E-2</c:v>
                </c:pt>
                <c:pt idx="36">
                  <c:v>-3.6998450534729388E-2</c:v>
                </c:pt>
                <c:pt idx="37">
                  <c:v>-4.423611531568572E-2</c:v>
                </c:pt>
                <c:pt idx="38">
                  <c:v>-5.2914094818020563E-2</c:v>
                </c:pt>
                <c:pt idx="39">
                  <c:v>-3.684645335915504E-2</c:v>
                </c:pt>
                <c:pt idx="40">
                  <c:v>-4.721630489850781E-2</c:v>
                </c:pt>
                <c:pt idx="41">
                  <c:v>-3.2692318461511216E-2</c:v>
                </c:pt>
                <c:pt idx="42">
                  <c:v>-4.1375869894807016E-2</c:v>
                </c:pt>
                <c:pt idx="43">
                  <c:v>-4.9561121752464854E-2</c:v>
                </c:pt>
                <c:pt idx="44">
                  <c:v>-5.8152353282334479E-2</c:v>
                </c:pt>
                <c:pt idx="45">
                  <c:v>-6.5859316693617997E-2</c:v>
                </c:pt>
                <c:pt idx="46">
                  <c:v>-7.596488890687858E-2</c:v>
                </c:pt>
                <c:pt idx="47">
                  <c:v>-8.3850704400642684E-2</c:v>
                </c:pt>
                <c:pt idx="48">
                  <c:v>-6.2781211415107951E-2</c:v>
                </c:pt>
                <c:pt idx="49">
                  <c:v>-4.4372418761557064E-2</c:v>
                </c:pt>
                <c:pt idx="50">
                  <c:v>-5.219821955569981E-2</c:v>
                </c:pt>
                <c:pt idx="51">
                  <c:v>-3.7306204947053279E-2</c:v>
                </c:pt>
                <c:pt idx="52">
                  <c:v>-4.4674052396441288E-2</c:v>
                </c:pt>
                <c:pt idx="53">
                  <c:v>-5.3983662754483186E-2</c:v>
                </c:pt>
                <c:pt idx="54">
                  <c:v>-6.1085398155156678E-2</c:v>
                </c:pt>
                <c:pt idx="55">
                  <c:v>-4.5931215003502612E-2</c:v>
                </c:pt>
                <c:pt idx="56">
                  <c:v>-2.7312804810153746E-2</c:v>
                </c:pt>
                <c:pt idx="57">
                  <c:v>-3.7246834287357977E-2</c:v>
                </c:pt>
                <c:pt idx="58">
                  <c:v>-4.7396661522122963E-2</c:v>
                </c:pt>
                <c:pt idx="59">
                  <c:v>-5.7570973520757796E-2</c:v>
                </c:pt>
                <c:pt idx="60">
                  <c:v>-4.2382596966788366E-2</c:v>
                </c:pt>
                <c:pt idx="61">
                  <c:v>-2.5672565247302326E-2</c:v>
                </c:pt>
                <c:pt idx="62">
                  <c:v>-3.4257359802401188E-2</c:v>
                </c:pt>
                <c:pt idx="63">
                  <c:v>-1.4857886422055766E-2</c:v>
                </c:pt>
                <c:pt idx="64">
                  <c:v>-2.5093895883358752E-2</c:v>
                </c:pt>
                <c:pt idx="65">
                  <c:v>-3.250619964975443E-2</c:v>
                </c:pt>
                <c:pt idx="66">
                  <c:v>-4.0798394135011962E-2</c:v>
                </c:pt>
                <c:pt idx="67">
                  <c:v>-2.2035391835344198E-2</c:v>
                </c:pt>
                <c:pt idx="68">
                  <c:v>-3.0233989845911191E-2</c:v>
                </c:pt>
                <c:pt idx="69">
                  <c:v>-3.8228213441932835E-2</c:v>
                </c:pt>
                <c:pt idx="70">
                  <c:v>-4.6336268405023251E-2</c:v>
                </c:pt>
                <c:pt idx="71">
                  <c:v>-5.5523550016170597E-2</c:v>
                </c:pt>
                <c:pt idx="72">
                  <c:v>-6.5715483620253812E-2</c:v>
                </c:pt>
                <c:pt idx="73">
                  <c:v>-4.5909073746815965E-2</c:v>
                </c:pt>
                <c:pt idx="74">
                  <c:v>-5.6258567897973899E-2</c:v>
                </c:pt>
                <c:pt idx="75">
                  <c:v>-4.1251825993596114E-2</c:v>
                </c:pt>
                <c:pt idx="76">
                  <c:v>-2.3390654642307496E-2</c:v>
                </c:pt>
                <c:pt idx="77">
                  <c:v>-3.0780810790586366E-2</c:v>
                </c:pt>
                <c:pt idx="78">
                  <c:v>-4.14289585923171E-2</c:v>
                </c:pt>
                <c:pt idx="79">
                  <c:v>-1.9616119094122308E-2</c:v>
                </c:pt>
                <c:pt idx="80">
                  <c:v>-1.963035936340396E-3</c:v>
                </c:pt>
                <c:pt idx="81">
                  <c:v>-1.0028006113733778E-2</c:v>
                </c:pt>
                <c:pt idx="82">
                  <c:v>0</c:v>
                </c:pt>
                <c:pt idx="83">
                  <c:v>0</c:v>
                </c:pt>
                <c:pt idx="84">
                  <c:v>-8.3124616736847123E-3</c:v>
                </c:pt>
                <c:pt idx="85">
                  <c:v>-1.8406016235049449E-2</c:v>
                </c:pt>
                <c:pt idx="86">
                  <c:v>-2.0761703464685644E-3</c:v>
                </c:pt>
                <c:pt idx="87">
                  <c:v>-9.7094332764320335E-3</c:v>
                </c:pt>
                <c:pt idx="88">
                  <c:v>-1.9403912687198432E-2</c:v>
                </c:pt>
                <c:pt idx="89">
                  <c:v>-2.6880185894782027E-2</c:v>
                </c:pt>
                <c:pt idx="90">
                  <c:v>-3.6696529747687445E-2</c:v>
                </c:pt>
                <c:pt idx="91">
                  <c:v>-4.5404886599272332E-2</c:v>
                </c:pt>
                <c:pt idx="92">
                  <c:v>-2.9732091575553676E-2</c:v>
                </c:pt>
                <c:pt idx="93">
                  <c:v>-1.3507422110424327E-2</c:v>
                </c:pt>
                <c:pt idx="94">
                  <c:v>-2.1246426790868744E-2</c:v>
                </c:pt>
                <c:pt idx="95">
                  <c:v>-2.8816982790008328E-2</c:v>
                </c:pt>
                <c:pt idx="96">
                  <c:v>-1.2282773482157783E-2</c:v>
                </c:pt>
                <c:pt idx="97">
                  <c:v>-2.1922664478752019E-2</c:v>
                </c:pt>
                <c:pt idx="98">
                  <c:v>-3.1299835996429159E-2</c:v>
                </c:pt>
                <c:pt idx="99">
                  <c:v>-1.2837439145498286E-2</c:v>
                </c:pt>
                <c:pt idx="1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B94-4775-8142-B8408B855C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400421296"/>
        <c:axId val="-1400416400"/>
      </c:lineChart>
      <c:catAx>
        <c:axId val="-140042129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400416400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-1400416400"/>
        <c:scaling>
          <c:orientation val="minMax"/>
          <c:max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1" i="0" strike="noStrike" baseline="0">
                    <a:solidFill>
                      <a:srgbClr val="DD0806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AU"/>
                  <a:t>Drawdown</a:t>
                </a:r>
              </a:p>
            </c:rich>
          </c:tx>
          <c:layout>
            <c:manualLayout>
              <c:xMode val="edge"/>
              <c:yMode val="edge"/>
              <c:x val="0"/>
              <c:y val="0.29132131879237022"/>
            </c:manualLayout>
          </c:layout>
          <c:overlay val="0"/>
          <c:spPr>
            <a:solidFill>
              <a:srgbClr val="FFFFFF"/>
            </a:solidFill>
            <a:ln w="25400">
              <a:noFill/>
              <a:prstDash val="solid"/>
            </a:ln>
          </c:spPr>
        </c:title>
        <c:numFmt formatCode="0.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400421296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38100">
      <a:solidFill>
        <a:srgbClr val="DD0806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omments/comment1.xml><?xml version="1.0" encoding="utf-8"?>
<comments xmlns="http://schemas.openxmlformats.org/spreadsheetml/2006/main">
  <authors>
    <author>Codex</author>
  </authors>
  <commentList>
    <comment ref="D3" authorId="0" shapeId="0">
      <text>
        <t>Fixed-fractional/Balsara-style risk of ruin. Model inputs: {'win_rate': 0.23148148148148148, 'payoff_ratio': 2.7536121389275685, 'risk_per_trade_fraction': 0.008590934402404549, 'edge': -0.13110830117417394, 'capital_units': 116.40177344621631, 'risk_source': 'median_loss_over_balance', 'trade_count': 108, 'reason': None}</t>
      </text>
    </comment>
    <comment ref="D4" authorId="0" shapeId="0">
      <text>
        <t>Fixed-fractional/Balsara-style risk of ruin. Model inputs: {'win_rate': 0.23484848484848486, 'payoff_ratio': 2.043231314250299, 'risk_per_trade_fraction': 0.006620103698139631, 'edge': -0.28530173680485393, 'capital_units': 151.05503563048688, 'risk_source': 'median_loss_over_balance', 'trade_count': 264, 'reason': None}</t>
      </text>
    </comment>
    <comment ref="D5" authorId="0" shapeId="0">
      <text>
        <t>Fixed-fractional/Balsara-style risk of ruin. Model inputs: {'win_rate': None, 'payoff_ratio': None, 'risk_per_trade_fraction': None, 'edge': None, 'capital_units': None, 'risk_source': None, 'trade_count': None, 'reason': 'no_usable_trade_history'}</t>
      </text>
    </comment>
    <comment ref="D6" authorId="0" shapeId="0">
      <text>
        <t>Fixed-fractional/Balsara-style risk of ruin. Model inputs: {'win_rate': 0.3409090909090909, 'payoff_ratio': 1.4946965773647414, 'risk_per_trade_fraction': 0.009865036186976331, 'edge': -0.1495352577165655, 'capital_units': 101.36810256410257, 'risk_source': 'median_loss_over_balance', 'trade_count': 44, 'reason': None}</t>
      </text>
    </comment>
    <comment ref="D7" authorId="0" shapeId="0">
      <text>
        <t>Fixed-fractional/Balsara-style risk of ruin. Model inputs: {'win_rate': 0.3559322033898305, 'payoff_ratio': 1.5822356805694675, 'risk_per_trade_fraction': 0.010033615397549664, 'edge': -0.080899164543071, 'capital_units': 99.66497223365893, 'risk_source': 'median_loss_over_balance', 'trade_count': 59, 'reason': None}</t>
      </text>
    </comment>
    <comment ref="D8" authorId="0" shapeId="0">
      <text>
        <t>Fixed-fractional/Balsara-style risk of ruin. Model inputs: {'win_rate': 0.30604026845637583, 'payoff_ratio': 2.0694082384317576, 'risk_per_trade_fraction': 0.006811989100817439, 'edge': -0.060637478708133186, 'capital_units': 146.8, 'risk_source': 'median_loss_over_balance', 'trade_count': 759, 'reason': None}</t>
      </text>
    </comment>
    <comment ref="D9" authorId="0" shapeId="0">
      <text>
        <t>Fixed-fractional/Balsara-style risk of ruin. Model inputs: {'win_rate': 0.2832369942196532, 'payoff_ratio': 1.8829049168710759, 'risk_per_trade_fraction': 0.009972889241253707, 'edge': -0.18345467672437732, 'capital_units': 100.271844578742, 'risk_source': 'median_loss_over_balance', 'trade_count': 175, 'reason': None}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6</col>
      <colOff>319088</colOff>
      <row>4</row>
      <rowOff>171450</rowOff>
    </from>
    <to>
      <col>16</col>
      <colOff>71438</colOff>
      <row>20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6</col>
      <colOff>323850</colOff>
      <row>20</row>
      <rowOff>66675</rowOff>
    </from>
    <to>
      <col>16</col>
      <colOff>38100</colOff>
      <row>33</row>
      <rowOff>133350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C:/Users/User/Dropbox/FOREX/2018/F171" TargetMode="External" Id="rId1" /><Relationship Type="http://schemas.openxmlformats.org/officeDocument/2006/relationships/hyperlink" Target="file:///C:/Users/User/Dropbox/FOREX/2018/F171" TargetMode="External" Id="rId2" /><Relationship Type="http://schemas.openxmlformats.org/officeDocument/2006/relationships/hyperlink" Target="file:///C:/Users/User/Dropbox/CRYPTO/2024/C331%20BTC" TargetMode="External" Id="rId3" /><Relationship Type="http://schemas.openxmlformats.org/officeDocument/2006/relationships/hyperlink" Target="file:///C:/Users/User/Dropbox/CRYPTO/2021/APR/C23/192" TargetMode="External" Id="rId4" /><Relationship Type="http://schemas.openxmlformats.org/officeDocument/2006/relationships/hyperlink" Target="file:///C:/Users/User/Dropbox/FOREX/2022/F951%20NZDUSD" TargetMode="External" Id="rId5" /><Relationship Type="http://schemas.openxmlformats.org/officeDocument/2006/relationships/hyperlink" Target="file:///C:/Users/User/Dropbox/CRYPTO/2021/APR/C23/192" TargetMode="External" Id="rId6" /><Relationship Type="http://schemas.openxmlformats.org/officeDocument/2006/relationships/hyperlink" Target="Trading%20Journal.assets/recommendations/overall-stop.html" TargetMode="External" Id="rId7" /><Relationship Type="http://schemas.openxmlformats.org/officeDocument/2006/relationships/hyperlink" Target="Trading%20Journal.assets/recommendations/fx-stop.html" TargetMode="External" Id="rId8" /><Relationship Type="http://schemas.openxmlformats.org/officeDocument/2006/relationships/hyperlink" Target="Trading%20Journal.assets/recommendations/crypto-stop.html" TargetMode="External" Id="rId9" /><Relationship Type="http://schemas.openxmlformats.org/officeDocument/2006/relationships/hyperlink" Target="file:///C:/Users/User/Dropbox/CRYPTO/2024/C331%20BTC" TargetMode="External" Id="rId10" /><Relationship Type="http://schemas.openxmlformats.org/officeDocument/2006/relationships/hyperlink" Target="file:///C:/Users/User/Dropbox/CRYPTO/2021/NOV/C300%20SHIB1000USDT" TargetMode="External" Id="rId11" /><Relationship Type="http://schemas.openxmlformats.org/officeDocument/2006/relationships/hyperlink" Target="file:///C:/Users/User/Dropbox/FOREX/2022/F951%20NZDUSD" TargetMode="External" Id="rId12" /><Relationship Type="http://schemas.openxmlformats.org/officeDocument/2006/relationships/hyperlink" Target="file:///C:/Users/User/Dropbox/CRYPTO/2021/NOV/C300%20SHIB1000USDT" TargetMode="External" Id="rId13" /><Relationship Type="http://schemas.openxmlformats.org/officeDocument/2006/relationships/hyperlink" Target="Trading%20Journal.assets/recommendations/overall-target.html" TargetMode="External" Id="rId14" /><Relationship Type="http://schemas.openxmlformats.org/officeDocument/2006/relationships/hyperlink" Target="Trading%20Journal.assets/recommendations/fx-target.html" TargetMode="External" Id="rId15" /><Relationship Type="http://schemas.openxmlformats.org/officeDocument/2006/relationships/hyperlink" Target="Trading%20Journal.assets/recommendations/crypto-target.html" TargetMode="External" Id="rId16" /><Relationship Type="http://schemas.openxmlformats.org/officeDocument/2006/relationships/hyperlink" Target="file:///C:/Users/User/Dropbox/FOREX/2018/F1036" TargetMode="External" Id="rId17" /><Relationship Type="http://schemas.openxmlformats.org/officeDocument/2006/relationships/hyperlink" Target="file:///C:/Users/User/Dropbox/FOREX/2018/F1036" TargetMode="External" Id="rId18" /><Relationship Type="http://schemas.openxmlformats.org/officeDocument/2006/relationships/hyperlink" Target="file:///C:/Users/User/Dropbox/CRYPTO/2024/C331%20BTC" TargetMode="External" Id="rId19" /><Relationship Type="http://schemas.openxmlformats.org/officeDocument/2006/relationships/hyperlink" Target="file:///C:/Users/User/Dropbox/CRYPTO/2021/APR/C23/192" TargetMode="External" Id="rId20" /><Relationship Type="http://schemas.openxmlformats.org/officeDocument/2006/relationships/hyperlink" Target="file:///C:/Users/User/Dropbox/FOREX/2022/F925" TargetMode="External" Id="rId21" /><Relationship Type="http://schemas.openxmlformats.org/officeDocument/2006/relationships/hyperlink" Target="file:///C:/Users/User/Dropbox/CRYPTO/2021/APR/C23/192" TargetMode="External" Id="rId22" /><Relationship Type="http://schemas.openxmlformats.org/officeDocument/2006/relationships/hyperlink" Target="file:///C:/Users/User/Dropbox/CRYPTO/2024/C331%20BTC" TargetMode="External" Id="rId23" /><Relationship Type="http://schemas.openxmlformats.org/officeDocument/2006/relationships/hyperlink" Target="file:///C:/Users/User/Dropbox/CRYPTO/2021/APR/C23/192" TargetMode="External" Id="rId24" /><Relationship Type="http://schemas.openxmlformats.org/officeDocument/2006/relationships/hyperlink" Target="file:///C:/Users/User/Dropbox/FOREX/2022/F925" TargetMode="External" Id="rId25" /><Relationship Type="http://schemas.openxmlformats.org/officeDocument/2006/relationships/hyperlink" Target="file:///C:/Users/User/Dropbox/CRYPTO/2021/APR/C23/192" TargetMode="External" Id="rId26" /><Relationship Type="http://schemas.openxmlformats.org/officeDocument/2006/relationships/hyperlink" Target="file:///C:/Users/User/Dropbox/FOREX/2018/F198" TargetMode="External" Id="rId27" /><Relationship Type="http://schemas.openxmlformats.org/officeDocument/2006/relationships/hyperlink" Target="file:///C:/Users/User/Dropbox/FOREX/2018/F198" TargetMode="External" Id="rId28" /><Relationship Type="http://schemas.openxmlformats.org/officeDocument/2006/relationships/hyperlink" Target="file:///C:/Users/User/Dropbox/CRYPTO/2020/OCT/C18/101" TargetMode="External" Id="rId29" /><Relationship Type="http://schemas.openxmlformats.org/officeDocument/2006/relationships/hyperlink" Target="file:///C:/Users/User/Dropbox/CRYPTO/2021/JUN/C3/242" TargetMode="External" Id="rId30" /><Relationship Type="http://schemas.openxmlformats.org/officeDocument/2006/relationships/hyperlink" Target="file:///C:/Users/User/Dropbox/FOREX/2022/F933%20USDCHF" TargetMode="External" Id="rId31" /><Relationship Type="http://schemas.openxmlformats.org/officeDocument/2006/relationships/hyperlink" Target="file:///C:/Users/User/Dropbox/CRYPTO/2021/JUN/C3/242" TargetMode="External" Id="rId32" /><Relationship Type="http://schemas.openxmlformats.org/officeDocument/2006/relationships/hyperlink" Target="file:///C:/Users/User/Dropbox/FOREX/2018/F138" TargetMode="External" Id="rId33" /><Relationship Type="http://schemas.openxmlformats.org/officeDocument/2006/relationships/hyperlink" Target="file:///C:/Users/User/Dropbox/FOREX/2018/F138" TargetMode="External" Id="rId34" /><Relationship Type="http://schemas.openxmlformats.org/officeDocument/2006/relationships/hyperlink" Target="file:///C:/Users/User/Dropbox/CRYPTO/2021/APR/C14/177" TargetMode="External" Id="rId35" /><Relationship Type="http://schemas.openxmlformats.org/officeDocument/2006/relationships/hyperlink" Target="file:///C:/Users/User/Dropbox/FOREX/2021/F850" TargetMode="External" Id="rId36" /><Relationship Type="http://schemas.openxmlformats.org/officeDocument/2006/relationships/hyperlink" Target="file:///C:/Users/User/Dropbox/FOREX/2021/F850" TargetMode="External" Id="rId37" /><Relationship Type="http://schemas.openxmlformats.org/officeDocument/2006/relationships/hyperlink" Target="file:///C:/Users/User/Dropbox/CRYPTO/2020/AUG/C29/92" TargetMode="External" Id="rId38" /><Relationship Type="http://schemas.openxmlformats.org/officeDocument/2006/relationships/hyperlink" Target="file:///C:/Users/User/Dropbox/FOREX/2019/F673" TargetMode="External" Id="rId39" /><Relationship Type="http://schemas.openxmlformats.org/officeDocument/2006/relationships/hyperlink" Target="file:///C:/Users/User/Dropbox/FOREX/2019/F673" TargetMode="External" Id="rId40" /><Relationship Type="http://schemas.openxmlformats.org/officeDocument/2006/relationships/hyperlink" Target="file:///C:/Users/User/Dropbox/CRYPTO/2021/APR/C14/177" TargetMode="External" Id="rId41" /><Relationship Type="http://schemas.openxmlformats.org/officeDocument/2006/relationships/hyperlink" Target="file:///C:/Users/User/Dropbox/FOREX/2018/F247" TargetMode="External" Id="rId42" /><Relationship Type="http://schemas.openxmlformats.org/officeDocument/2006/relationships/hyperlink" Target="file:///C:/Users/User/Dropbox/FOREX/2018/F247" TargetMode="External" Id="rId43" /><Relationship Type="http://schemas.openxmlformats.org/officeDocument/2006/relationships/hyperlink" Target="file:///C:/Users/User/Dropbox/CRYPTO/2021/SEP/C282" TargetMode="External" Id="rId44" /><Relationship Type="http://schemas.openxmlformats.org/officeDocument/2006/relationships/hyperlink" Target="file:///C:/Users/User/Dropbox/FOREX/2018/F171" TargetMode="External" Id="rId45" /><Relationship Type="http://schemas.openxmlformats.org/officeDocument/2006/relationships/hyperlink" Target="file:///C:/Users/User/Dropbox/FOREX/2018/F171" TargetMode="External" Id="rId46" /><Relationship Type="http://schemas.openxmlformats.org/officeDocument/2006/relationships/hyperlink" Target="file:///C:/Users/User/Dropbox/CRYPTO/2020/OCT/C18/102" TargetMode="External" Id="rId47" /><Relationship Type="http://schemas.openxmlformats.org/officeDocument/2006/relationships/hyperlink" Target="file:///C:/Users/User/Dropbox/CRYPTO/2021/NOV/C300%20SHIB1000USDT" TargetMode="External" Id="rId48" /><Relationship Type="http://schemas.openxmlformats.org/officeDocument/2006/relationships/hyperlink" Target="file:///C:/Users/User/Dropbox/FOREX/2022/F951%20NZDUSD" TargetMode="External" Id="rId49" /><Relationship Type="http://schemas.openxmlformats.org/officeDocument/2006/relationships/hyperlink" Target="file:///C:/Users/User/Dropbox/CRYPTO/2021/NOV/C300%20SHIB1000USDT" TargetMode="External" Id="rId50" /><Relationship Type="http://schemas.openxmlformats.org/officeDocument/2006/relationships/hyperlink" Target="file:///C:/Users/User/Dropbox/FOREX/2025/F1020%20NZDUSD" TargetMode="External" Id="rId51" /><Relationship Type="http://schemas.openxmlformats.org/officeDocument/2006/relationships/hyperlink" Target="file:///C:/Users/User/Dropbox/FOREX/2025/F1020%20NZDUSD" TargetMode="External" Id="rId52" /><Relationship Type="http://schemas.openxmlformats.org/officeDocument/2006/relationships/hyperlink" Target="file:///C:/Users/User/Dropbox/CRYPTO/2020/OCT/C18/103" TargetMode="External" Id="rId53" /><Relationship Type="http://schemas.openxmlformats.org/officeDocument/2006/relationships/hyperlink" Target="file:///C:/Users/User/Dropbox/CRYPTO/2021/NOV/C300%20SHIB1000USDT" TargetMode="External" Id="rId54" /><Relationship Type="http://schemas.openxmlformats.org/officeDocument/2006/relationships/hyperlink" Target="file:///C:/Users/User/Dropbox/FOREX/2022/F951%20NZDUSD" TargetMode="External" Id="rId55" /><Relationship Type="http://schemas.openxmlformats.org/officeDocument/2006/relationships/hyperlink" Target="file:///C:/Users/User/Dropbox/CRYPTO/2021/NOV/C300%20SHIB1000USDT" TargetMode="External" Id="rId56" /><Relationship Type="http://schemas.openxmlformats.org/officeDocument/2006/relationships/hyperlink" Target="file:///C:/Users/User/Dropbox/CRYPTO/2021/MAY/C230" TargetMode="External" Id="rId57" /><Relationship Type="http://schemas.openxmlformats.org/officeDocument/2006/relationships/hyperlink" Target="file:///C:/Users/User/Dropbox/FOREX/2021/F1138" TargetMode="External" Id="rId58" /><Relationship Type="http://schemas.openxmlformats.org/officeDocument/2006/relationships/hyperlink" Target="file:///C:/Users/User/Dropbox/CRYPTO/2021/MAY/C230" TargetMode="External" Id="rId59" /><Relationship Type="http://schemas.openxmlformats.org/officeDocument/2006/relationships/hyperlink" Target="file:///C:/Users/User/Dropbox/FOREX/2021/F1103" TargetMode="External" Id="rId60" /><Relationship Type="http://schemas.openxmlformats.org/officeDocument/2006/relationships/hyperlink" Target="file:///C:/Users/User/Dropbox/FOREX/2021/F1103" TargetMode="External" Id="rId61" /><Relationship Type="http://schemas.openxmlformats.org/officeDocument/2006/relationships/hyperlink" Target="file:///C:/Users/User/Dropbox/CRYPTO/2020/SEP/C5/94" TargetMode="External" Id="rId62" /><Relationship Type="http://schemas.openxmlformats.org/officeDocument/2006/relationships/hyperlink" Target="file:///C:/Users/User/Dropbox/FOREX/2018/F201" TargetMode="External" Id="rId63" /><Relationship Type="http://schemas.openxmlformats.org/officeDocument/2006/relationships/hyperlink" Target="file:///C:/Users/User/Dropbox/FOREX/2018/F201" TargetMode="External" Id="rId64" /><Relationship Type="http://schemas.openxmlformats.org/officeDocument/2006/relationships/hyperlink" Target="file:///C:/Users/User/Dropbox/CRYPTO/2020/OCT/C18/102" TargetMode="External" Id="rId65" /><Relationship Type="http://schemas.openxmlformats.org/officeDocument/2006/relationships/hyperlink" Target="file:///C:/Users/User/Dropbox/FOREX/2018/F253" TargetMode="External" Id="rId66" /><Relationship Type="http://schemas.openxmlformats.org/officeDocument/2006/relationships/hyperlink" Target="file:///C:/Users/User/Dropbox/FOREX/2018/F253" TargetMode="External" Id="rId67" /><Relationship Type="http://schemas.openxmlformats.org/officeDocument/2006/relationships/hyperlink" Target="file:///C:/Users/User/Dropbox/CRYPTO/2021/MAY/C208" TargetMode="External" Id="rId68" /><Relationship Type="http://schemas.openxmlformats.org/officeDocument/2006/relationships/hyperlink" Target="file:///C:/Users/User/Dropbox/FOREX/2019/F629" TargetMode="External" Id="rId69" /><Relationship Type="http://schemas.openxmlformats.org/officeDocument/2006/relationships/hyperlink" Target="file:///C:/Users/User/Dropbox/FOREX/2019/F629" TargetMode="External" Id="rId70" /><Relationship Type="http://schemas.openxmlformats.org/officeDocument/2006/relationships/hyperlink" Target="file:///C:/Users/User/Dropbox/CRYPTO/2024/C332%20ZEC" TargetMode="External" Id="rId71" /><Relationship Type="http://schemas.openxmlformats.org/officeDocument/2006/relationships/hyperlink" Target="file:///C:/Users/User/Dropbox/CRYPTO/2021/NOV/C296%20SOLUSDT" TargetMode="External" Id="rId72" /><Relationship Type="http://schemas.openxmlformats.org/officeDocument/2006/relationships/hyperlink" Target="file:///C:/Users/User/Dropbox/FOREX/2020/F696" TargetMode="External" Id="rId73" /><Relationship Type="http://schemas.openxmlformats.org/officeDocument/2006/relationships/hyperlink" Target="file:///C:/Users/User/Dropbox/CRYPTO/2021/NOV/C296%20SOLUSDT" TargetMode="External" Id="rId74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hyperlink" Target="Trading%20Journal.assets/recommendations/symbol-usdcad-stop.html" TargetMode="External" Id="rId1" /><Relationship Type="http://schemas.openxmlformats.org/officeDocument/2006/relationships/hyperlink" Target="Trading%20Journal.assets/recommendations/symbol-usdcad-target.html" TargetMode="External" Id="rId2" /><Relationship Type="http://schemas.openxmlformats.org/officeDocument/2006/relationships/hyperlink" Target="Trading%20Journal.assets/recommendations/symbol-gbpusd-stop.html" TargetMode="External" Id="rId3" /><Relationship Type="http://schemas.openxmlformats.org/officeDocument/2006/relationships/hyperlink" Target="Trading%20Journal.assets/recommendations/symbol-gbpusd-target.html" TargetMode="External" Id="rId4" /><Relationship Type="http://schemas.openxmlformats.org/officeDocument/2006/relationships/hyperlink" Target="Trading%20Journal.assets/recommendations/symbol-eurusd-stop.html" TargetMode="External" Id="rId5" /><Relationship Type="http://schemas.openxmlformats.org/officeDocument/2006/relationships/hyperlink" Target="Trading%20Journal.assets/recommendations/symbol-eurusd-target.html" TargetMode="External" Id="rId6" /><Relationship Type="http://schemas.openxmlformats.org/officeDocument/2006/relationships/hyperlink" Target="Trading%20Journal.assets/recommendations/symbol-audusd-stop.html" TargetMode="External" Id="rId7" /><Relationship Type="http://schemas.openxmlformats.org/officeDocument/2006/relationships/hyperlink" Target="Trading%20Journal.assets/recommendations/symbol-audusd-target.html" TargetMode="External" Id="rId8" /><Relationship Type="http://schemas.openxmlformats.org/officeDocument/2006/relationships/hyperlink" Target="Trading%20Journal.assets/recommendations/symbol-usdjpy-stop.html" TargetMode="External" Id="rId9" /><Relationship Type="http://schemas.openxmlformats.org/officeDocument/2006/relationships/hyperlink" Target="Trading%20Journal.assets/recommendations/symbol-usdjpy-target.html" TargetMode="External" Id="rId10" /><Relationship Type="http://schemas.openxmlformats.org/officeDocument/2006/relationships/hyperlink" Target="Trading%20Journal.assets/recommendations/symbol-btcusdt-stop.html" TargetMode="External" Id="rId11" /><Relationship Type="http://schemas.openxmlformats.org/officeDocument/2006/relationships/hyperlink" Target="Trading%20Journal.assets/recommendations/symbol-btcusdt-target.html" TargetMode="External" Id="rId12" /><Relationship Type="http://schemas.openxmlformats.org/officeDocument/2006/relationships/hyperlink" Target="Trading%20Journal.assets/recommendations/symbol-usdchf-stop.html" TargetMode="External" Id="rId13" /><Relationship Type="http://schemas.openxmlformats.org/officeDocument/2006/relationships/hyperlink" Target="Trading%20Journal.assets/recommendations/symbol-usdchf-target.html" TargetMode="External" Id="rId14" /><Relationship Type="http://schemas.openxmlformats.org/officeDocument/2006/relationships/hyperlink" Target="Trading%20Journal.assets/recommendations/symbol-ethusdt-stop.html" TargetMode="External" Id="rId15" /><Relationship Type="http://schemas.openxmlformats.org/officeDocument/2006/relationships/hyperlink" Target="Trading%20Journal.assets/recommendations/symbol-ethusdt-target.html" TargetMode="External" Id="rId16" /><Relationship Type="http://schemas.openxmlformats.org/officeDocument/2006/relationships/hyperlink" Target="Trading%20Journal.assets/recommendations/symbol-nzdusd-stop.html" TargetMode="External" Id="rId17" /><Relationship Type="http://schemas.openxmlformats.org/officeDocument/2006/relationships/hyperlink" Target="Trading%20Journal.assets/recommendations/symbol-nzdusd-target.html" TargetMode="External" Id="rId18" /><Relationship Type="http://schemas.openxmlformats.org/officeDocument/2006/relationships/hyperlink" Target="Trading%20Journal.assets/recommendations/symbol-linkusdt-stop.html" TargetMode="External" Id="rId19" /><Relationship Type="http://schemas.openxmlformats.org/officeDocument/2006/relationships/hyperlink" Target="Trading%20Journal.assets/recommendations/symbol-linkusdt-target.html" TargetMode="External" Id="rId20" /><Relationship Type="http://schemas.openxmlformats.org/officeDocument/2006/relationships/hyperlink" Target="Trading%20Journal.assets/recommendations/symbol-gbpaud-stop.html" TargetMode="External" Id="rId21" /><Relationship Type="http://schemas.openxmlformats.org/officeDocument/2006/relationships/hyperlink" Target="Trading%20Journal.assets/recommendations/symbol-gbpaud-target.html" TargetMode="External" Id="rId22" /><Relationship Type="http://schemas.openxmlformats.org/officeDocument/2006/relationships/hyperlink" Target="Trading%20Journal.assets/recommendations/symbol-audcad-stop.html" TargetMode="External" Id="rId23" /><Relationship Type="http://schemas.openxmlformats.org/officeDocument/2006/relationships/hyperlink" Target="Trading%20Journal.assets/recommendations/symbol-audcad-target.html" TargetMode="External" Id="rId24" /><Relationship Type="http://schemas.openxmlformats.org/officeDocument/2006/relationships/hyperlink" Target="Trading%20Journal.assets/recommendations/symbol-euraud-stop.html" TargetMode="External" Id="rId25" /><Relationship Type="http://schemas.openxmlformats.org/officeDocument/2006/relationships/hyperlink" Target="Trading%20Journal.assets/recommendations/symbol-euraud-target.html" TargetMode="External" Id="rId26" /><Relationship Type="http://schemas.openxmlformats.org/officeDocument/2006/relationships/hyperlink" Target="Trading%20Journal.assets/recommendations/symbol-cadchf-stop.html" TargetMode="External" Id="rId27" /><Relationship Type="http://schemas.openxmlformats.org/officeDocument/2006/relationships/hyperlink" Target="Trading%20Journal.assets/recommendations/symbol-cadchf-target.html" TargetMode="External" Id="rId28" /><Relationship Type="http://schemas.openxmlformats.org/officeDocument/2006/relationships/hyperlink" Target="Trading%20Journal.assets/recommendations/symbol-eurgbp-stop.html" TargetMode="External" Id="rId29" /><Relationship Type="http://schemas.openxmlformats.org/officeDocument/2006/relationships/hyperlink" Target="Trading%20Journal.assets/recommendations/symbol-eurgbp-target.html" TargetMode="External" Id="rId30" /><Relationship Type="http://schemas.openxmlformats.org/officeDocument/2006/relationships/hyperlink" Target="Trading%20Journal.assets/recommendations/symbol-eurnzd-stop.html" TargetMode="External" Id="rId31" /><Relationship Type="http://schemas.openxmlformats.org/officeDocument/2006/relationships/hyperlink" Target="Trading%20Journal.assets/recommendations/symbol-eurnzd-target.html" TargetMode="External" Id="rId32" /><Relationship Type="http://schemas.openxmlformats.org/officeDocument/2006/relationships/hyperlink" Target="Trading%20Journal.assets/recommendations/symbol-audjpy-stop.html" TargetMode="External" Id="rId33" /><Relationship Type="http://schemas.openxmlformats.org/officeDocument/2006/relationships/hyperlink" Target="Trading%20Journal.assets/recommendations/symbol-audjpy-target.html" TargetMode="External" Id="rId34" /><Relationship Type="http://schemas.openxmlformats.org/officeDocument/2006/relationships/hyperlink" Target="Trading%20Journal.assets/recommendations/symbol-ltcusdt-stop.html" TargetMode="External" Id="rId35" /><Relationship Type="http://schemas.openxmlformats.org/officeDocument/2006/relationships/hyperlink" Target="Trading%20Journal.assets/recommendations/symbol-ltcusdt-target.html" TargetMode="External" Id="rId36" /><Relationship Type="http://schemas.openxmlformats.org/officeDocument/2006/relationships/hyperlink" Target="Trading%20Journal.assets/recommendations/symbol-nzdchf-stop.html" TargetMode="External" Id="rId37" /><Relationship Type="http://schemas.openxmlformats.org/officeDocument/2006/relationships/hyperlink" Target="Trading%20Journal.assets/recommendations/symbol-nzdchf-target.html" TargetMode="External" Id="rId38" /><Relationship Type="http://schemas.openxmlformats.org/officeDocument/2006/relationships/hyperlink" Target="Trading%20Journal.assets/recommendations/symbol-eurjpy-stop.html" TargetMode="External" Id="rId39" /><Relationship Type="http://schemas.openxmlformats.org/officeDocument/2006/relationships/hyperlink" Target="Trading%20Journal.assets/recommendations/symbol-eurjpy-target.html" TargetMode="External" Id="rId40" /><Relationship Type="http://schemas.openxmlformats.org/officeDocument/2006/relationships/hyperlink" Target="Trading%20Journal.assets/recommendations/symbol-cadjpy-stop.html" TargetMode="External" Id="rId41" /><Relationship Type="http://schemas.openxmlformats.org/officeDocument/2006/relationships/hyperlink" Target="Trading%20Journal.assets/recommendations/symbol-cadjpy-target.html" TargetMode="External" Id="rId42" /><Relationship Type="http://schemas.openxmlformats.org/officeDocument/2006/relationships/hyperlink" Target="Trading%20Journal.assets/recommendations/symbol-chfjpy-stop.html" TargetMode="External" Id="rId43" /><Relationship Type="http://schemas.openxmlformats.org/officeDocument/2006/relationships/hyperlink" Target="Trading%20Journal.assets/recommendations/symbol-chfjpy-target.html" TargetMode="External" Id="rId44" /><Relationship Type="http://schemas.openxmlformats.org/officeDocument/2006/relationships/hyperlink" Target="Trading%20Journal.assets/recommendations/symbol-gbpcad-stop.html" TargetMode="External" Id="rId45" /><Relationship Type="http://schemas.openxmlformats.org/officeDocument/2006/relationships/hyperlink" Target="Trading%20Journal.assets/recommendations/symbol-gbpcad-target.html" TargetMode="External" Id="rId46" /><Relationship Type="http://schemas.openxmlformats.org/officeDocument/2006/relationships/hyperlink" Target="Trading%20Journal.assets/recommendations/symbol-xtzusdt-stop.html" TargetMode="External" Id="rId47" /><Relationship Type="http://schemas.openxmlformats.org/officeDocument/2006/relationships/hyperlink" Target="Trading%20Journal.assets/recommendations/symbol-xtzusdt-target.html" TargetMode="External" Id="rId48" /><Relationship Type="http://schemas.openxmlformats.org/officeDocument/2006/relationships/hyperlink" Target="Trading%20Journal.assets/recommendations/symbol-bchusdt-stop.html" TargetMode="External" Id="rId49" /><Relationship Type="http://schemas.openxmlformats.org/officeDocument/2006/relationships/hyperlink" Target="Trading%20Journal.assets/recommendations/symbol-bchusdt-target.html" TargetMode="External" Id="rId50" /><Relationship Type="http://schemas.openxmlformats.org/officeDocument/2006/relationships/hyperlink" Target="Trading%20Journal.assets/recommendations/symbol-solusdt-stop.html" TargetMode="External" Id="rId51" /><Relationship Type="http://schemas.openxmlformats.org/officeDocument/2006/relationships/hyperlink" Target="Trading%20Journal.assets/recommendations/symbol-solusdt-target.html" TargetMode="External" Id="rId52" /><Relationship Type="http://schemas.openxmlformats.org/officeDocument/2006/relationships/hyperlink" Target="Trading%20Journal.assets/recommendations/symbol-eurchf-stop.html" TargetMode="External" Id="rId53" /><Relationship Type="http://schemas.openxmlformats.org/officeDocument/2006/relationships/hyperlink" Target="Trading%20Journal.assets/recommendations/symbol-eurchf-target.html" TargetMode="External" Id="rId54" /><Relationship Type="http://schemas.openxmlformats.org/officeDocument/2006/relationships/hyperlink" Target="Trading%20Journal.assets/recommendations/symbol-gbpjpy-stop.html" TargetMode="External" Id="rId55" /><Relationship Type="http://schemas.openxmlformats.org/officeDocument/2006/relationships/hyperlink" Target="Trading%20Journal.assets/recommendations/symbol-gbpjpy-target.html" TargetMode="External" Id="rId56" /><Relationship Type="http://schemas.openxmlformats.org/officeDocument/2006/relationships/hyperlink" Target="Trading%20Journal.assets/recommendations/symbol-eurcad-stop.html" TargetMode="External" Id="rId57" /><Relationship Type="http://schemas.openxmlformats.org/officeDocument/2006/relationships/hyperlink" Target="Trading%20Journal.assets/recommendations/symbol-eurcad-target.html" TargetMode="External" Id="rId58" /><Relationship Type="http://schemas.openxmlformats.org/officeDocument/2006/relationships/hyperlink" Target="Trading%20Journal.assets/recommendations/symbol-adausdt-stop.html" TargetMode="External" Id="rId59" /><Relationship Type="http://schemas.openxmlformats.org/officeDocument/2006/relationships/hyperlink" Target="Trading%20Journal.assets/recommendations/symbol-adausdt-target.html" TargetMode="External" Id="rId60" /><Relationship Type="http://schemas.openxmlformats.org/officeDocument/2006/relationships/hyperlink" Target="Trading%20Journal.assets/recommendations/symbol-audchf-stop.html" TargetMode="External" Id="rId61" /><Relationship Type="http://schemas.openxmlformats.org/officeDocument/2006/relationships/hyperlink" Target="Trading%20Journal.assets/recommendations/symbol-audchf-target.html" TargetMode="External" Id="rId62" /><Relationship Type="http://schemas.openxmlformats.org/officeDocument/2006/relationships/hyperlink" Target="Trading%20Journal.assets/recommendations/symbol-xrpusdt-stop.html" TargetMode="External" Id="rId63" /><Relationship Type="http://schemas.openxmlformats.org/officeDocument/2006/relationships/hyperlink" Target="Trading%20Journal.assets/recommendations/symbol-xrpusdt-target.html" TargetMode="External" Id="rId64" /><Relationship Type="http://schemas.openxmlformats.org/officeDocument/2006/relationships/hyperlink" Target="Trading%20Journal.assets/recommendations/symbol-dotusdt-stop.html" TargetMode="External" Id="rId65" /><Relationship Type="http://schemas.openxmlformats.org/officeDocument/2006/relationships/hyperlink" Target="Trading%20Journal.assets/recommendations/symbol-dotusdt-target.html" TargetMode="External" Id="rId66" /><Relationship Type="http://schemas.openxmlformats.org/officeDocument/2006/relationships/hyperlink" Target="Trading%20Journal.assets/recommendations/symbol-nzdjpy-stop.html" TargetMode="External" Id="rId67" /><Relationship Type="http://schemas.openxmlformats.org/officeDocument/2006/relationships/hyperlink" Target="Trading%20Journal.assets/recommendations/symbol-nzdjpy-target.html" TargetMode="External" Id="rId68" /><Relationship Type="http://schemas.openxmlformats.org/officeDocument/2006/relationships/hyperlink" Target="Trading%20Journal.assets/recommendations/symbol-gbpchf-stop.html" TargetMode="External" Id="rId69" /><Relationship Type="http://schemas.openxmlformats.org/officeDocument/2006/relationships/hyperlink" Target="Trading%20Journal.assets/recommendations/symbol-gbpchf-target.html" TargetMode="External" Id="rId70" /><Relationship Type="http://schemas.openxmlformats.org/officeDocument/2006/relationships/hyperlink" Target="Trading%20Journal.assets/recommendations/symbol-uxlinkusdt-stop.html" TargetMode="External" Id="rId71" /><Relationship Type="http://schemas.openxmlformats.org/officeDocument/2006/relationships/hyperlink" Target="Trading%20Journal.assets/recommendations/symbol-uxlinkusdt-target.html" TargetMode="External" Id="rId72" /><Relationship Type="http://schemas.openxmlformats.org/officeDocument/2006/relationships/hyperlink" Target="Trading%20Journal.assets/recommendations/symbol-xlmusdt-stop.html" TargetMode="External" Id="rId73" /><Relationship Type="http://schemas.openxmlformats.org/officeDocument/2006/relationships/hyperlink" Target="Trading%20Journal.assets/recommendations/symbol-xlmusdt-target.html" TargetMode="External" Id="rId74" /><Relationship Type="http://schemas.openxmlformats.org/officeDocument/2006/relationships/hyperlink" Target="Trading%20Journal.assets/recommendations/symbol-xagusd-stop.html" TargetMode="External" Id="rId75" /><Relationship Type="http://schemas.openxmlformats.org/officeDocument/2006/relationships/hyperlink" Target="Trading%20Journal.assets/recommendations/symbol-xagusd-target.html" TargetMode="External" Id="rId76" /><Relationship Type="http://schemas.openxmlformats.org/officeDocument/2006/relationships/hyperlink" Target="Trading%20Journal.assets/recommendations/symbol-xauusd-stop.html" TargetMode="External" Id="rId77" /><Relationship Type="http://schemas.openxmlformats.org/officeDocument/2006/relationships/hyperlink" Target="Trading%20Journal.assets/recommendations/symbol-xauusd-target.html" TargetMode="External" Id="rId78" /></Relationships>
</file>

<file path=xl/worksheets/_rels/sheet4.xml.rels><Relationships xmlns="http://schemas.openxmlformats.org/package/2006/relationships"><Relationship Type="http://schemas.openxmlformats.org/officeDocument/2006/relationships/hyperlink" Target="file:///C:/Users/User/Dropbox/CRYPTO/2026/OCTOBER/C381" TargetMode="External" Id="rId1" /><Relationship Type="http://schemas.openxmlformats.org/officeDocument/2006/relationships/hyperlink" Target="../../../Users/User/Dropbox/CRYPTO/2026/OCTOBER/C379" TargetMode="External" Id="rId2" /><Relationship Type="http://schemas.openxmlformats.org/officeDocument/2006/relationships/hyperlink" Target="file:///C:/Users/User/Dropbox/CRYPTO/2026/OCTOBER/C379" TargetMode="External" Id="rId3" /><Relationship Type="http://schemas.openxmlformats.org/officeDocument/2006/relationships/hyperlink" Target="../../../Users/User/Dropbox/FOREX/2026/F1168" TargetMode="External" Id="rId4" /><Relationship Type="http://schemas.openxmlformats.org/officeDocument/2006/relationships/hyperlink" Target="../../../Users/User/Dropbox/FOREX/2026/F1167" TargetMode="External" Id="rId5" /><Relationship Type="http://schemas.openxmlformats.org/officeDocument/2006/relationships/hyperlink" Target="../../../Users/User/Dropbox/CRYPTO/2026/OCTOBER/C378" TargetMode="External" Id="rId6" /><Relationship Type="http://schemas.openxmlformats.org/officeDocument/2006/relationships/hyperlink" Target="../../../Users/User/Dropbox/CRYPTO/2026/OCTOBER/C377" TargetMode="External" Id="rId7" /><Relationship Type="http://schemas.openxmlformats.org/officeDocument/2006/relationships/hyperlink" Target="../../../Users/User/Dropbox/FOREX/2026/F1166" TargetMode="External" Id="rId8" /><Relationship Type="http://schemas.openxmlformats.org/officeDocument/2006/relationships/hyperlink" Target="../../../Users/User/Dropbox/FOREX/2026/F1165" TargetMode="External" Id="rId9" /><Relationship Type="http://schemas.openxmlformats.org/officeDocument/2006/relationships/hyperlink" Target="../../../Users/User/Dropbox/FOREX/2026/F1164" TargetMode="External" Id="rId10" /><Relationship Type="http://schemas.openxmlformats.org/officeDocument/2006/relationships/hyperlink" Target="../../../Users/User/Dropbox/FOREX/2026/F1163" TargetMode="External" Id="rId11" /><Relationship Type="http://schemas.openxmlformats.org/officeDocument/2006/relationships/hyperlink" Target="../../../Users/User/Dropbox/CRYPTO/2026/AUGUST/C376" TargetMode="External" Id="rId12" /><Relationship Type="http://schemas.openxmlformats.org/officeDocument/2006/relationships/hyperlink" Target="../../../Users/User/Dropbox/CRYPTO/2026/AUGUST/C375" TargetMode="External" Id="rId13" /><Relationship Type="http://schemas.openxmlformats.org/officeDocument/2006/relationships/hyperlink" Target="../../../Users/User/Dropbox/FOREX/2025/F1029%20EURUSD" TargetMode="External" Id="rId14" /><Relationship Type="http://schemas.openxmlformats.org/officeDocument/2006/relationships/hyperlink" Target="../../../Users/User/Dropbox/FOREX/2025/F1028%20XAGUSD" TargetMode="External" Id="rId15" /><Relationship Type="http://schemas.openxmlformats.org/officeDocument/2006/relationships/hyperlink" Target="../../../Users/User/Dropbox/CRYPTO/2025/C373%20BNB" TargetMode="External" Id="rId16" /><Relationship Type="http://schemas.openxmlformats.org/officeDocument/2006/relationships/hyperlink" Target="../../../Users/User/Dropbox/CRYPTO/2025/C372%20BNB" TargetMode="External" Id="rId17" /><Relationship Type="http://schemas.openxmlformats.org/officeDocument/2006/relationships/hyperlink" Target="../../../Users/User/Dropbox/CRYPTO/2025/C371%20ORDER" TargetMode="External" Id="rId18" /><Relationship Type="http://schemas.openxmlformats.org/officeDocument/2006/relationships/hyperlink" Target="../../../Users/User/Dropbox/FOREX/2025/F1027%20NZDCHF" TargetMode="External" Id="rId19" /><Relationship Type="http://schemas.openxmlformats.org/officeDocument/2006/relationships/hyperlink" Target="../../../Users/User/Dropbox/CRYPTO/2025/C370%20AVNT" TargetMode="External" Id="rId20" /><Relationship Type="http://schemas.openxmlformats.org/officeDocument/2006/relationships/hyperlink" Target="../../../Users/User/Dropbox/CRYPTO/2025/C369%20STBL" TargetMode="External" Id="rId21" /><Relationship Type="http://schemas.openxmlformats.org/officeDocument/2006/relationships/hyperlink" Target="../../../Users/User/Dropbox/FOREX/2025/F1026%20XAUUSD" TargetMode="External" Id="rId22" /><Relationship Type="http://schemas.openxmlformats.org/officeDocument/2006/relationships/hyperlink" Target="../../../Users/User/Dropbox/FOREX/2025/F1025%20XAUUSD" TargetMode="External" Id="rId23" /><Relationship Type="http://schemas.openxmlformats.org/officeDocument/2006/relationships/hyperlink" Target="../../../Users/User/Dropbox/FOREX/2025/F1024%20XAGUSD" TargetMode="External" Id="rId24" /><Relationship Type="http://schemas.openxmlformats.org/officeDocument/2006/relationships/hyperlink" Target="../../../Users/User/Dropbox/FOREX/2025/F1023%20USDCHF" TargetMode="External" Id="rId25" /><Relationship Type="http://schemas.openxmlformats.org/officeDocument/2006/relationships/hyperlink" Target="../../../Users/User/Dropbox/CRYPTO/2025/C368%20BNB" TargetMode="External" Id="rId26" /><Relationship Type="http://schemas.openxmlformats.org/officeDocument/2006/relationships/hyperlink" Target="../../../Users/User/Dropbox/CRYPTO/2025/C367%20ETH" TargetMode="External" Id="rId27" /><Relationship Type="http://schemas.openxmlformats.org/officeDocument/2006/relationships/hyperlink" Target="../../../Users/User/Dropbox/CRYPTO/2025/C366%20ENA" TargetMode="External" Id="rId28" /><Relationship Type="http://schemas.openxmlformats.org/officeDocument/2006/relationships/hyperlink" Target="../../../Users/User/Dropbox/CRYPTO/2025/C365%20TRX" TargetMode="External" Id="rId29" /><Relationship Type="http://schemas.openxmlformats.org/officeDocument/2006/relationships/hyperlink" Target="../../../Users/User/Dropbox/CRYPTO/2025/C364%20XRP" TargetMode="External" Id="rId30" /><Relationship Type="http://schemas.openxmlformats.org/officeDocument/2006/relationships/hyperlink" Target="../../../Users/User/Dropbox/CRYPTO/2025/C363%20SOL" TargetMode="External" Id="rId31" /><Relationship Type="http://schemas.openxmlformats.org/officeDocument/2006/relationships/hyperlink" Target="../../../Users/User/Dropbox/CRYPTO/2025/C362%20SOL" TargetMode="External" Id="rId32" /><Relationship Type="http://schemas.openxmlformats.org/officeDocument/2006/relationships/hyperlink" Target="../../../Users/User/Dropbox/FOREX/2025/F1022%20EURUSD" TargetMode="External" Id="rId33" /><Relationship Type="http://schemas.openxmlformats.org/officeDocument/2006/relationships/hyperlink" Target="../../../Users/User/Dropbox/CRYPTO/2025/C361%20ENA" TargetMode="External" Id="rId34" /><Relationship Type="http://schemas.openxmlformats.org/officeDocument/2006/relationships/hyperlink" Target="../../../Users/User/Dropbox/CRYPTO/2025/C360%20PENGU" TargetMode="External" Id="rId35" /><Relationship Type="http://schemas.openxmlformats.org/officeDocument/2006/relationships/hyperlink" Target="../../../Users/User/Dropbox/FOREX/2025/F1021%20USDCHF" TargetMode="External" Id="rId36" /><Relationship Type="http://schemas.openxmlformats.org/officeDocument/2006/relationships/hyperlink" Target="../../../Users/User/Dropbox/CRYPTO/2025/C359%20GPS" TargetMode="External" Id="rId37" /><Relationship Type="http://schemas.openxmlformats.org/officeDocument/2006/relationships/hyperlink" Target="../../../Users/User/Dropbox/CRYPTO/2025/C358%20TLM" TargetMode="External" Id="rId38" /><Relationship Type="http://schemas.openxmlformats.org/officeDocument/2006/relationships/hyperlink" Target="../../../Users/User/Dropbox/CRYPTO/2025/C357%20HOOK" TargetMode="External" Id="rId39" /><Relationship Type="http://schemas.openxmlformats.org/officeDocument/2006/relationships/hyperlink" Target="../../../Users/User/Dropbox/CRYPTO/2025/C356%201000CATS" TargetMode="External" Id="rId40" /><Relationship Type="http://schemas.openxmlformats.org/officeDocument/2006/relationships/hyperlink" Target="../../../Users/User/Dropbox/FOREX/2025/F1020%20NZDUSD" TargetMode="External" Id="rId41" /><Relationship Type="http://schemas.openxmlformats.org/officeDocument/2006/relationships/hyperlink" Target="../../../Users/User/Dropbox/CRYPTO/2025/C355%20ZBCN" TargetMode="External" Id="rId42" /><Relationship Type="http://schemas.openxmlformats.org/officeDocument/2006/relationships/hyperlink" Target="../../../Users/User/Dropbox/CRYPTO/2025/C354%20SOLAYER" TargetMode="External" Id="rId43" /><Relationship Type="http://schemas.openxmlformats.org/officeDocument/2006/relationships/hyperlink" Target="../../../Users/User/Dropbox/FOREX/2025/F1019%20USDJPY" TargetMode="External" Id="rId44" /><Relationship Type="http://schemas.openxmlformats.org/officeDocument/2006/relationships/hyperlink" Target="../../../Users/User/Dropbox/CRYPTO/2025/C352%20TAI" TargetMode="External" Id="rId45" /><Relationship Type="http://schemas.openxmlformats.org/officeDocument/2006/relationships/hyperlink" Target="../../../Users/User/Dropbox/CRYPTO/2025/C350%20XRP" TargetMode="External" Id="rId46" /><Relationship Type="http://schemas.openxmlformats.org/officeDocument/2006/relationships/hyperlink" Target="../../../Users/User/Dropbox/CRYPTO/2025/C349%20SOL" TargetMode="External" Id="rId47" /><Relationship Type="http://schemas.openxmlformats.org/officeDocument/2006/relationships/hyperlink" Target="../../../Users/User/Dropbox/CRYPTO/2025/C348%20DOGE" TargetMode="External" Id="rId48" /><Relationship Type="http://schemas.openxmlformats.org/officeDocument/2006/relationships/hyperlink" Target="../../../Users/User/Dropbox/CRYPTO/2025/C347%20SUI" TargetMode="External" Id="rId49" /><Relationship Type="http://schemas.openxmlformats.org/officeDocument/2006/relationships/hyperlink" Target="../../../Users/User/Dropbox/CRYPTO/2024/C346%20UXLINK" TargetMode="External" Id="rId50" /><Relationship Type="http://schemas.openxmlformats.org/officeDocument/2006/relationships/hyperlink" Target="../../../Users/User/Dropbox/FOREX/2024/F1018%20USDJPY" TargetMode="External" Id="rId51" /><Relationship Type="http://schemas.openxmlformats.org/officeDocument/2006/relationships/hyperlink" Target="../../../Users/User/Dropbox/CRYPTO/2024/C345%20PRCL" TargetMode="External" Id="rId52" /><Relationship Type="http://schemas.openxmlformats.org/officeDocument/2006/relationships/hyperlink" Target="../../../Users/User/Dropbox/CRYPTO/2024/C342%20LTC" TargetMode="External" Id="rId53" /><Relationship Type="http://schemas.openxmlformats.org/officeDocument/2006/relationships/hyperlink" Target="../../../Users/User/Dropbox/CRYPTO/2024/C344%20XLM" TargetMode="External" Id="rId54" /><Relationship Type="http://schemas.openxmlformats.org/officeDocument/2006/relationships/hyperlink" Target="../../../Users/User/Dropbox/CRYPTO/2024/C343%20DOGE" TargetMode="External" Id="rId55" /><Relationship Type="http://schemas.openxmlformats.org/officeDocument/2006/relationships/hyperlink" Target="../../../Users/User/Dropbox/FOREX/2024/F1160" TargetMode="External" Id="rId56" /><Relationship Type="http://schemas.openxmlformats.org/officeDocument/2006/relationships/hyperlink" Target="../../../Users/User/Dropbox/FOREX/2024/F1159" TargetMode="External" Id="rId57" /><Relationship Type="http://schemas.openxmlformats.org/officeDocument/2006/relationships/hyperlink" Target="../../../Users/User/Dropbox/FOREX/2024/F1158" TargetMode="External" Id="rId58" /><Relationship Type="http://schemas.openxmlformats.org/officeDocument/2006/relationships/hyperlink" Target="../../../Users/User/Dropbox/FOREX/2024/F1157" TargetMode="External" Id="rId59" /><Relationship Type="http://schemas.openxmlformats.org/officeDocument/2006/relationships/hyperlink" Target="../../../Users/User/Dropbox/FOREX/2024/F1017%20USDJPY" TargetMode="External" Id="rId60" /><Relationship Type="http://schemas.openxmlformats.org/officeDocument/2006/relationships/hyperlink" Target="../../../Users/User/Dropbox/CRYPTO/2024/C341%20BTC" TargetMode="External" Id="rId61" /><Relationship Type="http://schemas.openxmlformats.org/officeDocument/2006/relationships/hyperlink" Target="../../../Users/User/Dropbox/FOREX/2024/F1016%20NZDUSD" TargetMode="External" Id="rId62" /><Relationship Type="http://schemas.openxmlformats.org/officeDocument/2006/relationships/hyperlink" Target="../../../Users/User/Dropbox/CRYPTO/2024/C340%20ETH" TargetMode="External" Id="rId63" /><Relationship Type="http://schemas.openxmlformats.org/officeDocument/2006/relationships/hyperlink" Target="../../../Users/User/Dropbox/CRYPTO/2024/C339%20OGN" TargetMode="External" Id="rId64" /><Relationship Type="http://schemas.openxmlformats.org/officeDocument/2006/relationships/hyperlink" Target="../../../Users/User/Dropbox/CRYPTO/2024/C338%20UXLINK" TargetMode="External" Id="rId65" /><Relationship Type="http://schemas.openxmlformats.org/officeDocument/2006/relationships/hyperlink" Target="../../../Users/User/Dropbox/CRYPTO/2024/C337%20ETH" TargetMode="External" Id="rId66" /><Relationship Type="http://schemas.openxmlformats.org/officeDocument/2006/relationships/hyperlink" Target="../../../Users/User/Dropbox/FOREX/2024/F1015%20USDCHF" TargetMode="External" Id="rId67" /><Relationship Type="http://schemas.openxmlformats.org/officeDocument/2006/relationships/hyperlink" Target="../../../Users/User/Dropbox/CRYPTO/2024/C336%20BIGTIME" TargetMode="External" Id="rId68" /><Relationship Type="http://schemas.openxmlformats.org/officeDocument/2006/relationships/hyperlink" Target="../../../Users/User/Dropbox/FOREX/2024/F1014%20USDJPY" TargetMode="External" Id="rId69" /><Relationship Type="http://schemas.openxmlformats.org/officeDocument/2006/relationships/hyperlink" Target="../../../Users/User/Dropbox/CRYPTO/2024/C335%20VGX" TargetMode="External" Id="rId70" /><Relationship Type="http://schemas.openxmlformats.org/officeDocument/2006/relationships/hyperlink" Target="../../../Users/User/Dropbox/FOREX/2024/F1013%20NZDUSD" TargetMode="External" Id="rId71" /><Relationship Type="http://schemas.openxmlformats.org/officeDocument/2006/relationships/hyperlink" Target="../../../Users/User/Dropbox/CRYPTO/2024/C334%20QUICK" TargetMode="External" Id="rId72" /><Relationship Type="http://schemas.openxmlformats.org/officeDocument/2006/relationships/hyperlink" Target="../../../Users/User/Dropbox/CRYPTO/2024/C333%20UXLINK" TargetMode="External" Id="rId73" /><Relationship Type="http://schemas.openxmlformats.org/officeDocument/2006/relationships/hyperlink" Target="../../../Users/User/Dropbox/CRYPTO/2024/C332%20ZEC" TargetMode="External" Id="rId74" /><Relationship Type="http://schemas.openxmlformats.org/officeDocument/2006/relationships/hyperlink" Target="../../../Users/User/Dropbox/FOREX/2024/F1012%20EURUSD" TargetMode="External" Id="rId75" /><Relationship Type="http://schemas.openxmlformats.org/officeDocument/2006/relationships/hyperlink" Target="../../../Users/User/Dropbox/CRYPTO/2024/C331%20BTC" TargetMode="External" Id="rId76" /><Relationship Type="http://schemas.openxmlformats.org/officeDocument/2006/relationships/hyperlink" Target="../../../Users/User/Dropbox/FOREX/2024/F1011%20GBPUSD" TargetMode="External" Id="rId77" /><Relationship Type="http://schemas.openxmlformats.org/officeDocument/2006/relationships/hyperlink" Target="../../../Users/User/Dropbox/CRYPTO/2024/C330%20BNB" TargetMode="External" Id="rId78" /><Relationship Type="http://schemas.openxmlformats.org/officeDocument/2006/relationships/hyperlink" Target="../../../Users/User/Dropbox/FOREX/2024/F1156" TargetMode="External" Id="rId79" /><Relationship Type="http://schemas.openxmlformats.org/officeDocument/2006/relationships/hyperlink" Target="../../../Users/User/Dropbox/FOREX/2024/F1010%20AUDJPY" TargetMode="External" Id="rId80" /><Relationship Type="http://schemas.openxmlformats.org/officeDocument/2006/relationships/hyperlink" Target="../../../Users/User/Dropbox/CRYPTO/2024/C329%20BTC" TargetMode="External" Id="rId81" /><Relationship Type="http://schemas.openxmlformats.org/officeDocument/2006/relationships/hyperlink" Target="../../../Users/User/Dropbox/FOREX/2024/F1009%20GBPUSD" TargetMode="External" Id="rId82" /><Relationship Type="http://schemas.openxmlformats.org/officeDocument/2006/relationships/hyperlink" Target="../../../Users/User/Dropbox/FOREX/2024/F1008%20NZDUSD" TargetMode="External" Id="rId83" /><Relationship Type="http://schemas.openxmlformats.org/officeDocument/2006/relationships/hyperlink" Target="../../../Users/User/Dropbox/FOREX/2024/F1007%20GBPUSD" TargetMode="External" Id="rId84" /><Relationship Type="http://schemas.openxmlformats.org/officeDocument/2006/relationships/hyperlink" Target="../../../Users/User/Dropbox/CRYPTO/2024/C328%20BTC" TargetMode="External" Id="rId85" /><Relationship Type="http://schemas.openxmlformats.org/officeDocument/2006/relationships/hyperlink" Target="../../../Users/User/Dropbox/CRYPTO/2024/C327%20BTC" TargetMode="External" Id="rId86" /><Relationship Type="http://schemas.openxmlformats.org/officeDocument/2006/relationships/hyperlink" Target="../../../Users/User/Dropbox/FOREX/2024/F1006%20CADCHF" TargetMode="External" Id="rId87" /><Relationship Type="http://schemas.openxmlformats.org/officeDocument/2006/relationships/hyperlink" Target="../../../Users/User/Dropbox/CRYPTO/2024/C326%20ETH" TargetMode="External" Id="rId88" /><Relationship Type="http://schemas.openxmlformats.org/officeDocument/2006/relationships/hyperlink" Target="../../../Users/User/Dropbox/FOREX/2024/F1005%20EURUSD" TargetMode="External" Id="rId89" /><Relationship Type="http://schemas.openxmlformats.org/officeDocument/2006/relationships/hyperlink" Target="../../../Users/User/Dropbox/CRYPTO/2024/C325%20ETH" TargetMode="External" Id="rId90" /><Relationship Type="http://schemas.openxmlformats.org/officeDocument/2006/relationships/hyperlink" Target="../../../Users/User/Dropbox/FOREX/2023/F1004%20CADCHF" TargetMode="External" Id="rId91" /><Relationship Type="http://schemas.openxmlformats.org/officeDocument/2006/relationships/hyperlink" Target="../../../Users/User/Dropbox/FOREX/2023/F1003%20EURUSD" TargetMode="External" Id="rId92" /><Relationship Type="http://schemas.openxmlformats.org/officeDocument/2006/relationships/hyperlink" Target="../../../Users/User/Dropbox/FOREX/2023/F1002%20USDJPY" TargetMode="External" Id="rId93" /><Relationship Type="http://schemas.openxmlformats.org/officeDocument/2006/relationships/hyperlink" Target="../../../Users/User/Dropbox/FOREX/2023/F1001%20GBPJPY" TargetMode="External" Id="rId94" /><Relationship Type="http://schemas.openxmlformats.org/officeDocument/2006/relationships/hyperlink" Target="../../../Users/User/Dropbox/FOREX/2023/F1000%20USDCHF" TargetMode="External" Id="rId95" /><Relationship Type="http://schemas.openxmlformats.org/officeDocument/2006/relationships/hyperlink" Target="../../../Users/User/Dropbox/FOREX/2023/F999%20USDCAD" TargetMode="External" Id="rId96" /><Relationship Type="http://schemas.openxmlformats.org/officeDocument/2006/relationships/hyperlink" Target="../../../Users/User/Dropbox/FOREX/2023/F998%20NZDUSD" TargetMode="External" Id="rId97" /><Relationship Type="http://schemas.openxmlformats.org/officeDocument/2006/relationships/hyperlink" Target="../../../Users/User/Dropbox/FOREX/2023/F997%20USDCAD" TargetMode="External" Id="rId98" /><Relationship Type="http://schemas.openxmlformats.org/officeDocument/2006/relationships/hyperlink" Target="../../../Users/User/Dropbox/FOREX/2023/F1154" TargetMode="External" Id="rId99" /><Relationship Type="http://schemas.openxmlformats.org/officeDocument/2006/relationships/hyperlink" Target="../../../Users/User/Dropbox/FOREX/2023/F995%20USDCAD" TargetMode="External" Id="rId100" /><Relationship Type="http://schemas.openxmlformats.org/officeDocument/2006/relationships/hyperlink" Target="../../../Users/User/Dropbox/FOREX/2023/F1155" TargetMode="External" Id="rId101" /><Relationship Type="http://schemas.openxmlformats.org/officeDocument/2006/relationships/hyperlink" Target="../../../Users/User/Dropbox/FOREX/2023/F996%20CADJPY" TargetMode="External" Id="rId102" /><Relationship Type="http://schemas.openxmlformats.org/officeDocument/2006/relationships/hyperlink" Target="../../../Users/User/Dropbox/FOREX/2023/F994%20GBPNZD" TargetMode="External" Id="rId103" /><Relationship Type="http://schemas.openxmlformats.org/officeDocument/2006/relationships/hyperlink" Target="../../../Users/User/Dropbox/FOREX/2023/F993%20CHFJPY" TargetMode="External" Id="rId104" /><Relationship Type="http://schemas.openxmlformats.org/officeDocument/2006/relationships/hyperlink" Target="../../../Users/User/Dropbox/FOREX/2023/F992%20USDCAD" TargetMode="External" Id="rId105" /><Relationship Type="http://schemas.openxmlformats.org/officeDocument/2006/relationships/hyperlink" Target="../../../Users/User/Dropbox/FOREX/2023/F991%20EURUSD" TargetMode="External" Id="rId106" /><Relationship Type="http://schemas.openxmlformats.org/officeDocument/2006/relationships/hyperlink" Target="../../../Users/User/Dropbox/FOREX/2023/F990%20GBPJPY" TargetMode="External" Id="rId107" /><Relationship Type="http://schemas.openxmlformats.org/officeDocument/2006/relationships/hyperlink" Target="../../../Users/User/Dropbox/FOREX/2023/F989%20CHFJPY" TargetMode="External" Id="rId108" /><Relationship Type="http://schemas.openxmlformats.org/officeDocument/2006/relationships/hyperlink" Target="../../../Users/User/Dropbox/FOREX/2023/F988%20CHFJPY" TargetMode="External" Id="rId109" /><Relationship Type="http://schemas.openxmlformats.org/officeDocument/2006/relationships/hyperlink" Target="../../../Users/User/Dropbox/FOREX/2023/F987%20AUDUSD" TargetMode="External" Id="rId110" /><Relationship Type="http://schemas.openxmlformats.org/officeDocument/2006/relationships/hyperlink" Target="../../../Users/User/Dropbox/CRYPTO/2023/C324%20BTCUSDT" TargetMode="External" Id="rId111" /><Relationship Type="http://schemas.openxmlformats.org/officeDocument/2006/relationships/hyperlink" Target="../../../Users/User/Dropbox/CRYPTO/2023/C323%20ETHUSDT" TargetMode="External" Id="rId112" /><Relationship Type="http://schemas.openxmlformats.org/officeDocument/2006/relationships/hyperlink" Target="../../../Users/User/Dropbox/FOREX/2023/F986%20NZDCHF" TargetMode="External" Id="rId113" /><Relationship Type="http://schemas.openxmlformats.org/officeDocument/2006/relationships/hyperlink" Target="../../../Users/User/Dropbox/FOREX/2023/F985%20USDCHF" TargetMode="External" Id="rId114" /><Relationship Type="http://schemas.openxmlformats.org/officeDocument/2006/relationships/hyperlink" Target="../../../Users/User/Dropbox/CRYPTO/2023/C322%20XLMUSDT" TargetMode="External" Id="rId115" /><Relationship Type="http://schemas.openxmlformats.org/officeDocument/2006/relationships/hyperlink" Target="../../../Users/User/Dropbox/FOREX/2023/F984%20USDJPY" TargetMode="External" Id="rId116" /><Relationship Type="http://schemas.openxmlformats.org/officeDocument/2006/relationships/hyperlink" Target="../../../Users/User/Dropbox/CRYPTO/2023/C321%20XLMUSDT" TargetMode="External" Id="rId117" /><Relationship Type="http://schemas.openxmlformats.org/officeDocument/2006/relationships/hyperlink" Target="../../../Users/User/Dropbox/FOREX/2023/F983%20NZDUSD" TargetMode="External" Id="rId118" /><Relationship Type="http://schemas.openxmlformats.org/officeDocument/2006/relationships/hyperlink" Target="../../../Users/User/Dropbox/CRYPTO/2023/C320%20BTCUSDT" TargetMode="External" Id="rId119" /><Relationship Type="http://schemas.openxmlformats.org/officeDocument/2006/relationships/hyperlink" Target="../../../Users/User/Dropbox/CRYPTO/2023/C318%20SOLUSDT" TargetMode="External" Id="rId120" /><Relationship Type="http://schemas.openxmlformats.org/officeDocument/2006/relationships/hyperlink" Target="../../../Users/User/Dropbox/CRYPTO/2023/C319%20BTCUSDT" TargetMode="External" Id="rId121" /><Relationship Type="http://schemas.openxmlformats.org/officeDocument/2006/relationships/hyperlink" Target="../../../Users/User/Dropbox/FOREX/2023/F982%20NZDUSD" TargetMode="External" Id="rId122" /><Relationship Type="http://schemas.openxmlformats.org/officeDocument/2006/relationships/hyperlink" Target="../../../Users/User/Dropbox/FOREX/2023/F981%20EURUSD" TargetMode="External" Id="rId123" /><Relationship Type="http://schemas.openxmlformats.org/officeDocument/2006/relationships/hyperlink" Target="../../../Users/User/Dropbox/FOREX/2023/F979%20CHFJPY" TargetMode="External" Id="rId124" /><Relationship Type="http://schemas.openxmlformats.org/officeDocument/2006/relationships/hyperlink" Target="../../../Users/User/Dropbox/FOREX/2023/F980%20USDCAD" TargetMode="External" Id="rId125" /><Relationship Type="http://schemas.openxmlformats.org/officeDocument/2006/relationships/hyperlink" Target="../../../Users/User/Dropbox/CRYPTO/2023/C317%20BTCUSDT" TargetMode="External" Id="rId126" /><Relationship Type="http://schemas.openxmlformats.org/officeDocument/2006/relationships/hyperlink" Target="../../../Users/User/Dropbox/CRYPTO/2023/C316%20ETHUSDT" TargetMode="External" Id="rId127" /><Relationship Type="http://schemas.openxmlformats.org/officeDocument/2006/relationships/hyperlink" Target="../../../Users/User/Dropbox/CRYPTO/2023/C315%20BTCUSDT" TargetMode="External" Id="rId128" /><Relationship Type="http://schemas.openxmlformats.org/officeDocument/2006/relationships/hyperlink" Target="../../../Users/User/Dropbox/CRYPTO/2023/C314%20XRPUSDT" TargetMode="External" Id="rId129" /><Relationship Type="http://schemas.openxmlformats.org/officeDocument/2006/relationships/hyperlink" Target="../../../Users/User/Dropbox/CRYPTO/2023/C313%20XRPUSDT" TargetMode="External" Id="rId130" /><Relationship Type="http://schemas.openxmlformats.org/officeDocument/2006/relationships/hyperlink" Target="../../../Users/User/Dropbox/FOREX/2023/F978%20GBPUSD" TargetMode="External" Id="rId131" /><Relationship Type="http://schemas.openxmlformats.org/officeDocument/2006/relationships/hyperlink" Target="../../../Users/User/Dropbox/FOREX/2023/F977%20AUDUSD" TargetMode="External" Id="rId132" /><Relationship Type="http://schemas.openxmlformats.org/officeDocument/2006/relationships/hyperlink" Target="../../../Users/User/Dropbox/CRYPTO/2023/C312%20XRPUSDT" TargetMode="External" Id="rId133" /><Relationship Type="http://schemas.openxmlformats.org/officeDocument/2006/relationships/hyperlink" Target="../../../Users/User/Dropbox/FOREX/2023/F976%20CADCHF" TargetMode="External" Id="rId134" /><Relationship Type="http://schemas.openxmlformats.org/officeDocument/2006/relationships/hyperlink" Target="../../../Users/User/Dropbox/FOREX/2023/F975%20CADCHF" TargetMode="External" Id="rId135" /><Relationship Type="http://schemas.openxmlformats.org/officeDocument/2006/relationships/hyperlink" Target="../../../Users/User/Dropbox/CRYPTO/2023/C311%20BTCUSDT" TargetMode="External" Id="rId136" /><Relationship Type="http://schemas.openxmlformats.org/officeDocument/2006/relationships/hyperlink" Target="../../../Users/User/Dropbox/FOREX/2023/F974%20GBPNZD" TargetMode="External" Id="rId137" /><Relationship Type="http://schemas.openxmlformats.org/officeDocument/2006/relationships/hyperlink" Target="../../../Users/User/Dropbox/FOREX/2023/F973%20GBPUSD" TargetMode="External" Id="rId138" /><Relationship Type="http://schemas.openxmlformats.org/officeDocument/2006/relationships/hyperlink" Target="../../../Users/User/Dropbox/CRYPTO/2023/C310%20XRPUSDT" TargetMode="External" Id="rId139" /><Relationship Type="http://schemas.openxmlformats.org/officeDocument/2006/relationships/hyperlink" Target="../../../Users/User/Dropbox/FOREX/2023/F972%20GBPJPY" TargetMode="External" Id="rId140" /><Relationship Type="http://schemas.openxmlformats.org/officeDocument/2006/relationships/hyperlink" Target="../../../Users/User/Dropbox/CRYPTO/2023/C309%20BTCUSDT" TargetMode="External" Id="rId141" /><Relationship Type="http://schemas.openxmlformats.org/officeDocument/2006/relationships/hyperlink" Target="../../../Users/User/Dropbox/FOREX/2023/F970%20USDJPY" TargetMode="External" Id="rId142" /><Relationship Type="http://schemas.openxmlformats.org/officeDocument/2006/relationships/hyperlink" Target="../../../Users/User/Dropbox/FOREX/2023/F1153" TargetMode="External" Id="rId143" /><Relationship Type="http://schemas.openxmlformats.org/officeDocument/2006/relationships/hyperlink" Target="../../../Users/User/Dropbox/FOREX/2023/F971%20AUDCHF" TargetMode="External" Id="rId144" /><Relationship Type="http://schemas.openxmlformats.org/officeDocument/2006/relationships/hyperlink" Target="../../../Users/User/Dropbox/FOREX/2023/F969%20GBPUSD" TargetMode="External" Id="rId145" /><Relationship Type="http://schemas.openxmlformats.org/officeDocument/2006/relationships/hyperlink" Target="../../../Users/User/Dropbox/CRYPTO/2023/C308%20ETHUSDT" TargetMode="External" Id="rId146" /><Relationship Type="http://schemas.openxmlformats.org/officeDocument/2006/relationships/hyperlink" Target="../../../Users/User/Dropbox/FOREX/2023/F968%20GBPJPY" TargetMode="External" Id="rId147" /><Relationship Type="http://schemas.openxmlformats.org/officeDocument/2006/relationships/hyperlink" Target="../../../Users/User/Dropbox/CRYPTO/2023/C307%20BTCUSDT" TargetMode="External" Id="rId148" /><Relationship Type="http://schemas.openxmlformats.org/officeDocument/2006/relationships/hyperlink" Target="../../../Users/User/Dropbox/CRYPTO/2023/C306%20BTCUSDT" TargetMode="External" Id="rId149" /><Relationship Type="http://schemas.openxmlformats.org/officeDocument/2006/relationships/hyperlink" Target="../../../Users/User/Dropbox/FOREX/2023/F967%20EURUSD" TargetMode="External" Id="rId150" /><Relationship Type="http://schemas.openxmlformats.org/officeDocument/2006/relationships/hyperlink" Target="../../../Users/User/Dropbox/FOREX/2023/F966%20AUDUSD" TargetMode="External" Id="rId151" /><Relationship Type="http://schemas.openxmlformats.org/officeDocument/2006/relationships/hyperlink" Target="../../../Users/User/Dropbox/FOREX/2023/F965%20USDCHF" TargetMode="External" Id="rId152" /><Relationship Type="http://schemas.openxmlformats.org/officeDocument/2006/relationships/hyperlink" Target="../../../Users/User/Dropbox/CRYPTO/2023/C305%20BTCUSDT" TargetMode="External" Id="rId153" /><Relationship Type="http://schemas.openxmlformats.org/officeDocument/2006/relationships/hyperlink" Target="../../../Users/User/Dropbox/FOREX/2022/F964%20GBPUSD" TargetMode="External" Id="rId154" /><Relationship Type="http://schemas.openxmlformats.org/officeDocument/2006/relationships/hyperlink" Target="../../../Users/User/Dropbox/FOREX/2022/F963%20NZDJPY" TargetMode="External" Id="rId155" /><Relationship Type="http://schemas.openxmlformats.org/officeDocument/2006/relationships/hyperlink" Target="../../../Users/User/Dropbox/FOREX/2022/F962%20AUDJPY" TargetMode="External" Id="rId156" /><Relationship Type="http://schemas.openxmlformats.org/officeDocument/2006/relationships/hyperlink" Target="../../../Users/User/Dropbox/FOREX/2022/F961%20CHFJPY" TargetMode="External" Id="rId157" /><Relationship Type="http://schemas.openxmlformats.org/officeDocument/2006/relationships/hyperlink" Target="../../../Users/User/Dropbox/FOREX/2022/F960%20AUDCHF" TargetMode="External" Id="rId158" /><Relationship Type="http://schemas.openxmlformats.org/officeDocument/2006/relationships/hyperlink" Target="../../../Users/User/Dropbox/FOREX/2022/F959%20EURGBP" TargetMode="External" Id="rId159" /><Relationship Type="http://schemas.openxmlformats.org/officeDocument/2006/relationships/hyperlink" Target="../../../Users/User/Dropbox/FOREX/2022/F958%20CADJPY" TargetMode="External" Id="rId160" /><Relationship Type="http://schemas.openxmlformats.org/officeDocument/2006/relationships/hyperlink" Target="../../../Users/User/Dropbox/FOREX/2022/F957%20NZDCAD" TargetMode="External" Id="rId161" /><Relationship Type="http://schemas.openxmlformats.org/officeDocument/2006/relationships/hyperlink" Target="../../../Users/User/Dropbox/FOREX/2022/F956%20USDCHF" TargetMode="External" Id="rId162" /><Relationship Type="http://schemas.openxmlformats.org/officeDocument/2006/relationships/hyperlink" Target="../../../Users/User/Dropbox/FOREX/2022/F955%20EURCAD" TargetMode="External" Id="rId163" /><Relationship Type="http://schemas.openxmlformats.org/officeDocument/2006/relationships/hyperlink" Target="../../../Users/User/Dropbox/FOREX/2022/F954%20EURUSD" TargetMode="External" Id="rId164" /><Relationship Type="http://schemas.openxmlformats.org/officeDocument/2006/relationships/hyperlink" Target="../../../Users/User/Dropbox/FOREX/2022/F953%20USDCAD" TargetMode="External" Id="rId165" /><Relationship Type="http://schemas.openxmlformats.org/officeDocument/2006/relationships/hyperlink" Target="../../../Users/User/Dropbox/FOREX/2022/F952%20AUDUSD" TargetMode="External" Id="rId166" /><Relationship Type="http://schemas.openxmlformats.org/officeDocument/2006/relationships/hyperlink" Target="../../../Users/User/Dropbox/FOREX/2022/F951%20NZDUSD" TargetMode="External" Id="rId167" /><Relationship Type="http://schemas.openxmlformats.org/officeDocument/2006/relationships/hyperlink" Target="../../../Users/User/Dropbox/FOREX/2022/F950%20GBPAUD" TargetMode="External" Id="rId168" /><Relationship Type="http://schemas.openxmlformats.org/officeDocument/2006/relationships/hyperlink" Target="../../../Users/User/Dropbox/FOREX/2022/F948%20USDCHF" TargetMode="External" Id="rId169" /><Relationship Type="http://schemas.openxmlformats.org/officeDocument/2006/relationships/hyperlink" Target="../../../Users/User/Dropbox/FOREX/2022/F949%20AUDUSD" TargetMode="External" Id="rId170" /><Relationship Type="http://schemas.openxmlformats.org/officeDocument/2006/relationships/hyperlink" Target="../../../Users/User/Dropbox/FOREX/2022/F947%20GBPUSD" TargetMode="External" Id="rId171" /><Relationship Type="http://schemas.openxmlformats.org/officeDocument/2006/relationships/hyperlink" Target="../../../Users/User/Dropbox/FOREX/2022/F946%20EURAUD" TargetMode="External" Id="rId172" /><Relationship Type="http://schemas.openxmlformats.org/officeDocument/2006/relationships/hyperlink" Target="../../../Users/User/Dropbox/FOREX/2022/F945%20GBPUSD" TargetMode="External" Id="rId173" /><Relationship Type="http://schemas.openxmlformats.org/officeDocument/2006/relationships/hyperlink" Target="../../../Users/User/Dropbox/FOREX/2022/F944%20USDJPY" TargetMode="External" Id="rId174" /><Relationship Type="http://schemas.openxmlformats.org/officeDocument/2006/relationships/hyperlink" Target="../../../Users/User/Dropbox/FOREX/2022/F943%20EURJPY" TargetMode="External" Id="rId175" /><Relationship Type="http://schemas.openxmlformats.org/officeDocument/2006/relationships/hyperlink" Target="../../../Users/User/Dropbox/FOREX/2022/F942%20NZDJPY" TargetMode="External" Id="rId176" /><Relationship Type="http://schemas.openxmlformats.org/officeDocument/2006/relationships/hyperlink" Target="../../../Users/User/Dropbox/FOREX/2022/F941%20EURUSD" TargetMode="External" Id="rId177" /><Relationship Type="http://schemas.openxmlformats.org/officeDocument/2006/relationships/hyperlink" Target="../../../Users/User/Dropbox/FOREX/2022/F940%20USDJPY" TargetMode="External" Id="rId178" /><Relationship Type="http://schemas.openxmlformats.org/officeDocument/2006/relationships/hyperlink" Target="../../../Users/User/Dropbox/FOREX/2022/F939%20NZDJPY" TargetMode="External" Id="rId179" /><Relationship Type="http://schemas.openxmlformats.org/officeDocument/2006/relationships/hyperlink" Target="../../../Users/User/Dropbox/FOREX/2022/F938%20NZDUSD" TargetMode="External" Id="rId180" /><Relationship Type="http://schemas.openxmlformats.org/officeDocument/2006/relationships/hyperlink" Target="../../../Users/User/Dropbox/FOREX/2022/F937%20EURCHF" TargetMode="External" Id="rId181" /><Relationship Type="http://schemas.openxmlformats.org/officeDocument/2006/relationships/hyperlink" Target="../../../Users/User/Dropbox/FOREX/2022/F936%20EURCHF" TargetMode="External" Id="rId182" /><Relationship Type="http://schemas.openxmlformats.org/officeDocument/2006/relationships/hyperlink" Target="../../../Users/User/Dropbox/FOREX/2022/F935%20EURUSD" TargetMode="External" Id="rId183" /><Relationship Type="http://schemas.openxmlformats.org/officeDocument/2006/relationships/hyperlink" Target="../../../Users/User/Dropbox/FOREX/2022/F933%20USDCHF" TargetMode="External" Id="rId184" /><Relationship Type="http://schemas.openxmlformats.org/officeDocument/2006/relationships/hyperlink" Target="../../../Users/User/Dropbox/FOREX/2022/F934%20AUDCAD" TargetMode="External" Id="rId185" /><Relationship Type="http://schemas.openxmlformats.org/officeDocument/2006/relationships/hyperlink" Target="../../../Users/User/Dropbox/FOREX/2022/F932%20GBPCHF" TargetMode="External" Id="rId186" /><Relationship Type="http://schemas.openxmlformats.org/officeDocument/2006/relationships/hyperlink" Target="../../../Users/User/Dropbox/FOREX/2022/F931%20GBPUSD" TargetMode="External" Id="rId187" /><Relationship Type="http://schemas.openxmlformats.org/officeDocument/2006/relationships/hyperlink" Target="../../../Users/User/Dropbox/FOREX/2022/F930%20USDJPY" TargetMode="External" Id="rId188" /><Relationship Type="http://schemas.openxmlformats.org/officeDocument/2006/relationships/hyperlink" Target="../../../Users/User/Dropbox/FOREX/2022/F929%20EURCAD" TargetMode="External" Id="rId189" /><Relationship Type="http://schemas.openxmlformats.org/officeDocument/2006/relationships/hyperlink" Target="../../../Users/User/Dropbox/FOREX/2022/F927" TargetMode="External" Id="rId190" /><Relationship Type="http://schemas.openxmlformats.org/officeDocument/2006/relationships/hyperlink" Target="../../../Users/User/Dropbox/FOREX/2022/F928" TargetMode="External" Id="rId191" /><Relationship Type="http://schemas.openxmlformats.org/officeDocument/2006/relationships/hyperlink" Target="../../../Users/User/Dropbox/FOREX/2022/F926" TargetMode="External" Id="rId192" /><Relationship Type="http://schemas.openxmlformats.org/officeDocument/2006/relationships/hyperlink" Target="../../../Users/User/Dropbox/FOREX/2022/F925" TargetMode="External" Id="rId193" /><Relationship Type="http://schemas.openxmlformats.org/officeDocument/2006/relationships/hyperlink" Target="../../../Users/User/Dropbox/FOREX/2022/F924" TargetMode="External" Id="rId194" /><Relationship Type="http://schemas.openxmlformats.org/officeDocument/2006/relationships/hyperlink" Target="../../../Users/User/Dropbox/CRYPTO/2022/C304" TargetMode="External" Id="rId195" /><Relationship Type="http://schemas.openxmlformats.org/officeDocument/2006/relationships/hyperlink" Target="../../../Users/User/Dropbox/FOREX/2022/F922" TargetMode="External" Id="rId196" /><Relationship Type="http://schemas.openxmlformats.org/officeDocument/2006/relationships/hyperlink" Target="../../../Users/User/Dropbox/FOREX/2022/F921" TargetMode="External" Id="rId197" /><Relationship Type="http://schemas.openxmlformats.org/officeDocument/2006/relationships/hyperlink" Target="../../../Users/User/Dropbox/FOREX/2022/F923" TargetMode="External" Id="rId198" /><Relationship Type="http://schemas.openxmlformats.org/officeDocument/2006/relationships/hyperlink" Target="../../../Users/User/Dropbox/FOREX/2022/F920" TargetMode="External" Id="rId199" /><Relationship Type="http://schemas.openxmlformats.org/officeDocument/2006/relationships/hyperlink" Target="../../../Users/User/Dropbox/FOREX/2022/F919" TargetMode="External" Id="rId200" /><Relationship Type="http://schemas.openxmlformats.org/officeDocument/2006/relationships/hyperlink" Target="../../../Users/User/Dropbox/FOREX/2022/F915" TargetMode="External" Id="rId201" /><Relationship Type="http://schemas.openxmlformats.org/officeDocument/2006/relationships/hyperlink" Target="../../../Users/User/Dropbox/FOREX/2022/F1152" TargetMode="External" Id="rId202" /><Relationship Type="http://schemas.openxmlformats.org/officeDocument/2006/relationships/hyperlink" Target="../../../Users/User/Dropbox/FOREX/2022/F918" TargetMode="External" Id="rId203" /><Relationship Type="http://schemas.openxmlformats.org/officeDocument/2006/relationships/hyperlink" Target="../../../Users/User/Dropbox/FOREX/2022/F916" TargetMode="External" Id="rId204" /><Relationship Type="http://schemas.openxmlformats.org/officeDocument/2006/relationships/hyperlink" Target="../../../Users/User/Dropbox/FOREX/2022/F917" TargetMode="External" Id="rId205" /><Relationship Type="http://schemas.openxmlformats.org/officeDocument/2006/relationships/hyperlink" Target="../../../Users/User/Dropbox/FOREX/2022/F914" TargetMode="External" Id="rId206" /><Relationship Type="http://schemas.openxmlformats.org/officeDocument/2006/relationships/hyperlink" Target="../../../Users/User/Dropbox/FOREX/2022/F913" TargetMode="External" Id="rId207" /><Relationship Type="http://schemas.openxmlformats.org/officeDocument/2006/relationships/hyperlink" Target="../../../Users/User/Dropbox/CRYPTO/2022/C303" TargetMode="External" Id="rId208" /><Relationship Type="http://schemas.openxmlformats.org/officeDocument/2006/relationships/hyperlink" Target="../../../Users/User/Dropbox/FOREX/2022/F912" TargetMode="External" Id="rId209" /><Relationship Type="http://schemas.openxmlformats.org/officeDocument/2006/relationships/hyperlink" Target="../../../Users/User/Dropbox/FOREX/2022/F911%20EURGBP" TargetMode="External" Id="rId210" /><Relationship Type="http://schemas.openxmlformats.org/officeDocument/2006/relationships/hyperlink" Target="../../../Users/User/Dropbox/FOREX/2022/F910%20GBPUSD" TargetMode="External" Id="rId211" /><Relationship Type="http://schemas.openxmlformats.org/officeDocument/2006/relationships/hyperlink" Target="../../../Users/User/Dropbox/FOREX/2021/F904" TargetMode="External" Id="rId212" /><Relationship Type="http://schemas.openxmlformats.org/officeDocument/2006/relationships/hyperlink" Target="../../../Users/User/Dropbox/FOREX/2021/F907" TargetMode="External" Id="rId213" /><Relationship Type="http://schemas.openxmlformats.org/officeDocument/2006/relationships/hyperlink" Target="../../../Users/User/Dropbox/CRYPTO/2021/NOV/C302%20ENSUSDT" TargetMode="External" Id="rId214" /><Relationship Type="http://schemas.openxmlformats.org/officeDocument/2006/relationships/hyperlink" Target="../../../Users/User/Dropbox/FOREX/2021/F906" TargetMode="External" Id="rId215" /><Relationship Type="http://schemas.openxmlformats.org/officeDocument/2006/relationships/hyperlink" Target="../../../Users/User/Dropbox/FOREX/2021/F905" TargetMode="External" Id="rId216" /><Relationship Type="http://schemas.openxmlformats.org/officeDocument/2006/relationships/hyperlink" Target="../../../Users/User/Dropbox/CRYPTO/2021/NOV/C300%20SHIB1000USDT" TargetMode="External" Id="rId217" /><Relationship Type="http://schemas.openxmlformats.org/officeDocument/2006/relationships/hyperlink" Target="../../../Users/User/Dropbox/CRYPTO/2021/NOV/C301%20WOOUSDT" TargetMode="External" Id="rId218" /><Relationship Type="http://schemas.openxmlformats.org/officeDocument/2006/relationships/hyperlink" Target="../../../Users/User/Dropbox/CRYPTO/2021/NOV/C299%20GALAUSDT" TargetMode="External" Id="rId219" /><Relationship Type="http://schemas.openxmlformats.org/officeDocument/2006/relationships/hyperlink" Target="../../../Users/User/Dropbox/FOREX/2021/F903" TargetMode="External" Id="rId220" /><Relationship Type="http://schemas.openxmlformats.org/officeDocument/2006/relationships/hyperlink" Target="../../../Users/User/Dropbox/CRYPTO/2021/NOV/C296%20SOLUSDT" TargetMode="External" Id="rId221" /><Relationship Type="http://schemas.openxmlformats.org/officeDocument/2006/relationships/hyperlink" Target="../../../Users/User/Dropbox/CRYPTO/2021/NOV/C298%20NEARUSDT" TargetMode="External" Id="rId222" /><Relationship Type="http://schemas.openxmlformats.org/officeDocument/2006/relationships/hyperlink" Target="../../../Users/User/Dropbox/CRYPTO/2021/NOV/C297%20ETHUSDT" TargetMode="External" Id="rId223" /><Relationship Type="http://schemas.openxmlformats.org/officeDocument/2006/relationships/hyperlink" Target="../../../Users/User/Dropbox/FOREX/2021/F902" TargetMode="External" Id="rId224" /><Relationship Type="http://schemas.openxmlformats.org/officeDocument/2006/relationships/hyperlink" Target="../../../Users/User/Dropbox/FOREX/2021/F901" TargetMode="External" Id="rId225" /><Relationship Type="http://schemas.openxmlformats.org/officeDocument/2006/relationships/hyperlink" Target="../../../Users/User/Dropbox/FOREX/2021/F899" TargetMode="External" Id="rId226" /><Relationship Type="http://schemas.openxmlformats.org/officeDocument/2006/relationships/hyperlink" Target="../../../Users/User/Dropbox/FOREX/2021/F1151" TargetMode="External" Id="rId227" /><Relationship Type="http://schemas.openxmlformats.org/officeDocument/2006/relationships/hyperlink" Target="../../../Users/User/Dropbox/FOREX/2021/F898" TargetMode="External" Id="rId228" /><Relationship Type="http://schemas.openxmlformats.org/officeDocument/2006/relationships/hyperlink" Target="../../../Users/User/Dropbox/FOREX/2021/F909" TargetMode="External" Id="rId229" /><Relationship Type="http://schemas.openxmlformats.org/officeDocument/2006/relationships/hyperlink" Target="../../../Users/User/Dropbox/FOREX/2021/F908" TargetMode="External" Id="rId230" /><Relationship Type="http://schemas.openxmlformats.org/officeDocument/2006/relationships/hyperlink" Target="../../../Users/User/Dropbox/FOREX/2021/F897" TargetMode="External" Id="rId231" /><Relationship Type="http://schemas.openxmlformats.org/officeDocument/2006/relationships/hyperlink" Target="../../../Users/User/Dropbox/FOREX/2021/F896" TargetMode="External" Id="rId232" /><Relationship Type="http://schemas.openxmlformats.org/officeDocument/2006/relationships/hyperlink" Target="../../../Users/User/Dropbox/FOREX/2021/F895" TargetMode="External" Id="rId233" /><Relationship Type="http://schemas.openxmlformats.org/officeDocument/2006/relationships/hyperlink" Target="../../../Users/User/Dropbox/FOREX/2021/F894" TargetMode="External" Id="rId234" /><Relationship Type="http://schemas.openxmlformats.org/officeDocument/2006/relationships/hyperlink" Target="../../../Users/User/Dropbox/FOREX/2021/F893" TargetMode="External" Id="rId235" /><Relationship Type="http://schemas.openxmlformats.org/officeDocument/2006/relationships/hyperlink" Target="../../../Users/User/Dropbox/FOREX/2021/F892" TargetMode="External" Id="rId236" /><Relationship Type="http://schemas.openxmlformats.org/officeDocument/2006/relationships/hyperlink" Target="../../../Users/User/Dropbox/CRYPTO/2021/OCT/C295" TargetMode="External" Id="rId237" /><Relationship Type="http://schemas.openxmlformats.org/officeDocument/2006/relationships/hyperlink" Target="../../../Users/User/Dropbox/FOREX/2021/F891" TargetMode="External" Id="rId238" /><Relationship Type="http://schemas.openxmlformats.org/officeDocument/2006/relationships/hyperlink" Target="../../../Users/User/Dropbox/CRYPTO/2021/OCT/C294" TargetMode="External" Id="rId239" /><Relationship Type="http://schemas.openxmlformats.org/officeDocument/2006/relationships/hyperlink" Target="../../../Users/User/Dropbox/CRYPTO/2021/OCT/C293" TargetMode="External" Id="rId240" /><Relationship Type="http://schemas.openxmlformats.org/officeDocument/2006/relationships/hyperlink" Target="../../../Users/User/Dropbox/CRYPTO/2021/OCT/C292" TargetMode="External" Id="rId241" /><Relationship Type="http://schemas.openxmlformats.org/officeDocument/2006/relationships/hyperlink" Target="../../../Users/User/Dropbox/CRYPTO/2021/OCT/C291" TargetMode="External" Id="rId242" /><Relationship Type="http://schemas.openxmlformats.org/officeDocument/2006/relationships/hyperlink" Target="../../../Users/User/Dropbox/FOREX/2021/F890" TargetMode="External" Id="rId243" /><Relationship Type="http://schemas.openxmlformats.org/officeDocument/2006/relationships/hyperlink" Target="../../../Users/User/Dropbox/FOREX/2021/F889" TargetMode="External" Id="rId244" /><Relationship Type="http://schemas.openxmlformats.org/officeDocument/2006/relationships/hyperlink" Target="../../../Users/User/Dropbox/FOREX/2021/F888" TargetMode="External" Id="rId245" /><Relationship Type="http://schemas.openxmlformats.org/officeDocument/2006/relationships/hyperlink" Target="../../../Users/User/Dropbox/FOREX/2021/F887" TargetMode="External" Id="rId246" /><Relationship Type="http://schemas.openxmlformats.org/officeDocument/2006/relationships/hyperlink" Target="../../../Users/User/Dropbox/FOREX/2021/F886" TargetMode="External" Id="rId247" /><Relationship Type="http://schemas.openxmlformats.org/officeDocument/2006/relationships/hyperlink" Target="../../../Users/User/Dropbox/FOREX/2021/F885" TargetMode="External" Id="rId248" /><Relationship Type="http://schemas.openxmlformats.org/officeDocument/2006/relationships/hyperlink" Target="../../../Users/User/Dropbox/FOREX/2021/F884" TargetMode="External" Id="rId249" /><Relationship Type="http://schemas.openxmlformats.org/officeDocument/2006/relationships/hyperlink" Target="../../../Users/User/Dropbox/FOREX/2021/F883" TargetMode="External" Id="rId250" /><Relationship Type="http://schemas.openxmlformats.org/officeDocument/2006/relationships/hyperlink" Target="../../../Users/User/Dropbox/FOREX/2021/F882" TargetMode="External" Id="rId251" /><Relationship Type="http://schemas.openxmlformats.org/officeDocument/2006/relationships/hyperlink" Target="../../../Users/User/Dropbox/CRYPTO/2021/OCT/C290" TargetMode="External" Id="rId252" /><Relationship Type="http://schemas.openxmlformats.org/officeDocument/2006/relationships/hyperlink" Target="../../../Users/User/Dropbox/FOREX/2021/F881" TargetMode="External" Id="rId253" /><Relationship Type="http://schemas.openxmlformats.org/officeDocument/2006/relationships/hyperlink" Target="../../../Users/User/Dropbox/CRYPTO/2021/OCT/C289" TargetMode="External" Id="rId254" /><Relationship Type="http://schemas.openxmlformats.org/officeDocument/2006/relationships/hyperlink" Target="../../../Users/User/Dropbox/FOREX/2021/F880" TargetMode="External" Id="rId255" /><Relationship Type="http://schemas.openxmlformats.org/officeDocument/2006/relationships/hyperlink" Target="../../../Users/User/Dropbox/CRYPTO/2021/OCT/C288" TargetMode="External" Id="rId256" /><Relationship Type="http://schemas.openxmlformats.org/officeDocument/2006/relationships/hyperlink" Target="../../../Users/User/Dropbox/CRYPTO/2021/OCT/C287" TargetMode="External" Id="rId257" /><Relationship Type="http://schemas.openxmlformats.org/officeDocument/2006/relationships/hyperlink" Target="../../../Users/User/Dropbox/CRYPTO/2021/OCT/C286" TargetMode="External" Id="rId258" /><Relationship Type="http://schemas.openxmlformats.org/officeDocument/2006/relationships/hyperlink" Target="../../../Users/User/Dropbox/CRYPTO/2021/OCT/C285" TargetMode="External" Id="rId259" /><Relationship Type="http://schemas.openxmlformats.org/officeDocument/2006/relationships/hyperlink" Target="../../../Users/User/Dropbox/FOREX/2021/F879" TargetMode="External" Id="rId260" /><Relationship Type="http://schemas.openxmlformats.org/officeDocument/2006/relationships/hyperlink" Target="../../../Users/User/Dropbox/CRYPTO/2021/OCT/C284" TargetMode="External" Id="rId261" /><Relationship Type="http://schemas.openxmlformats.org/officeDocument/2006/relationships/hyperlink" Target="../../../Users/User/Dropbox/FOREX/2021/F878" TargetMode="External" Id="rId262" /><Relationship Type="http://schemas.openxmlformats.org/officeDocument/2006/relationships/hyperlink" Target="../../../Users/User/Dropbox/CRYPTO/2021/SEP/C283" TargetMode="External" Id="rId263" /><Relationship Type="http://schemas.openxmlformats.org/officeDocument/2006/relationships/hyperlink" Target="../../../Users/User/Dropbox/FOREX/2021/F877" TargetMode="External" Id="rId264" /><Relationship Type="http://schemas.openxmlformats.org/officeDocument/2006/relationships/hyperlink" Target="../../../Users/User/Dropbox/FOREX/2021/F876" TargetMode="External" Id="rId265" /><Relationship Type="http://schemas.openxmlformats.org/officeDocument/2006/relationships/hyperlink" Target="../../../Users/User/Dropbox/FOREX/2021/F875" TargetMode="External" Id="rId266" /><Relationship Type="http://schemas.openxmlformats.org/officeDocument/2006/relationships/hyperlink" Target="../../../Users/User/Dropbox/CRYPTO/2021/SEP/C282" TargetMode="External" Id="rId267" /><Relationship Type="http://schemas.openxmlformats.org/officeDocument/2006/relationships/hyperlink" Target="../../../Users/User/Dropbox/CRYPTO/2021/SEP/C281" TargetMode="External" Id="rId268" /><Relationship Type="http://schemas.openxmlformats.org/officeDocument/2006/relationships/hyperlink" Target="../../../Users/User/Dropbox/CRYPTO/2021/SEP/C280" TargetMode="External" Id="rId269" /><Relationship Type="http://schemas.openxmlformats.org/officeDocument/2006/relationships/hyperlink" Target="../../../Users/User/Dropbox/FOREX/2021/F873" TargetMode="External" Id="rId270" /><Relationship Type="http://schemas.openxmlformats.org/officeDocument/2006/relationships/hyperlink" Target="../../../Users/User/Dropbox/CRYPTO/2021/SEP/C279" TargetMode="External" Id="rId271" /><Relationship Type="http://schemas.openxmlformats.org/officeDocument/2006/relationships/hyperlink" Target="../../../Users/User/Dropbox/CRYPTO/2021/SEP/C278" TargetMode="External" Id="rId272" /><Relationship Type="http://schemas.openxmlformats.org/officeDocument/2006/relationships/hyperlink" Target="../../../Users/User/Dropbox/CRYPTO/2021/SEP/C277" TargetMode="External" Id="rId273" /><Relationship Type="http://schemas.openxmlformats.org/officeDocument/2006/relationships/hyperlink" Target="../../../Users/User/Dropbox/FOREX/2021/F874" TargetMode="External" Id="rId274" /><Relationship Type="http://schemas.openxmlformats.org/officeDocument/2006/relationships/hyperlink" Target="../../../Users/User/Dropbox/CRYPTO/2021/SEP/C276" TargetMode="External" Id="rId275" /><Relationship Type="http://schemas.openxmlformats.org/officeDocument/2006/relationships/hyperlink" Target="../../../Users/User/Dropbox/CRYPTO/2021/SEP/C275" TargetMode="External" Id="rId276" /><Relationship Type="http://schemas.openxmlformats.org/officeDocument/2006/relationships/hyperlink" Target="../../../Users/User/Dropbox/CRYPTO/2021/SEP/C274" TargetMode="External" Id="rId277" /><Relationship Type="http://schemas.openxmlformats.org/officeDocument/2006/relationships/hyperlink" Target="../../../Users/User/Dropbox/FOREX/2021/F872" TargetMode="External" Id="rId278" /><Relationship Type="http://schemas.openxmlformats.org/officeDocument/2006/relationships/hyperlink" Target="../../../Users/User/Dropbox/CRYPTO/2021/SEP/C273" TargetMode="External" Id="rId279" /><Relationship Type="http://schemas.openxmlformats.org/officeDocument/2006/relationships/hyperlink" Target="../../../Users/User/Dropbox/CRYPTO/2021/SEP/C271" TargetMode="External" Id="rId280" /><Relationship Type="http://schemas.openxmlformats.org/officeDocument/2006/relationships/hyperlink" Target="../../../Users/User/Dropbox/CRYPTO/2021/SEP/C272" TargetMode="External" Id="rId281" /><Relationship Type="http://schemas.openxmlformats.org/officeDocument/2006/relationships/hyperlink" Target="../../../Users/User/Dropbox/CRYPTO/2021/SEP/C270" TargetMode="External" Id="rId282" /><Relationship Type="http://schemas.openxmlformats.org/officeDocument/2006/relationships/hyperlink" Target="../../../Users/User/Dropbox/CRYPTO/2021/SEP/C269" TargetMode="External" Id="rId283" /><Relationship Type="http://schemas.openxmlformats.org/officeDocument/2006/relationships/hyperlink" Target="../../../Users/User/Dropbox/CRYPTO/2021/SEP/C268" TargetMode="External" Id="rId284" /><Relationship Type="http://schemas.openxmlformats.org/officeDocument/2006/relationships/hyperlink" Target="../../../Users/User/Dropbox/CRYPTO/2021/SEP/C267" TargetMode="External" Id="rId285" /><Relationship Type="http://schemas.openxmlformats.org/officeDocument/2006/relationships/hyperlink" Target="../../../Users/User/Dropbox/CRYPTO/2021/SEP/C264" TargetMode="External" Id="rId286" /><Relationship Type="http://schemas.openxmlformats.org/officeDocument/2006/relationships/hyperlink" Target="../../../Users/User/Dropbox/CRYPTO/2021/SEP/C263" TargetMode="External" Id="rId287" /><Relationship Type="http://schemas.openxmlformats.org/officeDocument/2006/relationships/hyperlink" Target="../../../Users/User/Dropbox/CRYPTO/2021/SEP/C266" TargetMode="External" Id="rId288" /><Relationship Type="http://schemas.openxmlformats.org/officeDocument/2006/relationships/hyperlink" Target="../../../Users/User/Dropbox/CRYPTO/2021/SEP/C265" TargetMode="External" Id="rId289" /><Relationship Type="http://schemas.openxmlformats.org/officeDocument/2006/relationships/hyperlink" Target="../../../Users/User/Dropbox/CRYPTO/2021/SEP/C262" TargetMode="External" Id="rId290" /><Relationship Type="http://schemas.openxmlformats.org/officeDocument/2006/relationships/hyperlink" Target="../../../Users/User/Dropbox/CRYPTO/2021/SEP/C261" TargetMode="External" Id="rId291" /><Relationship Type="http://schemas.openxmlformats.org/officeDocument/2006/relationships/hyperlink" Target="../../../Users/User/Dropbox/FOREX/2021/F871" TargetMode="External" Id="rId292" /><Relationship Type="http://schemas.openxmlformats.org/officeDocument/2006/relationships/hyperlink" Target="../../../Users/User/Dropbox/FOREX/2021/F870" TargetMode="External" Id="rId293" /><Relationship Type="http://schemas.openxmlformats.org/officeDocument/2006/relationships/hyperlink" Target="../../../Users/User/Dropbox/FOREX/2021/F869" TargetMode="External" Id="rId294" /><Relationship Type="http://schemas.openxmlformats.org/officeDocument/2006/relationships/hyperlink" Target="../../../Users/User/Dropbox/FOREX/2021/F868" TargetMode="External" Id="rId295" /><Relationship Type="http://schemas.openxmlformats.org/officeDocument/2006/relationships/hyperlink" Target="../../../Users/User/Dropbox/FOREX/2021/F867" TargetMode="External" Id="rId296" /><Relationship Type="http://schemas.openxmlformats.org/officeDocument/2006/relationships/hyperlink" Target="../../../Users/User/Dropbox/FOREX/2021/F866" TargetMode="External" Id="rId297" /><Relationship Type="http://schemas.openxmlformats.org/officeDocument/2006/relationships/hyperlink" Target="../../../Users/User/Dropbox/CRYPTO/2021/AUG/C23/260" TargetMode="External" Id="rId298" /><Relationship Type="http://schemas.openxmlformats.org/officeDocument/2006/relationships/hyperlink" Target="../../../Users/User/Dropbox/CRYPTO/2021/AUG/C21/259" TargetMode="External" Id="rId299" /><Relationship Type="http://schemas.openxmlformats.org/officeDocument/2006/relationships/hyperlink" Target="../../../Users/User/Dropbox/CRYPTO/2021/AUG/C14/258" TargetMode="External" Id="rId300" /><Relationship Type="http://schemas.openxmlformats.org/officeDocument/2006/relationships/hyperlink" Target="../../../Users/User/Dropbox/CRYPTO/2021/AUG/C12/257" TargetMode="External" Id="rId301" /><Relationship Type="http://schemas.openxmlformats.org/officeDocument/2006/relationships/hyperlink" Target="../../../Users/User/Dropbox/FOREX/2021/F865" TargetMode="External" Id="rId302" /><Relationship Type="http://schemas.openxmlformats.org/officeDocument/2006/relationships/hyperlink" Target="../../../Users/User/Dropbox/FOREX/2021/F864" TargetMode="External" Id="rId303" /><Relationship Type="http://schemas.openxmlformats.org/officeDocument/2006/relationships/hyperlink" Target="../../../Users/User/Dropbox/CRYPTO/2021/AUG/C8/256" TargetMode="External" Id="rId304" /><Relationship Type="http://schemas.openxmlformats.org/officeDocument/2006/relationships/hyperlink" Target="../../../Users/User/Dropbox/CRYPTO/2021/AUG/C7/255" TargetMode="External" Id="rId305" /><Relationship Type="http://schemas.openxmlformats.org/officeDocument/2006/relationships/hyperlink" Target="../../../Users/User/Dropbox/FOREX/2021/F863" TargetMode="External" Id="rId306" /><Relationship Type="http://schemas.openxmlformats.org/officeDocument/2006/relationships/hyperlink" Target="../../../Users/User/Dropbox/CRYPTO/2021/JUL/C27/254" TargetMode="External" Id="rId307" /><Relationship Type="http://schemas.openxmlformats.org/officeDocument/2006/relationships/hyperlink" Target="../../../Users/User/Dropbox/CRYPTO/2021/JUL/C26/253" TargetMode="External" Id="rId308" /><Relationship Type="http://schemas.openxmlformats.org/officeDocument/2006/relationships/hyperlink" Target="../../../Users/User/Dropbox/CRYPTO/2021/JUL/C25/252" TargetMode="External" Id="rId309" /><Relationship Type="http://schemas.openxmlformats.org/officeDocument/2006/relationships/hyperlink" Target="../../../Users/User/Dropbox/FOREX/2021/F862" TargetMode="External" Id="rId310" /><Relationship Type="http://schemas.openxmlformats.org/officeDocument/2006/relationships/hyperlink" Target="../../../Users/User/Dropbox/FOREX/2021/F861" TargetMode="External" Id="rId311" /><Relationship Type="http://schemas.openxmlformats.org/officeDocument/2006/relationships/hyperlink" Target="../../../Users/User/Dropbox/CRYPTO/2021/JUL/C20/251" TargetMode="External" Id="rId312" /><Relationship Type="http://schemas.openxmlformats.org/officeDocument/2006/relationships/hyperlink" Target="../../../Users/User/Dropbox/FOREX/2021/F860" TargetMode="External" Id="rId313" /><Relationship Type="http://schemas.openxmlformats.org/officeDocument/2006/relationships/hyperlink" Target="../../../Users/User/Dropbox/CRYPTO/2021/JUL/C19/250" TargetMode="External" Id="rId314" /><Relationship Type="http://schemas.openxmlformats.org/officeDocument/2006/relationships/hyperlink" Target="../../../Users/User/Dropbox/FOREX/2021/F859" TargetMode="External" Id="rId315" /><Relationship Type="http://schemas.openxmlformats.org/officeDocument/2006/relationships/hyperlink" Target="../../../Users/User/Dropbox/CRYPTO/2021/JUL/C18/249" TargetMode="External" Id="rId316" /><Relationship Type="http://schemas.openxmlformats.org/officeDocument/2006/relationships/hyperlink" Target="../../../Users/User/Dropbox/FOREX/2021/F858" TargetMode="External" Id="rId317" /><Relationship Type="http://schemas.openxmlformats.org/officeDocument/2006/relationships/hyperlink" Target="../../../Users/User/Dropbox/FOREX/2021/F857" TargetMode="External" Id="rId318" /><Relationship Type="http://schemas.openxmlformats.org/officeDocument/2006/relationships/hyperlink" Target="../../../Users/User/Dropbox/FOREX/2021/F856" TargetMode="External" Id="rId319" /><Relationship Type="http://schemas.openxmlformats.org/officeDocument/2006/relationships/hyperlink" Target="../../../Users/User/Dropbox/FOREX/2021/F855" TargetMode="External" Id="rId320" /><Relationship Type="http://schemas.openxmlformats.org/officeDocument/2006/relationships/hyperlink" Target="../../../Users/User/Dropbox/FOREX/2021/F854" TargetMode="External" Id="rId321" /><Relationship Type="http://schemas.openxmlformats.org/officeDocument/2006/relationships/hyperlink" Target="../../../Users/User/Dropbox/FOREX/2021/F853" TargetMode="External" Id="rId322" /><Relationship Type="http://schemas.openxmlformats.org/officeDocument/2006/relationships/hyperlink" Target="../../../Users/User/Dropbox/FOREX/2021/F852" TargetMode="External" Id="rId323" /><Relationship Type="http://schemas.openxmlformats.org/officeDocument/2006/relationships/hyperlink" Target="../../../Users/User/Dropbox/CRYPTO/2021/JUL/C6/248" TargetMode="External" Id="rId324" /><Relationship Type="http://schemas.openxmlformats.org/officeDocument/2006/relationships/hyperlink" Target="../../../Users/User/Dropbox/FOREX/2021/F851" TargetMode="External" Id="rId325" /><Relationship Type="http://schemas.openxmlformats.org/officeDocument/2006/relationships/hyperlink" Target="../../../Users/User/Dropbox/FOREX/2021/F850" TargetMode="External" Id="rId326" /><Relationship Type="http://schemas.openxmlformats.org/officeDocument/2006/relationships/hyperlink" Target="../../../Users/User/Dropbox/FOREX/2021/F849" TargetMode="External" Id="rId327" /><Relationship Type="http://schemas.openxmlformats.org/officeDocument/2006/relationships/hyperlink" Target="../../../Users/User/Dropbox/FOREX/2021/F848" TargetMode="External" Id="rId328" /><Relationship Type="http://schemas.openxmlformats.org/officeDocument/2006/relationships/hyperlink" Target="../../../Users/User/Dropbox/FOREX/2021/F847" TargetMode="External" Id="rId329" /><Relationship Type="http://schemas.openxmlformats.org/officeDocument/2006/relationships/hyperlink" Target="../../../Users/User/Dropbox/FOREX/2021/F846" TargetMode="External" Id="rId330" /><Relationship Type="http://schemas.openxmlformats.org/officeDocument/2006/relationships/hyperlink" Target="../../../Users/User/Dropbox/CRYPTO/2021/JUN/C29/247" TargetMode="External" Id="rId331" /><Relationship Type="http://schemas.openxmlformats.org/officeDocument/2006/relationships/hyperlink" Target="../../../Users/User/Dropbox/CRYPTO/2021/JUN/C27/246" TargetMode="External" Id="rId332" /><Relationship Type="http://schemas.openxmlformats.org/officeDocument/2006/relationships/hyperlink" Target="../../../Users/User/Dropbox/FOREX/2021/F845" TargetMode="External" Id="rId333" /><Relationship Type="http://schemas.openxmlformats.org/officeDocument/2006/relationships/hyperlink" Target="../../../Users/User/Dropbox/FOREX/2021/F844" TargetMode="External" Id="rId334" /><Relationship Type="http://schemas.openxmlformats.org/officeDocument/2006/relationships/hyperlink" Target="../../../Users/User/Dropbox/CRYPTO/2021/JUN/C3/242" TargetMode="External" Id="rId335" /><Relationship Type="http://schemas.openxmlformats.org/officeDocument/2006/relationships/hyperlink" Target="../../../Users/User/Dropbox/CRYPTO/2021/JUN/C21/245" TargetMode="External" Id="rId336" /><Relationship Type="http://schemas.openxmlformats.org/officeDocument/2006/relationships/hyperlink" Target="../../../Users/User/Dropbox/CRYPTO/2021/JUN/C21/244" TargetMode="External" Id="rId337" /><Relationship Type="http://schemas.openxmlformats.org/officeDocument/2006/relationships/hyperlink" Target="../../../Users/User/Dropbox/CRYPTO/2021/JUN/C14/243" TargetMode="External" Id="rId338" /><Relationship Type="http://schemas.openxmlformats.org/officeDocument/2006/relationships/hyperlink" Target="../../../Users/User/Dropbox/FOREX/2021/F1150" TargetMode="External" Id="rId339" /><Relationship Type="http://schemas.openxmlformats.org/officeDocument/2006/relationships/hyperlink" Target="../../../Users/User/Dropbox/FOREX/2021/F1145" TargetMode="External" Id="rId340" /><Relationship Type="http://schemas.openxmlformats.org/officeDocument/2006/relationships/hyperlink" Target="../../../Users/User/Dropbox/FOREX/2021/F1149" TargetMode="External" Id="rId341" /><Relationship Type="http://schemas.openxmlformats.org/officeDocument/2006/relationships/hyperlink" Target="../../../Users/User/Dropbox/FOREX/2021/F1148" TargetMode="External" Id="rId342" /><Relationship Type="http://schemas.openxmlformats.org/officeDocument/2006/relationships/hyperlink" Target="../../../Users/User/Dropbox/FOREX/2021/F1147" TargetMode="External" Id="rId343" /><Relationship Type="http://schemas.openxmlformats.org/officeDocument/2006/relationships/hyperlink" Target="../../../Users/User/Dropbox/FOREX/2021/F1146" TargetMode="External" Id="rId344" /><Relationship Type="http://schemas.openxmlformats.org/officeDocument/2006/relationships/hyperlink" Target="../../../Users/User/Dropbox/CRYPTO/2021/MAY/C241" TargetMode="External" Id="rId345" /><Relationship Type="http://schemas.openxmlformats.org/officeDocument/2006/relationships/hyperlink" Target="../../../Users/User/Dropbox/CRYPTO/2021/MAY/C240" TargetMode="External" Id="rId346" /><Relationship Type="http://schemas.openxmlformats.org/officeDocument/2006/relationships/hyperlink" Target="../../../Users/User/Dropbox/CRYPTO/2021/MAY/C239" TargetMode="External" Id="rId347" /><Relationship Type="http://schemas.openxmlformats.org/officeDocument/2006/relationships/hyperlink" Target="../../../Users/User/Dropbox/CRYPTO/2021/MAY/C238" TargetMode="External" Id="rId348" /><Relationship Type="http://schemas.openxmlformats.org/officeDocument/2006/relationships/hyperlink" Target="../../../Users/User/Dropbox/CRYPTO/2021/MAY/C237" TargetMode="External" Id="rId349" /><Relationship Type="http://schemas.openxmlformats.org/officeDocument/2006/relationships/hyperlink" Target="../../../Users/User/Dropbox/FOREX/2021/F1144" TargetMode="External" Id="rId350" /><Relationship Type="http://schemas.openxmlformats.org/officeDocument/2006/relationships/hyperlink" Target="../../../Users/User/Dropbox/CRYPTO/2021/MAY/C236" TargetMode="External" Id="rId351" /><Relationship Type="http://schemas.openxmlformats.org/officeDocument/2006/relationships/hyperlink" Target="../../../Users/User/Dropbox/CRYPTO/2021/MAY/C235" TargetMode="External" Id="rId352" /><Relationship Type="http://schemas.openxmlformats.org/officeDocument/2006/relationships/hyperlink" Target="../../../Users/User/Dropbox/CRYPTO/2021/MAY/C233" TargetMode="External" Id="rId353" /><Relationship Type="http://schemas.openxmlformats.org/officeDocument/2006/relationships/hyperlink" Target="../../../Users/User/Dropbox/CRYPTO/2021/MAY/C234" TargetMode="External" Id="rId354" /><Relationship Type="http://schemas.openxmlformats.org/officeDocument/2006/relationships/hyperlink" Target="../../../Users/User/Dropbox/CRYPTO/2021/MAY/C232" TargetMode="External" Id="rId355" /><Relationship Type="http://schemas.openxmlformats.org/officeDocument/2006/relationships/hyperlink" Target="../../../Users/User/Dropbox/CRYPTO/2021/MAY/C231" TargetMode="External" Id="rId356" /><Relationship Type="http://schemas.openxmlformats.org/officeDocument/2006/relationships/hyperlink" Target="../../../Users/User/Dropbox/CRYPTO/2021/MAY/C230" TargetMode="External" Id="rId357" /><Relationship Type="http://schemas.openxmlformats.org/officeDocument/2006/relationships/hyperlink" Target="../../../Users/User/Dropbox/CRYPTO/2021/MAY/C229" TargetMode="External" Id="rId358" /><Relationship Type="http://schemas.openxmlformats.org/officeDocument/2006/relationships/hyperlink" Target="../../../Users/User/Dropbox/CRYPTO/2021/MAY/C228" TargetMode="External" Id="rId359" /><Relationship Type="http://schemas.openxmlformats.org/officeDocument/2006/relationships/hyperlink" Target="../../../Users/User/Dropbox/FOREX/2021/F1143" TargetMode="External" Id="rId360" /><Relationship Type="http://schemas.openxmlformats.org/officeDocument/2006/relationships/hyperlink" Target="../../../Users/User/Dropbox/FOREX/2021/F1142" TargetMode="External" Id="rId361" /><Relationship Type="http://schemas.openxmlformats.org/officeDocument/2006/relationships/hyperlink" Target="../../../Users/User/Dropbox/FOREX/2021/F1141" TargetMode="External" Id="rId362" /><Relationship Type="http://schemas.openxmlformats.org/officeDocument/2006/relationships/hyperlink" Target="../../../Users/User/Dropbox/CRYPTO/2021/MAY/C227" TargetMode="External" Id="rId363" /><Relationship Type="http://schemas.openxmlformats.org/officeDocument/2006/relationships/hyperlink" Target="../../../Users/User/Dropbox/CRYPTO/2021/MAY/C226" TargetMode="External" Id="rId364" /><Relationship Type="http://schemas.openxmlformats.org/officeDocument/2006/relationships/hyperlink" Target="../../../Users/User/Dropbox/CRYPTO/2021/MAY/C225" TargetMode="External" Id="rId365" /><Relationship Type="http://schemas.openxmlformats.org/officeDocument/2006/relationships/hyperlink" Target="../../../Users/User/Dropbox/FOREX/2021/F1140" TargetMode="External" Id="rId366" /><Relationship Type="http://schemas.openxmlformats.org/officeDocument/2006/relationships/hyperlink" Target="../../../Users/User/Dropbox/FOREX/2021/F1139" TargetMode="External" Id="rId367" /><Relationship Type="http://schemas.openxmlformats.org/officeDocument/2006/relationships/hyperlink" Target="../../../Users/User/Dropbox/CRYPTO/2021/MAY/C223" TargetMode="External" Id="rId368" /><Relationship Type="http://schemas.openxmlformats.org/officeDocument/2006/relationships/hyperlink" Target="../../../Users/User/Dropbox/CRYPTO/2021/MAY/C224" TargetMode="External" Id="rId369" /><Relationship Type="http://schemas.openxmlformats.org/officeDocument/2006/relationships/hyperlink" Target="../../../Users/User/Dropbox/CRYPTO/2021/MAY/C212" TargetMode="External" Id="rId370" /><Relationship Type="http://schemas.openxmlformats.org/officeDocument/2006/relationships/hyperlink" Target="../../../Users/User/Dropbox/CRYPTO/2021/MAY/C222" TargetMode="External" Id="rId371" /><Relationship Type="http://schemas.openxmlformats.org/officeDocument/2006/relationships/hyperlink" Target="../../../Users/User/Dropbox/CRYPTO/2021/MAY/C221" TargetMode="External" Id="rId372" /><Relationship Type="http://schemas.openxmlformats.org/officeDocument/2006/relationships/hyperlink" Target="../../../Users/User/Dropbox/CRYPTO/2021/MAY/C220" TargetMode="External" Id="rId373" /><Relationship Type="http://schemas.openxmlformats.org/officeDocument/2006/relationships/hyperlink" Target="../../../Users/User/Dropbox/CRYPTO/2021/MAY/C219" TargetMode="External" Id="rId374" /><Relationship Type="http://schemas.openxmlformats.org/officeDocument/2006/relationships/hyperlink" Target="../../../Users/User/Dropbox/CRYPTO/2021/MAY/C218" TargetMode="External" Id="rId375" /><Relationship Type="http://schemas.openxmlformats.org/officeDocument/2006/relationships/hyperlink" Target="../../../Users/User/Dropbox/CRYPTO/2021/MAY/C215" TargetMode="External" Id="rId376" /><Relationship Type="http://schemas.openxmlformats.org/officeDocument/2006/relationships/hyperlink" Target="../../../Users/User/Dropbox/CRYPTO/2021/MAY/C217" TargetMode="External" Id="rId377" /><Relationship Type="http://schemas.openxmlformats.org/officeDocument/2006/relationships/hyperlink" Target="../../../Users/User/Dropbox/CRYPTO/2021/MAY/C216" TargetMode="External" Id="rId378" /><Relationship Type="http://schemas.openxmlformats.org/officeDocument/2006/relationships/hyperlink" Target="../../../Users/User/Dropbox/CRYPTO/2021/MAY/C214" TargetMode="External" Id="rId379" /><Relationship Type="http://schemas.openxmlformats.org/officeDocument/2006/relationships/hyperlink" Target="../../../Users/User/Dropbox/CRYPTO/2021/MAY/C213" TargetMode="External" Id="rId380" /><Relationship Type="http://schemas.openxmlformats.org/officeDocument/2006/relationships/hyperlink" Target="../../../Users/User/Dropbox/CRYPTO/2021/APR/C23/192" TargetMode="External" Id="rId381" /><Relationship Type="http://schemas.openxmlformats.org/officeDocument/2006/relationships/hyperlink" Target="../../../Users/User/Dropbox/CRYPTO/2021/MAY/C211" TargetMode="External" Id="rId382" /><Relationship Type="http://schemas.openxmlformats.org/officeDocument/2006/relationships/hyperlink" Target="../../../Users/User/Dropbox/FOREX/2021/F1138" TargetMode="External" Id="rId383" /><Relationship Type="http://schemas.openxmlformats.org/officeDocument/2006/relationships/hyperlink" Target="../../../Users/User/Dropbox/FOREX/2021/F1136" TargetMode="External" Id="rId384" /><Relationship Type="http://schemas.openxmlformats.org/officeDocument/2006/relationships/hyperlink" Target="../../../Users/User/Dropbox/FOREX/2021/F1137" TargetMode="External" Id="rId385" /><Relationship Type="http://schemas.openxmlformats.org/officeDocument/2006/relationships/hyperlink" Target="../../../Users/User/Dropbox/CRYPTO/2021/MAY/C210" TargetMode="External" Id="rId386" /><Relationship Type="http://schemas.openxmlformats.org/officeDocument/2006/relationships/hyperlink" Target="../../../Users/User/Dropbox/CRYPTO/2021/MAY/C209" TargetMode="External" Id="rId387" /><Relationship Type="http://schemas.openxmlformats.org/officeDocument/2006/relationships/hyperlink" Target="../../../Users/User/Dropbox/CRYPTO/2021/MAY/C208" TargetMode="External" Id="rId388" /><Relationship Type="http://schemas.openxmlformats.org/officeDocument/2006/relationships/hyperlink" Target="../../../Users/User/Dropbox/CRYPTO/2021/MAY/C207" TargetMode="External" Id="rId389" /><Relationship Type="http://schemas.openxmlformats.org/officeDocument/2006/relationships/hyperlink" Target="../../../Users/User/Dropbox/FOREX/2021/F1135" TargetMode="External" Id="rId390" /><Relationship Type="http://schemas.openxmlformats.org/officeDocument/2006/relationships/hyperlink" Target="../../../Users/User/Dropbox/CRYPTO/2021/MAY/C206" TargetMode="External" Id="rId391" /><Relationship Type="http://schemas.openxmlformats.org/officeDocument/2006/relationships/hyperlink" Target="../../../Users/User/Dropbox/CRYPTO/2021/MAY/C205" TargetMode="External" Id="rId392" /><Relationship Type="http://schemas.openxmlformats.org/officeDocument/2006/relationships/hyperlink" Target="../../../Users/User/Dropbox/FOREX/2021/F1134" TargetMode="External" Id="rId393" /><Relationship Type="http://schemas.openxmlformats.org/officeDocument/2006/relationships/hyperlink" Target="../../../Users/User/Dropbox/CRYPTO/2021/APR/C29/204" TargetMode="External" Id="rId394" /><Relationship Type="http://schemas.openxmlformats.org/officeDocument/2006/relationships/hyperlink" Target="../../../Users/User/Dropbox/CRYPTO/2021/APR/C29/203" TargetMode="External" Id="rId395" /><Relationship Type="http://schemas.openxmlformats.org/officeDocument/2006/relationships/hyperlink" Target="../../../Users/User/Dropbox/FOREX/2021/F1133" TargetMode="External" Id="rId396" /><Relationship Type="http://schemas.openxmlformats.org/officeDocument/2006/relationships/hyperlink" Target="../../../Users/User/Dropbox/FOREX/2021/F1131" TargetMode="External" Id="rId397" /><Relationship Type="http://schemas.openxmlformats.org/officeDocument/2006/relationships/hyperlink" Target="../../../Users/User/Dropbox/CRYPTO/2021/APR/C28/202" TargetMode="External" Id="rId398" /><Relationship Type="http://schemas.openxmlformats.org/officeDocument/2006/relationships/hyperlink" Target="../../../Users/User/Dropbox/FOREX/2021/F1132" TargetMode="External" Id="rId399" /><Relationship Type="http://schemas.openxmlformats.org/officeDocument/2006/relationships/hyperlink" Target="../../../Users/User/Dropbox/CRYPTO/2021/APR/C27/201" TargetMode="External" Id="rId400" /><Relationship Type="http://schemas.openxmlformats.org/officeDocument/2006/relationships/hyperlink" Target="../../../Users/User/Dropbox/CRYPTO/2021/APR/C24/195" TargetMode="External" Id="rId401" /><Relationship Type="http://schemas.openxmlformats.org/officeDocument/2006/relationships/hyperlink" Target="../../../Users/User/Dropbox/CRYPTO/2021/APR/C27/200" TargetMode="External" Id="rId402" /><Relationship Type="http://schemas.openxmlformats.org/officeDocument/2006/relationships/hyperlink" Target="../../../Users/User/Dropbox/CRYPTO/2021/APR/C26/199" TargetMode="External" Id="rId403" /><Relationship Type="http://schemas.openxmlformats.org/officeDocument/2006/relationships/hyperlink" Target="../../../Users/User/Dropbox/FOREX/2021/F1130" TargetMode="External" Id="rId404" /><Relationship Type="http://schemas.openxmlformats.org/officeDocument/2006/relationships/hyperlink" Target="../../../Users/User/Dropbox/CRYPTO/2021/APR/C26/198" TargetMode="External" Id="rId405" /><Relationship Type="http://schemas.openxmlformats.org/officeDocument/2006/relationships/hyperlink" Target="../../../Users/User/Dropbox/CRYPTO/2021/APR/C25/197" TargetMode="External" Id="rId406" /><Relationship Type="http://schemas.openxmlformats.org/officeDocument/2006/relationships/hyperlink" Target="../../../Users/User/Dropbox/CRYPTO/2021/APR/C25/196" TargetMode="External" Id="rId407" /><Relationship Type="http://schemas.openxmlformats.org/officeDocument/2006/relationships/hyperlink" Target="../../../Users/User/Dropbox/CRYPTO/2021/APR/C23/194" TargetMode="External" Id="rId408" /><Relationship Type="http://schemas.openxmlformats.org/officeDocument/2006/relationships/hyperlink" Target="../../../Users/User/Dropbox/CRYPTO/2021/APR/C23/193" TargetMode="External" Id="rId409" /><Relationship Type="http://schemas.openxmlformats.org/officeDocument/2006/relationships/hyperlink" Target="../../../Users/User/Dropbox/CRYPTO/2021/APR/C23/191" TargetMode="External" Id="rId410" /><Relationship Type="http://schemas.openxmlformats.org/officeDocument/2006/relationships/hyperlink" Target="../../../Users/User/Dropbox/CRYPTO/2021/APR/C23/189" TargetMode="External" Id="rId411" /><Relationship Type="http://schemas.openxmlformats.org/officeDocument/2006/relationships/hyperlink" Target="../../../Users/User/Dropbox/CRYPTO/2021/APR/C23/190" TargetMode="External" Id="rId412" /><Relationship Type="http://schemas.openxmlformats.org/officeDocument/2006/relationships/hyperlink" Target="../../../Users/User/Dropbox/CRYPTO/2021/APR/C23/188" TargetMode="External" Id="rId413" /><Relationship Type="http://schemas.openxmlformats.org/officeDocument/2006/relationships/hyperlink" Target="../../../Users/User/Dropbox/FOREX/2021/F1129" TargetMode="External" Id="rId414" /><Relationship Type="http://schemas.openxmlformats.org/officeDocument/2006/relationships/hyperlink" Target="../../../Users/User/Dropbox/CRYPTO/2021/APR/C19/187" TargetMode="External" Id="rId415" /><Relationship Type="http://schemas.openxmlformats.org/officeDocument/2006/relationships/hyperlink" Target="../../../Users/User/Dropbox/CRYPTO/2021/APR/C18/185" TargetMode="External" Id="rId416" /><Relationship Type="http://schemas.openxmlformats.org/officeDocument/2006/relationships/hyperlink" Target="../../../Users/User/Dropbox/CRYPTO/2021/APR/C18/186" TargetMode="External" Id="rId417" /><Relationship Type="http://schemas.openxmlformats.org/officeDocument/2006/relationships/hyperlink" Target="../../../Users/User/Dropbox/CRYPTO/2021/APR/C18/183" TargetMode="External" Id="rId418" /><Relationship Type="http://schemas.openxmlformats.org/officeDocument/2006/relationships/hyperlink" Target="../../../Users/User/Dropbox/CRYPTO/2021/APR/C18/184" TargetMode="External" Id="rId419" /><Relationship Type="http://schemas.openxmlformats.org/officeDocument/2006/relationships/hyperlink" Target="../../../Users/User/Dropbox/CRYPTO/2021/APR/C17/182" TargetMode="External" Id="rId420" /><Relationship Type="http://schemas.openxmlformats.org/officeDocument/2006/relationships/hyperlink" Target="../../../Users/User/Dropbox/CRYPTO/2021/APR/C8/167" TargetMode="External" Id="rId421" /><Relationship Type="http://schemas.openxmlformats.org/officeDocument/2006/relationships/hyperlink" Target="../../../Users/User/Dropbox/CRYPTO/2021/APR/C15/180" TargetMode="External" Id="rId422" /><Relationship Type="http://schemas.openxmlformats.org/officeDocument/2006/relationships/hyperlink" Target="../../../Users/User/Dropbox/CRYPTO/2021/APR/C16/181" TargetMode="External" Id="rId423" /><Relationship Type="http://schemas.openxmlformats.org/officeDocument/2006/relationships/hyperlink" Target="../../../Users/User/Dropbox/CRYPTO/2021/APR/C14/179" TargetMode="External" Id="rId424" /><Relationship Type="http://schemas.openxmlformats.org/officeDocument/2006/relationships/hyperlink" Target="../../../Users/User/Dropbox/CRYPTO/2021/APR/C14/178" TargetMode="External" Id="rId425" /><Relationship Type="http://schemas.openxmlformats.org/officeDocument/2006/relationships/hyperlink" Target="../../../Users/User/Dropbox/CRYPTO/2021/APR/C14/177" TargetMode="External" Id="rId426" /><Relationship Type="http://schemas.openxmlformats.org/officeDocument/2006/relationships/hyperlink" Target="../../../Users/User/Dropbox/CRYPTO/2021/APR/C14/175" TargetMode="External" Id="rId427" /><Relationship Type="http://schemas.openxmlformats.org/officeDocument/2006/relationships/hyperlink" Target="../../../Users/User/Dropbox/CRYPTO/2021/APR/C14/176" TargetMode="External" Id="rId428" /><Relationship Type="http://schemas.openxmlformats.org/officeDocument/2006/relationships/hyperlink" Target="../../../Users/User/Dropbox/CRYPTO/2021/APR/C14/174" TargetMode="External" Id="rId429" /><Relationship Type="http://schemas.openxmlformats.org/officeDocument/2006/relationships/hyperlink" Target="../../../Users/User/Dropbox/CRYPTO/2021/APR/C14/173" TargetMode="External" Id="rId430" /><Relationship Type="http://schemas.openxmlformats.org/officeDocument/2006/relationships/hyperlink" Target="../../../Users/User/Dropbox/CRYPTO/2021/APR/C13/172" TargetMode="External" Id="rId431" /><Relationship Type="http://schemas.openxmlformats.org/officeDocument/2006/relationships/hyperlink" Target="../../../Users/User/Dropbox/CRYPTO/2021/APR/C12/171" TargetMode="External" Id="rId432" /><Relationship Type="http://schemas.openxmlformats.org/officeDocument/2006/relationships/hyperlink" Target="../../../Users/User/Dropbox/CRYPTO/2021/APR/C12/170" TargetMode="External" Id="rId433" /><Relationship Type="http://schemas.openxmlformats.org/officeDocument/2006/relationships/hyperlink" Target="../../../Users/User/Dropbox/CRYPTO/2021/APR/C11/169" TargetMode="External" Id="rId434" /><Relationship Type="http://schemas.openxmlformats.org/officeDocument/2006/relationships/hyperlink" Target="../../../Users/User/Dropbox/CRYPTO/2021/APR/C11/168" TargetMode="External" Id="rId435" /><Relationship Type="http://schemas.openxmlformats.org/officeDocument/2006/relationships/hyperlink" Target="../../../Users/User/Dropbox/CRYPTO/2021/APR/C7/166" TargetMode="External" Id="rId436" /><Relationship Type="http://schemas.openxmlformats.org/officeDocument/2006/relationships/hyperlink" Target="../../../Users/User/Dropbox/CRYPTO/2021/APR/C7/165" TargetMode="External" Id="rId437" /><Relationship Type="http://schemas.openxmlformats.org/officeDocument/2006/relationships/hyperlink" Target="../../../Users/User/Dropbox/CRYPTO/2021/APR/C5/164" TargetMode="External" Id="rId438" /><Relationship Type="http://schemas.openxmlformats.org/officeDocument/2006/relationships/hyperlink" Target="../../../Users/User/Dropbox/FOREX/2021/F1128" TargetMode="External" Id="rId439" /><Relationship Type="http://schemas.openxmlformats.org/officeDocument/2006/relationships/hyperlink" Target="../../../Users/User/Dropbox/FOREX/2021/F1127" TargetMode="External" Id="rId440" /><Relationship Type="http://schemas.openxmlformats.org/officeDocument/2006/relationships/hyperlink" Target="../../../Users/User/Dropbox/FOREX/2021/F1125" TargetMode="External" Id="rId441" /><Relationship Type="http://schemas.openxmlformats.org/officeDocument/2006/relationships/hyperlink" Target="../../../Users/User/Dropbox/CRYPTO/2021/MAR/C31/163" TargetMode="External" Id="rId442" /><Relationship Type="http://schemas.openxmlformats.org/officeDocument/2006/relationships/hyperlink" Target="../../../Users/User/Dropbox/CRYPTO/2021/MAR/C29/162" TargetMode="External" Id="rId443" /><Relationship Type="http://schemas.openxmlformats.org/officeDocument/2006/relationships/hyperlink" Target="../../../Users/User/Dropbox/CRYPTO/2021/MAR/C28/161" TargetMode="External" Id="rId444" /><Relationship Type="http://schemas.openxmlformats.org/officeDocument/2006/relationships/hyperlink" Target="../../../Users/User/Dropbox/CRYPTO/2021/MAR/C26/160" TargetMode="External" Id="rId445" /><Relationship Type="http://schemas.openxmlformats.org/officeDocument/2006/relationships/hyperlink" Target="../../../Users/User/Dropbox/FOREX/2021/F1126" TargetMode="External" Id="rId446" /><Relationship Type="http://schemas.openxmlformats.org/officeDocument/2006/relationships/hyperlink" Target="../../../Users/User/Dropbox/CRYPTO/2021/MAR/C17/159" TargetMode="External" Id="rId447" /><Relationship Type="http://schemas.openxmlformats.org/officeDocument/2006/relationships/hyperlink" Target="../../../Users/User/Dropbox/FOREX/2021/F1124" TargetMode="External" Id="rId448" /><Relationship Type="http://schemas.openxmlformats.org/officeDocument/2006/relationships/hyperlink" Target="../../../Users/User/Dropbox/FOREX/2021/F1122" TargetMode="External" Id="rId449" /><Relationship Type="http://schemas.openxmlformats.org/officeDocument/2006/relationships/hyperlink" Target="../../../Users/User/Dropbox/FOREX/2021/F1123" TargetMode="External" Id="rId450" /><Relationship Type="http://schemas.openxmlformats.org/officeDocument/2006/relationships/hyperlink" Target="../../../Users/User/Dropbox/FOREX/2021/F1121" TargetMode="External" Id="rId451" /><Relationship Type="http://schemas.openxmlformats.org/officeDocument/2006/relationships/hyperlink" Target="../../../Users/User/Dropbox/FOREX/2021/F1120" TargetMode="External" Id="rId452" /><Relationship Type="http://schemas.openxmlformats.org/officeDocument/2006/relationships/hyperlink" Target="../../../Users/User/Dropbox/FOREX/2021/F1119" TargetMode="External" Id="rId453" /><Relationship Type="http://schemas.openxmlformats.org/officeDocument/2006/relationships/hyperlink" Target="../../../Users/User/Dropbox/FOREX/2021/F1118" TargetMode="External" Id="rId454" /><Relationship Type="http://schemas.openxmlformats.org/officeDocument/2006/relationships/hyperlink" Target="../../../Users/User/Dropbox/CRYPTO/2021/MAR/C15/158" TargetMode="External" Id="rId455" /><Relationship Type="http://schemas.openxmlformats.org/officeDocument/2006/relationships/hyperlink" Target="../../../Users/User/Dropbox/CRYPTO/2021/MAR/C14/157" TargetMode="External" Id="rId456" /><Relationship Type="http://schemas.openxmlformats.org/officeDocument/2006/relationships/hyperlink" Target="../../../Users/User/Dropbox/CRYPTO/2021/MAR/C14/156" TargetMode="External" Id="rId457" /><Relationship Type="http://schemas.openxmlformats.org/officeDocument/2006/relationships/hyperlink" Target="../../../Users/User/Dropbox/FOREX/2021/F1117" TargetMode="External" Id="rId458" /><Relationship Type="http://schemas.openxmlformats.org/officeDocument/2006/relationships/hyperlink" Target="../../../Users/User/Dropbox/CRYPTO/2021/MAR/C11/155" TargetMode="External" Id="rId459" /><Relationship Type="http://schemas.openxmlformats.org/officeDocument/2006/relationships/hyperlink" Target="../../../Users/User/Dropbox/FOREX/2021/F1116" TargetMode="External" Id="rId460" /><Relationship Type="http://schemas.openxmlformats.org/officeDocument/2006/relationships/hyperlink" Target="../../../Users/User/Dropbox/FOREX/2021/F1112" TargetMode="External" Id="rId461" /><Relationship Type="http://schemas.openxmlformats.org/officeDocument/2006/relationships/hyperlink" Target="../../../Users/User/Dropbox/FOREX/2021/F1115" TargetMode="External" Id="rId462" /><Relationship Type="http://schemas.openxmlformats.org/officeDocument/2006/relationships/hyperlink" Target="../../../Users/User/Dropbox/CRYPTO/2021/MAR/C3/154" TargetMode="External" Id="rId463" /><Relationship Type="http://schemas.openxmlformats.org/officeDocument/2006/relationships/hyperlink" Target="../../../Users/User/Dropbox/CRYPTO/2021/MAR/C3/153" TargetMode="External" Id="rId464" /><Relationship Type="http://schemas.openxmlformats.org/officeDocument/2006/relationships/hyperlink" Target="../../../Users/User/Dropbox/FOREX/2021/F1114" TargetMode="External" Id="rId465" /><Relationship Type="http://schemas.openxmlformats.org/officeDocument/2006/relationships/hyperlink" Target="../../../Users/User/Dropbox/FOREX/2021/F1113" TargetMode="External" Id="rId466" /><Relationship Type="http://schemas.openxmlformats.org/officeDocument/2006/relationships/hyperlink" Target="../../../Users/User/Dropbox/CRYPTO/2021/FEB/C27/152" TargetMode="External" Id="rId467" /><Relationship Type="http://schemas.openxmlformats.org/officeDocument/2006/relationships/hyperlink" Target="../../../Users/User/Dropbox/CRYPTO/2021/FEB/C26/151" TargetMode="External" Id="rId468" /><Relationship Type="http://schemas.openxmlformats.org/officeDocument/2006/relationships/hyperlink" Target="../../../Users/User/Dropbox/FOREX/2021/F1111" TargetMode="External" Id="rId469" /><Relationship Type="http://schemas.openxmlformats.org/officeDocument/2006/relationships/hyperlink" Target="../../../Users/User/Dropbox/FOREX/2021/F1110" TargetMode="External" Id="rId470" /><Relationship Type="http://schemas.openxmlformats.org/officeDocument/2006/relationships/hyperlink" Target="../../../Users/User/Dropbox/FOREX/2021/F1109" TargetMode="External" Id="rId471" /><Relationship Type="http://schemas.openxmlformats.org/officeDocument/2006/relationships/hyperlink" Target="../../../Users/User/Dropbox/CRYPTO/2021/FEB/C21/150" TargetMode="External" Id="rId472" /><Relationship Type="http://schemas.openxmlformats.org/officeDocument/2006/relationships/hyperlink" Target="../../../Users/User/Dropbox/CRYPTO/2021/FEB/C20/149" TargetMode="External" Id="rId473" /><Relationship Type="http://schemas.openxmlformats.org/officeDocument/2006/relationships/hyperlink" Target="../../../Users/User/Dropbox/FOREX/2021/F1108" TargetMode="External" Id="rId474" /><Relationship Type="http://schemas.openxmlformats.org/officeDocument/2006/relationships/hyperlink" Target="../../../Users/User/Dropbox/FOREX/2021/F1107" TargetMode="External" Id="rId475" /><Relationship Type="http://schemas.openxmlformats.org/officeDocument/2006/relationships/hyperlink" Target="../../../Users/User/Dropbox/FOREX/2021/F1106" TargetMode="External" Id="rId476" /><Relationship Type="http://schemas.openxmlformats.org/officeDocument/2006/relationships/hyperlink" Target="../../../Users/User/Dropbox/CRYPTO/2021/FEB/C13/148" TargetMode="External" Id="rId477" /><Relationship Type="http://schemas.openxmlformats.org/officeDocument/2006/relationships/hyperlink" Target="../../../Users/User/Dropbox/CRYPTO/2021/FEB/C9/147" TargetMode="External" Id="rId478" /><Relationship Type="http://schemas.openxmlformats.org/officeDocument/2006/relationships/hyperlink" Target="../../../Users/User/Dropbox/FOREX/2021/F1105" TargetMode="External" Id="rId479" /><Relationship Type="http://schemas.openxmlformats.org/officeDocument/2006/relationships/hyperlink" Target="../../../Users/User/Dropbox/CRYPTO/2021/FEB/C8/146" TargetMode="External" Id="rId480" /><Relationship Type="http://schemas.openxmlformats.org/officeDocument/2006/relationships/hyperlink" Target="../../../Users/User/Dropbox/CRYPTO/2021/FEB/C6/145" TargetMode="External" Id="rId481" /><Relationship Type="http://schemas.openxmlformats.org/officeDocument/2006/relationships/hyperlink" Target="../../../Users/User/Dropbox/FOREX/2021/F1103" TargetMode="External" Id="rId482" /><Relationship Type="http://schemas.openxmlformats.org/officeDocument/2006/relationships/hyperlink" Target="../../../Users/User/Dropbox/CRYPTO/2021/JAN/C27/144" TargetMode="External" Id="rId483" /><Relationship Type="http://schemas.openxmlformats.org/officeDocument/2006/relationships/hyperlink" Target="../../../Users/User/Dropbox/FOREX/2021/F1104" TargetMode="External" Id="rId484" /><Relationship Type="http://schemas.openxmlformats.org/officeDocument/2006/relationships/hyperlink" Target="../../../Users/User/Dropbox/CRYPTO/2021/JAN/C26/143" TargetMode="External" Id="rId485" /><Relationship Type="http://schemas.openxmlformats.org/officeDocument/2006/relationships/hyperlink" Target="../../../Users/User/Dropbox/CRYPTO/2021/JAN/C21/142" TargetMode="External" Id="rId486" /><Relationship Type="http://schemas.openxmlformats.org/officeDocument/2006/relationships/hyperlink" Target="../../../Users/User/Dropbox/CRYPTO/2021/JAN/C20/141" TargetMode="External" Id="rId487" /><Relationship Type="http://schemas.openxmlformats.org/officeDocument/2006/relationships/hyperlink" Target="../../../Users/User/Dropbox/CRYPTO/2021/JAN/C17/140" TargetMode="External" Id="rId488" /><Relationship Type="http://schemas.openxmlformats.org/officeDocument/2006/relationships/hyperlink" Target="../../../Users/User/Dropbox/CRYPTO/2021/JAN/C16/139" TargetMode="External" Id="rId489" /><Relationship Type="http://schemas.openxmlformats.org/officeDocument/2006/relationships/hyperlink" Target="../../../Users/User/Dropbox/FOREX/2021/F1102" TargetMode="External" Id="rId490" /><Relationship Type="http://schemas.openxmlformats.org/officeDocument/2006/relationships/hyperlink" Target="../../../Users/User/Dropbox/CRYPTO/2021/JAN/C11/138" TargetMode="External" Id="rId491" /><Relationship Type="http://schemas.openxmlformats.org/officeDocument/2006/relationships/hyperlink" Target="../../../Users/User/Dropbox/FOREX/2021/F1101" TargetMode="External" Id="rId492" /><Relationship Type="http://schemas.openxmlformats.org/officeDocument/2006/relationships/hyperlink" Target="../../../Users/User/Dropbox/FOREX/2021/F1100" TargetMode="External" Id="rId493" /><Relationship Type="http://schemas.openxmlformats.org/officeDocument/2006/relationships/hyperlink" Target="../../../Users/User/Dropbox/CRYPTO/2021/JAN/C4/137" TargetMode="External" Id="rId494" /><Relationship Type="http://schemas.openxmlformats.org/officeDocument/2006/relationships/hyperlink" Target="../../../Users/User/Dropbox/CRYPTO/2021/JAN/C4/136" TargetMode="External" Id="rId495" /><Relationship Type="http://schemas.openxmlformats.org/officeDocument/2006/relationships/hyperlink" Target="../../../Users/User/Dropbox/CRYPTO/2021/JAN/C4/135" TargetMode="External" Id="rId496" /><Relationship Type="http://schemas.openxmlformats.org/officeDocument/2006/relationships/hyperlink" Target="../../../Users/User/Dropbox/CRYPTO/2021/JAN/C2/134" TargetMode="External" Id="rId497" /><Relationship Type="http://schemas.openxmlformats.org/officeDocument/2006/relationships/hyperlink" Target="../../../Users/User/Dropbox/CRYPTO/2020/DEC/C31/133" TargetMode="External" Id="rId498" /><Relationship Type="http://schemas.openxmlformats.org/officeDocument/2006/relationships/hyperlink" Target="../../../Users/User/Dropbox/FOREX/2020/F1099" TargetMode="External" Id="rId499" /><Relationship Type="http://schemas.openxmlformats.org/officeDocument/2006/relationships/hyperlink" Target="../../../Users/User/Dropbox/CRYPTO/2020/DEC/C28/131" TargetMode="External" Id="rId500" /><Relationship Type="http://schemas.openxmlformats.org/officeDocument/2006/relationships/hyperlink" Target="../../../Users/User/Dropbox/CRYPTO/2020/DEC/C28/130" TargetMode="External" Id="rId501" /><Relationship Type="http://schemas.openxmlformats.org/officeDocument/2006/relationships/hyperlink" Target="../../../Users/User/Dropbox/CRYPTO/2020/DEC/C25/128" TargetMode="External" Id="rId502" /><Relationship Type="http://schemas.openxmlformats.org/officeDocument/2006/relationships/hyperlink" Target="../../../Users/User/Dropbox/FOREX/2020/F1098" TargetMode="External" Id="rId503" /><Relationship Type="http://schemas.openxmlformats.org/officeDocument/2006/relationships/hyperlink" Target="../../../Users/User/Dropbox/CRYPTO/2020/DEC/C24/127" TargetMode="External" Id="rId504" /><Relationship Type="http://schemas.openxmlformats.org/officeDocument/2006/relationships/hyperlink" Target="../../../Users/User/Dropbox/CRYPTO/2020/DEC/C23/126" TargetMode="External" Id="rId505" /><Relationship Type="http://schemas.openxmlformats.org/officeDocument/2006/relationships/hyperlink" Target="../../../Users/User/Dropbox/CRYPTO/2020/DEC/C20/125" TargetMode="External" Id="rId506" /><Relationship Type="http://schemas.openxmlformats.org/officeDocument/2006/relationships/hyperlink" Target="../../../Users/User/Dropbox/CRYPTO/2020/DEC/C19/124" TargetMode="External" Id="rId507" /><Relationship Type="http://schemas.openxmlformats.org/officeDocument/2006/relationships/hyperlink" Target="../../../Users/User/Dropbox/CRYPTO/2020/DEC/C14/123" TargetMode="External" Id="rId508" /><Relationship Type="http://schemas.openxmlformats.org/officeDocument/2006/relationships/hyperlink" Target="../../../Users/User/Dropbox/CRYPTO/2020/DEC/C13/122" TargetMode="External" Id="rId509" /><Relationship Type="http://schemas.openxmlformats.org/officeDocument/2006/relationships/hyperlink" Target="../../../Users/User/Dropbox/CRYPTO/2020/DEC/C4/121" TargetMode="External" Id="rId510" /><Relationship Type="http://schemas.openxmlformats.org/officeDocument/2006/relationships/hyperlink" Target="../../../Users/User/Dropbox/CRYPTO/2020/NOV/C24/120" TargetMode="External" Id="rId511" /><Relationship Type="http://schemas.openxmlformats.org/officeDocument/2006/relationships/hyperlink" Target="../../../Users/User/Dropbox/CRYPTO/2020/NOV/C15/119" TargetMode="External" Id="rId512" /><Relationship Type="http://schemas.openxmlformats.org/officeDocument/2006/relationships/hyperlink" Target="../../../Users/User/Dropbox/CRYPTO/2020/NOV/C1/118" TargetMode="External" Id="rId513" /><Relationship Type="http://schemas.openxmlformats.org/officeDocument/2006/relationships/hyperlink" Target="../../../Users/User/Dropbox/CRYPTO/2020/NOV/C1/117" TargetMode="External" Id="rId514" /><Relationship Type="http://schemas.openxmlformats.org/officeDocument/2006/relationships/hyperlink" Target="../../../Users/User/Dropbox/CRYPTO/2020/NOV/C1/116" TargetMode="External" Id="rId515" /><Relationship Type="http://schemas.openxmlformats.org/officeDocument/2006/relationships/hyperlink" Target="../../../Users/User/Dropbox/CRYPTO/2020/OCT/C31/115" TargetMode="External" Id="rId516" /><Relationship Type="http://schemas.openxmlformats.org/officeDocument/2006/relationships/hyperlink" Target="../../../Users/User/Dropbox/CRYPTO/2020/OCT/C31/114" TargetMode="External" Id="rId517" /><Relationship Type="http://schemas.openxmlformats.org/officeDocument/2006/relationships/hyperlink" Target="../../../Users/User/Dropbox/CRYPTO/2020/OCT/C30/113" TargetMode="External" Id="rId518" /><Relationship Type="http://schemas.openxmlformats.org/officeDocument/2006/relationships/hyperlink" Target="../../../Users/User/Dropbox/CRYPTO/2020/OCT/C29/112" TargetMode="External" Id="rId519" /><Relationship Type="http://schemas.openxmlformats.org/officeDocument/2006/relationships/hyperlink" Target="../../../Users/User/Dropbox/CRYPTO/2020/OCT/C28/111" TargetMode="External" Id="rId520" /><Relationship Type="http://schemas.openxmlformats.org/officeDocument/2006/relationships/hyperlink" Target="../../../Users/User/Dropbox/CRYPTO/2020/OCT/C28/110" TargetMode="External" Id="rId521" /><Relationship Type="http://schemas.openxmlformats.org/officeDocument/2006/relationships/hyperlink" Target="../../../Users/User/Dropbox/CRYPTO/2020/OCT/C28/109" TargetMode="External" Id="rId522" /><Relationship Type="http://schemas.openxmlformats.org/officeDocument/2006/relationships/hyperlink" Target="../../../Users/User/Dropbox/CRYPTO/2020/OCT/C27/108" TargetMode="External" Id="rId523" /><Relationship Type="http://schemas.openxmlformats.org/officeDocument/2006/relationships/hyperlink" Target="../../../Users/User/Dropbox/CRYPTO/2020/OCT/C24/107" TargetMode="External" Id="rId524" /><Relationship Type="http://schemas.openxmlformats.org/officeDocument/2006/relationships/hyperlink" Target="../../../Users/User/Dropbox/CRYPTO/2020/OCT/C24/106" TargetMode="External" Id="rId525" /><Relationship Type="http://schemas.openxmlformats.org/officeDocument/2006/relationships/hyperlink" Target="../../../Users/User/Dropbox/CRYPTO/2020/OCT/C23/105" TargetMode="External" Id="rId526" /><Relationship Type="http://schemas.openxmlformats.org/officeDocument/2006/relationships/hyperlink" Target="../../../Users/User/Dropbox/CRYPTO/2020/OCT/C20/104" TargetMode="External" Id="rId527" /><Relationship Type="http://schemas.openxmlformats.org/officeDocument/2006/relationships/hyperlink" Target="../../../Users/User/Dropbox/CRYPTO/2020/OCT/C18/103" TargetMode="External" Id="rId528" /><Relationship Type="http://schemas.openxmlformats.org/officeDocument/2006/relationships/hyperlink" Target="../../../Users/User/Dropbox/CRYPTO/2020/OCT/C18/102" TargetMode="External" Id="rId529" /><Relationship Type="http://schemas.openxmlformats.org/officeDocument/2006/relationships/hyperlink" Target="../../../Users/User/Dropbox/CRYPTO/2020/OCT/C18/101" TargetMode="External" Id="rId530" /><Relationship Type="http://schemas.openxmlformats.org/officeDocument/2006/relationships/hyperlink" Target="../../../Users/User/Dropbox/CRYPTO/2020/OCT/C11/100" TargetMode="External" Id="rId531" /><Relationship Type="http://schemas.openxmlformats.org/officeDocument/2006/relationships/hyperlink" Target="../../../Users/User/Dropbox/CRYPTO/2020/OCT/C7/99" TargetMode="External" Id="rId532" /><Relationship Type="http://schemas.openxmlformats.org/officeDocument/2006/relationships/hyperlink" Target="../../../Users/User/Dropbox/CRYPTO/2020/SEP/C28/98" TargetMode="External" Id="rId533" /><Relationship Type="http://schemas.openxmlformats.org/officeDocument/2006/relationships/hyperlink" Target="../../../Users/User/Dropbox/CRYPTO/2020/SEP/C23/97" TargetMode="External" Id="rId534" /><Relationship Type="http://schemas.openxmlformats.org/officeDocument/2006/relationships/hyperlink" Target="../../../Users/User/Dropbox/CRYPTO/2020/SEP/C22/96" TargetMode="External" Id="rId535" /><Relationship Type="http://schemas.openxmlformats.org/officeDocument/2006/relationships/hyperlink" Target="../../../Users/User/Dropbox/CRYPTO/2020/SEP/C20/95" TargetMode="External" Id="rId536" /><Relationship Type="http://schemas.openxmlformats.org/officeDocument/2006/relationships/hyperlink" Target="../../../Users/User/Dropbox/FOREX/2020/F790" TargetMode="External" Id="rId537" /><Relationship Type="http://schemas.openxmlformats.org/officeDocument/2006/relationships/hyperlink" Target="../../../Users/User/Dropbox/CRYPTO/2020/SEP/C5/94" TargetMode="External" Id="rId538" /><Relationship Type="http://schemas.openxmlformats.org/officeDocument/2006/relationships/hyperlink" Target="../../../Users/User/Dropbox/FOREX/2020/F789" TargetMode="External" Id="rId539" /><Relationship Type="http://schemas.openxmlformats.org/officeDocument/2006/relationships/hyperlink" Target="../../../Users/User/Dropbox/FOREX/2020/F788" TargetMode="External" Id="rId540" /><Relationship Type="http://schemas.openxmlformats.org/officeDocument/2006/relationships/hyperlink" Target="../../../Users/User/Dropbox/FOREX/2020/F786" TargetMode="External" Id="rId541" /><Relationship Type="http://schemas.openxmlformats.org/officeDocument/2006/relationships/hyperlink" Target="../../../Users/User/Dropbox/FOREX/2020/F787" TargetMode="External" Id="rId542" /><Relationship Type="http://schemas.openxmlformats.org/officeDocument/2006/relationships/hyperlink" Target="../../../Users/User/Dropbox/FOREX/2020/F785" TargetMode="External" Id="rId543" /><Relationship Type="http://schemas.openxmlformats.org/officeDocument/2006/relationships/hyperlink" Target="../../../Users/User/Dropbox/CRYPTO/2020/SEP/C5/93" TargetMode="External" Id="rId544" /><Relationship Type="http://schemas.openxmlformats.org/officeDocument/2006/relationships/hyperlink" Target="../../../Users/User/Dropbox/CRYPTO/2020/AUG/C29/92" TargetMode="External" Id="rId545" /><Relationship Type="http://schemas.openxmlformats.org/officeDocument/2006/relationships/hyperlink" Target="../../../Users/User/Dropbox/CRYPTO/2020/AUG/C25/91" TargetMode="External" Id="rId546" /><Relationship Type="http://schemas.openxmlformats.org/officeDocument/2006/relationships/hyperlink" Target="../../../Users/User/Dropbox/FOREX/2020/F784" TargetMode="External" Id="rId547" /><Relationship Type="http://schemas.openxmlformats.org/officeDocument/2006/relationships/hyperlink" Target="../../../Users/User/Dropbox/CRYPTO/2020/AUG/C20/90" TargetMode="External" Id="rId548" /><Relationship Type="http://schemas.openxmlformats.org/officeDocument/2006/relationships/hyperlink" Target="../../../Users/User/Dropbox/FOREX/2020/F783" TargetMode="External" Id="rId549" /><Relationship Type="http://schemas.openxmlformats.org/officeDocument/2006/relationships/hyperlink" Target="../../../Users/User/Dropbox/CRYPTO/2020/AUG/C18/89" TargetMode="External" Id="rId550" /><Relationship Type="http://schemas.openxmlformats.org/officeDocument/2006/relationships/hyperlink" Target="../../../Users/User/Dropbox/CRYPTO/2020/AUG/C16/88" TargetMode="External" Id="rId551" /><Relationship Type="http://schemas.openxmlformats.org/officeDocument/2006/relationships/hyperlink" Target="../../../Users/User/Dropbox/CRYPTO/2020/AUG/C13/87" TargetMode="External" Id="rId552" /><Relationship Type="http://schemas.openxmlformats.org/officeDocument/2006/relationships/hyperlink" Target="../../../Users/User/Dropbox/FOREX/2020/F782" TargetMode="External" Id="rId553" /><Relationship Type="http://schemas.openxmlformats.org/officeDocument/2006/relationships/hyperlink" Target="../../../Users/User/Dropbox/CRYPTO/2020/AUG/C11/86" TargetMode="External" Id="rId554" /><Relationship Type="http://schemas.openxmlformats.org/officeDocument/2006/relationships/hyperlink" Target="../../../Users/User/Dropbox/CRYPTO/2020/AUG/C9/85" TargetMode="External" Id="rId555" /><Relationship Type="http://schemas.openxmlformats.org/officeDocument/2006/relationships/hyperlink" Target="../../../Users/User/Dropbox/FOREX/2020/F781" TargetMode="External" Id="rId556" /><Relationship Type="http://schemas.openxmlformats.org/officeDocument/2006/relationships/hyperlink" Target="../../../Users/User/Dropbox/CRYPTO/2020/AUG/C3/83" TargetMode="External" Id="rId557" /><Relationship Type="http://schemas.openxmlformats.org/officeDocument/2006/relationships/hyperlink" Target="../../../Users/User/Dropbox/CRYPTO/2020/AUG/C6/84" TargetMode="External" Id="rId558" /><Relationship Type="http://schemas.openxmlformats.org/officeDocument/2006/relationships/hyperlink" Target="../../../Users/User/Dropbox/CRYPTO/2020/AUGUST/C374" TargetMode="External" Id="rId559" /><Relationship Type="http://schemas.openxmlformats.org/officeDocument/2006/relationships/hyperlink" Target="../../../Users/User/Dropbox/FOREX/2020/F780" TargetMode="External" Id="rId560" /><Relationship Type="http://schemas.openxmlformats.org/officeDocument/2006/relationships/hyperlink" Target="../../../Users/User/Dropbox/CRYPTO/2020/JUL/C30/54" TargetMode="External" Id="rId561" /><Relationship Type="http://schemas.openxmlformats.org/officeDocument/2006/relationships/hyperlink" Target="../../../Users/User/Dropbox/FOREX/2020/F779" TargetMode="External" Id="rId562" /><Relationship Type="http://schemas.openxmlformats.org/officeDocument/2006/relationships/hyperlink" Target="../../../Users/User/Dropbox/CRYPTO/2020/JUL/C28/82" TargetMode="External" Id="rId563" /><Relationship Type="http://schemas.openxmlformats.org/officeDocument/2006/relationships/hyperlink" Target="../../../Users/User/Dropbox/FOREX/2020/F778" TargetMode="External" Id="rId564" /><Relationship Type="http://schemas.openxmlformats.org/officeDocument/2006/relationships/hyperlink" Target="../../../Users/User/Dropbox/CRYPTO/2020/JUL/C25/81" TargetMode="External" Id="rId565" /><Relationship Type="http://schemas.openxmlformats.org/officeDocument/2006/relationships/hyperlink" Target="../../../Users/User/Dropbox/FOREX/2020/F777" TargetMode="External" Id="rId566" /><Relationship Type="http://schemas.openxmlformats.org/officeDocument/2006/relationships/hyperlink" Target="../../../Users/User/Dropbox/CRYPTO/2020/JUL/C18/80" TargetMode="External" Id="rId567" /><Relationship Type="http://schemas.openxmlformats.org/officeDocument/2006/relationships/hyperlink" Target="../../../Users/User/Dropbox/CRYPTO/2020/JUL/C17/79" TargetMode="External" Id="rId568" /><Relationship Type="http://schemas.openxmlformats.org/officeDocument/2006/relationships/hyperlink" Target="../../../Users/User/Dropbox/FOREX/2020/F776" TargetMode="External" Id="rId569" /><Relationship Type="http://schemas.openxmlformats.org/officeDocument/2006/relationships/hyperlink" Target="../../../Users/User/Dropbox/FOREX/2020/F775" TargetMode="External" Id="rId570" /><Relationship Type="http://schemas.openxmlformats.org/officeDocument/2006/relationships/hyperlink" Target="../../../Users/User/Dropbox/CRYPTO/2020/JUL/C16/78" TargetMode="External" Id="rId571" /><Relationship Type="http://schemas.openxmlformats.org/officeDocument/2006/relationships/hyperlink" Target="../../../Users/User/Dropbox/CRYPTO/2020/JUL/C16/77" TargetMode="External" Id="rId572" /><Relationship Type="http://schemas.openxmlformats.org/officeDocument/2006/relationships/hyperlink" Target="../../../Users/User/Dropbox/CRYPTO/2020/JUL/C14/76" TargetMode="External" Id="rId573" /><Relationship Type="http://schemas.openxmlformats.org/officeDocument/2006/relationships/hyperlink" Target="../../../Users/User/Dropbox/FOREX/2020/F774" TargetMode="External" Id="rId574" /><Relationship Type="http://schemas.openxmlformats.org/officeDocument/2006/relationships/hyperlink" Target="../../../Users/User/Dropbox/CRYPTO/2020/JUL/C14/75" TargetMode="External" Id="rId575" /><Relationship Type="http://schemas.openxmlformats.org/officeDocument/2006/relationships/hyperlink" Target="../../../Users/User/Dropbox/CRYPTO/2020/JUL/C12/74" TargetMode="External" Id="rId576" /><Relationship Type="http://schemas.openxmlformats.org/officeDocument/2006/relationships/hyperlink" Target="../../../Users/User/Dropbox/CRYPTO/2020/JUL/C10/73" TargetMode="External" Id="rId577" /><Relationship Type="http://schemas.openxmlformats.org/officeDocument/2006/relationships/hyperlink" Target="../../../Users/User/Dropbox/FOREX/2020/F773" TargetMode="External" Id="rId578" /><Relationship Type="http://schemas.openxmlformats.org/officeDocument/2006/relationships/hyperlink" Target="../../../Users/User/Dropbox/CRYPTO/2020/JUL/C5/71" TargetMode="External" Id="rId579" /><Relationship Type="http://schemas.openxmlformats.org/officeDocument/2006/relationships/hyperlink" Target="../../../Users/User/Dropbox/CRYPTO/2020/JUL/C6/72" TargetMode="External" Id="rId580" /><Relationship Type="http://schemas.openxmlformats.org/officeDocument/2006/relationships/hyperlink" Target="../../../Users/User/Dropbox/CRYPTO/2020/JUL/C4/70" TargetMode="External" Id="rId581" /><Relationship Type="http://schemas.openxmlformats.org/officeDocument/2006/relationships/hyperlink" Target="../../../Users/User/Dropbox/CRYPTO/2020/JUL/C4/69" TargetMode="External" Id="rId582" /><Relationship Type="http://schemas.openxmlformats.org/officeDocument/2006/relationships/hyperlink" Target="../../../Users/User/Dropbox/CRYPTO/2020/JUN/C24/68" TargetMode="External" Id="rId583" /><Relationship Type="http://schemas.openxmlformats.org/officeDocument/2006/relationships/hyperlink" Target="../../../Users/User/Dropbox/FOREX/2020/F772" TargetMode="External" Id="rId584" /><Relationship Type="http://schemas.openxmlformats.org/officeDocument/2006/relationships/hyperlink" Target="../../../Users/User/Dropbox/CRYPTO/2020/JUN/C18/66" TargetMode="External" Id="rId585" /><Relationship Type="http://schemas.openxmlformats.org/officeDocument/2006/relationships/hyperlink" Target="../../../Users/User/Dropbox/CRYPTO/2020/JUN/C22/67" TargetMode="External" Id="rId586" /><Relationship Type="http://schemas.openxmlformats.org/officeDocument/2006/relationships/hyperlink" Target="../../../Users/User/Dropbox/FOREX/2020/F771" TargetMode="External" Id="rId587" /><Relationship Type="http://schemas.openxmlformats.org/officeDocument/2006/relationships/hyperlink" Target="../../../Users/User/Dropbox/FOREX/2020/F1097" TargetMode="External" Id="rId588" /><Relationship Type="http://schemas.openxmlformats.org/officeDocument/2006/relationships/hyperlink" Target="../../../Users/User/Dropbox/FOREX/2020/F769" TargetMode="External" Id="rId589" /><Relationship Type="http://schemas.openxmlformats.org/officeDocument/2006/relationships/hyperlink" Target="../../../Users/User/Dropbox/CRYPTO/2020/JUN/C12/64" TargetMode="External" Id="rId590" /><Relationship Type="http://schemas.openxmlformats.org/officeDocument/2006/relationships/hyperlink" Target="../../../Users/User/Dropbox/CRYPTO/2020/JUN/C15/65" TargetMode="External" Id="rId591" /><Relationship Type="http://schemas.openxmlformats.org/officeDocument/2006/relationships/hyperlink" Target="../../../Users/User/Dropbox/FOREX/2020/F768" TargetMode="External" Id="rId592" /><Relationship Type="http://schemas.openxmlformats.org/officeDocument/2006/relationships/hyperlink" Target="../../../Users/User/Dropbox/FOREX/2020/F767" TargetMode="External" Id="rId593" /><Relationship Type="http://schemas.openxmlformats.org/officeDocument/2006/relationships/hyperlink" Target="../../../Users/User/Dropbox/FOREX/2020/F766" TargetMode="External" Id="rId594" /><Relationship Type="http://schemas.openxmlformats.org/officeDocument/2006/relationships/hyperlink" Target="../../../Users/User/Dropbox/FOREX/2020/F765" TargetMode="External" Id="rId595" /><Relationship Type="http://schemas.openxmlformats.org/officeDocument/2006/relationships/hyperlink" Target="../../../Users/User/Dropbox/FOREX/2020/F764" TargetMode="External" Id="rId596" /><Relationship Type="http://schemas.openxmlformats.org/officeDocument/2006/relationships/hyperlink" Target="../../../Users/User/Dropbox/FOREX/2020/F763" TargetMode="External" Id="rId597" /><Relationship Type="http://schemas.openxmlformats.org/officeDocument/2006/relationships/hyperlink" Target="../../../Users/User/Dropbox/CRYPTO/2020/JUN/C3/61" TargetMode="External" Id="rId598" /><Relationship Type="http://schemas.openxmlformats.org/officeDocument/2006/relationships/hyperlink" Target="../../../Users/User/Dropbox/CRYPTO/2020/JUN/C2/60" TargetMode="External" Id="rId599" /><Relationship Type="http://schemas.openxmlformats.org/officeDocument/2006/relationships/hyperlink" Target="../../../Users/User/Dropbox/CRYPTO/2020/JUN/C1/59" TargetMode="External" Id="rId600" /><Relationship Type="http://schemas.openxmlformats.org/officeDocument/2006/relationships/hyperlink" Target="../../../Users/User/Dropbox/CRYPTO/2020/JUN/C1/58" TargetMode="External" Id="rId601" /><Relationship Type="http://schemas.openxmlformats.org/officeDocument/2006/relationships/hyperlink" Target="../../../Users/User/Dropbox/CRYPTO/2020/MAY/C29/57" TargetMode="External" Id="rId602" /><Relationship Type="http://schemas.openxmlformats.org/officeDocument/2006/relationships/hyperlink" Target="../../../Users/User/Dropbox/FOREX/2020/F762" TargetMode="External" Id="rId603" /><Relationship Type="http://schemas.openxmlformats.org/officeDocument/2006/relationships/hyperlink" Target="../../../Users/User/Dropbox/FOREX/2020/F761" TargetMode="External" Id="rId604" /><Relationship Type="http://schemas.openxmlformats.org/officeDocument/2006/relationships/hyperlink" Target="../../../Users/User/Dropbox/CRYPTO/2020/MAY/C28/56" TargetMode="External" Id="rId605" /><Relationship Type="http://schemas.openxmlformats.org/officeDocument/2006/relationships/hyperlink" Target="../../../Users/User/Dropbox/FOREX/2020/F760" TargetMode="External" Id="rId606" /><Relationship Type="http://schemas.openxmlformats.org/officeDocument/2006/relationships/hyperlink" Target="../../../Users/User/Dropbox/CRYPTO/2020/MAY/C27/55" TargetMode="External" Id="rId607" /><Relationship Type="http://schemas.openxmlformats.org/officeDocument/2006/relationships/hyperlink" Target="../../../Users/User/Dropbox/FOREX/2020/F759" TargetMode="External" Id="rId608" /><Relationship Type="http://schemas.openxmlformats.org/officeDocument/2006/relationships/hyperlink" Target="../../../Users/User/Dropbox/CRYPTO/2020/MAY/C26/53" TargetMode="External" Id="rId609" /><Relationship Type="http://schemas.openxmlformats.org/officeDocument/2006/relationships/hyperlink" Target="../../../Users/User/Dropbox/CRYPTO/2020/MAY/C26/52" TargetMode="External" Id="rId610" /><Relationship Type="http://schemas.openxmlformats.org/officeDocument/2006/relationships/hyperlink" Target="../../../Users/User/Dropbox/CRYPTO/2020/MAY/C24/51" TargetMode="External" Id="rId611" /><Relationship Type="http://schemas.openxmlformats.org/officeDocument/2006/relationships/hyperlink" Target="../../../Users/User/Dropbox/FOREX/2020/F758" TargetMode="External" Id="rId612" /><Relationship Type="http://schemas.openxmlformats.org/officeDocument/2006/relationships/hyperlink" Target="../../../Users/User/Dropbox/FOREX/2020/F757" TargetMode="External" Id="rId613" /><Relationship Type="http://schemas.openxmlformats.org/officeDocument/2006/relationships/hyperlink" Target="../../../Users/User/Dropbox/FOREX/2020/F756" TargetMode="External" Id="rId614" /><Relationship Type="http://schemas.openxmlformats.org/officeDocument/2006/relationships/hyperlink" Target="../../../Users/User/Dropbox/CRYPTO/2020/MAY/C22/50" TargetMode="External" Id="rId615" /><Relationship Type="http://schemas.openxmlformats.org/officeDocument/2006/relationships/hyperlink" Target="../../../Users/User/Dropbox/CRYPTO/2020/MAY/C21/49" TargetMode="External" Id="rId616" /><Relationship Type="http://schemas.openxmlformats.org/officeDocument/2006/relationships/hyperlink" Target="../../../Users/User/Dropbox/FOREX/2020/F755" TargetMode="External" Id="rId617" /><Relationship Type="http://schemas.openxmlformats.org/officeDocument/2006/relationships/hyperlink" Target="../../../Users/User/Dropbox/CRYPTO/2020/MAY/C21/48" TargetMode="External" Id="rId618" /><Relationship Type="http://schemas.openxmlformats.org/officeDocument/2006/relationships/hyperlink" Target="../../../Users/User/Dropbox/CRYPTO/2020/MAY/C19/47" TargetMode="External" Id="rId619" /><Relationship Type="http://schemas.openxmlformats.org/officeDocument/2006/relationships/hyperlink" Target="../../../Users/User/Dropbox/FOREX/2020/F754" TargetMode="External" Id="rId620" /><Relationship Type="http://schemas.openxmlformats.org/officeDocument/2006/relationships/hyperlink" Target="../../../Users/User/Dropbox/FOREX/2020/F753" TargetMode="External" Id="rId621" /><Relationship Type="http://schemas.openxmlformats.org/officeDocument/2006/relationships/hyperlink" Target="../../../Users/User/Dropbox/FOREX/2020/F752" TargetMode="External" Id="rId622" /><Relationship Type="http://schemas.openxmlformats.org/officeDocument/2006/relationships/hyperlink" Target="../../../Users/User/Dropbox/CRYPTO/2020/MAY/C17/46" TargetMode="External" Id="rId623" /><Relationship Type="http://schemas.openxmlformats.org/officeDocument/2006/relationships/hyperlink" Target="../../../Users/User/Dropbox/CRYPTO/2020/MAY/C16/45" TargetMode="External" Id="rId624" /><Relationship Type="http://schemas.openxmlformats.org/officeDocument/2006/relationships/hyperlink" Target="../../../Users/User/Dropbox/FOREX/2020/F751" TargetMode="External" Id="rId625" /><Relationship Type="http://schemas.openxmlformats.org/officeDocument/2006/relationships/hyperlink" Target="../../../Users/User/Dropbox/FOREX/2020/F750" TargetMode="External" Id="rId626" /><Relationship Type="http://schemas.openxmlformats.org/officeDocument/2006/relationships/hyperlink" Target="../../../Users/User/Dropbox/FOREX/2020/F749" TargetMode="External" Id="rId627" /><Relationship Type="http://schemas.openxmlformats.org/officeDocument/2006/relationships/hyperlink" Target="../../../Users/User/Dropbox/FOREX/2020/F748" TargetMode="External" Id="rId628" /><Relationship Type="http://schemas.openxmlformats.org/officeDocument/2006/relationships/hyperlink" Target="../../../Users/User/Dropbox/FOREX/2020/F747" TargetMode="External" Id="rId629" /><Relationship Type="http://schemas.openxmlformats.org/officeDocument/2006/relationships/hyperlink" Target="../../../Users/User/Dropbox/FOREX/2020/F746" TargetMode="External" Id="rId630" /><Relationship Type="http://schemas.openxmlformats.org/officeDocument/2006/relationships/hyperlink" Target="../../../Users/User/Dropbox/CRYPTO/2020/MAY/C13/44" TargetMode="External" Id="rId631" /><Relationship Type="http://schemas.openxmlformats.org/officeDocument/2006/relationships/hyperlink" Target="../../../Users/User/Dropbox/FOREX/2020/F745" TargetMode="External" Id="rId632" /><Relationship Type="http://schemas.openxmlformats.org/officeDocument/2006/relationships/hyperlink" Target="../../../Users/User/Dropbox/FOREX/2020/F744" TargetMode="External" Id="rId633" /><Relationship Type="http://schemas.openxmlformats.org/officeDocument/2006/relationships/hyperlink" Target="../../../Users/User/Dropbox/FOREX/2020/F743" TargetMode="External" Id="rId634" /><Relationship Type="http://schemas.openxmlformats.org/officeDocument/2006/relationships/hyperlink" Target="../../../Users/User/Dropbox/CRYPTO/2020/MAY/C12/43" TargetMode="External" Id="rId635" /><Relationship Type="http://schemas.openxmlformats.org/officeDocument/2006/relationships/hyperlink" Target="../../../Users/User/Dropbox/CRYPTO/2020/MAY/C11/42" TargetMode="External" Id="rId636" /><Relationship Type="http://schemas.openxmlformats.org/officeDocument/2006/relationships/hyperlink" Target="../../../Users/User/Dropbox/FOREX/2020/F742" TargetMode="External" Id="rId637" /><Relationship Type="http://schemas.openxmlformats.org/officeDocument/2006/relationships/hyperlink" Target="../../../Users/User/Dropbox/CRYPTO/2020/MAY/C11/41" TargetMode="External" Id="rId638" /><Relationship Type="http://schemas.openxmlformats.org/officeDocument/2006/relationships/hyperlink" Target="../../../Users/User/Dropbox/CRYPTO/2020/MAY/C9/40" TargetMode="External" Id="rId639" /><Relationship Type="http://schemas.openxmlformats.org/officeDocument/2006/relationships/hyperlink" Target="../../../Users/User/Dropbox/CRYPTO/2020/MAY/C8/38" TargetMode="External" Id="rId640" /><Relationship Type="http://schemas.openxmlformats.org/officeDocument/2006/relationships/hyperlink" Target="../../../Users/User/Dropbox/CRYPTO/2020/MAY/C8/39" TargetMode="External" Id="rId641" /><Relationship Type="http://schemas.openxmlformats.org/officeDocument/2006/relationships/hyperlink" Target="../../../Users/User/Dropbox/FOREX/2020/F741" TargetMode="External" Id="rId642" /><Relationship Type="http://schemas.openxmlformats.org/officeDocument/2006/relationships/hyperlink" Target="../../../Users/User/Dropbox/FOREX/2020/F740" TargetMode="External" Id="rId643" /><Relationship Type="http://schemas.openxmlformats.org/officeDocument/2006/relationships/hyperlink" Target="../../../Users/User/Dropbox/CRYPTO/2020/MAY/C7/37" TargetMode="External" Id="rId644" /><Relationship Type="http://schemas.openxmlformats.org/officeDocument/2006/relationships/hyperlink" Target="../../../Users/User/Dropbox/CRYPTO/2020/MAY/C7/35" TargetMode="External" Id="rId645" /><Relationship Type="http://schemas.openxmlformats.org/officeDocument/2006/relationships/hyperlink" Target="../../../Users/User/Dropbox/CRYPTO/2020/MAY/C7/36" TargetMode="External" Id="rId646" /><Relationship Type="http://schemas.openxmlformats.org/officeDocument/2006/relationships/hyperlink" Target="../../../Users/User/Dropbox/CRYPTO/2020/MAY/C6/34" TargetMode="External" Id="rId647" /><Relationship Type="http://schemas.openxmlformats.org/officeDocument/2006/relationships/hyperlink" Target="../../../Users/User/Dropbox/CRYPTO/2020/MAY/C6/33" TargetMode="External" Id="rId648" /><Relationship Type="http://schemas.openxmlformats.org/officeDocument/2006/relationships/hyperlink" Target="../../../Users/User/Dropbox/FOREX/2020/F739" TargetMode="External" Id="rId649" /><Relationship Type="http://schemas.openxmlformats.org/officeDocument/2006/relationships/hyperlink" Target="../../../Users/User/Dropbox/CRYPTO/2020/MAY/C5/31" TargetMode="External" Id="rId650" /><Relationship Type="http://schemas.openxmlformats.org/officeDocument/2006/relationships/hyperlink" Target="../../../Users/User/Dropbox/CRYPTO/2020/MAY/C6/32" TargetMode="External" Id="rId651" /><Relationship Type="http://schemas.openxmlformats.org/officeDocument/2006/relationships/hyperlink" Target="../../../Users/User/Dropbox/CRYPTO/2020/MAY/C5/30" TargetMode="External" Id="rId652" /><Relationship Type="http://schemas.openxmlformats.org/officeDocument/2006/relationships/hyperlink" Target="../../../Users/User/Dropbox/CRYPTO/2020/MAY/C29" TargetMode="External" Id="rId653" /><Relationship Type="http://schemas.openxmlformats.org/officeDocument/2006/relationships/hyperlink" Target="../../../Users/User/Dropbox/FOREX/2020/F738" TargetMode="External" Id="rId654" /><Relationship Type="http://schemas.openxmlformats.org/officeDocument/2006/relationships/hyperlink" Target="../../../Users/User/Dropbox/CRYPTO/2020/MAY/C28" TargetMode="External" Id="rId655" /><Relationship Type="http://schemas.openxmlformats.org/officeDocument/2006/relationships/hyperlink" Target="../../../Users/User/Dropbox/CRYPTO/2020/MAY/C27" TargetMode="External" Id="rId656" /><Relationship Type="http://schemas.openxmlformats.org/officeDocument/2006/relationships/hyperlink" Target="../../../Users/User/Dropbox/CRYPTO/2020/MAY/C26" TargetMode="External" Id="rId657" /><Relationship Type="http://schemas.openxmlformats.org/officeDocument/2006/relationships/hyperlink" Target="../../../Users/User/Dropbox/CRYPTO/2020/MAY/C3/25" TargetMode="External" Id="rId658" /><Relationship Type="http://schemas.openxmlformats.org/officeDocument/2006/relationships/hyperlink" Target="../../../Users/User/Dropbox/CRYPTO/2020/MAY/C24" TargetMode="External" Id="rId659" /><Relationship Type="http://schemas.openxmlformats.org/officeDocument/2006/relationships/hyperlink" Target="../../../Users/User/Dropbox/FOREX/2020/F737" TargetMode="External" Id="rId660" /><Relationship Type="http://schemas.openxmlformats.org/officeDocument/2006/relationships/hyperlink" Target="../../../Users/User/Dropbox/CRYPTO/2020/APR/C23" TargetMode="External" Id="rId661" /><Relationship Type="http://schemas.openxmlformats.org/officeDocument/2006/relationships/hyperlink" Target="../../../Users/User/Dropbox/FOREX/2020/F736" TargetMode="External" Id="rId662" /><Relationship Type="http://schemas.openxmlformats.org/officeDocument/2006/relationships/hyperlink" Target="../../../Users/User/Dropbox/CRYPTO/2020/APR/C25/22" TargetMode="External" Id="rId663" /><Relationship Type="http://schemas.openxmlformats.org/officeDocument/2006/relationships/hyperlink" Target="../../../Users/User/Dropbox/CRYPTO/2020/APR/C21" TargetMode="External" Id="rId664" /><Relationship Type="http://schemas.openxmlformats.org/officeDocument/2006/relationships/hyperlink" Target="../../../Users/User/Dropbox/FOREX/2020/F735" TargetMode="External" Id="rId665" /><Relationship Type="http://schemas.openxmlformats.org/officeDocument/2006/relationships/hyperlink" Target="../../../Users/User/Dropbox/CRYPTO/2020/APR/C20" TargetMode="External" Id="rId666" /><Relationship Type="http://schemas.openxmlformats.org/officeDocument/2006/relationships/hyperlink" Target="../../../Users/User/Dropbox/CRYPTO/2020/APR/C23/19" TargetMode="External" Id="rId667" /><Relationship Type="http://schemas.openxmlformats.org/officeDocument/2006/relationships/hyperlink" Target="../../../Users/User/Dropbox/CRYPTO/2020/APR/C18" TargetMode="External" Id="rId668" /><Relationship Type="http://schemas.openxmlformats.org/officeDocument/2006/relationships/hyperlink" Target="../../../Users/User/Dropbox/CRYPTO/2020/APR/C17" TargetMode="External" Id="rId669" /><Relationship Type="http://schemas.openxmlformats.org/officeDocument/2006/relationships/hyperlink" Target="../../../Users/User/Dropbox/FOREX/2020/F734" TargetMode="External" Id="rId670" /><Relationship Type="http://schemas.openxmlformats.org/officeDocument/2006/relationships/hyperlink" Target="../../../Users/User/Dropbox/CRYPTO/2020/APR/C21/16" TargetMode="External" Id="rId671" /><Relationship Type="http://schemas.openxmlformats.org/officeDocument/2006/relationships/hyperlink" Target="../../../Users/User/Dropbox/CRYPTO/2020/APR/C15" TargetMode="External" Id="rId672" /><Relationship Type="http://schemas.openxmlformats.org/officeDocument/2006/relationships/hyperlink" Target="../../../Users/User/Dropbox/CRYPTO/2020/APR/C20/14" TargetMode="External" Id="rId673" /><Relationship Type="http://schemas.openxmlformats.org/officeDocument/2006/relationships/hyperlink" Target="../../../Users/User/Dropbox/CRYPTO/2020/APR/C13" TargetMode="External" Id="rId674" /><Relationship Type="http://schemas.openxmlformats.org/officeDocument/2006/relationships/hyperlink" Target="../../../Users/User/Documents/TRADING/CRYPTO/DEMO/C12%20BTC" TargetMode="External" Id="rId675" /><Relationship Type="http://schemas.openxmlformats.org/officeDocument/2006/relationships/hyperlink" Target="../../../Users/User/Dropbox/FOREX/2020/F733" TargetMode="External" Id="rId676" /><Relationship Type="http://schemas.openxmlformats.org/officeDocument/2006/relationships/hyperlink" Target="../../../Users/User/Documents/TRADING/CRYPTO/DEMO/C11%20SFP" TargetMode="External" Id="rId677" /><Relationship Type="http://schemas.openxmlformats.org/officeDocument/2006/relationships/hyperlink" Target="../../../Users/User/Documents/TRADING/CRYPTO/DEMO/C10%20ETH" TargetMode="External" Id="rId678" /><Relationship Type="http://schemas.openxmlformats.org/officeDocument/2006/relationships/hyperlink" Target="../../../Users/User/Documents/TRADING/CRYPTO/DEMO/C9%20BTC" TargetMode="External" Id="rId679" /><Relationship Type="http://schemas.openxmlformats.org/officeDocument/2006/relationships/hyperlink" Target="../../../Users/User/Documents/TRADING/CRYPTO/DEMO/C8%20OP" TargetMode="External" Id="rId680" /><Relationship Type="http://schemas.openxmlformats.org/officeDocument/2006/relationships/hyperlink" Target="../../../Users/User/Dropbox/FOREX/2020/F732" TargetMode="External" Id="rId681" /><Relationship Type="http://schemas.openxmlformats.org/officeDocument/2006/relationships/hyperlink" Target="../../../Users/User/Dropbox/FOREX/2020/F731" TargetMode="External" Id="rId682" /><Relationship Type="http://schemas.openxmlformats.org/officeDocument/2006/relationships/hyperlink" Target="../../../Users/User/Dropbox/FOREX/2020/F730" TargetMode="External" Id="rId683" /><Relationship Type="http://schemas.openxmlformats.org/officeDocument/2006/relationships/hyperlink" Target="../../../Users/User/Dropbox/FOREX/2020/F729" TargetMode="External" Id="rId684" /><Relationship Type="http://schemas.openxmlformats.org/officeDocument/2006/relationships/hyperlink" Target="../../../Users/User/Dropbox/FOREX/2020/F728" TargetMode="External" Id="rId685" /><Relationship Type="http://schemas.openxmlformats.org/officeDocument/2006/relationships/hyperlink" Target="../../../Users/User/Documents/TRADING/CRYPTO/DEMO/C7%20SNX" TargetMode="External" Id="rId686" /><Relationship Type="http://schemas.openxmlformats.org/officeDocument/2006/relationships/hyperlink" Target="../../../Users/User/Documents/TRADING/CRYPTO/DEMO/C6%20ETH" TargetMode="External" Id="rId687" /><Relationship Type="http://schemas.openxmlformats.org/officeDocument/2006/relationships/hyperlink" Target="../../../Users/User/Documents/TRADING/CRYPTO/DEMO/C5%20BTC" TargetMode="External" Id="rId688" /><Relationship Type="http://schemas.openxmlformats.org/officeDocument/2006/relationships/hyperlink" Target="../../../Users/User/Documents/TRADING/CRYPTO/DEMO/C4%20SNX" TargetMode="External" Id="rId689" /><Relationship Type="http://schemas.openxmlformats.org/officeDocument/2006/relationships/hyperlink" Target="../../../Users/User/Documents/TRADING/CRYPTO/DEMO/C3%20BTC" TargetMode="External" Id="rId690" /><Relationship Type="http://schemas.openxmlformats.org/officeDocument/2006/relationships/hyperlink" Target="../../../Users/User/Documents/TRADING/CRYPTO/DEMO/C2%20BTC" TargetMode="External" Id="rId691" /><Relationship Type="http://schemas.openxmlformats.org/officeDocument/2006/relationships/hyperlink" Target="../../../Users/User/Documents/TRADING/CRYPTO/DEMO/C1%20GRT" TargetMode="External" Id="rId692" /><Relationship Type="http://schemas.openxmlformats.org/officeDocument/2006/relationships/hyperlink" Target="../../../Users/User/Dropbox/FOREX/2020/F727" TargetMode="External" Id="rId693" /><Relationship Type="http://schemas.openxmlformats.org/officeDocument/2006/relationships/hyperlink" Target="../../../Users/User/Dropbox/FOREX/2020/F726" TargetMode="External" Id="rId694" /><Relationship Type="http://schemas.openxmlformats.org/officeDocument/2006/relationships/hyperlink" Target="../../../Users/User/Dropbox/FOREX/2020/F725" TargetMode="External" Id="rId695" /><Relationship Type="http://schemas.openxmlformats.org/officeDocument/2006/relationships/hyperlink" Target="../../../Users/User/Dropbox/FOREX/2020/F724" TargetMode="External" Id="rId696" /><Relationship Type="http://schemas.openxmlformats.org/officeDocument/2006/relationships/hyperlink" Target="../../../Users/User/Dropbox/FOREX/2020/F723" TargetMode="External" Id="rId697" /><Relationship Type="http://schemas.openxmlformats.org/officeDocument/2006/relationships/hyperlink" Target="../../../Users/User/Dropbox/FOREX/2020/F722" TargetMode="External" Id="rId698" /><Relationship Type="http://schemas.openxmlformats.org/officeDocument/2006/relationships/hyperlink" Target="../../../Users/User/Dropbox/FOREX/2020/F721" TargetMode="External" Id="rId699" /><Relationship Type="http://schemas.openxmlformats.org/officeDocument/2006/relationships/hyperlink" Target="../../../Users/User/Dropbox/FOREX/2020/F720" TargetMode="External" Id="rId700" /><Relationship Type="http://schemas.openxmlformats.org/officeDocument/2006/relationships/hyperlink" Target="../../../Users/User/Dropbox/FOREX/2020/F719" TargetMode="External" Id="rId701" /><Relationship Type="http://schemas.openxmlformats.org/officeDocument/2006/relationships/hyperlink" Target="../../../Users/User/Dropbox/FOREX/2020/F718" TargetMode="External" Id="rId702" /><Relationship Type="http://schemas.openxmlformats.org/officeDocument/2006/relationships/hyperlink" Target="../../../Users/User/Dropbox/FOREX/2020/F717" TargetMode="External" Id="rId703" /><Relationship Type="http://schemas.openxmlformats.org/officeDocument/2006/relationships/hyperlink" Target="../../../Users/User/Dropbox/FOREX/2020/F716" TargetMode="External" Id="rId704" /><Relationship Type="http://schemas.openxmlformats.org/officeDocument/2006/relationships/hyperlink" Target="../../../Users/User/Dropbox/FOREX/2020/F715" TargetMode="External" Id="rId705" /><Relationship Type="http://schemas.openxmlformats.org/officeDocument/2006/relationships/hyperlink" Target="../../../Users/User/Dropbox/FOREX/2020/F714" TargetMode="External" Id="rId706" /><Relationship Type="http://schemas.openxmlformats.org/officeDocument/2006/relationships/hyperlink" Target="../../../Users/User/Dropbox/FOREX/2020/F713" TargetMode="External" Id="rId707" /><Relationship Type="http://schemas.openxmlformats.org/officeDocument/2006/relationships/hyperlink" Target="../../../Users/User/Dropbox/FOREX/2020/F712" TargetMode="External" Id="rId708" /><Relationship Type="http://schemas.openxmlformats.org/officeDocument/2006/relationships/hyperlink" Target="../../../Users/User/Dropbox/FOREX/2020/F711" TargetMode="External" Id="rId709" /><Relationship Type="http://schemas.openxmlformats.org/officeDocument/2006/relationships/hyperlink" Target="../../../Users/User/Dropbox/FOREX/2020/F710" TargetMode="External" Id="rId710" /><Relationship Type="http://schemas.openxmlformats.org/officeDocument/2006/relationships/hyperlink" Target="../../../Users/User/Dropbox/FOREX/2020/F709" TargetMode="External" Id="rId711" /><Relationship Type="http://schemas.openxmlformats.org/officeDocument/2006/relationships/hyperlink" Target="../../../Users/User/Dropbox/FOREX/2020/F708" TargetMode="External" Id="rId712" /><Relationship Type="http://schemas.openxmlformats.org/officeDocument/2006/relationships/hyperlink" Target="../../../Users/User/Dropbox/FOREX/2020/F707" TargetMode="External" Id="rId713" /><Relationship Type="http://schemas.openxmlformats.org/officeDocument/2006/relationships/hyperlink" Target="../../../Users/User/Dropbox/FOREX/2020/F706" TargetMode="External" Id="rId714" /><Relationship Type="http://schemas.openxmlformats.org/officeDocument/2006/relationships/hyperlink" Target="../../../Users/User/Dropbox/FOREX/2020/F705" TargetMode="External" Id="rId715" /><Relationship Type="http://schemas.openxmlformats.org/officeDocument/2006/relationships/hyperlink" Target="../../../Users/User/Dropbox/FOREX/2020/F704" TargetMode="External" Id="rId716" /><Relationship Type="http://schemas.openxmlformats.org/officeDocument/2006/relationships/hyperlink" Target="../../../Users/User/Dropbox/FOREX/2020/F703" TargetMode="External" Id="rId717" /><Relationship Type="http://schemas.openxmlformats.org/officeDocument/2006/relationships/hyperlink" Target="../../../Users/User/Dropbox/FOREX/2020/F702" TargetMode="External" Id="rId718" /><Relationship Type="http://schemas.openxmlformats.org/officeDocument/2006/relationships/hyperlink" Target="../../../Users/User/Dropbox/FOREX/2020/F701" TargetMode="External" Id="rId719" /><Relationship Type="http://schemas.openxmlformats.org/officeDocument/2006/relationships/hyperlink" Target="../../../Users/User/Dropbox/FOREX/2020/F700" TargetMode="External" Id="rId720" /><Relationship Type="http://schemas.openxmlformats.org/officeDocument/2006/relationships/hyperlink" Target="../../../Users/User/Dropbox/FOREX/2020/F699" TargetMode="External" Id="rId721" /><Relationship Type="http://schemas.openxmlformats.org/officeDocument/2006/relationships/hyperlink" Target="../../../Users/User/Dropbox/FOREX/2020/F698" TargetMode="External" Id="rId722" /><Relationship Type="http://schemas.openxmlformats.org/officeDocument/2006/relationships/hyperlink" Target="../../../Users/User/Dropbox/FOREX/2020/F697" TargetMode="External" Id="rId723" /><Relationship Type="http://schemas.openxmlformats.org/officeDocument/2006/relationships/hyperlink" Target="../../../Users/User/Dropbox/FOREX/2020/F696" TargetMode="External" Id="rId724" /><Relationship Type="http://schemas.openxmlformats.org/officeDocument/2006/relationships/hyperlink" Target="../../../Users/User/Dropbox/FOREX/2020/F695" TargetMode="External" Id="rId725" /><Relationship Type="http://schemas.openxmlformats.org/officeDocument/2006/relationships/hyperlink" Target="../../../Users/User/Dropbox/FOREX/2020/F694" TargetMode="External" Id="rId726" /><Relationship Type="http://schemas.openxmlformats.org/officeDocument/2006/relationships/hyperlink" Target="../../../Users/User/Dropbox/FOREX/2020/F693" TargetMode="External" Id="rId727" /><Relationship Type="http://schemas.openxmlformats.org/officeDocument/2006/relationships/hyperlink" Target="../../../Users/User/Dropbox/FOREX/2019/F174" TargetMode="External" Id="rId728" /><Relationship Type="http://schemas.openxmlformats.org/officeDocument/2006/relationships/hyperlink" Target="../../../Users/User/Dropbox/FOREX/2019/F172" TargetMode="External" Id="rId729" /><Relationship Type="http://schemas.openxmlformats.org/officeDocument/2006/relationships/hyperlink" Target="../../../Users/User/Dropbox/FOREX/2019/F687" TargetMode="External" Id="rId730" /><Relationship Type="http://schemas.openxmlformats.org/officeDocument/2006/relationships/hyperlink" Target="../../../Users/User/Dropbox/FOREX/2019/F686" TargetMode="External" Id="rId731" /><Relationship Type="http://schemas.openxmlformats.org/officeDocument/2006/relationships/hyperlink" Target="../../../Users/User/Dropbox/FOREX/2019/F685" TargetMode="External" Id="rId732" /><Relationship Type="http://schemas.openxmlformats.org/officeDocument/2006/relationships/hyperlink" Target="../../../Users/User/Dropbox/FOREX/2019/F684" TargetMode="External" Id="rId733" /><Relationship Type="http://schemas.openxmlformats.org/officeDocument/2006/relationships/hyperlink" Target="../../../Users/User/Dropbox/FOREX/2019/F682" TargetMode="External" Id="rId734" /><Relationship Type="http://schemas.openxmlformats.org/officeDocument/2006/relationships/hyperlink" Target="../../../Users/User/Dropbox/FOREX/2019/F681" TargetMode="External" Id="rId735" /><Relationship Type="http://schemas.openxmlformats.org/officeDocument/2006/relationships/hyperlink" Target="../../../Users/User/Dropbox/FOREX/2019/F680" TargetMode="External" Id="rId736" /><Relationship Type="http://schemas.openxmlformats.org/officeDocument/2006/relationships/hyperlink" Target="../../../Users/User/Dropbox/FOREX/2019/F679" TargetMode="External" Id="rId737" /><Relationship Type="http://schemas.openxmlformats.org/officeDocument/2006/relationships/hyperlink" Target="../../../Users/User/Dropbox/FOREX/2019/F678" TargetMode="External" Id="rId738" /><Relationship Type="http://schemas.openxmlformats.org/officeDocument/2006/relationships/hyperlink" Target="../../../Users/User/Dropbox/FOREX/2019/F676" TargetMode="External" Id="rId739" /><Relationship Type="http://schemas.openxmlformats.org/officeDocument/2006/relationships/hyperlink" Target="../../../Users/User/Dropbox/FOREX/2019/F677" TargetMode="External" Id="rId740" /><Relationship Type="http://schemas.openxmlformats.org/officeDocument/2006/relationships/hyperlink" Target="../../../Users/User/Dropbox/FOREX/2019/F675" TargetMode="External" Id="rId741" /><Relationship Type="http://schemas.openxmlformats.org/officeDocument/2006/relationships/hyperlink" Target="../../../Users/User/Dropbox/FOREX/2019/F674" TargetMode="External" Id="rId742" /><Relationship Type="http://schemas.openxmlformats.org/officeDocument/2006/relationships/hyperlink" Target="../../../Users/User/Dropbox/FOREX/2019/F673" TargetMode="External" Id="rId743" /><Relationship Type="http://schemas.openxmlformats.org/officeDocument/2006/relationships/hyperlink" Target="../../../Users/User/Dropbox/FOREX/2019/F672" TargetMode="External" Id="rId744" /><Relationship Type="http://schemas.openxmlformats.org/officeDocument/2006/relationships/hyperlink" Target="../../../Users/User/Dropbox/FOREX/2019/F671" TargetMode="External" Id="rId745" /><Relationship Type="http://schemas.openxmlformats.org/officeDocument/2006/relationships/hyperlink" Target="../../../Users/User/Dropbox/FOREX/2019/F670" TargetMode="External" Id="rId746" /><Relationship Type="http://schemas.openxmlformats.org/officeDocument/2006/relationships/hyperlink" Target="../../../Users/User/Dropbox/FOREX/2019/F669" TargetMode="External" Id="rId747" /><Relationship Type="http://schemas.openxmlformats.org/officeDocument/2006/relationships/hyperlink" Target="../../../Users/User/Dropbox/FOREX/2019/F668" TargetMode="External" Id="rId748" /><Relationship Type="http://schemas.openxmlformats.org/officeDocument/2006/relationships/hyperlink" Target="../../../Users/User/Dropbox/FOREX/2019/F667" TargetMode="External" Id="rId749" /><Relationship Type="http://schemas.openxmlformats.org/officeDocument/2006/relationships/hyperlink" Target="../../../Users/User/Dropbox/FOREX/2019/F666" TargetMode="External" Id="rId750" /><Relationship Type="http://schemas.openxmlformats.org/officeDocument/2006/relationships/hyperlink" Target="../../../Users/User/Dropbox/FOREX/2019/F665" TargetMode="External" Id="rId751" /><Relationship Type="http://schemas.openxmlformats.org/officeDocument/2006/relationships/hyperlink" Target="../../../Users/User/Dropbox/FOREX/2019/F664" TargetMode="External" Id="rId752" /><Relationship Type="http://schemas.openxmlformats.org/officeDocument/2006/relationships/hyperlink" Target="../../../Users/User/Dropbox/FOREX/2019/F663" TargetMode="External" Id="rId753" /><Relationship Type="http://schemas.openxmlformats.org/officeDocument/2006/relationships/hyperlink" Target="../../../Users/User/Dropbox/FOREX/2019/F662" TargetMode="External" Id="rId754" /><Relationship Type="http://schemas.openxmlformats.org/officeDocument/2006/relationships/hyperlink" Target="../../../Users/User/Dropbox/FOREX/2019/F661" TargetMode="External" Id="rId755" /><Relationship Type="http://schemas.openxmlformats.org/officeDocument/2006/relationships/hyperlink" Target="../../../Users/User/Dropbox/FOREX/2019/F659" TargetMode="External" Id="rId756" /><Relationship Type="http://schemas.openxmlformats.org/officeDocument/2006/relationships/hyperlink" Target="../../../Users/User/Dropbox/FOREX/2019/F660" TargetMode="External" Id="rId757" /><Relationship Type="http://schemas.openxmlformats.org/officeDocument/2006/relationships/hyperlink" Target="../../../Users/User/Dropbox/FOREX/2019/F657" TargetMode="External" Id="rId758" /><Relationship Type="http://schemas.openxmlformats.org/officeDocument/2006/relationships/hyperlink" Target="../../../Users/User/Dropbox/FOREX/2019/F658" TargetMode="External" Id="rId759" /><Relationship Type="http://schemas.openxmlformats.org/officeDocument/2006/relationships/hyperlink" Target="../../../Users/User/Dropbox/FOREX/2019/F656" TargetMode="External" Id="rId760" /><Relationship Type="http://schemas.openxmlformats.org/officeDocument/2006/relationships/hyperlink" Target="../../../Users/User/Dropbox/FOREX/2019/F655" TargetMode="External" Id="rId761" /><Relationship Type="http://schemas.openxmlformats.org/officeDocument/2006/relationships/hyperlink" Target="../../../Users/User/Dropbox/FOREX/2019/F654" TargetMode="External" Id="rId762" /><Relationship Type="http://schemas.openxmlformats.org/officeDocument/2006/relationships/hyperlink" Target="../../../Users/User/Dropbox/FOREX/2019/F653" TargetMode="External" Id="rId763" /><Relationship Type="http://schemas.openxmlformats.org/officeDocument/2006/relationships/hyperlink" Target="../../../Users/User/Dropbox/FOREX/2019/F652" TargetMode="External" Id="rId764" /><Relationship Type="http://schemas.openxmlformats.org/officeDocument/2006/relationships/hyperlink" Target="../../../Users/User/Dropbox/FOREX/2019/F651" TargetMode="External" Id="rId765" /><Relationship Type="http://schemas.openxmlformats.org/officeDocument/2006/relationships/hyperlink" Target="../../../Users/User/Dropbox/FOREX/2019/F650" TargetMode="External" Id="rId766" /><Relationship Type="http://schemas.openxmlformats.org/officeDocument/2006/relationships/hyperlink" Target="../../../Users/User/Dropbox/FOREX/2019/F649" TargetMode="External" Id="rId767" /><Relationship Type="http://schemas.openxmlformats.org/officeDocument/2006/relationships/hyperlink" Target="../../../Users/User/Dropbox/FOREX/2019/F647" TargetMode="External" Id="rId768" /><Relationship Type="http://schemas.openxmlformats.org/officeDocument/2006/relationships/hyperlink" Target="../../../Users/User/Dropbox/FOREX/2019/F648" TargetMode="External" Id="rId769" /><Relationship Type="http://schemas.openxmlformats.org/officeDocument/2006/relationships/hyperlink" Target="../../../Users/User/Dropbox/FOREX/2019/F645" TargetMode="External" Id="rId770" /><Relationship Type="http://schemas.openxmlformats.org/officeDocument/2006/relationships/hyperlink" Target="../../../Users/User/Dropbox/FOREX/2019/F646" TargetMode="External" Id="rId771" /><Relationship Type="http://schemas.openxmlformats.org/officeDocument/2006/relationships/hyperlink" Target="../../../Users/User/Dropbox/FOREX/2019/F644" TargetMode="External" Id="rId772" /><Relationship Type="http://schemas.openxmlformats.org/officeDocument/2006/relationships/hyperlink" Target="../../../Users/User/Dropbox/FOREX/2019/F643" TargetMode="External" Id="rId773" /><Relationship Type="http://schemas.openxmlformats.org/officeDocument/2006/relationships/hyperlink" Target="../../../Users/User/Dropbox/FOREX/2019/F642" TargetMode="External" Id="rId774" /><Relationship Type="http://schemas.openxmlformats.org/officeDocument/2006/relationships/hyperlink" Target="../../../Users/User/Dropbox/FOREX/2019/F641" TargetMode="External" Id="rId775" /><Relationship Type="http://schemas.openxmlformats.org/officeDocument/2006/relationships/hyperlink" Target="../../../Users/User/Dropbox/FOREX/2019/F640" TargetMode="External" Id="rId776" /><Relationship Type="http://schemas.openxmlformats.org/officeDocument/2006/relationships/hyperlink" Target="../../../Users/User/Dropbox/FOREX/2019/F639" TargetMode="External" Id="rId777" /><Relationship Type="http://schemas.openxmlformats.org/officeDocument/2006/relationships/hyperlink" Target="../../../Users/User/Dropbox/FOREX/2019/F638" TargetMode="External" Id="rId778" /><Relationship Type="http://schemas.openxmlformats.org/officeDocument/2006/relationships/hyperlink" Target="../../../Users/User/Dropbox/FOREX/2019/F637" TargetMode="External" Id="rId779" /><Relationship Type="http://schemas.openxmlformats.org/officeDocument/2006/relationships/hyperlink" Target="../../../Users/User/Dropbox/FOREX/2019/F636" TargetMode="External" Id="rId780" /><Relationship Type="http://schemas.openxmlformats.org/officeDocument/2006/relationships/hyperlink" Target="../../../Users/User/Dropbox/FOREX/2019/F634" TargetMode="External" Id="rId781" /><Relationship Type="http://schemas.openxmlformats.org/officeDocument/2006/relationships/hyperlink" Target="../../../Users/User/Dropbox/FOREX/2019/F635" TargetMode="External" Id="rId782" /><Relationship Type="http://schemas.openxmlformats.org/officeDocument/2006/relationships/hyperlink" Target="../../../Users/User/Dropbox/FOREX/2019/F633" TargetMode="External" Id="rId783" /><Relationship Type="http://schemas.openxmlformats.org/officeDocument/2006/relationships/hyperlink" Target="../../../Users/User/Dropbox/FOREX/2019/F632" TargetMode="External" Id="rId784" /><Relationship Type="http://schemas.openxmlformats.org/officeDocument/2006/relationships/hyperlink" Target="../../../Users/User/Dropbox/FOREX/2019/F631" TargetMode="External" Id="rId785" /><Relationship Type="http://schemas.openxmlformats.org/officeDocument/2006/relationships/hyperlink" Target="../../../Users/User/Dropbox/FOREX/2019/F630" TargetMode="External" Id="rId786" /><Relationship Type="http://schemas.openxmlformats.org/officeDocument/2006/relationships/hyperlink" Target="../../../Users/User/Dropbox/FOREX/2019/F628" TargetMode="External" Id="rId787" /><Relationship Type="http://schemas.openxmlformats.org/officeDocument/2006/relationships/hyperlink" Target="../../../Users/User/Dropbox/FOREX/2019/F629" TargetMode="External" Id="rId788" /><Relationship Type="http://schemas.openxmlformats.org/officeDocument/2006/relationships/hyperlink" Target="../../../Users/User/Dropbox/FOREX/2019/F626" TargetMode="External" Id="rId789" /><Relationship Type="http://schemas.openxmlformats.org/officeDocument/2006/relationships/hyperlink" Target="../../../Users/User/Dropbox/FOREX/2019/F627" TargetMode="External" Id="rId790" /><Relationship Type="http://schemas.openxmlformats.org/officeDocument/2006/relationships/hyperlink" Target="../../../Users/User/Dropbox/FOREX/2019/F624" TargetMode="External" Id="rId791" /><Relationship Type="http://schemas.openxmlformats.org/officeDocument/2006/relationships/hyperlink" Target="../../../Users/User/Dropbox/FOREX/2019/F623" TargetMode="External" Id="rId792" /><Relationship Type="http://schemas.openxmlformats.org/officeDocument/2006/relationships/hyperlink" Target="../../../Users/User/Dropbox/FOREX/2019/F625" TargetMode="External" Id="rId793" /><Relationship Type="http://schemas.openxmlformats.org/officeDocument/2006/relationships/hyperlink" Target="../../../Users/User/Dropbox/FOREX/2019/F622" TargetMode="External" Id="rId794" /><Relationship Type="http://schemas.openxmlformats.org/officeDocument/2006/relationships/hyperlink" Target="../../../Users/User/Dropbox/FOREX/2019/F620" TargetMode="External" Id="rId795" /><Relationship Type="http://schemas.openxmlformats.org/officeDocument/2006/relationships/hyperlink" Target="../../../Users/User/Dropbox/FOREX/2019/F621" TargetMode="External" Id="rId796" /><Relationship Type="http://schemas.openxmlformats.org/officeDocument/2006/relationships/hyperlink" Target="../../../Users/User/Dropbox/FOREX/2019/F618" TargetMode="External" Id="rId797" /><Relationship Type="http://schemas.openxmlformats.org/officeDocument/2006/relationships/hyperlink" Target="../../../Users/User/Dropbox/FOREX/2019/F619" TargetMode="External" Id="rId798" /><Relationship Type="http://schemas.openxmlformats.org/officeDocument/2006/relationships/hyperlink" Target="../../../Users/User/Dropbox/FOREX/2019/F617" TargetMode="External" Id="rId799" /><Relationship Type="http://schemas.openxmlformats.org/officeDocument/2006/relationships/hyperlink" Target="../../../Users/User/Dropbox/FOREX/2019/F616" TargetMode="External" Id="rId800" /><Relationship Type="http://schemas.openxmlformats.org/officeDocument/2006/relationships/hyperlink" Target="../../../Users/User/Dropbox/FOREX/2019/F615" TargetMode="External" Id="rId801" /><Relationship Type="http://schemas.openxmlformats.org/officeDocument/2006/relationships/hyperlink" Target="../../../Users/User/Dropbox/FOREX/2019/F614" TargetMode="External" Id="rId802" /><Relationship Type="http://schemas.openxmlformats.org/officeDocument/2006/relationships/hyperlink" Target="../../../Users/User/Dropbox/FOREX/2019/F613" TargetMode="External" Id="rId803" /><Relationship Type="http://schemas.openxmlformats.org/officeDocument/2006/relationships/hyperlink" Target="../../../Users/User/Dropbox/FOREX/2019/F611" TargetMode="External" Id="rId804" /><Relationship Type="http://schemas.openxmlformats.org/officeDocument/2006/relationships/hyperlink" Target="../../../Users/User/Dropbox/FOREX/2019/F612" TargetMode="External" Id="rId805" /><Relationship Type="http://schemas.openxmlformats.org/officeDocument/2006/relationships/hyperlink" Target="../../../Users/User/Dropbox/FOREX/2019/F610" TargetMode="External" Id="rId806" /><Relationship Type="http://schemas.openxmlformats.org/officeDocument/2006/relationships/hyperlink" Target="../../../Users/User/Dropbox/FOREX/2019/F607" TargetMode="External" Id="rId807" /><Relationship Type="http://schemas.openxmlformats.org/officeDocument/2006/relationships/hyperlink" Target="../../../Users/User/Dropbox/FOREX/2019/F608" TargetMode="External" Id="rId808" /><Relationship Type="http://schemas.openxmlformats.org/officeDocument/2006/relationships/hyperlink" Target="../../../Users/User/Dropbox/FOREX/2019/F609" TargetMode="External" Id="rId809" /><Relationship Type="http://schemas.openxmlformats.org/officeDocument/2006/relationships/hyperlink" Target="../../../Users/User/Dropbox/FOREX/2019/F606" TargetMode="External" Id="rId810" /><Relationship Type="http://schemas.openxmlformats.org/officeDocument/2006/relationships/hyperlink" Target="../../../Users/User/Dropbox/FOREX/2019/F605" TargetMode="External" Id="rId811" /><Relationship Type="http://schemas.openxmlformats.org/officeDocument/2006/relationships/hyperlink" Target="../../../Users/User/Dropbox/FOREX/2019/F604" TargetMode="External" Id="rId812" /><Relationship Type="http://schemas.openxmlformats.org/officeDocument/2006/relationships/hyperlink" Target="../../../Users/User/Dropbox/FOREX/2019/F603" TargetMode="External" Id="rId813" /><Relationship Type="http://schemas.openxmlformats.org/officeDocument/2006/relationships/hyperlink" Target="../../../Users/User/Dropbox/FOREX/2019/F601" TargetMode="External" Id="rId814" /><Relationship Type="http://schemas.openxmlformats.org/officeDocument/2006/relationships/hyperlink" Target="../../../Users/User/Dropbox/FOREX/2019/F602" TargetMode="External" Id="rId815" /><Relationship Type="http://schemas.openxmlformats.org/officeDocument/2006/relationships/hyperlink" Target="../../../Users/User/Dropbox/FOREX/2019/F600" TargetMode="External" Id="rId816" /><Relationship Type="http://schemas.openxmlformats.org/officeDocument/2006/relationships/hyperlink" Target="../../../Users/User/Dropbox/FOREX/2019/F599" TargetMode="External" Id="rId817" /><Relationship Type="http://schemas.openxmlformats.org/officeDocument/2006/relationships/hyperlink" Target="../../../Users/User/Dropbox/FOREX/2019/F598" TargetMode="External" Id="rId818" /><Relationship Type="http://schemas.openxmlformats.org/officeDocument/2006/relationships/hyperlink" Target="../../../Users/User/Dropbox/FOREX/2019/F597" TargetMode="External" Id="rId819" /><Relationship Type="http://schemas.openxmlformats.org/officeDocument/2006/relationships/hyperlink" Target="../../../Users/User/Dropbox/FOREX/2019/F596" TargetMode="External" Id="rId820" /><Relationship Type="http://schemas.openxmlformats.org/officeDocument/2006/relationships/hyperlink" Target="../../../Users/User/Dropbox/FOREX/2019/F594" TargetMode="External" Id="rId821" /><Relationship Type="http://schemas.openxmlformats.org/officeDocument/2006/relationships/hyperlink" Target="../../../Users/User/Dropbox/FOREX/2019/F595" TargetMode="External" Id="rId822" /><Relationship Type="http://schemas.openxmlformats.org/officeDocument/2006/relationships/hyperlink" Target="../../../Users/User/Dropbox/FOREX/2019/F593" TargetMode="External" Id="rId823" /><Relationship Type="http://schemas.openxmlformats.org/officeDocument/2006/relationships/hyperlink" Target="../../../Users/User/Dropbox/FOREX/2019/F592" TargetMode="External" Id="rId824" /><Relationship Type="http://schemas.openxmlformats.org/officeDocument/2006/relationships/hyperlink" Target="../../../Users/User/Dropbox/FOREX/2019/F591" TargetMode="External" Id="rId825" /><Relationship Type="http://schemas.openxmlformats.org/officeDocument/2006/relationships/hyperlink" Target="../../../Users/User/Dropbox/FOREX/2019/F590" TargetMode="External" Id="rId826" /><Relationship Type="http://schemas.openxmlformats.org/officeDocument/2006/relationships/hyperlink" Target="../../../Users/User/Dropbox/FOREX/2019/F589" TargetMode="External" Id="rId827" /><Relationship Type="http://schemas.openxmlformats.org/officeDocument/2006/relationships/hyperlink" Target="../../../Users/User/Dropbox/FOREX/2019/F588" TargetMode="External" Id="rId828" /><Relationship Type="http://schemas.openxmlformats.org/officeDocument/2006/relationships/hyperlink" Target="../../../Users/User/Dropbox/FOREX/2019/F587" TargetMode="External" Id="rId829" /><Relationship Type="http://schemas.openxmlformats.org/officeDocument/2006/relationships/hyperlink" Target="../../../Users/User/Dropbox/FOREX/2019/F586" TargetMode="External" Id="rId830" /><Relationship Type="http://schemas.openxmlformats.org/officeDocument/2006/relationships/hyperlink" Target="../../../Users/User/Dropbox/FOREX/2019/F585" TargetMode="External" Id="rId831" /><Relationship Type="http://schemas.openxmlformats.org/officeDocument/2006/relationships/hyperlink" Target="../../../Users/User/Dropbox/FOREX/2019/F584" TargetMode="External" Id="rId832" /><Relationship Type="http://schemas.openxmlformats.org/officeDocument/2006/relationships/hyperlink" Target="../../../Users/User/Dropbox/FOREX/2019/F581" TargetMode="External" Id="rId833" /><Relationship Type="http://schemas.openxmlformats.org/officeDocument/2006/relationships/hyperlink" Target="../../../Users/User/Dropbox/FOREX/2018/F173" TargetMode="External" Id="rId834" /><Relationship Type="http://schemas.openxmlformats.org/officeDocument/2006/relationships/hyperlink" Target="../../../Users/User/Dropbox/FOREX/2019/F580" TargetMode="External" Id="rId835" /><Relationship Type="http://schemas.openxmlformats.org/officeDocument/2006/relationships/hyperlink" Target="../../../Users/User/Dropbox/FOREX/2019/F579" TargetMode="External" Id="rId836" /><Relationship Type="http://schemas.openxmlformats.org/officeDocument/2006/relationships/hyperlink" Target="../../../Users/User/Dropbox/FOREX/2019/F528" TargetMode="External" Id="rId837" /><Relationship Type="http://schemas.openxmlformats.org/officeDocument/2006/relationships/hyperlink" Target="../../../Users/User/Dropbox/FOREX/2019/F529" TargetMode="External" Id="rId838" /><Relationship Type="http://schemas.openxmlformats.org/officeDocument/2006/relationships/hyperlink" Target="../../../Users/User/Dropbox/FOREX/2019/F531" TargetMode="External" Id="rId839" /><Relationship Type="http://schemas.openxmlformats.org/officeDocument/2006/relationships/hyperlink" Target="../../../Users/User/Dropbox/FOREX/2019/F523" TargetMode="External" Id="rId840" /><Relationship Type="http://schemas.openxmlformats.org/officeDocument/2006/relationships/hyperlink" Target="../../../Users/User/Dropbox/FOREX/2019/F527" TargetMode="External" Id="rId841" /><Relationship Type="http://schemas.openxmlformats.org/officeDocument/2006/relationships/hyperlink" Target="../../../Users/User/Dropbox/FOREX/2019/F522" TargetMode="External" Id="rId842" /><Relationship Type="http://schemas.openxmlformats.org/officeDocument/2006/relationships/hyperlink" Target="../../../Users/User/Dropbox/FOREX/2019/F525" TargetMode="External" Id="rId843" /><Relationship Type="http://schemas.openxmlformats.org/officeDocument/2006/relationships/hyperlink" Target="../../../Users/User/Dropbox/FOREX/2019/F526" TargetMode="External" Id="rId844" /><Relationship Type="http://schemas.openxmlformats.org/officeDocument/2006/relationships/hyperlink" Target="../../../Users/User/Dropbox/FOREX/2019/F521" TargetMode="External" Id="rId845" /><Relationship Type="http://schemas.openxmlformats.org/officeDocument/2006/relationships/hyperlink" Target="../../../Users/User/Dropbox/FOREX/2019/F524" TargetMode="External" Id="rId846" /><Relationship Type="http://schemas.openxmlformats.org/officeDocument/2006/relationships/hyperlink" Target="../../../Users/User/Dropbox/FOREX/2019/F513" TargetMode="External" Id="rId847" /><Relationship Type="http://schemas.openxmlformats.org/officeDocument/2006/relationships/hyperlink" Target="../../../Users/User/Dropbox/FOREX/2019/F519" TargetMode="External" Id="rId848" /><Relationship Type="http://schemas.openxmlformats.org/officeDocument/2006/relationships/hyperlink" Target="../../../Users/User/Dropbox/FOREX/2019/F514" TargetMode="External" Id="rId849" /><Relationship Type="http://schemas.openxmlformats.org/officeDocument/2006/relationships/hyperlink" Target="../../../Users/User/Dropbox/FOREX/2019/F515" TargetMode="External" Id="rId850" /><Relationship Type="http://schemas.openxmlformats.org/officeDocument/2006/relationships/hyperlink" Target="../../../Users/User/Dropbox/FOREX/2019/F518" TargetMode="External" Id="rId851" /><Relationship Type="http://schemas.openxmlformats.org/officeDocument/2006/relationships/hyperlink" Target="../../../Users/User/Dropbox/FOREX/2019/F516" TargetMode="External" Id="rId852" /><Relationship Type="http://schemas.openxmlformats.org/officeDocument/2006/relationships/hyperlink" Target="../../../Users/User/Dropbox/FOREX/2019/F520" TargetMode="External" Id="rId853" /><Relationship Type="http://schemas.openxmlformats.org/officeDocument/2006/relationships/hyperlink" Target="../../../Users/User/Dropbox/FOREX/2019/F512" TargetMode="External" Id="rId854" /><Relationship Type="http://schemas.openxmlformats.org/officeDocument/2006/relationships/hyperlink" Target="../../../Users/User/Dropbox/FOREX/2019/F517" TargetMode="External" Id="rId855" /><Relationship Type="http://schemas.openxmlformats.org/officeDocument/2006/relationships/hyperlink" Target="../../../Users/User/Dropbox/FOREX/2019/F509" TargetMode="External" Id="rId856" /><Relationship Type="http://schemas.openxmlformats.org/officeDocument/2006/relationships/hyperlink" Target="../../../Users/User/Dropbox/FOREX/2019/F510" TargetMode="External" Id="rId857" /><Relationship Type="http://schemas.openxmlformats.org/officeDocument/2006/relationships/hyperlink" Target="../../../Users/User/Dropbox/FOREX/2019/F511" TargetMode="External" Id="rId858" /><Relationship Type="http://schemas.openxmlformats.org/officeDocument/2006/relationships/hyperlink" Target="../../../Users/User/Dropbox/FOREX/2019/F503" TargetMode="External" Id="rId859" /><Relationship Type="http://schemas.openxmlformats.org/officeDocument/2006/relationships/hyperlink" Target="../../../Users/User/Dropbox/FOREX/2019/F505" TargetMode="External" Id="rId860" /><Relationship Type="http://schemas.openxmlformats.org/officeDocument/2006/relationships/hyperlink" Target="../../../Users/User/Dropbox/FOREX/2019/F507" TargetMode="External" Id="rId861" /><Relationship Type="http://schemas.openxmlformats.org/officeDocument/2006/relationships/hyperlink" Target="../../../Users/User/Dropbox/FOREX/2019/F508" TargetMode="External" Id="rId862" /><Relationship Type="http://schemas.openxmlformats.org/officeDocument/2006/relationships/hyperlink" Target="../../../Users/User/Dropbox/FOREX/2019/F501" TargetMode="External" Id="rId863" /><Relationship Type="http://schemas.openxmlformats.org/officeDocument/2006/relationships/hyperlink" Target="../../../Users/User/Dropbox/FOREX/2019/F504" TargetMode="External" Id="rId864" /><Relationship Type="http://schemas.openxmlformats.org/officeDocument/2006/relationships/hyperlink" Target="../../../Users/User/Dropbox/FOREX/2019/F506" TargetMode="External" Id="rId865" /><Relationship Type="http://schemas.openxmlformats.org/officeDocument/2006/relationships/hyperlink" Target="../../../Users/User/Dropbox/FOREX/2019/F502" TargetMode="External" Id="rId866" /><Relationship Type="http://schemas.openxmlformats.org/officeDocument/2006/relationships/hyperlink" Target="../../../Users/User/Dropbox/FOREX/2019/F500" TargetMode="External" Id="rId867" /><Relationship Type="http://schemas.openxmlformats.org/officeDocument/2006/relationships/hyperlink" Target="../../../Users/User/Dropbox/FOREX/2019/F498" TargetMode="External" Id="rId868" /><Relationship Type="http://schemas.openxmlformats.org/officeDocument/2006/relationships/hyperlink" Target="../../../Users/User/Dropbox/FOREX/2019/F499" TargetMode="External" Id="rId869" /><Relationship Type="http://schemas.openxmlformats.org/officeDocument/2006/relationships/hyperlink" Target="../../../Users/User/Dropbox/FOREX/2019/F497" TargetMode="External" Id="rId870" /><Relationship Type="http://schemas.openxmlformats.org/officeDocument/2006/relationships/hyperlink" Target="../../../Users/User/Dropbox/FOREX/2019/F494" TargetMode="External" Id="rId871" /><Relationship Type="http://schemas.openxmlformats.org/officeDocument/2006/relationships/hyperlink" Target="../../../Users/User/Dropbox/FOREX/2019/F496" TargetMode="External" Id="rId872" /><Relationship Type="http://schemas.openxmlformats.org/officeDocument/2006/relationships/hyperlink" Target="../../../Users/User/Dropbox/FOREX/2019/F495" TargetMode="External" Id="rId873" /><Relationship Type="http://schemas.openxmlformats.org/officeDocument/2006/relationships/hyperlink" Target="../../../Users/User/Dropbox/FOREX/2019/F493" TargetMode="External" Id="rId874" /><Relationship Type="http://schemas.openxmlformats.org/officeDocument/2006/relationships/hyperlink" Target="../../../Users/User/Dropbox/FOREX/2019/F491" TargetMode="External" Id="rId875" /><Relationship Type="http://schemas.openxmlformats.org/officeDocument/2006/relationships/hyperlink" Target="../../../Users/User/Dropbox/FOREX/2019/F492" TargetMode="External" Id="rId876" /><Relationship Type="http://schemas.openxmlformats.org/officeDocument/2006/relationships/hyperlink" Target="../../../Users/User/Dropbox/FOREX/2019/F488" TargetMode="External" Id="rId877" /><Relationship Type="http://schemas.openxmlformats.org/officeDocument/2006/relationships/hyperlink" Target="../../../Users/User/Dropbox/FOREX/2019/F490" TargetMode="External" Id="rId878" /><Relationship Type="http://schemas.openxmlformats.org/officeDocument/2006/relationships/hyperlink" Target="../../../Users/User/Dropbox/FOREX/2019/F487" TargetMode="External" Id="rId879" /><Relationship Type="http://schemas.openxmlformats.org/officeDocument/2006/relationships/hyperlink" Target="../../../Users/User/Dropbox/FOREX/2019/F489" TargetMode="External" Id="rId880" /><Relationship Type="http://schemas.openxmlformats.org/officeDocument/2006/relationships/hyperlink" Target="../../../Users/User/Dropbox/FOREX/2019/F486" TargetMode="External" Id="rId881" /><Relationship Type="http://schemas.openxmlformats.org/officeDocument/2006/relationships/hyperlink" Target="../../../Users/User/Dropbox/FOREX/2019/F485" TargetMode="External" Id="rId882" /><Relationship Type="http://schemas.openxmlformats.org/officeDocument/2006/relationships/hyperlink" Target="../../../Users/User/Dropbox/FOREX/2019/F482" TargetMode="External" Id="rId883" /><Relationship Type="http://schemas.openxmlformats.org/officeDocument/2006/relationships/hyperlink" Target="../../../Users/User/Dropbox/FOREX/2019/F484" TargetMode="External" Id="rId884" /><Relationship Type="http://schemas.openxmlformats.org/officeDocument/2006/relationships/hyperlink" Target="../../../Users/User/Dropbox/FOREX/2019/F483" TargetMode="External" Id="rId885" /><Relationship Type="http://schemas.openxmlformats.org/officeDocument/2006/relationships/hyperlink" Target="../../../Users/User/Dropbox/FOREX/2019/F479" TargetMode="External" Id="rId886" /><Relationship Type="http://schemas.openxmlformats.org/officeDocument/2006/relationships/hyperlink" Target="../../../Users/User/Dropbox/FOREX/2019/F480" TargetMode="External" Id="rId887" /><Relationship Type="http://schemas.openxmlformats.org/officeDocument/2006/relationships/hyperlink" Target="../../../Users/User/Dropbox/FOREX/2019/F481" TargetMode="External" Id="rId888" /><Relationship Type="http://schemas.openxmlformats.org/officeDocument/2006/relationships/hyperlink" Target="../../../Users/User/Dropbox/FOREX/2019/F475" TargetMode="External" Id="rId889" /><Relationship Type="http://schemas.openxmlformats.org/officeDocument/2006/relationships/hyperlink" Target="../../../Users/User/Dropbox/FOREX/2019/F472" TargetMode="External" Id="rId890" /><Relationship Type="http://schemas.openxmlformats.org/officeDocument/2006/relationships/hyperlink" Target="../../../Users/User/Dropbox/FOREX/2019/F471" TargetMode="External" Id="rId891" /><Relationship Type="http://schemas.openxmlformats.org/officeDocument/2006/relationships/hyperlink" Target="../../../Users/User/Dropbox/FOREX/2019/F474" TargetMode="External" Id="rId892" /><Relationship Type="http://schemas.openxmlformats.org/officeDocument/2006/relationships/hyperlink" Target="../../../Users/User/Dropbox/FOREX/2019/F473" TargetMode="External" Id="rId893" /><Relationship Type="http://schemas.openxmlformats.org/officeDocument/2006/relationships/hyperlink" Target="../../../Users/User/Dropbox/FOREX/2019/F477" TargetMode="External" Id="rId894" /><Relationship Type="http://schemas.openxmlformats.org/officeDocument/2006/relationships/hyperlink" Target="../../../Users/User/Dropbox/FOREX/2019/F478" TargetMode="External" Id="rId895" /><Relationship Type="http://schemas.openxmlformats.org/officeDocument/2006/relationships/hyperlink" Target="../../../Users/User/Dropbox/FOREX/2019/F476" TargetMode="External" Id="rId896" /><Relationship Type="http://schemas.openxmlformats.org/officeDocument/2006/relationships/hyperlink" Target="../../../Users/User/Dropbox/FOREX/2019/F468" TargetMode="External" Id="rId897" /><Relationship Type="http://schemas.openxmlformats.org/officeDocument/2006/relationships/hyperlink" Target="../../../Users/User/Dropbox/FOREX/2019/F466" TargetMode="External" Id="rId898" /><Relationship Type="http://schemas.openxmlformats.org/officeDocument/2006/relationships/hyperlink" Target="../../../Users/User/Dropbox/FOREX/2019/F464" TargetMode="External" Id="rId899" /><Relationship Type="http://schemas.openxmlformats.org/officeDocument/2006/relationships/hyperlink" Target="../../../Users/User/Dropbox/FOREX/2019/F460" TargetMode="External" Id="rId900" /><Relationship Type="http://schemas.openxmlformats.org/officeDocument/2006/relationships/hyperlink" Target="../../../Users/User/Dropbox/FOREX/2019/F461" TargetMode="External" Id="rId901" /><Relationship Type="http://schemas.openxmlformats.org/officeDocument/2006/relationships/hyperlink" Target="../../../Users/User/Dropbox/FOREX/2019/F463" TargetMode="External" Id="rId902" /><Relationship Type="http://schemas.openxmlformats.org/officeDocument/2006/relationships/hyperlink" Target="../../../Users/User/Dropbox/FOREX/2019/F457" TargetMode="External" Id="rId903" /><Relationship Type="http://schemas.openxmlformats.org/officeDocument/2006/relationships/hyperlink" Target="../../../Users/User/Dropbox/FOREX/2019/F458" TargetMode="External" Id="rId904" /><Relationship Type="http://schemas.openxmlformats.org/officeDocument/2006/relationships/hyperlink" Target="../../../Users/User/Dropbox/FOREX/2019/F456" TargetMode="External" Id="rId905" /><Relationship Type="http://schemas.openxmlformats.org/officeDocument/2006/relationships/hyperlink" Target="../../../Users/User/Dropbox/FOREX/2019/F459" TargetMode="External" Id="rId906" /><Relationship Type="http://schemas.openxmlformats.org/officeDocument/2006/relationships/hyperlink" Target="../../../Users/User/Dropbox/FOREX/2019/F470" TargetMode="External" Id="rId907" /><Relationship Type="http://schemas.openxmlformats.org/officeDocument/2006/relationships/hyperlink" Target="../../../Users/User/Dropbox/FOREX/2019/F462" TargetMode="External" Id="rId908" /><Relationship Type="http://schemas.openxmlformats.org/officeDocument/2006/relationships/hyperlink" Target="../../../Users/User/Dropbox/FOREX/2019/F469" TargetMode="External" Id="rId909" /><Relationship Type="http://schemas.openxmlformats.org/officeDocument/2006/relationships/hyperlink" Target="../../../Users/User/Dropbox/FOREX/2019/F465" TargetMode="External" Id="rId910" /><Relationship Type="http://schemas.openxmlformats.org/officeDocument/2006/relationships/hyperlink" Target="../../../Users/User/Dropbox/FOREX/2019/F467" TargetMode="External" Id="rId911" /><Relationship Type="http://schemas.openxmlformats.org/officeDocument/2006/relationships/hyperlink" Target="../../../Users/User/Dropbox/FOREX/2019/F455" TargetMode="External" Id="rId912" /><Relationship Type="http://schemas.openxmlformats.org/officeDocument/2006/relationships/hyperlink" Target="../../../Users/User/Dropbox/FOREX/2019/F452" TargetMode="External" Id="rId913" /><Relationship Type="http://schemas.openxmlformats.org/officeDocument/2006/relationships/hyperlink" Target="../../../Users/User/Dropbox/FOREX/2019/F453" TargetMode="External" Id="rId914" /><Relationship Type="http://schemas.openxmlformats.org/officeDocument/2006/relationships/hyperlink" Target="../../../Users/User/Dropbox/FOREX/2019/F454" TargetMode="External" Id="rId915" /><Relationship Type="http://schemas.openxmlformats.org/officeDocument/2006/relationships/hyperlink" Target="../../../Users/User/Dropbox/FOREX/2019/F451" TargetMode="External" Id="rId916" /><Relationship Type="http://schemas.openxmlformats.org/officeDocument/2006/relationships/hyperlink" Target="../../../Users/User/Dropbox/FOREX/2019/F449" TargetMode="External" Id="rId917" /><Relationship Type="http://schemas.openxmlformats.org/officeDocument/2006/relationships/hyperlink" Target="../../../Users/User/Dropbox/FOREX/2019/F450" TargetMode="External" Id="rId918" /><Relationship Type="http://schemas.openxmlformats.org/officeDocument/2006/relationships/hyperlink" Target="../../../Users/User/Dropbox/FOREX/2019/F448" TargetMode="External" Id="rId919" /><Relationship Type="http://schemas.openxmlformats.org/officeDocument/2006/relationships/hyperlink" Target="../../../Users/User/Dropbox/FOREX/2019/F446" TargetMode="External" Id="rId920" /><Relationship Type="http://schemas.openxmlformats.org/officeDocument/2006/relationships/hyperlink" Target="../../../Users/User/Dropbox/FOREX/2019/F447" TargetMode="External" Id="rId921" /><Relationship Type="http://schemas.openxmlformats.org/officeDocument/2006/relationships/hyperlink" Target="../../../Users/User/Dropbox/FOREX/2019/F445" TargetMode="External" Id="rId922" /><Relationship Type="http://schemas.openxmlformats.org/officeDocument/2006/relationships/hyperlink" Target="../../../Users/User/Dropbox/FOREX/2019/F444" TargetMode="External" Id="rId923" /><Relationship Type="http://schemas.openxmlformats.org/officeDocument/2006/relationships/hyperlink" Target="../../../Users/User/Dropbox/FOREX/2019/F443" TargetMode="External" Id="rId924" /><Relationship Type="http://schemas.openxmlformats.org/officeDocument/2006/relationships/hyperlink" Target="../../../Users/User/Dropbox/FOREX/2019/F442" TargetMode="External" Id="rId925" /><Relationship Type="http://schemas.openxmlformats.org/officeDocument/2006/relationships/hyperlink" Target="../../../Users/User/Dropbox/FOREX/2019/F441" TargetMode="External" Id="rId926" /><Relationship Type="http://schemas.openxmlformats.org/officeDocument/2006/relationships/hyperlink" Target="../../../Users/User/Dropbox/FOREX/2019/F440" TargetMode="External" Id="rId927" /><Relationship Type="http://schemas.openxmlformats.org/officeDocument/2006/relationships/hyperlink" Target="../../../Users/User/Dropbox/FOREX/2019/F439" TargetMode="External" Id="rId928" /><Relationship Type="http://schemas.openxmlformats.org/officeDocument/2006/relationships/hyperlink" Target="../../../Users/User/Dropbox/FOREX/2019/F438" TargetMode="External" Id="rId929" /><Relationship Type="http://schemas.openxmlformats.org/officeDocument/2006/relationships/hyperlink" Target="../../../Users/User/Dropbox/FOREX/2019/F436" TargetMode="External" Id="rId930" /><Relationship Type="http://schemas.openxmlformats.org/officeDocument/2006/relationships/hyperlink" Target="../../../Users/User/Dropbox/FOREX/2019/F437" TargetMode="External" Id="rId931" /><Relationship Type="http://schemas.openxmlformats.org/officeDocument/2006/relationships/hyperlink" Target="../../../Users/User/Dropbox/FOREX/2019/F435" TargetMode="External" Id="rId932" /><Relationship Type="http://schemas.openxmlformats.org/officeDocument/2006/relationships/hyperlink" Target="../../../Users/User/Dropbox/FOREX/2019/F432" TargetMode="External" Id="rId933" /><Relationship Type="http://schemas.openxmlformats.org/officeDocument/2006/relationships/hyperlink" Target="../../../Users/User/Dropbox/FOREX/2019/F433" TargetMode="External" Id="rId934" /><Relationship Type="http://schemas.openxmlformats.org/officeDocument/2006/relationships/hyperlink" Target="../../../Users/User/Dropbox/FOREX/2019/F434" TargetMode="External" Id="rId935" /><Relationship Type="http://schemas.openxmlformats.org/officeDocument/2006/relationships/hyperlink" Target="../../../Users/User/Dropbox/FOREX/2019/F431" TargetMode="External" Id="rId936" /><Relationship Type="http://schemas.openxmlformats.org/officeDocument/2006/relationships/hyperlink" Target="../../../Users/User/Dropbox/FOREX/2019/F430" TargetMode="External" Id="rId937" /><Relationship Type="http://schemas.openxmlformats.org/officeDocument/2006/relationships/hyperlink" Target="../../../Users/User/Dropbox/FOREX/2019/F428" TargetMode="External" Id="rId938" /><Relationship Type="http://schemas.openxmlformats.org/officeDocument/2006/relationships/hyperlink" Target="../../../Users/User/Dropbox/FOREX/2019/F427" TargetMode="External" Id="rId939" /><Relationship Type="http://schemas.openxmlformats.org/officeDocument/2006/relationships/hyperlink" Target="../../../Users/User/Dropbox/FOREX/2019/F429" TargetMode="External" Id="rId940" /><Relationship Type="http://schemas.openxmlformats.org/officeDocument/2006/relationships/hyperlink" Target="../../../Users/User/Dropbox/FOREX/2019/F426" TargetMode="External" Id="rId941" /><Relationship Type="http://schemas.openxmlformats.org/officeDocument/2006/relationships/hyperlink" Target="../../../Users/User/Dropbox/FOREX/2019/F423" TargetMode="External" Id="rId942" /><Relationship Type="http://schemas.openxmlformats.org/officeDocument/2006/relationships/hyperlink" Target="../../../Users/User/Dropbox/FOREX/2019/F419" TargetMode="External" Id="rId943" /><Relationship Type="http://schemas.openxmlformats.org/officeDocument/2006/relationships/hyperlink" Target="../../../Users/User/Dropbox/FOREX/2019/F422" TargetMode="External" Id="rId944" /><Relationship Type="http://schemas.openxmlformats.org/officeDocument/2006/relationships/hyperlink" Target="../../../Users/User/Dropbox/FOREX/2019/F421" TargetMode="External" Id="rId945" /><Relationship Type="http://schemas.openxmlformats.org/officeDocument/2006/relationships/hyperlink" Target="../../../Users/User/Dropbox/FOREX/2019/F424" TargetMode="External" Id="rId946" /><Relationship Type="http://schemas.openxmlformats.org/officeDocument/2006/relationships/hyperlink" Target="../../../Users/User/Dropbox/FOREX/2019/F418" TargetMode="External" Id="rId947" /><Relationship Type="http://schemas.openxmlformats.org/officeDocument/2006/relationships/hyperlink" Target="../../../Users/User/Dropbox/FOREX/2019/F420" TargetMode="External" Id="rId948" /><Relationship Type="http://schemas.openxmlformats.org/officeDocument/2006/relationships/hyperlink" Target="../../../Users/User/Dropbox/FOREX/2019/F425" TargetMode="External" Id="rId949" /><Relationship Type="http://schemas.openxmlformats.org/officeDocument/2006/relationships/hyperlink" Target="../../../Users/User/Dropbox/FOREX/2019/F417" TargetMode="External" Id="rId950" /><Relationship Type="http://schemas.openxmlformats.org/officeDocument/2006/relationships/hyperlink" Target="../../../Users/User/Dropbox/FOREX/2019/F416" TargetMode="External" Id="rId951" /><Relationship Type="http://schemas.openxmlformats.org/officeDocument/2006/relationships/hyperlink" Target="../../../Users/User/Dropbox/FOREX/2019/F414" TargetMode="External" Id="rId952" /><Relationship Type="http://schemas.openxmlformats.org/officeDocument/2006/relationships/hyperlink" Target="../../../Users/User/Dropbox/FOREX/2019/F413" TargetMode="External" Id="rId953" /><Relationship Type="http://schemas.openxmlformats.org/officeDocument/2006/relationships/hyperlink" Target="../../../Users/User/Dropbox/FOREX/2019/F415" TargetMode="External" Id="rId954" /><Relationship Type="http://schemas.openxmlformats.org/officeDocument/2006/relationships/hyperlink" Target="../../../Users/User/Dropbox/FOREX/2019/F411" TargetMode="External" Id="rId955" /><Relationship Type="http://schemas.openxmlformats.org/officeDocument/2006/relationships/hyperlink" Target="../../../Users/User/Dropbox/FOREX/2019/F410" TargetMode="External" Id="rId956" /><Relationship Type="http://schemas.openxmlformats.org/officeDocument/2006/relationships/hyperlink" Target="../../../Users/User/Dropbox/FOREX/2019/F412" TargetMode="External" Id="rId957" /><Relationship Type="http://schemas.openxmlformats.org/officeDocument/2006/relationships/hyperlink" Target="../../../Users/User/Dropbox/FOREX/2019/F408" TargetMode="External" Id="rId958" /><Relationship Type="http://schemas.openxmlformats.org/officeDocument/2006/relationships/hyperlink" Target="../../../Users/User/Dropbox/FOREX/2019/F407" TargetMode="External" Id="rId959" /><Relationship Type="http://schemas.openxmlformats.org/officeDocument/2006/relationships/hyperlink" Target="../../../Users/User/Dropbox/FOREX/2019/F409" TargetMode="External" Id="rId960" /><Relationship Type="http://schemas.openxmlformats.org/officeDocument/2006/relationships/hyperlink" Target="../../../Users/User/Dropbox/FOREX/2019/F406" TargetMode="External" Id="rId961" /><Relationship Type="http://schemas.openxmlformats.org/officeDocument/2006/relationships/hyperlink" Target="../../../Users/User/Dropbox/FOREX/2019/F403" TargetMode="External" Id="rId962" /><Relationship Type="http://schemas.openxmlformats.org/officeDocument/2006/relationships/hyperlink" Target="../../../Users/User/Dropbox/FOREX/2019/F405" TargetMode="External" Id="rId963" /><Relationship Type="http://schemas.openxmlformats.org/officeDocument/2006/relationships/hyperlink" Target="../../../Users/User/Dropbox/FOREX/2019/F404" TargetMode="External" Id="rId964" /><Relationship Type="http://schemas.openxmlformats.org/officeDocument/2006/relationships/hyperlink" Target="../../../Users/User/Dropbox/FOREX/2019/F402" TargetMode="External" Id="rId965" /><Relationship Type="http://schemas.openxmlformats.org/officeDocument/2006/relationships/hyperlink" Target="../../../Users/User/Dropbox/FOREX/2019/F399" TargetMode="External" Id="rId966" /><Relationship Type="http://schemas.openxmlformats.org/officeDocument/2006/relationships/hyperlink" Target="../../../Users/User/Dropbox/FOREX/2019/F401" TargetMode="External" Id="rId967" /><Relationship Type="http://schemas.openxmlformats.org/officeDocument/2006/relationships/hyperlink" Target="../../../Users/User/Dropbox/FOREX/2019/F400" TargetMode="External" Id="rId968" /><Relationship Type="http://schemas.openxmlformats.org/officeDocument/2006/relationships/hyperlink" Target="../../../Users/User/Dropbox/FOREX/2019/F396" TargetMode="External" Id="rId969" /><Relationship Type="http://schemas.openxmlformats.org/officeDocument/2006/relationships/hyperlink" Target="../../../Users/User/Dropbox/FOREX/2019/F398" TargetMode="External" Id="rId970" /><Relationship Type="http://schemas.openxmlformats.org/officeDocument/2006/relationships/hyperlink" Target="../../../Users/User/Dropbox/FOREX/2019/F394" TargetMode="External" Id="rId971" /><Relationship Type="http://schemas.openxmlformats.org/officeDocument/2006/relationships/hyperlink" Target="../../../Users/User/Dropbox/FOREX/2019/F393" TargetMode="External" Id="rId972" /><Relationship Type="http://schemas.openxmlformats.org/officeDocument/2006/relationships/hyperlink" Target="../../../Users/User/Dropbox/FOREX/2019/F395" TargetMode="External" Id="rId973" /><Relationship Type="http://schemas.openxmlformats.org/officeDocument/2006/relationships/hyperlink" Target="../../../Users/User/Dropbox/FOREX/2019/F397" TargetMode="External" Id="rId974" /><Relationship Type="http://schemas.openxmlformats.org/officeDocument/2006/relationships/hyperlink" Target="../../../Users/User/Dropbox/FOREX/2019/F392" TargetMode="External" Id="rId975" /><Relationship Type="http://schemas.openxmlformats.org/officeDocument/2006/relationships/hyperlink" Target="../../../Users/User/Dropbox/FOREX/2019/F391" TargetMode="External" Id="rId976" /><Relationship Type="http://schemas.openxmlformats.org/officeDocument/2006/relationships/hyperlink" Target="../../../Users/User/Dropbox/FOREX/2019/F389" TargetMode="External" Id="rId977" /><Relationship Type="http://schemas.openxmlformats.org/officeDocument/2006/relationships/hyperlink" Target="../../../Users/User/Dropbox/FOREX/2019/F390" TargetMode="External" Id="rId978" /><Relationship Type="http://schemas.openxmlformats.org/officeDocument/2006/relationships/hyperlink" Target="../../../Users/User/Dropbox/FOREX/2018/F376" TargetMode="External" Id="rId979" /><Relationship Type="http://schemas.openxmlformats.org/officeDocument/2006/relationships/hyperlink" Target="../../../Users/User/Dropbox/FOREX/2019/F377" TargetMode="External" Id="rId980" /><Relationship Type="http://schemas.openxmlformats.org/officeDocument/2006/relationships/hyperlink" Target="../../../Users/User/Dropbox/FOREX/2018/F375" TargetMode="External" Id="rId981" /><Relationship Type="http://schemas.openxmlformats.org/officeDocument/2006/relationships/hyperlink" Target="../../../Users/User/Dropbox/FOREX/2018/F374" TargetMode="External" Id="rId982" /><Relationship Type="http://schemas.openxmlformats.org/officeDocument/2006/relationships/hyperlink" Target="../../../Users/User/Dropbox/FOREX/2018/F372" TargetMode="External" Id="rId983" /><Relationship Type="http://schemas.openxmlformats.org/officeDocument/2006/relationships/hyperlink" Target="../../../Users/User/Dropbox/FOREX/2018/F373" TargetMode="External" Id="rId984" /><Relationship Type="http://schemas.openxmlformats.org/officeDocument/2006/relationships/hyperlink" Target="../../../Users/User/Dropbox/FOREX/2018/F371" TargetMode="External" Id="rId985" /><Relationship Type="http://schemas.openxmlformats.org/officeDocument/2006/relationships/hyperlink" Target="../../../Users/User/Dropbox/FOREX/2018/F369" TargetMode="External" Id="rId986" /><Relationship Type="http://schemas.openxmlformats.org/officeDocument/2006/relationships/hyperlink" Target="../../../Users/User/Dropbox/FOREX/2018/F370" TargetMode="External" Id="rId987" /><Relationship Type="http://schemas.openxmlformats.org/officeDocument/2006/relationships/hyperlink" Target="../../../Users/User/Dropbox/FOREX/2018/F368" TargetMode="External" Id="rId988" /><Relationship Type="http://schemas.openxmlformats.org/officeDocument/2006/relationships/hyperlink" Target="../../../Users/User/Dropbox/FOREX/2018/F367" TargetMode="External" Id="rId989" /><Relationship Type="http://schemas.openxmlformats.org/officeDocument/2006/relationships/hyperlink" Target="../../../Users/User/Dropbox/FOREX/2018/F365" TargetMode="External" Id="rId990" /><Relationship Type="http://schemas.openxmlformats.org/officeDocument/2006/relationships/hyperlink" Target="../../../Users/User/Dropbox/FOREX/2018/F366" TargetMode="External" Id="rId991" /><Relationship Type="http://schemas.openxmlformats.org/officeDocument/2006/relationships/hyperlink" Target="../../../Users/User/Dropbox/FOREX/2018/F362" TargetMode="External" Id="rId992" /><Relationship Type="http://schemas.openxmlformats.org/officeDocument/2006/relationships/hyperlink" Target="../../../Users/User/Dropbox/FOREX/2018/F361" TargetMode="External" Id="rId993" /><Relationship Type="http://schemas.openxmlformats.org/officeDocument/2006/relationships/hyperlink" Target="../../../Users/User/Dropbox/FOREX/2018/F359" TargetMode="External" Id="rId994" /><Relationship Type="http://schemas.openxmlformats.org/officeDocument/2006/relationships/hyperlink" Target="../../../Users/User/Dropbox/FOREX/2018/F360" TargetMode="External" Id="rId995" /><Relationship Type="http://schemas.openxmlformats.org/officeDocument/2006/relationships/hyperlink" Target="../../../Users/User/Dropbox/FOREX/2018/F363" TargetMode="External" Id="rId996" /><Relationship Type="http://schemas.openxmlformats.org/officeDocument/2006/relationships/hyperlink" Target="../../../Users/User/Dropbox/FOREX/2018/F364" TargetMode="External" Id="rId997" /><Relationship Type="http://schemas.openxmlformats.org/officeDocument/2006/relationships/hyperlink" Target="../../../Users/User/Dropbox/FOREX/2018/F358" TargetMode="External" Id="rId998" /><Relationship Type="http://schemas.openxmlformats.org/officeDocument/2006/relationships/hyperlink" Target="../../../Users/User/Dropbox/FOREX/2018/F356" TargetMode="External" Id="rId999" /><Relationship Type="http://schemas.openxmlformats.org/officeDocument/2006/relationships/hyperlink" Target="../../../Users/User/Dropbox/FOREX/2018/F355" TargetMode="External" Id="rId1000" /><Relationship Type="http://schemas.openxmlformats.org/officeDocument/2006/relationships/hyperlink" Target="../../../Users/User/Dropbox/FOREX/2018/F357" TargetMode="External" Id="rId1001" /><Relationship Type="http://schemas.openxmlformats.org/officeDocument/2006/relationships/hyperlink" Target="../../../Users/User/Dropbox/FOREX/2018/F353" TargetMode="External" Id="rId1002" /><Relationship Type="http://schemas.openxmlformats.org/officeDocument/2006/relationships/hyperlink" Target="../../../Users/User/Dropbox/FOREX/2018/F354" TargetMode="External" Id="rId1003" /><Relationship Type="http://schemas.openxmlformats.org/officeDocument/2006/relationships/hyperlink" Target="../../../Users/User/Dropbox/FOREX/2018/F351" TargetMode="External" Id="rId1004" /><Relationship Type="http://schemas.openxmlformats.org/officeDocument/2006/relationships/hyperlink" Target="../../../Users/User/Dropbox/FOREX/2018/F350" TargetMode="External" Id="rId1005" /><Relationship Type="http://schemas.openxmlformats.org/officeDocument/2006/relationships/hyperlink" Target="../../../Users/User/Dropbox/FOREX/2018/F348" TargetMode="External" Id="rId1006" /><Relationship Type="http://schemas.openxmlformats.org/officeDocument/2006/relationships/hyperlink" Target="../../../Users/User/Dropbox/FOREX/2018/F349" TargetMode="External" Id="rId1007" /><Relationship Type="http://schemas.openxmlformats.org/officeDocument/2006/relationships/hyperlink" Target="../../../Users/User/Dropbox/FOREX/2018/F352" TargetMode="External" Id="rId1008" /><Relationship Type="http://schemas.openxmlformats.org/officeDocument/2006/relationships/hyperlink" Target="../../../Users/User/Dropbox/FOREX/2018/F347" TargetMode="External" Id="rId1009" /><Relationship Type="http://schemas.openxmlformats.org/officeDocument/2006/relationships/hyperlink" Target="../../../Users/User/Dropbox/FOREX/2018/F341" TargetMode="External" Id="rId1010" /><Relationship Type="http://schemas.openxmlformats.org/officeDocument/2006/relationships/hyperlink" Target="../../../Users/User/Dropbox/FOREX/2018/F342" TargetMode="External" Id="rId1011" /><Relationship Type="http://schemas.openxmlformats.org/officeDocument/2006/relationships/hyperlink" Target="../../../Users/User/Dropbox/FOREX/2018/F343" TargetMode="External" Id="rId1012" /><Relationship Type="http://schemas.openxmlformats.org/officeDocument/2006/relationships/hyperlink" Target="../../../Users/User/Dropbox/FOREX/2018/F345" TargetMode="External" Id="rId1013" /><Relationship Type="http://schemas.openxmlformats.org/officeDocument/2006/relationships/hyperlink" Target="../../../Users/User/Dropbox/FOREX/2018/F346" TargetMode="External" Id="rId1014" /><Relationship Type="http://schemas.openxmlformats.org/officeDocument/2006/relationships/hyperlink" Target="../../../Users/User/Dropbox/FOREX/2018/F344" TargetMode="External" Id="rId1015" /><Relationship Type="http://schemas.openxmlformats.org/officeDocument/2006/relationships/hyperlink" Target="../../../Users/User/Dropbox/FOREX/2018/F339" TargetMode="External" Id="rId1016" /><Relationship Type="http://schemas.openxmlformats.org/officeDocument/2006/relationships/hyperlink" Target="../../../Users/User/Dropbox/FOREX/2018/F337" TargetMode="External" Id="rId1017" /><Relationship Type="http://schemas.openxmlformats.org/officeDocument/2006/relationships/hyperlink" Target="../../../Users/User/Dropbox/FOREX/2018/F338" TargetMode="External" Id="rId1018" /><Relationship Type="http://schemas.openxmlformats.org/officeDocument/2006/relationships/hyperlink" Target="../../../Users/User/Dropbox/FOREX/2018/F336" TargetMode="External" Id="rId1019" /><Relationship Type="http://schemas.openxmlformats.org/officeDocument/2006/relationships/hyperlink" Target="../../../Users/User/Dropbox/FOREX/2018/F335" TargetMode="External" Id="rId1020" /><Relationship Type="http://schemas.openxmlformats.org/officeDocument/2006/relationships/hyperlink" Target="../../../Users/User/Dropbox/FOREX/2018/F340" TargetMode="External" Id="rId1021" /><Relationship Type="http://schemas.openxmlformats.org/officeDocument/2006/relationships/hyperlink" Target="../../../Users/User/Dropbox/FOREX/2018/F333" TargetMode="External" Id="rId1022" /><Relationship Type="http://schemas.openxmlformats.org/officeDocument/2006/relationships/hyperlink" Target="../../../Users/User/Dropbox/FOREX/2018/F334" TargetMode="External" Id="rId1023" /><Relationship Type="http://schemas.openxmlformats.org/officeDocument/2006/relationships/hyperlink" Target="../../../Users/User/Dropbox/FOREX/2018/F330" TargetMode="External" Id="rId1024" /><Relationship Type="http://schemas.openxmlformats.org/officeDocument/2006/relationships/hyperlink" Target="../../../Users/User/Dropbox/FOREX/2018/F332" TargetMode="External" Id="rId1025" /><Relationship Type="http://schemas.openxmlformats.org/officeDocument/2006/relationships/hyperlink" Target="../../../Users/User/Dropbox/FOREX/2018/F331" TargetMode="External" Id="rId1026" /><Relationship Type="http://schemas.openxmlformats.org/officeDocument/2006/relationships/hyperlink" Target="../../../Users/User/Dropbox/FOREX/2018/F329" TargetMode="External" Id="rId1027" /><Relationship Type="http://schemas.openxmlformats.org/officeDocument/2006/relationships/hyperlink" Target="../../../Users/User/Dropbox/FOREX/2018/F328" TargetMode="External" Id="rId1028" /><Relationship Type="http://schemas.openxmlformats.org/officeDocument/2006/relationships/hyperlink" Target="../../../Users/User/Dropbox/FOREX/2018/F327" TargetMode="External" Id="rId1029" /><Relationship Type="http://schemas.openxmlformats.org/officeDocument/2006/relationships/hyperlink" Target="../../../Users/User/Dropbox/FOREX/2018/F326" TargetMode="External" Id="rId1030" /><Relationship Type="http://schemas.openxmlformats.org/officeDocument/2006/relationships/hyperlink" Target="../../../Users/User/Dropbox/FOREX/2018/F325" TargetMode="External" Id="rId1031" /><Relationship Type="http://schemas.openxmlformats.org/officeDocument/2006/relationships/hyperlink" Target="../../../Users/User/Dropbox/FOREX/2018/F324" TargetMode="External" Id="rId1032" /><Relationship Type="http://schemas.openxmlformats.org/officeDocument/2006/relationships/hyperlink" Target="../../../Users/User/Dropbox/FOREX/2018/F323" TargetMode="External" Id="rId1033" /><Relationship Type="http://schemas.openxmlformats.org/officeDocument/2006/relationships/hyperlink" Target="../../../Users/User/Dropbox/FOREX/2018/F322" TargetMode="External" Id="rId1034" /><Relationship Type="http://schemas.openxmlformats.org/officeDocument/2006/relationships/hyperlink" Target="../../../Users/User/Dropbox/FOREX/2018/F321" TargetMode="External" Id="rId1035" /><Relationship Type="http://schemas.openxmlformats.org/officeDocument/2006/relationships/hyperlink" Target="../../../Users/User/Dropbox/FOREX/2018/F320" TargetMode="External" Id="rId1036" /><Relationship Type="http://schemas.openxmlformats.org/officeDocument/2006/relationships/hyperlink" Target="../../../Users/User/Dropbox/FOREX/2018/F319" TargetMode="External" Id="rId1037" /><Relationship Type="http://schemas.openxmlformats.org/officeDocument/2006/relationships/hyperlink" Target="../../../Users/User/Dropbox/FOREX/2018/F318" TargetMode="External" Id="rId1038" /><Relationship Type="http://schemas.openxmlformats.org/officeDocument/2006/relationships/hyperlink" Target="../../../Users/User/Dropbox/FOREX/2018/F316" TargetMode="External" Id="rId1039" /><Relationship Type="http://schemas.openxmlformats.org/officeDocument/2006/relationships/hyperlink" Target="../../../Users/User/Dropbox/FOREX/2018/F317" TargetMode="External" Id="rId1040" /><Relationship Type="http://schemas.openxmlformats.org/officeDocument/2006/relationships/hyperlink" Target="../../../Users/User/Dropbox/FOREX/2018/F315" TargetMode="External" Id="rId1041" /><Relationship Type="http://schemas.openxmlformats.org/officeDocument/2006/relationships/hyperlink" Target="../../../Users/User/Dropbox/FOREX/2018/F314" TargetMode="External" Id="rId1042" /><Relationship Type="http://schemas.openxmlformats.org/officeDocument/2006/relationships/hyperlink" Target="../../../Users/User/Dropbox/FOREX/2018/F313" TargetMode="External" Id="rId1043" /><Relationship Type="http://schemas.openxmlformats.org/officeDocument/2006/relationships/hyperlink" Target="../../../Users/User/Dropbox/FOREX/2018/F310" TargetMode="External" Id="rId1044" /><Relationship Type="http://schemas.openxmlformats.org/officeDocument/2006/relationships/hyperlink" Target="../../../Users/User/Dropbox/FOREX/2018/F308" TargetMode="External" Id="rId1045" /><Relationship Type="http://schemas.openxmlformats.org/officeDocument/2006/relationships/hyperlink" Target="../../../Users/User/Dropbox/FOREX/2018/F312" TargetMode="External" Id="rId1046" /><Relationship Type="http://schemas.openxmlformats.org/officeDocument/2006/relationships/hyperlink" Target="../../../Users/User/Dropbox/FOREX/2018/F309" TargetMode="External" Id="rId1047" /><Relationship Type="http://schemas.openxmlformats.org/officeDocument/2006/relationships/hyperlink" Target="../../../Users/User/Dropbox/FOREX/2018/F311" TargetMode="External" Id="rId1048" /><Relationship Type="http://schemas.openxmlformats.org/officeDocument/2006/relationships/hyperlink" Target="../../../Users/User/Dropbox/FOREX/2018/F306" TargetMode="External" Id="rId1049" /><Relationship Type="http://schemas.openxmlformats.org/officeDocument/2006/relationships/hyperlink" Target="../../../Users/User/Dropbox/FOREX/2018/F307" TargetMode="External" Id="rId1050" /><Relationship Type="http://schemas.openxmlformats.org/officeDocument/2006/relationships/hyperlink" Target="../../../Users/User/Dropbox/FOREX/2018/F305" TargetMode="External" Id="rId1051" /><Relationship Type="http://schemas.openxmlformats.org/officeDocument/2006/relationships/hyperlink" Target="../../../Users/User/Dropbox/FOREX/2018/F304" TargetMode="External" Id="rId1052" /><Relationship Type="http://schemas.openxmlformats.org/officeDocument/2006/relationships/hyperlink" Target="../../../Users/User/Dropbox/FOREX/2018/F302" TargetMode="External" Id="rId1053" /><Relationship Type="http://schemas.openxmlformats.org/officeDocument/2006/relationships/hyperlink" Target="../../../Users/User/Dropbox/FOREX/2018/F303" TargetMode="External" Id="rId1054" /><Relationship Type="http://schemas.openxmlformats.org/officeDocument/2006/relationships/hyperlink" Target="../../../Users/User/Dropbox/FOREX/2018/F301" TargetMode="External" Id="rId1055" /><Relationship Type="http://schemas.openxmlformats.org/officeDocument/2006/relationships/hyperlink" Target="../../../Users/User/Dropbox/FOREX/2018/F300" TargetMode="External" Id="rId1056" /><Relationship Type="http://schemas.openxmlformats.org/officeDocument/2006/relationships/hyperlink" Target="../../../Users/User/Dropbox/FOREX/2018/F297" TargetMode="External" Id="rId1057" /><Relationship Type="http://schemas.openxmlformats.org/officeDocument/2006/relationships/hyperlink" Target="../../../Users/User/Dropbox/FOREX/2018/F299" TargetMode="External" Id="rId1058" /><Relationship Type="http://schemas.openxmlformats.org/officeDocument/2006/relationships/hyperlink" Target="../../../Users/User/Dropbox/FOREX/2018/F298" TargetMode="External" Id="rId1059" /><Relationship Type="http://schemas.openxmlformats.org/officeDocument/2006/relationships/hyperlink" Target="../../../Users/User/Dropbox/FOREX/2018/F296" TargetMode="External" Id="rId1060" /><Relationship Type="http://schemas.openxmlformats.org/officeDocument/2006/relationships/hyperlink" Target="../../../Users/User/Dropbox/FOREX/2018/F295" TargetMode="External" Id="rId1061" /><Relationship Type="http://schemas.openxmlformats.org/officeDocument/2006/relationships/hyperlink" Target="../../../Users/User/Dropbox/FOREX/2018/F294" TargetMode="External" Id="rId1062" /><Relationship Type="http://schemas.openxmlformats.org/officeDocument/2006/relationships/hyperlink" Target="../../../Users/User/Dropbox/FOREX/2018/F293" TargetMode="External" Id="rId1063" /><Relationship Type="http://schemas.openxmlformats.org/officeDocument/2006/relationships/hyperlink" Target="../../../Users/User/Dropbox/FOREX/2018/F292" TargetMode="External" Id="rId1064" /><Relationship Type="http://schemas.openxmlformats.org/officeDocument/2006/relationships/hyperlink" Target="../../../Users/User/Dropbox/FOREX/2018/F290" TargetMode="External" Id="rId1065" /><Relationship Type="http://schemas.openxmlformats.org/officeDocument/2006/relationships/hyperlink" Target="../../../Users/User/Dropbox/FOREX/2018/F291" TargetMode="External" Id="rId1066" /><Relationship Type="http://schemas.openxmlformats.org/officeDocument/2006/relationships/hyperlink" Target="../../../Users/User/Dropbox/FOREX/2018/F289" TargetMode="External" Id="rId1067" /><Relationship Type="http://schemas.openxmlformats.org/officeDocument/2006/relationships/hyperlink" Target="../../../Users/User/Dropbox/FOREX/2018/F287" TargetMode="External" Id="rId1068" /><Relationship Type="http://schemas.openxmlformats.org/officeDocument/2006/relationships/hyperlink" Target="../../../Users/User/Dropbox/FOREX/2018/F288" TargetMode="External" Id="rId1069" /><Relationship Type="http://schemas.openxmlformats.org/officeDocument/2006/relationships/hyperlink" Target="../../../Users/User/Dropbox/FOREX/2018/F285" TargetMode="External" Id="rId1070" /><Relationship Type="http://schemas.openxmlformats.org/officeDocument/2006/relationships/hyperlink" Target="../../../Users/User/Dropbox/FOREX/2018/F286" TargetMode="External" Id="rId1071" /><Relationship Type="http://schemas.openxmlformats.org/officeDocument/2006/relationships/hyperlink" Target="../../../Users/User/Dropbox/FOREX/2018/F688" TargetMode="External" Id="rId1072" /><Relationship Type="http://schemas.openxmlformats.org/officeDocument/2006/relationships/hyperlink" Target="../../../Users/User/Dropbox/FOREX/2018/F284" TargetMode="External" Id="rId1073" /><Relationship Type="http://schemas.openxmlformats.org/officeDocument/2006/relationships/hyperlink" Target="../../../Users/User/Dropbox/FOREX/2018/F283" TargetMode="External" Id="rId1074" /><Relationship Type="http://schemas.openxmlformats.org/officeDocument/2006/relationships/hyperlink" Target="../../../Users/User/Dropbox/FOREX/2018/F280" TargetMode="External" Id="rId1075" /><Relationship Type="http://schemas.openxmlformats.org/officeDocument/2006/relationships/hyperlink" Target="../../../Users/User/Dropbox/FOREX/2018/F281" TargetMode="External" Id="rId1076" /><Relationship Type="http://schemas.openxmlformats.org/officeDocument/2006/relationships/hyperlink" Target="../../../Users/User/Dropbox/FOREX/2018/F279" TargetMode="External" Id="rId1077" /><Relationship Type="http://schemas.openxmlformats.org/officeDocument/2006/relationships/hyperlink" Target="../../../Users/User/Dropbox/FOREX/2018/F282" TargetMode="External" Id="rId1078" /><Relationship Type="http://schemas.openxmlformats.org/officeDocument/2006/relationships/hyperlink" Target="../../../Users/User/Dropbox/FOREX/2018/F275" TargetMode="External" Id="rId1079" /><Relationship Type="http://schemas.openxmlformats.org/officeDocument/2006/relationships/hyperlink" Target="../../../Users/User/Dropbox/FOREX/2018/F274" TargetMode="External" Id="rId1080" /><Relationship Type="http://schemas.openxmlformats.org/officeDocument/2006/relationships/hyperlink" Target="../../../Users/User/Dropbox/FOREX/2018/F278" TargetMode="External" Id="rId1081" /><Relationship Type="http://schemas.openxmlformats.org/officeDocument/2006/relationships/hyperlink" Target="../../../Users/User/Dropbox/FOREX/2018/F276" TargetMode="External" Id="rId1082" /><Relationship Type="http://schemas.openxmlformats.org/officeDocument/2006/relationships/hyperlink" Target="../../../Users/User/Dropbox/FOREX/2018/F277" TargetMode="External" Id="rId1083" /><Relationship Type="http://schemas.openxmlformats.org/officeDocument/2006/relationships/hyperlink" Target="../../../Users/User/Dropbox/FOREX/2018/F273" TargetMode="External" Id="rId1084" /><Relationship Type="http://schemas.openxmlformats.org/officeDocument/2006/relationships/hyperlink" Target="../../../Users/User/Dropbox/FOREX/2018/F272" TargetMode="External" Id="rId1085" /><Relationship Type="http://schemas.openxmlformats.org/officeDocument/2006/relationships/hyperlink" Target="../../../Users/User/Dropbox/FOREX/2018/F270" TargetMode="External" Id="rId1086" /><Relationship Type="http://schemas.openxmlformats.org/officeDocument/2006/relationships/hyperlink" Target="../../../Users/User/Dropbox/FOREX/2018/F271" TargetMode="External" Id="rId1087" /><Relationship Type="http://schemas.openxmlformats.org/officeDocument/2006/relationships/hyperlink" Target="../../../Users/User/Dropbox/FOREX/2018/F269" TargetMode="External" Id="rId1088" /><Relationship Type="http://schemas.openxmlformats.org/officeDocument/2006/relationships/hyperlink" Target="../../../Users/User/Dropbox/FOREX/2018/F268" TargetMode="External" Id="rId1089" /><Relationship Type="http://schemas.openxmlformats.org/officeDocument/2006/relationships/hyperlink" Target="../../../Users/User/Dropbox/FOREX/2018/F266" TargetMode="External" Id="rId1090" /><Relationship Type="http://schemas.openxmlformats.org/officeDocument/2006/relationships/hyperlink" Target="../../../Users/User/Dropbox/FOREX/2018/F264" TargetMode="External" Id="rId1091" /><Relationship Type="http://schemas.openxmlformats.org/officeDocument/2006/relationships/hyperlink" Target="../../../Users/User/Dropbox/FOREX/2018/F267" TargetMode="External" Id="rId1092" /><Relationship Type="http://schemas.openxmlformats.org/officeDocument/2006/relationships/hyperlink" Target="../../../Users/User/Dropbox/FOREX/2018/F265" TargetMode="External" Id="rId1093" /><Relationship Type="http://schemas.openxmlformats.org/officeDocument/2006/relationships/hyperlink" Target="../../../Users/User/Dropbox/FOREX/2018/F261" TargetMode="External" Id="rId1094" /><Relationship Type="http://schemas.openxmlformats.org/officeDocument/2006/relationships/hyperlink" Target="../../../Users/User/Dropbox/FOREX/2018/F262" TargetMode="External" Id="rId1095" /><Relationship Type="http://schemas.openxmlformats.org/officeDocument/2006/relationships/hyperlink" Target="../../../Users/User/Dropbox/FOREX/2018/F263" TargetMode="External" Id="rId1096" /><Relationship Type="http://schemas.openxmlformats.org/officeDocument/2006/relationships/hyperlink" Target="../../../Users/User/Dropbox/FOREX/2018/F259" TargetMode="External" Id="rId1097" /><Relationship Type="http://schemas.openxmlformats.org/officeDocument/2006/relationships/hyperlink" Target="../../../Users/User/Dropbox/FOREX/2018/F260" TargetMode="External" Id="rId1098" /><Relationship Type="http://schemas.openxmlformats.org/officeDocument/2006/relationships/hyperlink" Target="../../../Users/User/Dropbox/FOREX/2018/F258" TargetMode="External" Id="rId1099" /><Relationship Type="http://schemas.openxmlformats.org/officeDocument/2006/relationships/hyperlink" Target="../../../Users/User/Dropbox/FOREX/2018/F257" TargetMode="External" Id="rId1100" /><Relationship Type="http://schemas.openxmlformats.org/officeDocument/2006/relationships/hyperlink" Target="../../../Users/User/Dropbox/FOREX/2018/F255" TargetMode="External" Id="rId1101" /><Relationship Type="http://schemas.openxmlformats.org/officeDocument/2006/relationships/hyperlink" Target="../../../Users/User/Dropbox/FOREX/2018/F683" TargetMode="External" Id="rId1102" /><Relationship Type="http://schemas.openxmlformats.org/officeDocument/2006/relationships/hyperlink" Target="../../../Users/User/Dropbox/FOREX/2018/F256" TargetMode="External" Id="rId1103" /><Relationship Type="http://schemas.openxmlformats.org/officeDocument/2006/relationships/hyperlink" Target="../../../Users/User/Dropbox/FOREX/2018/F254" TargetMode="External" Id="rId1104" /><Relationship Type="http://schemas.openxmlformats.org/officeDocument/2006/relationships/hyperlink" Target="../../../Users/User/Dropbox/FOREX/2018/F253" TargetMode="External" Id="rId1105" /><Relationship Type="http://schemas.openxmlformats.org/officeDocument/2006/relationships/hyperlink" Target="../../../Users/User/Dropbox/FOREX/2018/F251" TargetMode="External" Id="rId1106" /><Relationship Type="http://schemas.openxmlformats.org/officeDocument/2006/relationships/hyperlink" Target="../../../Users/User/Dropbox/FOREX/2018/F252" TargetMode="External" Id="rId1107" /><Relationship Type="http://schemas.openxmlformats.org/officeDocument/2006/relationships/hyperlink" Target="../../../Users/User/Dropbox/FOREX/2018/F250" TargetMode="External" Id="rId1108" /><Relationship Type="http://schemas.openxmlformats.org/officeDocument/2006/relationships/hyperlink" Target="../../../Users/User/Dropbox/FOREX/2018/F246" TargetMode="External" Id="rId1109" /><Relationship Type="http://schemas.openxmlformats.org/officeDocument/2006/relationships/hyperlink" Target="../../../Users/User/Dropbox/FOREX/2018/F248" TargetMode="External" Id="rId1110" /><Relationship Type="http://schemas.openxmlformats.org/officeDocument/2006/relationships/hyperlink" Target="../../../Users/User/Dropbox/FOREX/2018/F247" TargetMode="External" Id="rId1111" /><Relationship Type="http://schemas.openxmlformats.org/officeDocument/2006/relationships/hyperlink" Target="../../../Users/User/Dropbox/FOREX/2018/F249" TargetMode="External" Id="rId1112" /><Relationship Type="http://schemas.openxmlformats.org/officeDocument/2006/relationships/hyperlink" Target="../../../Users/User/Dropbox/FOREX/2018/F242" TargetMode="External" Id="rId1113" /><Relationship Type="http://schemas.openxmlformats.org/officeDocument/2006/relationships/hyperlink" Target="../../../Users/User/Dropbox/FOREX/2018/F243" TargetMode="External" Id="rId1114" /><Relationship Type="http://schemas.openxmlformats.org/officeDocument/2006/relationships/hyperlink" Target="../../../Users/User/Dropbox/FOREX/2018/F245" TargetMode="External" Id="rId1115" /><Relationship Type="http://schemas.openxmlformats.org/officeDocument/2006/relationships/hyperlink" Target="../../../Users/User/Dropbox/FOREX/2018/F244" TargetMode="External" Id="rId1116" /><Relationship Type="http://schemas.openxmlformats.org/officeDocument/2006/relationships/hyperlink" Target="../../../Users/User/Dropbox/FOREX/2018/F241" TargetMode="External" Id="rId1117" /><Relationship Type="http://schemas.openxmlformats.org/officeDocument/2006/relationships/hyperlink" Target="../../../Users/User/Dropbox/FOREX/2018/F239" TargetMode="External" Id="rId1118" /><Relationship Type="http://schemas.openxmlformats.org/officeDocument/2006/relationships/hyperlink" Target="../../../Users/User/Dropbox/FOREX/2018/F240" TargetMode="External" Id="rId1119" /><Relationship Type="http://schemas.openxmlformats.org/officeDocument/2006/relationships/hyperlink" Target="../../../Users/User/Dropbox/FOREX/2018/F237" TargetMode="External" Id="rId1120" /><Relationship Type="http://schemas.openxmlformats.org/officeDocument/2006/relationships/hyperlink" Target="../../../Users/User/Dropbox/FOREX/2018/F238" TargetMode="External" Id="rId1121" /><Relationship Type="http://schemas.openxmlformats.org/officeDocument/2006/relationships/hyperlink" Target="../../../Users/User/Dropbox/FOREX/2018/F236" TargetMode="External" Id="rId1122" /><Relationship Type="http://schemas.openxmlformats.org/officeDocument/2006/relationships/hyperlink" Target="../../../Users/User/Dropbox/FOREX/2018/F235" TargetMode="External" Id="rId1123" /><Relationship Type="http://schemas.openxmlformats.org/officeDocument/2006/relationships/hyperlink" Target="../../../Users/User/Dropbox/FOREX/2018/F234" TargetMode="External" Id="rId1124" /><Relationship Type="http://schemas.openxmlformats.org/officeDocument/2006/relationships/hyperlink" Target="../../../Users/User/Dropbox/FOREX/2018/F233" TargetMode="External" Id="rId1125" /><Relationship Type="http://schemas.openxmlformats.org/officeDocument/2006/relationships/hyperlink" Target="../../../Users/User/Dropbox/FOREX/2018/F231" TargetMode="External" Id="rId1126" /><Relationship Type="http://schemas.openxmlformats.org/officeDocument/2006/relationships/hyperlink" Target="../../../Users/User/Dropbox/FOREX/2018/F232" TargetMode="External" Id="rId1127" /><Relationship Type="http://schemas.openxmlformats.org/officeDocument/2006/relationships/hyperlink" Target="../../../Users/User/Dropbox/FOREX/2018/F228" TargetMode="External" Id="rId1128" /><Relationship Type="http://schemas.openxmlformats.org/officeDocument/2006/relationships/hyperlink" Target="../../../Users/User/Dropbox/FOREX/2018/F227" TargetMode="External" Id="rId1129" /><Relationship Type="http://schemas.openxmlformats.org/officeDocument/2006/relationships/hyperlink" Target="../../../Users/User/Dropbox/FOREX/2018/F226" TargetMode="External" Id="rId1130" /><Relationship Type="http://schemas.openxmlformats.org/officeDocument/2006/relationships/hyperlink" Target="../../../Users/User/Dropbox/FOREX/2018/F230" TargetMode="External" Id="rId1131" /><Relationship Type="http://schemas.openxmlformats.org/officeDocument/2006/relationships/hyperlink" Target="../../../Users/User/Dropbox/FOREX/2018/F229" TargetMode="External" Id="rId1132" /><Relationship Type="http://schemas.openxmlformats.org/officeDocument/2006/relationships/hyperlink" Target="../../../Users/User/Dropbox/FOREX/2018/F225" TargetMode="External" Id="rId1133" /><Relationship Type="http://schemas.openxmlformats.org/officeDocument/2006/relationships/hyperlink" Target="../../../Users/User/Dropbox/FOREX/2018/F218" TargetMode="External" Id="rId1134" /><Relationship Type="http://schemas.openxmlformats.org/officeDocument/2006/relationships/hyperlink" Target="../../../Users/User/Dropbox/FOREX/2018/F219" TargetMode="External" Id="rId1135" /><Relationship Type="http://schemas.openxmlformats.org/officeDocument/2006/relationships/hyperlink" Target="../../../Users/User/Dropbox/FOREX/2018/F224" TargetMode="External" Id="rId1136" /><Relationship Type="http://schemas.openxmlformats.org/officeDocument/2006/relationships/hyperlink" Target="../../../Users/User/Dropbox/FOREX/2018/F221" TargetMode="External" Id="rId1137" /><Relationship Type="http://schemas.openxmlformats.org/officeDocument/2006/relationships/hyperlink" Target="../../../Users/User/Dropbox/FOREX/2018/F223" TargetMode="External" Id="rId1138" /><Relationship Type="http://schemas.openxmlformats.org/officeDocument/2006/relationships/hyperlink" Target="../../../Users/User/Dropbox/FOREX/2018/F222" TargetMode="External" Id="rId1139" /><Relationship Type="http://schemas.openxmlformats.org/officeDocument/2006/relationships/hyperlink" Target="../../../Users/User/Dropbox/FOREX/2018/F220" TargetMode="External" Id="rId1140" /><Relationship Type="http://schemas.openxmlformats.org/officeDocument/2006/relationships/hyperlink" Target="../../../Users/User/Dropbox/FOREX/2018/F217" TargetMode="External" Id="rId1141" /><Relationship Type="http://schemas.openxmlformats.org/officeDocument/2006/relationships/hyperlink" Target="../../../Users/User/Dropbox/FOREX/2018/F216" TargetMode="External" Id="rId1142" /><Relationship Type="http://schemas.openxmlformats.org/officeDocument/2006/relationships/hyperlink" Target="../../../Users/User/Dropbox/FOREX/2018/F211" TargetMode="External" Id="rId1143" /><Relationship Type="http://schemas.openxmlformats.org/officeDocument/2006/relationships/hyperlink" Target="../../../Users/User/Dropbox/FOREX/2018/F215" TargetMode="External" Id="rId1144" /><Relationship Type="http://schemas.openxmlformats.org/officeDocument/2006/relationships/hyperlink" Target="../../../Users/User/Dropbox/FOREX/2018/F214" TargetMode="External" Id="rId1145" /><Relationship Type="http://schemas.openxmlformats.org/officeDocument/2006/relationships/hyperlink" Target="../../../Users/User/Dropbox/FOREX/2018/F213" TargetMode="External" Id="rId1146" /><Relationship Type="http://schemas.openxmlformats.org/officeDocument/2006/relationships/hyperlink" Target="../../../Users/User/Dropbox/FOREX/2018/F212" TargetMode="External" Id="rId1147" /><Relationship Type="http://schemas.openxmlformats.org/officeDocument/2006/relationships/hyperlink" Target="../../../Users/User/Dropbox/FOREX/2018/F209" TargetMode="External" Id="rId1148" /><Relationship Type="http://schemas.openxmlformats.org/officeDocument/2006/relationships/hyperlink" Target="../../../Users/User/Dropbox/FOREX/2018/F208" TargetMode="External" Id="rId1149" /><Relationship Type="http://schemas.openxmlformats.org/officeDocument/2006/relationships/hyperlink" Target="../../../Users/User/Dropbox/FOREX/2018/F692" TargetMode="External" Id="rId1150" /><Relationship Type="http://schemas.openxmlformats.org/officeDocument/2006/relationships/hyperlink" Target="../../../Users/User/Dropbox/FOREX/2018/F210" TargetMode="External" Id="rId1151" /><Relationship Type="http://schemas.openxmlformats.org/officeDocument/2006/relationships/hyperlink" Target="../../../Users/User/Dropbox/FOREX/2018/F207" TargetMode="External" Id="rId1152" /><Relationship Type="http://schemas.openxmlformats.org/officeDocument/2006/relationships/hyperlink" Target="../../../Users/User/Dropbox/FOREX/2018/F205" TargetMode="External" Id="rId1153" /><Relationship Type="http://schemas.openxmlformats.org/officeDocument/2006/relationships/hyperlink" Target="../../../Users/User/Dropbox/FOREX/2018/F204" TargetMode="External" Id="rId1154" /><Relationship Type="http://schemas.openxmlformats.org/officeDocument/2006/relationships/hyperlink" Target="../../../Users/User/Dropbox/FOREX/2018/F691" TargetMode="External" Id="rId1155" /><Relationship Type="http://schemas.openxmlformats.org/officeDocument/2006/relationships/hyperlink" Target="../../../Users/User/Dropbox/FOREX/2018/F206" TargetMode="External" Id="rId1156" /><Relationship Type="http://schemas.openxmlformats.org/officeDocument/2006/relationships/hyperlink" Target="../../../Users/User/Dropbox/FOREX/2018/F202" TargetMode="External" Id="rId1157" /><Relationship Type="http://schemas.openxmlformats.org/officeDocument/2006/relationships/hyperlink" Target="../../../Users/User/Dropbox/FOREX/2018/F203" TargetMode="External" Id="rId1158" /><Relationship Type="http://schemas.openxmlformats.org/officeDocument/2006/relationships/hyperlink" Target="../../../Users/User/Dropbox/FOREX/2018/F201" TargetMode="External" Id="rId1159" /><Relationship Type="http://schemas.openxmlformats.org/officeDocument/2006/relationships/hyperlink" Target="../../../Users/User/Dropbox/FOREX/2018/F200" TargetMode="External" Id="rId1160" /><Relationship Type="http://schemas.openxmlformats.org/officeDocument/2006/relationships/hyperlink" Target="../../../Users/User/Dropbox/FOREX/2018/F199" TargetMode="External" Id="rId1161" /><Relationship Type="http://schemas.openxmlformats.org/officeDocument/2006/relationships/hyperlink" Target="../../../Users/User/Dropbox/FOREX/2018/F198" TargetMode="External" Id="rId1162" /><Relationship Type="http://schemas.openxmlformats.org/officeDocument/2006/relationships/hyperlink" Target="../../../Users/User/Dropbox/FOREX/2018/F197" TargetMode="External" Id="rId1163" /><Relationship Type="http://schemas.openxmlformats.org/officeDocument/2006/relationships/hyperlink" Target="../../../Users/User/Dropbox/FOREX/2018/F196" TargetMode="External" Id="rId1164" /><Relationship Type="http://schemas.openxmlformats.org/officeDocument/2006/relationships/hyperlink" Target="../../../Users/User/Dropbox/FOREX/2018/F194" TargetMode="External" Id="rId1165" /><Relationship Type="http://schemas.openxmlformats.org/officeDocument/2006/relationships/hyperlink" Target="../../../Users/User/Dropbox/FOREX/2018/F195" TargetMode="External" Id="rId1166" /><Relationship Type="http://schemas.openxmlformats.org/officeDocument/2006/relationships/hyperlink" Target="../../../Users/User/Dropbox/FOREX/2018/F190" TargetMode="External" Id="rId1167" /><Relationship Type="http://schemas.openxmlformats.org/officeDocument/2006/relationships/hyperlink" Target="../../../Users/User/Dropbox/FOREX/2018/F191" TargetMode="External" Id="rId1168" /><Relationship Type="http://schemas.openxmlformats.org/officeDocument/2006/relationships/hyperlink" Target="../../../Users/User/Dropbox/FOREX/2018/F193" TargetMode="External" Id="rId1169" /><Relationship Type="http://schemas.openxmlformats.org/officeDocument/2006/relationships/hyperlink" Target="../../../Users/User/Dropbox/FOREX/2018/F192" TargetMode="External" Id="rId1170" /><Relationship Type="http://schemas.openxmlformats.org/officeDocument/2006/relationships/hyperlink" Target="../../../Users/User/Dropbox/FOREX/2018/F189" TargetMode="External" Id="rId1171" /><Relationship Type="http://schemas.openxmlformats.org/officeDocument/2006/relationships/hyperlink" Target="../../../Users/User/Dropbox/FOREX/2018/F187" TargetMode="External" Id="rId1172" /><Relationship Type="http://schemas.openxmlformats.org/officeDocument/2006/relationships/hyperlink" Target="../../../Users/User/Dropbox/FOREX/2018/F188" TargetMode="External" Id="rId1173" /><Relationship Type="http://schemas.openxmlformats.org/officeDocument/2006/relationships/hyperlink" Target="../../../Users/User/Dropbox/FOREX/2018/F186" TargetMode="External" Id="rId1174" /><Relationship Type="http://schemas.openxmlformats.org/officeDocument/2006/relationships/hyperlink" Target="../../../Users/User/Dropbox/FOREX/2018/F184" TargetMode="External" Id="rId1175" /><Relationship Type="http://schemas.openxmlformats.org/officeDocument/2006/relationships/hyperlink" Target="../../../Users/User/Dropbox/FOREX/2018/F185" TargetMode="External" Id="rId1176" /><Relationship Type="http://schemas.openxmlformats.org/officeDocument/2006/relationships/hyperlink" Target="../../../Users/User/Dropbox/FOREX/2018/F183" TargetMode="External" Id="rId1177" /><Relationship Type="http://schemas.openxmlformats.org/officeDocument/2006/relationships/hyperlink" Target="../../../Users/User/Dropbox/FOREX/2018/F182" TargetMode="External" Id="rId1178" /><Relationship Type="http://schemas.openxmlformats.org/officeDocument/2006/relationships/hyperlink" Target="../../../Users/User/Dropbox/FOREX/2018/F178" TargetMode="External" Id="rId1179" /><Relationship Type="http://schemas.openxmlformats.org/officeDocument/2006/relationships/hyperlink" Target="../../../Users/User/Dropbox/FOREX/2018/F179" TargetMode="External" Id="rId1180" /><Relationship Type="http://schemas.openxmlformats.org/officeDocument/2006/relationships/hyperlink" Target="../../../Users/User/Dropbox/FOREX/2018/F180" TargetMode="External" Id="rId1181" /><Relationship Type="http://schemas.openxmlformats.org/officeDocument/2006/relationships/hyperlink" Target="../../../Users/User/Dropbox/FOREX/2018/F181" TargetMode="External" Id="rId1182" /><Relationship Type="http://schemas.openxmlformats.org/officeDocument/2006/relationships/hyperlink" Target="../../../Users/User/Dropbox/FOREX/2018/F177" TargetMode="External" Id="rId1183" /><Relationship Type="http://schemas.openxmlformats.org/officeDocument/2006/relationships/hyperlink" Target="../../../Users/User/Dropbox/FOREX/2018/F176" TargetMode="External" Id="rId1184" /><Relationship Type="http://schemas.openxmlformats.org/officeDocument/2006/relationships/hyperlink" Target="../../../Users/User/Dropbox/FOREX/2018/F169" TargetMode="External" Id="rId1185" /><Relationship Type="http://schemas.openxmlformats.org/officeDocument/2006/relationships/hyperlink" Target="../../../Users/User/Dropbox/FOREX/2018/F170" TargetMode="External" Id="rId1186" /><Relationship Type="http://schemas.openxmlformats.org/officeDocument/2006/relationships/hyperlink" Target="../../../Users/User/Dropbox/FOREX/2018/F175" TargetMode="External" Id="rId1187" /><Relationship Type="http://schemas.openxmlformats.org/officeDocument/2006/relationships/hyperlink" Target="../../../Users/User/Dropbox/FOREX/2018/F171" TargetMode="External" Id="rId1188" /><Relationship Type="http://schemas.openxmlformats.org/officeDocument/2006/relationships/hyperlink" Target="../../../Users/User/Dropbox/FOREX/2018/F167" TargetMode="External" Id="rId1189" /><Relationship Type="http://schemas.openxmlformats.org/officeDocument/2006/relationships/hyperlink" Target="../../../Users/User/Dropbox/FOREX/2018/F168" TargetMode="External" Id="rId1190" /><Relationship Type="http://schemas.openxmlformats.org/officeDocument/2006/relationships/hyperlink" Target="../../../Users/User/Dropbox/FOREX/2018/F166" TargetMode="External" Id="rId1191" /><Relationship Type="http://schemas.openxmlformats.org/officeDocument/2006/relationships/hyperlink" Target="../../../Users/User/Dropbox/FOREX/2018/F165" TargetMode="External" Id="rId1192" /><Relationship Type="http://schemas.openxmlformats.org/officeDocument/2006/relationships/hyperlink" Target="../../../Users/User/Dropbox/FOREX/2018/F156" TargetMode="External" Id="rId1193" /><Relationship Type="http://schemas.openxmlformats.org/officeDocument/2006/relationships/hyperlink" Target="../../../Users/User/Dropbox/FOREX/2018/F161" TargetMode="External" Id="rId1194" /><Relationship Type="http://schemas.openxmlformats.org/officeDocument/2006/relationships/hyperlink" Target="../../../Users/User/Dropbox/FOREX/2018/F160" TargetMode="External" Id="rId1195" /><Relationship Type="http://schemas.openxmlformats.org/officeDocument/2006/relationships/hyperlink" Target="../../../Users/User/Dropbox/FOREX/2018/F159" TargetMode="External" Id="rId1196" /><Relationship Type="http://schemas.openxmlformats.org/officeDocument/2006/relationships/hyperlink" Target="../../../Users/User/Dropbox/FOREX/2018/F162" TargetMode="External" Id="rId1197" /><Relationship Type="http://schemas.openxmlformats.org/officeDocument/2006/relationships/hyperlink" Target="../../../Users/User/Dropbox/FOREX/2018/F157" TargetMode="External" Id="rId1198" /><Relationship Type="http://schemas.openxmlformats.org/officeDocument/2006/relationships/hyperlink" Target="../../../Users/User/Dropbox/FOREX/2018/F690" TargetMode="External" Id="rId1199" /><Relationship Type="http://schemas.openxmlformats.org/officeDocument/2006/relationships/hyperlink" Target="../../../Users/User/Dropbox/FOREX/2018/F163" TargetMode="External" Id="rId1200" /><Relationship Type="http://schemas.openxmlformats.org/officeDocument/2006/relationships/hyperlink" Target="../../../Users/User/Dropbox/FOREX/2018/F164" TargetMode="External" Id="rId1201" /><Relationship Type="http://schemas.openxmlformats.org/officeDocument/2006/relationships/hyperlink" Target="../../../Users/User/Dropbox/FOREX/2018/F158" TargetMode="External" Id="rId1202" /><Relationship Type="http://schemas.openxmlformats.org/officeDocument/2006/relationships/hyperlink" Target="../../../Users/User/Dropbox/FOREX/2018/F155" TargetMode="External" Id="rId1203" /><Relationship Type="http://schemas.openxmlformats.org/officeDocument/2006/relationships/hyperlink" Target="../../../Users/User/Dropbox/FOREX/2018/F153" TargetMode="External" Id="rId1204" /><Relationship Type="http://schemas.openxmlformats.org/officeDocument/2006/relationships/hyperlink" Target="../../../Users/User/Dropbox/FOREX/2018/F154" TargetMode="External" Id="rId1205" /><Relationship Type="http://schemas.openxmlformats.org/officeDocument/2006/relationships/hyperlink" Target="../../../Users/User/Dropbox/FOREX/2018/F152" TargetMode="External" Id="rId1206" /><Relationship Type="http://schemas.openxmlformats.org/officeDocument/2006/relationships/hyperlink" Target="../../../Users/User/Dropbox/FOREX/2018/F151" TargetMode="External" Id="rId1207" /><Relationship Type="http://schemas.openxmlformats.org/officeDocument/2006/relationships/hyperlink" Target="../../../Users/User/Dropbox/FOREX/2018/F149" TargetMode="External" Id="rId1208" /><Relationship Type="http://schemas.openxmlformats.org/officeDocument/2006/relationships/hyperlink" Target="../../../Users/User/Dropbox/FOREX/2018/F150" TargetMode="External" Id="rId1209" /><Relationship Type="http://schemas.openxmlformats.org/officeDocument/2006/relationships/hyperlink" Target="../../../Users/User/Dropbox/FOREX/2018/F147" TargetMode="External" Id="rId1210" /><Relationship Type="http://schemas.openxmlformats.org/officeDocument/2006/relationships/hyperlink" Target="../../../Users/User/Dropbox/FOREX/2018/F148" TargetMode="External" Id="rId1211" /><Relationship Type="http://schemas.openxmlformats.org/officeDocument/2006/relationships/hyperlink" Target="../../../Users/User/Dropbox/FOREX/2018/F145" TargetMode="External" Id="rId1212" /><Relationship Type="http://schemas.openxmlformats.org/officeDocument/2006/relationships/hyperlink" Target="../../../Users/User/Dropbox/FOREX/2018/F146" TargetMode="External" Id="rId1213" /><Relationship Type="http://schemas.openxmlformats.org/officeDocument/2006/relationships/hyperlink" Target="../../../Users/User/Dropbox/FOREX/2018/F144" TargetMode="External" Id="rId1214" /><Relationship Type="http://schemas.openxmlformats.org/officeDocument/2006/relationships/hyperlink" Target="../../../Users/User/Dropbox/FOREX/2018/F689" TargetMode="External" Id="rId1215" /><Relationship Type="http://schemas.openxmlformats.org/officeDocument/2006/relationships/hyperlink" Target="../../../Users/User/Dropbox/FOREX/2018/F142" TargetMode="External" Id="rId1216" /><Relationship Type="http://schemas.openxmlformats.org/officeDocument/2006/relationships/hyperlink" Target="../../../Users/User/Dropbox/FOREX/2018/F141" TargetMode="External" Id="rId1217" /><Relationship Type="http://schemas.openxmlformats.org/officeDocument/2006/relationships/hyperlink" Target="../../../Users/User/Dropbox/FOREX/2018/F143" TargetMode="External" Id="rId1218" /><Relationship Type="http://schemas.openxmlformats.org/officeDocument/2006/relationships/hyperlink" Target="../../../Users/User/Dropbox/FOREX/2018/F138" TargetMode="External" Id="rId1219" /><Relationship Type="http://schemas.openxmlformats.org/officeDocument/2006/relationships/hyperlink" Target="../../../Users/User/Dropbox/FOREX/2018/F1096" TargetMode="External" Id="rId1220" /><Relationship Type="http://schemas.openxmlformats.org/officeDocument/2006/relationships/hyperlink" Target="../../../Users/User/Dropbox/FOREX/2018/F140" TargetMode="External" Id="rId1221" /><Relationship Type="http://schemas.openxmlformats.org/officeDocument/2006/relationships/hyperlink" Target="../../../Users/User/Dropbox/FOREX/2018/F135" TargetMode="External" Id="rId1222" /><Relationship Type="http://schemas.openxmlformats.org/officeDocument/2006/relationships/hyperlink" Target="../../../Users/User/Dropbox/FOREX/2018/F137" TargetMode="External" Id="rId1223" /><Relationship Type="http://schemas.openxmlformats.org/officeDocument/2006/relationships/hyperlink" Target="../../../Users/User/Dropbox/FOREX/2018/F136" TargetMode="External" Id="rId1224" /><Relationship Type="http://schemas.openxmlformats.org/officeDocument/2006/relationships/hyperlink" Target="../../../Users/User/Dropbox/FOREX/2018/F133" TargetMode="External" Id="rId1225" /><Relationship Type="http://schemas.openxmlformats.org/officeDocument/2006/relationships/hyperlink" Target="../../../Users/User/Dropbox/FOREX/2018/F134" TargetMode="External" Id="rId1226" /><Relationship Type="http://schemas.openxmlformats.org/officeDocument/2006/relationships/hyperlink" Target="../../../Users/User/Dropbox/FOREX/2018/F132" TargetMode="External" Id="rId1227" /><Relationship Type="http://schemas.openxmlformats.org/officeDocument/2006/relationships/hyperlink" Target="../../../Users/User/Dropbox/FOREX/2018/F129" TargetMode="External" Id="rId1228" /><Relationship Type="http://schemas.openxmlformats.org/officeDocument/2006/relationships/hyperlink" Target="../../../Users/User/Dropbox/FOREX/2018/F131" TargetMode="External" Id="rId1229" /><Relationship Type="http://schemas.openxmlformats.org/officeDocument/2006/relationships/hyperlink" Target="../../../Users/User/Dropbox/FOREX/2018/F130" TargetMode="External" Id="rId1230" /><Relationship Type="http://schemas.openxmlformats.org/officeDocument/2006/relationships/hyperlink" Target="../../../Users/User/Dropbox/FOREX/2018/F128" TargetMode="External" Id="rId1231" /><Relationship Type="http://schemas.openxmlformats.org/officeDocument/2006/relationships/hyperlink" Target="../../../Users/User/Dropbox/FOREX/2018/F126" TargetMode="External" Id="rId1232" /><Relationship Type="http://schemas.openxmlformats.org/officeDocument/2006/relationships/hyperlink" Target="../../../Users/User/Dropbox/FOREX/2018/F127" TargetMode="External" Id="rId1233" /><Relationship Type="http://schemas.openxmlformats.org/officeDocument/2006/relationships/hyperlink" Target="../../../Users/User/Dropbox/FOREX/2018/F125" TargetMode="External" Id="rId1234" /><Relationship Type="http://schemas.openxmlformats.org/officeDocument/2006/relationships/hyperlink" Target="../../../Users/User/Dropbox/FOREX/2018/F124" TargetMode="External" Id="rId1235" /><Relationship Type="http://schemas.openxmlformats.org/officeDocument/2006/relationships/hyperlink" Target="../../../Users/User/Dropbox/FOREX/2018/F123" TargetMode="External" Id="rId1236" /><Relationship Type="http://schemas.openxmlformats.org/officeDocument/2006/relationships/hyperlink" Target="../../../Users/User/Dropbox/FOREX/2018/F120" TargetMode="External" Id="rId1237" /><Relationship Type="http://schemas.openxmlformats.org/officeDocument/2006/relationships/hyperlink" Target="../../../Users/User/Dropbox/FOREX/2018/F122" TargetMode="External" Id="rId1238" /><Relationship Type="http://schemas.openxmlformats.org/officeDocument/2006/relationships/hyperlink" Target="../../../Users/User/Dropbox/FOREX/2018/F121" TargetMode="External" Id="rId1239" /><Relationship Type="http://schemas.openxmlformats.org/officeDocument/2006/relationships/hyperlink" Target="../../../Users/User/Dropbox/FOREX/2018/F119" TargetMode="External" Id="rId1240" /><Relationship Type="http://schemas.openxmlformats.org/officeDocument/2006/relationships/hyperlink" Target="../../../Users/User/Dropbox/FOREX/2018/F118" TargetMode="External" Id="rId1241" /><Relationship Type="http://schemas.openxmlformats.org/officeDocument/2006/relationships/hyperlink" Target="../../../Users/User/Dropbox/FOREX/2018/F117" TargetMode="External" Id="rId1242" /><Relationship Type="http://schemas.openxmlformats.org/officeDocument/2006/relationships/hyperlink" Target="../../../Users/User/Dropbox/FOREX/2018/F116" TargetMode="External" Id="rId1243" /><Relationship Type="http://schemas.openxmlformats.org/officeDocument/2006/relationships/hyperlink" Target="../../../Users/User/Dropbox/FOREX/2018/F113" TargetMode="External" Id="rId1244" /><Relationship Type="http://schemas.openxmlformats.org/officeDocument/2006/relationships/hyperlink" Target="../../../Users/User/Dropbox/FOREX/2018/F114" TargetMode="External" Id="rId1245" /><Relationship Type="http://schemas.openxmlformats.org/officeDocument/2006/relationships/hyperlink" Target="../../../Users/User/Dropbox/FOREX/2018/F115" TargetMode="External" Id="rId1246" /><Relationship Type="http://schemas.openxmlformats.org/officeDocument/2006/relationships/hyperlink" Target="../../../Users/User/Dropbox/FOREX/2018/F112" TargetMode="External" Id="rId1247" /><Relationship Type="http://schemas.openxmlformats.org/officeDocument/2006/relationships/hyperlink" Target="../../../Users/User/Dropbox/FOREX/2018/F111" TargetMode="External" Id="rId1248" /><Relationship Type="http://schemas.openxmlformats.org/officeDocument/2006/relationships/hyperlink" Target="../../../Users/User/Dropbox/FOREX/2018/F108" TargetMode="External" Id="rId1249" /><Relationship Type="http://schemas.openxmlformats.org/officeDocument/2006/relationships/hyperlink" Target="../../../Users/User/Dropbox/FOREX/2018/F110" TargetMode="External" Id="rId1250" /><Relationship Type="http://schemas.openxmlformats.org/officeDocument/2006/relationships/hyperlink" Target="../../../Users/User/Dropbox/FOREX/2018/F109" TargetMode="External" Id="rId1251" /><Relationship Type="http://schemas.openxmlformats.org/officeDocument/2006/relationships/hyperlink" Target="../../../Users/User/Dropbox/FOREX/2018/F107" TargetMode="External" Id="rId1252" /><Relationship Type="http://schemas.openxmlformats.org/officeDocument/2006/relationships/hyperlink" Target="../../../Users/User/Dropbox/FOREX/2018/F106" TargetMode="External" Id="rId1253" /><Relationship Type="http://schemas.openxmlformats.org/officeDocument/2006/relationships/hyperlink" Target="../../../Users/User/Dropbox/FOREX/2018/F105" TargetMode="External" Id="rId1254" /><Relationship Type="http://schemas.openxmlformats.org/officeDocument/2006/relationships/hyperlink" Target="../../../Users/User/Dropbox/FOREX/2018/F104" TargetMode="External" Id="rId1255" /><Relationship Type="http://schemas.openxmlformats.org/officeDocument/2006/relationships/hyperlink" Target="../../../Users/User/Dropbox/FOREX/2018/F102" TargetMode="External" Id="rId1256" /><Relationship Type="http://schemas.openxmlformats.org/officeDocument/2006/relationships/hyperlink" Target="../../../Users/User/Dropbox/FOREX/2018/F103" TargetMode="External" Id="rId1257" /><Relationship Type="http://schemas.openxmlformats.org/officeDocument/2006/relationships/hyperlink" Target="../../../Users/User/Dropbox/FOREX/2018/F101" TargetMode="External" Id="rId1258" /><Relationship Type="http://schemas.openxmlformats.org/officeDocument/2006/relationships/hyperlink" Target="../../../Users/User/Dropbox/FOREX/2018/F100" TargetMode="External" Id="rId1259" /><Relationship Type="http://schemas.openxmlformats.org/officeDocument/2006/relationships/hyperlink" Target="../../../Users/User/Dropbox/FOREX/2018/F99" TargetMode="External" Id="rId1260" /><Relationship Type="http://schemas.openxmlformats.org/officeDocument/2006/relationships/hyperlink" Target="../../../Users/User/Dropbox/FOREX/2018/F97" TargetMode="External" Id="rId1261" /><Relationship Type="http://schemas.openxmlformats.org/officeDocument/2006/relationships/hyperlink" Target="../../../Users/User/Dropbox/FOREX/2018/F98" TargetMode="External" Id="rId1262" /><Relationship Type="http://schemas.openxmlformats.org/officeDocument/2006/relationships/hyperlink" Target="../../../Users/User/Dropbox/FOREX/2018/F96" TargetMode="External" Id="rId1263" /><Relationship Type="http://schemas.openxmlformats.org/officeDocument/2006/relationships/hyperlink" Target="../../../Users/User/Dropbox/FOREX/2018/F95" TargetMode="External" Id="rId1264" /><Relationship Type="http://schemas.openxmlformats.org/officeDocument/2006/relationships/hyperlink" Target="../../../Users/User/Dropbox/FOREX/2018/F94" TargetMode="External" Id="rId1265" /><Relationship Type="http://schemas.openxmlformats.org/officeDocument/2006/relationships/hyperlink" Target="../../../Users/User/Dropbox/FOREX/2018/F93" TargetMode="External" Id="rId1266" /><Relationship Type="http://schemas.openxmlformats.org/officeDocument/2006/relationships/hyperlink" Target="../../../Users/User/Dropbox/FOREX/2018/F91" TargetMode="External" Id="rId1267" /><Relationship Type="http://schemas.openxmlformats.org/officeDocument/2006/relationships/hyperlink" Target="../../../Users/User/Dropbox/FOREX/2018/F92" TargetMode="External" Id="rId1268" /><Relationship Type="http://schemas.openxmlformats.org/officeDocument/2006/relationships/hyperlink" Target="../../../Users/User/Dropbox/FOREX/2018/F90" TargetMode="External" Id="rId1269" /><Relationship Type="http://schemas.openxmlformats.org/officeDocument/2006/relationships/hyperlink" Target="../../../Users/User/Dropbox/FOREX/2018/F88" TargetMode="External" Id="rId1270" /><Relationship Type="http://schemas.openxmlformats.org/officeDocument/2006/relationships/hyperlink" Target="../../../Users/User/Dropbox/FOREX/2018/F89" TargetMode="External" Id="rId1271" /><Relationship Type="http://schemas.openxmlformats.org/officeDocument/2006/relationships/hyperlink" Target="../../../Users/User/Dropbox/FOREX/2018/F87" TargetMode="External" Id="rId1272" /><Relationship Type="http://schemas.openxmlformats.org/officeDocument/2006/relationships/hyperlink" Target="../../../Users/User/Dropbox/FOREX/2018/F85" TargetMode="External" Id="rId1273" /><Relationship Type="http://schemas.openxmlformats.org/officeDocument/2006/relationships/hyperlink" Target="../../../Users/User/Dropbox/FOREX/2018/F86" TargetMode="External" Id="rId1274" /><Relationship Type="http://schemas.openxmlformats.org/officeDocument/2006/relationships/hyperlink" Target="../../../Users/User/Dropbox/FOREX/2018/F84" TargetMode="External" Id="rId1275" /><Relationship Type="http://schemas.openxmlformats.org/officeDocument/2006/relationships/hyperlink" Target="../../../Users/User/Dropbox/FOREX/2018/F83" TargetMode="External" Id="rId1276" /><Relationship Type="http://schemas.openxmlformats.org/officeDocument/2006/relationships/hyperlink" Target="../../../Users/User/Dropbox/FOREX/2018/F82" TargetMode="External" Id="rId1277" /><Relationship Type="http://schemas.openxmlformats.org/officeDocument/2006/relationships/hyperlink" Target="../../../Users/User/Dropbox/FOREX/2018/F81" TargetMode="External" Id="rId1278" /><Relationship Type="http://schemas.openxmlformats.org/officeDocument/2006/relationships/hyperlink" Target="../../../Users/User/Dropbox/FOREX/2018/F80" TargetMode="External" Id="rId1279" /><Relationship Type="http://schemas.openxmlformats.org/officeDocument/2006/relationships/hyperlink" Target="../../../Users/User/Dropbox/FOREX/2018/F77" TargetMode="External" Id="rId1280" /><Relationship Type="http://schemas.openxmlformats.org/officeDocument/2006/relationships/hyperlink" Target="../../../Users/User/Dropbox/FOREX/2018/F76" TargetMode="External" Id="rId1281" /><Relationship Type="http://schemas.openxmlformats.org/officeDocument/2006/relationships/hyperlink" Target="../../../Users/User/Dropbox/FOREX/2018/F1095" TargetMode="External" Id="rId1282" /><Relationship Type="http://schemas.openxmlformats.org/officeDocument/2006/relationships/hyperlink" Target="../../../Users/User/Dropbox/FOREX/2018/F78" TargetMode="External" Id="rId1283" /><Relationship Type="http://schemas.openxmlformats.org/officeDocument/2006/relationships/hyperlink" Target="../../../Users/User/Dropbox/FOREX/2018/F74" TargetMode="External" Id="rId1284" /><Relationship Type="http://schemas.openxmlformats.org/officeDocument/2006/relationships/hyperlink" Target="../../../Users/User/Dropbox/FOREX/2018/F75" TargetMode="External" Id="rId1285" /><Relationship Type="http://schemas.openxmlformats.org/officeDocument/2006/relationships/hyperlink" Target="../../../Users/User/Dropbox/FOREX/2018/F73" TargetMode="External" Id="rId1286" /><Relationship Type="http://schemas.openxmlformats.org/officeDocument/2006/relationships/hyperlink" Target="../../../Users/User/Dropbox/FOREX/2018/F67" TargetMode="External" Id="rId1287" /><Relationship Type="http://schemas.openxmlformats.org/officeDocument/2006/relationships/hyperlink" Target="../../../Users/User/Dropbox/FOREX/2018/F68" TargetMode="External" Id="rId1288" /><Relationship Type="http://schemas.openxmlformats.org/officeDocument/2006/relationships/hyperlink" Target="../../../Users/User/Dropbox/FOREX/2018/F69" TargetMode="External" Id="rId1289" /><Relationship Type="http://schemas.openxmlformats.org/officeDocument/2006/relationships/hyperlink" Target="../../../Users/User/Dropbox/FOREX/2018/F72" TargetMode="External" Id="rId1290" /><Relationship Type="http://schemas.openxmlformats.org/officeDocument/2006/relationships/hyperlink" Target="../../../Users/User/Dropbox/FOREX/2018/F1094" TargetMode="External" Id="rId1291" /><Relationship Type="http://schemas.openxmlformats.org/officeDocument/2006/relationships/hyperlink" Target="../../../Users/User/Dropbox/FOREX/2018/F70" TargetMode="External" Id="rId1292" /><Relationship Type="http://schemas.openxmlformats.org/officeDocument/2006/relationships/hyperlink" Target="../../../Users/User/Dropbox/FOREX/2018/F1093" TargetMode="External" Id="rId1293" /><Relationship Type="http://schemas.openxmlformats.org/officeDocument/2006/relationships/hyperlink" Target="../../../Users/User/Dropbox/FOREX/2018/F1092" TargetMode="External" Id="rId1294" /><Relationship Type="http://schemas.openxmlformats.org/officeDocument/2006/relationships/hyperlink" Target="../../../Users/User/Dropbox/FOREX/2018/F1091" TargetMode="External" Id="rId1295" /><Relationship Type="http://schemas.openxmlformats.org/officeDocument/2006/relationships/hyperlink" Target="../../../Users/User/Dropbox/FOREX/2018/F1090" TargetMode="External" Id="rId1296" /><Relationship Type="http://schemas.openxmlformats.org/officeDocument/2006/relationships/hyperlink" Target="../../../Users/User/Dropbox/FOREX/2018/F1089" TargetMode="External" Id="rId1297" /><Relationship Type="http://schemas.openxmlformats.org/officeDocument/2006/relationships/hyperlink" Target="../../../Users/User/Dropbox/FOREX/2018/F1088" TargetMode="External" Id="rId1298" /><Relationship Type="http://schemas.openxmlformats.org/officeDocument/2006/relationships/hyperlink" Target="../../../Users/User/Dropbox/FOREX/2018/F1087" TargetMode="External" Id="rId1299" /><Relationship Type="http://schemas.openxmlformats.org/officeDocument/2006/relationships/hyperlink" Target="../../../Users/User/Dropbox/FOREX/2018/F1086" TargetMode="External" Id="rId1300" /><Relationship Type="http://schemas.openxmlformats.org/officeDocument/2006/relationships/hyperlink" Target="../../../Users/User/Dropbox/FOREX/2018/F1085" TargetMode="External" Id="rId1301" /><Relationship Type="http://schemas.openxmlformats.org/officeDocument/2006/relationships/hyperlink" Target="../../../Users/User/Dropbox/FOREX/2018/F1084" TargetMode="External" Id="rId1302" /><Relationship Type="http://schemas.openxmlformats.org/officeDocument/2006/relationships/hyperlink" Target="../../../Users/User/Dropbox/FOREX/2018/F1083" TargetMode="External" Id="rId1303" /><Relationship Type="http://schemas.openxmlformats.org/officeDocument/2006/relationships/hyperlink" Target="../../../Users/User/Dropbox/FOREX/2018/F1082" TargetMode="External" Id="rId1304" /><Relationship Type="http://schemas.openxmlformats.org/officeDocument/2006/relationships/hyperlink" Target="../../../Users/User/Dropbox/FOREX/2018/F1081" TargetMode="External" Id="rId1305" /><Relationship Type="http://schemas.openxmlformats.org/officeDocument/2006/relationships/hyperlink" Target="../../../Users/User/Dropbox/FOREX/2018/F1080" TargetMode="External" Id="rId1306" /><Relationship Type="http://schemas.openxmlformats.org/officeDocument/2006/relationships/hyperlink" Target="../../../Users/User/Dropbox/FOREX/2018/F1079" TargetMode="External" Id="rId1307" /><Relationship Type="http://schemas.openxmlformats.org/officeDocument/2006/relationships/hyperlink" Target="../../../Users/User/Dropbox/FOREX/2018/F1078" TargetMode="External" Id="rId1308" /><Relationship Type="http://schemas.openxmlformats.org/officeDocument/2006/relationships/hyperlink" Target="../../../Users/User/Dropbox/FOREX/2018/F1077" TargetMode="External" Id="rId1309" /><Relationship Type="http://schemas.openxmlformats.org/officeDocument/2006/relationships/hyperlink" Target="../../../Users/User/Dropbox/FOREX/2018/F1076" TargetMode="External" Id="rId1310" /><Relationship Type="http://schemas.openxmlformats.org/officeDocument/2006/relationships/hyperlink" Target="../../../Users/User/Dropbox/FOREX/2018/F1075" TargetMode="External" Id="rId1311" /><Relationship Type="http://schemas.openxmlformats.org/officeDocument/2006/relationships/hyperlink" Target="../../../Users/User/Dropbox/FOREX/2018/F1074" TargetMode="External" Id="rId1312" /><Relationship Type="http://schemas.openxmlformats.org/officeDocument/2006/relationships/hyperlink" Target="../../../Users/User/Dropbox/FOREX/2018/F1073" TargetMode="External" Id="rId1313" /><Relationship Type="http://schemas.openxmlformats.org/officeDocument/2006/relationships/hyperlink" Target="../../../Users/User/Dropbox/FOREX/2018/F1072" TargetMode="External" Id="rId1314" /><Relationship Type="http://schemas.openxmlformats.org/officeDocument/2006/relationships/hyperlink" Target="../../../Users/User/Dropbox/FOREX/2018/F1071" TargetMode="External" Id="rId1315" /><Relationship Type="http://schemas.openxmlformats.org/officeDocument/2006/relationships/hyperlink" Target="../../../Users/User/Dropbox/FOREX/2018/F1070" TargetMode="External" Id="rId1316" /><Relationship Type="http://schemas.openxmlformats.org/officeDocument/2006/relationships/hyperlink" Target="../../../Users/User/Dropbox/FOREX/2018/F1069" TargetMode="External" Id="rId1317" /><Relationship Type="http://schemas.openxmlformats.org/officeDocument/2006/relationships/hyperlink" Target="../../../Users/User/Dropbox/FOREX/2018/F1068" TargetMode="External" Id="rId1318" /><Relationship Type="http://schemas.openxmlformats.org/officeDocument/2006/relationships/hyperlink" Target="../../../Users/User/Dropbox/FOREX/2018/F1067" TargetMode="External" Id="rId1319" /><Relationship Type="http://schemas.openxmlformats.org/officeDocument/2006/relationships/hyperlink" Target="../../../Users/User/Dropbox/FOREX/2018/F1066" TargetMode="External" Id="rId1320" /><Relationship Type="http://schemas.openxmlformats.org/officeDocument/2006/relationships/hyperlink" Target="../../../Users/User/Dropbox/FOREX/2018/F1065" TargetMode="External" Id="rId1321" /><Relationship Type="http://schemas.openxmlformats.org/officeDocument/2006/relationships/hyperlink" Target="../../../Users/User/Dropbox/FOREX/2018/F1064" TargetMode="External" Id="rId1322" /><Relationship Type="http://schemas.openxmlformats.org/officeDocument/2006/relationships/hyperlink" Target="../../../Users/User/Dropbox/FOREX/2018/F1063" TargetMode="External" Id="rId1323" /><Relationship Type="http://schemas.openxmlformats.org/officeDocument/2006/relationships/hyperlink" Target="../../../Users/User/Dropbox/FOREX/2018/F1062" TargetMode="External" Id="rId1324" /><Relationship Type="http://schemas.openxmlformats.org/officeDocument/2006/relationships/hyperlink" Target="../../../Users/User/Dropbox/FOREX/2018/F1061" TargetMode="External" Id="rId1325" /><Relationship Type="http://schemas.openxmlformats.org/officeDocument/2006/relationships/hyperlink" Target="../../../Users/User/Dropbox/FOREX/2018/F1060" TargetMode="External" Id="rId1326" /><Relationship Type="http://schemas.openxmlformats.org/officeDocument/2006/relationships/hyperlink" Target="../../../Users/User/Dropbox/FOREX/2018/F1059" TargetMode="External" Id="rId1327" /><Relationship Type="http://schemas.openxmlformats.org/officeDocument/2006/relationships/hyperlink" Target="../../../Users/User/Dropbox/FOREX/2018/F1058" TargetMode="External" Id="rId1328" /><Relationship Type="http://schemas.openxmlformats.org/officeDocument/2006/relationships/hyperlink" Target="../../../Users/User/Dropbox/FOREX/2018/F1057" TargetMode="External" Id="rId1329" /><Relationship Type="http://schemas.openxmlformats.org/officeDocument/2006/relationships/hyperlink" Target="../../../Users/User/Dropbox/FOREX/2018/F1056" TargetMode="External" Id="rId1330" /><Relationship Type="http://schemas.openxmlformats.org/officeDocument/2006/relationships/hyperlink" Target="../../../Users/User/Dropbox/FOREX/2018/F1055" TargetMode="External" Id="rId1331" /><Relationship Type="http://schemas.openxmlformats.org/officeDocument/2006/relationships/hyperlink" Target="../../../Users/User/Dropbox/FOREX/2018/F1054" TargetMode="External" Id="rId1332" /><Relationship Type="http://schemas.openxmlformats.org/officeDocument/2006/relationships/hyperlink" Target="../../../Users/User/Dropbox/FOREX/2018/F1053" TargetMode="External" Id="rId1333" /><Relationship Type="http://schemas.openxmlformats.org/officeDocument/2006/relationships/hyperlink" Target="../../../Users/User/Dropbox/FOREX/2018/F1052" TargetMode="External" Id="rId1334" /><Relationship Type="http://schemas.openxmlformats.org/officeDocument/2006/relationships/hyperlink" Target="../../../Users/User/Dropbox/FOREX/2018/F1051" TargetMode="External" Id="rId1335" /><Relationship Type="http://schemas.openxmlformats.org/officeDocument/2006/relationships/hyperlink" Target="../../../Users/User/Dropbox/FOREX/2018/F1050" TargetMode="External" Id="rId1336" /><Relationship Type="http://schemas.openxmlformats.org/officeDocument/2006/relationships/hyperlink" Target="../../../Users/User/Dropbox/FOREX/2018/F1049" TargetMode="External" Id="rId1337" /><Relationship Type="http://schemas.openxmlformats.org/officeDocument/2006/relationships/hyperlink" Target="../../../Users/User/Dropbox/FOREX/2018/F1048" TargetMode="External" Id="rId1338" /><Relationship Type="http://schemas.openxmlformats.org/officeDocument/2006/relationships/hyperlink" Target="../../../Users/User/Dropbox/FOREX/2018/F1047" TargetMode="External" Id="rId1339" /><Relationship Type="http://schemas.openxmlformats.org/officeDocument/2006/relationships/hyperlink" Target="../../../Users/User/Dropbox/FOREX/2018/F1046" TargetMode="External" Id="rId1340" /><Relationship Type="http://schemas.openxmlformats.org/officeDocument/2006/relationships/hyperlink" Target="../../../Users/User/Dropbox/FOREX/2018/F1045" TargetMode="External" Id="rId1341" /><Relationship Type="http://schemas.openxmlformats.org/officeDocument/2006/relationships/hyperlink" Target="../../../Users/User/Dropbox/FOREX/2018/F1044" TargetMode="External" Id="rId1342" /><Relationship Type="http://schemas.openxmlformats.org/officeDocument/2006/relationships/hyperlink" Target="../../../Users/User/Dropbox/FOREX/2018/F1043" TargetMode="External" Id="rId1343" /><Relationship Type="http://schemas.openxmlformats.org/officeDocument/2006/relationships/hyperlink" Target="../../../Users/User/Dropbox/FOREX/2018/F1042" TargetMode="External" Id="rId1344" /><Relationship Type="http://schemas.openxmlformats.org/officeDocument/2006/relationships/hyperlink" Target="../../../Users/User/Dropbox/FOREX/2018/F1041" TargetMode="External" Id="rId1345" /><Relationship Type="http://schemas.openxmlformats.org/officeDocument/2006/relationships/hyperlink" Target="../../../Users/User/Dropbox/FOREX/2018/F1040" TargetMode="External" Id="rId1346" /><Relationship Type="http://schemas.openxmlformats.org/officeDocument/2006/relationships/hyperlink" Target="../../../Users/User/Dropbox/FOREX/2018/F1039" TargetMode="External" Id="rId1347" /><Relationship Type="http://schemas.openxmlformats.org/officeDocument/2006/relationships/hyperlink" Target="../../../Users/User/Dropbox/FOREX/2018/F1038" TargetMode="External" Id="rId1348" /><Relationship Type="http://schemas.openxmlformats.org/officeDocument/2006/relationships/hyperlink" Target="../../../Users/User/Dropbox/FOREX/2018/F1037" TargetMode="External" Id="rId1349" /><Relationship Type="http://schemas.openxmlformats.org/officeDocument/2006/relationships/hyperlink" Target="../../../Users/User/Dropbox/FOREX/2018/F1036" TargetMode="External" Id="rId1350" /><Relationship Type="http://schemas.openxmlformats.org/officeDocument/2006/relationships/hyperlink" Target="../../../Users/User/Dropbox/FOREX/2018/F1035" TargetMode="External" Id="rId1351" /><Relationship Type="http://schemas.openxmlformats.org/officeDocument/2006/relationships/hyperlink" Target="../../../Users/User/Dropbox/FOREX/2018/F1034" TargetMode="External" Id="rId1352" /><Relationship Type="http://schemas.openxmlformats.org/officeDocument/2006/relationships/hyperlink" Target="../../../Users/User/Dropbox/FOREX/2018/F1033" TargetMode="External" Id="rId1353" /><Relationship Type="http://schemas.openxmlformats.org/officeDocument/2006/relationships/hyperlink" Target="../../../Users/User/Dropbox/FOREX/2018/F1032" TargetMode="External" Id="rId1354" /><Relationship Type="http://schemas.openxmlformats.org/officeDocument/2006/relationships/hyperlink" Target="../../../Users/User/Dropbox/FOREX/2018/F1031" TargetMode="External" Id="rId1355" /><Relationship Type="http://schemas.openxmlformats.org/officeDocument/2006/relationships/hyperlink" Target="../../../Users/User/Dropbox/FOREX/2018/F1030" TargetMode="External" Id="rId1356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6"/>
  <sheetViews>
    <sheetView zoomScale="115" zoomScaleNormal="115" workbookViewId="0">
      <pane xSplit="1" ySplit="1" topLeftCell="B20" activePane="bottomRight" state="frozen"/>
      <selection pane="topRight" activeCell="A1" sqref="A1"/>
      <selection pane="bottomLeft" activeCell="A1" sqref="A1"/>
      <selection pane="bottomRight" activeCell="A29" sqref="A29"/>
    </sheetView>
  </sheetViews>
  <sheetFormatPr baseColWidth="8" defaultRowHeight="14.5"/>
  <cols>
    <col width="32" customWidth="1" style="152" min="1" max="1"/>
    <col width="65" bestFit="1" customWidth="1" min="2" max="2"/>
    <col width="65" customWidth="1" min="3" max="4"/>
  </cols>
  <sheetData>
    <row r="1">
      <c r="A1" s="153" t="n"/>
      <c r="B1" s="168" t="inlineStr">
        <is>
          <t>Overall</t>
        </is>
      </c>
      <c r="C1" s="168" t="inlineStr">
        <is>
          <t>FX</t>
        </is>
      </c>
      <c r="D1" s="174" t="inlineStr">
        <is>
          <t>Crypto</t>
        </is>
      </c>
    </row>
    <row r="2" ht="14.5" customHeight="1">
      <c r="A2" s="154" t="inlineStr">
        <is>
          <t>Trades</t>
        </is>
      </c>
      <c r="B2" s="178" t="n">
        <v>1421</v>
      </c>
      <c r="C2" s="178" t="n">
        <v>1042</v>
      </c>
      <c r="D2" s="179" t="n">
        <v>379</v>
      </c>
    </row>
    <row r="3" ht="14.5" customHeight="1">
      <c r="A3" s="155" t="inlineStr">
        <is>
          <t>Wins</t>
        </is>
      </c>
      <c r="B3" s="180" t="n">
        <v>404</v>
      </c>
      <c r="C3" s="180" t="n">
        <v>317</v>
      </c>
      <c r="D3" s="181" t="n">
        <v>87</v>
      </c>
    </row>
    <row r="4" ht="14.5" customHeight="1">
      <c r="A4" s="155" t="inlineStr">
        <is>
          <t>Losses</t>
        </is>
      </c>
      <c r="B4" s="182" t="n">
        <v>1001</v>
      </c>
      <c r="C4" s="182" t="n">
        <v>709</v>
      </c>
      <c r="D4" s="183" t="n">
        <v>292</v>
      </c>
    </row>
    <row r="5" ht="14.5" customHeight="1">
      <c r="A5" s="155" t="inlineStr">
        <is>
          <t>Break-even</t>
        </is>
      </c>
      <c r="B5" s="178" t="n">
        <v>16</v>
      </c>
      <c r="C5" s="178" t="n">
        <v>16</v>
      </c>
      <c r="D5" s="179" t="n">
        <v>0</v>
      </c>
    </row>
    <row r="6" ht="14.5" customHeight="1">
      <c r="A6" s="155" t="inlineStr">
        <is>
          <t>Test</t>
        </is>
      </c>
      <c r="B6" s="178" t="n">
        <v>41</v>
      </c>
      <c r="C6" s="178" t="n">
        <v>29</v>
      </c>
      <c r="D6" s="179" t="n">
        <v>12</v>
      </c>
    </row>
    <row r="7" ht="14.5" customHeight="1">
      <c r="A7" s="154" t="inlineStr">
        <is>
          <t>Win rate</t>
        </is>
      </c>
      <c r="B7" s="170" t="n">
        <v>0.2843068261787474</v>
      </c>
      <c r="C7" s="170" t="n">
        <v>0.3042226487523992</v>
      </c>
      <c r="D7" s="184" t="n">
        <v>0.2295514511873351</v>
      </c>
    </row>
    <row r="8" ht="14.5" customHeight="1">
      <c r="A8" s="154" t="inlineStr">
        <is>
          <t>Net P/L Percentage</t>
        </is>
      </c>
      <c r="B8" s="185" t="n">
        <v>-1.961381656488719</v>
      </c>
      <c r="C8" s="185" t="n">
        <v>-1.294318415043909</v>
      </c>
      <c r="D8" s="186" t="n">
        <v>-0.6670632414448104</v>
      </c>
    </row>
    <row r="9" ht="14.5" customHeight="1">
      <c r="A9" s="154" t="inlineStr">
        <is>
          <t>Net P/L R multiples</t>
        </is>
      </c>
      <c r="B9" s="187" t="n">
        <v>-143.4275767474169</v>
      </c>
      <c r="C9" s="187" t="n">
        <v>-80.33605275829379</v>
      </c>
      <c r="D9" s="188" t="n">
        <v>-63.0915239891231</v>
      </c>
    </row>
    <row r="10" ht="14.5" customHeight="1">
      <c r="A10" s="154" t="inlineStr">
        <is>
          <t>Gross percent gain</t>
        </is>
      </c>
      <c r="B10" s="189" t="n">
        <v>5.499462457042697</v>
      </c>
      <c r="C10" s="189" t="n">
        <v>3.931184046270989</v>
      </c>
      <c r="D10" s="190" t="n">
        <v>1.568278410771708</v>
      </c>
    </row>
    <row r="11" ht="14.5" customHeight="1">
      <c r="A11" s="154" t="inlineStr">
        <is>
          <t>Gross percent loss</t>
        </is>
      </c>
      <c r="B11" s="185" t="n">
        <v>7.460844113531416</v>
      </c>
      <c r="C11" s="185" t="n">
        <v>5.225502461314898</v>
      </c>
      <c r="D11" s="186" t="n">
        <v>2.235341652216519</v>
      </c>
    </row>
    <row r="12" ht="14.5" customHeight="1">
      <c r="A12" s="154" t="inlineStr">
        <is>
          <t>Gross IR gain</t>
        </is>
      </c>
      <c r="B12" s="191" t="n">
        <v>742.4547232821587</v>
      </c>
      <c r="C12" s="191" t="n">
        <v>549.1733949660065</v>
      </c>
      <c r="D12" s="192" t="n">
        <v>193.2813283161522</v>
      </c>
    </row>
    <row r="13" ht="14.5" customHeight="1">
      <c r="A13" s="154" t="inlineStr">
        <is>
          <t>Gross IR loss</t>
        </is>
      </c>
      <c r="B13" s="187" t="n">
        <v>885.8823000295756</v>
      </c>
      <c r="C13" s="187" t="n">
        <v>629.5094477243003</v>
      </c>
      <c r="D13" s="188" t="n">
        <v>256.3728523052753</v>
      </c>
    </row>
    <row r="14" ht="14.5" customHeight="1">
      <c r="A14" s="154" t="inlineStr">
        <is>
          <t>Percentage expectancy</t>
        </is>
      </c>
      <c r="B14" s="185" t="n">
        <v>-0.001381254687668112</v>
      </c>
      <c r="C14" s="185" t="n">
        <v>-0.001243341416949</v>
      </c>
      <c r="D14" s="186" t="n">
        <v>-0.001760061323073379</v>
      </c>
    </row>
    <row r="15" ht="14.5" customHeight="1" thickBot="1">
      <c r="A15" s="156" t="inlineStr">
        <is>
          <t>R expectancy</t>
        </is>
      </c>
      <c r="B15" s="193" t="n">
        <v>-0.1028154672024494</v>
      </c>
      <c r="C15" s="193" t="n">
        <v>-0.07860670524294891</v>
      </c>
      <c r="D15" s="194" t="n">
        <v>-0.1691461769145391</v>
      </c>
    </row>
    <row r="16" ht="14.5" customHeight="1">
      <c r="A16" s="157" t="inlineStr">
        <is>
          <t>Best Win Streak</t>
        </is>
      </c>
      <c r="B16" s="195" t="n">
        <v>5</v>
      </c>
      <c r="C16" s="195" t="n">
        <v>5</v>
      </c>
      <c r="D16" s="196" t="n">
        <v>4</v>
      </c>
    </row>
    <row r="17" ht="14.5" customHeight="1">
      <c r="A17" s="155" t="inlineStr">
        <is>
          <t>Start</t>
        </is>
      </c>
      <c r="B17" s="172" t="inlineStr">
        <is>
          <t>2018-10-29 22:34:00</t>
        </is>
      </c>
      <c r="C17" s="172" t="inlineStr">
        <is>
          <t>2018-10-29 22:34:00</t>
        </is>
      </c>
      <c r="D17" s="197" t="inlineStr">
        <is>
          <t>2024-10-27 22:46:00</t>
        </is>
      </c>
    </row>
    <row r="18" ht="14.5" customHeight="1" thickBot="1">
      <c r="A18" s="158" t="inlineStr">
        <is>
          <t>End</t>
        </is>
      </c>
      <c r="B18" s="198" t="inlineStr">
        <is>
          <t>2018-10-30 19:39:00</t>
        </is>
      </c>
      <c r="C18" s="198" t="inlineStr">
        <is>
          <t>2018-10-30 19:39:00</t>
        </is>
      </c>
      <c r="D18" s="199" t="inlineStr">
        <is>
          <t>2024-11-14 06:36:00</t>
        </is>
      </c>
    </row>
    <row r="19" ht="14.5" customHeight="1">
      <c r="A19" s="157" t="inlineStr">
        <is>
          <t>Worst Losing Streak</t>
        </is>
      </c>
      <c r="B19" s="200" t="n">
        <v>22</v>
      </c>
      <c r="C19" s="200" t="n">
        <v>15</v>
      </c>
      <c r="D19" s="201" t="n">
        <v>16</v>
      </c>
    </row>
    <row r="20" ht="14.5" customHeight="1">
      <c r="A20" s="155" t="inlineStr">
        <is>
          <t>Start</t>
        </is>
      </c>
      <c r="B20" s="172" t="inlineStr">
        <is>
          <t>2021-07-20 22:09:00</t>
        </is>
      </c>
      <c r="C20" s="172" t="inlineStr">
        <is>
          <t>2020-07-29 10:12:00</t>
        </is>
      </c>
      <c r="D20" s="197" t="inlineStr">
        <is>
          <t>2021-06-27 10:11:00</t>
        </is>
      </c>
    </row>
    <row r="21" ht="14.5" customHeight="1" thickBot="1">
      <c r="A21" s="159" t="inlineStr">
        <is>
          <t>End</t>
        </is>
      </c>
      <c r="B21" s="173" t="inlineStr">
        <is>
          <t>2021-09-04 23:29:00</t>
        </is>
      </c>
      <c r="C21" s="173" t="inlineStr">
        <is>
          <t>2021-01-01 01:16:00</t>
        </is>
      </c>
      <c r="D21" s="202" t="inlineStr">
        <is>
          <t>2021-09-04 23:29:00</t>
        </is>
      </c>
    </row>
    <row r="22" ht="14.5" customFormat="1" customHeight="1" s="237">
      <c r="A22" s="242" t="inlineStr">
        <is>
          <t>Stops</t>
        </is>
      </c>
      <c r="B22" s="249" t="n"/>
      <c r="C22" s="249" t="n"/>
      <c r="D22" s="249" t="n"/>
    </row>
    <row r="23" ht="14.5" customFormat="1" customHeight="1" s="237">
      <c r="A23" s="243" t="inlineStr">
        <is>
          <t>Avg stop %</t>
        </is>
      </c>
      <c r="B23" s="240" t="n">
        <v>0.01032515945899317</v>
      </c>
      <c r="C23" s="240" t="n">
        <v>0.001430322062627569</v>
      </c>
      <c r="D23" s="241" t="n">
        <v>0.03469653699005389</v>
      </c>
    </row>
    <row r="24" ht="14.5" customHeight="1">
      <c r="A24" s="244" t="inlineStr">
        <is>
          <t>Min stop %</t>
        </is>
      </c>
      <c r="B24" s="642" t="inlineStr">
        <is>
          <t>0.0076% - USDCAD 2018-09-07</t>
        </is>
      </c>
      <c r="C24" s="642" t="inlineStr">
        <is>
          <t>0.0076% - USDCAD 2018-09-07</t>
        </is>
      </c>
      <c r="D24" s="643" t="inlineStr">
        <is>
          <t>0.11% - BTCUSDT 2024-06-02</t>
        </is>
      </c>
    </row>
    <row r="25" ht="14.5" customHeight="1">
      <c r="A25" s="244" t="inlineStr">
        <is>
          <t>Max stop %</t>
        </is>
      </c>
      <c r="B25" s="642" t="inlineStr">
        <is>
          <t>21.36% - XTZUSDT 2021-05-06</t>
        </is>
      </c>
      <c r="C25" s="642" t="inlineStr">
        <is>
          <t>2.30% - NZDUSD 2022-11-09</t>
        </is>
      </c>
      <c r="D25" s="643" t="inlineStr">
        <is>
          <t>21.36% - XTZUSDT 2021-05-06</t>
        </is>
      </c>
    </row>
    <row r="26" ht="14.5" customHeight="1" thickBot="1">
      <c r="A26" s="245" t="inlineStr">
        <is>
          <t>Recommendation</t>
        </is>
      </c>
      <c r="B26" s="254" t="inlineStr">
        <is>
          <t>Decrease stop — Recommended: 0.66% (0.11 pp below loss average)</t>
        </is>
      </c>
      <c r="C26" s="254" t="inlineStr">
        <is>
          <t>Increase stop — Recommended: 0.16% (0.023 pp above loss average)</t>
        </is>
      </c>
      <c r="D26" s="255" t="inlineStr">
        <is>
          <t>Decrease stop — Recommended: 2.78% (0.29 pp below loss average)</t>
        </is>
      </c>
    </row>
    <row r="27" ht="14.5" customFormat="1" customHeight="1" s="237">
      <c r="A27" s="247" t="inlineStr">
        <is>
          <t>Targets</t>
        </is>
      </c>
      <c r="B27" s="249" t="n"/>
      <c r="C27" s="249" t="n"/>
      <c r="D27" s="249" t="n"/>
    </row>
    <row r="28" ht="14.5" customHeight="1">
      <c r="A28" s="239" t="inlineStr">
        <is>
          <t>Avg target %</t>
        </is>
      </c>
      <c r="B28" s="248" t="n">
        <v>0.02949929722953467</v>
      </c>
      <c r="C28" s="248" t="n">
        <v>0.003658095189185296</v>
      </c>
      <c r="D28" s="248" t="n">
        <v>0.09740267324317012</v>
      </c>
    </row>
    <row r="29" ht="14.5" customHeight="1">
      <c r="A29" s="167" t="inlineStr">
        <is>
          <t>Min target %</t>
        </is>
      </c>
      <c r="B29" s="246" t="inlineStr">
        <is>
          <t>0.00100% - USDCHF 2019-02-27</t>
        </is>
      </c>
      <c r="C29" s="246" t="inlineStr">
        <is>
          <t>0.00100% - USDCHF 2019-02-27</t>
        </is>
      </c>
      <c r="D29" s="644" t="inlineStr">
        <is>
          <t>0.21% - BTCUSDT 2024-06-02</t>
        </is>
      </c>
    </row>
    <row r="30" ht="14.5" customHeight="1">
      <c r="A30" s="163" t="inlineStr">
        <is>
          <t>Max target %</t>
        </is>
      </c>
      <c r="B30" s="642" t="inlineStr">
        <is>
          <t>74.66% - SHIB1000USDT 2021-11-24</t>
        </is>
      </c>
      <c r="C30" s="642" t="inlineStr">
        <is>
          <t>4.60% - NZDUSD 2022-11-09</t>
        </is>
      </c>
      <c r="D30" s="642" t="inlineStr">
        <is>
          <t>74.66% - SHIB1000USDT 2021-11-24</t>
        </is>
      </c>
    </row>
    <row r="31" ht="14.5" customHeight="1" thickBot="1">
      <c r="A31" s="164" t="inlineStr">
        <is>
          <t>Recommendation</t>
        </is>
      </c>
      <c r="B31" s="254" t="inlineStr">
        <is>
          <t>Increase target — Recommended: 2.03R (current median: 2.00R)</t>
        </is>
      </c>
      <c r="C31" s="254" t="inlineStr">
        <is>
          <t>Increase target — Recommended: 2.04R (current median: 2.00R)</t>
        </is>
      </c>
      <c r="D31" s="254" t="inlineStr">
        <is>
          <t>Target unchanged — Recommended: 2.00R (current median: 2.00R)</t>
        </is>
      </c>
    </row>
    <row r="32" ht="14.5" customFormat="1" customHeight="1" s="237">
      <c r="A32" s="151" t="inlineStr">
        <is>
          <t>Duration</t>
        </is>
      </c>
      <c r="B32" s="249" t="n"/>
      <c r="C32" s="249" t="n"/>
      <c r="D32" s="249" t="n"/>
    </row>
    <row r="33" ht="14.5" customHeight="1">
      <c r="A33" s="239" t="inlineStr">
        <is>
          <t>Min duration</t>
        </is>
      </c>
      <c r="B33" s="219" t="inlineStr">
        <is>
          <t>1S - ADAUSDT 2021-05-15</t>
        </is>
      </c>
      <c r="C33" s="219" t="inlineStr">
        <is>
          <t>1S - CADCHF 2021-05-05</t>
        </is>
      </c>
      <c r="D33" s="219" t="inlineStr">
        <is>
          <t>1S - ADAUSDT 2021-05-15</t>
        </is>
      </c>
    </row>
    <row r="34" ht="14.5" customHeight="1">
      <c r="A34" s="167" t="inlineStr">
        <is>
          <t>Avg duration</t>
        </is>
      </c>
      <c r="B34" s="238" t="inlineStr">
        <is>
          <t>10H 12M 56S</t>
        </is>
      </c>
      <c r="C34" s="238" t="inlineStr">
        <is>
          <t>8H 16M 32S</t>
        </is>
      </c>
      <c r="D34" s="238" t="inlineStr">
        <is>
          <t>15H 35M 9S</t>
        </is>
      </c>
    </row>
    <row r="35" ht="14.5" customHeight="1">
      <c r="A35" s="163" t="inlineStr">
        <is>
          <t>Avg winning trade duration</t>
        </is>
      </c>
      <c r="B35" s="203" t="inlineStr">
        <is>
          <t>14H 37M 44S</t>
        </is>
      </c>
      <c r="C35" s="203" t="inlineStr">
        <is>
          <t>11H 18M 6S</t>
        </is>
      </c>
      <c r="D35" s="203" t="inlineStr">
        <is>
          <t>1D 2H 40M 31S</t>
        </is>
      </c>
    </row>
    <row r="36" ht="14.5" customHeight="1">
      <c r="A36" s="163" t="inlineStr">
        <is>
          <t>Avg losing trade duration</t>
        </is>
      </c>
      <c r="B36" s="169" t="inlineStr">
        <is>
          <t>8H 33M 50S</t>
        </is>
      </c>
      <c r="C36" s="169" t="inlineStr">
        <is>
          <t>7H 4M 5S</t>
        </is>
      </c>
      <c r="D36" s="169" t="inlineStr">
        <is>
          <t>12H 14M 10S</t>
        </is>
      </c>
    </row>
    <row r="37" ht="14.5" customHeight="1">
      <c r="A37" s="163" t="inlineStr">
        <is>
          <t>Max duration</t>
        </is>
      </c>
      <c r="B37" s="203" t="inlineStr">
        <is>
          <t>18D 2H 50M 0S - DOTUSDT 2021-06-21</t>
        </is>
      </c>
      <c r="C37" s="203" t="inlineStr">
        <is>
          <t>17D 19H 58M 0S - USDCHF 2021-02-01</t>
        </is>
      </c>
      <c r="D37" s="203" t="inlineStr">
        <is>
          <t>18D 2H 50M 0S - DOTUSDT 2021-06-21</t>
        </is>
      </c>
    </row>
    <row r="38" ht="14.5" customHeight="1">
      <c r="A38" s="163" t="inlineStr">
        <is>
          <t>Min Move to Break Even</t>
        </is>
      </c>
      <c r="B38" s="203" t="inlineStr">
        <is>
          <t>30S - EURUSD 2018-07-24</t>
        </is>
      </c>
      <c r="C38" s="203" t="inlineStr">
        <is>
          <t>30S - EURUSD 2018-07-24</t>
        </is>
      </c>
      <c r="D38" s="203" t="inlineStr">
        <is>
          <t>7M 12S - SUSHIUSDT 2021-06-21</t>
        </is>
      </c>
    </row>
    <row r="39" ht="14.5" customHeight="1">
      <c r="A39" s="163" t="inlineStr">
        <is>
          <t>Average Move to Break Even</t>
        </is>
      </c>
      <c r="B39" s="203" t="inlineStr">
        <is>
          <t>7H 29M 49S</t>
        </is>
      </c>
      <c r="C39" s="203" t="inlineStr">
        <is>
          <t>5H 9M 0S</t>
        </is>
      </c>
      <c r="D39" s="203" t="inlineStr">
        <is>
          <t>12H 48M 59S</t>
        </is>
      </c>
    </row>
    <row r="40" ht="14.5" customHeight="1">
      <c r="A40" s="163" t="inlineStr">
        <is>
          <t>Max Move to Break Even</t>
        </is>
      </c>
      <c r="B40" s="203" t="inlineStr">
        <is>
          <t>7D 23H 5M 0S - DOTUSDT 2021-04-17</t>
        </is>
      </c>
      <c r="C40" s="203" t="inlineStr">
        <is>
          <t>2D 6H 27M 0S - EURAUD 2020-04-06</t>
        </is>
      </c>
      <c r="D40" s="203" t="inlineStr">
        <is>
          <t>7D 23H 5M 0S - DOTUSDT 2021-04-17</t>
        </is>
      </c>
    </row>
    <row r="41" ht="14.5" customHeight="1">
      <c r="A41" s="163" t="inlineStr">
        <is>
          <t>Min Move to Profit</t>
        </is>
      </c>
      <c r="B41" s="203" t="inlineStr">
        <is>
          <t>38S - USDCAD 2018-07-31</t>
        </is>
      </c>
      <c r="C41" s="203" t="inlineStr">
        <is>
          <t>38S - USDCAD 2018-07-31</t>
        </is>
      </c>
      <c r="D41" s="203" t="inlineStr">
        <is>
          <t>4H 16M 52S - ETHUSDT 2021-09-26</t>
        </is>
      </c>
    </row>
    <row r="42" ht="14.5" customHeight="1">
      <c r="A42" s="163" t="inlineStr">
        <is>
          <t>Average Move to Profit</t>
        </is>
      </c>
      <c r="B42" s="203" t="inlineStr">
        <is>
          <t>3H 21M 45S</t>
        </is>
      </c>
      <c r="C42" s="203" t="inlineStr">
        <is>
          <t>3H 19M 55S</t>
        </is>
      </c>
      <c r="D42" s="203" t="inlineStr">
        <is>
          <t>4H 16M 52S</t>
        </is>
      </c>
    </row>
    <row r="43" ht="14.5" customHeight="1" thickBot="1">
      <c r="A43" s="164" t="inlineStr">
        <is>
          <t>Max Move to Profit</t>
        </is>
      </c>
      <c r="B43" s="205" t="inlineStr">
        <is>
          <t>2D 12H 6M 0S - GBPJPY 2021-10-21</t>
        </is>
      </c>
      <c r="C43" s="205" t="inlineStr">
        <is>
          <t>2D 12H 6M 0S - GBPJPY 2021-10-21</t>
        </is>
      </c>
      <c r="D43" s="205" t="inlineStr">
        <is>
          <t>4H 16M 52S - ETHUSDT 2021-09-26</t>
        </is>
      </c>
    </row>
    <row r="44" ht="14.5" customHeight="1">
      <c r="A44" s="160" t="inlineStr">
        <is>
          <t>Winners</t>
        </is>
      </c>
      <c r="B44" s="249" t="n"/>
      <c r="C44" s="249" t="n"/>
      <c r="D44" s="249" t="n"/>
    </row>
    <row r="45" ht="14.5" customHeight="1">
      <c r="A45" s="163" t="inlineStr">
        <is>
          <t>Min stop %</t>
        </is>
      </c>
      <c r="B45" s="642" t="inlineStr">
        <is>
          <t>0.013% - AUDUSD 2018-05-30</t>
        </is>
      </c>
      <c r="C45" s="642" t="inlineStr">
        <is>
          <t>0.013% - AUDUSD 2018-05-30</t>
        </is>
      </c>
      <c r="D45" s="643" t="inlineStr">
        <is>
          <t>0.11% - BTCUSDT 2024-06-02</t>
        </is>
      </c>
    </row>
    <row r="46" ht="14.5" customHeight="1">
      <c r="A46" s="163" t="inlineStr">
        <is>
          <t>Avg stop %</t>
        </is>
      </c>
      <c r="B46" s="170" t="n">
        <v>0.008170743393123434</v>
      </c>
      <c r="C46" s="170" t="n">
        <v>0.001396339849712215</v>
      </c>
      <c r="D46" s="175" t="n">
        <v>0.03301022305229791</v>
      </c>
    </row>
    <row r="47" ht="14.5" customHeight="1">
      <c r="A47" s="163" t="inlineStr">
        <is>
          <t>Max stop %</t>
        </is>
      </c>
      <c r="B47" s="642" t="inlineStr">
        <is>
          <t>21.36% - XTZUSDT 2021-05-06</t>
        </is>
      </c>
      <c r="C47" s="642" t="inlineStr">
        <is>
          <t>1.21% - GBPJPY 2022-05-17</t>
        </is>
      </c>
      <c r="D47" s="643" t="inlineStr">
        <is>
          <t>21.36% - XTZUSDT 2021-05-06</t>
        </is>
      </c>
    </row>
    <row r="48" ht="14.5" customHeight="1">
      <c r="A48" s="163" t="inlineStr">
        <is>
          <t>Min target %</t>
        </is>
      </c>
      <c r="B48" s="203" t="inlineStr">
        <is>
          <t>0.00100% - USDCHF 2019-02-27</t>
        </is>
      </c>
      <c r="C48" s="203" t="inlineStr">
        <is>
          <t>0.00100% - USDCHF 2019-02-27</t>
        </is>
      </c>
      <c r="D48" s="643" t="inlineStr">
        <is>
          <t>0.21% - BTCUSDT 2024-06-02</t>
        </is>
      </c>
    </row>
    <row r="49" ht="14.5" customHeight="1">
      <c r="A49" s="163" t="inlineStr">
        <is>
          <t>Avg target %</t>
        </is>
      </c>
      <c r="B49" s="170" t="n">
        <v>0.02030656266995997</v>
      </c>
      <c r="C49" s="170" t="n">
        <v>0.003290075960978157</v>
      </c>
      <c r="D49" s="175" t="n">
        <v>0.07937528664826464</v>
      </c>
    </row>
    <row r="50" ht="14.5" customHeight="1">
      <c r="A50" s="163" t="inlineStr">
        <is>
          <t>Max target %</t>
        </is>
      </c>
      <c r="B50" s="642" t="inlineStr">
        <is>
          <t>56.93% - XTZUSDT 2021-05-06</t>
        </is>
      </c>
      <c r="C50" s="642" t="inlineStr">
        <is>
          <t>2.43% - GBPJPY 2022-05-17</t>
        </is>
      </c>
      <c r="D50" s="643" t="inlineStr">
        <is>
          <t>56.93% - XTZUSDT 2021-05-06</t>
        </is>
      </c>
    </row>
    <row r="51" ht="14.5" customHeight="1">
      <c r="A51" s="163" t="inlineStr">
        <is>
          <t>Min duration</t>
        </is>
      </c>
      <c r="B51" s="642" t="inlineStr">
        <is>
          <t>1S - GBPUSD 2018-09-19</t>
        </is>
      </c>
      <c r="C51" s="642" t="inlineStr">
        <is>
          <t>1S - GBPUSD 2018-09-19</t>
        </is>
      </c>
      <c r="D51" s="643" t="inlineStr">
        <is>
          <t>7M 0S - XRPUSDT 2020-10-18</t>
        </is>
      </c>
    </row>
    <row r="52" ht="14.5" customHeight="1">
      <c r="A52" s="163" t="inlineStr">
        <is>
          <t>Avg duration</t>
        </is>
      </c>
      <c r="B52" s="203" t="inlineStr">
        <is>
          <t>14H 33M 27S</t>
        </is>
      </c>
      <c r="C52" s="203" t="inlineStr">
        <is>
          <t>11H 13M 55S</t>
        </is>
      </c>
      <c r="D52" s="204" t="inlineStr">
        <is>
          <t>1D 2H 40M 31S</t>
        </is>
      </c>
    </row>
    <row r="53" ht="14.5" customHeight="1">
      <c r="A53" s="163" t="inlineStr">
        <is>
          <t>Max duration</t>
        </is>
      </c>
      <c r="B53" s="642" t="inlineStr">
        <is>
          <t>18D 2H 50M 0S - DOTUSDT 2021-06-21</t>
        </is>
      </c>
      <c r="C53" s="642" t="inlineStr">
        <is>
          <t>11D 2H 3M 0S - USDCHF 2022-07-06</t>
        </is>
      </c>
      <c r="D53" s="643" t="inlineStr">
        <is>
          <t>18D 2H 50M 0S - DOTUSDT 2021-06-21</t>
        </is>
      </c>
    </row>
    <row r="54" ht="14.5" customHeight="1">
      <c r="A54" s="163" t="inlineStr">
        <is>
          <t>Min win %</t>
        </is>
      </c>
      <c r="B54" s="645" t="inlineStr">
        <is>
          <t>0.0022% - USDCAD 2018-08-24</t>
        </is>
      </c>
      <c r="C54" s="645" t="inlineStr">
        <is>
          <t>0.0022% - USDCAD 2018-08-24</t>
        </is>
      </c>
      <c r="D54" s="646" t="inlineStr">
        <is>
          <t>0.046% - BCHUSDT 2021-04-14</t>
        </is>
      </c>
    </row>
    <row r="55" ht="14.5" customHeight="1">
      <c r="A55" s="163" t="inlineStr">
        <is>
          <t>Avg win %</t>
        </is>
      </c>
      <c r="B55" s="189" t="n">
        <v>0.01364630882640868</v>
      </c>
      <c r="C55" s="189" t="n">
        <v>0.01244045584262971</v>
      </c>
      <c r="D55" s="207" t="n">
        <v>0.01802618862955986</v>
      </c>
    </row>
    <row r="56" ht="14.5" customHeight="1">
      <c r="A56" s="163" t="inlineStr">
        <is>
          <t>Max win %</t>
        </is>
      </c>
      <c r="B56" s="645" t="inlineStr">
        <is>
          <t>5.48% - USDJPY 2021-07-02</t>
        </is>
      </c>
      <c r="C56" s="645" t="inlineStr">
        <is>
          <t>5.48% - USDJPY 2021-07-02</t>
        </is>
      </c>
      <c r="D56" s="646" t="inlineStr">
        <is>
          <t>4.61% - ERDUSDT 2020-09-03</t>
        </is>
      </c>
    </row>
    <row r="57" ht="14.5" customHeight="1">
      <c r="A57" s="163" t="inlineStr">
        <is>
          <t>Min R win</t>
        </is>
      </c>
      <c r="B57" s="645" t="inlineStr">
        <is>
          <t>0.020R - EURCAD 2019-10-29</t>
        </is>
      </c>
      <c r="C57" s="645" t="inlineStr">
        <is>
          <t>0.020R - EURCAD 2019-10-29</t>
        </is>
      </c>
      <c r="D57" s="646" t="inlineStr">
        <is>
          <t>0.025R - BCHUSDT 2021-04-14</t>
        </is>
      </c>
    </row>
    <row r="58" ht="14.5" customHeight="1">
      <c r="A58" s="163" t="inlineStr">
        <is>
          <t>Avg R win</t>
        </is>
      </c>
      <c r="B58" s="191" t="n">
        <v>1.895826791995127</v>
      </c>
      <c r="C58" s="191" t="n">
        <v>1.788876629897931</v>
      </c>
      <c r="D58" s="208" t="n">
        <v>2.281611305274296</v>
      </c>
    </row>
    <row r="59" ht="14.5" customHeight="1">
      <c r="A59" s="163" t="inlineStr">
        <is>
          <t>Max R win</t>
        </is>
      </c>
      <c r="B59" s="645" t="inlineStr">
        <is>
          <t>5.97R - USDCHF 2018-10-11</t>
        </is>
      </c>
      <c r="C59" s="645" t="inlineStr">
        <is>
          <t>5.97R - USDCHF 2018-10-11</t>
        </is>
      </c>
      <c r="D59" s="646" t="inlineStr">
        <is>
          <t>5.95R - ETHUSDT 2021-09-26</t>
        </is>
      </c>
    </row>
    <row r="60" ht="14.5" customHeight="1" thickBot="1">
      <c r="A60" s="164" t="inlineStr">
        <is>
          <t>Most wins</t>
        </is>
      </c>
      <c r="B60" s="205" t="inlineStr">
        <is>
          <t>USDCAD - Wins 53</t>
        </is>
      </c>
      <c r="C60" s="205" t="inlineStr">
        <is>
          <t>USDCAD - Wins 53</t>
        </is>
      </c>
      <c r="D60" s="206" t="inlineStr">
        <is>
          <t>ETHUSDT - Wins 15</t>
        </is>
      </c>
    </row>
    <row r="61" ht="14.5" customHeight="1">
      <c r="A61" s="160" t="inlineStr">
        <is>
          <t>Losers</t>
        </is>
      </c>
      <c r="B61" s="249" t="n"/>
      <c r="C61" s="249" t="n"/>
      <c r="D61" s="249" t="n"/>
    </row>
    <row r="62" ht="14.5" customHeight="1">
      <c r="A62" s="163" t="inlineStr">
        <is>
          <t>Min stop %</t>
        </is>
      </c>
      <c r="B62" s="642" t="inlineStr">
        <is>
          <t>0.0076% - USDCAD 2018-09-07</t>
        </is>
      </c>
      <c r="C62" s="642" t="inlineStr">
        <is>
          <t>0.0076% - USDCAD 2018-09-07</t>
        </is>
      </c>
      <c r="D62" s="643" t="inlineStr">
        <is>
          <t>0.13% - XRPUSDT 2020-10-18</t>
        </is>
      </c>
    </row>
    <row r="63" ht="14.5" customHeight="1">
      <c r="A63" s="163" t="inlineStr">
        <is>
          <t>Avg stop %</t>
        </is>
      </c>
      <c r="B63" s="170" t="n">
        <v>0.01130706436192615</v>
      </c>
      <c r="C63" s="170" t="n">
        <v>0.00144819584721127</v>
      </c>
      <c r="D63" s="175" t="n">
        <v>0.03518667668130476</v>
      </c>
    </row>
    <row r="64" ht="14.5" customHeight="1">
      <c r="A64" s="163" t="inlineStr">
        <is>
          <t>Max stop %</t>
        </is>
      </c>
      <c r="B64" s="642" t="inlineStr">
        <is>
          <t>15.95% - SHIB1000USDT 2021-11-24</t>
        </is>
      </c>
      <c r="C64" s="642" t="inlineStr">
        <is>
          <t>2.30% - NZDUSD 2022-11-09</t>
        </is>
      </c>
      <c r="D64" s="643" t="inlineStr">
        <is>
          <t>15.95% - SHIB1000USDT 2021-11-24</t>
        </is>
      </c>
    </row>
    <row r="65" ht="14.5" customHeight="1">
      <c r="A65" s="163" t="inlineStr">
        <is>
          <t>Min target %</t>
        </is>
      </c>
      <c r="B65" s="642" t="inlineStr">
        <is>
          <t>0.0068% - NZDUSD 2025-06-10</t>
        </is>
      </c>
      <c r="C65" s="642" t="inlineStr">
        <is>
          <t>0.0068% - NZDUSD 2025-06-10</t>
        </is>
      </c>
      <c r="D65" s="643" t="inlineStr">
        <is>
          <t>0.26% - BTCUSDT 2020-10-18</t>
        </is>
      </c>
    </row>
    <row r="66" ht="14.5" customHeight="1">
      <c r="A66" s="163" t="inlineStr">
        <is>
          <t>Avg target %</t>
        </is>
      </c>
      <c r="B66" s="209" t="n">
        <v>0.03376932028161132</v>
      </c>
      <c r="C66" s="209" t="n">
        <v>0.00384723594937316</v>
      </c>
      <c r="D66" s="210" t="n">
        <v>0.1029841061035145</v>
      </c>
    </row>
    <row r="67" ht="14.5" customHeight="1">
      <c r="A67" s="163" t="inlineStr">
        <is>
          <t>Max target %</t>
        </is>
      </c>
      <c r="B67" s="642" t="inlineStr">
        <is>
          <t>74.66% - SHIB1000USDT 2021-11-24</t>
        </is>
      </c>
      <c r="C67" s="642" t="inlineStr">
        <is>
          <t>4.60% - NZDUSD 2022-11-09</t>
        </is>
      </c>
      <c r="D67" s="643" t="inlineStr">
        <is>
          <t>74.66% - SHIB1000USDT 2021-11-24</t>
        </is>
      </c>
    </row>
    <row r="68" ht="14.5" customHeight="1">
      <c r="A68" s="163" t="inlineStr">
        <is>
          <t>Min duration</t>
        </is>
      </c>
      <c r="B68" s="642" t="inlineStr">
        <is>
          <t>1S - ADAUSDT 2021-05-15</t>
        </is>
      </c>
      <c r="C68" s="642" t="inlineStr">
        <is>
          <t>1S - CADCHF 2021-05-05</t>
        </is>
      </c>
      <c r="D68" s="643" t="inlineStr">
        <is>
          <t>1S - ADAUSDT 2021-05-15</t>
        </is>
      </c>
    </row>
    <row r="69" ht="14.5" customHeight="1">
      <c r="A69" s="163" t="inlineStr">
        <is>
          <t>Avg duration</t>
        </is>
      </c>
      <c r="B69" s="172" t="inlineStr">
        <is>
          <t>8H 31M 12S</t>
        </is>
      </c>
      <c r="C69" s="172" t="inlineStr">
        <is>
          <t>7H 3M 23S</t>
        </is>
      </c>
      <c r="D69" s="176" t="inlineStr">
        <is>
          <t>12H 4M 26S</t>
        </is>
      </c>
    </row>
    <row r="70" ht="14.5" customHeight="1">
      <c r="A70" s="163" t="inlineStr">
        <is>
          <t>Max duration</t>
        </is>
      </c>
      <c r="B70" s="642" t="inlineStr">
        <is>
          <t>17D 19H 58M 0S - USDCHF 2021-02-01</t>
        </is>
      </c>
      <c r="C70" s="642" t="inlineStr">
        <is>
          <t>17D 19H 58M 0S - USDCHF 2021-02-01</t>
        </is>
      </c>
      <c r="D70" s="643" t="inlineStr">
        <is>
          <t>10D 8H 39M 0S - TRXUSDT 2020-09-16</t>
        </is>
      </c>
    </row>
    <row r="71" ht="14.5" customHeight="1">
      <c r="A71" s="163" t="inlineStr">
        <is>
          <t>Max loss %</t>
        </is>
      </c>
      <c r="B71" s="648" t="inlineStr">
        <is>
          <t>-6.02% - NZDUSD 2018-09-20</t>
        </is>
      </c>
      <c r="C71" s="648" t="inlineStr">
        <is>
          <t>-6.02% - NZDUSD 2018-09-20</t>
        </is>
      </c>
      <c r="D71" s="649" t="inlineStr">
        <is>
          <t>-2.31% - XRPUSDT 2020-10-18</t>
        </is>
      </c>
    </row>
    <row r="72" ht="14.5" customHeight="1">
      <c r="A72" s="163" t="inlineStr">
        <is>
          <t>Avg loss %</t>
        </is>
      </c>
      <c r="B72" s="185" t="n">
        <v>-0.007453390722808607</v>
      </c>
      <c r="C72" s="185" t="n">
        <v>-0.007370243245860222</v>
      </c>
      <c r="D72" s="211" t="n">
        <v>-0.007655279630878488</v>
      </c>
    </row>
    <row r="73" ht="14.5" customHeight="1">
      <c r="A73" s="163" t="inlineStr">
        <is>
          <t>Min loss %</t>
        </is>
      </c>
      <c r="B73" s="648" t="inlineStr">
        <is>
          <t>-0.0027% - AUDUSD 2018-10-15</t>
        </is>
      </c>
      <c r="C73" s="648" t="inlineStr">
        <is>
          <t>-0.0027% - AUDUSD 2018-10-15</t>
        </is>
      </c>
      <c r="D73" s="649" t="inlineStr">
        <is>
          <t>-0.0031% - ETHUSDT 2021-05-04</t>
        </is>
      </c>
    </row>
    <row r="74" ht="14.5" customHeight="1">
      <c r="A74" s="163" t="inlineStr">
        <is>
          <t>Max R loss</t>
        </is>
      </c>
      <c r="B74" s="648" t="inlineStr">
        <is>
          <t>-10.75R - GBPAUD 2019-07-25</t>
        </is>
      </c>
      <c r="C74" s="648" t="inlineStr">
        <is>
          <t>-10.75R - GBPAUD 2019-07-25</t>
        </is>
      </c>
      <c r="D74" s="649" t="inlineStr">
        <is>
          <t>-1.94R - ZECUSDT 2024-08-12</t>
        </is>
      </c>
    </row>
    <row r="75" ht="14.5" customHeight="1">
      <c r="A75" s="163" t="inlineStr">
        <is>
          <t>Avg R loss</t>
        </is>
      </c>
      <c r="B75" s="187" t="n">
        <v>-0.9364506342807353</v>
      </c>
      <c r="C75" s="187" t="n">
        <v>-0.9339902785227008</v>
      </c>
      <c r="D75" s="212" t="n">
        <v>-0.9425472511223357</v>
      </c>
    </row>
    <row r="76" ht="14.5" customHeight="1">
      <c r="A76" s="163" t="inlineStr">
        <is>
          <t>Min R loss</t>
        </is>
      </c>
      <c r="B76" s="648" t="inlineStr">
        <is>
          <t>-0.0031R - SOLUSDT 2021-11-16</t>
        </is>
      </c>
      <c r="C76" s="648" t="inlineStr">
        <is>
          <t>-0.011R - GBPUSD 2020-01-27</t>
        </is>
      </c>
      <c r="D76" s="649" t="inlineStr">
        <is>
          <t>-0.0031R - SOLUSDT 2021-11-16</t>
        </is>
      </c>
    </row>
    <row r="77" ht="14.5" customHeight="1" thickBot="1">
      <c r="A77" s="164" t="inlineStr">
        <is>
          <t>Most losses</t>
        </is>
      </c>
      <c r="B77" s="205" t="inlineStr">
        <is>
          <t>USDCAD - Losses 91</t>
        </is>
      </c>
      <c r="C77" s="205" t="inlineStr">
        <is>
          <t>USDCAD - Losses 91</t>
        </is>
      </c>
      <c r="D77" s="206" t="inlineStr">
        <is>
          <t>BTCUSDT - Losses 58</t>
        </is>
      </c>
    </row>
    <row r="78" ht="14.5" customHeight="1">
      <c r="A78" s="160" t="inlineStr">
        <is>
          <t>Side</t>
        </is>
      </c>
      <c r="B78" s="249" t="n"/>
      <c r="C78" s="249" t="n"/>
      <c r="D78" s="249" t="n"/>
    </row>
    <row r="79" ht="14.5" customHeight="1">
      <c r="A79" s="161" t="inlineStr">
        <is>
          <t>Long</t>
        </is>
      </c>
      <c r="B79" s="178" t="n">
        <v>905</v>
      </c>
      <c r="C79" s="178" t="n">
        <v>586</v>
      </c>
      <c r="D79" s="213" t="n">
        <v>319</v>
      </c>
    </row>
    <row r="80" ht="14.5" customHeight="1">
      <c r="A80" s="163" t="inlineStr">
        <is>
          <t>Winners</t>
        </is>
      </c>
      <c r="B80" s="180" t="n">
        <v>245</v>
      </c>
      <c r="C80" s="180" t="n">
        <v>170</v>
      </c>
      <c r="D80" s="214" t="n">
        <v>75</v>
      </c>
    </row>
    <row r="81" ht="14.5" customHeight="1">
      <c r="A81" s="163" t="inlineStr">
        <is>
          <t>Losers</t>
        </is>
      </c>
      <c r="B81" s="182" t="n">
        <v>649</v>
      </c>
      <c r="C81" s="182" t="n">
        <v>405</v>
      </c>
      <c r="D81" s="215" t="n">
        <v>244</v>
      </c>
    </row>
    <row r="82" ht="14.5" customHeight="1">
      <c r="A82" s="161" t="inlineStr">
        <is>
          <t>Short</t>
        </is>
      </c>
      <c r="B82" s="178" t="n">
        <v>516</v>
      </c>
      <c r="C82" s="178" t="n">
        <v>456</v>
      </c>
      <c r="D82" s="213" t="n">
        <v>60</v>
      </c>
    </row>
    <row r="83" ht="14.5" customHeight="1">
      <c r="A83" s="163" t="inlineStr">
        <is>
          <t>Winners</t>
        </is>
      </c>
      <c r="B83" s="180" t="n">
        <v>159</v>
      </c>
      <c r="C83" s="180" t="n">
        <v>147</v>
      </c>
      <c r="D83" s="214" t="n">
        <v>12</v>
      </c>
    </row>
    <row r="84" ht="14.5" customHeight="1" thickBot="1">
      <c r="A84" s="164" t="inlineStr">
        <is>
          <t>Losers</t>
        </is>
      </c>
      <c r="B84" s="216" t="n">
        <v>352</v>
      </c>
      <c r="C84" s="216" t="n">
        <v>304</v>
      </c>
      <c r="D84" s="217" t="n">
        <v>48</v>
      </c>
    </row>
    <row r="85" ht="14.5" customHeight="1">
      <c r="A85" s="160" t="inlineStr">
        <is>
          <t>Patterns</t>
        </is>
      </c>
      <c r="B85" s="249" t="n"/>
      <c r="C85" s="249" t="n"/>
      <c r="D85" s="249" t="n"/>
    </row>
    <row r="86" ht="14.5" customHeight="1">
      <c r="A86" s="161" t="inlineStr">
        <is>
          <t>Channel</t>
        </is>
      </c>
      <c r="B86" s="178" t="n">
        <v>28</v>
      </c>
      <c r="C86" s="178" t="n">
        <v>12</v>
      </c>
      <c r="D86" s="213" t="n">
        <v>16</v>
      </c>
    </row>
    <row r="87" ht="14.5" customHeight="1">
      <c r="A87" s="163" t="inlineStr">
        <is>
          <t>Winners</t>
        </is>
      </c>
      <c r="B87" s="180" t="n">
        <v>9</v>
      </c>
      <c r="C87" s="180" t="n">
        <v>3</v>
      </c>
      <c r="D87" s="214" t="n">
        <v>6</v>
      </c>
    </row>
    <row r="88" ht="14.5" customHeight="1">
      <c r="A88" s="163" t="inlineStr">
        <is>
          <t>Losers</t>
        </is>
      </c>
      <c r="B88" s="182" t="n">
        <v>19</v>
      </c>
      <c r="C88" s="182" t="n">
        <v>9</v>
      </c>
      <c r="D88" s="215" t="n">
        <v>10</v>
      </c>
    </row>
    <row r="89" ht="14.5" customHeight="1">
      <c r="A89" s="161" t="inlineStr">
        <is>
          <t>Range</t>
        </is>
      </c>
      <c r="B89" s="171" t="n">
        <v>6</v>
      </c>
      <c r="C89" s="171" t="n">
        <v>4</v>
      </c>
      <c r="D89" s="218" t="n">
        <v>2</v>
      </c>
    </row>
    <row r="90" ht="14.5" customHeight="1">
      <c r="A90" s="163" t="inlineStr">
        <is>
          <t>Winners</t>
        </is>
      </c>
      <c r="B90" s="180" t="n">
        <v>1</v>
      </c>
      <c r="C90" s="180" t="n">
        <v>1</v>
      </c>
      <c r="D90" s="214" t="n">
        <v>0</v>
      </c>
    </row>
    <row r="91" ht="14.5" customHeight="1">
      <c r="A91" s="163" t="inlineStr">
        <is>
          <t>Losers</t>
        </is>
      </c>
      <c r="B91" s="182" t="n">
        <v>5</v>
      </c>
      <c r="C91" s="182" t="n">
        <v>3</v>
      </c>
      <c r="D91" s="215" t="n">
        <v>2</v>
      </c>
    </row>
    <row r="92" ht="14.5" customHeight="1">
      <c r="A92" s="165" t="inlineStr">
        <is>
          <t>Most Traded</t>
        </is>
      </c>
      <c r="B92" s="173" t="inlineStr">
        <is>
          <t>channel</t>
        </is>
      </c>
      <c r="C92" s="173" t="inlineStr">
        <is>
          <t>channel</t>
        </is>
      </c>
      <c r="D92" s="177" t="inlineStr">
        <is>
          <t>channel</t>
        </is>
      </c>
    </row>
    <row r="93" ht="14.5" customHeight="1">
      <c r="A93" s="151" t="inlineStr">
        <is>
          <t>Least Traded</t>
        </is>
      </c>
      <c r="B93" s="219" t="inlineStr">
        <is>
          <t>range</t>
        </is>
      </c>
      <c r="C93" s="219" t="inlineStr">
        <is>
          <t>range</t>
        </is>
      </c>
      <c r="D93" s="220" t="inlineStr">
        <is>
          <t>range</t>
        </is>
      </c>
    </row>
    <row r="94" ht="14.5" customHeight="1">
      <c r="A94" s="151" t="inlineStr">
        <is>
          <t>Most Profitable</t>
        </is>
      </c>
      <c r="B94" s="219" t="inlineStr">
        <is>
          <t>range</t>
        </is>
      </c>
      <c r="C94" s="219" t="inlineStr">
        <is>
          <t>range</t>
        </is>
      </c>
      <c r="D94" s="220" t="inlineStr">
        <is>
          <t>range</t>
        </is>
      </c>
    </row>
    <row r="95" ht="14.5" customHeight="1" thickBot="1">
      <c r="A95" s="162" t="inlineStr">
        <is>
          <t>Least Profitable</t>
        </is>
      </c>
      <c r="B95" s="221" t="inlineStr">
        <is>
          <t>channel</t>
        </is>
      </c>
      <c r="C95" s="205" t="inlineStr">
        <is>
          <t>channel</t>
        </is>
      </c>
      <c r="D95" s="206" t="inlineStr">
        <is>
          <t>channel</t>
        </is>
      </c>
    </row>
    <row r="96" ht="14.5" customHeight="1">
      <c r="A96" s="160" t="inlineStr">
        <is>
          <t>Timeframe</t>
        </is>
      </c>
      <c r="B96" s="249" t="n"/>
      <c r="C96" s="249" t="n"/>
      <c r="D96" s="249" t="n"/>
    </row>
    <row r="97" ht="14.5" customHeight="1">
      <c r="A97" s="161" t="inlineStr">
        <is>
          <t>1MIN</t>
        </is>
      </c>
      <c r="B97" s="171" t="n">
        <v>84</v>
      </c>
      <c r="C97" s="171" t="n">
        <v>81</v>
      </c>
      <c r="D97" s="218" t="n">
        <v>3</v>
      </c>
    </row>
    <row r="98" ht="14.5" customHeight="1">
      <c r="A98" s="163" t="inlineStr">
        <is>
          <t>Winners</t>
        </is>
      </c>
      <c r="B98" s="180" t="n">
        <v>32</v>
      </c>
      <c r="C98" s="180" t="n">
        <v>31</v>
      </c>
      <c r="D98" s="214" t="n">
        <v>1</v>
      </c>
    </row>
    <row r="99" ht="14.5" customHeight="1">
      <c r="A99" s="166" t="inlineStr">
        <is>
          <t>Losers</t>
        </is>
      </c>
      <c r="B99" s="222" t="n">
        <v>51</v>
      </c>
      <c r="C99" s="222" t="n">
        <v>49</v>
      </c>
      <c r="D99" s="223" t="n">
        <v>2</v>
      </c>
    </row>
    <row r="100" ht="14.5" customHeight="1">
      <c r="A100" s="151" t="inlineStr">
        <is>
          <t>5MIN</t>
        </is>
      </c>
      <c r="B100" s="224" t="n">
        <v>233</v>
      </c>
      <c r="C100" s="224" t="n">
        <v>178</v>
      </c>
      <c r="D100" s="225" t="n">
        <v>55</v>
      </c>
    </row>
    <row r="101" ht="14.5" customHeight="1">
      <c r="A101" s="163" t="inlineStr">
        <is>
          <t>Winners</t>
        </is>
      </c>
      <c r="B101" s="252" t="n">
        <v>63</v>
      </c>
      <c r="C101" s="252" t="n">
        <v>47</v>
      </c>
      <c r="D101" s="253" t="n">
        <v>16</v>
      </c>
    </row>
    <row r="102" ht="14.5" customHeight="1">
      <c r="A102" s="167" t="inlineStr">
        <is>
          <t>Losers</t>
        </is>
      </c>
      <c r="B102" s="226" t="n">
        <v>163</v>
      </c>
      <c r="C102" s="226" t="n">
        <v>124</v>
      </c>
      <c r="D102" s="227" t="n">
        <v>39</v>
      </c>
    </row>
    <row r="103" ht="14.5" customHeight="1">
      <c r="A103" s="161" t="inlineStr">
        <is>
          <t>15MIN</t>
        </is>
      </c>
      <c r="B103" s="171" t="n">
        <v>253</v>
      </c>
      <c r="C103" s="171" t="n">
        <v>200</v>
      </c>
      <c r="D103" s="218" t="n">
        <v>53</v>
      </c>
    </row>
    <row r="104" ht="14.5" customHeight="1">
      <c r="A104" s="163" t="inlineStr">
        <is>
          <t>Winners</t>
        </is>
      </c>
      <c r="B104" s="180" t="n">
        <v>71</v>
      </c>
      <c r="C104" s="180" t="n">
        <v>61</v>
      </c>
      <c r="D104" s="214" t="n">
        <v>10</v>
      </c>
    </row>
    <row r="105" ht="14.5" customHeight="1">
      <c r="A105" s="163" t="inlineStr">
        <is>
          <t>Losers</t>
        </is>
      </c>
      <c r="B105" s="182" t="n">
        <v>180</v>
      </c>
      <c r="C105" s="182" t="n">
        <v>137</v>
      </c>
      <c r="D105" s="215" t="n">
        <v>43</v>
      </c>
    </row>
    <row r="106" ht="14.5" customHeight="1">
      <c r="A106" s="161" t="inlineStr">
        <is>
          <t>30MIN</t>
        </is>
      </c>
      <c r="B106" s="171" t="n">
        <v>63</v>
      </c>
      <c r="C106" s="171" t="n">
        <v>59</v>
      </c>
      <c r="D106" s="218" t="n">
        <v>4</v>
      </c>
    </row>
    <row r="107" ht="14.5" customHeight="1">
      <c r="A107" s="163" t="inlineStr">
        <is>
          <t>Winners</t>
        </is>
      </c>
      <c r="B107" s="180" t="n">
        <v>26</v>
      </c>
      <c r="C107" s="180" t="n">
        <v>24</v>
      </c>
      <c r="D107" s="214" t="n">
        <v>2</v>
      </c>
    </row>
    <row r="108" ht="14.5" customHeight="1">
      <c r="A108" s="163" t="inlineStr">
        <is>
          <t>Losers</t>
        </is>
      </c>
      <c r="B108" s="182" t="n">
        <v>36</v>
      </c>
      <c r="C108" s="182" t="n">
        <v>34</v>
      </c>
      <c r="D108" s="215" t="n">
        <v>2</v>
      </c>
    </row>
    <row r="109" ht="14.5" customHeight="1">
      <c r="A109" s="161" t="inlineStr">
        <is>
          <t>1H</t>
        </is>
      </c>
      <c r="B109" s="171" t="n">
        <v>306</v>
      </c>
      <c r="C109" s="178" t="n">
        <v>188</v>
      </c>
      <c r="D109" s="213" t="n">
        <v>118</v>
      </c>
    </row>
    <row r="110" ht="14.5" customHeight="1">
      <c r="A110" s="163" t="inlineStr">
        <is>
          <t>Winners</t>
        </is>
      </c>
      <c r="B110" s="180" t="n">
        <v>91</v>
      </c>
      <c r="C110" s="180" t="n">
        <v>65</v>
      </c>
      <c r="D110" s="214" t="n">
        <v>26</v>
      </c>
    </row>
    <row r="111" ht="14.5" customHeight="1">
      <c r="A111" s="166" t="inlineStr">
        <is>
          <t>Losers</t>
        </is>
      </c>
      <c r="B111" s="222" t="n">
        <v>213</v>
      </c>
      <c r="C111" s="222" t="n">
        <v>121</v>
      </c>
      <c r="D111" s="223" t="n">
        <v>92</v>
      </c>
    </row>
    <row r="112" ht="14.5" customHeight="1">
      <c r="A112" s="161" t="inlineStr">
        <is>
          <t>4H</t>
        </is>
      </c>
      <c r="B112" s="171" t="n">
        <v>202</v>
      </c>
      <c r="C112" s="178" t="n">
        <v>119</v>
      </c>
      <c r="D112" s="213" t="n">
        <v>83</v>
      </c>
    </row>
    <row r="113" ht="14.5" customHeight="1">
      <c r="A113" s="167" t="inlineStr">
        <is>
          <t>Winners</t>
        </is>
      </c>
      <c r="B113" s="228" t="n">
        <v>50</v>
      </c>
      <c r="C113" s="228" t="n">
        <v>32</v>
      </c>
      <c r="D113" s="229" t="n">
        <v>18</v>
      </c>
    </row>
    <row r="114" ht="14.5" customHeight="1">
      <c r="A114" s="163" t="inlineStr">
        <is>
          <t>Losers</t>
        </is>
      </c>
      <c r="B114" s="182" t="n">
        <v>150</v>
      </c>
      <c r="C114" s="182" t="n">
        <v>85</v>
      </c>
      <c r="D114" s="215" t="n">
        <v>65</v>
      </c>
    </row>
    <row r="115" ht="14.5" customHeight="1">
      <c r="A115" s="161" t="inlineStr">
        <is>
          <t>DAILY</t>
        </is>
      </c>
      <c r="B115" s="171" t="n">
        <v>73</v>
      </c>
      <c r="C115" s="171" t="n">
        <v>36</v>
      </c>
      <c r="D115" s="218" t="n">
        <v>37</v>
      </c>
    </row>
    <row r="116" ht="14.5" customHeight="1">
      <c r="A116" s="163" t="inlineStr">
        <is>
          <t>Winners</t>
        </is>
      </c>
      <c r="B116" s="180" t="n">
        <v>13</v>
      </c>
      <c r="C116" s="180" t="n">
        <v>7</v>
      </c>
      <c r="D116" s="214" t="n">
        <v>6</v>
      </c>
    </row>
    <row r="117" ht="14.5" customHeight="1">
      <c r="A117" s="163" t="inlineStr">
        <is>
          <t>Losers</t>
        </is>
      </c>
      <c r="B117" s="182" t="n">
        <v>60</v>
      </c>
      <c r="C117" s="182" t="n">
        <v>29</v>
      </c>
      <c r="D117" s="215" t="n">
        <v>31</v>
      </c>
    </row>
    <row r="118" ht="14.5" customHeight="1">
      <c r="A118" s="161" t="inlineStr">
        <is>
          <t>WEEKLY</t>
        </is>
      </c>
      <c r="B118" s="171" t="n">
        <v>30</v>
      </c>
      <c r="C118" s="171" t="n">
        <v>22</v>
      </c>
      <c r="D118" s="218" t="n">
        <v>8</v>
      </c>
    </row>
    <row r="119" ht="14.5" customHeight="1">
      <c r="A119" s="163" t="inlineStr">
        <is>
          <t>Winners</t>
        </is>
      </c>
      <c r="B119" s="180" t="n">
        <v>10</v>
      </c>
      <c r="C119" s="180" t="n">
        <v>8</v>
      </c>
      <c r="D119" s="214" t="n">
        <v>2</v>
      </c>
    </row>
    <row r="120" ht="14.5" customHeight="1">
      <c r="A120" s="163" t="inlineStr">
        <is>
          <t>Losers</t>
        </is>
      </c>
      <c r="B120" s="182" t="n">
        <v>20</v>
      </c>
      <c r="C120" s="182" t="n">
        <v>14</v>
      </c>
      <c r="D120" s="215" t="n">
        <v>6</v>
      </c>
    </row>
    <row r="121" ht="14.5" customHeight="1">
      <c r="A121" s="161" t="inlineStr">
        <is>
          <t>MONTHLY</t>
        </is>
      </c>
      <c r="B121" s="171" t="n">
        <v>3</v>
      </c>
      <c r="C121" s="171" t="n">
        <v>3</v>
      </c>
      <c r="D121" s="218" t="n">
        <v>0</v>
      </c>
    </row>
    <row r="122" ht="14.5" customHeight="1">
      <c r="A122" s="163" t="inlineStr">
        <is>
          <t>Winners</t>
        </is>
      </c>
      <c r="B122" s="180" t="n">
        <v>1</v>
      </c>
      <c r="C122" s="180" t="n">
        <v>1</v>
      </c>
      <c r="D122" s="214" t="n">
        <v>0</v>
      </c>
    </row>
    <row r="123" ht="14.5" customHeight="1" thickBot="1">
      <c r="A123" s="164" t="inlineStr">
        <is>
          <t>Losers</t>
        </is>
      </c>
      <c r="B123" s="216" t="n">
        <v>2</v>
      </c>
      <c r="C123" s="216" t="n">
        <v>2</v>
      </c>
      <c r="D123" s="217" t="n">
        <v>0</v>
      </c>
    </row>
    <row r="124" ht="14.5" customHeight="1">
      <c r="A124" s="160" t="inlineStr">
        <is>
          <t>Commission</t>
        </is>
      </c>
      <c r="B124" s="249" t="n"/>
      <c r="C124" s="249" t="n"/>
      <c r="D124" s="249" t="n"/>
    </row>
    <row r="125" ht="14.5" customHeight="1">
      <c r="A125" s="163" t="inlineStr">
        <is>
          <t>Min</t>
        </is>
      </c>
      <c r="B125" s="250" t="n"/>
      <c r="C125" s="230" t="n">
        <v>0.01</v>
      </c>
      <c r="D125" s="231" t="n">
        <v>0.00187644</v>
      </c>
    </row>
    <row r="126" ht="14.5" customHeight="1">
      <c r="A126" s="163" t="inlineStr">
        <is>
          <t>Avg</t>
        </is>
      </c>
      <c r="B126" s="250" t="n"/>
      <c r="C126" s="230" t="n">
        <v>0.358452380952381</v>
      </c>
      <c r="D126" s="231" t="n">
        <v>0.1845345829301075</v>
      </c>
    </row>
    <row r="127" ht="14.5" customHeight="1">
      <c r="A127" s="163" t="inlineStr">
        <is>
          <t xml:space="preserve">Max </t>
        </is>
      </c>
      <c r="B127" s="250" t="n"/>
      <c r="C127" s="230" t="n">
        <v>1.87</v>
      </c>
      <c r="D127" s="231" t="n">
        <v>3.21372678</v>
      </c>
    </row>
    <row r="128" ht="14.5" customHeight="1" thickBot="1">
      <c r="A128" s="164" t="inlineStr">
        <is>
          <t xml:space="preserve">Total </t>
        </is>
      </c>
      <c r="B128" s="251" t="n"/>
      <c r="C128" s="232" t="n">
        <v>60.22</v>
      </c>
      <c r="D128" s="233" t="n">
        <v>68.64686485</v>
      </c>
    </row>
    <row r="129" ht="14.5" customHeight="1">
      <c r="A129" s="160" t="inlineStr">
        <is>
          <t>Drawdown</t>
        </is>
      </c>
      <c r="B129" s="249" t="n"/>
      <c r="C129" s="249" t="n"/>
      <c r="D129" s="249" t="n"/>
    </row>
    <row r="130" ht="14.5" customHeight="1">
      <c r="A130" s="161" t="inlineStr">
        <is>
          <t>Min drawdown</t>
        </is>
      </c>
      <c r="B130" s="185" t="n">
        <v>8.612271185476756e-05</v>
      </c>
      <c r="C130" s="185" t="n">
        <v>0.0001383891502906037</v>
      </c>
      <c r="D130" s="211" t="n">
        <v>8.612271185476756e-05</v>
      </c>
    </row>
    <row r="131" ht="14.5" customHeight="1">
      <c r="A131" s="163" t="inlineStr">
        <is>
          <t>Start</t>
        </is>
      </c>
      <c r="B131" s="172" t="inlineStr">
        <is>
          <t>2020-04-12 16:42:00</t>
        </is>
      </c>
      <c r="C131" s="203" t="inlineStr">
        <is>
          <t>2020-04-03 18:19:00</t>
        </is>
      </c>
      <c r="D131" s="204" t="inlineStr">
        <is>
          <t>2020-04-12 16:42:00</t>
        </is>
      </c>
    </row>
    <row r="132" ht="14.5" customHeight="1">
      <c r="A132" s="163" t="inlineStr">
        <is>
          <t>End</t>
        </is>
      </c>
      <c r="B132" s="172" t="inlineStr">
        <is>
          <t>2020-04-13 19:21:00</t>
        </is>
      </c>
      <c r="C132" s="172" t="inlineStr">
        <is>
          <t>2020-04-06 10:35:00</t>
        </is>
      </c>
      <c r="D132" s="176" t="inlineStr">
        <is>
          <t>2020-04-13 19:21:00</t>
        </is>
      </c>
    </row>
    <row r="133" ht="14.5" customHeight="1">
      <c r="A133" s="161" t="inlineStr">
        <is>
          <t>Avg drawdown</t>
        </is>
      </c>
      <c r="B133" s="185" t="n">
        <v>0.1008662684546441</v>
      </c>
      <c r="C133" s="185" t="n">
        <v>0.05036927889619796</v>
      </c>
      <c r="D133" s="211" t="n">
        <v>0.2228549198607816</v>
      </c>
    </row>
    <row r="134" ht="14.5" customHeight="1">
      <c r="A134" s="161" t="inlineStr">
        <is>
          <t>Max drawdown</t>
        </is>
      </c>
      <c r="B134" s="185" t="n">
        <v>0.4523113087516609</v>
      </c>
      <c r="C134" s="185" t="n">
        <v>0.2340357778402175</v>
      </c>
      <c r="D134" s="211" t="n">
        <v>0.4523113087516609</v>
      </c>
    </row>
    <row r="135" ht="14.5" customHeight="1">
      <c r="A135" s="163" t="inlineStr">
        <is>
          <t>Start</t>
        </is>
      </c>
      <c r="B135" s="172" t="inlineStr">
        <is>
          <t>2020-10-28 01:44:00</t>
        </is>
      </c>
      <c r="C135" s="172" t="inlineStr">
        <is>
          <t>2021-04-29 04:35:00</t>
        </is>
      </c>
      <c r="D135" s="176" t="inlineStr">
        <is>
          <t>2020-10-28 01:44:00</t>
        </is>
      </c>
    </row>
    <row r="136" ht="14.5" customHeight="1" thickBot="1">
      <c r="A136" s="164" t="inlineStr">
        <is>
          <t>End</t>
        </is>
      </c>
      <c r="B136" s="221" t="inlineStr">
        <is>
          <t>2024-10-27 20:47:00</t>
        </is>
      </c>
      <c r="C136" s="221" t="inlineStr">
        <is>
          <t>2022-01-26 02:54:36</t>
        </is>
      </c>
      <c r="D136" s="234" t="inlineStr">
        <is>
          <t>2024-10-27 20:47:00</t>
        </is>
      </c>
    </row>
  </sheetData>
  <hyperlinks>
    <hyperlink xmlns:r="http://schemas.openxmlformats.org/officeDocument/2006/relationships" ref="B24" r:id="rId1"/>
    <hyperlink xmlns:r="http://schemas.openxmlformats.org/officeDocument/2006/relationships" ref="C24" r:id="rId2"/>
    <hyperlink xmlns:r="http://schemas.openxmlformats.org/officeDocument/2006/relationships" ref="D24" r:id="rId3"/>
    <hyperlink xmlns:r="http://schemas.openxmlformats.org/officeDocument/2006/relationships" ref="B25" r:id="rId4"/>
    <hyperlink xmlns:r="http://schemas.openxmlformats.org/officeDocument/2006/relationships" ref="C25" r:id="rId5"/>
    <hyperlink xmlns:r="http://schemas.openxmlformats.org/officeDocument/2006/relationships" ref="D25" r:id="rId6"/>
    <hyperlink xmlns:r="http://schemas.openxmlformats.org/officeDocument/2006/relationships" ref="B26" r:id="rId7"/>
    <hyperlink xmlns:r="http://schemas.openxmlformats.org/officeDocument/2006/relationships" ref="C26" r:id="rId8"/>
    <hyperlink xmlns:r="http://schemas.openxmlformats.org/officeDocument/2006/relationships" ref="D26" r:id="rId9"/>
    <hyperlink xmlns:r="http://schemas.openxmlformats.org/officeDocument/2006/relationships" ref="D29" r:id="rId10"/>
    <hyperlink xmlns:r="http://schemas.openxmlformats.org/officeDocument/2006/relationships" ref="B30" r:id="rId11"/>
    <hyperlink xmlns:r="http://schemas.openxmlformats.org/officeDocument/2006/relationships" ref="C30" r:id="rId12"/>
    <hyperlink xmlns:r="http://schemas.openxmlformats.org/officeDocument/2006/relationships" ref="D30" r:id="rId13"/>
    <hyperlink xmlns:r="http://schemas.openxmlformats.org/officeDocument/2006/relationships" ref="B31" r:id="rId14"/>
    <hyperlink xmlns:r="http://schemas.openxmlformats.org/officeDocument/2006/relationships" ref="C31" r:id="rId15"/>
    <hyperlink xmlns:r="http://schemas.openxmlformats.org/officeDocument/2006/relationships" ref="D31" r:id="rId16"/>
    <hyperlink xmlns:r="http://schemas.openxmlformats.org/officeDocument/2006/relationships" ref="B45" r:id="rId17"/>
    <hyperlink xmlns:r="http://schemas.openxmlformats.org/officeDocument/2006/relationships" ref="C45" r:id="rId18"/>
    <hyperlink xmlns:r="http://schemas.openxmlformats.org/officeDocument/2006/relationships" ref="D45" r:id="rId19"/>
    <hyperlink xmlns:r="http://schemas.openxmlformats.org/officeDocument/2006/relationships" ref="B47" r:id="rId20"/>
    <hyperlink xmlns:r="http://schemas.openxmlformats.org/officeDocument/2006/relationships" ref="C47" r:id="rId21"/>
    <hyperlink xmlns:r="http://schemas.openxmlformats.org/officeDocument/2006/relationships" ref="D47" r:id="rId22"/>
    <hyperlink xmlns:r="http://schemas.openxmlformats.org/officeDocument/2006/relationships" ref="D48" r:id="rId23"/>
    <hyperlink xmlns:r="http://schemas.openxmlformats.org/officeDocument/2006/relationships" ref="B50" r:id="rId24"/>
    <hyperlink xmlns:r="http://schemas.openxmlformats.org/officeDocument/2006/relationships" ref="C50" r:id="rId25"/>
    <hyperlink xmlns:r="http://schemas.openxmlformats.org/officeDocument/2006/relationships" ref="D50" r:id="rId26"/>
    <hyperlink xmlns:r="http://schemas.openxmlformats.org/officeDocument/2006/relationships" ref="B51" r:id="rId27"/>
    <hyperlink xmlns:r="http://schemas.openxmlformats.org/officeDocument/2006/relationships" ref="C51" r:id="rId28"/>
    <hyperlink xmlns:r="http://schemas.openxmlformats.org/officeDocument/2006/relationships" ref="D51" r:id="rId29"/>
    <hyperlink xmlns:r="http://schemas.openxmlformats.org/officeDocument/2006/relationships" ref="B53" r:id="rId30"/>
    <hyperlink xmlns:r="http://schemas.openxmlformats.org/officeDocument/2006/relationships" ref="C53" r:id="rId31"/>
    <hyperlink xmlns:r="http://schemas.openxmlformats.org/officeDocument/2006/relationships" ref="D53" r:id="rId32"/>
    <hyperlink xmlns:r="http://schemas.openxmlformats.org/officeDocument/2006/relationships" ref="B54" r:id="rId33"/>
    <hyperlink xmlns:r="http://schemas.openxmlformats.org/officeDocument/2006/relationships" ref="C54" r:id="rId34"/>
    <hyperlink xmlns:r="http://schemas.openxmlformats.org/officeDocument/2006/relationships" ref="D54" r:id="rId35"/>
    <hyperlink xmlns:r="http://schemas.openxmlformats.org/officeDocument/2006/relationships" ref="B56" r:id="rId36"/>
    <hyperlink xmlns:r="http://schemas.openxmlformats.org/officeDocument/2006/relationships" ref="C56" r:id="rId37"/>
    <hyperlink xmlns:r="http://schemas.openxmlformats.org/officeDocument/2006/relationships" ref="D56" r:id="rId38"/>
    <hyperlink xmlns:r="http://schemas.openxmlformats.org/officeDocument/2006/relationships" ref="B57" r:id="rId39"/>
    <hyperlink xmlns:r="http://schemas.openxmlformats.org/officeDocument/2006/relationships" ref="C57" r:id="rId40"/>
    <hyperlink xmlns:r="http://schemas.openxmlformats.org/officeDocument/2006/relationships" ref="D57" r:id="rId41"/>
    <hyperlink xmlns:r="http://schemas.openxmlformats.org/officeDocument/2006/relationships" ref="B59" r:id="rId42"/>
    <hyperlink xmlns:r="http://schemas.openxmlformats.org/officeDocument/2006/relationships" ref="C59" r:id="rId43"/>
    <hyperlink xmlns:r="http://schemas.openxmlformats.org/officeDocument/2006/relationships" ref="D59" r:id="rId44"/>
    <hyperlink xmlns:r="http://schemas.openxmlformats.org/officeDocument/2006/relationships" ref="B62" r:id="rId45"/>
    <hyperlink xmlns:r="http://schemas.openxmlformats.org/officeDocument/2006/relationships" ref="C62" r:id="rId46"/>
    <hyperlink xmlns:r="http://schemas.openxmlformats.org/officeDocument/2006/relationships" ref="D62" r:id="rId47"/>
    <hyperlink xmlns:r="http://schemas.openxmlformats.org/officeDocument/2006/relationships" ref="B64" r:id="rId48"/>
    <hyperlink xmlns:r="http://schemas.openxmlformats.org/officeDocument/2006/relationships" ref="C64" r:id="rId49"/>
    <hyperlink xmlns:r="http://schemas.openxmlformats.org/officeDocument/2006/relationships" ref="D64" r:id="rId50"/>
    <hyperlink xmlns:r="http://schemas.openxmlformats.org/officeDocument/2006/relationships" ref="B65" r:id="rId51"/>
    <hyperlink xmlns:r="http://schemas.openxmlformats.org/officeDocument/2006/relationships" ref="C65" r:id="rId52"/>
    <hyperlink xmlns:r="http://schemas.openxmlformats.org/officeDocument/2006/relationships" ref="D65" r:id="rId53"/>
    <hyperlink xmlns:r="http://schemas.openxmlformats.org/officeDocument/2006/relationships" ref="B67" r:id="rId54"/>
    <hyperlink xmlns:r="http://schemas.openxmlformats.org/officeDocument/2006/relationships" ref="C67" r:id="rId55"/>
    <hyperlink xmlns:r="http://schemas.openxmlformats.org/officeDocument/2006/relationships" ref="D67" r:id="rId56"/>
    <hyperlink xmlns:r="http://schemas.openxmlformats.org/officeDocument/2006/relationships" ref="B68" r:id="rId57"/>
    <hyperlink xmlns:r="http://schemas.openxmlformats.org/officeDocument/2006/relationships" ref="C68" r:id="rId58"/>
    <hyperlink xmlns:r="http://schemas.openxmlformats.org/officeDocument/2006/relationships" ref="D68" r:id="rId59"/>
    <hyperlink xmlns:r="http://schemas.openxmlformats.org/officeDocument/2006/relationships" ref="B70" r:id="rId60"/>
    <hyperlink xmlns:r="http://schemas.openxmlformats.org/officeDocument/2006/relationships" ref="C70" r:id="rId61"/>
    <hyperlink xmlns:r="http://schemas.openxmlformats.org/officeDocument/2006/relationships" ref="D70" r:id="rId62"/>
    <hyperlink xmlns:r="http://schemas.openxmlformats.org/officeDocument/2006/relationships" ref="B71" r:id="rId63"/>
    <hyperlink xmlns:r="http://schemas.openxmlformats.org/officeDocument/2006/relationships" ref="C71" r:id="rId64"/>
    <hyperlink xmlns:r="http://schemas.openxmlformats.org/officeDocument/2006/relationships" ref="D71" r:id="rId65"/>
    <hyperlink xmlns:r="http://schemas.openxmlformats.org/officeDocument/2006/relationships" ref="B73" r:id="rId66"/>
    <hyperlink xmlns:r="http://schemas.openxmlformats.org/officeDocument/2006/relationships" ref="C73" r:id="rId67"/>
    <hyperlink xmlns:r="http://schemas.openxmlformats.org/officeDocument/2006/relationships" ref="D73" r:id="rId68"/>
    <hyperlink xmlns:r="http://schemas.openxmlformats.org/officeDocument/2006/relationships" ref="B74" r:id="rId69"/>
    <hyperlink xmlns:r="http://schemas.openxmlformats.org/officeDocument/2006/relationships" ref="C74" r:id="rId70"/>
    <hyperlink xmlns:r="http://schemas.openxmlformats.org/officeDocument/2006/relationships" ref="D74" r:id="rId71"/>
    <hyperlink xmlns:r="http://schemas.openxmlformats.org/officeDocument/2006/relationships" ref="B76" r:id="rId72"/>
    <hyperlink xmlns:r="http://schemas.openxmlformats.org/officeDocument/2006/relationships" ref="C76" r:id="rId73"/>
    <hyperlink xmlns:r="http://schemas.openxmlformats.org/officeDocument/2006/relationships" ref="D76" r:id="rId7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C8" sqref="C8"/>
    </sheetView>
  </sheetViews>
  <sheetFormatPr baseColWidth="8" defaultRowHeight="14.5"/>
  <cols>
    <col width="18" customWidth="1" min="1" max="1"/>
    <col width="19" customWidth="1" min="2" max="2"/>
    <col width="13" customWidth="1" min="3" max="3"/>
    <col width="23" customWidth="1" min="4" max="4"/>
    <col width="22" customWidth="1" min="5" max="5"/>
  </cols>
  <sheetData>
    <row r="1">
      <c r="A1" s="653" t="inlineStr">
        <is>
          <t>Account Balances</t>
        </is>
      </c>
      <c r="B1" s="654" t="n"/>
      <c r="C1" s="654" t="n"/>
      <c r="D1" s="654" t="n"/>
      <c r="E1" s="655" t="n"/>
    </row>
    <row r="2">
      <c r="A2" s="656" t="inlineStr">
        <is>
          <t>Account</t>
        </is>
      </c>
      <c r="B2" s="657" t="inlineStr">
        <is>
          <t>Balance</t>
        </is>
      </c>
      <c r="C2" s="657" t="inlineStr">
        <is>
          <t>Currency</t>
        </is>
      </c>
      <c r="D2" s="657" t="inlineStr">
        <is>
          <t>Risk of Ruin</t>
        </is>
      </c>
      <c r="E2" s="658" t="inlineStr">
        <is>
          <t>Net P/L Percentage</t>
        </is>
      </c>
    </row>
    <row r="3">
      <c r="A3" s="659" t="inlineStr">
        <is>
          <t>BINANCE</t>
        </is>
      </c>
      <c r="B3" s="660" t="n">
        <v>0</v>
      </c>
      <c r="C3" s="661" t="inlineStr">
        <is>
          <t>USDT</t>
        </is>
      </c>
      <c r="D3" s="662" t="n">
        <v>1</v>
      </c>
      <c r="E3" s="663" t="n">
        <v>-0.06610091241514574</v>
      </c>
    </row>
    <row r="4">
      <c r="A4" s="659" t="inlineStr">
        <is>
          <t>BYBIT</t>
        </is>
      </c>
      <c r="B4" s="660" t="n">
        <v>224.8776987799999</v>
      </c>
      <c r="C4" s="661" t="inlineStr">
        <is>
          <t>USDT</t>
        </is>
      </c>
      <c r="D4" s="662" t="n">
        <v>1</v>
      </c>
      <c r="E4" s="663" t="n">
        <v>-0.5526055432695418</v>
      </c>
    </row>
    <row r="5">
      <c r="A5" s="659" t="inlineStr">
        <is>
          <t>BYBIT DEMO</t>
        </is>
      </c>
      <c r="B5" s="660" t="n">
        <v>307.3484955699999</v>
      </c>
      <c r="C5" s="661" t="inlineStr">
        <is>
          <t>USDT</t>
        </is>
      </c>
      <c r="D5" s="664" t="n"/>
      <c r="E5" s="665" t="n"/>
    </row>
    <row r="6">
      <c r="A6" s="659" t="inlineStr">
        <is>
          <t>OANDA DEMO</t>
        </is>
      </c>
      <c r="B6" s="666" t="n">
        <v>1517.94</v>
      </c>
      <c r="C6" s="661" t="inlineStr">
        <is>
          <t>AUD</t>
        </is>
      </c>
      <c r="D6" s="662" t="n">
        <v>1</v>
      </c>
      <c r="E6" s="663" t="n">
        <v>-0.03923770053170952</v>
      </c>
    </row>
    <row r="7">
      <c r="A7" s="659" t="inlineStr">
        <is>
          <t>OANDA LIVE</t>
        </is>
      </c>
      <c r="B7" s="666" t="n">
        <v>1479.31</v>
      </c>
      <c r="C7" s="661" t="inlineStr">
        <is>
          <t>AUD</t>
        </is>
      </c>
      <c r="D7" s="662" t="n">
        <v>1</v>
      </c>
      <c r="E7" s="663" t="n">
        <v>-0.02559664310292914</v>
      </c>
    </row>
    <row r="8">
      <c r="A8" s="659" t="inlineStr">
        <is>
          <t>PEPPERSTONE DEMO</t>
        </is>
      </c>
      <c r="B8" s="666" t="n">
        <v>50022.88</v>
      </c>
      <c r="C8" s="661" t="inlineStr">
        <is>
          <t>AUD</t>
        </is>
      </c>
      <c r="D8" s="662" t="n">
        <v>1</v>
      </c>
      <c r="E8" s="663" t="n">
        <v>-0.8685087701306732</v>
      </c>
    </row>
    <row r="9">
      <c r="A9" s="667" t="inlineStr">
        <is>
          <t>PEPPERSTONE LIVE</t>
        </is>
      </c>
      <c r="B9" s="668" t="n">
        <v>2508.73</v>
      </c>
      <c r="C9" s="669" t="inlineStr">
        <is>
          <t>AUD</t>
        </is>
      </c>
      <c r="D9" s="670" t="n">
        <v>1</v>
      </c>
      <c r="E9" s="671" t="n">
        <v>-0.3609753012785964</v>
      </c>
    </row>
  </sheetData>
  <conditionalFormatting sqref="E3:E9">
    <cfRule type="cellIs" priority="5" operator="greaterThan" dxfId="8">
      <formula>0</formula>
    </cfRule>
    <cfRule type="cellIs" priority="6" operator="lessThan" dxfId="7">
      <formula>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124"/>
  <sheetViews>
    <sheetView workbookViewId="0">
      <pane xSplit="1" ySplit="2" topLeftCell="B87" activePane="bottomRight" state="frozen"/>
      <selection pane="topRight" activeCell="A1" sqref="A1"/>
      <selection pane="bottomLeft" activeCell="A1" sqref="A1"/>
      <selection pane="bottomRight" activeCell="A120" sqref="A120"/>
    </sheetView>
  </sheetViews>
  <sheetFormatPr baseColWidth="8" defaultRowHeight="14.5"/>
  <cols>
    <col width="14" customWidth="1" style="11" min="1" max="1"/>
    <col width="13" customWidth="1" style="14" min="2" max="2"/>
    <col width="13" customWidth="1" min="3" max="3"/>
    <col width="13" customWidth="1" style="19" min="4" max="4"/>
    <col width="13" customWidth="1" style="14" min="5" max="5"/>
    <col width="13" customWidth="1" style="20" min="6" max="6"/>
    <col width="13" customWidth="1" style="19" min="7" max="7"/>
    <col width="13" customWidth="1" style="11" min="8" max="8"/>
    <col width="13" customWidth="1" min="9" max="9"/>
    <col width="17" customWidth="1" style="20" min="10" max="10"/>
    <col width="13" customWidth="1" style="19" min="11" max="11"/>
    <col width="13" customWidth="1" style="11" min="12" max="12"/>
    <col width="14" customWidth="1" style="11" min="13" max="13"/>
    <col width="18" customWidth="1" style="20" min="14" max="14"/>
    <col width="20" customWidth="1" style="14" min="15" max="15"/>
    <col width="16" customWidth="1" style="14" min="16" max="16"/>
    <col width="21" customWidth="1" style="14" min="17" max="17"/>
    <col width="17" customWidth="1" style="14" min="18" max="18"/>
    <col width="16" customWidth="1" style="14" min="19" max="19"/>
    <col width="15" customWidth="1" style="14" min="20" max="20"/>
    <col width="13" customWidth="1" style="19" min="21" max="21"/>
    <col width="13" customWidth="1" style="20" min="22" max="22"/>
    <col width="14" customWidth="1" style="14" min="23" max="23"/>
    <col width="13" customWidth="1" style="14" min="24" max="24"/>
    <col width="16" customWidth="1" style="14" min="25" max="25"/>
    <col width="20" customWidth="1" style="14" min="26" max="26"/>
    <col width="13" customWidth="1" style="14" min="27" max="27"/>
    <col width="13" customWidth="1" min="28" max="28"/>
    <col width="23" customWidth="1" style="19" min="29" max="29"/>
    <col width="27" customWidth="1" style="11" min="30" max="30"/>
    <col width="28" customWidth="1" style="20" min="31" max="31"/>
    <col width="22" customWidth="1" style="19" min="32" max="32"/>
    <col width="24" customWidth="1" style="11" min="33" max="33"/>
    <col width="24" customWidth="1" style="20" min="34" max="34"/>
    <col width="21" customWidth="1" style="14" min="35" max="35"/>
    <col width="23" customWidth="1" style="19" min="36" max="36"/>
    <col width="23" customWidth="1" style="11" min="37" max="37"/>
    <col width="66" customWidth="1" style="11" min="38" max="38"/>
    <col width="67" customWidth="1" style="20" min="39" max="39"/>
    <col width="62" customWidth="1" style="19" min="40" max="40"/>
    <col width="62" customWidth="1" style="11" min="41" max="41"/>
    <col width="43" customWidth="1" style="11" min="42" max="42"/>
    <col width="63" customWidth="1" style="20" min="43" max="43"/>
    <col width="43" customWidth="1" style="11" min="44" max="44"/>
    <col width="43" customWidth="1" min="45" max="45"/>
    <col width="32" customWidth="1" min="46" max="46"/>
    <col width="36" customWidth="1" min="47" max="47"/>
    <col width="35" customWidth="1" min="48" max="48"/>
  </cols>
  <sheetData>
    <row r="1">
      <c r="A1" s="630" t="inlineStr">
        <is>
          <t>Symbol</t>
        </is>
      </c>
      <c r="B1" s="620" t="inlineStr">
        <is>
          <t>Class</t>
        </is>
      </c>
      <c r="C1" s="620" t="inlineStr">
        <is>
          <t>Trades</t>
        </is>
      </c>
      <c r="D1" s="632" t="inlineStr">
        <is>
          <t>Wins</t>
        </is>
      </c>
      <c r="E1" s="620" t="inlineStr">
        <is>
          <t>Losses</t>
        </is>
      </c>
      <c r="F1" s="634" t="inlineStr">
        <is>
          <t>Break-even</t>
        </is>
      </c>
      <c r="G1" s="622" t="inlineStr">
        <is>
          <t>Longs</t>
        </is>
      </c>
      <c r="H1" s="625" t="inlineStr">
        <is>
          <t>Long wins</t>
        </is>
      </c>
      <c r="I1" s="625" t="inlineStr">
        <is>
          <t>Long losses</t>
        </is>
      </c>
      <c r="J1" s="626" t="inlineStr">
        <is>
          <t>Long break-even</t>
        </is>
      </c>
      <c r="K1" s="622" t="inlineStr">
        <is>
          <t>Shorts</t>
        </is>
      </c>
      <c r="L1" s="625" t="inlineStr">
        <is>
          <t>Short wins</t>
        </is>
      </c>
      <c r="M1" s="625" t="inlineStr">
        <is>
          <t>Short losses</t>
        </is>
      </c>
      <c r="N1" s="626" t="inlineStr">
        <is>
          <t>Short break-even</t>
        </is>
      </c>
      <c r="O1" s="620" t="inlineStr">
        <is>
          <t>Move to break even</t>
        </is>
      </c>
      <c r="P1" s="620" t="inlineStr">
        <is>
          <t>Move to profit</t>
        </is>
      </c>
      <c r="Q1" s="620" t="inlineStr">
        <is>
          <t>Most Traded Pattern</t>
        </is>
      </c>
      <c r="R1" s="620" t="inlineStr">
        <is>
          <t>Most Traded EMA</t>
        </is>
      </c>
      <c r="S1" s="620" t="inlineStr">
        <is>
          <t>All-time highs</t>
        </is>
      </c>
      <c r="T1" s="620" t="inlineStr">
        <is>
          <t>All-time lows</t>
        </is>
      </c>
      <c r="U1" s="623" t="inlineStr">
        <is>
          <t>Order</t>
        </is>
      </c>
      <c r="V1" s="624" t="n"/>
      <c r="W1" s="78" t="n"/>
      <c r="X1" s="78" t="n"/>
      <c r="Y1" s="78" t="n"/>
      <c r="Z1" s="78" t="n"/>
      <c r="AA1" s="78" t="n"/>
      <c r="AB1" s="78" t="n"/>
      <c r="AC1" s="79" t="n"/>
      <c r="AD1" s="80" t="n"/>
      <c r="AE1" s="81" t="n"/>
      <c r="AF1" s="79" t="n"/>
      <c r="AG1" s="80" t="n"/>
      <c r="AH1" s="81" t="n"/>
      <c r="AI1" s="78" t="n"/>
      <c r="AJ1" s="623" t="inlineStr">
        <is>
          <t>Stops</t>
        </is>
      </c>
      <c r="AK1" s="608" t="n"/>
      <c r="AL1" s="608" t="n"/>
      <c r="AM1" s="624" t="n"/>
      <c r="AN1" s="623" t="inlineStr">
        <is>
          <t>Targets</t>
        </is>
      </c>
      <c r="AO1" s="608" t="n"/>
      <c r="AP1" s="608" t="n"/>
      <c r="AQ1" s="624" t="n"/>
      <c r="AR1" s="628" t="inlineStr">
        <is>
          <t>Shortest duration (DD:HH:MM:SS)</t>
        </is>
      </c>
      <c r="AS1" s="672" t="inlineStr">
        <is>
          <t>Avg duration (DD:HH:MM:SS)</t>
        </is>
      </c>
      <c r="AT1" s="672" t="inlineStr">
        <is>
          <t>Longest duration (DD:HH:MM:SS)</t>
        </is>
      </c>
      <c r="AU1" s="672" t="inlineStr">
        <is>
          <t>Avg winning duration (DD:HH:MM:SS)</t>
        </is>
      </c>
      <c r="AV1" s="672" t="inlineStr">
        <is>
          <t>Avg losing duration (DD:HH:MM:SS)</t>
        </is>
      </c>
    </row>
    <row r="2" ht="36" customHeight="1" thickBot="1">
      <c r="A2" s="631" t="n"/>
      <c r="B2" s="621" t="n"/>
      <c r="C2" s="621" t="n"/>
      <c r="D2" s="633" t="n"/>
      <c r="E2" s="621" t="n"/>
      <c r="F2" s="635" t="n"/>
      <c r="G2" s="606" t="n"/>
      <c r="H2" s="619" t="n"/>
      <c r="I2" s="619" t="n"/>
      <c r="J2" s="627" t="n"/>
      <c r="K2" s="606" t="n"/>
      <c r="L2" s="619" t="n"/>
      <c r="M2" s="619" t="n"/>
      <c r="N2" s="627" t="n"/>
      <c r="O2" s="621" t="n"/>
      <c r="P2" s="621" t="n"/>
      <c r="Q2" s="621" t="n"/>
      <c r="R2" s="621" t="n"/>
      <c r="S2" s="621" t="n"/>
      <c r="T2" s="621" t="n"/>
      <c r="U2" s="83" t="inlineStr">
        <is>
          <t>Market</t>
        </is>
      </c>
      <c r="V2" s="84" t="inlineStr">
        <is>
          <t>Limit</t>
        </is>
      </c>
      <c r="W2" s="85" t="inlineStr">
        <is>
          <t>Round number</t>
        </is>
      </c>
      <c r="X2" s="85" t="inlineStr">
        <is>
          <t>Spiked out</t>
        </is>
      </c>
      <c r="Y2" s="85" t="inlineStr">
        <is>
          <t>Close stop out</t>
        </is>
      </c>
      <c r="Z2" s="85" t="inlineStr">
        <is>
          <t>Near perfect entry</t>
        </is>
      </c>
      <c r="AA2" s="85" t="inlineStr">
        <is>
          <t>Near win</t>
        </is>
      </c>
      <c r="AB2" s="85" t="inlineStr">
        <is>
          <t>Early close</t>
        </is>
      </c>
      <c r="AC2" s="83" t="inlineStr">
        <is>
          <t>Most traded timeframe</t>
        </is>
      </c>
      <c r="AD2" s="82" t="inlineStr">
        <is>
          <t>Most Profitable Timeframe</t>
        </is>
      </c>
      <c r="AE2" s="84" t="inlineStr">
        <is>
          <t>Least Profitable Timeframe</t>
        </is>
      </c>
      <c r="AF2" s="83" t="inlineStr">
        <is>
          <t>Net R Multiple</t>
        </is>
      </c>
      <c r="AG2" s="82" t="inlineStr">
        <is>
          <t>Net P/L %</t>
        </is>
      </c>
      <c r="AH2" s="84" t="inlineStr">
        <is>
          <t>Avg P/L %</t>
        </is>
      </c>
      <c r="AI2" s="85" t="inlineStr">
        <is>
          <t>Win Rate %</t>
        </is>
      </c>
      <c r="AJ2" s="83" t="inlineStr">
        <is>
          <t>Avg stop %</t>
        </is>
      </c>
      <c r="AK2" s="82" t="inlineStr">
        <is>
          <t>Avg stop % (W)</t>
        </is>
      </c>
      <c r="AL2" s="82" t="inlineStr">
        <is>
          <t>Avg stop % (L)</t>
        </is>
      </c>
      <c r="AM2" s="84" t="inlineStr">
        <is>
          <t>Recommendation</t>
        </is>
      </c>
      <c r="AN2" s="83" t="inlineStr">
        <is>
          <t>Avg target %</t>
        </is>
      </c>
      <c r="AO2" s="82" t="inlineStr">
        <is>
          <t>Avg target % (W)</t>
        </is>
      </c>
      <c r="AP2" s="82" t="inlineStr">
        <is>
          <t>Avg target % (L)</t>
        </is>
      </c>
      <c r="AQ2" s="84" t="inlineStr">
        <is>
          <t>Recommendation</t>
        </is>
      </c>
      <c r="AR2" s="629" t="n"/>
      <c r="AS2" s="619" t="n"/>
      <c r="AT2" s="619" t="n"/>
      <c r="AU2" s="619" t="n"/>
      <c r="AV2" s="619" t="n"/>
    </row>
    <row r="3" ht="15" customHeight="1" thickBot="1" thickTop="1">
      <c r="A3" s="10" t="inlineStr">
        <is>
          <t>USDCAD</t>
        </is>
      </c>
      <c r="B3" s="12" t="inlineStr">
        <is>
          <t>FX</t>
        </is>
      </c>
      <c r="C3" s="673" t="n">
        <v>146</v>
      </c>
      <c r="D3" s="674" t="n">
        <v>53</v>
      </c>
      <c r="E3" s="675" t="n">
        <v>91</v>
      </c>
      <c r="F3" s="676" t="n">
        <v>2</v>
      </c>
      <c r="G3" s="677" t="n">
        <v>84</v>
      </c>
      <c r="H3" s="678" t="n">
        <v>28</v>
      </c>
      <c r="I3" s="679" t="n">
        <v>55</v>
      </c>
      <c r="J3" s="680" t="n">
        <v>1</v>
      </c>
      <c r="K3" s="677" t="n">
        <v>62</v>
      </c>
      <c r="L3" s="678" t="n">
        <v>25</v>
      </c>
      <c r="M3" s="679" t="n">
        <v>36</v>
      </c>
      <c r="N3" s="680" t="n">
        <v>1</v>
      </c>
      <c r="O3" s="681" t="n">
        <v>27</v>
      </c>
      <c r="P3" s="681" t="n">
        <v>7</v>
      </c>
      <c r="Q3" s="28" t="n"/>
      <c r="R3" s="28" t="n"/>
      <c r="S3" s="673" t="n">
        <v>0</v>
      </c>
      <c r="T3" s="673" t="n">
        <v>0</v>
      </c>
      <c r="U3" s="677" t="n">
        <v>33</v>
      </c>
      <c r="V3" s="680" t="n">
        <v>103</v>
      </c>
      <c r="W3" s="673" t="n">
        <v>2</v>
      </c>
      <c r="X3" s="673" t="n">
        <v>2</v>
      </c>
      <c r="Y3" s="673" t="n">
        <v>1</v>
      </c>
      <c r="Z3" s="673" t="n">
        <v>1</v>
      </c>
      <c r="AA3" s="673" t="n">
        <v>0</v>
      </c>
      <c r="AB3" s="673" t="n">
        <v>0</v>
      </c>
      <c r="AC3" s="31" t="inlineStr">
        <is>
          <t>5MIN</t>
        </is>
      </c>
      <c r="AD3" s="5" t="inlineStr">
        <is>
          <t>1MIN</t>
        </is>
      </c>
      <c r="AE3" s="62" t="inlineStr">
        <is>
          <t>5MIN</t>
        </is>
      </c>
      <c r="AF3" s="682" t="n">
        <v>9.602295754343178</v>
      </c>
      <c r="AG3" s="683" t="n">
        <v>0.01981717955706644</v>
      </c>
      <c r="AH3" s="684" t="n">
        <v>0.0001357341065552496</v>
      </c>
      <c r="AI3" s="33" t="n">
        <v>0.3680555555555556</v>
      </c>
      <c r="AJ3" s="260" t="n">
        <v>0.0009032527597077794</v>
      </c>
      <c r="AK3" s="261" t="n">
        <v>0.0009883778191467976</v>
      </c>
      <c r="AL3" s="261" t="n">
        <v>0.0008655869759088672</v>
      </c>
      <c r="AM3" s="687" t="inlineStr">
        <is>
          <t>Increase stop — Recommended: 0.13% (0.046 pp above loss average)</t>
        </is>
      </c>
      <c r="AN3" s="35" t="n">
        <v>0.00214609746746734</v>
      </c>
      <c r="AO3" s="3" t="n">
        <v>0.002164033929019215</v>
      </c>
      <c r="AP3" s="3" t="n">
        <v>0.00215208829841442</v>
      </c>
      <c r="AQ3" s="687" t="inlineStr">
        <is>
          <t>Increase target — Recommended: 2.04R (current median: 2.00R)</t>
        </is>
      </c>
      <c r="AR3" s="27" t="inlineStr">
        <is>
          <t>1S</t>
        </is>
      </c>
      <c r="AS3" s="1" t="inlineStr">
        <is>
          <t>3H 7M 2S</t>
        </is>
      </c>
      <c r="AT3" s="4" t="inlineStr">
        <is>
          <t>4D 21H 17M 12S</t>
        </is>
      </c>
      <c r="AU3" s="4" t="inlineStr">
        <is>
          <t>6H 37M 34S</t>
        </is>
      </c>
      <c r="AV3" s="7" t="inlineStr">
        <is>
          <t>1H 7M 45S</t>
        </is>
      </c>
    </row>
    <row r="4" ht="15" customHeight="1" thickBot="1" thickTop="1">
      <c r="A4" s="10" t="inlineStr">
        <is>
          <t>GBPUSD</t>
        </is>
      </c>
      <c r="B4" s="12" t="inlineStr">
        <is>
          <t>FX</t>
        </is>
      </c>
      <c r="C4" s="673" t="n">
        <v>127</v>
      </c>
      <c r="D4" s="674" t="n">
        <v>40</v>
      </c>
      <c r="E4" s="675" t="n">
        <v>83</v>
      </c>
      <c r="F4" s="676" t="n">
        <v>4</v>
      </c>
      <c r="G4" s="677" t="n">
        <v>78</v>
      </c>
      <c r="H4" s="678" t="n">
        <v>23</v>
      </c>
      <c r="I4" s="679" t="n">
        <v>53</v>
      </c>
      <c r="J4" s="680" t="n">
        <v>2</v>
      </c>
      <c r="K4" s="677" t="n">
        <v>49</v>
      </c>
      <c r="L4" s="678" t="n">
        <v>17</v>
      </c>
      <c r="M4" s="679" t="n">
        <v>30</v>
      </c>
      <c r="N4" s="680" t="n">
        <v>2</v>
      </c>
      <c r="O4" s="681" t="n">
        <v>15</v>
      </c>
      <c r="P4" s="681" t="n">
        <v>6</v>
      </c>
      <c r="Q4" s="12" t="inlineStr">
        <is>
          <t>channel</t>
        </is>
      </c>
      <c r="R4" s="28" t="n"/>
      <c r="S4" s="673" t="n">
        <v>0</v>
      </c>
      <c r="T4" s="673" t="n">
        <v>0</v>
      </c>
      <c r="U4" s="677" t="n">
        <v>21</v>
      </c>
      <c r="V4" s="680" t="n">
        <v>76</v>
      </c>
      <c r="W4" s="673" t="n">
        <v>0</v>
      </c>
      <c r="X4" s="673" t="n">
        <v>1</v>
      </c>
      <c r="Y4" s="673" t="n">
        <v>1</v>
      </c>
      <c r="Z4" s="673" t="n">
        <v>2</v>
      </c>
      <c r="AA4" s="673" t="n">
        <v>0</v>
      </c>
      <c r="AB4" s="673" t="n">
        <v>3</v>
      </c>
      <c r="AC4" s="31" t="inlineStr">
        <is>
          <t>5MIN</t>
        </is>
      </c>
      <c r="AD4" s="5" t="inlineStr">
        <is>
          <t>1MIN</t>
        </is>
      </c>
      <c r="AE4" s="62" t="inlineStr">
        <is>
          <t>5MIN</t>
        </is>
      </c>
      <c r="AF4" s="682" t="n">
        <v>4.302180876827171</v>
      </c>
      <c r="AG4" s="688" t="n">
        <v>-0.05263546024071816</v>
      </c>
      <c r="AH4" s="689" t="n">
        <v>-0.0004144524428403004</v>
      </c>
      <c r="AI4" s="33" t="n">
        <v>0.3252032520325203</v>
      </c>
      <c r="AJ4" s="35" t="n">
        <v>0.001185263041709546</v>
      </c>
      <c r="AK4" s="3" t="n">
        <v>0.001003224954860074</v>
      </c>
      <c r="AL4" s="3" t="n">
        <v>0.001272239946217613</v>
      </c>
      <c r="AM4" s="687" t="inlineStr">
        <is>
          <t>Decrease stop — Recommended: 0.092% (0.029 pp below loss average)</t>
        </is>
      </c>
      <c r="AN4" s="35" t="n">
        <v>0.002749962767080333</v>
      </c>
      <c r="AO4" s="3" t="n">
        <v>0.002290855674202094</v>
      </c>
      <c r="AP4" s="3" t="n">
        <v>0.003001530383658395</v>
      </c>
      <c r="AQ4" s="687" t="inlineStr">
        <is>
          <t>Increase target — Recommended: 2.18R (current median: 2.06R)</t>
        </is>
      </c>
      <c r="AR4" s="27" t="inlineStr">
        <is>
          <t>1S</t>
        </is>
      </c>
      <c r="AS4" s="1" t="inlineStr">
        <is>
          <t>3H 32M 5S</t>
        </is>
      </c>
      <c r="AT4" s="4" t="inlineStr">
        <is>
          <t>10D 14H 31M 18S</t>
        </is>
      </c>
      <c r="AU4" s="4" t="inlineStr">
        <is>
          <t>2H 15M 29S</t>
        </is>
      </c>
      <c r="AV4" s="7" t="inlineStr">
        <is>
          <t>4H 17M 35S</t>
        </is>
      </c>
    </row>
    <row r="5" ht="15" customHeight="1" thickBot="1" thickTop="1">
      <c r="A5" s="10" t="inlineStr">
        <is>
          <t>EURUSD</t>
        </is>
      </c>
      <c r="B5" s="12" t="inlineStr">
        <is>
          <t>FX</t>
        </is>
      </c>
      <c r="C5" s="673" t="n">
        <v>122</v>
      </c>
      <c r="D5" s="674" t="n">
        <v>47</v>
      </c>
      <c r="E5" s="675" t="n">
        <v>73</v>
      </c>
      <c r="F5" s="676" t="n">
        <v>2</v>
      </c>
      <c r="G5" s="677" t="n">
        <v>55</v>
      </c>
      <c r="H5" s="678" t="n">
        <v>16</v>
      </c>
      <c r="I5" s="679" t="n">
        <v>37</v>
      </c>
      <c r="J5" s="680" t="n">
        <v>2</v>
      </c>
      <c r="K5" s="677" t="n">
        <v>67</v>
      </c>
      <c r="L5" s="678" t="n">
        <v>31</v>
      </c>
      <c r="M5" s="679" t="n">
        <v>36</v>
      </c>
      <c r="N5" s="680" t="n">
        <v>0</v>
      </c>
      <c r="O5" s="681" t="n">
        <v>18</v>
      </c>
      <c r="P5" s="681" t="n">
        <v>6</v>
      </c>
      <c r="Q5" s="12" t="inlineStr">
        <is>
          <t>channel</t>
        </is>
      </c>
      <c r="R5" s="12" t="inlineStr">
        <is>
          <t>9</t>
        </is>
      </c>
      <c r="S5" s="673" t="n">
        <v>0</v>
      </c>
      <c r="T5" s="673" t="n">
        <v>0</v>
      </c>
      <c r="U5" s="677" t="n">
        <v>30</v>
      </c>
      <c r="V5" s="680" t="n">
        <v>65</v>
      </c>
      <c r="W5" s="673" t="n">
        <v>0</v>
      </c>
      <c r="X5" s="673" t="n">
        <v>0</v>
      </c>
      <c r="Y5" s="673" t="n">
        <v>0</v>
      </c>
      <c r="Z5" s="673" t="n">
        <v>4</v>
      </c>
      <c r="AA5" s="673" t="n">
        <v>1</v>
      </c>
      <c r="AB5" s="673" t="n">
        <v>0</v>
      </c>
      <c r="AC5" s="31" t="inlineStr">
        <is>
          <t>5MIN</t>
        </is>
      </c>
      <c r="AD5" s="5" t="inlineStr">
        <is>
          <t>30MIN</t>
        </is>
      </c>
      <c r="AE5" s="62" t="inlineStr">
        <is>
          <t>15MIN</t>
        </is>
      </c>
      <c r="AF5" s="682" t="n">
        <v>8.731963063158462</v>
      </c>
      <c r="AG5" s="688" t="n">
        <v>-0.03558654712251745</v>
      </c>
      <c r="AH5" s="689" t="n">
        <v>-0.0002916930092009627</v>
      </c>
      <c r="AI5" s="33" t="n">
        <v>0.3916666666666667</v>
      </c>
      <c r="AJ5" s="260" t="n">
        <v>0.0007977379702233325</v>
      </c>
      <c r="AK5" s="261" t="n">
        <v>0.0008175960468586686</v>
      </c>
      <c r="AL5" s="261" t="n">
        <v>0.000779361183097807</v>
      </c>
      <c r="AM5" s="687" t="inlineStr">
        <is>
          <t>Increase stop — Recommended: 0.092% (0.016 pp above loss average)</t>
        </is>
      </c>
      <c r="AN5" s="35" t="n">
        <v>0.001885265298734275</v>
      </c>
      <c r="AO5" s="3" t="n">
        <v>0.001966828159036887</v>
      </c>
      <c r="AP5" s="3" t="n">
        <v>0.001832472487557348</v>
      </c>
      <c r="AQ5" s="687" t="inlineStr">
        <is>
          <t>Target unchanged — Recommended: 2.00R (current median: 2.00R)</t>
        </is>
      </c>
      <c r="AR5" s="27" t="inlineStr">
        <is>
          <t>10S</t>
        </is>
      </c>
      <c r="AS5" s="1" t="inlineStr">
        <is>
          <t>2H 17M 40S</t>
        </is>
      </c>
      <c r="AT5" s="4" t="inlineStr">
        <is>
          <t>3D 11H 53M 0S</t>
        </is>
      </c>
      <c r="AU5" s="4" t="inlineStr">
        <is>
          <t>2H 30M 47S</t>
        </is>
      </c>
      <c r="AV5" s="7" t="inlineStr">
        <is>
          <t>2H 9M 56S</t>
        </is>
      </c>
    </row>
    <row r="6" ht="15" customHeight="1" thickBot="1" thickTop="1">
      <c r="A6" s="10" t="inlineStr">
        <is>
          <t>AUDUSD</t>
        </is>
      </c>
      <c r="B6" s="12" t="inlineStr">
        <is>
          <t>FX</t>
        </is>
      </c>
      <c r="C6" s="673" t="n">
        <v>112</v>
      </c>
      <c r="D6" s="674" t="n">
        <v>28</v>
      </c>
      <c r="E6" s="675" t="n">
        <v>84</v>
      </c>
      <c r="F6" s="676" t="n">
        <v>0</v>
      </c>
      <c r="G6" s="677" t="n">
        <v>58</v>
      </c>
      <c r="H6" s="678" t="n">
        <v>15</v>
      </c>
      <c r="I6" s="679" t="n">
        <v>43</v>
      </c>
      <c r="J6" s="680" t="n">
        <v>0</v>
      </c>
      <c r="K6" s="677" t="n">
        <v>54</v>
      </c>
      <c r="L6" s="678" t="n">
        <v>13</v>
      </c>
      <c r="M6" s="679" t="n">
        <v>41</v>
      </c>
      <c r="N6" s="680" t="n">
        <v>0</v>
      </c>
      <c r="O6" s="681" t="n">
        <v>9</v>
      </c>
      <c r="P6" s="681" t="n">
        <v>1</v>
      </c>
      <c r="Q6" s="28" t="n"/>
      <c r="R6" s="28" t="n"/>
      <c r="S6" s="673" t="n">
        <v>0</v>
      </c>
      <c r="T6" s="673" t="n">
        <v>0</v>
      </c>
      <c r="U6" s="677" t="n">
        <v>24</v>
      </c>
      <c r="V6" s="680" t="n">
        <v>56</v>
      </c>
      <c r="W6" s="673" t="n">
        <v>1</v>
      </c>
      <c r="X6" s="673" t="n">
        <v>2</v>
      </c>
      <c r="Y6" s="673" t="n">
        <v>0</v>
      </c>
      <c r="Z6" s="673" t="n">
        <v>2</v>
      </c>
      <c r="AA6" s="673" t="n">
        <v>1</v>
      </c>
      <c r="AB6" s="673" t="n">
        <v>1</v>
      </c>
      <c r="AC6" s="31" t="inlineStr">
        <is>
          <t>5MIN</t>
        </is>
      </c>
      <c r="AD6" s="5" t="inlineStr">
        <is>
          <t>1MIN</t>
        </is>
      </c>
      <c r="AE6" s="62" t="inlineStr">
        <is>
          <t>15MIN</t>
        </is>
      </c>
      <c r="AF6" s="690" t="n">
        <v>-18.1050869969291</v>
      </c>
      <c r="AG6" s="688" t="n">
        <v>-0.2754328404894806</v>
      </c>
      <c r="AH6" s="691" t="n">
        <v>-0.002459221790084648</v>
      </c>
      <c r="AI6" s="33" t="n">
        <v>0.25</v>
      </c>
      <c r="AJ6" s="35" t="n">
        <v>0.001288583646931794</v>
      </c>
      <c r="AK6" s="3" t="n">
        <v>0.001195455414331018</v>
      </c>
      <c r="AL6" s="3" t="n">
        <v>0.001320383531234497</v>
      </c>
      <c r="AM6" s="687" t="inlineStr">
        <is>
          <t>Decrease stop — Recommended: 0.13% (0.0064 pp below loss average)</t>
        </is>
      </c>
      <c r="AN6" s="35" t="n">
        <v>0.003185795293004693</v>
      </c>
      <c r="AO6" s="3" t="n">
        <v>0.002661124110061666</v>
      </c>
      <c r="AP6" s="3" t="n">
        <v>0.003386404862953498</v>
      </c>
      <c r="AQ6" s="687" t="inlineStr">
        <is>
          <t>Increase target — Recommended: 2.06R (current median: 2.00R)</t>
        </is>
      </c>
      <c r="AR6" s="27" t="inlineStr">
        <is>
          <t>3S</t>
        </is>
      </c>
      <c r="AS6" s="1" t="inlineStr">
        <is>
          <t>2H 21M 15S</t>
        </is>
      </c>
      <c r="AT6" s="4" t="inlineStr">
        <is>
          <t>1D 12H 14M 0S</t>
        </is>
      </c>
      <c r="AU6" s="4" t="inlineStr">
        <is>
          <t>2H 37M 47S</t>
        </is>
      </c>
      <c r="AV6" s="7" t="inlineStr">
        <is>
          <t>2H 15M 44S</t>
        </is>
      </c>
    </row>
    <row r="7" ht="15" customHeight="1" thickBot="1" thickTop="1">
      <c r="A7" s="10" t="inlineStr">
        <is>
          <t>USDJPY</t>
        </is>
      </c>
      <c r="B7" s="12" t="inlineStr">
        <is>
          <t>FX</t>
        </is>
      </c>
      <c r="C7" s="673" t="n">
        <v>101</v>
      </c>
      <c r="D7" s="674" t="n">
        <v>31</v>
      </c>
      <c r="E7" s="675" t="n">
        <v>67</v>
      </c>
      <c r="F7" s="676" t="n">
        <v>3</v>
      </c>
      <c r="G7" s="677" t="n">
        <v>61</v>
      </c>
      <c r="H7" s="678" t="n">
        <v>19</v>
      </c>
      <c r="I7" s="679" t="n">
        <v>40</v>
      </c>
      <c r="J7" s="680" t="n">
        <v>2</v>
      </c>
      <c r="K7" s="677" t="n">
        <v>40</v>
      </c>
      <c r="L7" s="678" t="n">
        <v>12</v>
      </c>
      <c r="M7" s="679" t="n">
        <v>27</v>
      </c>
      <c r="N7" s="680" t="n">
        <v>1</v>
      </c>
      <c r="O7" s="681" t="n">
        <v>16</v>
      </c>
      <c r="P7" s="681" t="n">
        <v>1</v>
      </c>
      <c r="Q7" s="12" t="inlineStr">
        <is>
          <t>channel</t>
        </is>
      </c>
      <c r="R7" s="12" t="inlineStr">
        <is>
          <t>20</t>
        </is>
      </c>
      <c r="S7" s="673" t="n">
        <v>0</v>
      </c>
      <c r="T7" s="673" t="n">
        <v>0</v>
      </c>
      <c r="U7" s="677" t="n">
        <v>30</v>
      </c>
      <c r="V7" s="680" t="n">
        <v>57</v>
      </c>
      <c r="W7" s="673" t="n">
        <v>0</v>
      </c>
      <c r="X7" s="673" t="n">
        <v>1</v>
      </c>
      <c r="Y7" s="673" t="n">
        <v>0</v>
      </c>
      <c r="Z7" s="673" t="n">
        <v>0</v>
      </c>
      <c r="AA7" s="673" t="n">
        <v>0</v>
      </c>
      <c r="AB7" s="673" t="n">
        <v>1</v>
      </c>
      <c r="AC7" s="31" t="inlineStr">
        <is>
          <t>15MIN</t>
        </is>
      </c>
      <c r="AD7" s="5" t="inlineStr">
        <is>
          <t>1H</t>
        </is>
      </c>
      <c r="AE7" s="62" t="inlineStr">
        <is>
          <t>5MIN</t>
        </is>
      </c>
      <c r="AF7" s="690" t="n">
        <v>-12.17203280431892</v>
      </c>
      <c r="AG7" s="688" t="n">
        <v>-0.1326241465239384</v>
      </c>
      <c r="AH7" s="691" t="n">
        <v>-0.001313110361623153</v>
      </c>
      <c r="AI7" s="33" t="n">
        <v>0.3163265306122449</v>
      </c>
      <c r="AJ7" s="35" t="n">
        <v>0.001266543068989781</v>
      </c>
      <c r="AK7" s="3" t="n">
        <v>0.001316247638747213</v>
      </c>
      <c r="AL7" s="3" t="n">
        <v>0.001231120381743966</v>
      </c>
      <c r="AM7" s="687" t="inlineStr">
        <is>
          <t>Increase stop — Recommended: 0.15% (0.030 pp above loss average)</t>
        </is>
      </c>
      <c r="AN7" s="35" t="n">
        <v>0.002830773161569058</v>
      </c>
      <c r="AO7" s="3" t="n">
        <v>0.002894105868696767</v>
      </c>
      <c r="AP7" s="3" t="n">
        <v>0.002737822260717914</v>
      </c>
      <c r="AQ7" s="687" t="inlineStr">
        <is>
          <t>Target unchanged — Recommended: 2.00R (current median: 2.00R)</t>
        </is>
      </c>
      <c r="AR7" s="27" t="inlineStr">
        <is>
          <t>1M 0S</t>
        </is>
      </c>
      <c r="AS7" s="1" t="inlineStr">
        <is>
          <t>6H 11M 31S</t>
        </is>
      </c>
      <c r="AT7" s="4" t="inlineStr">
        <is>
          <t>7D 11H 15M 15S</t>
        </is>
      </c>
      <c r="AU7" s="4" t="inlineStr">
        <is>
          <t>13H 32M 24S</t>
        </is>
      </c>
      <c r="AV7" s="7" t="inlineStr">
        <is>
          <t>2H 55M 31S</t>
        </is>
      </c>
    </row>
    <row r="8" ht="15" customHeight="1" thickBot="1" thickTop="1">
      <c r="A8" s="10" t="inlineStr">
        <is>
          <t>BTCUSDT</t>
        </is>
      </c>
      <c r="B8" s="12" t="inlineStr">
        <is>
          <t>CRYPTO</t>
        </is>
      </c>
      <c r="C8" s="673" t="n">
        <v>72</v>
      </c>
      <c r="D8" s="674" t="n">
        <v>14</v>
      </c>
      <c r="E8" s="675" t="n">
        <v>58</v>
      </c>
      <c r="F8" s="676" t="n">
        <v>0</v>
      </c>
      <c r="G8" s="677" t="n">
        <v>58</v>
      </c>
      <c r="H8" s="678" t="n">
        <v>14</v>
      </c>
      <c r="I8" s="679" t="n">
        <v>44</v>
      </c>
      <c r="J8" s="680" t="n">
        <v>0</v>
      </c>
      <c r="K8" s="677" t="n">
        <v>14</v>
      </c>
      <c r="L8" s="678" t="n">
        <v>0</v>
      </c>
      <c r="M8" s="679" t="n">
        <v>14</v>
      </c>
      <c r="N8" s="680" t="n">
        <v>0</v>
      </c>
      <c r="O8" s="681" t="n">
        <v>10</v>
      </c>
      <c r="P8" s="681" t="n">
        <v>0</v>
      </c>
      <c r="Q8" s="12" t="inlineStr">
        <is>
          <t>channel</t>
        </is>
      </c>
      <c r="R8" s="28" t="inlineStr">
        <is>
          <t>9</t>
        </is>
      </c>
      <c r="S8" s="673" t="n">
        <v>7</v>
      </c>
      <c r="T8" s="673" t="n">
        <v>0</v>
      </c>
      <c r="U8" s="677" t="n">
        <v>4</v>
      </c>
      <c r="V8" s="680" t="n">
        <v>68</v>
      </c>
      <c r="W8" s="673" t="n">
        <v>4</v>
      </c>
      <c r="X8" s="673" t="n">
        <v>5</v>
      </c>
      <c r="Y8" s="673" t="n">
        <v>0</v>
      </c>
      <c r="Z8" s="673" t="n">
        <v>2</v>
      </c>
      <c r="AA8" s="673" t="n">
        <v>0</v>
      </c>
      <c r="AB8" s="673" t="n">
        <v>1</v>
      </c>
      <c r="AC8" s="31" t="inlineStr">
        <is>
          <t>1H</t>
        </is>
      </c>
      <c r="AD8" s="5" t="inlineStr">
        <is>
          <t>4H</t>
        </is>
      </c>
      <c r="AE8" s="62" t="inlineStr">
        <is>
          <t>15MIN</t>
        </is>
      </c>
      <c r="AF8" s="690" t="n">
        <v>-21.88271631139906</v>
      </c>
      <c r="AG8" s="688" t="n">
        <v>-0.2679560624273082</v>
      </c>
      <c r="AH8" s="691" t="n">
        <v>-0.003721611978157058</v>
      </c>
      <c r="AI8" s="33" t="n">
        <v>0.1944444444444445</v>
      </c>
      <c r="AJ8" s="35" t="n">
        <v>0.01138427096148444</v>
      </c>
      <c r="AK8" s="3" t="n">
        <v>0.009399764246774731</v>
      </c>
      <c r="AL8" s="3" t="n">
        <v>0.01186328982365575</v>
      </c>
      <c r="AM8" s="687" t="inlineStr">
        <is>
          <t>Decrease stop — Recommended: 0.77% (0.51 pp below loss average)</t>
        </is>
      </c>
      <c r="AN8" s="35" t="n">
        <v>0.02749286399569231</v>
      </c>
      <c r="AO8" s="3" t="n">
        <v>0.0194210673448207</v>
      </c>
      <c r="AP8" s="3" t="n">
        <v>0.02951081315841022</v>
      </c>
      <c r="AQ8" s="687" t="inlineStr">
        <is>
          <t>Target unchanged — Recommended: 2.00R (current median: 2.00R)</t>
        </is>
      </c>
      <c r="AR8" s="27" t="inlineStr">
        <is>
          <t>1S</t>
        </is>
      </c>
      <c r="AS8" s="1" t="inlineStr">
        <is>
          <t>11H 4M 34S</t>
        </is>
      </c>
      <c r="AT8" s="4" t="inlineStr">
        <is>
          <t>8D 0H 15M 0S</t>
        </is>
      </c>
      <c r="AU8" s="4" t="inlineStr">
        <is>
          <t>6H 33M 55S</t>
        </is>
      </c>
      <c r="AV8" s="7" t="inlineStr">
        <is>
          <t>12H 9M 54S</t>
        </is>
      </c>
    </row>
    <row r="9" ht="15" customHeight="1" thickBot="1" thickTop="1">
      <c r="A9" s="10" t="inlineStr">
        <is>
          <t>USDCHF</t>
        </is>
      </c>
      <c r="B9" s="12" t="inlineStr">
        <is>
          <t>FX</t>
        </is>
      </c>
      <c r="C9" s="673" t="n">
        <v>71</v>
      </c>
      <c r="D9" s="674" t="n">
        <v>27</v>
      </c>
      <c r="E9" s="675" t="n">
        <v>41</v>
      </c>
      <c r="F9" s="676" t="n">
        <v>3</v>
      </c>
      <c r="G9" s="677" t="n">
        <v>45</v>
      </c>
      <c r="H9" s="678" t="n">
        <v>18</v>
      </c>
      <c r="I9" s="679" t="n">
        <v>25</v>
      </c>
      <c r="J9" s="680" t="n">
        <v>2</v>
      </c>
      <c r="K9" s="677" t="n">
        <v>26</v>
      </c>
      <c r="L9" s="678" t="n">
        <v>9</v>
      </c>
      <c r="M9" s="679" t="n">
        <v>16</v>
      </c>
      <c r="N9" s="680" t="n">
        <v>1</v>
      </c>
      <c r="O9" s="681" t="n">
        <v>12</v>
      </c>
      <c r="P9" s="681" t="n">
        <v>4</v>
      </c>
      <c r="Q9" s="12" t="inlineStr">
        <is>
          <t>range</t>
        </is>
      </c>
      <c r="R9" s="28" t="n"/>
      <c r="S9" s="673" t="n">
        <v>0</v>
      </c>
      <c r="T9" s="673" t="n">
        <v>0</v>
      </c>
      <c r="U9" s="677" t="n">
        <v>21</v>
      </c>
      <c r="V9" s="680" t="n">
        <v>41</v>
      </c>
      <c r="W9" s="673" t="n">
        <v>0</v>
      </c>
      <c r="X9" s="673" t="n">
        <v>0</v>
      </c>
      <c r="Y9" s="673" t="n">
        <v>1</v>
      </c>
      <c r="Z9" s="673" t="n">
        <v>0</v>
      </c>
      <c r="AA9" s="673" t="n">
        <v>0</v>
      </c>
      <c r="AB9" s="673" t="n">
        <v>0</v>
      </c>
      <c r="AC9" s="31" t="inlineStr">
        <is>
          <t>15MIN</t>
        </is>
      </c>
      <c r="AD9" s="5" t="inlineStr">
        <is>
          <t>30MIN</t>
        </is>
      </c>
      <c r="AE9" s="62" t="inlineStr">
        <is>
          <t>1MIN</t>
        </is>
      </c>
      <c r="AF9" s="682" t="n">
        <v>9.961404205312693</v>
      </c>
      <c r="AG9" s="683" t="n">
        <v>0.06654480292226179</v>
      </c>
      <c r="AH9" s="684" t="n">
        <v>0.000937250745383969</v>
      </c>
      <c r="AI9" s="33" t="n">
        <v>0.3970588235294117</v>
      </c>
      <c r="AJ9" s="35" t="n">
        <v>0.001314308194992208</v>
      </c>
      <c r="AK9" s="3" t="n">
        <v>0.001303747689331964</v>
      </c>
      <c r="AL9" s="3" t="n">
        <v>0.001328287896901642</v>
      </c>
      <c r="AM9" s="687" t="inlineStr">
        <is>
          <t>Increase stop — Recommended: 0.17% (0.046 pp above loss average)</t>
        </is>
      </c>
      <c r="AN9" s="35" t="n">
        <v>0.002811963958525664</v>
      </c>
      <c r="AO9" s="3" t="n">
        <v>0.00273821135474435</v>
      </c>
      <c r="AP9" s="3" t="n">
        <v>0.002916542590988403</v>
      </c>
      <c r="AQ9" s="687" t="inlineStr">
        <is>
          <t>Increase target — Recommended: 2.06R (current median: 2.00R)</t>
        </is>
      </c>
      <c r="AR9" s="27" t="inlineStr">
        <is>
          <t>1S</t>
        </is>
      </c>
      <c r="AS9" s="1" t="inlineStr">
        <is>
          <t>14H 45M 32S</t>
        </is>
      </c>
      <c r="AT9" s="4" t="inlineStr">
        <is>
          <t>17D 19H 58M 0S</t>
        </is>
      </c>
      <c r="AU9" s="4" t="inlineStr">
        <is>
          <t>12H 56M 18S</t>
        </is>
      </c>
      <c r="AV9" s="7" t="inlineStr">
        <is>
          <t>16H 48M 24S</t>
        </is>
      </c>
    </row>
    <row r="10" ht="15" customHeight="1" thickBot="1" thickTop="1">
      <c r="A10" s="10" t="inlineStr">
        <is>
          <t>ETHUSDT</t>
        </is>
      </c>
      <c r="B10" s="12" t="inlineStr">
        <is>
          <t>CRYPTO</t>
        </is>
      </c>
      <c r="C10" s="673" t="n">
        <v>52</v>
      </c>
      <c r="D10" s="674" t="n">
        <v>15</v>
      </c>
      <c r="E10" s="675" t="n">
        <v>37</v>
      </c>
      <c r="F10" s="676" t="n">
        <v>0</v>
      </c>
      <c r="G10" s="677" t="n">
        <v>43</v>
      </c>
      <c r="H10" s="678" t="n">
        <v>12</v>
      </c>
      <c r="I10" s="679" t="n">
        <v>31</v>
      </c>
      <c r="J10" s="680" t="n">
        <v>0</v>
      </c>
      <c r="K10" s="677" t="n">
        <v>9</v>
      </c>
      <c r="L10" s="678" t="n">
        <v>3</v>
      </c>
      <c r="M10" s="679" t="n">
        <v>6</v>
      </c>
      <c r="N10" s="680" t="n">
        <v>0</v>
      </c>
      <c r="O10" s="681" t="n">
        <v>4</v>
      </c>
      <c r="P10" s="681" t="n">
        <v>1</v>
      </c>
      <c r="Q10" s="12" t="inlineStr">
        <is>
          <t>channel</t>
        </is>
      </c>
      <c r="R10" s="28" t="inlineStr">
        <is>
          <t>20</t>
        </is>
      </c>
      <c r="S10" s="673" t="n">
        <v>5</v>
      </c>
      <c r="T10" s="673" t="n">
        <v>0</v>
      </c>
      <c r="U10" s="677" t="n">
        <v>2</v>
      </c>
      <c r="V10" s="680" t="n">
        <v>48</v>
      </c>
      <c r="W10" s="673" t="n">
        <v>0</v>
      </c>
      <c r="X10" s="673" t="n">
        <v>2</v>
      </c>
      <c r="Y10" s="673" t="n">
        <v>1</v>
      </c>
      <c r="Z10" s="673" t="n">
        <v>1</v>
      </c>
      <c r="AA10" s="673" t="n">
        <v>1</v>
      </c>
      <c r="AB10" s="673" t="n">
        <v>1</v>
      </c>
      <c r="AC10" s="31" t="inlineStr">
        <is>
          <t>4H</t>
        </is>
      </c>
      <c r="AD10" s="5" t="inlineStr">
        <is>
          <t>5MIN</t>
        </is>
      </c>
      <c r="AE10" s="62" t="inlineStr">
        <is>
          <t>15MIN</t>
        </is>
      </c>
      <c r="AF10" s="690" t="n">
        <v>-3.126449315034264</v>
      </c>
      <c r="AG10" s="683" t="n">
        <v>0.008497375772044647</v>
      </c>
      <c r="AH10" s="684" t="n">
        <v>0.0001634110725393201</v>
      </c>
      <c r="AI10" s="33" t="n">
        <v>0.2884615384615384</v>
      </c>
      <c r="AJ10" s="35" t="n">
        <v>0.01666190144416067</v>
      </c>
      <c r="AK10" s="3" t="n">
        <v>0.01419084464434182</v>
      </c>
      <c r="AL10" s="3" t="n">
        <v>0.01748558704410029</v>
      </c>
      <c r="AM10" s="687" t="inlineStr">
        <is>
          <t>Decrease stop — Recommended: 0.99% (0.78 pp below loss average)</t>
        </is>
      </c>
      <c r="AN10" s="35" t="n">
        <v>0.0496592382222805</v>
      </c>
      <c r="AO10" s="3" t="n">
        <v>0.04148979615405144</v>
      </c>
      <c r="AP10" s="3" t="n">
        <v>0.05348866419176287</v>
      </c>
      <c r="AQ10" s="687" t="inlineStr">
        <is>
          <t>Target unchanged — Recommended: 2.00R (current median: 2.00R)</t>
        </is>
      </c>
      <c r="AR10" s="27" t="inlineStr">
        <is>
          <t>1S</t>
        </is>
      </c>
      <c r="AS10" s="1" t="inlineStr">
        <is>
          <t>10H 8M 32S</t>
        </is>
      </c>
      <c r="AT10" s="4" t="inlineStr">
        <is>
          <t>4D 11H 43M 22S</t>
        </is>
      </c>
      <c r="AU10" s="4" t="inlineStr">
        <is>
          <t>18H 40M 0S</t>
        </is>
      </c>
      <c r="AV10" s="7" t="inlineStr">
        <is>
          <t>6H 41M 12S</t>
        </is>
      </c>
    </row>
    <row r="11" ht="15" customHeight="1" thickBot="1" thickTop="1">
      <c r="A11" s="10" t="inlineStr">
        <is>
          <t>NZDUSD</t>
        </is>
      </c>
      <c r="B11" s="12" t="inlineStr">
        <is>
          <t>FX</t>
        </is>
      </c>
      <c r="C11" s="673" t="n">
        <v>43</v>
      </c>
      <c r="D11" s="674" t="n">
        <v>9</v>
      </c>
      <c r="E11" s="675" t="n">
        <v>33</v>
      </c>
      <c r="F11" s="676" t="n">
        <v>1</v>
      </c>
      <c r="G11" s="677" t="n">
        <v>22</v>
      </c>
      <c r="H11" s="678" t="n">
        <v>5</v>
      </c>
      <c r="I11" s="679" t="n">
        <v>16</v>
      </c>
      <c r="J11" s="680" t="n">
        <v>1</v>
      </c>
      <c r="K11" s="677" t="n">
        <v>21</v>
      </c>
      <c r="L11" s="678" t="n">
        <v>4</v>
      </c>
      <c r="M11" s="679" t="n">
        <v>17</v>
      </c>
      <c r="N11" s="680" t="n">
        <v>0</v>
      </c>
      <c r="O11" s="681" t="n">
        <v>1</v>
      </c>
      <c r="P11" s="681" t="n">
        <v>1</v>
      </c>
      <c r="Q11" s="12" t="inlineStr">
        <is>
          <t>channel</t>
        </is>
      </c>
      <c r="R11" s="28" t="n"/>
      <c r="S11" s="673" t="n">
        <v>0</v>
      </c>
      <c r="T11" s="673" t="n">
        <v>0</v>
      </c>
      <c r="U11" s="677" t="n">
        <v>10</v>
      </c>
      <c r="V11" s="680" t="n">
        <v>24</v>
      </c>
      <c r="W11" s="673" t="n">
        <v>1</v>
      </c>
      <c r="X11" s="673" t="n">
        <v>0</v>
      </c>
      <c r="Y11" s="673" t="n">
        <v>0</v>
      </c>
      <c r="Z11" s="673" t="n">
        <v>0</v>
      </c>
      <c r="AA11" s="673" t="n">
        <v>0</v>
      </c>
      <c r="AB11" s="673" t="n">
        <v>0</v>
      </c>
      <c r="AC11" s="31" t="inlineStr">
        <is>
          <t>15MIN</t>
        </is>
      </c>
      <c r="AD11" s="5" t="inlineStr">
        <is>
          <t>4H</t>
        </is>
      </c>
      <c r="AE11" s="62" t="inlineStr">
        <is>
          <t>1MIN</t>
        </is>
      </c>
      <c r="AF11" s="690" t="n">
        <v>-13.32330522098279</v>
      </c>
      <c r="AG11" s="688" t="n">
        <v>-0.1523076476637668</v>
      </c>
      <c r="AH11" s="691" t="n">
        <v>-0.00354203831776202</v>
      </c>
      <c r="AI11" s="33" t="n">
        <v>0.2142857142857143</v>
      </c>
      <c r="AJ11" s="35" t="n">
        <v>0.002131481323749455</v>
      </c>
      <c r="AK11" s="3" t="n">
        <v>0.00162545141666127</v>
      </c>
      <c r="AL11" s="3" t="n">
        <v>0.002280892064535127</v>
      </c>
      <c r="AM11" s="687" t="inlineStr">
        <is>
          <t>Decrease stop — Recommended: 0.18% (0.044 pp below loss average)</t>
        </is>
      </c>
      <c r="AN11" s="35" t="n">
        <v>0.005023267251642192</v>
      </c>
      <c r="AO11" s="3" t="n">
        <v>0.003861616060500907</v>
      </c>
      <c r="AP11" s="3" t="n">
        <v>0.005384406089096075</v>
      </c>
      <c r="AQ11" s="687" t="inlineStr">
        <is>
          <t>Decrease target — Recommended: 2.37R (current median: 2.50R)</t>
        </is>
      </c>
      <c r="AR11" s="27" t="inlineStr">
        <is>
          <t>1S</t>
        </is>
      </c>
      <c r="AS11" s="1" t="inlineStr">
        <is>
          <t>15H 1M 21S</t>
        </is>
      </c>
      <c r="AT11" s="4" t="inlineStr">
        <is>
          <t>7D 13H 45M 0S</t>
        </is>
      </c>
      <c r="AU11" s="4" t="inlineStr">
        <is>
          <t>1D 5H 15M 12S</t>
        </is>
      </c>
      <c r="AV11" s="7" t="inlineStr">
        <is>
          <t>11H 29M 22S</t>
        </is>
      </c>
    </row>
    <row r="12" ht="15" customHeight="1" thickBot="1" thickTop="1">
      <c r="A12" s="10" t="inlineStr">
        <is>
          <t>LINKUSDT</t>
        </is>
      </c>
      <c r="B12" s="12" t="inlineStr">
        <is>
          <t>CRYPTO</t>
        </is>
      </c>
      <c r="C12" s="673" t="n">
        <v>30</v>
      </c>
      <c r="D12" s="674" t="n">
        <v>7</v>
      </c>
      <c r="E12" s="675" t="n">
        <v>23</v>
      </c>
      <c r="F12" s="676" t="n">
        <v>0</v>
      </c>
      <c r="G12" s="677" t="n">
        <v>30</v>
      </c>
      <c r="H12" s="678" t="n">
        <v>7</v>
      </c>
      <c r="I12" s="679" t="n">
        <v>23</v>
      </c>
      <c r="J12" s="680" t="n">
        <v>0</v>
      </c>
      <c r="K12" s="677" t="n">
        <v>0</v>
      </c>
      <c r="L12" s="678" t="n">
        <v>0</v>
      </c>
      <c r="M12" s="679" t="n">
        <v>0</v>
      </c>
      <c r="N12" s="680" t="n">
        <v>0</v>
      </c>
      <c r="O12" s="681" t="n">
        <v>10</v>
      </c>
      <c r="P12" s="681" t="n">
        <v>0</v>
      </c>
      <c r="Q12" s="28" t="n"/>
      <c r="R12" s="28" t="n"/>
      <c r="S12" s="673" t="n">
        <v>0</v>
      </c>
      <c r="T12" s="673" t="n">
        <v>0</v>
      </c>
      <c r="U12" s="677" t="n">
        <v>0</v>
      </c>
      <c r="V12" s="680" t="n">
        <v>30</v>
      </c>
      <c r="W12" s="673" t="n">
        <v>0</v>
      </c>
      <c r="X12" s="673" t="n">
        <v>0</v>
      </c>
      <c r="Y12" s="673" t="n">
        <v>0</v>
      </c>
      <c r="Z12" s="673" t="n">
        <v>0</v>
      </c>
      <c r="AA12" s="673" t="n">
        <v>0</v>
      </c>
      <c r="AB12" s="673" t="n">
        <v>0</v>
      </c>
      <c r="AC12" s="31" t="inlineStr">
        <is>
          <t>1H</t>
        </is>
      </c>
      <c r="AD12" s="5" t="inlineStr">
        <is>
          <t>DAILY</t>
        </is>
      </c>
      <c r="AE12" s="62" t="inlineStr">
        <is>
          <t>1H</t>
        </is>
      </c>
      <c r="AF12" s="690" t="n">
        <v>-1.828504089706888</v>
      </c>
      <c r="AG12" s="688" t="n">
        <v>-0.03987836454124272</v>
      </c>
      <c r="AH12" s="691" t="n">
        <v>-0.001329278818041424</v>
      </c>
      <c r="AI12" s="33" t="n">
        <v>0.2333333333333333</v>
      </c>
      <c r="AJ12" s="35" t="n">
        <v>0.02869321249341746</v>
      </c>
      <c r="AK12" s="3" t="n">
        <v>0.03565487380798298</v>
      </c>
      <c r="AL12" s="3" t="n">
        <v>0.02657444600637578</v>
      </c>
      <c r="AM12" s="687" t="inlineStr">
        <is>
          <t>Increase stop — Recommended: 5.47% (1.47 pp above loss average)</t>
        </is>
      </c>
      <c r="AN12" s="35" t="n">
        <v>0.07279474814097632</v>
      </c>
      <c r="AO12" s="3" t="n">
        <v>0.09027326489604208</v>
      </c>
      <c r="AP12" s="3" t="n">
        <v>0.06723340190072812</v>
      </c>
      <c r="AQ12" s="687" t="inlineStr">
        <is>
          <t>Decrease target — Recommended: 2.00R (current median: 2.35R)</t>
        </is>
      </c>
      <c r="AR12" s="27" t="inlineStr">
        <is>
          <t>4M 0S</t>
        </is>
      </c>
      <c r="AS12" s="1" t="inlineStr">
        <is>
          <t>7H 55M 34S</t>
        </is>
      </c>
      <c r="AT12" s="4" t="inlineStr">
        <is>
          <t>2D 10H 17M 0S</t>
        </is>
      </c>
      <c r="AU12" s="4" t="inlineStr">
        <is>
          <t>7H 37M 17S</t>
        </is>
      </c>
      <c r="AV12" s="7" t="inlineStr">
        <is>
          <t>8H 1M 7S</t>
        </is>
      </c>
    </row>
    <row r="13" ht="15" customHeight="1" thickBot="1" thickTop="1">
      <c r="A13" s="10" t="inlineStr">
        <is>
          <t>GBPAUD</t>
        </is>
      </c>
      <c r="B13" s="12" t="inlineStr">
        <is>
          <t>FX</t>
        </is>
      </c>
      <c r="C13" s="673" t="n">
        <v>28</v>
      </c>
      <c r="D13" s="674" t="n">
        <v>6</v>
      </c>
      <c r="E13" s="675" t="n">
        <v>22</v>
      </c>
      <c r="F13" s="676" t="n">
        <v>0</v>
      </c>
      <c r="G13" s="677" t="n">
        <v>13</v>
      </c>
      <c r="H13" s="678" t="n">
        <v>0</v>
      </c>
      <c r="I13" s="679" t="n">
        <v>13</v>
      </c>
      <c r="J13" s="680" t="n">
        <v>0</v>
      </c>
      <c r="K13" s="677" t="n">
        <v>15</v>
      </c>
      <c r="L13" s="678" t="n">
        <v>6</v>
      </c>
      <c r="M13" s="679" t="n">
        <v>9</v>
      </c>
      <c r="N13" s="680" t="n">
        <v>0</v>
      </c>
      <c r="O13" s="681" t="n">
        <v>3</v>
      </c>
      <c r="P13" s="681" t="n">
        <v>1</v>
      </c>
      <c r="Q13" s="28" t="n"/>
      <c r="R13" s="28" t="n"/>
      <c r="S13" s="673" t="n">
        <v>0</v>
      </c>
      <c r="T13" s="673" t="n">
        <v>0</v>
      </c>
      <c r="U13" s="677" t="n">
        <v>2</v>
      </c>
      <c r="V13" s="680" t="n">
        <v>11</v>
      </c>
      <c r="W13" s="673" t="n">
        <v>0</v>
      </c>
      <c r="X13" s="673" t="n">
        <v>0</v>
      </c>
      <c r="Y13" s="673" t="n">
        <v>0</v>
      </c>
      <c r="Z13" s="673" t="n">
        <v>0</v>
      </c>
      <c r="AA13" s="673" t="n">
        <v>0</v>
      </c>
      <c r="AB13" s="673" t="n">
        <v>0</v>
      </c>
      <c r="AC13" s="31" t="inlineStr">
        <is>
          <t>4H</t>
        </is>
      </c>
      <c r="AD13" s="5" t="inlineStr">
        <is>
          <t>15MIN</t>
        </is>
      </c>
      <c r="AE13" s="62" t="inlineStr">
        <is>
          <t>1H</t>
        </is>
      </c>
      <c r="AF13" s="690" t="n">
        <v>-20.43408991386088</v>
      </c>
      <c r="AG13" s="688" t="n">
        <v>-0.08661751416475685</v>
      </c>
      <c r="AH13" s="691" t="n">
        <v>-0.003093482648741316</v>
      </c>
      <c r="AI13" s="33" t="n">
        <v>0.2142857142857143</v>
      </c>
      <c r="AJ13" s="35" t="n">
        <v>0.00134598877017626</v>
      </c>
      <c r="AK13" s="261" t="n">
        <v>0.0005795652922434276</v>
      </c>
      <c r="AL13" s="3" t="n">
        <v>0.001485338493436775</v>
      </c>
      <c r="AM13" s="687" t="inlineStr">
        <is>
          <t>Decrease stop — Recommended: 0.053% (0.069 pp below loss average)</t>
        </is>
      </c>
      <c r="AN13" s="35" t="n">
        <v>0.00430172901843527</v>
      </c>
      <c r="AO13" s="3" t="n">
        <v>0.001504467365700974</v>
      </c>
      <c r="AP13" s="3" t="n">
        <v>0.005124453033945356</v>
      </c>
      <c r="AQ13" s="687" t="inlineStr">
        <is>
          <t>Decrease target — Recommended: 2.00R (current median: 2.67R)</t>
        </is>
      </c>
      <c r="AR13" s="27" t="inlineStr">
        <is>
          <t>5S</t>
        </is>
      </c>
      <c r="AS13" s="1" t="inlineStr">
        <is>
          <t>3H 50M 24S</t>
        </is>
      </c>
      <c r="AT13" s="4" t="inlineStr">
        <is>
          <t>1D 15H 28M 0S</t>
        </is>
      </c>
      <c r="AU13" s="4" t="inlineStr">
        <is>
          <t>30M 20S</t>
        </is>
      </c>
      <c r="AV13" s="7" t="inlineStr">
        <is>
          <t>4H 44M 58S</t>
        </is>
      </c>
    </row>
    <row r="14" ht="15" customHeight="1" thickBot="1" thickTop="1">
      <c r="A14" s="10" t="inlineStr">
        <is>
          <t>AUDCAD</t>
        </is>
      </c>
      <c r="B14" s="12" t="inlineStr">
        <is>
          <t>FX</t>
        </is>
      </c>
      <c r="C14" s="673" t="n">
        <v>25</v>
      </c>
      <c r="D14" s="674" t="n">
        <v>9</v>
      </c>
      <c r="E14" s="675" t="n">
        <v>16</v>
      </c>
      <c r="F14" s="676" t="n">
        <v>0</v>
      </c>
      <c r="G14" s="677" t="n">
        <v>18</v>
      </c>
      <c r="H14" s="678" t="n">
        <v>6</v>
      </c>
      <c r="I14" s="679" t="n">
        <v>12</v>
      </c>
      <c r="J14" s="680" t="n">
        <v>0</v>
      </c>
      <c r="K14" s="677" t="n">
        <v>7</v>
      </c>
      <c r="L14" s="678" t="n">
        <v>3</v>
      </c>
      <c r="M14" s="679" t="n">
        <v>4</v>
      </c>
      <c r="N14" s="680" t="n">
        <v>0</v>
      </c>
      <c r="O14" s="681" t="n">
        <v>4</v>
      </c>
      <c r="P14" s="681" t="n">
        <v>0</v>
      </c>
      <c r="Q14" s="28" t="n"/>
      <c r="R14" s="28" t="n"/>
      <c r="S14" s="673" t="n">
        <v>0</v>
      </c>
      <c r="T14" s="673" t="n">
        <v>0</v>
      </c>
      <c r="U14" s="677" t="n">
        <v>2</v>
      </c>
      <c r="V14" s="680" t="n">
        <v>10</v>
      </c>
      <c r="W14" s="673" t="n">
        <v>0</v>
      </c>
      <c r="X14" s="673" t="n">
        <v>0</v>
      </c>
      <c r="Y14" s="673" t="n">
        <v>0</v>
      </c>
      <c r="Z14" s="673" t="n">
        <v>0</v>
      </c>
      <c r="AA14" s="673" t="n">
        <v>0</v>
      </c>
      <c r="AB14" s="673" t="n">
        <v>1</v>
      </c>
      <c r="AC14" s="31" t="inlineStr">
        <is>
          <t>1H</t>
        </is>
      </c>
      <c r="AD14" s="5" t="inlineStr">
        <is>
          <t>4H</t>
        </is>
      </c>
      <c r="AE14" s="62" t="inlineStr">
        <is>
          <t>15MIN</t>
        </is>
      </c>
      <c r="AF14" s="682" t="n">
        <v>12.51668231187786</v>
      </c>
      <c r="AG14" s="683" t="n">
        <v>0.04548688393635773</v>
      </c>
      <c r="AH14" s="692" t="n">
        <v>0.001819475357454309</v>
      </c>
      <c r="AI14" s="33" t="n">
        <v>0.36</v>
      </c>
      <c r="AJ14" s="35" t="n">
        <v>0.001447893996745543</v>
      </c>
      <c r="AK14" s="3" t="n">
        <v>0.001553219359030819</v>
      </c>
      <c r="AL14" s="3" t="n">
        <v>0.001384698779374378</v>
      </c>
      <c r="AM14" s="687" t="inlineStr">
        <is>
          <t>Decrease stop — Recommended: 0.072% (0.041 pp below loss average)</t>
        </is>
      </c>
      <c r="AN14" s="35" t="n">
        <v>0.00424339895590963</v>
      </c>
      <c r="AO14" s="3" t="n">
        <v>0.003704078533463365</v>
      </c>
      <c r="AP14" s="3" t="n">
        <v>0.004586602861102707</v>
      </c>
      <c r="AQ14" s="687" t="inlineStr">
        <is>
          <t>Target unchanged — Recommended: 2.00R (current median: 2.00R)</t>
        </is>
      </c>
      <c r="AR14" s="27" t="inlineStr">
        <is>
          <t>25S</t>
        </is>
      </c>
      <c r="AS14" s="1" t="inlineStr">
        <is>
          <t>5H 5M 23S</t>
        </is>
      </c>
      <c r="AT14" s="4" t="inlineStr">
        <is>
          <t>1D 2H 49M 0S</t>
        </is>
      </c>
      <c r="AU14" s="4" t="inlineStr">
        <is>
          <t>5H 14M 40S</t>
        </is>
      </c>
      <c r="AV14" s="7" t="inlineStr">
        <is>
          <t>5H 0M 10S</t>
        </is>
      </c>
    </row>
    <row r="15" ht="15" customHeight="1" thickBot="1" thickTop="1">
      <c r="A15" s="10" t="inlineStr">
        <is>
          <t>EURAUD</t>
        </is>
      </c>
      <c r="B15" s="12" t="inlineStr">
        <is>
          <t>FX</t>
        </is>
      </c>
      <c r="C15" s="673" t="n">
        <v>22</v>
      </c>
      <c r="D15" s="674" t="n">
        <v>3</v>
      </c>
      <c r="E15" s="675" t="n">
        <v>19</v>
      </c>
      <c r="F15" s="676" t="n">
        <v>0</v>
      </c>
      <c r="G15" s="677" t="n">
        <v>8</v>
      </c>
      <c r="H15" s="678" t="n">
        <v>1</v>
      </c>
      <c r="I15" s="679" t="n">
        <v>7</v>
      </c>
      <c r="J15" s="680" t="n">
        <v>0</v>
      </c>
      <c r="K15" s="677" t="n">
        <v>14</v>
      </c>
      <c r="L15" s="678" t="n">
        <v>2</v>
      </c>
      <c r="M15" s="679" t="n">
        <v>12</v>
      </c>
      <c r="N15" s="680" t="n">
        <v>0</v>
      </c>
      <c r="O15" s="681" t="n">
        <v>2</v>
      </c>
      <c r="P15" s="681" t="n">
        <v>1</v>
      </c>
      <c r="Q15" s="28" t="n"/>
      <c r="R15" s="28" t="n"/>
      <c r="S15" s="673" t="n">
        <v>0</v>
      </c>
      <c r="T15" s="673" t="n">
        <v>0</v>
      </c>
      <c r="U15" s="677" t="n">
        <v>2</v>
      </c>
      <c r="V15" s="680" t="n">
        <v>8</v>
      </c>
      <c r="W15" s="673" t="n">
        <v>0</v>
      </c>
      <c r="X15" s="673" t="n">
        <v>0</v>
      </c>
      <c r="Y15" s="673" t="n">
        <v>0</v>
      </c>
      <c r="Z15" s="673" t="n">
        <v>0</v>
      </c>
      <c r="AA15" s="673" t="n">
        <v>0</v>
      </c>
      <c r="AB15" s="673" t="n">
        <v>0</v>
      </c>
      <c r="AC15" s="31" t="inlineStr">
        <is>
          <t>15MIN</t>
        </is>
      </c>
      <c r="AD15" s="5" t="inlineStr">
        <is>
          <t>15MIN</t>
        </is>
      </c>
      <c r="AE15" s="62" t="inlineStr">
        <is>
          <t>4H</t>
        </is>
      </c>
      <c r="AF15" s="690" t="n">
        <v>-11.07082429246074</v>
      </c>
      <c r="AG15" s="688" t="n">
        <v>-0.0828085796598766</v>
      </c>
      <c r="AH15" s="691" t="n">
        <v>-0.003764026348176209</v>
      </c>
      <c r="AI15" s="33" t="n">
        <v>0.1363636363636364</v>
      </c>
      <c r="AJ15" s="35" t="n">
        <v>0.001453708049419546</v>
      </c>
      <c r="AK15" s="261" t="n">
        <v>0.0005484450788532629</v>
      </c>
      <c r="AL15" s="3" t="n">
        <v>0.001604585211180593</v>
      </c>
      <c r="AM15" s="687" t="inlineStr">
        <is>
          <t>Decrease stop — Recommended: 0.057% (0.086 pp below loss average)</t>
        </is>
      </c>
      <c r="AN15" s="35" t="n">
        <v>0.003732827542381233</v>
      </c>
      <c r="AO15" s="3" t="n">
        <v>0.001599555171874042</v>
      </c>
      <c r="AP15" s="3" t="n">
        <v>0.004159482016482671</v>
      </c>
      <c r="AQ15" s="687" t="inlineStr">
        <is>
          <t>Decrease target — Recommended: 2.00R (current median: 2.46R)</t>
        </is>
      </c>
      <c r="AR15" s="27" t="inlineStr">
        <is>
          <t>3S</t>
        </is>
      </c>
      <c r="AS15" s="1" t="inlineStr">
        <is>
          <t>11H 52M 8S</t>
        </is>
      </c>
      <c r="AT15" s="4" t="inlineStr">
        <is>
          <t>6D 16H 10M 0S</t>
        </is>
      </c>
      <c r="AU15" s="4" t="inlineStr">
        <is>
          <t>2H 28M 20S</t>
        </is>
      </c>
      <c r="AV15" s="7" t="inlineStr">
        <is>
          <t>13H 21M 9S</t>
        </is>
      </c>
    </row>
    <row r="16" ht="15" customHeight="1" thickBot="1" thickTop="1">
      <c r="A16" s="10" t="inlineStr">
        <is>
          <t>CADCHF</t>
        </is>
      </c>
      <c r="B16" s="12" t="inlineStr">
        <is>
          <t>FX</t>
        </is>
      </c>
      <c r="C16" s="673" t="n">
        <v>21</v>
      </c>
      <c r="D16" s="674" t="n">
        <v>6</v>
      </c>
      <c r="E16" s="675" t="n">
        <v>15</v>
      </c>
      <c r="F16" s="676" t="n">
        <v>0</v>
      </c>
      <c r="G16" s="677" t="n">
        <v>13</v>
      </c>
      <c r="H16" s="678" t="n">
        <v>4</v>
      </c>
      <c r="I16" s="679" t="n">
        <v>9</v>
      </c>
      <c r="J16" s="680" t="n">
        <v>0</v>
      </c>
      <c r="K16" s="677" t="n">
        <v>8</v>
      </c>
      <c r="L16" s="678" t="n">
        <v>2</v>
      </c>
      <c r="M16" s="679" t="n">
        <v>6</v>
      </c>
      <c r="N16" s="680" t="n">
        <v>0</v>
      </c>
      <c r="O16" s="681" t="n">
        <v>4</v>
      </c>
      <c r="P16" s="681" t="n">
        <v>1</v>
      </c>
      <c r="Q16" s="12" t="inlineStr">
        <is>
          <t>range</t>
        </is>
      </c>
      <c r="R16" s="28" t="n"/>
      <c r="S16" s="673" t="n">
        <v>0</v>
      </c>
      <c r="T16" s="673" t="n">
        <v>1</v>
      </c>
      <c r="U16" s="677" t="n">
        <v>4</v>
      </c>
      <c r="V16" s="680" t="n">
        <v>15</v>
      </c>
      <c r="W16" s="673" t="n">
        <v>0</v>
      </c>
      <c r="X16" s="673" t="n">
        <v>1</v>
      </c>
      <c r="Y16" s="673" t="n">
        <v>2</v>
      </c>
      <c r="Z16" s="673" t="n">
        <v>0</v>
      </c>
      <c r="AA16" s="673" t="n">
        <v>0</v>
      </c>
      <c r="AB16" s="673" t="n">
        <v>1</v>
      </c>
      <c r="AC16" s="31" t="inlineStr">
        <is>
          <t>4H</t>
        </is>
      </c>
      <c r="AD16" s="5" t="inlineStr">
        <is>
          <t>DAILY</t>
        </is>
      </c>
      <c r="AE16" s="62" t="inlineStr">
        <is>
          <t>15MIN</t>
        </is>
      </c>
      <c r="AF16" s="690" t="n">
        <v>-2.020115501887795</v>
      </c>
      <c r="AG16" s="688" t="n">
        <v>-0.02038267861193361</v>
      </c>
      <c r="AH16" s="689" t="n">
        <v>-0.0009706037434254098</v>
      </c>
      <c r="AI16" s="33" t="n">
        <v>0.2857142857142857</v>
      </c>
      <c r="AJ16" s="35" t="n">
        <v>0.002097254422164492</v>
      </c>
      <c r="AK16" s="3" t="n">
        <v>0.002209903168005228</v>
      </c>
      <c r="AL16" s="3" t="n">
        <v>0.002052194923828198</v>
      </c>
      <c r="AM16" s="687" t="inlineStr">
        <is>
          <t>Increase stop — Recommended: 0.23% (0.049 pp above loss average)</t>
        </is>
      </c>
      <c r="AN16" s="35" t="n">
        <v>0.005403818107053534</v>
      </c>
      <c r="AO16" s="3" t="n">
        <v>0.004849187123789195</v>
      </c>
      <c r="AP16" s="3" t="n">
        <v>0.00562567050035927</v>
      </c>
      <c r="AQ16" s="687" t="inlineStr">
        <is>
          <t>Increase target — Recommended: 2.03R (current median: 2.02R)</t>
        </is>
      </c>
      <c r="AR16" s="27" t="inlineStr">
        <is>
          <t>1S</t>
        </is>
      </c>
      <c r="AS16" s="1" t="inlineStr">
        <is>
          <t>6H 55M 35S</t>
        </is>
      </c>
      <c r="AT16" s="4" t="inlineStr">
        <is>
          <t>22H 54M 8S</t>
        </is>
      </c>
      <c r="AU16" s="4" t="inlineStr">
        <is>
          <t>12H 50M 36S</t>
        </is>
      </c>
      <c r="AV16" s="7" t="inlineStr">
        <is>
          <t>4H 33M 35S</t>
        </is>
      </c>
    </row>
    <row r="17" ht="15" customHeight="1" thickBot="1" thickTop="1">
      <c r="A17" s="10" t="inlineStr">
        <is>
          <t>EURGBP</t>
        </is>
      </c>
      <c r="B17" s="12" t="inlineStr">
        <is>
          <t>FX</t>
        </is>
      </c>
      <c r="C17" s="673" t="n">
        <v>20</v>
      </c>
      <c r="D17" s="674" t="n">
        <v>4</v>
      </c>
      <c r="E17" s="675" t="n">
        <v>16</v>
      </c>
      <c r="F17" s="676" t="n">
        <v>0</v>
      </c>
      <c r="G17" s="677" t="n">
        <v>9</v>
      </c>
      <c r="H17" s="678" t="n">
        <v>2</v>
      </c>
      <c r="I17" s="679" t="n">
        <v>7</v>
      </c>
      <c r="J17" s="680" t="n">
        <v>0</v>
      </c>
      <c r="K17" s="677" t="n">
        <v>11</v>
      </c>
      <c r="L17" s="678" t="n">
        <v>2</v>
      </c>
      <c r="M17" s="679" t="n">
        <v>9</v>
      </c>
      <c r="N17" s="680" t="n">
        <v>0</v>
      </c>
      <c r="O17" s="681" t="n">
        <v>1</v>
      </c>
      <c r="P17" s="681" t="n">
        <v>0</v>
      </c>
      <c r="Q17" s="28" t="inlineStr">
        <is>
          <t>channel</t>
        </is>
      </c>
      <c r="R17" s="28" t="n"/>
      <c r="S17" s="673" t="n">
        <v>0</v>
      </c>
      <c r="T17" s="673" t="n">
        <v>0</v>
      </c>
      <c r="U17" s="677" t="n">
        <v>2</v>
      </c>
      <c r="V17" s="680" t="n">
        <v>17</v>
      </c>
      <c r="W17" s="673" t="n">
        <v>0</v>
      </c>
      <c r="X17" s="673" t="n">
        <v>0</v>
      </c>
      <c r="Y17" s="673" t="n">
        <v>0</v>
      </c>
      <c r="Z17" s="673" t="n">
        <v>0</v>
      </c>
      <c r="AA17" s="673" t="n">
        <v>0</v>
      </c>
      <c r="AB17" s="673" t="n">
        <v>2</v>
      </c>
      <c r="AC17" s="31" t="inlineStr">
        <is>
          <t>4H</t>
        </is>
      </c>
      <c r="AD17" s="5" t="inlineStr">
        <is>
          <t>WEEKLY</t>
        </is>
      </c>
      <c r="AE17" s="62" t="inlineStr">
        <is>
          <t>5MIN</t>
        </is>
      </c>
      <c r="AF17" s="690" t="n">
        <v>-7.591870917101888</v>
      </c>
      <c r="AG17" s="688" t="n">
        <v>-0.02675606302882638</v>
      </c>
      <c r="AH17" s="691" t="n">
        <v>-0.001337803151441319</v>
      </c>
      <c r="AI17" s="33" t="n">
        <v>0.2</v>
      </c>
      <c r="AJ17" s="35" t="n">
        <v>0.001392005125568897</v>
      </c>
      <c r="AK17" s="3" t="n">
        <v>0.003383230180156634</v>
      </c>
      <c r="AL17" s="261" t="n">
        <v>0.0008941988619219626</v>
      </c>
      <c r="AM17" s="687" t="inlineStr">
        <is>
          <t>Increase stop — Recommended: 0.34% (0.28 pp above loss average)</t>
        </is>
      </c>
      <c r="AN17" s="35" t="n">
        <v>0.004752423515225548</v>
      </c>
      <c r="AO17" s="3" t="n">
        <v>0.00890349800016841</v>
      </c>
      <c r="AP17" s="3" t="n">
        <v>0.003714654893989832</v>
      </c>
      <c r="AQ17" s="687" t="inlineStr">
        <is>
          <t>Decrease target — Recommended: 2.00R (current median: 2.75R)</t>
        </is>
      </c>
      <c r="AR17" s="27" t="inlineStr">
        <is>
          <t>1M 0S</t>
        </is>
      </c>
      <c r="AS17" s="1" t="inlineStr">
        <is>
          <t>6H 16M 38S</t>
        </is>
      </c>
      <c r="AT17" s="4" t="inlineStr">
        <is>
          <t>2D 3H 49M 0S</t>
        </is>
      </c>
      <c r="AU17" s="4" t="inlineStr">
        <is>
          <t>18H 48M 45S</t>
        </is>
      </c>
      <c r="AV17" s="7" t="inlineStr">
        <is>
          <t>3H 8M 36S</t>
        </is>
      </c>
    </row>
    <row r="18" ht="15" customHeight="1" thickBot="1" thickTop="1">
      <c r="A18" s="10" t="inlineStr">
        <is>
          <t>EURNZD</t>
        </is>
      </c>
      <c r="B18" s="12" t="inlineStr">
        <is>
          <t>FX</t>
        </is>
      </c>
      <c r="C18" s="673" t="n">
        <v>17</v>
      </c>
      <c r="D18" s="674" t="n">
        <v>3</v>
      </c>
      <c r="E18" s="675" t="n">
        <v>14</v>
      </c>
      <c r="F18" s="676" t="n">
        <v>0</v>
      </c>
      <c r="G18" s="677" t="n">
        <v>6</v>
      </c>
      <c r="H18" s="678" t="n">
        <v>1</v>
      </c>
      <c r="I18" s="679" t="n">
        <v>5</v>
      </c>
      <c r="J18" s="680" t="n">
        <v>0</v>
      </c>
      <c r="K18" s="677" t="n">
        <v>11</v>
      </c>
      <c r="L18" s="678" t="n">
        <v>2</v>
      </c>
      <c r="M18" s="679" t="n">
        <v>9</v>
      </c>
      <c r="N18" s="680" t="n">
        <v>0</v>
      </c>
      <c r="O18" s="681" t="n">
        <v>2</v>
      </c>
      <c r="P18" s="681" t="n">
        <v>0</v>
      </c>
      <c r="Q18" s="28" t="n"/>
      <c r="R18" s="28" t="n"/>
      <c r="S18" s="673" t="n">
        <v>0</v>
      </c>
      <c r="T18" s="673" t="n">
        <v>0</v>
      </c>
      <c r="U18" s="677" t="n">
        <v>0</v>
      </c>
      <c r="V18" s="680" t="n">
        <v>11</v>
      </c>
      <c r="W18" s="673" t="n">
        <v>0</v>
      </c>
      <c r="X18" s="673" t="n">
        <v>0</v>
      </c>
      <c r="Y18" s="673" t="n">
        <v>0</v>
      </c>
      <c r="Z18" s="673" t="n">
        <v>0</v>
      </c>
      <c r="AA18" s="673" t="n">
        <v>0</v>
      </c>
      <c r="AB18" s="673" t="n">
        <v>0</v>
      </c>
      <c r="AC18" s="31" t="inlineStr">
        <is>
          <t>4H</t>
        </is>
      </c>
      <c r="AD18" s="5" t="inlineStr">
        <is>
          <t>1H</t>
        </is>
      </c>
      <c r="AE18" s="62" t="inlineStr">
        <is>
          <t>4H</t>
        </is>
      </c>
      <c r="AF18" s="690" t="n">
        <v>-11.11980421911571</v>
      </c>
      <c r="AG18" s="688" t="n">
        <v>-0.1226860864491987</v>
      </c>
      <c r="AH18" s="691" t="n">
        <v>-0.007216828614658746</v>
      </c>
      <c r="AI18" s="33" t="n">
        <v>0.1764705882352941</v>
      </c>
      <c r="AJ18" s="35" t="n">
        <v>0.002090123183535402</v>
      </c>
      <c r="AK18" s="3" t="n">
        <v>0.001886999902790626</v>
      </c>
      <c r="AL18" s="3" t="n">
        <v>0.002133649600837854</v>
      </c>
      <c r="AM18" s="687" t="inlineStr">
        <is>
          <t>Increase stop — Recommended: 0.27% (0.059 pp above loss average)</t>
        </is>
      </c>
      <c r="AN18" s="35" t="n">
        <v>0.006164176933555567</v>
      </c>
      <c r="AO18" s="3" t="n">
        <v>0.003990566405208928</v>
      </c>
      <c r="AP18" s="3" t="n">
        <v>0.006629950618201275</v>
      </c>
      <c r="AQ18" s="687" t="inlineStr">
        <is>
          <t>Decrease target — Recommended: 2.03R (current median: 2.04R)</t>
        </is>
      </c>
      <c r="AR18" s="27" t="inlineStr">
        <is>
          <t>1S</t>
        </is>
      </c>
      <c r="AS18" s="1" t="inlineStr">
        <is>
          <t>13H 20M 22S</t>
        </is>
      </c>
      <c r="AT18" s="4" t="inlineStr">
        <is>
          <t>2D 18H 2M 0S</t>
        </is>
      </c>
      <c r="AU18" s="4" t="inlineStr">
        <is>
          <t>18H 28M 40S</t>
        </is>
      </c>
      <c r="AV18" s="7" t="inlineStr">
        <is>
          <t>12H 14M 19S</t>
        </is>
      </c>
    </row>
    <row r="19" ht="15" customHeight="1" thickBot="1" thickTop="1">
      <c r="A19" s="10" t="inlineStr">
        <is>
          <t>AUDJPY</t>
        </is>
      </c>
      <c r="B19" s="12" t="inlineStr">
        <is>
          <t>FX</t>
        </is>
      </c>
      <c r="C19" s="673" t="n">
        <v>16</v>
      </c>
      <c r="D19" s="674" t="n">
        <v>4</v>
      </c>
      <c r="E19" s="675" t="n">
        <v>12</v>
      </c>
      <c r="F19" s="676" t="n">
        <v>0</v>
      </c>
      <c r="G19" s="677" t="n">
        <v>14</v>
      </c>
      <c r="H19" s="678" t="n">
        <v>3</v>
      </c>
      <c r="I19" s="679" t="n">
        <v>11</v>
      </c>
      <c r="J19" s="680" t="n">
        <v>0</v>
      </c>
      <c r="K19" s="677" t="n">
        <v>2</v>
      </c>
      <c r="L19" s="678" t="n">
        <v>1</v>
      </c>
      <c r="M19" s="679" t="n">
        <v>1</v>
      </c>
      <c r="N19" s="680" t="n">
        <v>0</v>
      </c>
      <c r="O19" s="681" t="n">
        <v>1</v>
      </c>
      <c r="P19" s="681" t="n">
        <v>0</v>
      </c>
      <c r="Q19" s="12" t="n"/>
      <c r="R19" s="28" t="n"/>
      <c r="S19" s="673" t="n">
        <v>0</v>
      </c>
      <c r="T19" s="673" t="n">
        <v>0</v>
      </c>
      <c r="U19" s="677" t="n">
        <v>2</v>
      </c>
      <c r="V19" s="680" t="n">
        <v>9</v>
      </c>
      <c r="W19" s="673" t="n">
        <v>1</v>
      </c>
      <c r="X19" s="673" t="n">
        <v>0</v>
      </c>
      <c r="Y19" s="673" t="n">
        <v>0</v>
      </c>
      <c r="Z19" s="673" t="n">
        <v>0</v>
      </c>
      <c r="AA19" s="673" t="n">
        <v>0</v>
      </c>
      <c r="AB19" s="673" t="n">
        <v>0</v>
      </c>
      <c r="AC19" s="31" t="inlineStr">
        <is>
          <t>4H</t>
        </is>
      </c>
      <c r="AD19" s="5" t="inlineStr">
        <is>
          <t>1H</t>
        </is>
      </c>
      <c r="AE19" s="62" t="inlineStr">
        <is>
          <t>4H</t>
        </is>
      </c>
      <c r="AF19" s="690" t="n">
        <v>-2.490878378279196</v>
      </c>
      <c r="AG19" s="688" t="n">
        <v>-0.05330508538515422</v>
      </c>
      <c r="AH19" s="691" t="n">
        <v>-0.003331567836572139</v>
      </c>
      <c r="AI19" s="33" t="n">
        <v>0.25</v>
      </c>
      <c r="AJ19" s="35" t="n">
        <v>0.002484762399247607</v>
      </c>
      <c r="AK19" s="3" t="n">
        <v>0.003404376945517347</v>
      </c>
      <c r="AL19" s="3" t="n">
        <v>0.002178224217157694</v>
      </c>
      <c r="AM19" s="687" t="inlineStr">
        <is>
          <t>Increase stop — Recommended: 0.35% (0.19 pp above loss average)</t>
        </is>
      </c>
      <c r="AN19" s="35" t="n">
        <v>0.006713569530731544</v>
      </c>
      <c r="AO19" s="3" t="n">
        <v>0.008455503579366494</v>
      </c>
      <c r="AP19" s="3" t="n">
        <v>0.006278086018572807</v>
      </c>
      <c r="AQ19" s="687" t="inlineStr">
        <is>
          <t>Decrease target — Recommended: 2.00R (current median: 2.15R)</t>
        </is>
      </c>
      <c r="AR19" s="27" t="inlineStr">
        <is>
          <t>1M 0S</t>
        </is>
      </c>
      <c r="AS19" s="1" t="inlineStr">
        <is>
          <t>22H 7M 50S</t>
        </is>
      </c>
      <c r="AT19" s="4" t="inlineStr">
        <is>
          <t>3D 19H 19M 0S</t>
        </is>
      </c>
      <c r="AU19" s="4" t="inlineStr">
        <is>
          <t>1D 16H 18M 15S</t>
        </is>
      </c>
      <c r="AV19" s="7" t="inlineStr">
        <is>
          <t>16H 4M 22S</t>
        </is>
      </c>
    </row>
    <row r="20" ht="15" customHeight="1" thickBot="1" thickTop="1">
      <c r="A20" s="10" t="inlineStr">
        <is>
          <t>LTCUSDT</t>
        </is>
      </c>
      <c r="B20" s="12" t="inlineStr">
        <is>
          <t>CRYPTO</t>
        </is>
      </c>
      <c r="C20" s="673" t="n">
        <v>16</v>
      </c>
      <c r="D20" s="674" t="n">
        <v>6</v>
      </c>
      <c r="E20" s="675" t="n">
        <v>10</v>
      </c>
      <c r="F20" s="676" t="n">
        <v>0</v>
      </c>
      <c r="G20" s="677" t="n">
        <v>14</v>
      </c>
      <c r="H20" s="678" t="n">
        <v>5</v>
      </c>
      <c r="I20" s="679" t="n">
        <v>9</v>
      </c>
      <c r="J20" s="680" t="n">
        <v>0</v>
      </c>
      <c r="K20" s="677" t="n">
        <v>2</v>
      </c>
      <c r="L20" s="678" t="n">
        <v>1</v>
      </c>
      <c r="M20" s="679" t="n">
        <v>1</v>
      </c>
      <c r="N20" s="680" t="n">
        <v>0</v>
      </c>
      <c r="O20" s="681" t="n">
        <v>3</v>
      </c>
      <c r="P20" s="681" t="n">
        <v>0</v>
      </c>
      <c r="Q20" s="12" t="inlineStr">
        <is>
          <t>channel</t>
        </is>
      </c>
      <c r="R20" s="28" t="n"/>
      <c r="S20" s="673" t="n">
        <v>0</v>
      </c>
      <c r="T20" s="673" t="n">
        <v>0</v>
      </c>
      <c r="U20" s="677" t="n">
        <v>0</v>
      </c>
      <c r="V20" s="680" t="n">
        <v>16</v>
      </c>
      <c r="W20" s="673" t="n">
        <v>0</v>
      </c>
      <c r="X20" s="673" t="n">
        <v>0</v>
      </c>
      <c r="Y20" s="673" t="n">
        <v>0</v>
      </c>
      <c r="Z20" s="673" t="n">
        <v>1</v>
      </c>
      <c r="AA20" s="673" t="n">
        <v>0</v>
      </c>
      <c r="AB20" s="673" t="n">
        <v>0</v>
      </c>
      <c r="AC20" s="31" t="inlineStr">
        <is>
          <t>1H</t>
        </is>
      </c>
      <c r="AD20" s="5" t="inlineStr">
        <is>
          <t>5MIN</t>
        </is>
      </c>
      <c r="AE20" s="62" t="inlineStr">
        <is>
          <t>4H</t>
        </is>
      </c>
      <c r="AF20" s="682" t="n">
        <v>4.633291663609848</v>
      </c>
      <c r="AG20" s="683" t="n">
        <v>0.0222203596363203</v>
      </c>
      <c r="AH20" s="692" t="n">
        <v>0.001388772477270019</v>
      </c>
      <c r="AI20" s="33" t="n">
        <v>0.375</v>
      </c>
      <c r="AJ20" s="35" t="n">
        <v>0.02971308882276767</v>
      </c>
      <c r="AK20" s="3" t="n">
        <v>0.03277359367853883</v>
      </c>
      <c r="AL20" s="3" t="n">
        <v>0.02767275225225357</v>
      </c>
      <c r="AM20" s="687" t="inlineStr">
        <is>
          <t>Increase stop — Recommended: 3.59% (0.70 pp above loss average)</t>
        </is>
      </c>
      <c r="AN20" s="35" t="n">
        <v>0.06975554917962425</v>
      </c>
      <c r="AO20" s="3" t="n">
        <v>0.07019309730414545</v>
      </c>
      <c r="AP20" s="3" t="n">
        <v>0.06946385042994342</v>
      </c>
      <c r="AQ20" s="687" t="inlineStr">
        <is>
          <t>Increase target — Recommended: 2.06R (current median: 2.05R)</t>
        </is>
      </c>
      <c r="AR20" s="27" t="inlineStr">
        <is>
          <t>1M 0S</t>
        </is>
      </c>
      <c r="AS20" s="1" t="inlineStr">
        <is>
          <t>8H 36M 52S</t>
        </is>
      </c>
      <c r="AT20" s="4" t="inlineStr">
        <is>
          <t>2D 22H 55M 0S</t>
        </is>
      </c>
      <c r="AU20" s="4" t="inlineStr">
        <is>
          <t>16H 23M 10S</t>
        </is>
      </c>
      <c r="AV20" s="7" t="inlineStr">
        <is>
          <t>3H 57M 6S</t>
        </is>
      </c>
    </row>
    <row r="21" ht="15" customHeight="1" thickBot="1" thickTop="1">
      <c r="A21" s="10" t="inlineStr">
        <is>
          <t>NZDCHF</t>
        </is>
      </c>
      <c r="B21" s="12" t="inlineStr">
        <is>
          <t>FX</t>
        </is>
      </c>
      <c r="C21" s="673" t="n">
        <v>16</v>
      </c>
      <c r="D21" s="674" t="n">
        <v>4</v>
      </c>
      <c r="E21" s="675" t="n">
        <v>12</v>
      </c>
      <c r="F21" s="676" t="n">
        <v>0</v>
      </c>
      <c r="G21" s="677" t="n">
        <v>12</v>
      </c>
      <c r="H21" s="678" t="n">
        <v>3</v>
      </c>
      <c r="I21" s="679" t="n">
        <v>9</v>
      </c>
      <c r="J21" s="680" t="n">
        <v>0</v>
      </c>
      <c r="K21" s="677" t="n">
        <v>4</v>
      </c>
      <c r="L21" s="678" t="n">
        <v>1</v>
      </c>
      <c r="M21" s="679" t="n">
        <v>3</v>
      </c>
      <c r="N21" s="680" t="n">
        <v>0</v>
      </c>
      <c r="O21" s="681" t="n">
        <v>1</v>
      </c>
      <c r="P21" s="681" t="n">
        <v>0</v>
      </c>
      <c r="Q21" s="12" t="n"/>
      <c r="R21" s="28" t="n"/>
      <c r="S21" s="673" t="n">
        <v>0</v>
      </c>
      <c r="T21" s="673" t="n">
        <v>0</v>
      </c>
      <c r="U21" s="677" t="n">
        <v>0</v>
      </c>
      <c r="V21" s="680" t="n">
        <v>11</v>
      </c>
      <c r="W21" s="673" t="n">
        <v>0</v>
      </c>
      <c r="X21" s="673" t="n">
        <v>0</v>
      </c>
      <c r="Y21" s="673" t="n">
        <v>0</v>
      </c>
      <c r="Z21" s="673" t="n">
        <v>0</v>
      </c>
      <c r="AA21" s="673" t="n">
        <v>0</v>
      </c>
      <c r="AB21" s="673" t="n">
        <v>0</v>
      </c>
      <c r="AC21" s="31" t="inlineStr">
        <is>
          <t>1H</t>
        </is>
      </c>
      <c r="AD21" s="5" t="inlineStr">
        <is>
          <t>15MIN</t>
        </is>
      </c>
      <c r="AE21" s="62" t="inlineStr">
        <is>
          <t>1H</t>
        </is>
      </c>
      <c r="AF21" s="690" t="n">
        <v>-4.454802112488859</v>
      </c>
      <c r="AG21" s="688" t="n">
        <v>-0.03965587180853792</v>
      </c>
      <c r="AH21" s="691" t="n">
        <v>-0.00247849198803362</v>
      </c>
      <c r="AI21" s="33" t="n">
        <v>0.25</v>
      </c>
      <c r="AJ21" s="35" t="n">
        <v>0.002297589869923168</v>
      </c>
      <c r="AK21" s="3" t="n">
        <v>0.001991692611712313</v>
      </c>
      <c r="AL21" s="3" t="n">
        <v>0.002399555622660119</v>
      </c>
      <c r="AM21" s="687" t="inlineStr">
        <is>
          <t>Decrease stop — Recommended: 0.22% (0.013 pp below loss average)</t>
        </is>
      </c>
      <c r="AN21" s="35" t="n">
        <v>0.005463365028971799</v>
      </c>
      <c r="AO21" s="3" t="n">
        <v>0.005277598649413283</v>
      </c>
      <c r="AP21" s="3" t="n">
        <v>0.005525287155491305</v>
      </c>
      <c r="AQ21" s="687" t="inlineStr">
        <is>
          <t>Decrease target — Recommended: 2.04R (current median: 2.36R)</t>
        </is>
      </c>
      <c r="AR21" s="27" t="inlineStr">
        <is>
          <t>12M 0S</t>
        </is>
      </c>
      <c r="AS21" s="1" t="inlineStr">
        <is>
          <t>9H 36M 9S</t>
        </is>
      </c>
      <c r="AT21" s="4" t="inlineStr">
        <is>
          <t>1D 9H 17M 0S</t>
        </is>
      </c>
      <c r="AU21" s="4" t="inlineStr">
        <is>
          <t>9H 38M 0S</t>
        </is>
      </c>
      <c r="AV21" s="7" t="inlineStr">
        <is>
          <t>9H 35M 32S</t>
        </is>
      </c>
    </row>
    <row r="22" ht="15" customHeight="1" thickBot="1" thickTop="1">
      <c r="A22" s="10" t="inlineStr">
        <is>
          <t>EURJPY</t>
        </is>
      </c>
      <c r="B22" s="12" t="inlineStr">
        <is>
          <t>FX</t>
        </is>
      </c>
      <c r="C22" s="673" t="n">
        <v>15</v>
      </c>
      <c r="D22" s="674" t="n">
        <v>5</v>
      </c>
      <c r="E22" s="675" t="n">
        <v>10</v>
      </c>
      <c r="F22" s="676" t="n">
        <v>0</v>
      </c>
      <c r="G22" s="677" t="n">
        <v>7</v>
      </c>
      <c r="H22" s="678" t="n">
        <v>2</v>
      </c>
      <c r="I22" s="679" t="n">
        <v>5</v>
      </c>
      <c r="J22" s="680" t="n">
        <v>0</v>
      </c>
      <c r="K22" s="677" t="n">
        <v>8</v>
      </c>
      <c r="L22" s="678" t="n">
        <v>3</v>
      </c>
      <c r="M22" s="679" t="n">
        <v>5</v>
      </c>
      <c r="N22" s="680" t="n">
        <v>0</v>
      </c>
      <c r="O22" s="681" t="n">
        <v>2</v>
      </c>
      <c r="P22" s="681" t="n">
        <v>0</v>
      </c>
      <c r="Q22" s="12" t="n"/>
      <c r="R22" s="28" t="n"/>
      <c r="S22" s="673" t="n">
        <v>0</v>
      </c>
      <c r="T22" s="673" t="n">
        <v>0</v>
      </c>
      <c r="U22" s="677" t="n">
        <v>0</v>
      </c>
      <c r="V22" s="680" t="n">
        <v>13</v>
      </c>
      <c r="W22" s="673" t="n">
        <v>0</v>
      </c>
      <c r="X22" s="673" t="n">
        <v>0</v>
      </c>
      <c r="Y22" s="673" t="n">
        <v>0</v>
      </c>
      <c r="Z22" s="673" t="n">
        <v>0</v>
      </c>
      <c r="AA22" s="673" t="n">
        <v>0</v>
      </c>
      <c r="AB22" s="673" t="n">
        <v>0</v>
      </c>
      <c r="AC22" s="31" t="inlineStr">
        <is>
          <t>4H</t>
        </is>
      </c>
      <c r="AD22" s="5" t="inlineStr">
        <is>
          <t>1H</t>
        </is>
      </c>
      <c r="AE22" s="62" t="inlineStr">
        <is>
          <t>DAILY</t>
        </is>
      </c>
      <c r="AF22" s="690" t="n">
        <v>-1.686979341808432</v>
      </c>
      <c r="AG22" s="688" t="n">
        <v>-0.04161441703320995</v>
      </c>
      <c r="AH22" s="691" t="n">
        <v>-0.002774294468880664</v>
      </c>
      <c r="AI22" s="33" t="n">
        <v>0.3333333333333333</v>
      </c>
      <c r="AJ22" s="35" t="n">
        <v>0.002318679449426017</v>
      </c>
      <c r="AK22" s="3" t="n">
        <v>0.001784690281066039</v>
      </c>
      <c r="AL22" s="3" t="n">
        <v>0.002585674033606006</v>
      </c>
      <c r="AM22" s="687" t="inlineStr">
        <is>
          <t>Decrease stop — Recommended: 0.18% (0.084 pp below loss average)</t>
        </is>
      </c>
      <c r="AN22" s="35" t="n">
        <v>0.006546873786497951</v>
      </c>
      <c r="AO22" s="3" t="n">
        <v>0.005962755255909375</v>
      </c>
      <c r="AP22" s="3" t="n">
        <v>0.006838933051792239</v>
      </c>
      <c r="AQ22" s="687" t="inlineStr">
        <is>
          <t>Decrease target — Recommended: 2.00R (current median: 4.20R)</t>
        </is>
      </c>
      <c r="AR22" s="27" t="inlineStr">
        <is>
          <t>1M 0S</t>
        </is>
      </c>
      <c r="AS22" s="1" t="inlineStr">
        <is>
          <t>1D 3H 33M 24S</t>
        </is>
      </c>
      <c r="AT22" s="4" t="inlineStr">
        <is>
          <t>7D 5H 12M 4S</t>
        </is>
      </c>
      <c r="AU22" s="4" t="inlineStr">
        <is>
          <t>15H 18M 12S</t>
        </is>
      </c>
      <c r="AV22" s="7" t="inlineStr">
        <is>
          <t>1D 9H 41M 0S</t>
        </is>
      </c>
    </row>
    <row r="23" ht="15" customHeight="1" thickBot="1" thickTop="1">
      <c r="A23" s="10" t="inlineStr">
        <is>
          <t>CADJPY</t>
        </is>
      </c>
      <c r="B23" s="12" t="inlineStr">
        <is>
          <t>FX</t>
        </is>
      </c>
      <c r="C23" s="673" t="n">
        <v>14</v>
      </c>
      <c r="D23" s="674" t="n">
        <v>4</v>
      </c>
      <c r="E23" s="675" t="n">
        <v>10</v>
      </c>
      <c r="F23" s="676" t="n">
        <v>0</v>
      </c>
      <c r="G23" s="677" t="n">
        <v>10</v>
      </c>
      <c r="H23" s="678" t="n">
        <v>2</v>
      </c>
      <c r="I23" s="679" t="n">
        <v>8</v>
      </c>
      <c r="J23" s="680" t="n">
        <v>0</v>
      </c>
      <c r="K23" s="677" t="n">
        <v>4</v>
      </c>
      <c r="L23" s="678" t="n">
        <v>2</v>
      </c>
      <c r="M23" s="679" t="n">
        <v>2</v>
      </c>
      <c r="N23" s="680" t="n">
        <v>0</v>
      </c>
      <c r="O23" s="681" t="n">
        <v>1</v>
      </c>
      <c r="P23" s="681" t="n">
        <v>0</v>
      </c>
      <c r="Q23" s="12" t="n"/>
      <c r="R23" s="28" t="n"/>
      <c r="S23" s="673" t="n">
        <v>0</v>
      </c>
      <c r="T23" s="673" t="n">
        <v>0</v>
      </c>
      <c r="U23" s="677" t="n">
        <v>0</v>
      </c>
      <c r="V23" s="680" t="n">
        <v>6</v>
      </c>
      <c r="W23" s="673" t="n">
        <v>1</v>
      </c>
      <c r="X23" s="673" t="n">
        <v>0</v>
      </c>
      <c r="Y23" s="673" t="n">
        <v>0</v>
      </c>
      <c r="Z23" s="673" t="n">
        <v>0</v>
      </c>
      <c r="AA23" s="673" t="n">
        <v>0</v>
      </c>
      <c r="AB23" s="673" t="n">
        <v>1</v>
      </c>
      <c r="AC23" s="31" t="inlineStr">
        <is>
          <t>4H</t>
        </is>
      </c>
      <c r="AD23" s="5" t="inlineStr">
        <is>
          <t>1H</t>
        </is>
      </c>
      <c r="AE23" s="62" t="inlineStr">
        <is>
          <t>4H</t>
        </is>
      </c>
      <c r="AF23" s="690" t="n">
        <v>-4.092645204135965</v>
      </c>
      <c r="AG23" s="688" t="n">
        <v>-0.05326233757547608</v>
      </c>
      <c r="AH23" s="691" t="n">
        <v>-0.003804452683962577</v>
      </c>
      <c r="AI23" s="33" t="n">
        <v>0.2857142857142857</v>
      </c>
      <c r="AJ23" s="35" t="n">
        <v>0.002987231697692972</v>
      </c>
      <c r="AK23" s="3" t="n">
        <v>0.002821394088968784</v>
      </c>
      <c r="AL23" s="3" t="n">
        <v>0.003053566741182648</v>
      </c>
      <c r="AM23" s="687" t="inlineStr">
        <is>
          <t>Decrease stop — Recommended: 0.29% (0.0021 pp below loss average)</t>
        </is>
      </c>
      <c r="AN23" s="35" t="n">
        <v>0.007547171326360517</v>
      </c>
      <c r="AO23" s="3" t="n">
        <v>0.006055955402647111</v>
      </c>
      <c r="AP23" s="3" t="n">
        <v>0.00814365769584588</v>
      </c>
      <c r="AQ23" s="687" t="inlineStr">
        <is>
          <t>Decrease target — Recommended: 2.00R (current median: 2.54R)</t>
        </is>
      </c>
      <c r="AR23" s="27" t="inlineStr">
        <is>
          <t>1S</t>
        </is>
      </c>
      <c r="AS23" s="1" t="inlineStr">
        <is>
          <t>1D 12H 19M 52S</t>
        </is>
      </c>
      <c r="AT23" s="4" t="inlineStr">
        <is>
          <t>12D 0H 39M 0S</t>
        </is>
      </c>
      <c r="AU23" s="4" t="inlineStr">
        <is>
          <t>1D 9H 41M 3S</t>
        </is>
      </c>
      <c r="AV23" s="7" t="inlineStr">
        <is>
          <t>1D 13H 23M 24S</t>
        </is>
      </c>
    </row>
    <row r="24" ht="15" customHeight="1" thickBot="1" thickTop="1">
      <c r="A24" s="10" t="inlineStr">
        <is>
          <t>CHFJPY</t>
        </is>
      </c>
      <c r="B24" s="12" t="inlineStr">
        <is>
          <t>FX</t>
        </is>
      </c>
      <c r="C24" s="673" t="n">
        <v>14</v>
      </c>
      <c r="D24" s="674" t="n">
        <v>4</v>
      </c>
      <c r="E24" s="675" t="n">
        <v>9</v>
      </c>
      <c r="F24" s="676" t="n">
        <v>1</v>
      </c>
      <c r="G24" s="677" t="n">
        <v>13</v>
      </c>
      <c r="H24" s="678" t="n">
        <v>4</v>
      </c>
      <c r="I24" s="679" t="n">
        <v>8</v>
      </c>
      <c r="J24" s="680" t="n">
        <v>1</v>
      </c>
      <c r="K24" s="677" t="n">
        <v>1</v>
      </c>
      <c r="L24" s="678" t="n">
        <v>0</v>
      </c>
      <c r="M24" s="679" t="n">
        <v>1</v>
      </c>
      <c r="N24" s="680" t="n">
        <v>0</v>
      </c>
      <c r="O24" s="681" t="n">
        <v>2</v>
      </c>
      <c r="P24" s="681" t="n">
        <v>0</v>
      </c>
      <c r="Q24" s="12" t="n"/>
      <c r="R24" s="28" t="n"/>
      <c r="S24" s="673" t="n">
        <v>0</v>
      </c>
      <c r="T24" s="673" t="n">
        <v>0</v>
      </c>
      <c r="U24" s="677" t="n">
        <v>1</v>
      </c>
      <c r="V24" s="680" t="n">
        <v>9</v>
      </c>
      <c r="W24" s="673" t="n">
        <v>0</v>
      </c>
      <c r="X24" s="673" t="n">
        <v>1</v>
      </c>
      <c r="Y24" s="673" t="n">
        <v>0</v>
      </c>
      <c r="Z24" s="673" t="n">
        <v>2</v>
      </c>
      <c r="AA24" s="673" t="n">
        <v>1</v>
      </c>
      <c r="AB24" s="673" t="n">
        <v>0</v>
      </c>
      <c r="AC24" s="31" t="inlineStr">
        <is>
          <t>4H</t>
        </is>
      </c>
      <c r="AD24" s="5" t="inlineStr">
        <is>
          <t>1H</t>
        </is>
      </c>
      <c r="AE24" s="62" t="inlineStr">
        <is>
          <t>DAILY</t>
        </is>
      </c>
      <c r="AF24" s="682" t="n">
        <v>3.310563238612156</v>
      </c>
      <c r="AG24" s="683" t="n">
        <v>0.0216698034002833</v>
      </c>
      <c r="AH24" s="692" t="n">
        <v>0.001547843100020236</v>
      </c>
      <c r="AI24" s="33" t="n">
        <v>0.3076923076923077</v>
      </c>
      <c r="AJ24" s="35" t="n">
        <v>0.001930119694247119</v>
      </c>
      <c r="AK24" s="3" t="n">
        <v>0.002097727241690743</v>
      </c>
      <c r="AL24" s="3" t="n">
        <v>0.001732564246859672</v>
      </c>
      <c r="AM24" s="687" t="inlineStr">
        <is>
          <t>Increase stop — Recommended: 0.21% (0.037 pp above loss average)</t>
        </is>
      </c>
      <c r="AN24" s="35" t="n">
        <v>0.005253846374314894</v>
      </c>
      <c r="AO24" s="3" t="n">
        <v>0.006578557839720993</v>
      </c>
      <c r="AP24" s="3" t="n">
        <v>0.004595390177527548</v>
      </c>
      <c r="AQ24" s="687" t="inlineStr">
        <is>
          <t>Decrease target — Recommended: 2.05R (current median: 2.66R)</t>
        </is>
      </c>
      <c r="AR24" s="27" t="inlineStr">
        <is>
          <t>2M 0S</t>
        </is>
      </c>
      <c r="AS24" s="1" t="inlineStr">
        <is>
          <t>1D 13H 13M 18S</t>
        </is>
      </c>
      <c r="AT24" s="4" t="inlineStr">
        <is>
          <t>7D 18H 0M 0S</t>
        </is>
      </c>
      <c r="AU24" s="4" t="inlineStr">
        <is>
          <t>3D 21H 41M 10S</t>
        </is>
      </c>
      <c r="AV24" s="7" t="inlineStr">
        <is>
          <t>15H 55M 36S</t>
        </is>
      </c>
    </row>
    <row r="25" ht="15" customHeight="1" thickBot="1" thickTop="1">
      <c r="A25" s="10" t="inlineStr">
        <is>
          <t>GBPCAD</t>
        </is>
      </c>
      <c r="B25" s="12" t="inlineStr">
        <is>
          <t>FX</t>
        </is>
      </c>
      <c r="C25" s="673" t="n">
        <v>14</v>
      </c>
      <c r="D25" s="674" t="n">
        <v>4</v>
      </c>
      <c r="E25" s="675" t="n">
        <v>10</v>
      </c>
      <c r="F25" s="676" t="n">
        <v>0</v>
      </c>
      <c r="G25" s="677" t="n">
        <v>8</v>
      </c>
      <c r="H25" s="678" t="n">
        <v>4</v>
      </c>
      <c r="I25" s="679" t="n">
        <v>4</v>
      </c>
      <c r="J25" s="680" t="n">
        <v>0</v>
      </c>
      <c r="K25" s="677" t="n">
        <v>6</v>
      </c>
      <c r="L25" s="678" t="n">
        <v>0</v>
      </c>
      <c r="M25" s="679" t="n">
        <v>6</v>
      </c>
      <c r="N25" s="680" t="n">
        <v>0</v>
      </c>
      <c r="O25" s="681" t="n">
        <v>2</v>
      </c>
      <c r="P25" s="681" t="n">
        <v>0</v>
      </c>
      <c r="Q25" s="28" t="n"/>
      <c r="R25" s="28" t="n"/>
      <c r="S25" s="673" t="n">
        <v>0</v>
      </c>
      <c r="T25" s="673" t="n">
        <v>0</v>
      </c>
      <c r="U25" s="677" t="n">
        <v>0</v>
      </c>
      <c r="V25" s="680" t="n">
        <v>13</v>
      </c>
      <c r="W25" s="673" t="n">
        <v>0</v>
      </c>
      <c r="X25" s="673" t="n">
        <v>0</v>
      </c>
      <c r="Y25" s="673" t="n">
        <v>0</v>
      </c>
      <c r="Z25" s="673" t="n">
        <v>0</v>
      </c>
      <c r="AA25" s="673" t="n">
        <v>0</v>
      </c>
      <c r="AB25" s="673" t="n">
        <v>1</v>
      </c>
      <c r="AC25" s="31" t="inlineStr">
        <is>
          <t>4H</t>
        </is>
      </c>
      <c r="AD25" s="5" t="inlineStr">
        <is>
          <t>MONTHLY</t>
        </is>
      </c>
      <c r="AE25" s="62" t="inlineStr">
        <is>
          <t>15MIN</t>
        </is>
      </c>
      <c r="AF25" s="690" t="n">
        <v>-4.748767426615638</v>
      </c>
      <c r="AG25" s="688" t="n">
        <v>-0.05540650123058755</v>
      </c>
      <c r="AH25" s="691" t="n">
        <v>-0.003957607230756253</v>
      </c>
      <c r="AI25" s="33" t="n">
        <v>0.2857142857142857</v>
      </c>
      <c r="AJ25" s="35" t="n">
        <v>0.002811439283082876</v>
      </c>
      <c r="AK25" s="3" t="n">
        <v>0.004902204570160536</v>
      </c>
      <c r="AL25" s="3" t="n">
        <v>0.002184209696959578</v>
      </c>
      <c r="AM25" s="687" t="inlineStr">
        <is>
          <t>Increase stop — Recommended: 0.60% (0.47 pp above loss average)</t>
        </is>
      </c>
      <c r="AN25" s="35" t="n">
        <v>0.009685402391991643</v>
      </c>
      <c r="AO25" s="3" t="n">
        <v>0.01295242425923378</v>
      </c>
      <c r="AP25" s="3" t="n">
        <v>0.00837859364509479</v>
      </c>
      <c r="AQ25" s="687" t="inlineStr">
        <is>
          <t>Target unchanged — Recommended: 2.00R (current median: 2.00R)</t>
        </is>
      </c>
      <c r="AR25" s="27" t="inlineStr">
        <is>
          <t>1M 0S</t>
        </is>
      </c>
      <c r="AS25" s="1" t="inlineStr">
        <is>
          <t>1D 18H 37M 31S</t>
        </is>
      </c>
      <c r="AT25" s="4" t="inlineStr">
        <is>
          <t>6D 14H 10M 9S</t>
        </is>
      </c>
      <c r="AU25" s="4" t="inlineStr">
        <is>
          <t>3D 16H 22M 51S</t>
        </is>
      </c>
      <c r="AV25" s="7" t="inlineStr">
        <is>
          <t>1D 0H 19M 23S</t>
        </is>
      </c>
    </row>
    <row r="26" ht="15" customHeight="1" thickBot="1" thickTop="1">
      <c r="A26" s="10" t="inlineStr">
        <is>
          <t>GBPNZD</t>
        </is>
      </c>
      <c r="B26" s="12" t="inlineStr">
        <is>
          <t>FX</t>
        </is>
      </c>
      <c r="C26" s="673" t="n">
        <v>14</v>
      </c>
      <c r="D26" s="674" t="n">
        <v>1</v>
      </c>
      <c r="E26" s="675" t="n">
        <v>13</v>
      </c>
      <c r="F26" s="676" t="n">
        <v>0</v>
      </c>
      <c r="G26" s="677" t="n">
        <v>6</v>
      </c>
      <c r="H26" s="678" t="n">
        <v>1</v>
      </c>
      <c r="I26" s="679" t="n">
        <v>5</v>
      </c>
      <c r="J26" s="680" t="n">
        <v>0</v>
      </c>
      <c r="K26" s="677" t="n">
        <v>8</v>
      </c>
      <c r="L26" s="678" t="n">
        <v>0</v>
      </c>
      <c r="M26" s="679" t="n">
        <v>8</v>
      </c>
      <c r="N26" s="680" t="n">
        <v>0</v>
      </c>
      <c r="O26" s="681" t="n">
        <v>1</v>
      </c>
      <c r="P26" s="681" t="n">
        <v>0</v>
      </c>
      <c r="Q26" s="28" t="n"/>
      <c r="R26" s="12" t="inlineStr">
        <is>
          <t>9</t>
        </is>
      </c>
      <c r="S26" s="673" t="n">
        <v>0</v>
      </c>
      <c r="T26" s="673" t="n">
        <v>0</v>
      </c>
      <c r="U26" s="677" t="n">
        <v>0</v>
      </c>
      <c r="V26" s="680" t="n">
        <v>12</v>
      </c>
      <c r="W26" s="673" t="n">
        <v>0</v>
      </c>
      <c r="X26" s="673" t="n">
        <v>0</v>
      </c>
      <c r="Y26" s="673" t="n">
        <v>0</v>
      </c>
      <c r="Z26" s="673" t="n">
        <v>0</v>
      </c>
      <c r="AA26" s="673" t="n">
        <v>0</v>
      </c>
      <c r="AB26" s="673" t="n">
        <v>1</v>
      </c>
      <c r="AC26" s="31" t="inlineStr">
        <is>
          <t>15MIN</t>
        </is>
      </c>
      <c r="AD26" s="5" t="inlineStr">
        <is>
          <t>5MIN</t>
        </is>
      </c>
      <c r="AE26" s="62" t="inlineStr">
        <is>
          <t>15MIN</t>
        </is>
      </c>
      <c r="AF26" s="690" t="n">
        <v>-9.765955295272269</v>
      </c>
      <c r="AG26" s="688" t="n">
        <v>-0.1150093493664175</v>
      </c>
      <c r="AH26" s="691" t="n">
        <v>-0.008214953526172675</v>
      </c>
      <c r="AI26" s="33" t="n">
        <v>0.07142857142857142</v>
      </c>
      <c r="AJ26" s="35" t="n">
        <v>0.001867426314143226</v>
      </c>
      <c r="AK26" s="3" t="n">
        <v>0.001030927835051542</v>
      </c>
      <c r="AL26" s="3" t="n">
        <v>0.0019371345207342</v>
      </c>
      <c r="AM26" s="39" t="inlineStr"/>
      <c r="AN26" s="35" t="n">
        <v>0.006749129589256651</v>
      </c>
      <c r="AO26" s="3" t="n">
        <v>0.002061855670103084</v>
      </c>
      <c r="AP26" s="3" t="n">
        <v>0.007139735749186115</v>
      </c>
      <c r="AQ26" s="39" t="inlineStr"/>
      <c r="AR26" s="27" t="inlineStr">
        <is>
          <t>1M 0S</t>
        </is>
      </c>
      <c r="AS26" s="1" t="inlineStr">
        <is>
          <t>17H 26M 15S</t>
        </is>
      </c>
      <c r="AT26" s="4" t="inlineStr">
        <is>
          <t>7D 21H 36M 0S</t>
        </is>
      </c>
      <c r="AU26" s="4" t="inlineStr">
        <is>
          <t>1H 39M 0S</t>
        </is>
      </c>
      <c r="AV26" s="7" t="inlineStr">
        <is>
          <t>18H 39M 7S</t>
        </is>
      </c>
    </row>
    <row r="27" ht="15" customHeight="1" thickBot="1" thickTop="1">
      <c r="A27" s="10" t="inlineStr">
        <is>
          <t>XTZUSDT</t>
        </is>
      </c>
      <c r="B27" s="12" t="inlineStr">
        <is>
          <t>CRYPTO</t>
        </is>
      </c>
      <c r="C27" s="673" t="n">
        <v>14</v>
      </c>
      <c r="D27" s="674" t="n">
        <v>3</v>
      </c>
      <c r="E27" s="675" t="n">
        <v>11</v>
      </c>
      <c r="F27" s="676" t="n">
        <v>0</v>
      </c>
      <c r="G27" s="677" t="n">
        <v>10</v>
      </c>
      <c r="H27" s="678" t="n">
        <v>3</v>
      </c>
      <c r="I27" s="679" t="n">
        <v>7</v>
      </c>
      <c r="J27" s="680" t="n">
        <v>0</v>
      </c>
      <c r="K27" s="677" t="n">
        <v>4</v>
      </c>
      <c r="L27" s="678" t="n">
        <v>0</v>
      </c>
      <c r="M27" s="679" t="n">
        <v>4</v>
      </c>
      <c r="N27" s="680" t="n">
        <v>0</v>
      </c>
      <c r="O27" s="681" t="n">
        <v>0</v>
      </c>
      <c r="P27" s="681" t="n">
        <v>0</v>
      </c>
      <c r="Q27" s="28" t="n"/>
      <c r="R27" s="28" t="n"/>
      <c r="S27" s="673" t="n">
        <v>2</v>
      </c>
      <c r="T27" s="673" t="n">
        <v>0</v>
      </c>
      <c r="U27" s="677" t="n">
        <v>0</v>
      </c>
      <c r="V27" s="680" t="n">
        <v>14</v>
      </c>
      <c r="W27" s="673" t="n">
        <v>0</v>
      </c>
      <c r="X27" s="673" t="n">
        <v>0</v>
      </c>
      <c r="Y27" s="673" t="n">
        <v>0</v>
      </c>
      <c r="Z27" s="673" t="n">
        <v>0</v>
      </c>
      <c r="AA27" s="673" t="n">
        <v>0</v>
      </c>
      <c r="AB27" s="673" t="n">
        <v>0</v>
      </c>
      <c r="AC27" s="31" t="inlineStr">
        <is>
          <t>1H</t>
        </is>
      </c>
      <c r="AD27" s="5" t="inlineStr">
        <is>
          <t>15MIN</t>
        </is>
      </c>
      <c r="AE27" s="62" t="inlineStr">
        <is>
          <t>5MIN</t>
        </is>
      </c>
      <c r="AF27" s="690" t="n">
        <v>-4.604549871592727</v>
      </c>
      <c r="AG27" s="688" t="n">
        <v>-0.04017767107015842</v>
      </c>
      <c r="AH27" s="691" t="n">
        <v>-0.002869833647868458</v>
      </c>
      <c r="AI27" s="33" t="n">
        <v>0.2142857142857143</v>
      </c>
      <c r="AJ27" s="35" t="n">
        <v>0.04525330642634438</v>
      </c>
      <c r="AK27" s="3" t="n">
        <v>0.09075589121040979</v>
      </c>
      <c r="AL27" s="3" t="n">
        <v>0.03284351057614473</v>
      </c>
      <c r="AM27" s="687" t="inlineStr">
        <is>
          <t>Increase stop — Recommended: 12.58% (8.97 pp above loss average)</t>
        </is>
      </c>
      <c r="AN27" s="35" t="n">
        <v>0.1330586740632607</v>
      </c>
      <c r="AO27" s="3" t="n">
        <v>0.2292112346961627</v>
      </c>
      <c r="AP27" s="3" t="n">
        <v>0.1068352484361055</v>
      </c>
      <c r="AQ27" s="687" t="inlineStr">
        <is>
          <t>Decrease target — Recommended: 2.01R (current median: 2.34R)</t>
        </is>
      </c>
      <c r="AR27" s="27" t="inlineStr">
        <is>
          <t>1M 0S</t>
        </is>
      </c>
      <c r="AS27" s="1" t="inlineStr">
        <is>
          <t>1D 2H 6M 21S</t>
        </is>
      </c>
      <c r="AT27" s="4" t="inlineStr">
        <is>
          <t>13D 10H 58M 0S</t>
        </is>
      </c>
      <c r="AU27" s="4" t="inlineStr">
        <is>
          <t>4D 19H 21M 0S</t>
        </is>
      </c>
      <c r="AV27" s="7" t="inlineStr">
        <is>
          <t>1H 46M 0S</t>
        </is>
      </c>
    </row>
    <row r="28" ht="15" customHeight="1" thickBot="1" thickTop="1">
      <c r="A28" s="10" t="inlineStr">
        <is>
          <t>BCHUSDT</t>
        </is>
      </c>
      <c r="B28" s="12" t="inlineStr">
        <is>
          <t>CRYPTO</t>
        </is>
      </c>
      <c r="C28" s="673" t="n">
        <v>13</v>
      </c>
      <c r="D28" s="674" t="n">
        <v>4</v>
      </c>
      <c r="E28" s="675" t="n">
        <v>9</v>
      </c>
      <c r="F28" s="676" t="n">
        <v>0</v>
      </c>
      <c r="G28" s="677" t="n">
        <v>13</v>
      </c>
      <c r="H28" s="678" t="n">
        <v>4</v>
      </c>
      <c r="I28" s="679" t="n">
        <v>9</v>
      </c>
      <c r="J28" s="680" t="n">
        <v>0</v>
      </c>
      <c r="K28" s="677" t="n">
        <v>0</v>
      </c>
      <c r="L28" s="678" t="n">
        <v>0</v>
      </c>
      <c r="M28" s="679" t="n">
        <v>0</v>
      </c>
      <c r="N28" s="680" t="n">
        <v>0</v>
      </c>
      <c r="O28" s="681" t="n">
        <v>2</v>
      </c>
      <c r="P28" s="681" t="n">
        <v>0</v>
      </c>
      <c r="Q28" s="28" t="n"/>
      <c r="R28" s="28" t="n"/>
      <c r="S28" s="673" t="n">
        <v>0</v>
      </c>
      <c r="T28" s="673" t="n">
        <v>0</v>
      </c>
      <c r="U28" s="677" t="n">
        <v>0</v>
      </c>
      <c r="V28" s="680" t="n">
        <v>13</v>
      </c>
      <c r="W28" s="673" t="n">
        <v>0</v>
      </c>
      <c r="X28" s="673" t="n">
        <v>0</v>
      </c>
      <c r="Y28" s="673" t="n">
        <v>0</v>
      </c>
      <c r="Z28" s="673" t="n">
        <v>0</v>
      </c>
      <c r="AA28" s="673" t="n">
        <v>0</v>
      </c>
      <c r="AB28" s="673" t="n">
        <v>0</v>
      </c>
      <c r="AC28" s="31" t="inlineStr">
        <is>
          <t>1H</t>
        </is>
      </c>
      <c r="AD28" s="5" t="inlineStr">
        <is>
          <t>5MIN</t>
        </is>
      </c>
      <c r="AE28" s="62" t="inlineStr">
        <is>
          <t>1H</t>
        </is>
      </c>
      <c r="AF28" s="690" t="n">
        <v>-1.301992503172818</v>
      </c>
      <c r="AG28" s="688" t="n">
        <v>-0.02716389221006611</v>
      </c>
      <c r="AH28" s="691" t="n">
        <v>-0.002089530170005085</v>
      </c>
      <c r="AI28" s="33" t="n">
        <v>0.3076923076923077</v>
      </c>
      <c r="AJ28" s="35" t="n">
        <v>0.04997478565245962</v>
      </c>
      <c r="AK28" s="3" t="n">
        <v>0.04700587449876185</v>
      </c>
      <c r="AL28" s="3" t="n">
        <v>0.05129430172076975</v>
      </c>
      <c r="AM28" s="687" t="inlineStr">
        <is>
          <t>Increase stop — Recommended: 7.91% (0.70 pp above loss average)</t>
        </is>
      </c>
      <c r="AN28" s="35" t="n">
        <v>0.1188746406665752</v>
      </c>
      <c r="AO28" s="3" t="n">
        <v>0.0974320934077373</v>
      </c>
      <c r="AP28" s="3" t="n">
        <v>0.1284046616705031</v>
      </c>
      <c r="AQ28" s="687" t="inlineStr">
        <is>
          <t>Decrease target — Recommended: 2.00R (current median: 2.03R)</t>
        </is>
      </c>
      <c r="AR28" s="27" t="inlineStr">
        <is>
          <t>12M 0S</t>
        </is>
      </c>
      <c r="AS28" s="1" t="inlineStr">
        <is>
          <t>9H 48M 0S</t>
        </is>
      </c>
      <c r="AT28" s="4" t="inlineStr">
        <is>
          <t>2D 7H 51M 0S</t>
        </is>
      </c>
      <c r="AU28" s="4" t="inlineStr">
        <is>
          <t>12H 38M 30S</t>
        </is>
      </c>
      <c r="AV28" s="7" t="inlineStr">
        <is>
          <t>8H 32M 13S</t>
        </is>
      </c>
    </row>
    <row r="29" ht="15" customHeight="1" thickBot="1" thickTop="1">
      <c r="A29" s="10" t="inlineStr">
        <is>
          <t>SOLUSDT</t>
        </is>
      </c>
      <c r="B29" s="12" t="inlineStr">
        <is>
          <t>CRYPTO</t>
        </is>
      </c>
      <c r="C29" s="673" t="n">
        <v>13</v>
      </c>
      <c r="D29" s="674" t="n">
        <v>3</v>
      </c>
      <c r="E29" s="675" t="n">
        <v>10</v>
      </c>
      <c r="F29" s="676" t="n">
        <v>0</v>
      </c>
      <c r="G29" s="677" t="n">
        <v>9</v>
      </c>
      <c r="H29" s="678" t="n">
        <v>2</v>
      </c>
      <c r="I29" s="679" t="n">
        <v>7</v>
      </c>
      <c r="J29" s="680" t="n">
        <v>0</v>
      </c>
      <c r="K29" s="677" t="n">
        <v>4</v>
      </c>
      <c r="L29" s="678" t="n">
        <v>1</v>
      </c>
      <c r="M29" s="679" t="n">
        <v>3</v>
      </c>
      <c r="N29" s="680" t="n">
        <v>0</v>
      </c>
      <c r="O29" s="681" t="n">
        <v>2</v>
      </c>
      <c r="P29" s="681" t="n">
        <v>0</v>
      </c>
      <c r="Q29" s="12" t="inlineStr">
        <is>
          <t>channel</t>
        </is>
      </c>
      <c r="R29" s="28" t="n"/>
      <c r="S29" s="673" t="n">
        <v>6</v>
      </c>
      <c r="T29" s="673" t="n">
        <v>0</v>
      </c>
      <c r="U29" s="677" t="n">
        <v>2</v>
      </c>
      <c r="V29" s="680" t="n">
        <v>9</v>
      </c>
      <c r="W29" s="673" t="n">
        <v>0</v>
      </c>
      <c r="X29" s="673" t="n">
        <v>0</v>
      </c>
      <c r="Y29" s="673" t="n">
        <v>0</v>
      </c>
      <c r="Z29" s="673" t="n">
        <v>1</v>
      </c>
      <c r="AA29" s="673" t="n">
        <v>0</v>
      </c>
      <c r="AB29" s="673" t="n">
        <v>0</v>
      </c>
      <c r="AC29" s="31" t="inlineStr">
        <is>
          <t>DAILY</t>
        </is>
      </c>
      <c r="AD29" s="5" t="inlineStr">
        <is>
          <t>5MIN</t>
        </is>
      </c>
      <c r="AE29" s="62" t="inlineStr">
        <is>
          <t>DAILY</t>
        </is>
      </c>
      <c r="AF29" s="690" t="n">
        <v>-1.300914100860454</v>
      </c>
      <c r="AG29" s="688" t="n">
        <v>-0.02276863179745865</v>
      </c>
      <c r="AH29" s="691" t="n">
        <v>-0.001751433215189126</v>
      </c>
      <c r="AI29" s="33" t="n">
        <v>0.2307692307692308</v>
      </c>
      <c r="AJ29" s="35" t="n">
        <v>0.0279293093796466</v>
      </c>
      <c r="AK29" s="3" t="n">
        <v>0.01452330540159787</v>
      </c>
      <c r="AL29" s="3" t="n">
        <v>0.03195111057306122</v>
      </c>
      <c r="AM29" s="687" t="inlineStr">
        <is>
          <t>Decrease stop — Recommended: 0.95% (2.19 pp below loss average)</t>
        </is>
      </c>
      <c r="AN29" s="35" t="n">
        <v>0.09463277269004416</v>
      </c>
      <c r="AO29" s="3" t="n">
        <v>0.03860450491593677</v>
      </c>
      <c r="AP29" s="3" t="n">
        <v>0.1114412530222764</v>
      </c>
      <c r="AQ29" s="687" t="inlineStr">
        <is>
          <t>Decrease target — Recommended: 2.00R (current median: 2.56R)</t>
        </is>
      </c>
      <c r="AR29" s="27" t="inlineStr">
        <is>
          <t>1M 0S</t>
        </is>
      </c>
      <c r="AS29" s="1" t="inlineStr">
        <is>
          <t>15H 1M 23S</t>
        </is>
      </c>
      <c r="AT29" s="4" t="inlineStr">
        <is>
          <t>5D 12H 46M 0S</t>
        </is>
      </c>
      <c r="AU29" s="4" t="inlineStr">
        <is>
          <t>5H 47M 40S</t>
        </is>
      </c>
      <c r="AV29" s="7" t="inlineStr">
        <is>
          <t>17H 47M 30S</t>
        </is>
      </c>
    </row>
    <row r="30" ht="15" customHeight="1" thickBot="1" thickTop="1">
      <c r="A30" s="10" t="inlineStr">
        <is>
          <t>AUDNZD</t>
        </is>
      </c>
      <c r="B30" s="12" t="inlineStr">
        <is>
          <t>FX</t>
        </is>
      </c>
      <c r="C30" s="673" t="n">
        <v>12</v>
      </c>
      <c r="D30" s="674" t="n">
        <v>3</v>
      </c>
      <c r="E30" s="675" t="n">
        <v>9</v>
      </c>
      <c r="F30" s="676" t="n">
        <v>0</v>
      </c>
      <c r="G30" s="677" t="n">
        <v>9</v>
      </c>
      <c r="H30" s="678" t="n">
        <v>3</v>
      </c>
      <c r="I30" s="679" t="n">
        <v>6</v>
      </c>
      <c r="J30" s="680" t="n">
        <v>0</v>
      </c>
      <c r="K30" s="677" t="n">
        <v>3</v>
      </c>
      <c r="L30" s="678" t="n">
        <v>0</v>
      </c>
      <c r="M30" s="679" t="n">
        <v>3</v>
      </c>
      <c r="N30" s="680" t="n">
        <v>0</v>
      </c>
      <c r="O30" s="681" t="n">
        <v>1</v>
      </c>
      <c r="P30" s="681" t="n">
        <v>0</v>
      </c>
      <c r="Q30" s="28" t="n"/>
      <c r="R30" s="28" t="n"/>
      <c r="S30" s="673" t="n">
        <v>0</v>
      </c>
      <c r="T30" s="673" t="n">
        <v>0</v>
      </c>
      <c r="U30" s="677" t="n">
        <v>1</v>
      </c>
      <c r="V30" s="680" t="n">
        <v>5</v>
      </c>
      <c r="W30" s="673" t="n">
        <v>0</v>
      </c>
      <c r="X30" s="673" t="n">
        <v>0</v>
      </c>
      <c r="Y30" s="673" t="n">
        <v>0</v>
      </c>
      <c r="Z30" s="673" t="n">
        <v>0</v>
      </c>
      <c r="AA30" s="673" t="n">
        <v>0</v>
      </c>
      <c r="AB30" s="673" t="n">
        <v>0</v>
      </c>
      <c r="AC30" s="31" t="inlineStr">
        <is>
          <t>1H</t>
        </is>
      </c>
      <c r="AD30" s="5" t="inlineStr">
        <is>
          <t>1H</t>
        </is>
      </c>
      <c r="AE30" s="62" t="inlineStr">
        <is>
          <t>4H</t>
        </is>
      </c>
      <c r="AF30" s="690" t="n">
        <v>-5.081498015872893</v>
      </c>
      <c r="AG30" s="688" t="n">
        <v>-0.02379451400145766</v>
      </c>
      <c r="AH30" s="691" t="n">
        <v>-0.001982876166788138</v>
      </c>
      <c r="AI30" s="33" t="n">
        <v>0.25</v>
      </c>
      <c r="AJ30" s="35" t="n">
        <v>0.001045926634385677</v>
      </c>
      <c r="AK30" s="3" t="n">
        <v>0.00171720957078222</v>
      </c>
      <c r="AL30" s="261" t="n">
        <v>0.0008967526485197786</v>
      </c>
      <c r="AM30" s="39" t="inlineStr"/>
      <c r="AN30" s="35" t="n">
        <v>0.002402922036676638</v>
      </c>
      <c r="AO30" s="3" t="n">
        <v>0.003429545942211569</v>
      </c>
      <c r="AP30" s="3" t="n">
        <v>0.002109600920809514</v>
      </c>
      <c r="AQ30" s="39" t="inlineStr"/>
      <c r="AR30" s="27" t="inlineStr">
        <is>
          <t>11S</t>
        </is>
      </c>
      <c r="AS30" s="1" t="inlineStr">
        <is>
          <t>2H 5M 10S</t>
        </is>
      </c>
      <c r="AT30" s="4" t="inlineStr">
        <is>
          <t>12H 3M 0S</t>
        </is>
      </c>
      <c r="AU30" s="4" t="inlineStr">
        <is>
          <t>4H 15M 20S</t>
        </is>
      </c>
      <c r="AV30" s="7" t="inlineStr">
        <is>
          <t>1H 21M 47S</t>
        </is>
      </c>
    </row>
    <row r="31" ht="15" customHeight="1" thickBot="1" thickTop="1">
      <c r="A31" s="10" t="inlineStr">
        <is>
          <t>EURCHF</t>
        </is>
      </c>
      <c r="B31" s="12" t="inlineStr">
        <is>
          <t>FX</t>
        </is>
      </c>
      <c r="C31" s="673" t="n">
        <v>12</v>
      </c>
      <c r="D31" s="674" t="n">
        <v>3</v>
      </c>
      <c r="E31" s="675" t="n">
        <v>9</v>
      </c>
      <c r="F31" s="676" t="n">
        <v>0</v>
      </c>
      <c r="G31" s="677" t="n">
        <v>5</v>
      </c>
      <c r="H31" s="678" t="n">
        <v>1</v>
      </c>
      <c r="I31" s="679" t="n">
        <v>4</v>
      </c>
      <c r="J31" s="680" t="n">
        <v>0</v>
      </c>
      <c r="K31" s="677" t="n">
        <v>7</v>
      </c>
      <c r="L31" s="678" t="n">
        <v>2</v>
      </c>
      <c r="M31" s="679" t="n">
        <v>5</v>
      </c>
      <c r="N31" s="680" t="n">
        <v>0</v>
      </c>
      <c r="O31" s="681" t="n">
        <v>2</v>
      </c>
      <c r="P31" s="681" t="n">
        <v>0</v>
      </c>
      <c r="Q31" s="28" t="n"/>
      <c r="R31" s="28" t="n"/>
      <c r="S31" s="673" t="n">
        <v>0</v>
      </c>
      <c r="T31" s="673" t="n">
        <v>0</v>
      </c>
      <c r="U31" s="677" t="n">
        <v>1</v>
      </c>
      <c r="V31" s="680" t="n">
        <v>10</v>
      </c>
      <c r="W31" s="673" t="n">
        <v>0</v>
      </c>
      <c r="X31" s="673" t="n">
        <v>1</v>
      </c>
      <c r="Y31" s="673" t="n">
        <v>0</v>
      </c>
      <c r="Z31" s="673" t="n">
        <v>0</v>
      </c>
      <c r="AA31" s="673" t="n">
        <v>0</v>
      </c>
      <c r="AB31" s="673" t="n">
        <v>0</v>
      </c>
      <c r="AC31" s="31" t="inlineStr">
        <is>
          <t>4H</t>
        </is>
      </c>
      <c r="AD31" s="5" t="inlineStr">
        <is>
          <t>1MIN</t>
        </is>
      </c>
      <c r="AE31" s="62" t="inlineStr">
        <is>
          <t>5MIN</t>
        </is>
      </c>
      <c r="AF31" s="690" t="n">
        <v>-0.387963712363637</v>
      </c>
      <c r="AG31" s="688" t="n">
        <v>-0.02264008191846297</v>
      </c>
      <c r="AH31" s="691" t="n">
        <v>-0.001886673493205248</v>
      </c>
      <c r="AI31" s="33" t="n">
        <v>0.25</v>
      </c>
      <c r="AJ31" s="35" t="n">
        <v>0.001360590829073169</v>
      </c>
      <c r="AK31" s="261" t="n">
        <v>0.0009546686822991446</v>
      </c>
      <c r="AL31" s="3" t="n">
        <v>0.001495898211331177</v>
      </c>
      <c r="AM31" s="687" t="inlineStr">
        <is>
          <t>Decrease stop — Recommended: 0.095% (0.041 pp below loss average)</t>
        </is>
      </c>
      <c r="AN31" s="35" t="n">
        <v>0.003422327692848858</v>
      </c>
      <c r="AO31" s="3" t="n">
        <v>0.002000878924466452</v>
      </c>
      <c r="AP31" s="3" t="n">
        <v>0.003896143948976327</v>
      </c>
      <c r="AQ31" s="687" t="inlineStr">
        <is>
          <t>Increase target — Recommended: 2.22R (current median: 2.00R)</t>
        </is>
      </c>
      <c r="AR31" s="27" t="inlineStr">
        <is>
          <t>1M 0S</t>
        </is>
      </c>
      <c r="AS31" s="1" t="inlineStr">
        <is>
          <t>11H 17M 59S</t>
        </is>
      </c>
      <c r="AT31" s="4" t="inlineStr">
        <is>
          <t>2D 6H 6M 0S</t>
        </is>
      </c>
      <c r="AU31" s="4" t="inlineStr">
        <is>
          <t>3H 12M 37S</t>
        </is>
      </c>
      <c r="AV31" s="7" t="inlineStr">
        <is>
          <t>13H 59M 46S</t>
        </is>
      </c>
    </row>
    <row r="32" ht="15" customHeight="1" thickBot="1" thickTop="1">
      <c r="A32" s="10" t="inlineStr">
        <is>
          <t>GBPJPY</t>
        </is>
      </c>
      <c r="B32" s="12" t="inlineStr">
        <is>
          <t>FX</t>
        </is>
      </c>
      <c r="C32" s="673" t="n">
        <v>12</v>
      </c>
      <c r="D32" s="674" t="n">
        <v>4</v>
      </c>
      <c r="E32" s="675" t="n">
        <v>8</v>
      </c>
      <c r="F32" s="676" t="n">
        <v>0</v>
      </c>
      <c r="G32" s="677" t="n">
        <v>7</v>
      </c>
      <c r="H32" s="678" t="n">
        <v>3</v>
      </c>
      <c r="I32" s="679" t="n">
        <v>4</v>
      </c>
      <c r="J32" s="680" t="n">
        <v>0</v>
      </c>
      <c r="K32" s="677" t="n">
        <v>5</v>
      </c>
      <c r="L32" s="678" t="n">
        <v>1</v>
      </c>
      <c r="M32" s="679" t="n">
        <v>4</v>
      </c>
      <c r="N32" s="680" t="n">
        <v>0</v>
      </c>
      <c r="O32" s="681" t="n">
        <v>2</v>
      </c>
      <c r="P32" s="681" t="n">
        <v>1</v>
      </c>
      <c r="Q32" s="12" t="inlineStr">
        <is>
          <t>range</t>
        </is>
      </c>
      <c r="R32" s="28" t="n"/>
      <c r="S32" s="673" t="n">
        <v>0</v>
      </c>
      <c r="T32" s="673" t="n">
        <v>0</v>
      </c>
      <c r="U32" s="677" t="n">
        <v>0</v>
      </c>
      <c r="V32" s="680" t="n">
        <v>11</v>
      </c>
      <c r="W32" s="673" t="n">
        <v>0</v>
      </c>
      <c r="X32" s="673" t="n">
        <v>0</v>
      </c>
      <c r="Y32" s="673" t="n">
        <v>0</v>
      </c>
      <c r="Z32" s="673" t="n">
        <v>0</v>
      </c>
      <c r="AA32" s="673" t="n">
        <v>0</v>
      </c>
      <c r="AB32" s="673" t="n">
        <v>0</v>
      </c>
      <c r="AC32" s="31" t="inlineStr">
        <is>
          <t>4H</t>
        </is>
      </c>
      <c r="AD32" s="5" t="inlineStr">
        <is>
          <t>1H</t>
        </is>
      </c>
      <c r="AE32" s="62" t="inlineStr">
        <is>
          <t>4H</t>
        </is>
      </c>
      <c r="AF32" s="682" t="n">
        <v>0.7075803969064574</v>
      </c>
      <c r="AG32" s="683" t="n">
        <v>0.008934476490736408</v>
      </c>
      <c r="AH32" s="684" t="n">
        <v>0.0007445397075613674</v>
      </c>
      <c r="AI32" s="33" t="n">
        <v>0.3333333333333333</v>
      </c>
      <c r="AJ32" s="35" t="n">
        <v>0.002750605087621248</v>
      </c>
      <c r="AK32" s="3" t="n">
        <v>0.004282981980101461</v>
      </c>
      <c r="AL32" s="3" t="n">
        <v>0.001984416641381141</v>
      </c>
      <c r="AM32" s="687" t="inlineStr">
        <is>
          <t>Increase stop — Recommended: 0.72% (0.51 pp above loss average)</t>
        </is>
      </c>
      <c r="AN32" s="35" t="n">
        <v>0.007467006118927748</v>
      </c>
      <c r="AO32" s="3" t="n">
        <v>0.01089874840306387</v>
      </c>
      <c r="AP32" s="3" t="n">
        <v>0.005751134976859688</v>
      </c>
      <c r="AQ32" s="687" t="inlineStr">
        <is>
          <t>Decrease target — Recommended: 2.00R (current median: 2.60R)</t>
        </is>
      </c>
      <c r="AR32" s="27" t="inlineStr">
        <is>
          <t>12M 0S</t>
        </is>
      </c>
      <c r="AS32" s="1" t="inlineStr">
        <is>
          <t>17H 26M 56S</t>
        </is>
      </c>
      <c r="AT32" s="4" t="inlineStr">
        <is>
          <t>4D 17H 20M 0S</t>
        </is>
      </c>
      <c r="AU32" s="4" t="inlineStr">
        <is>
          <t>2D 1H 24M 30S</t>
        </is>
      </c>
      <c r="AV32" s="7" t="inlineStr">
        <is>
          <t>1H 28M 9S</t>
        </is>
      </c>
    </row>
    <row r="33" ht="15" customHeight="1" thickBot="1" thickTop="1">
      <c r="A33" s="10" t="inlineStr">
        <is>
          <t>EURCAD</t>
        </is>
      </c>
      <c r="B33" s="12" t="inlineStr">
        <is>
          <t>FX</t>
        </is>
      </c>
      <c r="C33" s="673" t="n">
        <v>11</v>
      </c>
      <c r="D33" s="674" t="n">
        <v>4</v>
      </c>
      <c r="E33" s="675" t="n">
        <v>7</v>
      </c>
      <c r="F33" s="676" t="n">
        <v>0</v>
      </c>
      <c r="G33" s="677" t="n">
        <v>4</v>
      </c>
      <c r="H33" s="678" t="n">
        <v>1</v>
      </c>
      <c r="I33" s="679" t="n">
        <v>3</v>
      </c>
      <c r="J33" s="680" t="n">
        <v>0</v>
      </c>
      <c r="K33" s="677" t="n">
        <v>7</v>
      </c>
      <c r="L33" s="678" t="n">
        <v>3</v>
      </c>
      <c r="M33" s="679" t="n">
        <v>4</v>
      </c>
      <c r="N33" s="680" t="n">
        <v>0</v>
      </c>
      <c r="O33" s="681" t="n">
        <v>3</v>
      </c>
      <c r="P33" s="681" t="n">
        <v>0</v>
      </c>
      <c r="Q33" s="28" t="n"/>
      <c r="R33" s="28" t="n"/>
      <c r="S33" s="673" t="n">
        <v>0</v>
      </c>
      <c r="T33" s="673" t="n">
        <v>0</v>
      </c>
      <c r="U33" s="677" t="n">
        <v>1</v>
      </c>
      <c r="V33" s="680" t="n">
        <v>8</v>
      </c>
      <c r="W33" s="673" t="n">
        <v>0</v>
      </c>
      <c r="X33" s="673" t="n">
        <v>0</v>
      </c>
      <c r="Y33" s="673" t="n">
        <v>0</v>
      </c>
      <c r="Z33" s="673" t="n">
        <v>1</v>
      </c>
      <c r="AA33" s="673" t="n">
        <v>0</v>
      </c>
      <c r="AB33" s="673" t="n">
        <v>0</v>
      </c>
      <c r="AC33" s="31" t="inlineStr">
        <is>
          <t>4H</t>
        </is>
      </c>
      <c r="AD33" s="5" t="inlineStr">
        <is>
          <t>4H</t>
        </is>
      </c>
      <c r="AE33" s="62" t="inlineStr">
        <is>
          <t>1H</t>
        </is>
      </c>
      <c r="AF33" s="682" t="n">
        <v>3.708507745133788</v>
      </c>
      <c r="AG33" s="683" t="n">
        <v>0.05193787325390258</v>
      </c>
      <c r="AH33" s="692" t="n">
        <v>0.004721624841263871</v>
      </c>
      <c r="AI33" s="33" t="n">
        <v>0.3636363636363636</v>
      </c>
      <c r="AJ33" s="35" t="n">
        <v>0.001997580943727031</v>
      </c>
      <c r="AK33" s="3" t="n">
        <v>0.002036871976019989</v>
      </c>
      <c r="AL33" s="3" t="n">
        <v>0.001975128925273911</v>
      </c>
      <c r="AM33" s="687" t="inlineStr">
        <is>
          <t>Increase stop — Recommended: 0.28% (0.11 pp above loss average)</t>
        </is>
      </c>
      <c r="AN33" s="35" t="n">
        <v>0.005882498869299937</v>
      </c>
      <c r="AO33" s="3" t="n">
        <v>0.005029916379991851</v>
      </c>
      <c r="AP33" s="3" t="n">
        <v>0.006369688863190271</v>
      </c>
      <c r="AQ33" s="687" t="inlineStr">
        <is>
          <t>Decrease target — Recommended: 2.01R (current median: 2.37R)</t>
        </is>
      </c>
      <c r="AR33" s="27" t="inlineStr">
        <is>
          <t>3M 17S</t>
        </is>
      </c>
      <c r="AS33" s="1" t="inlineStr">
        <is>
          <t>12H 23M 30S</t>
        </is>
      </c>
      <c r="AT33" s="4" t="inlineStr">
        <is>
          <t>1D 11H 35M 0S</t>
        </is>
      </c>
      <c r="AU33" s="4" t="inlineStr">
        <is>
          <t>22H 44M 42S</t>
        </is>
      </c>
      <c r="AV33" s="7" t="inlineStr">
        <is>
          <t>6H 28M 32S</t>
        </is>
      </c>
    </row>
    <row r="34" ht="15" customHeight="1" thickBot="1" thickTop="1">
      <c r="A34" s="10" t="inlineStr">
        <is>
          <t>ADAUSDT</t>
        </is>
      </c>
      <c r="B34" s="12" t="inlineStr">
        <is>
          <t>CRYPTO</t>
        </is>
      </c>
      <c r="C34" s="673" t="n">
        <v>10</v>
      </c>
      <c r="D34" s="674" t="n">
        <v>2</v>
      </c>
      <c r="E34" s="675" t="n">
        <v>8</v>
      </c>
      <c r="F34" s="676" t="n">
        <v>0</v>
      </c>
      <c r="G34" s="677" t="n">
        <v>10</v>
      </c>
      <c r="H34" s="678" t="n">
        <v>2</v>
      </c>
      <c r="I34" s="679" t="n">
        <v>8</v>
      </c>
      <c r="J34" s="680" t="n">
        <v>0</v>
      </c>
      <c r="K34" s="677" t="n">
        <v>0</v>
      </c>
      <c r="L34" s="678" t="n">
        <v>0</v>
      </c>
      <c r="M34" s="679" t="n">
        <v>0</v>
      </c>
      <c r="N34" s="680" t="n">
        <v>0</v>
      </c>
      <c r="O34" s="681" t="n">
        <v>1</v>
      </c>
      <c r="P34" s="681" t="n">
        <v>0</v>
      </c>
      <c r="Q34" s="28" t="n"/>
      <c r="R34" s="28" t="n"/>
      <c r="S34" s="673" t="n">
        <v>0</v>
      </c>
      <c r="T34" s="673" t="n">
        <v>0</v>
      </c>
      <c r="U34" s="677" t="n">
        <v>0</v>
      </c>
      <c r="V34" s="680" t="n">
        <v>10</v>
      </c>
      <c r="W34" s="673" t="n">
        <v>0</v>
      </c>
      <c r="X34" s="673" t="n">
        <v>0</v>
      </c>
      <c r="Y34" s="673" t="n">
        <v>0</v>
      </c>
      <c r="Z34" s="673" t="n">
        <v>0</v>
      </c>
      <c r="AA34" s="673" t="n">
        <v>0</v>
      </c>
      <c r="AB34" s="673" t="n">
        <v>0</v>
      </c>
      <c r="AC34" s="31" t="inlineStr">
        <is>
          <t>4H</t>
        </is>
      </c>
      <c r="AD34" s="5" t="inlineStr">
        <is>
          <t>1H</t>
        </is>
      </c>
      <c r="AE34" s="62" t="inlineStr">
        <is>
          <t>DAILY</t>
        </is>
      </c>
      <c r="AF34" s="690" t="n">
        <v>-1.47897249398115</v>
      </c>
      <c r="AG34" s="688" t="n">
        <v>-0.01020203331768515</v>
      </c>
      <c r="AH34" s="691" t="n">
        <v>-0.001020203331768515</v>
      </c>
      <c r="AI34" s="33" t="n">
        <v>0.2</v>
      </c>
      <c r="AJ34" s="35" t="n">
        <v>0.03181668740567103</v>
      </c>
      <c r="AK34" s="3" t="n">
        <v>0.02692085606172291</v>
      </c>
      <c r="AL34" s="3" t="n">
        <v>0.03304064524165807</v>
      </c>
      <c r="AM34" s="687" t="inlineStr">
        <is>
          <t>Decrease stop — Recommended: 2.69% (0.95 pp below loss average)</t>
        </is>
      </c>
      <c r="AN34" s="35" t="n">
        <v>0.1270101868103893</v>
      </c>
      <c r="AO34" s="3" t="n">
        <v>0.07380863852248845</v>
      </c>
      <c r="AP34" s="3" t="n">
        <v>0.1422106291783609</v>
      </c>
      <c r="AQ34" s="687" t="inlineStr">
        <is>
          <t>Decrease target — Recommended: 2.76R (current median: 2.78R)</t>
        </is>
      </c>
      <c r="AR34" s="27" t="inlineStr">
        <is>
          <t>1S</t>
        </is>
      </c>
      <c r="AS34" s="1" t="inlineStr">
        <is>
          <t>5H 15M 6S</t>
        </is>
      </c>
      <c r="AT34" s="4" t="inlineStr">
        <is>
          <t>1D 10H 50M 0S</t>
        </is>
      </c>
      <c r="AU34" s="4" t="inlineStr">
        <is>
          <t>5H 37M 30S</t>
        </is>
      </c>
      <c r="AV34" s="7" t="inlineStr">
        <is>
          <t>5H 9M 30S</t>
        </is>
      </c>
    </row>
    <row r="35" ht="15" customHeight="1" thickBot="1" thickTop="1">
      <c r="A35" s="10" t="inlineStr">
        <is>
          <t>AUDCHF</t>
        </is>
      </c>
      <c r="B35" s="12" t="inlineStr">
        <is>
          <t>FX</t>
        </is>
      </c>
      <c r="C35" s="673" t="n">
        <v>10</v>
      </c>
      <c r="D35" s="674" t="n">
        <v>3</v>
      </c>
      <c r="E35" s="675" t="n">
        <v>7</v>
      </c>
      <c r="F35" s="676" t="n">
        <v>0</v>
      </c>
      <c r="G35" s="677" t="n">
        <v>2</v>
      </c>
      <c r="H35" s="678" t="n">
        <v>0</v>
      </c>
      <c r="I35" s="679" t="n">
        <v>2</v>
      </c>
      <c r="J35" s="680" t="n">
        <v>0</v>
      </c>
      <c r="K35" s="677" t="n">
        <v>8</v>
      </c>
      <c r="L35" s="678" t="n">
        <v>3</v>
      </c>
      <c r="M35" s="679" t="n">
        <v>5</v>
      </c>
      <c r="N35" s="680" t="n">
        <v>0</v>
      </c>
      <c r="O35" s="681" t="n">
        <v>1</v>
      </c>
      <c r="P35" s="681" t="n">
        <v>0</v>
      </c>
      <c r="Q35" s="28" t="n"/>
      <c r="R35" s="28" t="n"/>
      <c r="S35" s="673" t="n">
        <v>0</v>
      </c>
      <c r="T35" s="673" t="n">
        <v>0</v>
      </c>
      <c r="U35" s="677" t="n">
        <v>1</v>
      </c>
      <c r="V35" s="680" t="n">
        <v>6</v>
      </c>
      <c r="W35" s="673" t="n">
        <v>0</v>
      </c>
      <c r="X35" s="673" t="n">
        <v>1</v>
      </c>
      <c r="Y35" s="673" t="n">
        <v>0</v>
      </c>
      <c r="Z35" s="673" t="n">
        <v>1</v>
      </c>
      <c r="AA35" s="673" t="n">
        <v>0</v>
      </c>
      <c r="AB35" s="673" t="n">
        <v>1</v>
      </c>
      <c r="AC35" s="31" t="inlineStr">
        <is>
          <t>1H</t>
        </is>
      </c>
      <c r="AD35" s="5" t="inlineStr">
        <is>
          <t>1H</t>
        </is>
      </c>
      <c r="AE35" s="62" t="inlineStr">
        <is>
          <t>DAILY</t>
        </is>
      </c>
      <c r="AF35" s="682" t="n">
        <v>0.3766168468855742</v>
      </c>
      <c r="AG35" s="688" t="n">
        <v>-0.01773295129392176</v>
      </c>
      <c r="AH35" s="691" t="n">
        <v>-0.001773295129392176</v>
      </c>
      <c r="AI35" s="33" t="n">
        <v>0.3</v>
      </c>
      <c r="AJ35" s="35" t="n">
        <v>0.001991075743773437</v>
      </c>
      <c r="AK35" s="3" t="n">
        <v>0.001395105087324647</v>
      </c>
      <c r="AL35" s="3" t="n">
        <v>0.002246491739394347</v>
      </c>
      <c r="AM35" s="687" t="inlineStr">
        <is>
          <t>Decrease stop — Recommended: 0.076% (0.11 pp below loss average)</t>
        </is>
      </c>
      <c r="AN35" s="35" t="n">
        <v>0.006410005848998566</v>
      </c>
      <c r="AO35" s="3" t="n">
        <v>0.005134387517427206</v>
      </c>
      <c r="AP35" s="3" t="n">
        <v>0.007047815014784246</v>
      </c>
      <c r="AQ35" s="687" t="inlineStr">
        <is>
          <t>Decrease target — Recommended: 2.53R (current median: 3.45R)</t>
        </is>
      </c>
      <c r="AR35" s="27" t="inlineStr">
        <is>
          <t>1M 26S</t>
        </is>
      </c>
      <c r="AS35" s="1" t="inlineStr">
        <is>
          <t>7H 12M 38S</t>
        </is>
      </c>
      <c r="AT35" s="4" t="inlineStr">
        <is>
          <t>2D 0H 27M 0S</t>
        </is>
      </c>
      <c r="AU35" s="4" t="inlineStr">
        <is>
          <t>18H 22M 0S</t>
        </is>
      </c>
      <c r="AV35" s="7" t="inlineStr">
        <is>
          <t>2H 25M 46S</t>
        </is>
      </c>
    </row>
    <row r="36" ht="15" customHeight="1" thickBot="1" thickTop="1">
      <c r="A36" s="10" t="inlineStr">
        <is>
          <t>XRPUSDT</t>
        </is>
      </c>
      <c r="B36" s="12" t="inlineStr">
        <is>
          <t>CRYPTO</t>
        </is>
      </c>
      <c r="C36" s="673" t="n">
        <v>9</v>
      </c>
      <c r="D36" s="674" t="n">
        <v>3</v>
      </c>
      <c r="E36" s="675" t="n">
        <v>6</v>
      </c>
      <c r="F36" s="676" t="n">
        <v>0</v>
      </c>
      <c r="G36" s="677" t="n">
        <v>3</v>
      </c>
      <c r="H36" s="678" t="n">
        <v>1</v>
      </c>
      <c r="I36" s="679" t="n">
        <v>2</v>
      </c>
      <c r="J36" s="680" t="n">
        <v>0</v>
      </c>
      <c r="K36" s="677" t="n">
        <v>6</v>
      </c>
      <c r="L36" s="678" t="n">
        <v>2</v>
      </c>
      <c r="M36" s="679" t="n">
        <v>4</v>
      </c>
      <c r="N36" s="680" t="n">
        <v>0</v>
      </c>
      <c r="O36" s="681" t="n">
        <v>0</v>
      </c>
      <c r="P36" s="681" t="n">
        <v>0</v>
      </c>
      <c r="Q36" s="12" t="inlineStr">
        <is>
          <t>channel</t>
        </is>
      </c>
      <c r="R36" s="28" t="n"/>
      <c r="S36" s="673" t="n">
        <v>0</v>
      </c>
      <c r="T36" s="673" t="n">
        <v>0</v>
      </c>
      <c r="U36" s="677" t="n">
        <v>1</v>
      </c>
      <c r="V36" s="680" t="n">
        <v>7</v>
      </c>
      <c r="W36" s="673" t="n">
        <v>0</v>
      </c>
      <c r="X36" s="673" t="n">
        <v>3</v>
      </c>
      <c r="Y36" s="673" t="n">
        <v>0</v>
      </c>
      <c r="Z36" s="673" t="n">
        <v>0</v>
      </c>
      <c r="AA36" s="673" t="n">
        <v>0</v>
      </c>
      <c r="AB36" s="673" t="n">
        <v>0</v>
      </c>
      <c r="AC36" s="31" t="inlineStr">
        <is>
          <t>1H</t>
        </is>
      </c>
      <c r="AD36" s="5" t="inlineStr">
        <is>
          <t>4H</t>
        </is>
      </c>
      <c r="AE36" s="62" t="inlineStr">
        <is>
          <t>15MIN</t>
        </is>
      </c>
      <c r="AF36" s="682" t="n">
        <v>1.460834539647009</v>
      </c>
      <c r="AG36" s="688" t="n">
        <v>-0.01190529378094131</v>
      </c>
      <c r="AH36" s="691" t="n">
        <v>-0.00132281042010459</v>
      </c>
      <c r="AI36" s="33" t="n">
        <v>0.3333333333333333</v>
      </c>
      <c r="AJ36" s="35" t="n">
        <v>0.0171473705265261</v>
      </c>
      <c r="AK36" s="3" t="n">
        <v>0.00846857104130209</v>
      </c>
      <c r="AL36" s="3" t="n">
        <v>0.0214867702691381</v>
      </c>
      <c r="AM36" s="687" t="inlineStr">
        <is>
          <t>Decrease stop — Recommended: 0.85% (1.71 pp below loss average)</t>
        </is>
      </c>
      <c r="AN36" s="35" t="n">
        <v>0.04740136949781216</v>
      </c>
      <c r="AO36" s="3" t="n">
        <v>0.01693714208260414</v>
      </c>
      <c r="AP36" s="3" t="n">
        <v>0.06263348320541617</v>
      </c>
      <c r="AQ36" s="687" t="inlineStr">
        <is>
          <t>Target unchanged — Recommended: 2.00R (current median: 2.00R)</t>
        </is>
      </c>
      <c r="AR36" s="27" t="inlineStr">
        <is>
          <t>1M 0S</t>
        </is>
      </c>
      <c r="AS36" s="1" t="inlineStr">
        <is>
          <t>2H 47M 33S</t>
        </is>
      </c>
      <c r="AT36" s="4" t="inlineStr">
        <is>
          <t>11H 2M 0S</t>
        </is>
      </c>
      <c r="AU36" s="4" t="inlineStr">
        <is>
          <t>3H 36M 40S</t>
        </is>
      </c>
      <c r="AV36" s="7" t="inlineStr">
        <is>
          <t>2H 23M 0S</t>
        </is>
      </c>
    </row>
    <row r="37" ht="15" customHeight="1" thickBot="1" thickTop="1">
      <c r="A37" s="10" t="inlineStr">
        <is>
          <t>BNBUSDT</t>
        </is>
      </c>
      <c r="B37" s="12" t="inlineStr">
        <is>
          <t>CRYPTO</t>
        </is>
      </c>
      <c r="C37" s="673" t="n">
        <v>8</v>
      </c>
      <c r="D37" s="674" t="n">
        <v>0</v>
      </c>
      <c r="E37" s="675" t="n">
        <v>8</v>
      </c>
      <c r="F37" s="676" t="n">
        <v>0</v>
      </c>
      <c r="G37" s="677" t="n">
        <v>7</v>
      </c>
      <c r="H37" s="678" t="n">
        <v>0</v>
      </c>
      <c r="I37" s="679" t="n">
        <v>7</v>
      </c>
      <c r="J37" s="680" t="n">
        <v>0</v>
      </c>
      <c r="K37" s="677" t="n">
        <v>1</v>
      </c>
      <c r="L37" s="678" t="n">
        <v>0</v>
      </c>
      <c r="M37" s="679" t="n">
        <v>1</v>
      </c>
      <c r="N37" s="680" t="n">
        <v>0</v>
      </c>
      <c r="O37" s="681" t="n">
        <v>1</v>
      </c>
      <c r="P37" s="681" t="n">
        <v>0</v>
      </c>
      <c r="Q37" s="12" t="inlineStr">
        <is>
          <t>channel</t>
        </is>
      </c>
      <c r="R37" s="28" t="n"/>
      <c r="S37" s="673" t="n">
        <v>0</v>
      </c>
      <c r="T37" s="673" t="n">
        <v>0</v>
      </c>
      <c r="U37" s="677" t="n">
        <v>1</v>
      </c>
      <c r="V37" s="680" t="n">
        <v>4</v>
      </c>
      <c r="W37" s="673" t="n">
        <v>0</v>
      </c>
      <c r="X37" s="673" t="n">
        <v>0</v>
      </c>
      <c r="Y37" s="673" t="n">
        <v>0</v>
      </c>
      <c r="Z37" s="673" t="n">
        <v>0</v>
      </c>
      <c r="AA37" s="673" t="n">
        <v>0</v>
      </c>
      <c r="AB37" s="673" t="n">
        <v>0</v>
      </c>
      <c r="AC37" s="31" t="inlineStr">
        <is>
          <t>15MIN</t>
        </is>
      </c>
      <c r="AD37" s="5" t="inlineStr">
        <is>
          <t>4H</t>
        </is>
      </c>
      <c r="AE37" s="62" t="inlineStr">
        <is>
          <t>5MIN</t>
        </is>
      </c>
      <c r="AF37" s="690" t="n">
        <v>-6.38281259958855</v>
      </c>
      <c r="AG37" s="688" t="n">
        <v>-0.07190870405612182</v>
      </c>
      <c r="AH37" s="691" t="n">
        <v>-0.008988588007015227</v>
      </c>
      <c r="AI37" s="33" t="n">
        <v>0</v>
      </c>
      <c r="AJ37" s="35" t="n">
        <v>0.01259053110886508</v>
      </c>
      <c r="AK37" s="3" t="n"/>
      <c r="AL37" s="3" t="n">
        <v>0.01259053110886508</v>
      </c>
      <c r="AM37" s="39" t="inlineStr"/>
      <c r="AN37" s="35" t="n">
        <v>0.03179650555835559</v>
      </c>
      <c r="AO37" s="3" t="n"/>
      <c r="AP37" s="3" t="n">
        <v>0.03179650555835559</v>
      </c>
      <c r="AQ37" s="39" t="inlineStr"/>
      <c r="AR37" s="27" t="inlineStr">
        <is>
          <t>10M 0S</t>
        </is>
      </c>
      <c r="AS37" s="1" t="inlineStr">
        <is>
          <t>5H 21M 7S</t>
        </is>
      </c>
      <c r="AT37" s="4" t="inlineStr">
        <is>
          <t>1D 1H 1M 0S</t>
        </is>
      </c>
      <c r="AU37" s="4" t="n"/>
      <c r="AV37" s="7" t="inlineStr">
        <is>
          <t>5H 21M 7S</t>
        </is>
      </c>
    </row>
    <row r="38" ht="15" customHeight="1" thickBot="1" thickTop="1">
      <c r="A38" s="10" t="inlineStr">
        <is>
          <t>DOTUSDT</t>
        </is>
      </c>
      <c r="B38" s="12" t="inlineStr">
        <is>
          <t>CRYPTO</t>
        </is>
      </c>
      <c r="C38" s="673" t="n">
        <v>8</v>
      </c>
      <c r="D38" s="674" t="n">
        <v>3</v>
      </c>
      <c r="E38" s="675" t="n">
        <v>5</v>
      </c>
      <c r="F38" s="676" t="n">
        <v>0</v>
      </c>
      <c r="G38" s="677" t="n">
        <v>5</v>
      </c>
      <c r="H38" s="678" t="n">
        <v>2</v>
      </c>
      <c r="I38" s="679" t="n">
        <v>3</v>
      </c>
      <c r="J38" s="680" t="n">
        <v>0</v>
      </c>
      <c r="K38" s="677" t="n">
        <v>3</v>
      </c>
      <c r="L38" s="678" t="n">
        <v>1</v>
      </c>
      <c r="M38" s="679" t="n">
        <v>2</v>
      </c>
      <c r="N38" s="680" t="n">
        <v>0</v>
      </c>
      <c r="O38" s="681" t="n">
        <v>2</v>
      </c>
      <c r="P38" s="681" t="n">
        <v>0</v>
      </c>
      <c r="Q38" s="28" t="n"/>
      <c r="R38" s="28" t="n"/>
      <c r="S38" s="673" t="n">
        <v>1</v>
      </c>
      <c r="T38" s="673" t="n">
        <v>0</v>
      </c>
      <c r="U38" s="677" t="n">
        <v>0</v>
      </c>
      <c r="V38" s="680" t="n">
        <v>8</v>
      </c>
      <c r="W38" s="673" t="n">
        <v>0</v>
      </c>
      <c r="X38" s="673" t="n">
        <v>0</v>
      </c>
      <c r="Y38" s="673" t="n">
        <v>0</v>
      </c>
      <c r="Z38" s="673" t="n">
        <v>0</v>
      </c>
      <c r="AA38" s="673" t="n">
        <v>0</v>
      </c>
      <c r="AB38" s="673" t="n">
        <v>0</v>
      </c>
      <c r="AC38" s="31" t="inlineStr">
        <is>
          <t>DAILY</t>
        </is>
      </c>
      <c r="AD38" s="5" t="inlineStr">
        <is>
          <t>DAILY</t>
        </is>
      </c>
      <c r="AE38" s="62" t="inlineStr">
        <is>
          <t>4H</t>
        </is>
      </c>
      <c r="AF38" s="682" t="n">
        <v>1.088682178792207</v>
      </c>
      <c r="AG38" s="688" t="n">
        <v>-0.00460583536543065</v>
      </c>
      <c r="AH38" s="689" t="n">
        <v>-0.0005757294206788313</v>
      </c>
      <c r="AI38" s="33" t="n">
        <v>0.375</v>
      </c>
      <c r="AJ38" s="35" t="n">
        <v>0.07018631291861514</v>
      </c>
      <c r="AK38" s="3" t="n">
        <v>0.08746870368512713</v>
      </c>
      <c r="AL38" s="3" t="n">
        <v>0.05981687845870795</v>
      </c>
      <c r="AM38" s="687" t="inlineStr">
        <is>
          <t>Decrease stop — Recommended: 1.56% (4.42 pp below loss average)</t>
        </is>
      </c>
      <c r="AN38" s="35" t="n">
        <v>0.1616295654344601</v>
      </c>
      <c r="AO38" s="3" t="n">
        <v>0.1818787822155713</v>
      </c>
      <c r="AP38" s="3" t="n">
        <v>0.1494800353657933</v>
      </c>
      <c r="AQ38" s="687" t="inlineStr">
        <is>
          <t>Increase target — Recommended: 2.00R (current median: 1.99R)</t>
        </is>
      </c>
      <c r="AR38" s="27" t="inlineStr">
        <is>
          <t>3M 0S</t>
        </is>
      </c>
      <c r="AS38" s="1" t="inlineStr">
        <is>
          <t>3D 17H 39M 37S</t>
        </is>
      </c>
      <c r="AT38" s="4" t="inlineStr">
        <is>
          <t>18D 2H 50M 0S</t>
        </is>
      </c>
      <c r="AU38" s="4" t="inlineStr">
        <is>
          <t>9D 6H 56M 0S</t>
        </is>
      </c>
      <c r="AV38" s="7" t="inlineStr">
        <is>
          <t>9H 41M 48S</t>
        </is>
      </c>
    </row>
    <row r="39" ht="15" customHeight="1" thickBot="1" thickTop="1">
      <c r="A39" s="10" t="inlineStr">
        <is>
          <t>NZDJPY</t>
        </is>
      </c>
      <c r="B39" s="12" t="inlineStr">
        <is>
          <t>FX</t>
        </is>
      </c>
      <c r="C39" s="673" t="n">
        <v>8</v>
      </c>
      <c r="D39" s="674" t="n">
        <v>4</v>
      </c>
      <c r="E39" s="675" t="n">
        <v>4</v>
      </c>
      <c r="F39" s="676" t="n">
        <v>0</v>
      </c>
      <c r="G39" s="677" t="n">
        <v>5</v>
      </c>
      <c r="H39" s="678" t="n">
        <v>2</v>
      </c>
      <c r="I39" s="679" t="n">
        <v>3</v>
      </c>
      <c r="J39" s="680" t="n">
        <v>0</v>
      </c>
      <c r="K39" s="677" t="n">
        <v>3</v>
      </c>
      <c r="L39" s="678" t="n">
        <v>2</v>
      </c>
      <c r="M39" s="679" t="n">
        <v>1</v>
      </c>
      <c r="N39" s="680" t="n">
        <v>0</v>
      </c>
      <c r="O39" s="681" t="n">
        <v>1</v>
      </c>
      <c r="P39" s="681" t="n">
        <v>0</v>
      </c>
      <c r="Q39" s="12" t="n"/>
      <c r="R39" s="28" t="n"/>
      <c r="S39" s="673" t="n">
        <v>0</v>
      </c>
      <c r="T39" s="673" t="n">
        <v>0</v>
      </c>
      <c r="U39" s="677" t="n">
        <v>0</v>
      </c>
      <c r="V39" s="680" t="n">
        <v>5</v>
      </c>
      <c r="W39" s="673" t="n">
        <v>0</v>
      </c>
      <c r="X39" s="673" t="n">
        <v>0</v>
      </c>
      <c r="Y39" s="673" t="n">
        <v>1</v>
      </c>
      <c r="Z39" s="673" t="n">
        <v>1</v>
      </c>
      <c r="AA39" s="673" t="n">
        <v>0</v>
      </c>
      <c r="AB39" s="673" t="n">
        <v>0</v>
      </c>
      <c r="AC39" s="31" t="inlineStr">
        <is>
          <t>1H</t>
        </is>
      </c>
      <c r="AD39" s="5" t="inlineStr">
        <is>
          <t>1H</t>
        </is>
      </c>
      <c r="AE39" s="62" t="inlineStr">
        <is>
          <t>WEEKLY</t>
        </is>
      </c>
      <c r="AF39" s="682" t="n">
        <v>2.248092088506032</v>
      </c>
      <c r="AG39" s="688" t="n">
        <v>-0.005608229733177776</v>
      </c>
      <c r="AH39" s="689" t="n">
        <v>-0.0008011756761682535</v>
      </c>
      <c r="AI39" s="33" t="n">
        <v>0.5</v>
      </c>
      <c r="AJ39" s="35" t="n">
        <v>0.003744406134626287</v>
      </c>
      <c r="AK39" s="3" t="n">
        <v>0.004109974376290837</v>
      </c>
      <c r="AL39" s="3" t="n">
        <v>0.003378837892961738</v>
      </c>
      <c r="AM39" s="687" t="inlineStr">
        <is>
          <t>Increase stop — Recommended: 0.40% (0.060 pp above loss average)</t>
        </is>
      </c>
      <c r="AN39" s="35" t="n">
        <v>0.008941171620676701</v>
      </c>
      <c r="AO39" s="3" t="n">
        <v>0.008219948752581524</v>
      </c>
      <c r="AP39" s="3" t="n">
        <v>0.009662394488771877</v>
      </c>
      <c r="AQ39" s="687" t="inlineStr">
        <is>
          <t>Increase target — Recommended: 2.01R (current median: 2.00R)</t>
        </is>
      </c>
      <c r="AR39" s="27" t="inlineStr">
        <is>
          <t>41M 18S</t>
        </is>
      </c>
      <c r="AS39" s="1" t="inlineStr">
        <is>
          <t>15H 40M 9S</t>
        </is>
      </c>
      <c r="AT39" s="4" t="inlineStr">
        <is>
          <t>2D 13H 55M 0S</t>
        </is>
      </c>
      <c r="AU39" s="4" t="inlineStr">
        <is>
          <t>20H 58M 49S</t>
        </is>
      </c>
      <c r="AV39" s="7" t="inlineStr">
        <is>
          <t>10H 21M 30S</t>
        </is>
      </c>
    </row>
    <row r="40" ht="15" customHeight="1" thickBot="1" thickTop="1">
      <c r="A40" s="10" t="inlineStr">
        <is>
          <t>GBPCHF</t>
        </is>
      </c>
      <c r="B40" s="12" t="inlineStr">
        <is>
          <t>FX</t>
        </is>
      </c>
      <c r="C40" s="673" t="n">
        <v>5</v>
      </c>
      <c r="D40" s="674" t="n">
        <v>1</v>
      </c>
      <c r="E40" s="675" t="n">
        <v>4</v>
      </c>
      <c r="F40" s="676" t="n">
        <v>0</v>
      </c>
      <c r="G40" s="677" t="n">
        <v>3</v>
      </c>
      <c r="H40" s="678" t="n">
        <v>0</v>
      </c>
      <c r="I40" s="679" t="n">
        <v>3</v>
      </c>
      <c r="J40" s="680" t="n">
        <v>0</v>
      </c>
      <c r="K40" s="677" t="n">
        <v>2</v>
      </c>
      <c r="L40" s="678" t="n">
        <v>1</v>
      </c>
      <c r="M40" s="679" t="n">
        <v>1</v>
      </c>
      <c r="N40" s="680" t="n">
        <v>0</v>
      </c>
      <c r="O40" s="681" t="n">
        <v>0</v>
      </c>
      <c r="P40" s="681" t="n">
        <v>0</v>
      </c>
      <c r="Q40" s="12" t="n"/>
      <c r="R40" s="28" t="n"/>
      <c r="S40" s="673" t="n">
        <v>0</v>
      </c>
      <c r="T40" s="673" t="n">
        <v>0</v>
      </c>
      <c r="U40" s="677" t="n">
        <v>0</v>
      </c>
      <c r="V40" s="680" t="n">
        <v>4</v>
      </c>
      <c r="W40" s="673" t="n">
        <v>0</v>
      </c>
      <c r="X40" s="673" t="n">
        <v>0</v>
      </c>
      <c r="Y40" s="673" t="n">
        <v>0</v>
      </c>
      <c r="Z40" s="673" t="n">
        <v>0</v>
      </c>
      <c r="AA40" s="673" t="n">
        <v>0</v>
      </c>
      <c r="AB40" s="673" t="n">
        <v>0</v>
      </c>
      <c r="AC40" s="31" t="inlineStr">
        <is>
          <t>MONTHLY</t>
        </is>
      </c>
      <c r="AD40" s="5" t="inlineStr">
        <is>
          <t>WEEKLY</t>
        </is>
      </c>
      <c r="AE40" s="62" t="inlineStr">
        <is>
          <t>DAILY</t>
        </is>
      </c>
      <c r="AF40" s="690" t="n">
        <v>-2.062949734032547</v>
      </c>
      <c r="AG40" s="688" t="n">
        <v>-0.02823276182593553</v>
      </c>
      <c r="AH40" s="691" t="n">
        <v>-0.005646552365187107</v>
      </c>
      <c r="AI40" s="33" t="n">
        <v>0.2</v>
      </c>
      <c r="AJ40" s="35" t="n">
        <v>0.005092112593719301</v>
      </c>
      <c r="AK40" s="3" t="n">
        <v>0.006582860449788544</v>
      </c>
      <c r="AL40" s="3" t="n">
        <v>0.00471942562970199</v>
      </c>
      <c r="AM40" s="687" t="inlineStr">
        <is>
          <t>Increase stop — Recommended: 0.66% (0.19 pp above loss average)</t>
        </is>
      </c>
      <c r="AN40" s="35" t="n">
        <v>0.01140977459904469</v>
      </c>
      <c r="AO40" s="3" t="n">
        <v>0.01326217306733966</v>
      </c>
      <c r="AP40" s="3" t="n">
        <v>0.01094667498197095</v>
      </c>
      <c r="AQ40" s="687" t="inlineStr">
        <is>
          <t>Decrease target — Recommended: 2.00R (current median: 2.01R)</t>
        </is>
      </c>
      <c r="AR40" s="27" t="inlineStr">
        <is>
          <t>14M 0S</t>
        </is>
      </c>
      <c r="AS40" s="1" t="inlineStr">
        <is>
          <t>2D 0H 9M 24S</t>
        </is>
      </c>
      <c r="AT40" s="4" t="inlineStr">
        <is>
          <t>5D 12H 59M 0S</t>
        </is>
      </c>
      <c r="AU40" s="4" t="inlineStr">
        <is>
          <t>1D 5H 52M 0S</t>
        </is>
      </c>
      <c r="AV40" s="7" t="inlineStr">
        <is>
          <t>2D 4H 43M 45S</t>
        </is>
      </c>
    </row>
    <row r="41" ht="15" customHeight="1" thickBot="1" thickTop="1">
      <c r="A41" s="10" t="inlineStr">
        <is>
          <t>MATICUSDT</t>
        </is>
      </c>
      <c r="B41" s="12" t="inlineStr">
        <is>
          <t>CRYPTO</t>
        </is>
      </c>
      <c r="C41" s="673" t="n">
        <v>5</v>
      </c>
      <c r="D41" s="674" t="n">
        <v>0</v>
      </c>
      <c r="E41" s="675" t="n">
        <v>5</v>
      </c>
      <c r="F41" s="676" t="n">
        <v>0</v>
      </c>
      <c r="G41" s="677" t="n">
        <v>4</v>
      </c>
      <c r="H41" s="678" t="n">
        <v>0</v>
      </c>
      <c r="I41" s="679" t="n">
        <v>4</v>
      </c>
      <c r="J41" s="680" t="n">
        <v>0</v>
      </c>
      <c r="K41" s="677" t="n">
        <v>1</v>
      </c>
      <c r="L41" s="678" t="n">
        <v>0</v>
      </c>
      <c r="M41" s="679" t="n">
        <v>1</v>
      </c>
      <c r="N41" s="680" t="n">
        <v>0</v>
      </c>
      <c r="O41" s="681" t="n">
        <v>1</v>
      </c>
      <c r="P41" s="681" t="n">
        <v>0</v>
      </c>
      <c r="Q41" s="28" t="n"/>
      <c r="R41" s="28" t="n"/>
      <c r="S41" s="673" t="n">
        <v>0</v>
      </c>
      <c r="T41" s="673" t="n">
        <v>0</v>
      </c>
      <c r="U41" s="677" t="n">
        <v>0</v>
      </c>
      <c r="V41" s="680" t="n">
        <v>5</v>
      </c>
      <c r="W41" s="673" t="n">
        <v>0</v>
      </c>
      <c r="X41" s="673" t="n">
        <v>0</v>
      </c>
      <c r="Y41" s="673" t="n">
        <v>0</v>
      </c>
      <c r="Z41" s="673" t="n">
        <v>0</v>
      </c>
      <c r="AA41" s="673" t="n">
        <v>0</v>
      </c>
      <c r="AB41" s="673" t="n">
        <v>0</v>
      </c>
      <c r="AC41" s="31" t="inlineStr">
        <is>
          <t>1H</t>
        </is>
      </c>
      <c r="AD41" s="5" t="inlineStr">
        <is>
          <t>4H</t>
        </is>
      </c>
      <c r="AE41" s="62" t="inlineStr">
        <is>
          <t>1H</t>
        </is>
      </c>
      <c r="AF41" s="690" t="n">
        <v>-4.051319345082302</v>
      </c>
      <c r="AG41" s="688" t="n">
        <v>-0.02814736296550907</v>
      </c>
      <c r="AH41" s="691" t="n">
        <v>-0.005629472593101814</v>
      </c>
      <c r="AI41" s="33" t="n">
        <v>0</v>
      </c>
      <c r="AJ41" s="35" t="n">
        <v>0.03042037730516508</v>
      </c>
      <c r="AK41" s="3" t="n"/>
      <c r="AL41" s="3" t="n">
        <v>0.03042037730516508</v>
      </c>
      <c r="AM41" s="39" t="inlineStr"/>
      <c r="AN41" s="35" t="n">
        <v>0.09338117969103245</v>
      </c>
      <c r="AO41" s="3" t="n"/>
      <c r="AP41" s="3" t="n">
        <v>0.09338117969103245</v>
      </c>
      <c r="AQ41" s="39" t="inlineStr"/>
      <c r="AR41" s="27" t="inlineStr">
        <is>
          <t>7M 0S</t>
        </is>
      </c>
      <c r="AS41" s="1" t="inlineStr">
        <is>
          <t>6H 51M 0S</t>
        </is>
      </c>
      <c r="AT41" s="4" t="inlineStr">
        <is>
          <t>1D 1H 14M 0S</t>
        </is>
      </c>
      <c r="AU41" s="4" t="n"/>
      <c r="AV41" s="7" t="inlineStr">
        <is>
          <t>6H 51M 0S</t>
        </is>
      </c>
    </row>
    <row r="42" ht="15" customHeight="1" thickBot="1" thickTop="1">
      <c r="A42" s="10" t="inlineStr">
        <is>
          <t>NZDCAD</t>
        </is>
      </c>
      <c r="B42" s="12" t="inlineStr">
        <is>
          <t>FX</t>
        </is>
      </c>
      <c r="C42" s="673" t="n">
        <v>5</v>
      </c>
      <c r="D42" s="674" t="n">
        <v>1</v>
      </c>
      <c r="E42" s="675" t="n">
        <v>4</v>
      </c>
      <c r="F42" s="676" t="n">
        <v>0</v>
      </c>
      <c r="G42" s="677" t="n">
        <v>3</v>
      </c>
      <c r="H42" s="678" t="n">
        <v>1</v>
      </c>
      <c r="I42" s="679" t="n">
        <v>2</v>
      </c>
      <c r="J42" s="680" t="n">
        <v>0</v>
      </c>
      <c r="K42" s="677" t="n">
        <v>2</v>
      </c>
      <c r="L42" s="678" t="n">
        <v>0</v>
      </c>
      <c r="M42" s="679" t="n">
        <v>2</v>
      </c>
      <c r="N42" s="680" t="n">
        <v>0</v>
      </c>
      <c r="O42" s="681" t="n">
        <v>1</v>
      </c>
      <c r="P42" s="681" t="n">
        <v>0</v>
      </c>
      <c r="Q42" s="28" t="n"/>
      <c r="R42" s="28" t="n"/>
      <c r="S42" s="673" t="n">
        <v>0</v>
      </c>
      <c r="T42" s="673" t="n">
        <v>0</v>
      </c>
      <c r="U42" s="677" t="n">
        <v>0</v>
      </c>
      <c r="V42" s="680" t="n">
        <v>5</v>
      </c>
      <c r="W42" s="673" t="n">
        <v>0</v>
      </c>
      <c r="X42" s="673" t="n">
        <v>1</v>
      </c>
      <c r="Y42" s="673" t="n">
        <v>0</v>
      </c>
      <c r="Z42" s="673" t="n">
        <v>0</v>
      </c>
      <c r="AA42" s="673" t="n">
        <v>0</v>
      </c>
      <c r="AB42" s="673" t="n">
        <v>0</v>
      </c>
      <c r="AC42" s="31" t="inlineStr">
        <is>
          <t>15MIN</t>
        </is>
      </c>
      <c r="AD42" s="5" t="inlineStr">
        <is>
          <t>WEEKLY</t>
        </is>
      </c>
      <c r="AE42" s="62" t="inlineStr">
        <is>
          <t>DAILY</t>
        </is>
      </c>
      <c r="AF42" s="690" t="n">
        <v>-2.542597579021146</v>
      </c>
      <c r="AG42" s="688" t="n">
        <v>-0.04327492890708783</v>
      </c>
      <c r="AH42" s="691" t="n">
        <v>-0.008654985781417567</v>
      </c>
      <c r="AI42" s="33" t="n">
        <v>0.2</v>
      </c>
      <c r="AJ42" s="35" t="n">
        <v>0.002555907391470513</v>
      </c>
      <c r="AK42" s="261" t="n">
        <v>0.0006762087230924534</v>
      </c>
      <c r="AL42" s="3" t="n">
        <v>0.003025832058565028</v>
      </c>
      <c r="AM42" s="39" t="inlineStr"/>
      <c r="AN42" s="35" t="n">
        <v>0.00863002887399511</v>
      </c>
      <c r="AO42" s="3" t="n">
        <v>0.002028626169277611</v>
      </c>
      <c r="AP42" s="3" t="n">
        <v>0.01028037955017449</v>
      </c>
      <c r="AQ42" s="39" t="inlineStr"/>
      <c r="AR42" s="27" t="inlineStr">
        <is>
          <t>36M 0S</t>
        </is>
      </c>
      <c r="AS42" s="1" t="inlineStr">
        <is>
          <t>9H 23M 10S</t>
        </is>
      </c>
      <c r="AT42" s="4" t="inlineStr">
        <is>
          <t>1D 1H 44M 0S</t>
        </is>
      </c>
      <c r="AU42" s="4" t="inlineStr">
        <is>
          <t>3H 52M 0S</t>
        </is>
      </c>
      <c r="AV42" s="7" t="inlineStr">
        <is>
          <t>10H 45M 58S</t>
        </is>
      </c>
    </row>
    <row r="43" ht="15" customHeight="1" thickBot="1" thickTop="1">
      <c r="A43" s="10" t="inlineStr">
        <is>
          <t>UNIUSDT</t>
        </is>
      </c>
      <c r="B43" s="12" t="inlineStr">
        <is>
          <t>CRYPTO</t>
        </is>
      </c>
      <c r="C43" s="673" t="n">
        <v>5</v>
      </c>
      <c r="D43" s="674" t="n">
        <v>0</v>
      </c>
      <c r="E43" s="675" t="n">
        <v>5</v>
      </c>
      <c r="F43" s="676" t="n">
        <v>0</v>
      </c>
      <c r="G43" s="677" t="n">
        <v>2</v>
      </c>
      <c r="H43" s="678" t="n">
        <v>0</v>
      </c>
      <c r="I43" s="679" t="n">
        <v>2</v>
      </c>
      <c r="J43" s="680" t="n">
        <v>0</v>
      </c>
      <c r="K43" s="677" t="n">
        <v>3</v>
      </c>
      <c r="L43" s="678" t="n">
        <v>0</v>
      </c>
      <c r="M43" s="679" t="n">
        <v>3</v>
      </c>
      <c r="N43" s="680" t="n">
        <v>0</v>
      </c>
      <c r="O43" s="681" t="n">
        <v>0</v>
      </c>
      <c r="P43" s="681" t="n">
        <v>0</v>
      </c>
      <c r="Q43" s="28" t="n"/>
      <c r="R43" s="28" t="n"/>
      <c r="S43" s="673" t="n">
        <v>1</v>
      </c>
      <c r="T43" s="673" t="n">
        <v>0</v>
      </c>
      <c r="U43" s="677" t="n">
        <v>0</v>
      </c>
      <c r="V43" s="680" t="n">
        <v>5</v>
      </c>
      <c r="W43" s="673" t="n">
        <v>0</v>
      </c>
      <c r="X43" s="673" t="n">
        <v>0</v>
      </c>
      <c r="Y43" s="673" t="n">
        <v>0</v>
      </c>
      <c r="Z43" s="673" t="n">
        <v>0</v>
      </c>
      <c r="AA43" s="673" t="n">
        <v>0</v>
      </c>
      <c r="AB43" s="673" t="n">
        <v>0</v>
      </c>
      <c r="AC43" s="31" t="inlineStr">
        <is>
          <t>DAILY</t>
        </is>
      </c>
      <c r="AD43" s="5" t="inlineStr">
        <is>
          <t>15MIN</t>
        </is>
      </c>
      <c r="AE43" s="62" t="inlineStr">
        <is>
          <t>1H</t>
        </is>
      </c>
      <c r="AF43" s="690" t="n">
        <v>-4.820815769096901</v>
      </c>
      <c r="AG43" s="688" t="n">
        <v>-0.02992604776186255</v>
      </c>
      <c r="AH43" s="691" t="n">
        <v>-0.005985209552372511</v>
      </c>
      <c r="AI43" s="33" t="n">
        <v>0</v>
      </c>
      <c r="AJ43" s="35" t="n">
        <v>0.0397699002900829</v>
      </c>
      <c r="AK43" s="3" t="n"/>
      <c r="AL43" s="3" t="n">
        <v>0.0397699002900829</v>
      </c>
      <c r="AM43" s="39" t="inlineStr"/>
      <c r="AN43" s="35" t="n">
        <v>0.09019926072369037</v>
      </c>
      <c r="AO43" s="3" t="n"/>
      <c r="AP43" s="3" t="n">
        <v>0.09019926072369037</v>
      </c>
      <c r="AQ43" s="39" t="inlineStr"/>
      <c r="AR43" s="27" t="inlineStr">
        <is>
          <t>4M 0S</t>
        </is>
      </c>
      <c r="AS43" s="1" t="inlineStr">
        <is>
          <t>20H 12M 0S</t>
        </is>
      </c>
      <c r="AT43" s="4" t="inlineStr">
        <is>
          <t>3D 16H 36M 0S</t>
        </is>
      </c>
      <c r="AU43" s="4" t="n"/>
      <c r="AV43" s="7" t="inlineStr">
        <is>
          <t>20H 12M 0S</t>
        </is>
      </c>
    </row>
    <row r="44" ht="15" customHeight="1" thickBot="1" thickTop="1">
      <c r="A44" s="10" t="inlineStr">
        <is>
          <t>AXSUSDT</t>
        </is>
      </c>
      <c r="B44" s="12" t="inlineStr">
        <is>
          <t>CRYPTO</t>
        </is>
      </c>
      <c r="C44" s="673" t="n">
        <v>4</v>
      </c>
      <c r="D44" s="674" t="n">
        <v>0</v>
      </c>
      <c r="E44" s="675" t="n">
        <v>4</v>
      </c>
      <c r="F44" s="676" t="n">
        <v>0</v>
      </c>
      <c r="G44" s="677" t="n">
        <v>4</v>
      </c>
      <c r="H44" s="678" t="n">
        <v>0</v>
      </c>
      <c r="I44" s="679" t="n">
        <v>4</v>
      </c>
      <c r="J44" s="680" t="n">
        <v>0</v>
      </c>
      <c r="K44" s="677" t="n">
        <v>0</v>
      </c>
      <c r="L44" s="678" t="n">
        <v>0</v>
      </c>
      <c r="M44" s="679" t="n">
        <v>0</v>
      </c>
      <c r="N44" s="680" t="n">
        <v>0</v>
      </c>
      <c r="O44" s="681" t="n">
        <v>0</v>
      </c>
      <c r="P44" s="681" t="n">
        <v>0</v>
      </c>
      <c r="Q44" s="28" t="n"/>
      <c r="R44" s="28" t="n"/>
      <c r="S44" s="673" t="n">
        <v>2</v>
      </c>
      <c r="T44" s="673" t="n">
        <v>0</v>
      </c>
      <c r="U44" s="677" t="n">
        <v>0</v>
      </c>
      <c r="V44" s="680" t="n">
        <v>4</v>
      </c>
      <c r="W44" s="673" t="n">
        <v>0</v>
      </c>
      <c r="X44" s="673" t="n">
        <v>0</v>
      </c>
      <c r="Y44" s="673" t="n">
        <v>0</v>
      </c>
      <c r="Z44" s="673" t="n">
        <v>0</v>
      </c>
      <c r="AA44" s="673" t="n">
        <v>0</v>
      </c>
      <c r="AB44" s="673" t="n">
        <v>0</v>
      </c>
      <c r="AC44" s="31" t="inlineStr">
        <is>
          <t>5MIN</t>
        </is>
      </c>
      <c r="AD44" s="5" t="inlineStr">
        <is>
          <t>4H</t>
        </is>
      </c>
      <c r="AE44" s="62" t="inlineStr">
        <is>
          <t>5MIN</t>
        </is>
      </c>
      <c r="AF44" s="690" t="n">
        <v>-4.130755153864763</v>
      </c>
      <c r="AG44" s="688" t="n">
        <v>-0.02178612831602503</v>
      </c>
      <c r="AH44" s="691" t="n">
        <v>-0.005446532079006258</v>
      </c>
      <c r="AI44" s="33" t="n">
        <v>0</v>
      </c>
      <c r="AJ44" s="35" t="n">
        <v>0.01893434071687145</v>
      </c>
      <c r="AK44" s="3" t="n"/>
      <c r="AL44" s="3" t="n">
        <v>0.01893434071687145</v>
      </c>
      <c r="AM44" s="39" t="inlineStr"/>
      <c r="AN44" s="35" t="n">
        <v>0.0583410534506884</v>
      </c>
      <c r="AO44" s="3" t="n"/>
      <c r="AP44" s="3" t="n">
        <v>0.0583410534506884</v>
      </c>
      <c r="AQ44" s="39" t="inlineStr"/>
      <c r="AR44" s="27" t="inlineStr">
        <is>
          <t>1M 0S</t>
        </is>
      </c>
      <c r="AS44" s="1" t="inlineStr">
        <is>
          <t>4H 8M 0S</t>
        </is>
      </c>
      <c r="AT44" s="4" t="inlineStr">
        <is>
          <t>15H 44M 0S</t>
        </is>
      </c>
      <c r="AU44" s="4" t="n"/>
      <c r="AV44" s="7" t="inlineStr">
        <is>
          <t>4H 8M 0S</t>
        </is>
      </c>
    </row>
    <row r="45" ht="15" customHeight="1" thickBot="1" thickTop="1">
      <c r="A45" s="10" t="inlineStr">
        <is>
          <t>ERDUSDT</t>
        </is>
      </c>
      <c r="B45" s="12" t="inlineStr">
        <is>
          <t>CRYPTO</t>
        </is>
      </c>
      <c r="C45" s="673" t="n">
        <v>4</v>
      </c>
      <c r="D45" s="674" t="n">
        <v>2</v>
      </c>
      <c r="E45" s="675" t="n">
        <v>2</v>
      </c>
      <c r="F45" s="676" t="n">
        <v>0</v>
      </c>
      <c r="G45" s="677" t="n">
        <v>4</v>
      </c>
      <c r="H45" s="678" t="n">
        <v>2</v>
      </c>
      <c r="I45" s="679" t="n">
        <v>2</v>
      </c>
      <c r="J45" s="680" t="n">
        <v>0</v>
      </c>
      <c r="K45" s="677" t="n">
        <v>0</v>
      </c>
      <c r="L45" s="678" t="n">
        <v>0</v>
      </c>
      <c r="M45" s="679" t="n">
        <v>0</v>
      </c>
      <c r="N45" s="680" t="n">
        <v>0</v>
      </c>
      <c r="O45" s="681" t="n">
        <v>2</v>
      </c>
      <c r="P45" s="681" t="n">
        <v>0</v>
      </c>
      <c r="Q45" s="28" t="n"/>
      <c r="R45" s="28" t="n"/>
      <c r="S45" s="673" t="n">
        <v>0</v>
      </c>
      <c r="T45" s="673" t="n">
        <v>0</v>
      </c>
      <c r="U45" s="677" t="n">
        <v>1</v>
      </c>
      <c r="V45" s="680" t="n">
        <v>3</v>
      </c>
      <c r="W45" s="673" t="n">
        <v>0</v>
      </c>
      <c r="X45" s="673" t="n">
        <v>0</v>
      </c>
      <c r="Y45" s="673" t="n">
        <v>0</v>
      </c>
      <c r="Z45" s="673" t="n">
        <v>0</v>
      </c>
      <c r="AA45" s="673" t="n">
        <v>0</v>
      </c>
      <c r="AB45" s="673" t="n">
        <v>0</v>
      </c>
      <c r="AC45" s="31" t="inlineStr">
        <is>
          <t>4H</t>
        </is>
      </c>
      <c r="AD45" s="5" t="inlineStr">
        <is>
          <t>4H</t>
        </is>
      </c>
      <c r="AE45" s="62" t="inlineStr">
        <is>
          <t>1H</t>
        </is>
      </c>
      <c r="AF45" s="682" t="n">
        <v>4.574723744717565</v>
      </c>
      <c r="AG45" s="683" t="n">
        <v>0.04272420825779826</v>
      </c>
      <c r="AH45" s="692" t="n">
        <v>0.01068105206444957</v>
      </c>
      <c r="AI45" s="33" t="n">
        <v>0.5</v>
      </c>
      <c r="AJ45" s="35" t="n">
        <v>0.07519971656210114</v>
      </c>
      <c r="AK45" s="3" t="n">
        <v>0.06311888854415101</v>
      </c>
      <c r="AL45" s="3" t="n">
        <v>0.08728054458005127</v>
      </c>
      <c r="AM45" s="39" t="inlineStr"/>
      <c r="AN45" s="35" t="n">
        <v>0.2561010844588074</v>
      </c>
      <c r="AO45" s="3" t="n">
        <v>0.2067290399311376</v>
      </c>
      <c r="AP45" s="3" t="n">
        <v>0.3054731289864772</v>
      </c>
      <c r="AQ45" s="39" t="inlineStr"/>
      <c r="AR45" s="27" t="inlineStr">
        <is>
          <t>15H 47M 0S</t>
        </is>
      </c>
      <c r="AS45" s="1" t="inlineStr">
        <is>
          <t>2D 18H 2M 0S</t>
        </is>
      </c>
      <c r="AT45" s="4" t="inlineStr">
        <is>
          <t>5D 11H 36M 0S</t>
        </is>
      </c>
      <c r="AU45" s="4" t="inlineStr">
        <is>
          <t>3D 16H 32M 0S</t>
        </is>
      </c>
      <c r="AV45" s="7" t="inlineStr">
        <is>
          <t>1D 19H 32M 0S</t>
        </is>
      </c>
    </row>
    <row r="46" ht="15" customHeight="1" thickBot="1" thickTop="1">
      <c r="A46" s="10" t="inlineStr">
        <is>
          <t>SUSHIUSDT</t>
        </is>
      </c>
      <c r="B46" s="12" t="inlineStr">
        <is>
          <t>CRYPTO</t>
        </is>
      </c>
      <c r="C46" s="673" t="n">
        <v>4</v>
      </c>
      <c r="D46" s="674" t="n">
        <v>1</v>
      </c>
      <c r="E46" s="675" t="n">
        <v>3</v>
      </c>
      <c r="F46" s="676" t="n">
        <v>0</v>
      </c>
      <c r="G46" s="677" t="n">
        <v>3</v>
      </c>
      <c r="H46" s="678" t="n">
        <v>1</v>
      </c>
      <c r="I46" s="679" t="n">
        <v>2</v>
      </c>
      <c r="J46" s="680" t="n">
        <v>0</v>
      </c>
      <c r="K46" s="677" t="n">
        <v>1</v>
      </c>
      <c r="L46" s="678" t="n">
        <v>0</v>
      </c>
      <c r="M46" s="679" t="n">
        <v>1</v>
      </c>
      <c r="N46" s="680" t="n">
        <v>0</v>
      </c>
      <c r="O46" s="681" t="n">
        <v>1</v>
      </c>
      <c r="P46" s="681" t="n">
        <v>0</v>
      </c>
      <c r="Q46" s="12" t="n"/>
      <c r="R46" s="12" t="n"/>
      <c r="S46" s="673" t="n">
        <v>0</v>
      </c>
      <c r="T46" s="673" t="n">
        <v>0</v>
      </c>
      <c r="U46" s="677" t="n">
        <v>0</v>
      </c>
      <c r="V46" s="680" t="n">
        <v>4</v>
      </c>
      <c r="W46" s="673" t="n">
        <v>0</v>
      </c>
      <c r="X46" s="673" t="n">
        <v>0</v>
      </c>
      <c r="Y46" s="673" t="n">
        <v>0</v>
      </c>
      <c r="Z46" s="673" t="n">
        <v>0</v>
      </c>
      <c r="AA46" s="673" t="n">
        <v>0</v>
      </c>
      <c r="AB46" s="673" t="n">
        <v>0</v>
      </c>
      <c r="AC46" s="31" t="inlineStr">
        <is>
          <t>1H</t>
        </is>
      </c>
      <c r="AD46" s="5" t="inlineStr">
        <is>
          <t>5MIN</t>
        </is>
      </c>
      <c r="AE46" s="62" t="inlineStr">
        <is>
          <t>1H</t>
        </is>
      </c>
      <c r="AF46" s="690" t="n">
        <v>-0.5970944720545035</v>
      </c>
      <c r="AG46" s="688" t="n">
        <v>-0.00391176082120848</v>
      </c>
      <c r="AH46" s="689" t="n">
        <v>-0.00097794020530212</v>
      </c>
      <c r="AI46" s="33" t="n">
        <v>0.25</v>
      </c>
      <c r="AJ46" s="35" t="n">
        <v>0.04039188283101725</v>
      </c>
      <c r="AK46" s="3" t="n">
        <v>0.005866536299193357</v>
      </c>
      <c r="AL46" s="3" t="n">
        <v>0.05190033167495854</v>
      </c>
      <c r="AM46" s="39" t="inlineStr"/>
      <c r="AN46" s="35" t="n">
        <v>0.1298941177267116</v>
      </c>
      <c r="AO46" s="3" t="n">
        <v>0.01747738939134673</v>
      </c>
      <c r="AP46" s="3" t="n">
        <v>0.1673663605051665</v>
      </c>
      <c r="AQ46" s="39" t="inlineStr"/>
      <c r="AR46" s="27" t="inlineStr">
        <is>
          <t>10M 0S</t>
        </is>
      </c>
      <c r="AS46" s="1" t="inlineStr">
        <is>
          <t>8H 41M 45S</t>
        </is>
      </c>
      <c r="AT46" s="4" t="inlineStr">
        <is>
          <t>1D 8H 42M 0S</t>
        </is>
      </c>
      <c r="AU46" s="4" t="inlineStr">
        <is>
          <t>10M 0S</t>
        </is>
      </c>
      <c r="AV46" s="7" t="inlineStr">
        <is>
          <t>11H 32M 20S</t>
        </is>
      </c>
    </row>
    <row r="47" ht="15" customHeight="1" thickBot="1" thickTop="1">
      <c r="A47" s="10" t="inlineStr">
        <is>
          <t>THETAUSDT</t>
        </is>
      </c>
      <c r="B47" s="12" t="inlineStr">
        <is>
          <t>CRYPTO</t>
        </is>
      </c>
      <c r="C47" s="673" t="n">
        <v>4</v>
      </c>
      <c r="D47" s="674" t="n">
        <v>2</v>
      </c>
      <c r="E47" s="675" t="n">
        <v>2</v>
      </c>
      <c r="F47" s="676" t="n">
        <v>0</v>
      </c>
      <c r="G47" s="677" t="n">
        <v>4</v>
      </c>
      <c r="H47" s="678" t="n">
        <v>2</v>
      </c>
      <c r="I47" s="679" t="n">
        <v>2</v>
      </c>
      <c r="J47" s="680" t="n">
        <v>0</v>
      </c>
      <c r="K47" s="677" t="n">
        <v>0</v>
      </c>
      <c r="L47" s="678" t="n">
        <v>0</v>
      </c>
      <c r="M47" s="679" t="n">
        <v>0</v>
      </c>
      <c r="N47" s="680" t="n">
        <v>0</v>
      </c>
      <c r="O47" s="681" t="n">
        <v>2</v>
      </c>
      <c r="P47" s="681" t="n">
        <v>0</v>
      </c>
      <c r="Q47" s="12" t="n"/>
      <c r="R47" s="12" t="n"/>
      <c r="S47" s="673" t="n">
        <v>0</v>
      </c>
      <c r="T47" s="673" t="n">
        <v>0</v>
      </c>
      <c r="U47" s="677" t="n">
        <v>1</v>
      </c>
      <c r="V47" s="680" t="n">
        <v>3</v>
      </c>
      <c r="W47" s="673" t="n">
        <v>0</v>
      </c>
      <c r="X47" s="673" t="n">
        <v>0</v>
      </c>
      <c r="Y47" s="673" t="n">
        <v>0</v>
      </c>
      <c r="Z47" s="673" t="n">
        <v>0</v>
      </c>
      <c r="AA47" s="673" t="n">
        <v>0</v>
      </c>
      <c r="AB47" s="673" t="n">
        <v>0</v>
      </c>
      <c r="AC47" s="31" t="inlineStr">
        <is>
          <t>1H</t>
        </is>
      </c>
      <c r="AD47" s="5" t="inlineStr">
        <is>
          <t>1H</t>
        </is>
      </c>
      <c r="AE47" s="62" t="inlineStr">
        <is>
          <t>1H</t>
        </is>
      </c>
      <c r="AF47" s="682" t="n">
        <v>1.220277131713159</v>
      </c>
      <c r="AG47" s="683" t="n">
        <v>0.00937652396912593</v>
      </c>
      <c r="AH47" s="692" t="n">
        <v>0.002344130992281483</v>
      </c>
      <c r="AI47" s="33" t="n">
        <v>0.5</v>
      </c>
      <c r="AJ47" s="35" t="n">
        <v>0.04917103940233781</v>
      </c>
      <c r="AK47" s="3" t="n">
        <v>0.05494637697781716</v>
      </c>
      <c r="AL47" s="3" t="n">
        <v>0.04339570182685844</v>
      </c>
      <c r="AM47" s="39" t="inlineStr"/>
      <c r="AN47" s="35" t="n">
        <v>0.110881591899252</v>
      </c>
      <c r="AO47" s="3" t="n">
        <v>0.1099145508953441</v>
      </c>
      <c r="AP47" s="3" t="n">
        <v>0.1118486329031599</v>
      </c>
      <c r="AQ47" s="39" t="inlineStr"/>
      <c r="AR47" s="27" t="inlineStr">
        <is>
          <t>1H 32M 0S</t>
        </is>
      </c>
      <c r="AS47" s="1" t="inlineStr">
        <is>
          <t>12H 18M 15S</t>
        </is>
      </c>
      <c r="AT47" s="4" t="inlineStr">
        <is>
          <t>20H 47M 0S</t>
        </is>
      </c>
      <c r="AU47" s="4" t="inlineStr">
        <is>
          <t>11H 9M 30S</t>
        </is>
      </c>
      <c r="AV47" s="7" t="inlineStr">
        <is>
          <t>13H 27M 0S</t>
        </is>
      </c>
    </row>
    <row r="48" ht="15" customHeight="1" thickBot="1" thickTop="1">
      <c r="A48" s="10" t="inlineStr">
        <is>
          <t>BNTUSDT</t>
        </is>
      </c>
      <c r="B48" s="12" t="inlineStr">
        <is>
          <t>CRYPTO</t>
        </is>
      </c>
      <c r="C48" s="673" t="n">
        <v>3</v>
      </c>
      <c r="D48" s="674" t="n">
        <v>1</v>
      </c>
      <c r="E48" s="675" t="n">
        <v>2</v>
      </c>
      <c r="F48" s="676" t="n">
        <v>0</v>
      </c>
      <c r="G48" s="677" t="n">
        <v>3</v>
      </c>
      <c r="H48" s="678" t="n">
        <v>1</v>
      </c>
      <c r="I48" s="679" t="n">
        <v>2</v>
      </c>
      <c r="J48" s="680" t="n">
        <v>0</v>
      </c>
      <c r="K48" s="677" t="n">
        <v>0</v>
      </c>
      <c r="L48" s="678" t="n">
        <v>0</v>
      </c>
      <c r="M48" s="679" t="n">
        <v>0</v>
      </c>
      <c r="N48" s="680" t="n">
        <v>0</v>
      </c>
      <c r="O48" s="681" t="n">
        <v>2</v>
      </c>
      <c r="P48" s="681" t="n">
        <v>0</v>
      </c>
      <c r="Q48" s="28" t="n"/>
      <c r="R48" s="28" t="n"/>
      <c r="S48" s="673" t="n">
        <v>0</v>
      </c>
      <c r="T48" s="673" t="n">
        <v>0</v>
      </c>
      <c r="U48" s="677" t="n">
        <v>1</v>
      </c>
      <c r="V48" s="680" t="n">
        <v>2</v>
      </c>
      <c r="W48" s="673" t="n">
        <v>0</v>
      </c>
      <c r="X48" s="673" t="n">
        <v>0</v>
      </c>
      <c r="Y48" s="673" t="n">
        <v>0</v>
      </c>
      <c r="Z48" s="673" t="n">
        <v>0</v>
      </c>
      <c r="AA48" s="673" t="n">
        <v>0</v>
      </c>
      <c r="AB48" s="673" t="n">
        <v>0</v>
      </c>
      <c r="AC48" s="31" t="inlineStr">
        <is>
          <t>1H</t>
        </is>
      </c>
      <c r="AD48" s="5" t="inlineStr">
        <is>
          <t>1H</t>
        </is>
      </c>
      <c r="AE48" s="62" t="inlineStr">
        <is>
          <t>4H</t>
        </is>
      </c>
      <c r="AF48" s="682" t="n">
        <v>0.4576801326499873</v>
      </c>
      <c r="AG48" s="683" t="n">
        <v>0.006247576569172892</v>
      </c>
      <c r="AH48" s="692" t="n">
        <v>0.002082525523057631</v>
      </c>
      <c r="AI48" s="33" t="n">
        <v>0.3333333333333333</v>
      </c>
      <c r="AJ48" s="35" t="n">
        <v>0.05307536409034472</v>
      </c>
      <c r="AK48" s="3" t="n">
        <v>0.06956521739130432</v>
      </c>
      <c r="AL48" s="3" t="n">
        <v>0.04483043743986492</v>
      </c>
      <c r="AM48" s="39" t="inlineStr"/>
      <c r="AN48" s="35" t="n">
        <v>0.1508314502553009</v>
      </c>
      <c r="AO48" s="3" t="n">
        <v>0.1834502103786817</v>
      </c>
      <c r="AP48" s="3" t="n">
        <v>0.1345220701936104</v>
      </c>
      <c r="AQ48" s="39" t="inlineStr"/>
      <c r="AR48" s="27" t="inlineStr">
        <is>
          <t>2H 41M 0S</t>
        </is>
      </c>
      <c r="AS48" s="1" t="inlineStr">
        <is>
          <t>12H 53M 20S</t>
        </is>
      </c>
      <c r="AT48" s="4" t="inlineStr">
        <is>
          <t>19H 30M 0S</t>
        </is>
      </c>
      <c r="AU48" s="4" t="inlineStr">
        <is>
          <t>16H 29M 0S</t>
        </is>
      </c>
      <c r="AV48" s="7" t="inlineStr">
        <is>
          <t>11H 5M 30S</t>
        </is>
      </c>
    </row>
    <row r="49" ht="15" customHeight="1" thickBot="1" thickTop="1">
      <c r="A49" s="10" t="inlineStr">
        <is>
          <t>CTSIUSDT</t>
        </is>
      </c>
      <c r="B49" s="12" t="inlineStr">
        <is>
          <t>CRYPTO</t>
        </is>
      </c>
      <c r="C49" s="673" t="n">
        <v>3</v>
      </c>
      <c r="D49" s="674" t="n">
        <v>0</v>
      </c>
      <c r="E49" s="675" t="n">
        <v>3</v>
      </c>
      <c r="F49" s="676" t="n">
        <v>0</v>
      </c>
      <c r="G49" s="677" t="n">
        <v>3</v>
      </c>
      <c r="H49" s="678" t="n">
        <v>0</v>
      </c>
      <c r="I49" s="679" t="n">
        <v>3</v>
      </c>
      <c r="J49" s="680" t="n">
        <v>0</v>
      </c>
      <c r="K49" s="677" t="n">
        <v>0</v>
      </c>
      <c r="L49" s="678" t="n">
        <v>0</v>
      </c>
      <c r="M49" s="679" t="n">
        <v>0</v>
      </c>
      <c r="N49" s="680" t="n">
        <v>0</v>
      </c>
      <c r="O49" s="681" t="n">
        <v>0</v>
      </c>
      <c r="P49" s="681" t="n">
        <v>0</v>
      </c>
      <c r="Q49" s="28" t="n"/>
      <c r="R49" s="28" t="n"/>
      <c r="S49" s="673" t="n">
        <v>0</v>
      </c>
      <c r="T49" s="673" t="n">
        <v>0</v>
      </c>
      <c r="U49" s="677" t="n">
        <v>1</v>
      </c>
      <c r="V49" s="680" t="n">
        <v>2</v>
      </c>
      <c r="W49" s="673" t="n">
        <v>0</v>
      </c>
      <c r="X49" s="673" t="n">
        <v>0</v>
      </c>
      <c r="Y49" s="673" t="n">
        <v>0</v>
      </c>
      <c r="Z49" s="673" t="n">
        <v>0</v>
      </c>
      <c r="AA49" s="673" t="n">
        <v>0</v>
      </c>
      <c r="AB49" s="673" t="n">
        <v>0</v>
      </c>
      <c r="AC49" s="31" t="inlineStr">
        <is>
          <t>1H</t>
        </is>
      </c>
      <c r="AD49" s="5" t="inlineStr">
        <is>
          <t>1H</t>
        </is>
      </c>
      <c r="AE49" s="62" t="inlineStr">
        <is>
          <t>1H</t>
        </is>
      </c>
      <c r="AF49" s="690" t="n">
        <v>-2.641509433962264</v>
      </c>
      <c r="AG49" s="688" t="n">
        <v>-0.02448285960653084</v>
      </c>
      <c r="AH49" s="691" t="n">
        <v>-0.008160953202176946</v>
      </c>
      <c r="AI49" s="33" t="n">
        <v>0</v>
      </c>
      <c r="AJ49" s="35" t="n">
        <v>0.0511160154455905</v>
      </c>
      <c r="AK49" s="150" t="n"/>
      <c r="AL49" s="3" t="n">
        <v>0.0511160154455905</v>
      </c>
      <c r="AM49" s="39" t="inlineStr"/>
      <c r="AN49" s="35" t="n">
        <v>0.138235896225688</v>
      </c>
      <c r="AO49" s="150" t="n"/>
      <c r="AP49" s="3" t="n">
        <v>0.138235896225688</v>
      </c>
      <c r="AQ49" s="39" t="inlineStr"/>
      <c r="AR49" s="27" t="inlineStr">
        <is>
          <t>1H 47M 0S</t>
        </is>
      </c>
      <c r="AS49" s="1" t="inlineStr">
        <is>
          <t>3H 51M 40S</t>
        </is>
      </c>
      <c r="AT49" s="4" t="inlineStr">
        <is>
          <t>6H 9M 0S</t>
        </is>
      </c>
      <c r="AU49" s="4" t="n"/>
      <c r="AV49" s="7" t="inlineStr">
        <is>
          <t>3H 51M 40S</t>
        </is>
      </c>
    </row>
    <row r="50" ht="15" customHeight="1" thickBot="1" thickTop="1">
      <c r="A50" s="10" t="inlineStr">
        <is>
          <t>DOGEUSDT</t>
        </is>
      </c>
      <c r="B50" s="12" t="inlineStr">
        <is>
          <t>CRYPTO</t>
        </is>
      </c>
      <c r="C50" s="673" t="n">
        <v>3</v>
      </c>
      <c r="D50" s="674" t="n">
        <v>0</v>
      </c>
      <c r="E50" s="675" t="n">
        <v>3</v>
      </c>
      <c r="F50" s="676" t="n">
        <v>0</v>
      </c>
      <c r="G50" s="677" t="n">
        <v>2</v>
      </c>
      <c r="H50" s="678" t="n">
        <v>0</v>
      </c>
      <c r="I50" s="679" t="n">
        <v>2</v>
      </c>
      <c r="J50" s="680" t="n">
        <v>0</v>
      </c>
      <c r="K50" s="677" t="n">
        <v>1</v>
      </c>
      <c r="L50" s="678" t="n">
        <v>0</v>
      </c>
      <c r="M50" s="679" t="n">
        <v>1</v>
      </c>
      <c r="N50" s="680" t="n">
        <v>0</v>
      </c>
      <c r="O50" s="681" t="n">
        <v>0</v>
      </c>
      <c r="P50" s="681" t="n">
        <v>0</v>
      </c>
      <c r="Q50" s="28" t="n"/>
      <c r="R50" s="28" t="n"/>
      <c r="S50" s="673" t="n">
        <v>0</v>
      </c>
      <c r="T50" s="673" t="n">
        <v>0</v>
      </c>
      <c r="U50" s="677" t="n">
        <v>2</v>
      </c>
      <c r="V50" s="680" t="n">
        <v>1</v>
      </c>
      <c r="W50" s="673" t="n">
        <v>0</v>
      </c>
      <c r="X50" s="673" t="n">
        <v>0</v>
      </c>
      <c r="Y50" s="673" t="n">
        <v>0</v>
      </c>
      <c r="Z50" s="673" t="n">
        <v>0</v>
      </c>
      <c r="AA50" s="673" t="n">
        <v>0</v>
      </c>
      <c r="AB50" s="673" t="n">
        <v>0</v>
      </c>
      <c r="AC50" s="31" t="inlineStr">
        <is>
          <t>1MIN</t>
        </is>
      </c>
      <c r="AD50" s="5" t="inlineStr">
        <is>
          <t>15MIN</t>
        </is>
      </c>
      <c r="AE50" s="62" t="inlineStr">
        <is>
          <t>1MIN</t>
        </is>
      </c>
      <c r="AF50" s="690" t="n">
        <v>-3.192534099066755</v>
      </c>
      <c r="AG50" s="688" t="n">
        <v>-0.02803572668940201</v>
      </c>
      <c r="AH50" s="691" t="n">
        <v>-0.00934524222980067</v>
      </c>
      <c r="AI50" s="33" t="n">
        <v>0</v>
      </c>
      <c r="AJ50" s="35" t="n">
        <v>0.01369208598867448</v>
      </c>
      <c r="AK50" s="3" t="n"/>
      <c r="AL50" s="3" t="n">
        <v>0.01369208598867448</v>
      </c>
      <c r="AM50" s="39" t="inlineStr"/>
      <c r="AN50" s="35" t="n">
        <v>0.0528148649085564</v>
      </c>
      <c r="AO50" s="3" t="n"/>
      <c r="AP50" s="3" t="n">
        <v>0.0528148649085564</v>
      </c>
      <c r="AQ50" s="39" t="inlineStr"/>
      <c r="AR50" s="27" t="inlineStr">
        <is>
          <t>8M 0S</t>
        </is>
      </c>
      <c r="AS50" s="1" t="inlineStr">
        <is>
          <t>20M 0S</t>
        </is>
      </c>
      <c r="AT50" s="4" t="inlineStr">
        <is>
          <t>34M 0S</t>
        </is>
      </c>
      <c r="AU50" s="4" t="n"/>
      <c r="AV50" s="7" t="inlineStr">
        <is>
          <t>20M 0S</t>
        </is>
      </c>
    </row>
    <row r="51" ht="15" customHeight="1" thickBot="1" thickTop="1">
      <c r="A51" s="10" t="inlineStr">
        <is>
          <t>FTMUSDT</t>
        </is>
      </c>
      <c r="B51" s="12" t="inlineStr">
        <is>
          <t>CRYPTO</t>
        </is>
      </c>
      <c r="C51" s="673" t="n">
        <v>3</v>
      </c>
      <c r="D51" s="674" t="n">
        <v>1</v>
      </c>
      <c r="E51" s="675" t="n">
        <v>2</v>
      </c>
      <c r="F51" s="676" t="n">
        <v>0</v>
      </c>
      <c r="G51" s="677" t="n">
        <v>3</v>
      </c>
      <c r="H51" s="678" t="n">
        <v>1</v>
      </c>
      <c r="I51" s="679" t="n">
        <v>2</v>
      </c>
      <c r="J51" s="680" t="n">
        <v>0</v>
      </c>
      <c r="K51" s="677" t="n">
        <v>0</v>
      </c>
      <c r="L51" s="678" t="n">
        <v>0</v>
      </c>
      <c r="M51" s="679" t="n">
        <v>0</v>
      </c>
      <c r="N51" s="680" t="n">
        <v>0</v>
      </c>
      <c r="O51" s="681" t="n">
        <v>3</v>
      </c>
      <c r="P51" s="681" t="n">
        <v>0</v>
      </c>
      <c r="Q51" s="28" t="n"/>
      <c r="R51" s="28" t="n"/>
      <c r="S51" s="673" t="n">
        <v>0</v>
      </c>
      <c r="T51" s="673" t="n">
        <v>0</v>
      </c>
      <c r="U51" s="677" t="n">
        <v>0</v>
      </c>
      <c r="V51" s="680" t="n">
        <v>3</v>
      </c>
      <c r="W51" s="673" t="n">
        <v>0</v>
      </c>
      <c r="X51" s="673" t="n">
        <v>0</v>
      </c>
      <c r="Y51" s="673" t="n">
        <v>0</v>
      </c>
      <c r="Z51" s="673" t="n">
        <v>1</v>
      </c>
      <c r="AA51" s="673" t="n">
        <v>0</v>
      </c>
      <c r="AB51" s="673" t="n">
        <v>0</v>
      </c>
      <c r="AC51" s="31" t="inlineStr">
        <is>
          <t>4H</t>
        </is>
      </c>
      <c r="AD51" s="5" t="inlineStr">
        <is>
          <t>4H</t>
        </is>
      </c>
      <c r="AE51" s="62" t="inlineStr">
        <is>
          <t>4H</t>
        </is>
      </c>
      <c r="AF51" s="682" t="n">
        <v>3.537598204264871</v>
      </c>
      <c r="AG51" s="683" t="n">
        <v>0.0331989121057245</v>
      </c>
      <c r="AH51" s="692" t="n">
        <v>0.0110663040352415</v>
      </c>
      <c r="AI51" s="33" t="n">
        <v>0.3333333333333333</v>
      </c>
      <c r="AJ51" s="35" t="n">
        <v>0.09842330753501169</v>
      </c>
      <c r="AK51" s="3" t="n">
        <v>0.07377049180327869</v>
      </c>
      <c r="AL51" s="3" t="n">
        <v>0.1107497154008782</v>
      </c>
      <c r="AM51" s="39" t="inlineStr"/>
      <c r="AN51" s="35" t="n">
        <v>0.3007243991197133</v>
      </c>
      <c r="AO51" s="3" t="n">
        <v>0.2240437158469945</v>
      </c>
      <c r="AP51" s="3" t="n">
        <v>0.3390647407560726</v>
      </c>
      <c r="AQ51" s="39" t="inlineStr"/>
      <c r="AR51" s="27" t="inlineStr">
        <is>
          <t>11H 39M 0S</t>
        </is>
      </c>
      <c r="AS51" s="1" t="inlineStr">
        <is>
          <t>1D 15H 52M 0S</t>
        </is>
      </c>
      <c r="AT51" s="4" t="inlineStr">
        <is>
          <t>3D 16H 26M 0S</t>
        </is>
      </c>
      <c r="AU51" s="4" t="inlineStr">
        <is>
          <t>11H 39M 0S</t>
        </is>
      </c>
      <c r="AV51" s="7" t="inlineStr">
        <is>
          <t>2D 5H 58M 30S</t>
        </is>
      </c>
    </row>
    <row r="52" ht="15" customHeight="1" thickBot="1" thickTop="1">
      <c r="A52" s="10" t="inlineStr">
        <is>
          <t>KEYUSDT</t>
        </is>
      </c>
      <c r="B52" s="12" t="inlineStr">
        <is>
          <t>CRYPTO</t>
        </is>
      </c>
      <c r="C52" s="673" t="n">
        <v>3</v>
      </c>
      <c r="D52" s="674" t="n">
        <v>0</v>
      </c>
      <c r="E52" s="675" t="n">
        <v>3</v>
      </c>
      <c r="F52" s="676" t="n">
        <v>0</v>
      </c>
      <c r="G52" s="677" t="n">
        <v>3</v>
      </c>
      <c r="H52" s="678" t="n">
        <v>0</v>
      </c>
      <c r="I52" s="679" t="n">
        <v>3</v>
      </c>
      <c r="J52" s="680" t="n">
        <v>0</v>
      </c>
      <c r="K52" s="677" t="n">
        <v>0</v>
      </c>
      <c r="L52" s="678" t="n">
        <v>0</v>
      </c>
      <c r="M52" s="679" t="n">
        <v>0</v>
      </c>
      <c r="N52" s="680" t="n">
        <v>0</v>
      </c>
      <c r="O52" s="681" t="n">
        <v>0</v>
      </c>
      <c r="P52" s="681" t="n">
        <v>0</v>
      </c>
      <c r="Q52" s="28" t="n"/>
      <c r="R52" s="28" t="n"/>
      <c r="S52" s="673" t="n">
        <v>0</v>
      </c>
      <c r="T52" s="673" t="n">
        <v>0</v>
      </c>
      <c r="U52" s="677" t="n">
        <v>0</v>
      </c>
      <c r="V52" s="680" t="n">
        <v>3</v>
      </c>
      <c r="W52" s="673" t="n">
        <v>0</v>
      </c>
      <c r="X52" s="673" t="n">
        <v>0</v>
      </c>
      <c r="Y52" s="673" t="n">
        <v>0</v>
      </c>
      <c r="Z52" s="673" t="n">
        <v>0</v>
      </c>
      <c r="AA52" s="673" t="n">
        <v>0</v>
      </c>
      <c r="AB52" s="673" t="n">
        <v>0</v>
      </c>
      <c r="AC52" s="31" t="inlineStr">
        <is>
          <t>1H</t>
        </is>
      </c>
      <c r="AD52" s="5" t="inlineStr">
        <is>
          <t>1H</t>
        </is>
      </c>
      <c r="AE52" s="62" t="inlineStr">
        <is>
          <t>1H</t>
        </is>
      </c>
      <c r="AF52" s="690" t="n">
        <v>-2.444460409012227</v>
      </c>
      <c r="AG52" s="688" t="n">
        <v>-0.02113841555220578</v>
      </c>
      <c r="AH52" s="691" t="n">
        <v>-0.007046138517401927</v>
      </c>
      <c r="AI52" s="33" t="n">
        <v>0</v>
      </c>
      <c r="AJ52" s="35" t="n">
        <v>0.07281378432554494</v>
      </c>
      <c r="AK52" s="150" t="n"/>
      <c r="AL52" s="3" t="n">
        <v>0.07281378432554494</v>
      </c>
      <c r="AM52" s="39" t="inlineStr"/>
      <c r="AN52" s="35" t="n">
        <v>0.1482993155292767</v>
      </c>
      <c r="AO52" s="150" t="n"/>
      <c r="AP52" s="3" t="n">
        <v>0.1482993155292767</v>
      </c>
      <c r="AQ52" s="39" t="inlineStr"/>
      <c r="AR52" s="27" t="inlineStr">
        <is>
          <t>1H 3M 0S</t>
        </is>
      </c>
      <c r="AS52" s="1" t="inlineStr">
        <is>
          <t>5H 2M 40S</t>
        </is>
      </c>
      <c r="AT52" s="4" t="inlineStr">
        <is>
          <t>9H 15M 0S</t>
        </is>
      </c>
      <c r="AU52" s="4" t="n"/>
      <c r="AV52" s="7" t="inlineStr">
        <is>
          <t>5H 2M 40S</t>
        </is>
      </c>
    </row>
    <row r="53" ht="15" customHeight="1" thickBot="1" thickTop="1">
      <c r="A53" s="10" t="inlineStr">
        <is>
          <t>OGNUSDT</t>
        </is>
      </c>
      <c r="B53" s="12" t="inlineStr">
        <is>
          <t>CRYPTO</t>
        </is>
      </c>
      <c r="C53" s="673" t="n">
        <v>3</v>
      </c>
      <c r="D53" s="674" t="n">
        <v>1</v>
      </c>
      <c r="E53" s="675" t="n">
        <v>2</v>
      </c>
      <c r="F53" s="676" t="n">
        <v>0</v>
      </c>
      <c r="G53" s="677" t="n">
        <v>3</v>
      </c>
      <c r="H53" s="678" t="n">
        <v>1</v>
      </c>
      <c r="I53" s="679" t="n">
        <v>2</v>
      </c>
      <c r="J53" s="680" t="n">
        <v>0</v>
      </c>
      <c r="K53" s="677" t="n">
        <v>0</v>
      </c>
      <c r="L53" s="678" t="n">
        <v>0</v>
      </c>
      <c r="M53" s="679" t="n">
        <v>0</v>
      </c>
      <c r="N53" s="680" t="n">
        <v>0</v>
      </c>
      <c r="O53" s="681" t="n">
        <v>0</v>
      </c>
      <c r="P53" s="681" t="n">
        <v>0</v>
      </c>
      <c r="Q53" s="12" t="inlineStr">
        <is>
          <t>channel</t>
        </is>
      </c>
      <c r="R53" s="28" t="n"/>
      <c r="S53" s="673" t="n">
        <v>0</v>
      </c>
      <c r="T53" s="673" t="n">
        <v>0</v>
      </c>
      <c r="U53" s="677" t="n">
        <v>1</v>
      </c>
      <c r="V53" s="680" t="n">
        <v>2</v>
      </c>
      <c r="W53" s="673" t="n">
        <v>0</v>
      </c>
      <c r="X53" s="673" t="n">
        <v>0</v>
      </c>
      <c r="Y53" s="673" t="n">
        <v>0</v>
      </c>
      <c r="Z53" s="673" t="n">
        <v>0</v>
      </c>
      <c r="AA53" s="673" t="n">
        <v>0</v>
      </c>
      <c r="AB53" s="673" t="n">
        <v>0</v>
      </c>
      <c r="AC53" s="31" t="inlineStr">
        <is>
          <t>5MIN</t>
        </is>
      </c>
      <c r="AD53" s="5" t="inlineStr">
        <is>
          <t>5MIN</t>
        </is>
      </c>
      <c r="AE53" s="62" t="inlineStr">
        <is>
          <t>1H</t>
        </is>
      </c>
      <c r="AF53" s="682" t="n">
        <v>0.2840223463687149</v>
      </c>
      <c r="AG53" s="683" t="n">
        <v>0.002892275689514652</v>
      </c>
      <c r="AH53" s="684" t="n">
        <v>0.0009640918965048839</v>
      </c>
      <c r="AI53" s="33" t="n">
        <v>0.3333333333333333</v>
      </c>
      <c r="AJ53" s="35" t="n">
        <v>0.03957545118614361</v>
      </c>
      <c r="AK53" s="3" t="n">
        <v>0.02490039840637452</v>
      </c>
      <c r="AL53" s="3" t="n">
        <v>0.04691297757602816</v>
      </c>
      <c r="AM53" s="39" t="inlineStr"/>
      <c r="AN53" s="35" t="n">
        <v>0.1542933030847901</v>
      </c>
      <c r="AO53" s="3" t="n">
        <v>0.04980079681274892</v>
      </c>
      <c r="AP53" s="3" t="n">
        <v>0.2065395562208107</v>
      </c>
      <c r="AQ53" s="39" t="inlineStr"/>
      <c r="AR53" s="27" t="inlineStr">
        <is>
          <t>13M 0S</t>
        </is>
      </c>
      <c r="AS53" s="1" t="inlineStr">
        <is>
          <t>17H 5M 20S</t>
        </is>
      </c>
      <c r="AT53" s="4" t="inlineStr">
        <is>
          <t>1D 9H 10M 0S</t>
        </is>
      </c>
      <c r="AU53" s="4" t="inlineStr">
        <is>
          <t>13M 0S</t>
        </is>
      </c>
      <c r="AV53" s="7" t="inlineStr">
        <is>
          <t>1D 1H 31M 30S</t>
        </is>
      </c>
    </row>
    <row r="54" ht="15" customHeight="1" thickBot="1" thickTop="1">
      <c r="A54" s="10" t="inlineStr">
        <is>
          <t>TRXUSDT</t>
        </is>
      </c>
      <c r="B54" s="12" t="inlineStr">
        <is>
          <t>CRYPTO</t>
        </is>
      </c>
      <c r="C54" s="673" t="n">
        <v>3</v>
      </c>
      <c r="D54" s="674" t="n">
        <v>0</v>
      </c>
      <c r="E54" s="675" t="n">
        <v>3</v>
      </c>
      <c r="F54" s="676" t="n">
        <v>0</v>
      </c>
      <c r="G54" s="677" t="n">
        <v>3</v>
      </c>
      <c r="H54" s="678" t="n">
        <v>0</v>
      </c>
      <c r="I54" s="679" t="n">
        <v>3</v>
      </c>
      <c r="J54" s="680" t="n">
        <v>0</v>
      </c>
      <c r="K54" s="677" t="n">
        <v>0</v>
      </c>
      <c r="L54" s="678" t="n">
        <v>0</v>
      </c>
      <c r="M54" s="679" t="n">
        <v>0</v>
      </c>
      <c r="N54" s="680" t="n">
        <v>0</v>
      </c>
      <c r="O54" s="681" t="n">
        <v>0</v>
      </c>
      <c r="P54" s="681" t="n">
        <v>0</v>
      </c>
      <c r="Q54" s="28" t="n"/>
      <c r="R54" s="28" t="n"/>
      <c r="S54" s="673" t="n">
        <v>0</v>
      </c>
      <c r="T54" s="673" t="n">
        <v>0</v>
      </c>
      <c r="U54" s="677" t="n">
        <v>0</v>
      </c>
      <c r="V54" s="680" t="n">
        <v>2</v>
      </c>
      <c r="W54" s="673" t="n">
        <v>0</v>
      </c>
      <c r="X54" s="673" t="n">
        <v>0</v>
      </c>
      <c r="Y54" s="673" t="n">
        <v>0</v>
      </c>
      <c r="Z54" s="673" t="n">
        <v>0</v>
      </c>
      <c r="AA54" s="673" t="n">
        <v>0</v>
      </c>
      <c r="AB54" s="673" t="n">
        <v>0</v>
      </c>
      <c r="AC54" s="31" t="inlineStr">
        <is>
          <t>4H</t>
        </is>
      </c>
      <c r="AD54" s="5" t="inlineStr">
        <is>
          <t>15MIN</t>
        </is>
      </c>
      <c r="AE54" s="62" t="inlineStr">
        <is>
          <t>4H</t>
        </is>
      </c>
      <c r="AF54" s="690" t="n">
        <v>-3.008915636735118</v>
      </c>
      <c r="AG54" s="688" t="n">
        <v>-0.02477142186613165</v>
      </c>
      <c r="AH54" s="691" t="n">
        <v>-0.008257140622043883</v>
      </c>
      <c r="AI54" s="33" t="n">
        <v>0</v>
      </c>
      <c r="AJ54" s="35" t="n">
        <v>0.06060922655619959</v>
      </c>
      <c r="AK54" s="3" t="n"/>
      <c r="AL54" s="3" t="n">
        <v>0.06060922655619959</v>
      </c>
      <c r="AM54" s="39" t="inlineStr"/>
      <c r="AN54" s="35" t="n">
        <v>0.1885711148486729</v>
      </c>
      <c r="AO54" s="3" t="n"/>
      <c r="AP54" s="3" t="n">
        <v>0.1885711148486729</v>
      </c>
      <c r="AQ54" s="39" t="inlineStr"/>
      <c r="AR54" s="27" t="inlineStr">
        <is>
          <t>1M 0S</t>
        </is>
      </c>
      <c r="AS54" s="1" t="inlineStr">
        <is>
          <t>3D 10H 53M 40S</t>
        </is>
      </c>
      <c r="AT54" s="4" t="inlineStr">
        <is>
          <t>10D 8H 39M 0S</t>
        </is>
      </c>
      <c r="AU54" s="4" t="n"/>
      <c r="AV54" s="7" t="inlineStr">
        <is>
          <t>3D 10H 53M 40S</t>
        </is>
      </c>
    </row>
    <row r="55" ht="15" customHeight="1" thickBot="1" thickTop="1">
      <c r="A55" s="10" t="inlineStr">
        <is>
          <t>USDCNH</t>
        </is>
      </c>
      <c r="B55" s="12" t="inlineStr">
        <is>
          <t>FX</t>
        </is>
      </c>
      <c r="C55" s="673" t="n">
        <v>3</v>
      </c>
      <c r="D55" s="674" t="n">
        <v>0</v>
      </c>
      <c r="E55" s="675" t="n">
        <v>3</v>
      </c>
      <c r="F55" s="676" t="n">
        <v>0</v>
      </c>
      <c r="G55" s="677" t="n">
        <v>3</v>
      </c>
      <c r="H55" s="678" t="n">
        <v>0</v>
      </c>
      <c r="I55" s="679" t="n">
        <v>3</v>
      </c>
      <c r="J55" s="680" t="n">
        <v>0</v>
      </c>
      <c r="K55" s="677" t="n">
        <v>0</v>
      </c>
      <c r="L55" s="678" t="n">
        <v>0</v>
      </c>
      <c r="M55" s="679" t="n">
        <v>0</v>
      </c>
      <c r="N55" s="680" t="n">
        <v>0</v>
      </c>
      <c r="O55" s="681" t="n">
        <v>1</v>
      </c>
      <c r="P55" s="681" t="n">
        <v>0</v>
      </c>
      <c r="Q55" s="28" t="n"/>
      <c r="R55" s="28" t="n"/>
      <c r="S55" s="673" t="n">
        <v>0</v>
      </c>
      <c r="T55" s="673" t="n">
        <v>0</v>
      </c>
      <c r="U55" s="677" t="n">
        <v>0</v>
      </c>
      <c r="V55" s="680" t="n">
        <v>3</v>
      </c>
      <c r="W55" s="673" t="n">
        <v>0</v>
      </c>
      <c r="X55" s="673" t="n">
        <v>0</v>
      </c>
      <c r="Y55" s="673" t="n">
        <v>0</v>
      </c>
      <c r="Z55" s="673" t="n">
        <v>0</v>
      </c>
      <c r="AA55" s="673" t="n">
        <v>0</v>
      </c>
      <c r="AB55" s="673" t="n">
        <v>0</v>
      </c>
      <c r="AC55" s="31" t="inlineStr">
        <is>
          <t>1H</t>
        </is>
      </c>
      <c r="AD55" s="5" t="inlineStr">
        <is>
          <t>1H</t>
        </is>
      </c>
      <c r="AE55" s="62" t="inlineStr">
        <is>
          <t>1H</t>
        </is>
      </c>
      <c r="AF55" s="690" t="n">
        <v>-2.059210870133351</v>
      </c>
      <c r="AG55" s="688" t="n">
        <v>-0.01993311298228939</v>
      </c>
      <c r="AH55" s="691" t="n">
        <v>-0.006644370994096463</v>
      </c>
      <c r="AI55" s="33" t="n">
        <v>0</v>
      </c>
      <c r="AJ55" s="35" t="n">
        <v>0.001197751514520316</v>
      </c>
      <c r="AK55" s="3" t="n"/>
      <c r="AL55" s="3" t="n">
        <v>0.001197751514520316</v>
      </c>
      <c r="AM55" s="39" t="inlineStr"/>
      <c r="AN55" s="35" t="n">
        <v>0.002402687996832212</v>
      </c>
      <c r="AO55" s="3" t="n"/>
      <c r="AP55" s="3" t="n">
        <v>0.002402687996832212</v>
      </c>
      <c r="AQ55" s="39" t="inlineStr"/>
      <c r="AR55" s="27" t="inlineStr">
        <is>
          <t>19M 0S</t>
        </is>
      </c>
      <c r="AS55" s="1" t="inlineStr">
        <is>
          <t>8H 40M 0S</t>
        </is>
      </c>
      <c r="AT55" s="4" t="inlineStr">
        <is>
          <t>19H 45M 0S</t>
        </is>
      </c>
      <c r="AU55" s="4" t="n"/>
      <c r="AV55" s="7" t="inlineStr">
        <is>
          <t>8H 40M 0S</t>
        </is>
      </c>
    </row>
    <row r="56" ht="15" customHeight="1" thickBot="1" thickTop="1">
      <c r="A56" s="10" t="inlineStr">
        <is>
          <t>UXLINKUSDT</t>
        </is>
      </c>
      <c r="B56" s="12" t="inlineStr">
        <is>
          <t>CRYPTO</t>
        </is>
      </c>
      <c r="C56" s="673" t="n">
        <v>3</v>
      </c>
      <c r="D56" s="674" t="n">
        <v>2</v>
      </c>
      <c r="E56" s="675" t="n">
        <v>1</v>
      </c>
      <c r="F56" s="676" t="n">
        <v>0</v>
      </c>
      <c r="G56" s="677" t="n">
        <v>1</v>
      </c>
      <c r="H56" s="678" t="n">
        <v>1</v>
      </c>
      <c r="I56" s="679" t="n">
        <v>0</v>
      </c>
      <c r="J56" s="680" t="n">
        <v>0</v>
      </c>
      <c r="K56" s="677" t="n">
        <v>2</v>
      </c>
      <c r="L56" s="678" t="n">
        <v>1</v>
      </c>
      <c r="M56" s="679" t="n">
        <v>1</v>
      </c>
      <c r="N56" s="680" t="n">
        <v>0</v>
      </c>
      <c r="O56" s="681" t="n">
        <v>0</v>
      </c>
      <c r="P56" s="681" t="n">
        <v>0</v>
      </c>
      <c r="Q56" s="12" t="inlineStr">
        <is>
          <t>channel</t>
        </is>
      </c>
      <c r="R56" s="28" t="n"/>
      <c r="S56" s="673" t="n">
        <v>0</v>
      </c>
      <c r="T56" s="673" t="n">
        <v>0</v>
      </c>
      <c r="U56" s="677" t="n">
        <v>1</v>
      </c>
      <c r="V56" s="680" t="n">
        <v>2</v>
      </c>
      <c r="W56" s="673" t="n">
        <v>0</v>
      </c>
      <c r="X56" s="673" t="n">
        <v>0</v>
      </c>
      <c r="Y56" s="673" t="n">
        <v>0</v>
      </c>
      <c r="Z56" s="673" t="n">
        <v>2</v>
      </c>
      <c r="AA56" s="673" t="n">
        <v>0</v>
      </c>
      <c r="AB56" s="673" t="n">
        <v>1</v>
      </c>
      <c r="AC56" s="31" t="inlineStr">
        <is>
          <t>15MIN</t>
        </is>
      </c>
      <c r="AD56" s="5" t="inlineStr">
        <is>
          <t>1MIN</t>
        </is>
      </c>
      <c r="AE56" s="62" t="inlineStr">
        <is>
          <t>15MIN</t>
        </is>
      </c>
      <c r="AF56" s="682" t="n">
        <v>1.99999999999998</v>
      </c>
      <c r="AG56" s="683" t="n">
        <v>0.01792578407926973</v>
      </c>
      <c r="AH56" s="692" t="n">
        <v>0.005975261359756578</v>
      </c>
      <c r="AI56" s="33" t="n">
        <v>0.6666666666666665</v>
      </c>
      <c r="AJ56" s="35" t="n">
        <v>0.00929988538866075</v>
      </c>
      <c r="AK56" s="3" t="n">
        <v>0.006952085419334258</v>
      </c>
      <c r="AL56" s="3" t="n">
        <v>0.01399548532731373</v>
      </c>
      <c r="AM56" s="687" t="inlineStr">
        <is>
          <t>Decrease stop — Recommended: 0.70% (0.70 pp below loss average)</t>
        </is>
      </c>
      <c r="AN56" s="35" t="n">
        <v>0.01859977077732141</v>
      </c>
      <c r="AO56" s="3" t="n">
        <v>0.01390417083866839</v>
      </c>
      <c r="AP56" s="3" t="n">
        <v>0.02799097065462746</v>
      </c>
      <c r="AQ56" s="687" t="inlineStr">
        <is>
          <t>Target unchanged — Recommended: 2.00R (current median: 2.00R)</t>
        </is>
      </c>
      <c r="AR56" s="27" t="inlineStr">
        <is>
          <t>14M 0S</t>
        </is>
      </c>
      <c r="AS56" s="1" t="inlineStr">
        <is>
          <t>38M 40S</t>
        </is>
      </c>
      <c r="AT56" s="4" t="inlineStr">
        <is>
          <t>1H 20M 0S</t>
        </is>
      </c>
      <c r="AU56" s="4" t="inlineStr">
        <is>
          <t>18M 0S</t>
        </is>
      </c>
      <c r="AV56" s="7" t="inlineStr">
        <is>
          <t>1H 20M 0S</t>
        </is>
      </c>
    </row>
    <row r="57" ht="15" customHeight="1" thickBot="1" thickTop="1">
      <c r="A57" s="10" t="inlineStr">
        <is>
          <t>XLMUSDT</t>
        </is>
      </c>
      <c r="B57" s="12" t="inlineStr">
        <is>
          <t>CRYPTO</t>
        </is>
      </c>
      <c r="C57" s="673" t="n">
        <v>3</v>
      </c>
      <c r="D57" s="674" t="n">
        <v>1</v>
      </c>
      <c r="E57" s="675" t="n">
        <v>2</v>
      </c>
      <c r="F57" s="676" t="n">
        <v>0</v>
      </c>
      <c r="G57" s="677" t="n">
        <v>3</v>
      </c>
      <c r="H57" s="678" t="n">
        <v>1</v>
      </c>
      <c r="I57" s="679" t="n">
        <v>2</v>
      </c>
      <c r="J57" s="680" t="n">
        <v>0</v>
      </c>
      <c r="K57" s="677" t="n">
        <v>0</v>
      </c>
      <c r="L57" s="678" t="n">
        <v>0</v>
      </c>
      <c r="M57" s="679" t="n">
        <v>0</v>
      </c>
      <c r="N57" s="680" t="n">
        <v>0</v>
      </c>
      <c r="O57" s="681" t="n">
        <v>0</v>
      </c>
      <c r="P57" s="681" t="n">
        <v>0</v>
      </c>
      <c r="Q57" s="12" t="inlineStr">
        <is>
          <t>channel</t>
        </is>
      </c>
      <c r="R57" s="12" t="n"/>
      <c r="S57" s="673" t="n">
        <v>0</v>
      </c>
      <c r="T57" s="673" t="n">
        <v>0</v>
      </c>
      <c r="U57" s="677" t="n">
        <v>1</v>
      </c>
      <c r="V57" s="680" t="n">
        <v>2</v>
      </c>
      <c r="W57" s="673" t="n">
        <v>0</v>
      </c>
      <c r="X57" s="673" t="n">
        <v>0</v>
      </c>
      <c r="Y57" s="673" t="n">
        <v>0</v>
      </c>
      <c r="Z57" s="673" t="n">
        <v>1</v>
      </c>
      <c r="AA57" s="673" t="n">
        <v>1</v>
      </c>
      <c r="AB57" s="673" t="n">
        <v>1</v>
      </c>
      <c r="AC57" s="31" t="inlineStr">
        <is>
          <t>15MIN</t>
        </is>
      </c>
      <c r="AD57" s="5" t="inlineStr">
        <is>
          <t>15MIN</t>
        </is>
      </c>
      <c r="AE57" s="62" t="inlineStr">
        <is>
          <t>15MIN</t>
        </is>
      </c>
      <c r="AF57" s="682" t="n">
        <v>0.2937642369019881</v>
      </c>
      <c r="AG57" s="693" t="n">
        <v>0.0007559809712021571</v>
      </c>
      <c r="AH57" s="684" t="n">
        <v>0.0002519936570673857</v>
      </c>
      <c r="AI57" s="33" t="n">
        <v>0.3333333333333333</v>
      </c>
      <c r="AJ57" s="35" t="n">
        <v>0.01845322961440743</v>
      </c>
      <c r="AK57" s="3" t="n">
        <v>0.006097560975609931</v>
      </c>
      <c r="AL57" s="3" t="n">
        <v>0.02463106393380618</v>
      </c>
      <c r="AM57" s="687" t="inlineStr">
        <is>
          <t>Decrease stop — Recommended: 0.61% (1.85 pp below loss average)</t>
        </is>
      </c>
      <c r="AN57" s="35" t="n">
        <v>0.03690645922881485</v>
      </c>
      <c r="AO57" s="3" t="n">
        <v>0.01219512195121944</v>
      </c>
      <c r="AP57" s="3" t="n">
        <v>0.04926212786761255</v>
      </c>
      <c r="AQ57" s="687" t="inlineStr">
        <is>
          <t>Target unchanged — Recommended: 2.00R (current median: 2.00R)</t>
        </is>
      </c>
      <c r="AR57" s="27" t="inlineStr">
        <is>
          <t>1H 15M 0S</t>
        </is>
      </c>
      <c r="AS57" s="1" t="inlineStr">
        <is>
          <t>6H 18M 40S</t>
        </is>
      </c>
      <c r="AT57" s="4" t="inlineStr">
        <is>
          <t>14H 34M 0S</t>
        </is>
      </c>
      <c r="AU57" s="4" t="inlineStr">
        <is>
          <t>1H 15M 0S</t>
        </is>
      </c>
      <c r="AV57" s="7" t="inlineStr">
        <is>
          <t>8H 50M 30S</t>
        </is>
      </c>
    </row>
    <row r="58" ht="15" customHeight="1" thickBot="1" thickTop="1">
      <c r="A58" s="10" t="inlineStr">
        <is>
          <t>ZILUSDT</t>
        </is>
      </c>
      <c r="B58" s="12" t="inlineStr">
        <is>
          <t>CRYPTO</t>
        </is>
      </c>
      <c r="C58" s="673" t="n">
        <v>3</v>
      </c>
      <c r="D58" s="674" t="n">
        <v>0</v>
      </c>
      <c r="E58" s="675" t="n">
        <v>3</v>
      </c>
      <c r="F58" s="676" t="n">
        <v>0</v>
      </c>
      <c r="G58" s="677" t="n">
        <v>3</v>
      </c>
      <c r="H58" s="678" t="n">
        <v>0</v>
      </c>
      <c r="I58" s="679" t="n">
        <v>3</v>
      </c>
      <c r="J58" s="680" t="n">
        <v>0</v>
      </c>
      <c r="K58" s="677" t="n">
        <v>0</v>
      </c>
      <c r="L58" s="678" t="n">
        <v>0</v>
      </c>
      <c r="M58" s="679" t="n">
        <v>0</v>
      </c>
      <c r="N58" s="680" t="n">
        <v>0</v>
      </c>
      <c r="O58" s="681" t="n">
        <v>2</v>
      </c>
      <c r="P58" s="681" t="n">
        <v>0</v>
      </c>
      <c r="Q58" s="12" t="n"/>
      <c r="R58" s="12" t="n"/>
      <c r="S58" s="673" t="n">
        <v>0</v>
      </c>
      <c r="T58" s="673" t="n">
        <v>0</v>
      </c>
      <c r="U58" s="677" t="n">
        <v>3</v>
      </c>
      <c r="V58" s="680" t="n">
        <v>0</v>
      </c>
      <c r="W58" s="673" t="n">
        <v>0</v>
      </c>
      <c r="X58" s="673" t="n">
        <v>1</v>
      </c>
      <c r="Y58" s="673" t="n">
        <v>0</v>
      </c>
      <c r="Z58" s="673" t="n">
        <v>0</v>
      </c>
      <c r="AA58" s="673" t="n">
        <v>0</v>
      </c>
      <c r="AB58" s="673" t="n">
        <v>0</v>
      </c>
      <c r="AC58" s="31" t="inlineStr">
        <is>
          <t>1H</t>
        </is>
      </c>
      <c r="AD58" s="5" t="inlineStr">
        <is>
          <t>1H</t>
        </is>
      </c>
      <c r="AE58" s="62" t="inlineStr">
        <is>
          <t>1H</t>
        </is>
      </c>
      <c r="AF58" s="690" t="n">
        <v>-0.8695652173913049</v>
      </c>
      <c r="AG58" s="688" t="n">
        <v>-0.00881588679918472</v>
      </c>
      <c r="AH58" s="691" t="n">
        <v>-0.002938628933061573</v>
      </c>
      <c r="AI58" s="33" t="n">
        <v>0</v>
      </c>
      <c r="AJ58" s="35" t="n">
        <v>0.07022783443019974</v>
      </c>
      <c r="AK58" s="3" t="n"/>
      <c r="AL58" s="3" t="n">
        <v>0.07022783443019974</v>
      </c>
      <c r="AM58" s="39" t="inlineStr"/>
      <c r="AN58" s="35" t="n">
        <v>0.2051920150972986</v>
      </c>
      <c r="AO58" s="3" t="n"/>
      <c r="AP58" s="3" t="n">
        <v>0.2051920150972986</v>
      </c>
      <c r="AQ58" s="39" t="inlineStr"/>
      <c r="AR58" s="27" t="inlineStr">
        <is>
          <t>4H 25M 0S</t>
        </is>
      </c>
      <c r="AS58" s="1" t="inlineStr">
        <is>
          <t>5H 51M 20S</t>
        </is>
      </c>
      <c r="AT58" s="4" t="inlineStr">
        <is>
          <t>7H 25M 0S</t>
        </is>
      </c>
      <c r="AU58" s="4" t="n"/>
      <c r="AV58" s="7" t="inlineStr">
        <is>
          <t>5H 51M 20S</t>
        </is>
      </c>
    </row>
    <row r="59" ht="15" customHeight="1" thickBot="1" thickTop="1">
      <c r="A59" s="10" t="inlineStr">
        <is>
          <t>ANKRUSDT</t>
        </is>
      </c>
      <c r="B59" s="12" t="inlineStr">
        <is>
          <t>CRYPTO</t>
        </is>
      </c>
      <c r="C59" s="673" t="n">
        <v>2</v>
      </c>
      <c r="D59" s="674" t="n">
        <v>1</v>
      </c>
      <c r="E59" s="675" t="n">
        <v>1</v>
      </c>
      <c r="F59" s="676" t="n">
        <v>0</v>
      </c>
      <c r="G59" s="677" t="n">
        <v>2</v>
      </c>
      <c r="H59" s="678" t="n">
        <v>1</v>
      </c>
      <c r="I59" s="679" t="n">
        <v>1</v>
      </c>
      <c r="J59" s="680" t="n">
        <v>0</v>
      </c>
      <c r="K59" s="677" t="n">
        <v>0</v>
      </c>
      <c r="L59" s="678" t="n">
        <v>0</v>
      </c>
      <c r="M59" s="679" t="n">
        <v>0</v>
      </c>
      <c r="N59" s="680" t="n">
        <v>0</v>
      </c>
      <c r="O59" s="681" t="n">
        <v>1</v>
      </c>
      <c r="P59" s="681" t="n">
        <v>0</v>
      </c>
      <c r="Q59" s="12" t="n"/>
      <c r="R59" s="28" t="n"/>
      <c r="S59" s="673" t="n">
        <v>0</v>
      </c>
      <c r="T59" s="673" t="n">
        <v>0</v>
      </c>
      <c r="U59" s="677" t="n">
        <v>1</v>
      </c>
      <c r="V59" s="680" t="n">
        <v>1</v>
      </c>
      <c r="W59" s="673" t="n">
        <v>0</v>
      </c>
      <c r="X59" s="673" t="n">
        <v>0</v>
      </c>
      <c r="Y59" s="673" t="n">
        <v>0</v>
      </c>
      <c r="Z59" s="673" t="n">
        <v>0</v>
      </c>
      <c r="AA59" s="673" t="n">
        <v>0</v>
      </c>
      <c r="AB59" s="673" t="n">
        <v>0</v>
      </c>
      <c r="AC59" s="31" t="inlineStr">
        <is>
          <t>1H</t>
        </is>
      </c>
      <c r="AD59" s="5" t="inlineStr">
        <is>
          <t>1H</t>
        </is>
      </c>
      <c r="AE59" s="62" t="inlineStr">
        <is>
          <t>1H</t>
        </is>
      </c>
      <c r="AF59" s="682" t="n">
        <v>0.4999999999999999</v>
      </c>
      <c r="AG59" s="683" t="n">
        <v>0.004666646474798391</v>
      </c>
      <c r="AH59" s="692" t="n">
        <v>0.002333323237399195</v>
      </c>
      <c r="AI59" s="33" t="n">
        <v>0.5</v>
      </c>
      <c r="AJ59" s="35" t="n">
        <v>0.06477978182128846</v>
      </c>
      <c r="AK59" s="3" t="n">
        <v>0.06647673314339979</v>
      </c>
      <c r="AL59" s="3" t="n">
        <v>0.06308283049917711</v>
      </c>
      <c r="AM59" s="39" t="inlineStr"/>
      <c r="AN59" s="35" t="n">
        <v>0.1795439615882111</v>
      </c>
      <c r="AO59" s="3" t="n">
        <v>0.234567901234568</v>
      </c>
      <c r="AP59" s="3" t="n">
        <v>0.1245200219418542</v>
      </c>
      <c r="AQ59" s="39" t="inlineStr"/>
      <c r="AR59" s="27" t="inlineStr">
        <is>
          <t>17H 5M 0S</t>
        </is>
      </c>
      <c r="AS59" s="1" t="inlineStr">
        <is>
          <t>1D 17H 1M 30S</t>
        </is>
      </c>
      <c r="AT59" s="4" t="inlineStr">
        <is>
          <t>2D 16H 58M 0S</t>
        </is>
      </c>
      <c r="AU59" s="4" t="inlineStr">
        <is>
          <t>2D 16H 58M 0S</t>
        </is>
      </c>
      <c r="AV59" s="7" t="inlineStr">
        <is>
          <t>17H 5M 0S</t>
        </is>
      </c>
    </row>
    <row r="60" ht="15" customHeight="1" thickBot="1" thickTop="1">
      <c r="A60" s="10" t="inlineStr">
        <is>
          <t>ARPAUSDT</t>
        </is>
      </c>
      <c r="B60" s="12" t="inlineStr">
        <is>
          <t>CRYPTO</t>
        </is>
      </c>
      <c r="C60" s="673" t="n">
        <v>2</v>
      </c>
      <c r="D60" s="674" t="n">
        <v>0</v>
      </c>
      <c r="E60" s="675" t="n">
        <v>2</v>
      </c>
      <c r="F60" s="676" t="n">
        <v>0</v>
      </c>
      <c r="G60" s="677" t="n">
        <v>2</v>
      </c>
      <c r="H60" s="678" t="n">
        <v>0</v>
      </c>
      <c r="I60" s="679" t="n">
        <v>2</v>
      </c>
      <c r="J60" s="680" t="n">
        <v>0</v>
      </c>
      <c r="K60" s="677" t="n">
        <v>0</v>
      </c>
      <c r="L60" s="678" t="n">
        <v>0</v>
      </c>
      <c r="M60" s="679" t="n">
        <v>0</v>
      </c>
      <c r="N60" s="680" t="n">
        <v>0</v>
      </c>
      <c r="O60" s="681" t="n">
        <v>0</v>
      </c>
      <c r="P60" s="681" t="n">
        <v>0</v>
      </c>
      <c r="Q60" s="28" t="n"/>
      <c r="R60" s="28" t="n"/>
      <c r="S60" s="673" t="n">
        <v>0</v>
      </c>
      <c r="T60" s="673" t="n">
        <v>0</v>
      </c>
      <c r="U60" s="677" t="n">
        <v>0</v>
      </c>
      <c r="V60" s="680" t="n">
        <v>2</v>
      </c>
      <c r="W60" s="673" t="n">
        <v>0</v>
      </c>
      <c r="X60" s="673" t="n">
        <v>0</v>
      </c>
      <c r="Y60" s="673" t="n">
        <v>0</v>
      </c>
      <c r="Z60" s="673" t="n">
        <v>0</v>
      </c>
      <c r="AA60" s="673" t="n">
        <v>0</v>
      </c>
      <c r="AB60" s="673" t="n">
        <v>0</v>
      </c>
      <c r="AC60" s="31" t="inlineStr">
        <is>
          <t>4H</t>
        </is>
      </c>
      <c r="AD60" s="5" t="inlineStr">
        <is>
          <t>4H</t>
        </is>
      </c>
      <c r="AE60" s="62" t="inlineStr">
        <is>
          <t>1H</t>
        </is>
      </c>
      <c r="AF60" s="690" t="n">
        <v>-1.465240641711232</v>
      </c>
      <c r="AG60" s="688" t="n">
        <v>-0.01359986445624225</v>
      </c>
      <c r="AH60" s="691" t="n">
        <v>-0.006799932228121126</v>
      </c>
      <c r="AI60" s="33" t="n">
        <v>0</v>
      </c>
      <c r="AJ60" s="35" t="n">
        <v>0.08508866857720163</v>
      </c>
      <c r="AK60" s="3" t="n"/>
      <c r="AL60" s="3" t="n">
        <v>0.08508866857720163</v>
      </c>
      <c r="AM60" s="39" t="inlineStr"/>
      <c r="AN60" s="35" t="n">
        <v>0.2341691611151123</v>
      </c>
      <c r="AO60" s="3" t="n"/>
      <c r="AP60" s="3" t="n">
        <v>0.2341691611151123</v>
      </c>
      <c r="AQ60" s="39" t="inlineStr"/>
      <c r="AR60" s="27" t="inlineStr">
        <is>
          <t>53M 0S</t>
        </is>
      </c>
      <c r="AS60" s="1" t="inlineStr">
        <is>
          <t>10H 42M 0S</t>
        </is>
      </c>
      <c r="AT60" s="4" t="inlineStr">
        <is>
          <t>20H 31M 0S</t>
        </is>
      </c>
      <c r="AU60" s="4" t="n"/>
      <c r="AV60" s="7" t="inlineStr">
        <is>
          <t>10H 42M 0S</t>
        </is>
      </c>
    </row>
    <row r="61" ht="15" customHeight="1" thickBot="1" thickTop="1">
      <c r="A61" s="10" t="inlineStr">
        <is>
          <t>AUDSGD</t>
        </is>
      </c>
      <c r="B61" s="12" t="inlineStr">
        <is>
          <t>FX</t>
        </is>
      </c>
      <c r="C61" s="673" t="n">
        <v>2</v>
      </c>
      <c r="D61" s="674" t="n">
        <v>0</v>
      </c>
      <c r="E61" s="675" t="n">
        <v>2</v>
      </c>
      <c r="F61" s="676" t="n">
        <v>0</v>
      </c>
      <c r="G61" s="677" t="n">
        <v>2</v>
      </c>
      <c r="H61" s="678" t="n">
        <v>0</v>
      </c>
      <c r="I61" s="679" t="n">
        <v>2</v>
      </c>
      <c r="J61" s="680" t="n">
        <v>0</v>
      </c>
      <c r="K61" s="677" t="n">
        <v>0</v>
      </c>
      <c r="L61" s="678" t="n">
        <v>0</v>
      </c>
      <c r="M61" s="679" t="n">
        <v>0</v>
      </c>
      <c r="N61" s="680" t="n">
        <v>0</v>
      </c>
      <c r="O61" s="681" t="n">
        <v>0</v>
      </c>
      <c r="P61" s="681" t="n">
        <v>0</v>
      </c>
      <c r="Q61" s="28" t="n"/>
      <c r="R61" s="28" t="n"/>
      <c r="S61" s="673" t="n">
        <v>0</v>
      </c>
      <c r="T61" s="673" t="n">
        <v>0</v>
      </c>
      <c r="U61" s="677" t="n">
        <v>0</v>
      </c>
      <c r="V61" s="680" t="n">
        <v>2</v>
      </c>
      <c r="W61" s="673" t="n">
        <v>0</v>
      </c>
      <c r="X61" s="673" t="n">
        <v>0</v>
      </c>
      <c r="Y61" s="673" t="n">
        <v>0</v>
      </c>
      <c r="Z61" s="673" t="n">
        <v>0</v>
      </c>
      <c r="AA61" s="673" t="n">
        <v>0</v>
      </c>
      <c r="AB61" s="673" t="n">
        <v>0</v>
      </c>
      <c r="AC61" s="31" t="inlineStr">
        <is>
          <t>4H</t>
        </is>
      </c>
      <c r="AD61" s="5" t="inlineStr">
        <is>
          <t>4H</t>
        </is>
      </c>
      <c r="AE61" s="62" t="inlineStr">
        <is>
          <t>1H</t>
        </is>
      </c>
      <c r="AF61" s="690" t="n">
        <v>-1.930219780219806</v>
      </c>
      <c r="AG61" s="688" t="n">
        <v>-0.01583006107403566</v>
      </c>
      <c r="AH61" s="691" t="n">
        <v>-0.007915030537017831</v>
      </c>
      <c r="AI61" s="33" t="n">
        <v>0</v>
      </c>
      <c r="AJ61" s="35" t="n">
        <v>0.001749739715367728</v>
      </c>
      <c r="AK61" s="3" t="n"/>
      <c r="AL61" s="3" t="n">
        <v>0.001749739715367728</v>
      </c>
      <c r="AM61" s="39" t="inlineStr"/>
      <c r="AN61" s="35" t="n">
        <v>0.004790000911601923</v>
      </c>
      <c r="AO61" s="3" t="n"/>
      <c r="AP61" s="3" t="n">
        <v>0.004790000911601923</v>
      </c>
      <c r="AQ61" s="39" t="inlineStr"/>
      <c r="AR61" s="27" t="inlineStr">
        <is>
          <t>5M 0S</t>
        </is>
      </c>
      <c r="AS61" s="1" t="inlineStr">
        <is>
          <t>5H 2M 0S</t>
        </is>
      </c>
      <c r="AT61" s="4" t="inlineStr">
        <is>
          <t>9H 59M 0S</t>
        </is>
      </c>
      <c r="AU61" s="4" t="n"/>
      <c r="AV61" s="7" t="inlineStr">
        <is>
          <t>5H 2M 0S</t>
        </is>
      </c>
    </row>
    <row r="62" ht="15" customHeight="1" thickBot="1" thickTop="1">
      <c r="A62" s="10" t="inlineStr">
        <is>
          <t>CHZUSDT</t>
        </is>
      </c>
      <c r="B62" s="12" t="inlineStr">
        <is>
          <t>CRYPTO</t>
        </is>
      </c>
      <c r="C62" s="673" t="n">
        <v>2</v>
      </c>
      <c r="D62" s="674" t="n">
        <v>2</v>
      </c>
      <c r="E62" s="675" t="n">
        <v>0</v>
      </c>
      <c r="F62" s="676" t="n">
        <v>0</v>
      </c>
      <c r="G62" s="677" t="n">
        <v>2</v>
      </c>
      <c r="H62" s="678" t="n">
        <v>2</v>
      </c>
      <c r="I62" s="679" t="n">
        <v>0</v>
      </c>
      <c r="J62" s="680" t="n">
        <v>0</v>
      </c>
      <c r="K62" s="677" t="n">
        <v>0</v>
      </c>
      <c r="L62" s="678" t="n">
        <v>0</v>
      </c>
      <c r="M62" s="679" t="n">
        <v>0</v>
      </c>
      <c r="N62" s="680" t="n">
        <v>0</v>
      </c>
      <c r="O62" s="681" t="n">
        <v>1</v>
      </c>
      <c r="P62" s="681" t="n">
        <v>0</v>
      </c>
      <c r="Q62" s="28" t="n"/>
      <c r="R62" s="28" t="n"/>
      <c r="S62" s="673" t="n">
        <v>0</v>
      </c>
      <c r="T62" s="673" t="n">
        <v>0</v>
      </c>
      <c r="U62" s="677" t="n">
        <v>0</v>
      </c>
      <c r="V62" s="680" t="n">
        <v>2</v>
      </c>
      <c r="W62" s="673" t="n">
        <v>0</v>
      </c>
      <c r="X62" s="673" t="n">
        <v>0</v>
      </c>
      <c r="Y62" s="673" t="n">
        <v>0</v>
      </c>
      <c r="Z62" s="673" t="n">
        <v>0</v>
      </c>
      <c r="AA62" s="673" t="n">
        <v>0</v>
      </c>
      <c r="AB62" s="673" t="n">
        <v>0</v>
      </c>
      <c r="AC62" s="31" t="inlineStr">
        <is>
          <t>1H</t>
        </is>
      </c>
      <c r="AD62" s="5" t="inlineStr">
        <is>
          <t>1H</t>
        </is>
      </c>
      <c r="AE62" s="62" t="inlineStr">
        <is>
          <t>1H</t>
        </is>
      </c>
      <c r="AF62" s="682" t="n">
        <v>4.136296032849421</v>
      </c>
      <c r="AG62" s="683" t="n">
        <v>0.03350997952834501</v>
      </c>
      <c r="AH62" s="692" t="n">
        <v>0.0167549897641725</v>
      </c>
      <c r="AI62" s="33" t="n">
        <v>1</v>
      </c>
      <c r="AJ62" s="35" t="n">
        <v>0.04454793028322445</v>
      </c>
      <c r="AK62" s="3" t="n">
        <v>0.04454793028322445</v>
      </c>
      <c r="AL62" s="3" t="n"/>
      <c r="AM62" s="39" t="inlineStr"/>
      <c r="AN62" s="35" t="n">
        <v>0.09253812636165566</v>
      </c>
      <c r="AO62" s="3" t="n">
        <v>0.09253812636165566</v>
      </c>
      <c r="AP62" s="3" t="n"/>
      <c r="AQ62" s="39" t="inlineStr"/>
      <c r="AR62" s="27" t="inlineStr">
        <is>
          <t>1H 50M 0S</t>
        </is>
      </c>
      <c r="AS62" s="1" t="inlineStr">
        <is>
          <t>6H 3M 0S</t>
        </is>
      </c>
      <c r="AT62" s="4" t="inlineStr">
        <is>
          <t>10H 16M 0S</t>
        </is>
      </c>
      <c r="AU62" s="4" t="inlineStr">
        <is>
          <t>6H 3M 0S</t>
        </is>
      </c>
      <c r="AV62" s="7" t="n"/>
    </row>
    <row r="63" ht="15" customHeight="1" thickBot="1" thickTop="1">
      <c r="A63" s="10" t="inlineStr">
        <is>
          <t>COSUSDT</t>
        </is>
      </c>
      <c r="B63" s="12" t="inlineStr">
        <is>
          <t>CRYPTO</t>
        </is>
      </c>
      <c r="C63" s="673" t="n">
        <v>2</v>
      </c>
      <c r="D63" s="674" t="n">
        <v>0</v>
      </c>
      <c r="E63" s="675" t="n">
        <v>2</v>
      </c>
      <c r="F63" s="676" t="n">
        <v>0</v>
      </c>
      <c r="G63" s="677" t="n">
        <v>2</v>
      </c>
      <c r="H63" s="678" t="n">
        <v>0</v>
      </c>
      <c r="I63" s="679" t="n">
        <v>2</v>
      </c>
      <c r="J63" s="680" t="n">
        <v>0</v>
      </c>
      <c r="K63" s="677" t="n">
        <v>0</v>
      </c>
      <c r="L63" s="678" t="n">
        <v>0</v>
      </c>
      <c r="M63" s="679" t="n">
        <v>0</v>
      </c>
      <c r="N63" s="680" t="n">
        <v>0</v>
      </c>
      <c r="O63" s="681" t="n">
        <v>0</v>
      </c>
      <c r="P63" s="681" t="n">
        <v>0</v>
      </c>
      <c r="Q63" s="28" t="n"/>
      <c r="R63" s="28" t="n"/>
      <c r="S63" s="673" t="n">
        <v>0</v>
      </c>
      <c r="T63" s="673" t="n">
        <v>0</v>
      </c>
      <c r="U63" s="677" t="n">
        <v>1</v>
      </c>
      <c r="V63" s="680" t="n">
        <v>1</v>
      </c>
      <c r="W63" s="673" t="n">
        <v>0</v>
      </c>
      <c r="X63" s="673" t="n">
        <v>0</v>
      </c>
      <c r="Y63" s="673" t="n">
        <v>0</v>
      </c>
      <c r="Z63" s="673" t="n">
        <v>0</v>
      </c>
      <c r="AA63" s="673" t="n">
        <v>0</v>
      </c>
      <c r="AB63" s="673" t="n">
        <v>0</v>
      </c>
      <c r="AC63" s="31" t="inlineStr">
        <is>
          <t>1H</t>
        </is>
      </c>
      <c r="AD63" s="5" t="inlineStr">
        <is>
          <t>1H</t>
        </is>
      </c>
      <c r="AE63" s="62" t="inlineStr">
        <is>
          <t>1H</t>
        </is>
      </c>
      <c r="AF63" s="690" t="n">
        <v>-0.724194025436261</v>
      </c>
      <c r="AG63" s="688" t="n">
        <v>-0.007023497059881276</v>
      </c>
      <c r="AH63" s="691" t="n">
        <v>-0.003511748529940638</v>
      </c>
      <c r="AI63" s="33" t="n">
        <v>0</v>
      </c>
      <c r="AJ63" s="35" t="n">
        <v>0.1037037143729583</v>
      </c>
      <c r="AK63" s="3" t="n"/>
      <c r="AL63" s="3" t="n">
        <v>0.1037037143729583</v>
      </c>
      <c r="AM63" s="39" t="inlineStr"/>
      <c r="AN63" s="35" t="n">
        <v>0.1988085430001902</v>
      </c>
      <c r="AO63" s="3" t="n"/>
      <c r="AP63" s="3" t="n">
        <v>0.1988085430001902</v>
      </c>
      <c r="AQ63" s="39" t="inlineStr"/>
      <c r="AR63" s="27" t="inlineStr">
        <is>
          <t>5H 59M 0S</t>
        </is>
      </c>
      <c r="AS63" s="1" t="inlineStr">
        <is>
          <t>9H 24M 30S</t>
        </is>
      </c>
      <c r="AT63" s="4" t="inlineStr">
        <is>
          <t>12H 50M 0S</t>
        </is>
      </c>
      <c r="AU63" s="4" t="n"/>
      <c r="AV63" s="7" t="inlineStr">
        <is>
          <t>9H 24M 30S</t>
        </is>
      </c>
    </row>
    <row r="64" ht="15" customHeight="1" thickBot="1" thickTop="1">
      <c r="A64" s="10" t="inlineStr">
        <is>
          <t>ENAUSDT</t>
        </is>
      </c>
      <c r="B64" s="12" t="inlineStr">
        <is>
          <t>CRYPTO</t>
        </is>
      </c>
      <c r="C64" s="673" t="n">
        <v>3</v>
      </c>
      <c r="D64" s="674" t="n">
        <v>0</v>
      </c>
      <c r="E64" s="675" t="n">
        <v>3</v>
      </c>
      <c r="F64" s="676" t="n">
        <v>0</v>
      </c>
      <c r="G64" s="677" t="n">
        <v>3</v>
      </c>
      <c r="H64" s="678" t="n">
        <v>0</v>
      </c>
      <c r="I64" s="679" t="n">
        <v>3</v>
      </c>
      <c r="J64" s="680" t="n">
        <v>0</v>
      </c>
      <c r="K64" s="677" t="n">
        <v>0</v>
      </c>
      <c r="L64" s="678" t="n">
        <v>0</v>
      </c>
      <c r="M64" s="679" t="n">
        <v>0</v>
      </c>
      <c r="N64" s="680" t="n">
        <v>0</v>
      </c>
      <c r="O64" s="681" t="n">
        <v>0</v>
      </c>
      <c r="P64" s="681" t="n">
        <v>0</v>
      </c>
      <c r="Q64" s="28" t="n"/>
      <c r="R64" s="28" t="inlineStr">
        <is>
          <t>20</t>
        </is>
      </c>
      <c r="S64" s="673" t="n">
        <v>0</v>
      </c>
      <c r="T64" s="673" t="n">
        <v>0</v>
      </c>
      <c r="U64" s="677" t="n">
        <v>0</v>
      </c>
      <c r="V64" s="680" t="n">
        <v>0</v>
      </c>
      <c r="W64" s="673" t="n">
        <v>0</v>
      </c>
      <c r="X64" s="673" t="n">
        <v>0</v>
      </c>
      <c r="Y64" s="673" t="n">
        <v>0</v>
      </c>
      <c r="Z64" s="673" t="n">
        <v>0</v>
      </c>
      <c r="AA64" s="673" t="n">
        <v>0</v>
      </c>
      <c r="AB64" s="673" t="n">
        <v>0</v>
      </c>
      <c r="AC64" s="31" t="inlineStr">
        <is>
          <t>4H</t>
        </is>
      </c>
      <c r="AD64" s="5" t="inlineStr">
        <is>
          <t>4H</t>
        </is>
      </c>
      <c r="AE64" s="62" t="inlineStr">
        <is>
          <t>1H</t>
        </is>
      </c>
      <c r="AF64" s="690" t="n">
        <v>-1.50342857142857</v>
      </c>
      <c r="AG64" s="688" t="n">
        <v>-0.01524418892547455</v>
      </c>
      <c r="AH64" s="691" t="n">
        <v>-0.005081396308491517</v>
      </c>
      <c r="AI64" s="33" t="n">
        <v>0</v>
      </c>
      <c r="AJ64" s="35" t="n">
        <v>0.08117956539461295</v>
      </c>
      <c r="AK64" s="150" t="n"/>
      <c r="AL64" s="3" t="n">
        <v>0.08117956539461295</v>
      </c>
      <c r="AM64" s="39" t="inlineStr"/>
      <c r="AN64" s="35" t="n">
        <v>0.1957030516736613</v>
      </c>
      <c r="AO64" s="150" t="n"/>
      <c r="AP64" s="3" t="n">
        <v>0.1957030516736613</v>
      </c>
      <c r="AQ64" s="39" t="inlineStr"/>
      <c r="AR64" s="27" t="inlineStr">
        <is>
          <t>5M 55S</t>
        </is>
      </c>
      <c r="AS64" s="1" t="inlineStr">
        <is>
          <t>15H 33M 58S</t>
        </is>
      </c>
      <c r="AT64" s="4" t="inlineStr">
        <is>
          <t>1D 5H 32M 0S</t>
        </is>
      </c>
      <c r="AU64" s="4" t="n"/>
      <c r="AV64" s="7" t="inlineStr">
        <is>
          <t>15H 33M 58S</t>
        </is>
      </c>
    </row>
    <row r="65" ht="15" customHeight="1" thickBot="1" thickTop="1">
      <c r="A65" s="10" t="inlineStr">
        <is>
          <t>HIVEUSDT</t>
        </is>
      </c>
      <c r="B65" s="12" t="inlineStr">
        <is>
          <t>CRYPTO</t>
        </is>
      </c>
      <c r="C65" s="673" t="n">
        <v>2</v>
      </c>
      <c r="D65" s="674" t="n">
        <v>1</v>
      </c>
      <c r="E65" s="675" t="n">
        <v>1</v>
      </c>
      <c r="F65" s="676" t="n">
        <v>0</v>
      </c>
      <c r="G65" s="677" t="n">
        <v>2</v>
      </c>
      <c r="H65" s="678" t="n">
        <v>1</v>
      </c>
      <c r="I65" s="679" t="n">
        <v>1</v>
      </c>
      <c r="J65" s="680" t="n">
        <v>0</v>
      </c>
      <c r="K65" s="677" t="n">
        <v>0</v>
      </c>
      <c r="L65" s="678" t="n">
        <v>0</v>
      </c>
      <c r="M65" s="679" t="n">
        <v>0</v>
      </c>
      <c r="N65" s="680" t="n">
        <v>0</v>
      </c>
      <c r="O65" s="681" t="n">
        <v>1</v>
      </c>
      <c r="P65" s="681" t="n">
        <v>0</v>
      </c>
      <c r="Q65" s="28" t="n"/>
      <c r="R65" s="28" t="n"/>
      <c r="S65" s="673" t="n">
        <v>0</v>
      </c>
      <c r="T65" s="673" t="n">
        <v>0</v>
      </c>
      <c r="U65" s="677" t="n">
        <v>0</v>
      </c>
      <c r="V65" s="680" t="n">
        <v>2</v>
      </c>
      <c r="W65" s="673" t="n">
        <v>0</v>
      </c>
      <c r="X65" s="673" t="n">
        <v>0</v>
      </c>
      <c r="Y65" s="673" t="n">
        <v>0</v>
      </c>
      <c r="Z65" s="673" t="n">
        <v>0</v>
      </c>
      <c r="AA65" s="673" t="n">
        <v>0</v>
      </c>
      <c r="AB65" s="673" t="n">
        <v>0</v>
      </c>
      <c r="AC65" s="31" t="inlineStr">
        <is>
          <t>1H</t>
        </is>
      </c>
      <c r="AD65" s="5" t="inlineStr">
        <is>
          <t>1H</t>
        </is>
      </c>
      <c r="AE65" s="62" t="inlineStr">
        <is>
          <t>1H</t>
        </is>
      </c>
      <c r="AF65" s="682" t="n">
        <v>0.9593694132943305</v>
      </c>
      <c r="AG65" s="683" t="n">
        <v>0.006445576088079676</v>
      </c>
      <c r="AH65" s="692" t="n">
        <v>0.003222788044039838</v>
      </c>
      <c r="AI65" s="33" t="n">
        <v>0.5</v>
      </c>
      <c r="AJ65" s="35" t="n">
        <v>0.06417364395831654</v>
      </c>
      <c r="AK65" s="3" t="n">
        <v>0.07726793248945146</v>
      </c>
      <c r="AL65" s="3" t="n">
        <v>0.05107935542718162</v>
      </c>
      <c r="AM65" s="39" t="inlineStr"/>
      <c r="AN65" s="35" t="n">
        <v>0.1304569925579832</v>
      </c>
      <c r="AO65" s="3" t="n">
        <v>0.1587552742616035</v>
      </c>
      <c r="AP65" s="3" t="n">
        <v>0.1021587108543629</v>
      </c>
      <c r="AQ65" s="39" t="inlineStr"/>
      <c r="AR65" s="27" t="inlineStr">
        <is>
          <t>3H 44M 0S</t>
        </is>
      </c>
      <c r="AS65" s="1" t="inlineStr">
        <is>
          <t>7H 14M 30S</t>
        </is>
      </c>
      <c r="AT65" s="4" t="inlineStr">
        <is>
          <t>10H 45M 0S</t>
        </is>
      </c>
      <c r="AU65" s="4" t="inlineStr">
        <is>
          <t>10H 45M 0S</t>
        </is>
      </c>
      <c r="AV65" s="7" t="inlineStr">
        <is>
          <t>3H 44M 0S</t>
        </is>
      </c>
    </row>
    <row r="66" ht="15" customHeight="1" thickBot="1" thickTop="1">
      <c r="A66" s="10" t="inlineStr">
        <is>
          <t>KAVAUSDT</t>
        </is>
      </c>
      <c r="B66" s="12" t="inlineStr">
        <is>
          <t>CRYPTO</t>
        </is>
      </c>
      <c r="C66" s="673" t="n">
        <v>2</v>
      </c>
      <c r="D66" s="674" t="n">
        <v>0</v>
      </c>
      <c r="E66" s="675" t="n">
        <v>2</v>
      </c>
      <c r="F66" s="676" t="n">
        <v>0</v>
      </c>
      <c r="G66" s="677" t="n">
        <v>2</v>
      </c>
      <c r="H66" s="678" t="n">
        <v>0</v>
      </c>
      <c r="I66" s="679" t="n">
        <v>2</v>
      </c>
      <c r="J66" s="680" t="n">
        <v>0</v>
      </c>
      <c r="K66" s="677" t="n">
        <v>0</v>
      </c>
      <c r="L66" s="678" t="n">
        <v>0</v>
      </c>
      <c r="M66" s="679" t="n">
        <v>0</v>
      </c>
      <c r="N66" s="680" t="n">
        <v>0</v>
      </c>
      <c r="O66" s="681" t="n">
        <v>1</v>
      </c>
      <c r="P66" s="681" t="n">
        <v>0</v>
      </c>
      <c r="Q66" s="28" t="n"/>
      <c r="R66" s="28" t="n"/>
      <c r="S66" s="673" t="n">
        <v>0</v>
      </c>
      <c r="T66" s="673" t="n">
        <v>0</v>
      </c>
      <c r="U66" s="677" t="n">
        <v>0</v>
      </c>
      <c r="V66" s="680" t="n">
        <v>2</v>
      </c>
      <c r="W66" s="673" t="n">
        <v>0</v>
      </c>
      <c r="X66" s="673" t="n">
        <v>1</v>
      </c>
      <c r="Y66" s="673" t="n">
        <v>0</v>
      </c>
      <c r="Z66" s="673" t="n">
        <v>0</v>
      </c>
      <c r="AA66" s="673" t="n">
        <v>0</v>
      </c>
      <c r="AB66" s="673" t="n">
        <v>0</v>
      </c>
      <c r="AC66" s="31" t="inlineStr">
        <is>
          <t>4H</t>
        </is>
      </c>
      <c r="AD66" s="5" t="inlineStr">
        <is>
          <t>4H</t>
        </is>
      </c>
      <c r="AE66" s="62" t="inlineStr">
        <is>
          <t>4H</t>
        </is>
      </c>
      <c r="AF66" s="690" t="n">
        <v>-1</v>
      </c>
      <c r="AG66" s="688" t="n">
        <v>-0.01017630478662009</v>
      </c>
      <c r="AH66" s="691" t="n">
        <v>-0.005088152393310047</v>
      </c>
      <c r="AI66" s="33" t="n">
        <v>0</v>
      </c>
      <c r="AJ66" s="35" t="n">
        <v>0.04720607577923058</v>
      </c>
      <c r="AK66" s="150" t="n"/>
      <c r="AL66" s="3" t="n">
        <v>0.04720607577923058</v>
      </c>
      <c r="AM66" s="39" t="inlineStr"/>
      <c r="AN66" s="35" t="n">
        <v>0.1435379398816279</v>
      </c>
      <c r="AO66" s="150" t="n"/>
      <c r="AP66" s="3" t="n">
        <v>0.1435379398816279</v>
      </c>
      <c r="AQ66" s="39" t="inlineStr"/>
      <c r="AR66" s="27" t="inlineStr">
        <is>
          <t>44M 0S</t>
        </is>
      </c>
      <c r="AS66" s="1" t="inlineStr">
        <is>
          <t>8H 6M 30S</t>
        </is>
      </c>
      <c r="AT66" s="4" t="inlineStr">
        <is>
          <t>15H 29M 0S</t>
        </is>
      </c>
      <c r="AU66" s="4" t="n"/>
      <c r="AV66" s="7" t="inlineStr">
        <is>
          <t>8H 6M 30S</t>
        </is>
      </c>
    </row>
    <row r="67" ht="15" customHeight="1" thickBot="1" thickTop="1">
      <c r="A67" s="10" t="inlineStr">
        <is>
          <t>KNCUSDT</t>
        </is>
      </c>
      <c r="B67" s="12" t="inlineStr">
        <is>
          <t>CRYPTO</t>
        </is>
      </c>
      <c r="C67" s="673" t="n">
        <v>2</v>
      </c>
      <c r="D67" s="674" t="n">
        <v>0</v>
      </c>
      <c r="E67" s="675" t="n">
        <v>2</v>
      </c>
      <c r="F67" s="676" t="n">
        <v>0</v>
      </c>
      <c r="G67" s="677" t="n">
        <v>2</v>
      </c>
      <c r="H67" s="678" t="n">
        <v>0</v>
      </c>
      <c r="I67" s="679" t="n">
        <v>2</v>
      </c>
      <c r="J67" s="680" t="n">
        <v>0</v>
      </c>
      <c r="K67" s="677" t="n">
        <v>0</v>
      </c>
      <c r="L67" s="678" t="n">
        <v>0</v>
      </c>
      <c r="M67" s="679" t="n">
        <v>0</v>
      </c>
      <c r="N67" s="680" t="n">
        <v>0</v>
      </c>
      <c r="O67" s="681" t="n">
        <v>1</v>
      </c>
      <c r="P67" s="681" t="n">
        <v>0</v>
      </c>
      <c r="Q67" s="28" t="n"/>
      <c r="R67" s="28" t="n"/>
      <c r="S67" s="673" t="n">
        <v>0</v>
      </c>
      <c r="T67" s="673" t="n">
        <v>0</v>
      </c>
      <c r="U67" s="677" t="n">
        <v>0</v>
      </c>
      <c r="V67" s="680" t="n">
        <v>1</v>
      </c>
      <c r="W67" s="673" t="n">
        <v>0</v>
      </c>
      <c r="X67" s="673" t="n">
        <v>0</v>
      </c>
      <c r="Y67" s="673" t="n">
        <v>0</v>
      </c>
      <c r="Z67" s="673" t="n">
        <v>0</v>
      </c>
      <c r="AA67" s="673" t="n">
        <v>0</v>
      </c>
      <c r="AB67" s="673" t="n">
        <v>0</v>
      </c>
      <c r="AC67" s="31" t="inlineStr">
        <is>
          <t>4H</t>
        </is>
      </c>
      <c r="AD67" s="5" t="inlineStr">
        <is>
          <t>4H</t>
        </is>
      </c>
      <c r="AE67" s="62" t="inlineStr">
        <is>
          <t>4H</t>
        </is>
      </c>
      <c r="AF67" s="694" t="n">
        <v>0.0169491525423748</v>
      </c>
      <c r="AG67" s="688" t="n">
        <v>-0.001030121074634773</v>
      </c>
      <c r="AH67" s="689" t="n">
        <v>-0.0005150605373173867</v>
      </c>
      <c r="AI67" s="33" t="n">
        <v>0</v>
      </c>
      <c r="AJ67" s="35" t="n">
        <v>0.039307128580946</v>
      </c>
      <c r="AK67" s="3" t="n"/>
      <c r="AL67" s="3" t="n">
        <v>0.039307128580946</v>
      </c>
      <c r="AM67" s="39" t="inlineStr"/>
      <c r="AN67" s="35" t="n">
        <v>0.1192538307794804</v>
      </c>
      <c r="AO67" s="3" t="n"/>
      <c r="AP67" s="3" t="n">
        <v>0.1192538307794804</v>
      </c>
      <c r="AQ67" s="39" t="inlineStr"/>
      <c r="AR67" s="27" t="inlineStr">
        <is>
          <t>1M 0S</t>
        </is>
      </c>
      <c r="AS67" s="1" t="inlineStr">
        <is>
          <t>21H 57M 0S</t>
        </is>
      </c>
      <c r="AT67" s="4" t="inlineStr">
        <is>
          <t>1D 19H 53M 0S</t>
        </is>
      </c>
      <c r="AU67" s="4" t="n"/>
      <c r="AV67" s="7" t="inlineStr">
        <is>
          <t>21H 57M 0S</t>
        </is>
      </c>
    </row>
    <row r="68" ht="15" customHeight="1" thickBot="1" thickTop="1">
      <c r="A68" s="10" t="inlineStr">
        <is>
          <t>NEOUSDT</t>
        </is>
      </c>
      <c r="B68" s="12" t="inlineStr">
        <is>
          <t>CRYPTO</t>
        </is>
      </c>
      <c r="C68" s="673" t="n">
        <v>2</v>
      </c>
      <c r="D68" s="674" t="n">
        <v>1</v>
      </c>
      <c r="E68" s="675" t="n">
        <v>1</v>
      </c>
      <c r="F68" s="676" t="n">
        <v>0</v>
      </c>
      <c r="G68" s="677" t="n">
        <v>2</v>
      </c>
      <c r="H68" s="678" t="n">
        <v>1</v>
      </c>
      <c r="I68" s="679" t="n">
        <v>1</v>
      </c>
      <c r="J68" s="680" t="n">
        <v>0</v>
      </c>
      <c r="K68" s="677" t="n">
        <v>0</v>
      </c>
      <c r="L68" s="678" t="n">
        <v>0</v>
      </c>
      <c r="M68" s="679" t="n">
        <v>0</v>
      </c>
      <c r="N68" s="680" t="n">
        <v>0</v>
      </c>
      <c r="O68" s="681" t="n">
        <v>1</v>
      </c>
      <c r="P68" s="681" t="n">
        <v>0</v>
      </c>
      <c r="Q68" s="12" t="n"/>
      <c r="R68" s="28" t="n"/>
      <c r="S68" s="673" t="n">
        <v>0</v>
      </c>
      <c r="T68" s="673" t="n">
        <v>0</v>
      </c>
      <c r="U68" s="677" t="n">
        <v>0</v>
      </c>
      <c r="V68" s="680" t="n">
        <v>2</v>
      </c>
      <c r="W68" s="673" t="n">
        <v>0</v>
      </c>
      <c r="X68" s="673" t="n">
        <v>1</v>
      </c>
      <c r="Y68" s="673" t="n">
        <v>0</v>
      </c>
      <c r="Z68" s="673" t="n">
        <v>0</v>
      </c>
      <c r="AA68" s="673" t="n">
        <v>0</v>
      </c>
      <c r="AB68" s="673" t="n">
        <v>0</v>
      </c>
      <c r="AC68" s="31" t="inlineStr">
        <is>
          <t>4H</t>
        </is>
      </c>
      <c r="AD68" s="5" t="inlineStr">
        <is>
          <t>4H</t>
        </is>
      </c>
      <c r="AE68" s="62" t="inlineStr">
        <is>
          <t>4H</t>
        </is>
      </c>
      <c r="AF68" s="682" t="n">
        <v>2.278310940499036</v>
      </c>
      <c r="AG68" s="683" t="n">
        <v>0.02056159648013313</v>
      </c>
      <c r="AH68" s="692" t="n">
        <v>0.01028079824006656</v>
      </c>
      <c r="AI68" s="33" t="n">
        <v>0.5</v>
      </c>
      <c r="AJ68" s="35" t="n">
        <v>0.04976808868716379</v>
      </c>
      <c r="AK68" s="3" t="n">
        <v>0.05407930247041735</v>
      </c>
      <c r="AL68" s="3" t="n">
        <v>0.04545687490391023</v>
      </c>
      <c r="AM68" s="39" t="inlineStr"/>
      <c r="AN68" s="35" t="n">
        <v>0.1528434182601696</v>
      </c>
      <c r="AO68" s="3" t="n">
        <v>0.1668050653933983</v>
      </c>
      <c r="AP68" s="3" t="n">
        <v>0.1388817711269409</v>
      </c>
      <c r="AQ68" s="39" t="inlineStr"/>
      <c r="AR68" s="27" t="inlineStr">
        <is>
          <t>39M 0S</t>
        </is>
      </c>
      <c r="AS68" s="1" t="inlineStr">
        <is>
          <t>22H 8M 30S</t>
        </is>
      </c>
      <c r="AT68" s="4" t="inlineStr">
        <is>
          <t>1D 19H 38M 0S</t>
        </is>
      </c>
      <c r="AU68" s="4" t="inlineStr">
        <is>
          <t>1D 19H 38M 0S</t>
        </is>
      </c>
      <c r="AV68" s="7" t="inlineStr">
        <is>
          <t>39M 0S</t>
        </is>
      </c>
    </row>
    <row r="69" ht="15" customHeight="1" thickBot="1" thickTop="1">
      <c r="A69" s="10" t="inlineStr">
        <is>
          <t>ONGUSDT</t>
        </is>
      </c>
      <c r="B69" s="12" t="inlineStr">
        <is>
          <t>CRYPTO</t>
        </is>
      </c>
      <c r="C69" s="673" t="n">
        <v>2</v>
      </c>
      <c r="D69" s="674" t="n">
        <v>0</v>
      </c>
      <c r="E69" s="675" t="n">
        <v>2</v>
      </c>
      <c r="F69" s="676" t="n">
        <v>0</v>
      </c>
      <c r="G69" s="677" t="n">
        <v>2</v>
      </c>
      <c r="H69" s="678" t="n">
        <v>0</v>
      </c>
      <c r="I69" s="679" t="n">
        <v>2</v>
      </c>
      <c r="J69" s="680" t="n">
        <v>0</v>
      </c>
      <c r="K69" s="677" t="n">
        <v>0</v>
      </c>
      <c r="L69" s="678" t="n">
        <v>0</v>
      </c>
      <c r="M69" s="679" t="n">
        <v>0</v>
      </c>
      <c r="N69" s="680" t="n">
        <v>0</v>
      </c>
      <c r="O69" s="681" t="n">
        <v>0</v>
      </c>
      <c r="P69" s="681" t="n">
        <v>0</v>
      </c>
      <c r="Q69" s="12" t="n"/>
      <c r="R69" s="28" t="n"/>
      <c r="S69" s="673" t="n">
        <v>0</v>
      </c>
      <c r="T69" s="673" t="n">
        <v>0</v>
      </c>
      <c r="U69" s="677" t="n">
        <v>0</v>
      </c>
      <c r="V69" s="680" t="n">
        <v>2</v>
      </c>
      <c r="W69" s="673" t="n">
        <v>0</v>
      </c>
      <c r="X69" s="673" t="n">
        <v>0</v>
      </c>
      <c r="Y69" s="673" t="n">
        <v>0</v>
      </c>
      <c r="Z69" s="673" t="n">
        <v>0</v>
      </c>
      <c r="AA69" s="673" t="n">
        <v>0</v>
      </c>
      <c r="AB69" s="673" t="n">
        <v>0</v>
      </c>
      <c r="AC69" s="31" t="inlineStr">
        <is>
          <t>4H</t>
        </is>
      </c>
      <c r="AD69" s="5" t="inlineStr">
        <is>
          <t>1H</t>
        </is>
      </c>
      <c r="AE69" s="62" t="inlineStr">
        <is>
          <t>4H</t>
        </is>
      </c>
      <c r="AF69" s="690" t="n">
        <v>-1.866666666666667</v>
      </c>
      <c r="AG69" s="688" t="n">
        <v>-0.01739161443364729</v>
      </c>
      <c r="AH69" s="691" t="n">
        <v>-0.008695807216823646</v>
      </c>
      <c r="AI69" s="33" t="n">
        <v>0</v>
      </c>
      <c r="AJ69" s="35" t="n">
        <v>0.08614215497830745</v>
      </c>
      <c r="AK69" s="3" t="n"/>
      <c r="AL69" s="3" t="n">
        <v>0.08614215497830745</v>
      </c>
      <c r="AM69" s="39" t="inlineStr"/>
      <c r="AN69" s="35" t="n">
        <v>0.2669984622988633</v>
      </c>
      <c r="AO69" s="3" t="n"/>
      <c r="AP69" s="3" t="n">
        <v>0.2669984622988633</v>
      </c>
      <c r="AQ69" s="39" t="inlineStr"/>
      <c r="AR69" s="27" t="inlineStr">
        <is>
          <t>1H 41M 0S</t>
        </is>
      </c>
      <c r="AS69" s="1" t="inlineStr">
        <is>
          <t>2D 9H 36M 30S</t>
        </is>
      </c>
      <c r="AT69" s="4" t="inlineStr">
        <is>
          <t>4D 17H 32M 0S</t>
        </is>
      </c>
      <c r="AU69" s="4" t="n"/>
      <c r="AV69" s="7" t="inlineStr">
        <is>
          <t>2D 9H 36M 30S</t>
        </is>
      </c>
    </row>
    <row r="70" ht="15" customHeight="1" thickBot="1" thickTop="1">
      <c r="A70" s="10" t="inlineStr">
        <is>
          <t>WINUSDT</t>
        </is>
      </c>
      <c r="B70" s="12" t="inlineStr">
        <is>
          <t>CRYPTO</t>
        </is>
      </c>
      <c r="C70" s="673" t="n">
        <v>2</v>
      </c>
      <c r="D70" s="674" t="n">
        <v>0</v>
      </c>
      <c r="E70" s="675" t="n">
        <v>2</v>
      </c>
      <c r="F70" s="676" t="n">
        <v>0</v>
      </c>
      <c r="G70" s="677" t="n">
        <v>2</v>
      </c>
      <c r="H70" s="678" t="n">
        <v>0</v>
      </c>
      <c r="I70" s="679" t="n">
        <v>2</v>
      </c>
      <c r="J70" s="680" t="n">
        <v>0</v>
      </c>
      <c r="K70" s="677" t="n">
        <v>0</v>
      </c>
      <c r="L70" s="678" t="n">
        <v>0</v>
      </c>
      <c r="M70" s="679" t="n">
        <v>0</v>
      </c>
      <c r="N70" s="680" t="n">
        <v>0</v>
      </c>
      <c r="O70" s="681" t="n">
        <v>1</v>
      </c>
      <c r="P70" s="681" t="n">
        <v>0</v>
      </c>
      <c r="Q70" s="28" t="n"/>
      <c r="R70" s="28" t="n"/>
      <c r="S70" s="673" t="n">
        <v>0</v>
      </c>
      <c r="T70" s="673" t="n">
        <v>0</v>
      </c>
      <c r="U70" s="677" t="n">
        <v>0</v>
      </c>
      <c r="V70" s="680" t="n">
        <v>2</v>
      </c>
      <c r="W70" s="673" t="n">
        <v>0</v>
      </c>
      <c r="X70" s="673" t="n">
        <v>0</v>
      </c>
      <c r="Y70" s="673" t="n">
        <v>0</v>
      </c>
      <c r="Z70" s="673" t="n">
        <v>1</v>
      </c>
      <c r="AA70" s="673" t="n">
        <v>0</v>
      </c>
      <c r="AB70" s="673" t="n">
        <v>0</v>
      </c>
      <c r="AC70" s="31" t="inlineStr">
        <is>
          <t>4H</t>
        </is>
      </c>
      <c r="AD70" s="5" t="inlineStr">
        <is>
          <t>4H</t>
        </is>
      </c>
      <c r="AE70" s="62" t="inlineStr">
        <is>
          <t>4H</t>
        </is>
      </c>
      <c r="AF70" s="690" t="n">
        <v>-1.108695652173913</v>
      </c>
      <c r="AG70" s="688" t="n">
        <v>-0.01076722799285143</v>
      </c>
      <c r="AH70" s="691" t="n">
        <v>-0.005383613996425717</v>
      </c>
      <c r="AI70" s="33" t="n">
        <v>0</v>
      </c>
      <c r="AJ70" s="35" t="n">
        <v>0.08277661560609134</v>
      </c>
      <c r="AK70" s="150" t="n"/>
      <c r="AL70" s="3" t="n">
        <v>0.08277661560609134</v>
      </c>
      <c r="AM70" s="39" t="inlineStr"/>
      <c r="AN70" s="35" t="n">
        <v>0.3006950536473444</v>
      </c>
      <c r="AO70" s="150" t="n"/>
      <c r="AP70" s="3" t="n">
        <v>0.3006950536473444</v>
      </c>
      <c r="AQ70" s="39" t="inlineStr"/>
      <c r="AR70" s="27" t="inlineStr">
        <is>
          <t>2H 58M 0S</t>
        </is>
      </c>
      <c r="AS70" s="1" t="inlineStr">
        <is>
          <t>12H 42M 0S</t>
        </is>
      </c>
      <c r="AT70" s="4" t="inlineStr">
        <is>
          <t>22H 26M 0S</t>
        </is>
      </c>
      <c r="AU70" s="4" t="n"/>
      <c r="AV70" s="7" t="inlineStr">
        <is>
          <t>12H 42M 0S</t>
        </is>
      </c>
    </row>
    <row r="71" ht="15" customHeight="1" thickBot="1" thickTop="1">
      <c r="A71" s="10" t="inlineStr">
        <is>
          <t>XAGUSD</t>
        </is>
      </c>
      <c r="B71" s="12" t="inlineStr">
        <is>
          <t>FX</t>
        </is>
      </c>
      <c r="C71" s="673" t="n">
        <v>2</v>
      </c>
      <c r="D71" s="674" t="n">
        <v>1</v>
      </c>
      <c r="E71" s="675" t="n">
        <v>1</v>
      </c>
      <c r="F71" s="676" t="n">
        <v>0</v>
      </c>
      <c r="G71" s="677" t="n">
        <v>1</v>
      </c>
      <c r="H71" s="678" t="n">
        <v>1</v>
      </c>
      <c r="I71" s="679" t="n">
        <v>0</v>
      </c>
      <c r="J71" s="680" t="n">
        <v>0</v>
      </c>
      <c r="K71" s="677" t="n">
        <v>1</v>
      </c>
      <c r="L71" s="678" t="n">
        <v>0</v>
      </c>
      <c r="M71" s="679" t="n">
        <v>1</v>
      </c>
      <c r="N71" s="680" t="n">
        <v>0</v>
      </c>
      <c r="O71" s="681" t="n">
        <v>0</v>
      </c>
      <c r="P71" s="681" t="n">
        <v>0</v>
      </c>
      <c r="Q71" s="28" t="n"/>
      <c r="R71" s="28" t="n"/>
      <c r="S71" s="673" t="n">
        <v>0</v>
      </c>
      <c r="T71" s="673" t="n">
        <v>0</v>
      </c>
      <c r="U71" s="677" t="n">
        <v>0</v>
      </c>
      <c r="V71" s="680" t="n">
        <v>0</v>
      </c>
      <c r="W71" s="673" t="n">
        <v>0</v>
      </c>
      <c r="X71" s="673" t="n">
        <v>0</v>
      </c>
      <c r="Y71" s="673" t="n">
        <v>0</v>
      </c>
      <c r="Z71" s="673" t="n">
        <v>0</v>
      </c>
      <c r="AA71" s="673" t="n">
        <v>0</v>
      </c>
      <c r="AB71" s="673" t="n">
        <v>0</v>
      </c>
      <c r="AC71" s="31" t="inlineStr">
        <is>
          <t>30MIN</t>
        </is>
      </c>
      <c r="AD71" s="5" t="inlineStr">
        <is>
          <t>30MIN</t>
        </is>
      </c>
      <c r="AE71" s="62" t="inlineStr">
        <is>
          <t>30MIN</t>
        </is>
      </c>
      <c r="AF71" s="682" t="n">
        <v>0.8733976208541652</v>
      </c>
      <c r="AG71" s="683" t="n">
        <v>0.01313035470814618</v>
      </c>
      <c r="AH71" s="692" t="n">
        <v>0.00656517735407309</v>
      </c>
      <c r="AI71" s="33" t="n">
        <v>0.5</v>
      </c>
      <c r="AJ71" s="35" t="n">
        <v>0.005898434860714624</v>
      </c>
      <c r="AK71" s="3" t="n">
        <v>0.003930154624600745</v>
      </c>
      <c r="AL71" s="3" t="n">
        <v>0.007866715096828503</v>
      </c>
      <c r="AM71" s="687" t="inlineStr">
        <is>
          <t>Decrease stop — Recommended: 0.39% (0.39 pp below loss average)</t>
        </is>
      </c>
      <c r="AN71" s="35" t="n">
        <v>0.01115074820224531</v>
      </c>
      <c r="AO71" s="3" t="n">
        <v>0.007355056340002126</v>
      </c>
      <c r="AP71" s="3" t="n">
        <v>0.0149464400644885</v>
      </c>
      <c r="AQ71" s="687" t="inlineStr">
        <is>
          <t>Increase target — Recommended: 2.00R (current median: 1.87R)</t>
        </is>
      </c>
      <c r="AR71" s="27" t="inlineStr">
        <is>
          <t>4H 38M 19S</t>
        </is>
      </c>
      <c r="AS71" s="1" t="inlineStr">
        <is>
          <t>7H 18M 10S</t>
        </is>
      </c>
      <c r="AT71" s="4" t="inlineStr">
        <is>
          <t>9H 58M 1S</t>
        </is>
      </c>
      <c r="AU71" s="4" t="inlineStr">
        <is>
          <t>4H 38M 19S</t>
        </is>
      </c>
      <c r="AV71" s="7" t="inlineStr">
        <is>
          <t>9H 58M 1S</t>
        </is>
      </c>
    </row>
    <row r="72" ht="15" customHeight="1" thickBot="1" thickTop="1">
      <c r="A72" s="10" t="inlineStr">
        <is>
          <t>XAUUSD</t>
        </is>
      </c>
      <c r="B72" s="12" t="inlineStr">
        <is>
          <t>FX</t>
        </is>
      </c>
      <c r="C72" s="673" t="n">
        <v>2</v>
      </c>
      <c r="D72" s="674" t="n">
        <v>1</v>
      </c>
      <c r="E72" s="675" t="n">
        <v>1</v>
      </c>
      <c r="F72" s="676" t="n">
        <v>0</v>
      </c>
      <c r="G72" s="677" t="n">
        <v>2</v>
      </c>
      <c r="H72" s="678" t="n">
        <v>1</v>
      </c>
      <c r="I72" s="679" t="n">
        <v>1</v>
      </c>
      <c r="J72" s="680" t="n">
        <v>0</v>
      </c>
      <c r="K72" s="677" t="n">
        <v>0</v>
      </c>
      <c r="L72" s="678" t="n">
        <v>0</v>
      </c>
      <c r="M72" s="679" t="n">
        <v>0</v>
      </c>
      <c r="N72" s="680" t="n">
        <v>0</v>
      </c>
      <c r="O72" s="681" t="n">
        <v>0</v>
      </c>
      <c r="P72" s="681" t="n">
        <v>0</v>
      </c>
      <c r="Q72" s="28" t="n"/>
      <c r="R72" s="28" t="n"/>
      <c r="S72" s="673" t="n">
        <v>0</v>
      </c>
      <c r="T72" s="673" t="n">
        <v>0</v>
      </c>
      <c r="U72" s="677" t="n">
        <v>0</v>
      </c>
      <c r="V72" s="680" t="n">
        <v>0</v>
      </c>
      <c r="W72" s="673" t="n">
        <v>0</v>
      </c>
      <c r="X72" s="673" t="n">
        <v>0</v>
      </c>
      <c r="Y72" s="673" t="n">
        <v>0</v>
      </c>
      <c r="Z72" s="673" t="n">
        <v>0</v>
      </c>
      <c r="AA72" s="673" t="n">
        <v>0</v>
      </c>
      <c r="AB72" s="673" t="n">
        <v>0</v>
      </c>
      <c r="AC72" s="31" t="inlineStr">
        <is>
          <t>4H</t>
        </is>
      </c>
      <c r="AD72" s="5" t="inlineStr">
        <is>
          <t>4H</t>
        </is>
      </c>
      <c r="AE72" s="62" t="inlineStr">
        <is>
          <t>1H</t>
        </is>
      </c>
      <c r="AF72" s="682" t="n">
        <v>0.466260410190259</v>
      </c>
      <c r="AG72" s="683" t="n">
        <v>0.001297978778102256</v>
      </c>
      <c r="AH72" s="684" t="n">
        <v>0.0006489893890511278</v>
      </c>
      <c r="AI72" s="33" t="n">
        <v>0.5</v>
      </c>
      <c r="AJ72" s="35" t="n">
        <v>0.001815741001168729</v>
      </c>
      <c r="AK72" s="261" t="n">
        <v>0.0007390420383212243</v>
      </c>
      <c r="AL72" s="3" t="n">
        <v>0.002892439964016233</v>
      </c>
      <c r="AM72" s="687" t="inlineStr">
        <is>
          <t>Decrease stop — Recommended: 0.074% (0.22 pp below loss average)</t>
        </is>
      </c>
      <c r="AN72" s="35" t="n">
        <v>0.003329270330211853</v>
      </c>
      <c r="AO72" s="3" t="n">
        <v>0.001079674974842657</v>
      </c>
      <c r="AP72" s="3" t="n">
        <v>0.005578865685581048</v>
      </c>
      <c r="AQ72" s="687" t="inlineStr">
        <is>
          <t>Increase target — Recommended: 2.00R (current median: 1.46R)</t>
        </is>
      </c>
      <c r="AR72" s="27" t="inlineStr">
        <is>
          <t>9M 28S</t>
        </is>
      </c>
      <c r="AS72" s="1" t="inlineStr">
        <is>
          <t>57M 28S</t>
        </is>
      </c>
      <c r="AT72" s="4" t="inlineStr">
        <is>
          <t>1H 45M 28S</t>
        </is>
      </c>
      <c r="AU72" s="4" t="inlineStr">
        <is>
          <t>9M 28S</t>
        </is>
      </c>
      <c r="AV72" s="7" t="inlineStr">
        <is>
          <t>1H 45M 28S</t>
        </is>
      </c>
    </row>
    <row r="73" ht="15" customHeight="1" thickBot="1" thickTop="1">
      <c r="A73" s="10" t="inlineStr">
        <is>
          <t>ZECUSDT</t>
        </is>
      </c>
      <c r="B73" s="12" t="inlineStr">
        <is>
          <t>CRYPTO</t>
        </is>
      </c>
      <c r="C73" s="673" t="n">
        <v>2</v>
      </c>
      <c r="D73" s="674" t="n">
        <v>1</v>
      </c>
      <c r="E73" s="675" t="n">
        <v>1</v>
      </c>
      <c r="F73" s="676" t="n">
        <v>0</v>
      </c>
      <c r="G73" s="677" t="n">
        <v>2</v>
      </c>
      <c r="H73" s="678" t="n">
        <v>1</v>
      </c>
      <c r="I73" s="679" t="n">
        <v>1</v>
      </c>
      <c r="J73" s="680" t="n">
        <v>0</v>
      </c>
      <c r="K73" s="677" t="n">
        <v>0</v>
      </c>
      <c r="L73" s="678" t="n">
        <v>0</v>
      </c>
      <c r="M73" s="679" t="n">
        <v>0</v>
      </c>
      <c r="N73" s="680" t="n">
        <v>0</v>
      </c>
      <c r="O73" s="681" t="n">
        <v>0</v>
      </c>
      <c r="P73" s="681" t="n">
        <v>0</v>
      </c>
      <c r="Q73" s="28" t="n"/>
      <c r="R73" s="28" t="n"/>
      <c r="S73" s="673" t="n">
        <v>0</v>
      </c>
      <c r="T73" s="673" t="n">
        <v>0</v>
      </c>
      <c r="U73" s="677" t="n">
        <v>0</v>
      </c>
      <c r="V73" s="680" t="n">
        <v>2</v>
      </c>
      <c r="W73" s="673" t="n">
        <v>0</v>
      </c>
      <c r="X73" s="673" t="n">
        <v>0</v>
      </c>
      <c r="Y73" s="673" t="n">
        <v>0</v>
      </c>
      <c r="Z73" s="673" t="n">
        <v>0</v>
      </c>
      <c r="AA73" s="673" t="n">
        <v>0</v>
      </c>
      <c r="AB73" s="673" t="n">
        <v>0</v>
      </c>
      <c r="AC73" s="31" t="inlineStr">
        <is>
          <t>30MIN</t>
        </is>
      </c>
      <c r="AD73" s="5" t="inlineStr">
        <is>
          <t>15MIN</t>
        </is>
      </c>
      <c r="AE73" s="62" t="inlineStr">
        <is>
          <t>30MIN</t>
        </is>
      </c>
      <c r="AF73" s="694" t="n">
        <v>0.0624999999999889</v>
      </c>
      <c r="AG73" s="688" t="n">
        <v>-0.003376425559146119</v>
      </c>
      <c r="AH73" s="691" t="n">
        <v>-0.001688212779573059</v>
      </c>
      <c r="AI73" s="33" t="n">
        <v>0.5</v>
      </c>
      <c r="AJ73" s="35" t="n">
        <v>0.006437808348217693</v>
      </c>
      <c r="AK73" s="3" t="n">
        <v>0.008940545373267737</v>
      </c>
      <c r="AL73" s="3" t="n">
        <v>0.003935071323167649</v>
      </c>
      <c r="AM73" s="39" t="inlineStr"/>
      <c r="AN73" s="35" t="n">
        <v>0.01287561669643547</v>
      </c>
      <c r="AO73" s="3" t="n">
        <v>0.01788109074653547</v>
      </c>
      <c r="AP73" s="3" t="n">
        <v>0.007870142646335473</v>
      </c>
      <c r="AQ73" s="39" t="inlineStr"/>
      <c r="AR73" s="27" t="inlineStr">
        <is>
          <t>1S</t>
        </is>
      </c>
      <c r="AS73" s="1" t="inlineStr">
        <is>
          <t>1H 55M 30S</t>
        </is>
      </c>
      <c r="AT73" s="4" t="inlineStr">
        <is>
          <t>3H 51M 0S</t>
        </is>
      </c>
      <c r="AU73" s="4" t="inlineStr">
        <is>
          <t>3H 51M 0S</t>
        </is>
      </c>
      <c r="AV73" s="7" t="inlineStr">
        <is>
          <t>1S</t>
        </is>
      </c>
    </row>
    <row r="74" ht="15" customHeight="1" thickBot="1" thickTop="1">
      <c r="A74" s="10" t="inlineStr">
        <is>
          <t>ZRXUSDT</t>
        </is>
      </c>
      <c r="B74" s="12" t="inlineStr">
        <is>
          <t>CRYPTO</t>
        </is>
      </c>
      <c r="C74" s="673" t="n">
        <v>2</v>
      </c>
      <c r="D74" s="674" t="n">
        <v>1</v>
      </c>
      <c r="E74" s="675" t="n">
        <v>1</v>
      </c>
      <c r="F74" s="676" t="n">
        <v>0</v>
      </c>
      <c r="G74" s="677" t="n">
        <v>2</v>
      </c>
      <c r="H74" s="678" t="n">
        <v>1</v>
      </c>
      <c r="I74" s="679" t="n">
        <v>1</v>
      </c>
      <c r="J74" s="680" t="n">
        <v>0</v>
      </c>
      <c r="K74" s="677" t="n">
        <v>0</v>
      </c>
      <c r="L74" s="678" t="n">
        <v>0</v>
      </c>
      <c r="M74" s="679" t="n">
        <v>0</v>
      </c>
      <c r="N74" s="680" t="n">
        <v>0</v>
      </c>
      <c r="O74" s="681" t="n">
        <v>2</v>
      </c>
      <c r="P74" s="681" t="n">
        <v>0</v>
      </c>
      <c r="Q74" s="28" t="n"/>
      <c r="R74" s="28" t="n"/>
      <c r="S74" s="673" t="n">
        <v>0</v>
      </c>
      <c r="T74" s="673" t="n">
        <v>0</v>
      </c>
      <c r="U74" s="677" t="n">
        <v>0</v>
      </c>
      <c r="V74" s="680" t="n">
        <v>2</v>
      </c>
      <c r="W74" s="673" t="n">
        <v>0</v>
      </c>
      <c r="X74" s="673" t="n">
        <v>0</v>
      </c>
      <c r="Y74" s="673" t="n">
        <v>0</v>
      </c>
      <c r="Z74" s="673" t="n">
        <v>0</v>
      </c>
      <c r="AA74" s="673" t="n">
        <v>0</v>
      </c>
      <c r="AB74" s="673" t="n">
        <v>0</v>
      </c>
      <c r="AC74" s="31" t="inlineStr">
        <is>
          <t>1H</t>
        </is>
      </c>
      <c r="AD74" s="5" t="inlineStr">
        <is>
          <t>1H</t>
        </is>
      </c>
      <c r="AE74" s="62" t="inlineStr">
        <is>
          <t>1H</t>
        </is>
      </c>
      <c r="AF74" s="682" t="n">
        <v>2.02572059751736</v>
      </c>
      <c r="AG74" s="683" t="n">
        <v>0.01535701681409775</v>
      </c>
      <c r="AH74" s="692" t="n">
        <v>0.007678508407048873</v>
      </c>
      <c r="AI74" s="33" t="n">
        <v>0.5</v>
      </c>
      <c r="AJ74" s="35" t="n">
        <v>0.04543650241252067</v>
      </c>
      <c r="AK74" s="3" t="n">
        <v>0.04008264462809911</v>
      </c>
      <c r="AL74" s="3" t="n">
        <v>0.05079036019694223</v>
      </c>
      <c r="AM74" s="39" t="inlineStr"/>
      <c r="AN74" s="35" t="n">
        <v>0.09120918364068972</v>
      </c>
      <c r="AO74" s="3" t="n">
        <v>0.08057851239669428</v>
      </c>
      <c r="AP74" s="3" t="n">
        <v>0.1018398548846852</v>
      </c>
      <c r="AQ74" s="39" t="inlineStr"/>
      <c r="AR74" s="27" t="inlineStr">
        <is>
          <t>4H 21M 0S</t>
        </is>
      </c>
      <c r="AS74" s="1" t="inlineStr">
        <is>
          <t>11H 13M 0S</t>
        </is>
      </c>
      <c r="AT74" s="4" t="inlineStr">
        <is>
          <t>18H 5M 0S</t>
        </is>
      </c>
      <c r="AU74" s="4" t="inlineStr">
        <is>
          <t>4H 21M 0S</t>
        </is>
      </c>
      <c r="AV74" s="7" t="inlineStr">
        <is>
          <t>18H 5M 0S</t>
        </is>
      </c>
    </row>
    <row r="75" ht="15" customHeight="1" thickBot="1" thickTop="1">
      <c r="A75" s="10" t="inlineStr">
        <is>
          <t>1000CATSUSDT</t>
        </is>
      </c>
      <c r="B75" s="12" t="inlineStr">
        <is>
          <t>CRYPTO</t>
        </is>
      </c>
      <c r="C75" s="673" t="n">
        <v>1</v>
      </c>
      <c r="D75" s="674" t="n">
        <v>0</v>
      </c>
      <c r="E75" s="675" t="n">
        <v>1</v>
      </c>
      <c r="F75" s="676" t="n">
        <v>0</v>
      </c>
      <c r="G75" s="677" t="n">
        <v>0</v>
      </c>
      <c r="H75" s="678" t="n">
        <v>0</v>
      </c>
      <c r="I75" s="679" t="n">
        <v>0</v>
      </c>
      <c r="J75" s="680" t="n">
        <v>0</v>
      </c>
      <c r="K75" s="677" t="n">
        <v>1</v>
      </c>
      <c r="L75" s="678" t="n">
        <v>0</v>
      </c>
      <c r="M75" s="679" t="n">
        <v>1</v>
      </c>
      <c r="N75" s="680" t="n">
        <v>0</v>
      </c>
      <c r="O75" s="681" t="n">
        <v>0</v>
      </c>
      <c r="P75" s="681" t="n">
        <v>0</v>
      </c>
      <c r="Q75" s="28" t="n"/>
      <c r="R75" s="28" t="n"/>
      <c r="S75" s="673" t="n">
        <v>0</v>
      </c>
      <c r="T75" s="673" t="n">
        <v>0</v>
      </c>
      <c r="U75" s="677" t="n">
        <v>0</v>
      </c>
      <c r="V75" s="680" t="n">
        <v>0</v>
      </c>
      <c r="W75" s="673" t="n">
        <v>0</v>
      </c>
      <c r="X75" s="673" t="n">
        <v>0</v>
      </c>
      <c r="Y75" s="673" t="n">
        <v>0</v>
      </c>
      <c r="Z75" s="673" t="n">
        <v>0</v>
      </c>
      <c r="AA75" s="673" t="n">
        <v>0</v>
      </c>
      <c r="AB75" s="673" t="n">
        <v>0</v>
      </c>
      <c r="AC75" s="31" t="inlineStr">
        <is>
          <t>15MIN</t>
        </is>
      </c>
      <c r="AD75" s="5" t="inlineStr">
        <is>
          <t>15MIN</t>
        </is>
      </c>
      <c r="AE75" s="62" t="inlineStr">
        <is>
          <t>15MIN</t>
        </is>
      </c>
      <c r="AF75" s="690" t="n">
        <v>-0.9913793103448264</v>
      </c>
      <c r="AG75" s="688" t="n">
        <v>-0.01034500218091461</v>
      </c>
      <c r="AH75" s="691" t="n">
        <v>-0.01034500218091461</v>
      </c>
      <c r="AI75" s="33" t="n">
        <v>0</v>
      </c>
      <c r="AJ75" s="35" t="n">
        <v>0.05261964164209582</v>
      </c>
      <c r="AK75" s="3" t="n"/>
      <c r="AL75" s="3" t="n">
        <v>0.05261964164209582</v>
      </c>
      <c r="AM75" s="39" t="inlineStr"/>
      <c r="AN75" s="35" t="n">
        <v>0.1059197096847357</v>
      </c>
      <c r="AO75" s="3" t="n"/>
      <c r="AP75" s="3" t="n">
        <v>0.1059197096847357</v>
      </c>
      <c r="AQ75" s="39" t="inlineStr"/>
      <c r="AR75" s="27" t="inlineStr">
        <is>
          <t>9H 42M 0S</t>
        </is>
      </c>
      <c r="AS75" s="1" t="inlineStr">
        <is>
          <t>9H 42M 0S</t>
        </is>
      </c>
      <c r="AT75" s="4" t="inlineStr">
        <is>
          <t>9H 42M 0S</t>
        </is>
      </c>
      <c r="AU75" s="4" t="n"/>
      <c r="AV75" s="7" t="inlineStr">
        <is>
          <t>9H 42M 0S</t>
        </is>
      </c>
    </row>
    <row r="76" ht="15" customHeight="1" thickBot="1" thickTop="1">
      <c r="A76" s="10" t="inlineStr">
        <is>
          <t>AAVEUSDT</t>
        </is>
      </c>
      <c r="B76" s="12" t="inlineStr">
        <is>
          <t>CRYPTO</t>
        </is>
      </c>
      <c r="C76" s="673" t="n">
        <v>1</v>
      </c>
      <c r="D76" s="674" t="n">
        <v>0</v>
      </c>
      <c r="E76" s="675" t="n">
        <v>1</v>
      </c>
      <c r="F76" s="676" t="n">
        <v>0</v>
      </c>
      <c r="G76" s="677" t="n">
        <v>0</v>
      </c>
      <c r="H76" s="678" t="n">
        <v>0</v>
      </c>
      <c r="I76" s="679" t="n">
        <v>0</v>
      </c>
      <c r="J76" s="680" t="n">
        <v>0</v>
      </c>
      <c r="K76" s="677" t="n">
        <v>1</v>
      </c>
      <c r="L76" s="678" t="n">
        <v>0</v>
      </c>
      <c r="M76" s="679" t="n">
        <v>1</v>
      </c>
      <c r="N76" s="680" t="n">
        <v>0</v>
      </c>
      <c r="O76" s="681" t="n">
        <v>0</v>
      </c>
      <c r="P76" s="681" t="n">
        <v>0</v>
      </c>
      <c r="Q76" s="12" t="n"/>
      <c r="R76" s="28" t="n"/>
      <c r="S76" s="673" t="n">
        <v>0</v>
      </c>
      <c r="T76" s="673" t="n">
        <v>0</v>
      </c>
      <c r="U76" s="677" t="n">
        <v>0</v>
      </c>
      <c r="V76" s="680" t="n">
        <v>1</v>
      </c>
      <c r="W76" s="673" t="n">
        <v>0</v>
      </c>
      <c r="X76" s="673" t="n">
        <v>0</v>
      </c>
      <c r="Y76" s="673" t="n">
        <v>0</v>
      </c>
      <c r="Z76" s="673" t="n">
        <v>0</v>
      </c>
      <c r="AA76" s="673" t="n">
        <v>0</v>
      </c>
      <c r="AB76" s="673" t="n">
        <v>0</v>
      </c>
      <c r="AC76" s="31" t="inlineStr">
        <is>
          <t>DAILY</t>
        </is>
      </c>
      <c r="AD76" s="5" t="inlineStr">
        <is>
          <t>DAILY</t>
        </is>
      </c>
      <c r="AE76" s="62" t="inlineStr">
        <is>
          <t>DAILY</t>
        </is>
      </c>
      <c r="AF76" s="690" t="n">
        <v>-1.005952380952379</v>
      </c>
      <c r="AG76" s="688" t="n">
        <v>-0.005371956967255728</v>
      </c>
      <c r="AH76" s="691" t="n">
        <v>-0.005371956967255728</v>
      </c>
      <c r="AI76" s="33" t="n">
        <v>0</v>
      </c>
      <c r="AJ76" s="35" t="n">
        <v>0.03870967741935487</v>
      </c>
      <c r="AK76" s="3" t="n"/>
      <c r="AL76" s="3" t="n">
        <v>0.03870967741935487</v>
      </c>
      <c r="AM76" s="39" t="inlineStr"/>
      <c r="AN76" s="35" t="n">
        <v>0.1377880184331798</v>
      </c>
      <c r="AO76" s="3" t="n"/>
      <c r="AP76" s="3" t="n">
        <v>0.1377880184331798</v>
      </c>
      <c r="AQ76" s="39" t="inlineStr"/>
      <c r="AR76" s="27" t="inlineStr">
        <is>
          <t>1H 39M 0S</t>
        </is>
      </c>
      <c r="AS76" s="1" t="inlineStr">
        <is>
          <t>1H 39M 0S</t>
        </is>
      </c>
      <c r="AT76" s="4" t="inlineStr">
        <is>
          <t>1H 39M 0S</t>
        </is>
      </c>
      <c r="AU76" s="4" t="n"/>
      <c r="AV76" s="7" t="inlineStr">
        <is>
          <t>1H 39M 0S</t>
        </is>
      </c>
    </row>
    <row r="77" ht="15" customHeight="1" thickBot="1" thickTop="1">
      <c r="A77" s="10" t="inlineStr">
        <is>
          <t>AIONUSDT</t>
        </is>
      </c>
      <c r="B77" s="12" t="inlineStr">
        <is>
          <t>CRYPTO</t>
        </is>
      </c>
      <c r="C77" s="673" t="n">
        <v>1</v>
      </c>
      <c r="D77" s="674" t="n">
        <v>0</v>
      </c>
      <c r="E77" s="675" t="n">
        <v>1</v>
      </c>
      <c r="F77" s="676" t="n">
        <v>0</v>
      </c>
      <c r="G77" s="677" t="n">
        <v>1</v>
      </c>
      <c r="H77" s="678" t="n">
        <v>0</v>
      </c>
      <c r="I77" s="679" t="n">
        <v>1</v>
      </c>
      <c r="J77" s="680" t="n">
        <v>0</v>
      </c>
      <c r="K77" s="677" t="n">
        <v>0</v>
      </c>
      <c r="L77" s="678" t="n">
        <v>0</v>
      </c>
      <c r="M77" s="679" t="n">
        <v>0</v>
      </c>
      <c r="N77" s="680" t="n">
        <v>0</v>
      </c>
      <c r="O77" s="681" t="n">
        <v>0</v>
      </c>
      <c r="P77" s="681" t="n">
        <v>0</v>
      </c>
      <c r="Q77" s="12" t="n"/>
      <c r="R77" s="28" t="n"/>
      <c r="S77" s="673" t="n">
        <v>0</v>
      </c>
      <c r="T77" s="673" t="n">
        <v>0</v>
      </c>
      <c r="U77" s="677" t="n">
        <v>0</v>
      </c>
      <c r="V77" s="680" t="n">
        <v>1</v>
      </c>
      <c r="W77" s="673" t="n">
        <v>0</v>
      </c>
      <c r="X77" s="673" t="n">
        <v>0</v>
      </c>
      <c r="Y77" s="673" t="n">
        <v>0</v>
      </c>
      <c r="Z77" s="673" t="n">
        <v>0</v>
      </c>
      <c r="AA77" s="673" t="n">
        <v>0</v>
      </c>
      <c r="AB77" s="673" t="n">
        <v>0</v>
      </c>
      <c r="AC77" s="31" t="inlineStr">
        <is>
          <t>1H</t>
        </is>
      </c>
      <c r="AD77" s="5" t="inlineStr">
        <is>
          <t>1H</t>
        </is>
      </c>
      <c r="AE77" s="62" t="inlineStr">
        <is>
          <t>1H</t>
        </is>
      </c>
      <c r="AF77" s="690" t="n">
        <v>-1</v>
      </c>
      <c r="AG77" s="688" t="n">
        <v>-0.008590934402404549</v>
      </c>
      <c r="AH77" s="691" t="n">
        <v>-0.008590934402404549</v>
      </c>
      <c r="AI77" s="33" t="n">
        <v>0</v>
      </c>
      <c r="AJ77" s="35" t="n">
        <v>0.03908794788273622</v>
      </c>
      <c r="AK77" s="3" t="n"/>
      <c r="AL77" s="3" t="n">
        <v>0.03908794788273622</v>
      </c>
      <c r="AM77" s="39" t="inlineStr"/>
      <c r="AN77" s="35" t="n">
        <v>0.07817589576547229</v>
      </c>
      <c r="AO77" s="3" t="n"/>
      <c r="AP77" s="3" t="n">
        <v>0.07817589576547229</v>
      </c>
      <c r="AQ77" s="39" t="inlineStr"/>
      <c r="AR77" s="27" t="inlineStr">
        <is>
          <t>2H 36M 0S</t>
        </is>
      </c>
      <c r="AS77" s="1" t="inlineStr">
        <is>
          <t>2H 36M 0S</t>
        </is>
      </c>
      <c r="AT77" s="4" t="inlineStr">
        <is>
          <t>2H 36M 0S</t>
        </is>
      </c>
      <c r="AU77" s="4" t="n"/>
      <c r="AV77" s="7" t="inlineStr">
        <is>
          <t>2H 36M 0S</t>
        </is>
      </c>
    </row>
    <row r="78" ht="15" customHeight="1" thickBot="1" thickTop="1">
      <c r="A78" s="10" t="inlineStr">
        <is>
          <t>AVNTUSDT</t>
        </is>
      </c>
      <c r="B78" s="12" t="inlineStr">
        <is>
          <t>CRYPTO</t>
        </is>
      </c>
      <c r="C78" s="673" t="n">
        <v>1</v>
      </c>
      <c r="D78" s="674" t="n">
        <v>0</v>
      </c>
      <c r="E78" s="675" t="n">
        <v>1</v>
      </c>
      <c r="F78" s="676" t="n">
        <v>0</v>
      </c>
      <c r="G78" s="677" t="n">
        <v>1</v>
      </c>
      <c r="H78" s="678" t="n">
        <v>0</v>
      </c>
      <c r="I78" s="679" t="n">
        <v>1</v>
      </c>
      <c r="J78" s="680" t="n">
        <v>0</v>
      </c>
      <c r="K78" s="677" t="n">
        <v>0</v>
      </c>
      <c r="L78" s="678" t="n">
        <v>0</v>
      </c>
      <c r="M78" s="679" t="n">
        <v>0</v>
      </c>
      <c r="N78" s="680" t="n">
        <v>0</v>
      </c>
      <c r="O78" s="681" t="n">
        <v>0</v>
      </c>
      <c r="P78" s="681" t="n">
        <v>0</v>
      </c>
      <c r="Q78" s="12" t="n"/>
      <c r="R78" s="28" t="n"/>
      <c r="S78" s="673" t="n">
        <v>0</v>
      </c>
      <c r="T78" s="673" t="n">
        <v>0</v>
      </c>
      <c r="U78" s="677" t="n">
        <v>0</v>
      </c>
      <c r="V78" s="680" t="n">
        <v>0</v>
      </c>
      <c r="W78" s="673" t="n">
        <v>0</v>
      </c>
      <c r="X78" s="673" t="n">
        <v>0</v>
      </c>
      <c r="Y78" s="673" t="n">
        <v>0</v>
      </c>
      <c r="Z78" s="673" t="n">
        <v>0</v>
      </c>
      <c r="AA78" s="673" t="n">
        <v>0</v>
      </c>
      <c r="AB78" s="673" t="n">
        <v>0</v>
      </c>
      <c r="AC78" s="31" t="inlineStr">
        <is>
          <t>1H</t>
        </is>
      </c>
      <c r="AD78" s="5" t="inlineStr">
        <is>
          <t>1H</t>
        </is>
      </c>
      <c r="AE78" s="62" t="inlineStr">
        <is>
          <t>1H</t>
        </is>
      </c>
      <c r="AF78" s="690" t="n">
        <v>-1.009971509971511</v>
      </c>
      <c r="AG78" s="688" t="n">
        <v>-0.009901713740826389</v>
      </c>
      <c r="AH78" s="691" t="n">
        <v>-0.009901713740826389</v>
      </c>
      <c r="AI78" s="33" t="n">
        <v>0</v>
      </c>
      <c r="AJ78" s="35" t="n">
        <v>0.09294320137693622</v>
      </c>
      <c r="AK78" s="3" t="n"/>
      <c r="AL78" s="3" t="n">
        <v>0.09294320137693622</v>
      </c>
      <c r="AM78" s="39" t="inlineStr"/>
      <c r="AN78" s="35" t="n">
        <v>0.1905203230504436</v>
      </c>
      <c r="AO78" s="3" t="n"/>
      <c r="AP78" s="3" t="n">
        <v>0.1905203230504436</v>
      </c>
      <c r="AQ78" s="39" t="inlineStr"/>
      <c r="AR78" s="27" t="inlineStr">
        <is>
          <t>5H 5M 0S</t>
        </is>
      </c>
      <c r="AS78" s="1" t="inlineStr">
        <is>
          <t>5H 5M 0S</t>
        </is>
      </c>
      <c r="AT78" s="4" t="inlineStr">
        <is>
          <t>5H 5M 0S</t>
        </is>
      </c>
      <c r="AU78" s="4" t="n"/>
      <c r="AV78" s="7" t="inlineStr">
        <is>
          <t>5H 5M 0S</t>
        </is>
      </c>
    </row>
    <row r="79" ht="15" customHeight="1" thickBot="1" thickTop="1">
      <c r="A79" s="10" t="inlineStr">
        <is>
          <t>BATUSDT</t>
        </is>
      </c>
      <c r="B79" s="12" t="inlineStr">
        <is>
          <t>CRYPTO</t>
        </is>
      </c>
      <c r="C79" s="673" t="n">
        <v>1</v>
      </c>
      <c r="D79" s="674" t="n">
        <v>0</v>
      </c>
      <c r="E79" s="675" t="n">
        <v>1</v>
      </c>
      <c r="F79" s="676" t="n">
        <v>0</v>
      </c>
      <c r="G79" s="677" t="n">
        <v>1</v>
      </c>
      <c r="H79" s="678" t="n">
        <v>0</v>
      </c>
      <c r="I79" s="679" t="n">
        <v>1</v>
      </c>
      <c r="J79" s="680" t="n">
        <v>0</v>
      </c>
      <c r="K79" s="677" t="n">
        <v>0</v>
      </c>
      <c r="L79" s="678" t="n">
        <v>0</v>
      </c>
      <c r="M79" s="679" t="n">
        <v>0</v>
      </c>
      <c r="N79" s="680" t="n">
        <v>0</v>
      </c>
      <c r="O79" s="681" t="n">
        <v>0</v>
      </c>
      <c r="P79" s="681" t="n">
        <v>0</v>
      </c>
      <c r="Q79" s="28" t="n"/>
      <c r="R79" s="28" t="n"/>
      <c r="S79" s="673" t="n">
        <v>0</v>
      </c>
      <c r="T79" s="673" t="n">
        <v>0</v>
      </c>
      <c r="U79" s="677" t="n">
        <v>0</v>
      </c>
      <c r="V79" s="680" t="n">
        <v>1</v>
      </c>
      <c r="W79" s="673" t="n">
        <v>0</v>
      </c>
      <c r="X79" s="673" t="n">
        <v>0</v>
      </c>
      <c r="Y79" s="673" t="n">
        <v>0</v>
      </c>
      <c r="Z79" s="673" t="n">
        <v>0</v>
      </c>
      <c r="AA79" s="673" t="n">
        <v>0</v>
      </c>
      <c r="AB79" s="673" t="n">
        <v>0</v>
      </c>
      <c r="AC79" s="31" t="inlineStr">
        <is>
          <t>WEEKLY</t>
        </is>
      </c>
      <c r="AD79" s="5" t="inlineStr">
        <is>
          <t>WEEKLY</t>
        </is>
      </c>
      <c r="AE79" s="62" t="inlineStr">
        <is>
          <t>WEEKLY</t>
        </is>
      </c>
      <c r="AF79" s="690" t="n">
        <v>-1</v>
      </c>
      <c r="AG79" s="688" t="n">
        <v>-0.005117217613681721</v>
      </c>
      <c r="AH79" s="691" t="n">
        <v>-0.005117217613681721</v>
      </c>
      <c r="AI79" s="33" t="n">
        <v>0</v>
      </c>
      <c r="AJ79" s="35" t="n">
        <v>0.1257995735607676</v>
      </c>
      <c r="AK79" s="150" t="n"/>
      <c r="AL79" s="3" t="n">
        <v>0.1257995735607676</v>
      </c>
      <c r="AM79" s="39" t="inlineStr"/>
      <c r="AN79" s="35" t="n">
        <v>0.2522388059701494</v>
      </c>
      <c r="AO79" s="150" t="n"/>
      <c r="AP79" s="3" t="n">
        <v>0.2522388059701494</v>
      </c>
      <c r="AQ79" s="39" t="inlineStr"/>
      <c r="AR79" s="27" t="inlineStr">
        <is>
          <t>1D 19H 51M 0S</t>
        </is>
      </c>
      <c r="AS79" s="1" t="inlineStr">
        <is>
          <t>1D 19H 51M 0S</t>
        </is>
      </c>
      <c r="AT79" s="4" t="inlineStr">
        <is>
          <t>1D 19H 51M 0S</t>
        </is>
      </c>
      <c r="AU79" s="4" t="n"/>
      <c r="AV79" s="7" t="inlineStr">
        <is>
          <t>1D 19H 51M 0S</t>
        </is>
      </c>
    </row>
    <row r="80" ht="15" customHeight="1" thickBot="1" thickTop="1">
      <c r="A80" s="10" t="inlineStr">
        <is>
          <t>BIGTIMEUSDT</t>
        </is>
      </c>
      <c r="B80" s="12" t="inlineStr">
        <is>
          <t>CRYPTO</t>
        </is>
      </c>
      <c r="C80" s="673" t="n">
        <v>1</v>
      </c>
      <c r="D80" s="674" t="n">
        <v>0</v>
      </c>
      <c r="E80" s="675" t="n">
        <v>1</v>
      </c>
      <c r="F80" s="676" t="n">
        <v>0</v>
      </c>
      <c r="G80" s="677" t="n">
        <v>1</v>
      </c>
      <c r="H80" s="678" t="n">
        <v>0</v>
      </c>
      <c r="I80" s="679" t="n">
        <v>1</v>
      </c>
      <c r="J80" s="680" t="n">
        <v>0</v>
      </c>
      <c r="K80" s="677" t="n">
        <v>0</v>
      </c>
      <c r="L80" s="678" t="n">
        <v>0</v>
      </c>
      <c r="M80" s="679" t="n">
        <v>0</v>
      </c>
      <c r="N80" s="680" t="n">
        <v>0</v>
      </c>
      <c r="O80" s="681" t="n">
        <v>0</v>
      </c>
      <c r="P80" s="681" t="n">
        <v>0</v>
      </c>
      <c r="Q80" s="12" t="inlineStr">
        <is>
          <t>channel</t>
        </is>
      </c>
      <c r="R80" s="28" t="n"/>
      <c r="S80" s="673" t="n">
        <v>0</v>
      </c>
      <c r="T80" s="673" t="n">
        <v>0</v>
      </c>
      <c r="U80" s="677" t="n">
        <v>0</v>
      </c>
      <c r="V80" s="680" t="n">
        <v>1</v>
      </c>
      <c r="W80" s="673" t="n">
        <v>0</v>
      </c>
      <c r="X80" s="673" t="n">
        <v>0</v>
      </c>
      <c r="Y80" s="673" t="n">
        <v>0</v>
      </c>
      <c r="Z80" s="673" t="n">
        <v>0</v>
      </c>
      <c r="AA80" s="673" t="n">
        <v>0</v>
      </c>
      <c r="AB80" s="673" t="n">
        <v>0</v>
      </c>
      <c r="AC80" s="31" t="inlineStr">
        <is>
          <t>4H</t>
        </is>
      </c>
      <c r="AD80" s="5" t="inlineStr">
        <is>
          <t>4H</t>
        </is>
      </c>
      <c r="AE80" s="62" t="inlineStr">
        <is>
          <t>4H</t>
        </is>
      </c>
      <c r="AF80" s="690" t="n">
        <v>-1.039215686274511</v>
      </c>
      <c r="AG80" s="688" t="n">
        <v>-0.01086547238424453</v>
      </c>
      <c r="AH80" s="691" t="n">
        <v>-0.01086547238424453</v>
      </c>
      <c r="AI80" s="33" t="n">
        <v>0</v>
      </c>
      <c r="AJ80" s="35" t="n">
        <v>0.03947368421052637</v>
      </c>
      <c r="AK80" s="150" t="n"/>
      <c r="AL80" s="3" t="n">
        <v>0.03947368421052637</v>
      </c>
      <c r="AM80" s="39" t="inlineStr"/>
      <c r="AN80" s="35" t="n">
        <v>0.08204334365325075</v>
      </c>
      <c r="AO80" s="150" t="n"/>
      <c r="AP80" s="3" t="n">
        <v>0.08204334365325075</v>
      </c>
      <c r="AQ80" s="39" t="inlineStr"/>
      <c r="AR80" s="27" t="inlineStr">
        <is>
          <t>15H 9M 0S</t>
        </is>
      </c>
      <c r="AS80" s="1" t="inlineStr">
        <is>
          <t>15H 9M 0S</t>
        </is>
      </c>
      <c r="AT80" s="4" t="inlineStr">
        <is>
          <t>15H 9M 0S</t>
        </is>
      </c>
      <c r="AU80" s="4" t="n"/>
      <c r="AV80" s="7" t="inlineStr">
        <is>
          <t>15H 9M 0S</t>
        </is>
      </c>
    </row>
    <row r="81" ht="15" customHeight="1" thickBot="1" thickTop="1">
      <c r="A81" s="10" t="inlineStr">
        <is>
          <t>COMPUSDT</t>
        </is>
      </c>
      <c r="B81" s="12" t="inlineStr">
        <is>
          <t>CRYPTO</t>
        </is>
      </c>
      <c r="C81" s="673" t="n">
        <v>1</v>
      </c>
      <c r="D81" s="674" t="n">
        <v>1</v>
      </c>
      <c r="E81" s="675" t="n">
        <v>0</v>
      </c>
      <c r="F81" s="676" t="n">
        <v>0</v>
      </c>
      <c r="G81" s="677" t="n">
        <v>0</v>
      </c>
      <c r="H81" s="678" t="n">
        <v>0</v>
      </c>
      <c r="I81" s="679" t="n">
        <v>0</v>
      </c>
      <c r="J81" s="680" t="n">
        <v>0</v>
      </c>
      <c r="K81" s="677" t="n">
        <v>1</v>
      </c>
      <c r="L81" s="678" t="n">
        <v>1</v>
      </c>
      <c r="M81" s="679" t="n">
        <v>0</v>
      </c>
      <c r="N81" s="680" t="n">
        <v>0</v>
      </c>
      <c r="O81" s="681" t="n">
        <v>0</v>
      </c>
      <c r="P81" s="681" t="n">
        <v>0</v>
      </c>
      <c r="Q81" s="28" t="n"/>
      <c r="R81" s="28" t="n"/>
      <c r="S81" s="673" t="n">
        <v>0</v>
      </c>
      <c r="T81" s="673" t="n">
        <v>0</v>
      </c>
      <c r="U81" s="677" t="n">
        <v>0</v>
      </c>
      <c r="V81" s="680" t="n">
        <v>1</v>
      </c>
      <c r="W81" s="673" t="n">
        <v>0</v>
      </c>
      <c r="X81" s="673" t="n">
        <v>0</v>
      </c>
      <c r="Y81" s="673" t="n">
        <v>0</v>
      </c>
      <c r="Z81" s="673" t="n">
        <v>0</v>
      </c>
      <c r="AA81" s="673" t="n">
        <v>0</v>
      </c>
      <c r="AB81" s="673" t="n">
        <v>0</v>
      </c>
      <c r="AC81" s="31" t="inlineStr">
        <is>
          <t>WEEKLY</t>
        </is>
      </c>
      <c r="AD81" s="5" t="inlineStr">
        <is>
          <t>WEEKLY</t>
        </is>
      </c>
      <c r="AE81" s="62" t="inlineStr">
        <is>
          <t>WEEKLY</t>
        </is>
      </c>
      <c r="AF81" s="682" t="n">
        <v>2.340080971659928</v>
      </c>
      <c r="AG81" s="683" t="n">
        <v>0.01332408509286434</v>
      </c>
      <c r="AH81" s="692" t="n">
        <v>0.01332408509286434</v>
      </c>
      <c r="AI81" s="33" t="n">
        <v>1</v>
      </c>
      <c r="AJ81" s="35" t="n">
        <v>0.04658619388909832</v>
      </c>
      <c r="AK81" s="3" t="n">
        <v>0.04658619388909832</v>
      </c>
      <c r="AL81" s="3" t="n"/>
      <c r="AM81" s="39" t="inlineStr"/>
      <c r="AN81" s="35" t="n">
        <v>0.10939268200679</v>
      </c>
      <c r="AO81" s="3" t="n">
        <v>0.10939268200679</v>
      </c>
      <c r="AP81" s="3" t="n"/>
      <c r="AQ81" s="39" t="inlineStr"/>
      <c r="AR81" s="27" t="inlineStr">
        <is>
          <t>21H 15M 0S</t>
        </is>
      </c>
      <c r="AS81" s="1" t="inlineStr">
        <is>
          <t>21H 15M 0S</t>
        </is>
      </c>
      <c r="AT81" s="4" t="inlineStr">
        <is>
          <t>21H 15M 0S</t>
        </is>
      </c>
      <c r="AU81" s="4" t="inlineStr">
        <is>
          <t>21H 15M 0S</t>
        </is>
      </c>
      <c r="AV81" s="7" t="n"/>
    </row>
    <row r="82" ht="15" customHeight="1" thickBot="1" thickTop="1">
      <c r="A82" s="10" t="inlineStr">
        <is>
          <t>DENTUSDT</t>
        </is>
      </c>
      <c r="B82" s="12" t="inlineStr">
        <is>
          <t>CRYPTO</t>
        </is>
      </c>
      <c r="C82" s="673" t="n">
        <v>1</v>
      </c>
      <c r="D82" s="674" t="n">
        <v>0</v>
      </c>
      <c r="E82" s="675" t="n">
        <v>1</v>
      </c>
      <c r="F82" s="676" t="n">
        <v>0</v>
      </c>
      <c r="G82" s="677" t="n">
        <v>1</v>
      </c>
      <c r="H82" s="678" t="n">
        <v>0</v>
      </c>
      <c r="I82" s="679" t="n">
        <v>1</v>
      </c>
      <c r="J82" s="680" t="n">
        <v>0</v>
      </c>
      <c r="K82" s="677" t="n">
        <v>0</v>
      </c>
      <c r="L82" s="678" t="n">
        <v>0</v>
      </c>
      <c r="M82" s="679" t="n">
        <v>0</v>
      </c>
      <c r="N82" s="680" t="n">
        <v>0</v>
      </c>
      <c r="O82" s="681" t="n">
        <v>0</v>
      </c>
      <c r="P82" s="681" t="n">
        <v>0</v>
      </c>
      <c r="Q82" s="28" t="n"/>
      <c r="R82" s="28" t="n"/>
      <c r="S82" s="673" t="n">
        <v>0</v>
      </c>
      <c r="T82" s="673" t="n">
        <v>0</v>
      </c>
      <c r="U82" s="677" t="n">
        <v>0</v>
      </c>
      <c r="V82" s="680" t="n">
        <v>1</v>
      </c>
      <c r="W82" s="673" t="n">
        <v>0</v>
      </c>
      <c r="X82" s="673" t="n">
        <v>0</v>
      </c>
      <c r="Y82" s="673" t="n">
        <v>0</v>
      </c>
      <c r="Z82" s="673" t="n">
        <v>0</v>
      </c>
      <c r="AA82" s="673" t="n">
        <v>0</v>
      </c>
      <c r="AB82" s="673" t="n">
        <v>0</v>
      </c>
      <c r="AC82" s="31" t="inlineStr">
        <is>
          <t>4H</t>
        </is>
      </c>
      <c r="AD82" s="5" t="inlineStr">
        <is>
          <t>4H</t>
        </is>
      </c>
      <c r="AE82" s="62" t="inlineStr">
        <is>
          <t>4H</t>
        </is>
      </c>
      <c r="AF82" s="690" t="n">
        <v>-0.9909090909090907</v>
      </c>
      <c r="AG82" s="688" t="n">
        <v>-0.009489834181024084</v>
      </c>
      <c r="AH82" s="691" t="n">
        <v>-0.009489834181024084</v>
      </c>
      <c r="AI82" s="33" t="n">
        <v>0</v>
      </c>
      <c r="AJ82" s="35" t="n">
        <v>0.05064456721915284</v>
      </c>
      <c r="AK82" s="3" t="n"/>
      <c r="AL82" s="3" t="n">
        <v>0.05064456721915284</v>
      </c>
      <c r="AM82" s="39" t="inlineStr"/>
      <c r="AN82" s="35" t="n">
        <v>0.1510128913443831</v>
      </c>
      <c r="AO82" s="3" t="n"/>
      <c r="AP82" s="3" t="n">
        <v>0.1510128913443831</v>
      </c>
      <c r="AQ82" s="39" t="inlineStr"/>
      <c r="AR82" s="27" t="inlineStr">
        <is>
          <t>6H 52M 0S</t>
        </is>
      </c>
      <c r="AS82" s="1" t="inlineStr">
        <is>
          <t>6H 52M 0S</t>
        </is>
      </c>
      <c r="AT82" s="4" t="inlineStr">
        <is>
          <t>6H 52M 0S</t>
        </is>
      </c>
      <c r="AU82" s="4" t="n"/>
      <c r="AV82" s="7" t="inlineStr">
        <is>
          <t>6H 52M 0S</t>
        </is>
      </c>
    </row>
    <row r="83" ht="15" customHeight="1" thickBot="1" thickTop="1">
      <c r="A83" s="10" t="inlineStr">
        <is>
          <t>ENJUSDT</t>
        </is>
      </c>
      <c r="B83" s="12" t="inlineStr">
        <is>
          <t>CRYPTO</t>
        </is>
      </c>
      <c r="C83" s="673" t="n">
        <v>1</v>
      </c>
      <c r="D83" s="674" t="n">
        <v>0</v>
      </c>
      <c r="E83" s="675" t="n">
        <v>1</v>
      </c>
      <c r="F83" s="676" t="n">
        <v>0</v>
      </c>
      <c r="G83" s="677" t="n">
        <v>1</v>
      </c>
      <c r="H83" s="678" t="n">
        <v>0</v>
      </c>
      <c r="I83" s="679" t="n">
        <v>1</v>
      </c>
      <c r="J83" s="680" t="n">
        <v>0</v>
      </c>
      <c r="K83" s="677" t="n">
        <v>0</v>
      </c>
      <c r="L83" s="678" t="n">
        <v>0</v>
      </c>
      <c r="M83" s="679" t="n">
        <v>0</v>
      </c>
      <c r="N83" s="680" t="n">
        <v>0</v>
      </c>
      <c r="O83" s="681" t="n">
        <v>0</v>
      </c>
      <c r="P83" s="681" t="n">
        <v>0</v>
      </c>
      <c r="Q83" s="28" t="n"/>
      <c r="R83" s="28" t="n"/>
      <c r="S83" s="673" t="n">
        <v>0</v>
      </c>
      <c r="T83" s="673" t="n">
        <v>0</v>
      </c>
      <c r="U83" s="677" t="n">
        <v>0</v>
      </c>
      <c r="V83" s="680" t="n">
        <v>1</v>
      </c>
      <c r="W83" s="673" t="n">
        <v>0</v>
      </c>
      <c r="X83" s="673" t="n">
        <v>1</v>
      </c>
      <c r="Y83" s="673" t="n">
        <v>0</v>
      </c>
      <c r="Z83" s="673" t="n">
        <v>0</v>
      </c>
      <c r="AA83" s="673" t="n">
        <v>0</v>
      </c>
      <c r="AB83" s="673" t="n">
        <v>0</v>
      </c>
      <c r="AC83" s="31" t="inlineStr">
        <is>
          <t>1H</t>
        </is>
      </c>
      <c r="AD83" s="5" t="inlineStr">
        <is>
          <t>1H</t>
        </is>
      </c>
      <c r="AE83" s="62" t="inlineStr">
        <is>
          <t>1H</t>
        </is>
      </c>
      <c r="AF83" s="690" t="n">
        <v>-1.0013698630137</v>
      </c>
      <c r="AG83" s="688" t="n">
        <v>-0.009264585582580743</v>
      </c>
      <c r="AH83" s="691" t="n">
        <v>-0.009264585582580743</v>
      </c>
      <c r="AI83" s="33" t="n">
        <v>0</v>
      </c>
      <c r="AJ83" s="35" t="n">
        <v>0.04229922354849925</v>
      </c>
      <c r="AK83" s="150" t="n"/>
      <c r="AL83" s="3" t="n">
        <v>0.04229922354849925</v>
      </c>
      <c r="AM83" s="39" t="inlineStr"/>
      <c r="AN83" s="35" t="n">
        <v>0.08465639123884565</v>
      </c>
      <c r="AO83" s="150" t="n"/>
      <c r="AP83" s="3" t="n">
        <v>0.08465639123884565</v>
      </c>
      <c r="AQ83" s="39" t="inlineStr"/>
      <c r="AR83" s="27" t="inlineStr">
        <is>
          <t>6M 0S</t>
        </is>
      </c>
      <c r="AS83" s="1" t="inlineStr">
        <is>
          <t>6M 0S</t>
        </is>
      </c>
      <c r="AT83" s="4" t="inlineStr">
        <is>
          <t>6M 0S</t>
        </is>
      </c>
      <c r="AU83" s="4" t="n"/>
      <c r="AV83" s="7" t="inlineStr">
        <is>
          <t>6M 0S</t>
        </is>
      </c>
    </row>
    <row r="84" ht="15" customHeight="1" thickBot="1" thickTop="1">
      <c r="A84" s="10" t="inlineStr">
        <is>
          <t>ENSUSDT</t>
        </is>
      </c>
      <c r="B84" s="12" t="inlineStr">
        <is>
          <t>CRYPTO</t>
        </is>
      </c>
      <c r="C84" s="673" t="n">
        <v>1</v>
      </c>
      <c r="D84" s="674" t="n">
        <v>0</v>
      </c>
      <c r="E84" s="675" t="n">
        <v>1</v>
      </c>
      <c r="F84" s="676" t="n">
        <v>0</v>
      </c>
      <c r="G84" s="677" t="n">
        <v>1</v>
      </c>
      <c r="H84" s="678" t="n">
        <v>0</v>
      </c>
      <c r="I84" s="679" t="n">
        <v>1</v>
      </c>
      <c r="J84" s="680" t="n">
        <v>0</v>
      </c>
      <c r="K84" s="677" t="n">
        <v>0</v>
      </c>
      <c r="L84" s="678" t="n">
        <v>0</v>
      </c>
      <c r="M84" s="679" t="n">
        <v>0</v>
      </c>
      <c r="N84" s="680" t="n">
        <v>0</v>
      </c>
      <c r="O84" s="681" t="n">
        <v>0</v>
      </c>
      <c r="P84" s="681" t="n">
        <v>0</v>
      </c>
      <c r="Q84" s="12" t="n"/>
      <c r="R84" s="28" t="n"/>
      <c r="S84" s="673" t="n">
        <v>1</v>
      </c>
      <c r="T84" s="673" t="n">
        <v>0</v>
      </c>
      <c r="U84" s="677" t="n">
        <v>0</v>
      </c>
      <c r="V84" s="680" t="n">
        <v>1</v>
      </c>
      <c r="W84" s="673" t="n">
        <v>0</v>
      </c>
      <c r="X84" s="673" t="n">
        <v>0</v>
      </c>
      <c r="Y84" s="673" t="n">
        <v>0</v>
      </c>
      <c r="Z84" s="673" t="n">
        <v>0</v>
      </c>
      <c r="AA84" s="673" t="n">
        <v>0</v>
      </c>
      <c r="AB84" s="673" t="n">
        <v>0</v>
      </c>
      <c r="AC84" s="31" t="inlineStr">
        <is>
          <t>1H</t>
        </is>
      </c>
      <c r="AD84" s="5" t="inlineStr">
        <is>
          <t>1H</t>
        </is>
      </c>
      <c r="AE84" s="62" t="inlineStr">
        <is>
          <t>1H</t>
        </is>
      </c>
      <c r="AF84" s="690" t="n">
        <v>-1.09944751381215</v>
      </c>
      <c r="AG84" s="688" t="n">
        <v>-0.005729300269255765</v>
      </c>
      <c r="AH84" s="691" t="n">
        <v>-0.005729300269255765</v>
      </c>
      <c r="AI84" s="33" t="n">
        <v>0</v>
      </c>
      <c r="AJ84" s="35" t="n">
        <v>0.02741593456528328</v>
      </c>
      <c r="AK84" s="150" t="n"/>
      <c r="AL84" s="3" t="n">
        <v>0.02741593456528328</v>
      </c>
      <c r="AM84" s="39" t="inlineStr"/>
      <c r="AN84" s="35" t="n">
        <v>0.09663738261133005</v>
      </c>
      <c r="AO84" s="150" t="n"/>
      <c r="AP84" s="3" t="n">
        <v>0.09663738261133005</v>
      </c>
      <c r="AQ84" s="39" t="inlineStr"/>
      <c r="AR84" s="27" t="inlineStr">
        <is>
          <t>34M 0S</t>
        </is>
      </c>
      <c r="AS84" s="1" t="inlineStr">
        <is>
          <t>34M 0S</t>
        </is>
      </c>
      <c r="AT84" s="4" t="inlineStr">
        <is>
          <t>34M 0S</t>
        </is>
      </c>
      <c r="AU84" s="4" t="n"/>
      <c r="AV84" s="7" t="inlineStr">
        <is>
          <t>34M 0S</t>
        </is>
      </c>
    </row>
    <row r="85" ht="15" customHeight="1" thickBot="1" thickTop="1">
      <c r="A85" s="10" t="inlineStr">
        <is>
          <t>EOSUSDT</t>
        </is>
      </c>
      <c r="B85" s="12" t="inlineStr">
        <is>
          <t>CRYPTO</t>
        </is>
      </c>
      <c r="C85" s="673" t="n">
        <v>1</v>
      </c>
      <c r="D85" s="674" t="n">
        <v>0</v>
      </c>
      <c r="E85" s="675" t="n">
        <v>1</v>
      </c>
      <c r="F85" s="676" t="n">
        <v>0</v>
      </c>
      <c r="G85" s="677" t="n">
        <v>1</v>
      </c>
      <c r="H85" s="678" t="n">
        <v>0</v>
      </c>
      <c r="I85" s="679" t="n">
        <v>1</v>
      </c>
      <c r="J85" s="680" t="n">
        <v>0</v>
      </c>
      <c r="K85" s="677" t="n">
        <v>0</v>
      </c>
      <c r="L85" s="678" t="n">
        <v>0</v>
      </c>
      <c r="M85" s="679" t="n">
        <v>0</v>
      </c>
      <c r="N85" s="680" t="n">
        <v>0</v>
      </c>
      <c r="O85" s="681" t="n">
        <v>0</v>
      </c>
      <c r="P85" s="681" t="n">
        <v>0</v>
      </c>
      <c r="Q85" s="12" t="n"/>
      <c r="R85" s="28" t="n"/>
      <c r="S85" s="673" t="n">
        <v>0</v>
      </c>
      <c r="T85" s="673" t="n">
        <v>0</v>
      </c>
      <c r="U85" s="677" t="n">
        <v>0</v>
      </c>
      <c r="V85" s="680" t="n">
        <v>1</v>
      </c>
      <c r="W85" s="673" t="n">
        <v>0</v>
      </c>
      <c r="X85" s="673" t="n">
        <v>0</v>
      </c>
      <c r="Y85" s="673" t="n">
        <v>0</v>
      </c>
      <c r="Z85" s="673" t="n">
        <v>0</v>
      </c>
      <c r="AA85" s="673" t="n">
        <v>0</v>
      </c>
      <c r="AB85" s="673" t="n">
        <v>0</v>
      </c>
      <c r="AC85" s="31" t="inlineStr">
        <is>
          <t>15MIN</t>
        </is>
      </c>
      <c r="AD85" s="5" t="inlineStr">
        <is>
          <t>15MIN</t>
        </is>
      </c>
      <c r="AE85" s="62" t="inlineStr">
        <is>
          <t>15MIN</t>
        </is>
      </c>
      <c r="AF85" s="690" t="n">
        <v>-1</v>
      </c>
      <c r="AG85" s="688" t="n">
        <v>-0.01383262468166358</v>
      </c>
      <c r="AH85" s="691" t="n">
        <v>-0.01383262468166358</v>
      </c>
      <c r="AI85" s="33" t="n">
        <v>0</v>
      </c>
      <c r="AJ85" s="35" t="n">
        <v>0.00518999073215933</v>
      </c>
      <c r="AK85" s="150" t="n"/>
      <c r="AL85" s="3" t="n">
        <v>0.00518999073215933</v>
      </c>
      <c r="AM85" s="39" t="inlineStr"/>
      <c r="AN85" s="35" t="n">
        <v>0.01037998146431882</v>
      </c>
      <c r="AO85" s="150" t="n"/>
      <c r="AP85" s="3" t="n">
        <v>0.01037998146431882</v>
      </c>
      <c r="AQ85" s="39" t="inlineStr"/>
      <c r="AR85" s="27" t="inlineStr">
        <is>
          <t>16M 0S</t>
        </is>
      </c>
      <c r="AS85" s="1" t="inlineStr">
        <is>
          <t>16M 0S</t>
        </is>
      </c>
      <c r="AT85" s="4" t="inlineStr">
        <is>
          <t>16M 0S</t>
        </is>
      </c>
      <c r="AU85" s="4" t="n"/>
      <c r="AV85" s="7" t="inlineStr">
        <is>
          <t>16M 0S</t>
        </is>
      </c>
    </row>
    <row r="86" ht="15" customHeight="1" thickBot="1" thickTop="1">
      <c r="A86" s="10" t="inlineStr">
        <is>
          <t>ETCUSDT</t>
        </is>
      </c>
      <c r="B86" s="12" t="inlineStr">
        <is>
          <t>CRYPTO</t>
        </is>
      </c>
      <c r="C86" s="673" t="n">
        <v>1</v>
      </c>
      <c r="D86" s="674" t="n">
        <v>0</v>
      </c>
      <c r="E86" s="675" t="n">
        <v>1</v>
      </c>
      <c r="F86" s="676" t="n">
        <v>0</v>
      </c>
      <c r="G86" s="677" t="n">
        <v>1</v>
      </c>
      <c r="H86" s="678" t="n">
        <v>0</v>
      </c>
      <c r="I86" s="679" t="n">
        <v>1</v>
      </c>
      <c r="J86" s="680" t="n">
        <v>0</v>
      </c>
      <c r="K86" s="677" t="n">
        <v>0</v>
      </c>
      <c r="L86" s="678" t="n">
        <v>0</v>
      </c>
      <c r="M86" s="679" t="n">
        <v>0</v>
      </c>
      <c r="N86" s="680" t="n">
        <v>0</v>
      </c>
      <c r="O86" s="681" t="n">
        <v>0</v>
      </c>
      <c r="P86" s="681" t="n">
        <v>0</v>
      </c>
      <c r="Q86" s="12" t="n"/>
      <c r="R86" s="28" t="n"/>
      <c r="S86" s="673" t="n">
        <v>0</v>
      </c>
      <c r="T86" s="673" t="n">
        <v>0</v>
      </c>
      <c r="U86" s="677" t="n">
        <v>0</v>
      </c>
      <c r="V86" s="680" t="n">
        <v>1</v>
      </c>
      <c r="W86" s="673" t="n">
        <v>0</v>
      </c>
      <c r="X86" s="673" t="n">
        <v>0</v>
      </c>
      <c r="Y86" s="673" t="n">
        <v>0</v>
      </c>
      <c r="Z86" s="673" t="n">
        <v>0</v>
      </c>
      <c r="AA86" s="673" t="n">
        <v>0</v>
      </c>
      <c r="AB86" s="673" t="n">
        <v>0</v>
      </c>
      <c r="AC86" s="31" t="inlineStr">
        <is>
          <t>DAILY</t>
        </is>
      </c>
      <c r="AD86" s="5" t="inlineStr">
        <is>
          <t>DAILY</t>
        </is>
      </c>
      <c r="AE86" s="62" t="inlineStr">
        <is>
          <t>DAILY</t>
        </is>
      </c>
      <c r="AF86" s="690" t="n">
        <v>-1.034042553191489</v>
      </c>
      <c r="AG86" s="688" t="n">
        <v>-0.005404190281023841</v>
      </c>
      <c r="AH86" s="691" t="n">
        <v>-0.005404190281023841</v>
      </c>
      <c r="AI86" s="33" t="n">
        <v>0</v>
      </c>
      <c r="AJ86" s="35" t="n">
        <v>0.03884297520661159</v>
      </c>
      <c r="AK86" s="150" t="n"/>
      <c r="AL86" s="3" t="n">
        <v>0.03884297520661159</v>
      </c>
      <c r="AM86" s="39" t="inlineStr"/>
      <c r="AN86" s="35" t="n">
        <v>0.1408264462809917</v>
      </c>
      <c r="AO86" s="150" t="n"/>
      <c r="AP86" s="3" t="n">
        <v>0.1408264462809917</v>
      </c>
      <c r="AQ86" s="39" t="inlineStr"/>
      <c r="AR86" s="27" t="inlineStr">
        <is>
          <t>12M 0S</t>
        </is>
      </c>
      <c r="AS86" s="1" t="inlineStr">
        <is>
          <t>12M 0S</t>
        </is>
      </c>
      <c r="AT86" s="4" t="inlineStr">
        <is>
          <t>12M 0S</t>
        </is>
      </c>
      <c r="AU86" s="4" t="n"/>
      <c r="AV86" s="7" t="inlineStr">
        <is>
          <t>12M 0S</t>
        </is>
      </c>
    </row>
    <row r="87" ht="15" customHeight="1" thickBot="1" thickTop="1">
      <c r="A87" s="10" t="inlineStr">
        <is>
          <t>FETUSDT</t>
        </is>
      </c>
      <c r="B87" s="12" t="inlineStr">
        <is>
          <t>CRYPTO</t>
        </is>
      </c>
      <c r="C87" s="673" t="n">
        <v>1</v>
      </c>
      <c r="D87" s="674" t="n">
        <v>0</v>
      </c>
      <c r="E87" s="675" t="n">
        <v>1</v>
      </c>
      <c r="F87" s="676" t="n">
        <v>0</v>
      </c>
      <c r="G87" s="677" t="n">
        <v>1</v>
      </c>
      <c r="H87" s="678" t="n">
        <v>0</v>
      </c>
      <c r="I87" s="679" t="n">
        <v>1</v>
      </c>
      <c r="J87" s="680" t="n">
        <v>0</v>
      </c>
      <c r="K87" s="677" t="n">
        <v>0</v>
      </c>
      <c r="L87" s="678" t="n">
        <v>0</v>
      </c>
      <c r="M87" s="679" t="n">
        <v>0</v>
      </c>
      <c r="N87" s="680" t="n">
        <v>0</v>
      </c>
      <c r="O87" s="681" t="n">
        <v>1</v>
      </c>
      <c r="P87" s="681" t="n">
        <v>0</v>
      </c>
      <c r="Q87" s="28" t="n"/>
      <c r="R87" s="28" t="n"/>
      <c r="S87" s="673" t="n">
        <v>0</v>
      </c>
      <c r="T87" s="673" t="n">
        <v>0</v>
      </c>
      <c r="U87" s="677" t="n">
        <v>0</v>
      </c>
      <c r="V87" s="680" t="n">
        <v>1</v>
      </c>
      <c r="W87" s="673" t="n">
        <v>0</v>
      </c>
      <c r="X87" s="673" t="n">
        <v>0</v>
      </c>
      <c r="Y87" s="673" t="n">
        <v>0</v>
      </c>
      <c r="Z87" s="673" t="n">
        <v>0</v>
      </c>
      <c r="AA87" s="673" t="n">
        <v>0</v>
      </c>
      <c r="AB87" s="673" t="n">
        <v>0</v>
      </c>
      <c r="AC87" s="31" t="inlineStr">
        <is>
          <t>1H</t>
        </is>
      </c>
      <c r="AD87" s="5" t="inlineStr">
        <is>
          <t>1H</t>
        </is>
      </c>
      <c r="AE87" s="62" t="inlineStr">
        <is>
          <t>1H</t>
        </is>
      </c>
      <c r="AF87" s="694" t="n">
        <v>0.01694915254237218</v>
      </c>
      <c r="AG87" s="695" t="n">
        <v>-0.0002084753537804734</v>
      </c>
      <c r="AH87" s="689" t="n">
        <v>-0.0002084753537804734</v>
      </c>
      <c r="AI87" s="33" t="n">
        <v>0</v>
      </c>
      <c r="AJ87" s="35" t="n">
        <v>0.03928095872170441</v>
      </c>
      <c r="AK87" s="150" t="n"/>
      <c r="AL87" s="3" t="n">
        <v>0.03928095872170441</v>
      </c>
      <c r="AM87" s="39" t="inlineStr"/>
      <c r="AN87" s="35" t="n">
        <v>0.1178428761651131</v>
      </c>
      <c r="AO87" s="150" t="n"/>
      <c r="AP87" s="3" t="n">
        <v>0.1178428761651131</v>
      </c>
      <c r="AQ87" s="39" t="inlineStr"/>
      <c r="AR87" s="27" t="inlineStr">
        <is>
          <t>6D 1H 7M 0S</t>
        </is>
      </c>
      <c r="AS87" s="1" t="inlineStr">
        <is>
          <t>6D 1H 7M 0S</t>
        </is>
      </c>
      <c r="AT87" s="4" t="inlineStr">
        <is>
          <t>6D 1H 7M 0S</t>
        </is>
      </c>
      <c r="AU87" s="4" t="n"/>
      <c r="AV87" s="7" t="inlineStr">
        <is>
          <t>6D 1H 7M 0S</t>
        </is>
      </c>
    </row>
    <row r="88" ht="15" customHeight="1" thickBot="1" thickTop="1">
      <c r="A88" s="10" t="inlineStr">
        <is>
          <t>FILUSDT</t>
        </is>
      </c>
      <c r="B88" s="12" t="inlineStr">
        <is>
          <t>CRYPTO</t>
        </is>
      </c>
      <c r="C88" s="673" t="n">
        <v>1</v>
      </c>
      <c r="D88" s="674" t="n">
        <v>0</v>
      </c>
      <c r="E88" s="675" t="n">
        <v>1</v>
      </c>
      <c r="F88" s="676" t="n">
        <v>0</v>
      </c>
      <c r="G88" s="677" t="n">
        <v>1</v>
      </c>
      <c r="H88" s="678" t="n">
        <v>0</v>
      </c>
      <c r="I88" s="679" t="n">
        <v>1</v>
      </c>
      <c r="J88" s="680" t="n">
        <v>0</v>
      </c>
      <c r="K88" s="677" t="n">
        <v>0</v>
      </c>
      <c r="L88" s="678" t="n">
        <v>0</v>
      </c>
      <c r="M88" s="679" t="n">
        <v>0</v>
      </c>
      <c r="N88" s="680" t="n">
        <v>0</v>
      </c>
      <c r="O88" s="681" t="n">
        <v>0</v>
      </c>
      <c r="P88" s="681" t="n">
        <v>0</v>
      </c>
      <c r="Q88" s="28" t="n"/>
      <c r="R88" s="28" t="n"/>
      <c r="S88" s="673" t="n">
        <v>0</v>
      </c>
      <c r="T88" s="673" t="n">
        <v>0</v>
      </c>
      <c r="U88" s="677" t="n">
        <v>0</v>
      </c>
      <c r="V88" s="680" t="n">
        <v>1</v>
      </c>
      <c r="W88" s="673" t="n">
        <v>0</v>
      </c>
      <c r="X88" s="673" t="n">
        <v>0</v>
      </c>
      <c r="Y88" s="673" t="n">
        <v>0</v>
      </c>
      <c r="Z88" s="673" t="n">
        <v>0</v>
      </c>
      <c r="AA88" s="673" t="n">
        <v>0</v>
      </c>
      <c r="AB88" s="673" t="n">
        <v>0</v>
      </c>
      <c r="AC88" s="31" t="inlineStr">
        <is>
          <t>4H</t>
        </is>
      </c>
      <c r="AD88" s="5" t="inlineStr">
        <is>
          <t>4H</t>
        </is>
      </c>
      <c r="AE88" s="62" t="inlineStr">
        <is>
          <t>4H</t>
        </is>
      </c>
      <c r="AF88" s="690" t="n">
        <v>-1.025821596244131</v>
      </c>
      <c r="AG88" s="688" t="n">
        <v>-0.005187681622460649</v>
      </c>
      <c r="AH88" s="691" t="n">
        <v>-0.005187681622460649</v>
      </c>
      <c r="AI88" s="33" t="n">
        <v>0</v>
      </c>
      <c r="AJ88" s="35" t="n">
        <v>0.04061397654685867</v>
      </c>
      <c r="AK88" s="150" t="n"/>
      <c r="AL88" s="3" t="n">
        <v>0.04061397654685867</v>
      </c>
      <c r="AM88" s="39" t="inlineStr"/>
      <c r="AN88" s="35" t="n">
        <v>0.137858709123844</v>
      </c>
      <c r="AO88" s="150" t="n"/>
      <c r="AP88" s="3" t="n">
        <v>0.137858709123844</v>
      </c>
      <c r="AQ88" s="39" t="inlineStr"/>
      <c r="AR88" s="27" t="inlineStr">
        <is>
          <t>16H 59M 0S</t>
        </is>
      </c>
      <c r="AS88" s="1" t="inlineStr">
        <is>
          <t>16H 59M 0S</t>
        </is>
      </c>
      <c r="AT88" s="4" t="inlineStr">
        <is>
          <t>16H 59M 0S</t>
        </is>
      </c>
      <c r="AU88" s="4" t="n"/>
      <c r="AV88" s="7" t="inlineStr">
        <is>
          <t>16H 59M 0S</t>
        </is>
      </c>
    </row>
    <row r="89" ht="15" customHeight="1" thickBot="1" thickTop="1">
      <c r="A89" s="10" t="inlineStr">
        <is>
          <t>FLMUSDT</t>
        </is>
      </c>
      <c r="B89" s="12" t="inlineStr">
        <is>
          <t>CRYPTO</t>
        </is>
      </c>
      <c r="C89" s="673" t="n">
        <v>1</v>
      </c>
      <c r="D89" s="674" t="n">
        <v>0</v>
      </c>
      <c r="E89" s="675" t="n">
        <v>1</v>
      </c>
      <c r="F89" s="676" t="n">
        <v>0</v>
      </c>
      <c r="G89" s="677" t="n">
        <v>1</v>
      </c>
      <c r="H89" s="678" t="n">
        <v>0</v>
      </c>
      <c r="I89" s="679" t="n">
        <v>1</v>
      </c>
      <c r="J89" s="680" t="n">
        <v>0</v>
      </c>
      <c r="K89" s="677" t="n">
        <v>0</v>
      </c>
      <c r="L89" s="678" t="n">
        <v>0</v>
      </c>
      <c r="M89" s="679" t="n">
        <v>0</v>
      </c>
      <c r="N89" s="680" t="n">
        <v>0</v>
      </c>
      <c r="O89" s="681" t="n">
        <v>0</v>
      </c>
      <c r="P89" s="681" t="n">
        <v>0</v>
      </c>
      <c r="Q89" s="28" t="n"/>
      <c r="R89" s="28" t="n"/>
      <c r="S89" s="673" t="n">
        <v>0</v>
      </c>
      <c r="T89" s="673" t="n">
        <v>0</v>
      </c>
      <c r="U89" s="677" t="n">
        <v>0</v>
      </c>
      <c r="V89" s="680" t="n">
        <v>1</v>
      </c>
      <c r="W89" s="673" t="n">
        <v>0</v>
      </c>
      <c r="X89" s="673" t="n">
        <v>0</v>
      </c>
      <c r="Y89" s="673" t="n">
        <v>0</v>
      </c>
      <c r="Z89" s="673" t="n">
        <v>0</v>
      </c>
      <c r="AA89" s="673" t="n">
        <v>0</v>
      </c>
      <c r="AB89" s="673" t="n">
        <v>0</v>
      </c>
      <c r="AC89" s="31" t="inlineStr">
        <is>
          <t>4H</t>
        </is>
      </c>
      <c r="AD89" s="5" t="inlineStr">
        <is>
          <t>4H</t>
        </is>
      </c>
      <c r="AE89" s="62" t="inlineStr">
        <is>
          <t>4H</t>
        </is>
      </c>
      <c r="AF89" s="690" t="n">
        <v>-1</v>
      </c>
      <c r="AG89" s="688" t="n">
        <v>-0.009638382785869152</v>
      </c>
      <c r="AH89" s="691" t="n">
        <v>-0.009638382785869152</v>
      </c>
      <c r="AI89" s="33" t="n">
        <v>0</v>
      </c>
      <c r="AJ89" s="35" t="n">
        <v>0.1097913322632424</v>
      </c>
      <c r="AK89" s="3" t="n"/>
      <c r="AL89" s="3" t="n">
        <v>0.1097913322632424</v>
      </c>
      <c r="AM89" s="39" t="inlineStr"/>
      <c r="AN89" s="35" t="n">
        <v>0.3351524879614767</v>
      </c>
      <c r="AO89" s="3" t="n"/>
      <c r="AP89" s="3" t="n">
        <v>0.3351524879614767</v>
      </c>
      <c r="AQ89" s="39" t="inlineStr"/>
      <c r="AR89" s="27" t="inlineStr">
        <is>
          <t>8H 48M 0S</t>
        </is>
      </c>
      <c r="AS89" s="1" t="inlineStr">
        <is>
          <t>8H 48M 0S</t>
        </is>
      </c>
      <c r="AT89" s="4" t="inlineStr">
        <is>
          <t>8H 48M 0S</t>
        </is>
      </c>
      <c r="AU89" s="4" t="n"/>
      <c r="AV89" s="7" t="inlineStr">
        <is>
          <t>8H 48M 0S</t>
        </is>
      </c>
    </row>
    <row r="90" ht="15" customHeight="1" thickBot="1" thickTop="1">
      <c r="A90" s="10" t="inlineStr">
        <is>
          <t>FUNUSDT</t>
        </is>
      </c>
      <c r="B90" s="12" t="inlineStr">
        <is>
          <t>CRYPTO</t>
        </is>
      </c>
      <c r="C90" s="673" t="n">
        <v>1</v>
      </c>
      <c r="D90" s="674" t="n">
        <v>0</v>
      </c>
      <c r="E90" s="675" t="n">
        <v>1</v>
      </c>
      <c r="F90" s="676" t="n">
        <v>0</v>
      </c>
      <c r="G90" s="677" t="n">
        <v>1</v>
      </c>
      <c r="H90" s="678" t="n">
        <v>0</v>
      </c>
      <c r="I90" s="679" t="n">
        <v>1</v>
      </c>
      <c r="J90" s="680" t="n">
        <v>0</v>
      </c>
      <c r="K90" s="677" t="n">
        <v>0</v>
      </c>
      <c r="L90" s="678" t="n">
        <v>0</v>
      </c>
      <c r="M90" s="679" t="n">
        <v>0</v>
      </c>
      <c r="N90" s="680" t="n">
        <v>0</v>
      </c>
      <c r="O90" s="681" t="n">
        <v>0</v>
      </c>
      <c r="P90" s="681" t="n">
        <v>0</v>
      </c>
      <c r="Q90" s="28" t="n"/>
      <c r="R90" s="28" t="n"/>
      <c r="S90" s="673" t="n">
        <v>0</v>
      </c>
      <c r="T90" s="673" t="n">
        <v>0</v>
      </c>
      <c r="U90" s="677" t="n">
        <v>0</v>
      </c>
      <c r="V90" s="680" t="n">
        <v>1</v>
      </c>
      <c r="W90" s="673" t="n">
        <v>0</v>
      </c>
      <c r="X90" s="673" t="n">
        <v>0</v>
      </c>
      <c r="Y90" s="673" t="n">
        <v>0</v>
      </c>
      <c r="Z90" s="673" t="n">
        <v>0</v>
      </c>
      <c r="AA90" s="673" t="n">
        <v>0</v>
      </c>
      <c r="AB90" s="673" t="n">
        <v>0</v>
      </c>
      <c r="AC90" s="31" t="inlineStr">
        <is>
          <t>4H</t>
        </is>
      </c>
      <c r="AD90" s="5" t="inlineStr">
        <is>
          <t>4H</t>
        </is>
      </c>
      <c r="AE90" s="62" t="inlineStr">
        <is>
          <t>4H</t>
        </is>
      </c>
      <c r="AF90" s="690" t="n">
        <v>-0.9236641221374055</v>
      </c>
      <c r="AG90" s="688" t="n">
        <v>-0.008931457178784956</v>
      </c>
      <c r="AH90" s="691" t="n">
        <v>-0.008931457178784956</v>
      </c>
      <c r="AI90" s="33" t="n">
        <v>0</v>
      </c>
      <c r="AJ90" s="35" t="n">
        <v>0.08336868901145528</v>
      </c>
      <c r="AK90" s="3" t="n"/>
      <c r="AL90" s="3" t="n">
        <v>0.08336868901145528</v>
      </c>
      <c r="AM90" s="39" t="inlineStr"/>
      <c r="AN90" s="35" t="n">
        <v>0.2515910055154857</v>
      </c>
      <c r="AO90" s="3" t="n"/>
      <c r="AP90" s="3" t="n">
        <v>0.2515910055154857</v>
      </c>
      <c r="AQ90" s="39" t="inlineStr"/>
      <c r="AR90" s="27" t="inlineStr">
        <is>
          <t>1D 19H 20M 0S</t>
        </is>
      </c>
      <c r="AS90" s="1" t="inlineStr">
        <is>
          <t>1D 19H 20M 0S</t>
        </is>
      </c>
      <c r="AT90" s="4" t="inlineStr">
        <is>
          <t>1D 19H 20M 0S</t>
        </is>
      </c>
      <c r="AU90" s="4" t="n"/>
      <c r="AV90" s="7" t="inlineStr">
        <is>
          <t>1D 19H 20M 0S</t>
        </is>
      </c>
    </row>
    <row r="91" ht="15" customHeight="1" thickBot="1" thickTop="1">
      <c r="A91" s="10" t="inlineStr">
        <is>
          <t>GALAUSDT</t>
        </is>
      </c>
      <c r="B91" s="12" t="inlineStr">
        <is>
          <t>CRYPTO</t>
        </is>
      </c>
      <c r="C91" s="673" t="n">
        <v>1</v>
      </c>
      <c r="D91" s="674" t="n">
        <v>0</v>
      </c>
      <c r="E91" s="675" t="n">
        <v>1</v>
      </c>
      <c r="F91" s="676" t="n">
        <v>0</v>
      </c>
      <c r="G91" s="677" t="n">
        <v>1</v>
      </c>
      <c r="H91" s="678" t="n">
        <v>0</v>
      </c>
      <c r="I91" s="679" t="n">
        <v>1</v>
      </c>
      <c r="J91" s="680" t="n">
        <v>0</v>
      </c>
      <c r="K91" s="677" t="n">
        <v>0</v>
      </c>
      <c r="L91" s="678" t="n">
        <v>0</v>
      </c>
      <c r="M91" s="679" t="n">
        <v>0</v>
      </c>
      <c r="N91" s="680" t="n">
        <v>0</v>
      </c>
      <c r="O91" s="681" t="n">
        <v>0</v>
      </c>
      <c r="P91" s="681" t="n">
        <v>0</v>
      </c>
      <c r="Q91" s="12" t="n"/>
      <c r="R91" s="28" t="n"/>
      <c r="S91" s="673" t="n">
        <v>1</v>
      </c>
      <c r="T91" s="673" t="n">
        <v>0</v>
      </c>
      <c r="U91" s="677" t="n">
        <v>0</v>
      </c>
      <c r="V91" s="680" t="n">
        <v>1</v>
      </c>
      <c r="W91" s="673" t="n">
        <v>0</v>
      </c>
      <c r="X91" s="673" t="n">
        <v>0</v>
      </c>
      <c r="Y91" s="673" t="n">
        <v>0</v>
      </c>
      <c r="Z91" s="673" t="n">
        <v>0</v>
      </c>
      <c r="AA91" s="673" t="n">
        <v>0</v>
      </c>
      <c r="AB91" s="673" t="n">
        <v>0</v>
      </c>
      <c r="AC91" s="31" t="inlineStr">
        <is>
          <t>4H</t>
        </is>
      </c>
      <c r="AD91" s="5" t="inlineStr">
        <is>
          <t>4H</t>
        </is>
      </c>
      <c r="AE91" s="62" t="inlineStr">
        <is>
          <t>4H</t>
        </is>
      </c>
      <c r="AF91" s="690" t="n">
        <v>-1.067567567567566</v>
      </c>
      <c r="AG91" s="688" t="n">
        <v>-0.005371551816447387</v>
      </c>
      <c r="AH91" s="691" t="n">
        <v>-0.005371551816447387</v>
      </c>
      <c r="AI91" s="33" t="n">
        <v>0</v>
      </c>
      <c r="AJ91" s="35" t="n">
        <v>0.0440597233672255</v>
      </c>
      <c r="AK91" s="3" t="n"/>
      <c r="AL91" s="3" t="n">
        <v>0.0440597233672255</v>
      </c>
      <c r="AM91" s="39" t="inlineStr"/>
      <c r="AN91" s="35" t="n">
        <v>0.2297792433818816</v>
      </c>
      <c r="AO91" s="3" t="n"/>
      <c r="AP91" s="3" t="n">
        <v>0.2297792433818816</v>
      </c>
      <c r="AQ91" s="39" t="inlineStr"/>
      <c r="AR91" s="27" t="inlineStr">
        <is>
          <t>1M 0S</t>
        </is>
      </c>
      <c r="AS91" s="1" t="inlineStr">
        <is>
          <t>1M 0S</t>
        </is>
      </c>
      <c r="AT91" s="4" t="inlineStr">
        <is>
          <t>1M 0S</t>
        </is>
      </c>
      <c r="AU91" s="4" t="n"/>
      <c r="AV91" s="7" t="inlineStr">
        <is>
          <t>1M 0S</t>
        </is>
      </c>
    </row>
    <row r="92" ht="15" customHeight="1" thickBot="1" thickTop="1">
      <c r="A92" s="10" t="inlineStr">
        <is>
          <t>GPSUSDT</t>
        </is>
      </c>
      <c r="B92" s="12" t="inlineStr">
        <is>
          <t>CRYPTO</t>
        </is>
      </c>
      <c r="C92" s="673" t="n">
        <v>1</v>
      </c>
      <c r="D92" s="674" t="n">
        <v>1</v>
      </c>
      <c r="E92" s="675" t="n">
        <v>0</v>
      </c>
      <c r="F92" s="676" t="n">
        <v>0</v>
      </c>
      <c r="G92" s="677" t="n">
        <v>1</v>
      </c>
      <c r="H92" s="678" t="n">
        <v>1</v>
      </c>
      <c r="I92" s="679" t="n">
        <v>0</v>
      </c>
      <c r="J92" s="680" t="n">
        <v>0</v>
      </c>
      <c r="K92" s="677" t="n">
        <v>0</v>
      </c>
      <c r="L92" s="678" t="n">
        <v>0</v>
      </c>
      <c r="M92" s="679" t="n">
        <v>0</v>
      </c>
      <c r="N92" s="680" t="n">
        <v>0</v>
      </c>
      <c r="O92" s="681" t="n">
        <v>0</v>
      </c>
      <c r="P92" s="681" t="n">
        <v>0</v>
      </c>
      <c r="Q92" s="12" t="n"/>
      <c r="R92" s="28" t="n"/>
      <c r="S92" s="673" t="n">
        <v>0</v>
      </c>
      <c r="T92" s="673" t="n">
        <v>0</v>
      </c>
      <c r="U92" s="677" t="n">
        <v>0</v>
      </c>
      <c r="V92" s="680" t="n">
        <v>0</v>
      </c>
      <c r="W92" s="673" t="n">
        <v>0</v>
      </c>
      <c r="X92" s="673" t="n">
        <v>0</v>
      </c>
      <c r="Y92" s="673" t="n">
        <v>0</v>
      </c>
      <c r="Z92" s="673" t="n">
        <v>0</v>
      </c>
      <c r="AA92" s="673" t="n">
        <v>0</v>
      </c>
      <c r="AB92" s="673" t="n">
        <v>0</v>
      </c>
      <c r="AC92" s="31" t="inlineStr">
        <is>
          <t>1H</t>
        </is>
      </c>
      <c r="AD92" s="5" t="inlineStr">
        <is>
          <t>1H</t>
        </is>
      </c>
      <c r="AE92" s="62" t="inlineStr">
        <is>
          <t>1H</t>
        </is>
      </c>
      <c r="AF92" s="682" t="n">
        <v>2.063829787234044</v>
      </c>
      <c r="AG92" s="683" t="n">
        <v>0.01997830644565738</v>
      </c>
      <c r="AH92" s="692" t="n">
        <v>0.01997830644565738</v>
      </c>
      <c r="AI92" s="33" t="n">
        <v>1</v>
      </c>
      <c r="AJ92" s="35" t="n">
        <v>0.03355944305605141</v>
      </c>
      <c r="AK92" s="3" t="n">
        <v>0.03355944305605141</v>
      </c>
      <c r="AL92" s="3" t="n"/>
      <c r="AM92" s="39" t="inlineStr"/>
      <c r="AN92" s="35" t="n">
        <v>0.06854694751874324</v>
      </c>
      <c r="AO92" s="3" t="n">
        <v>0.06854694751874324</v>
      </c>
      <c r="AP92" s="3" t="n"/>
      <c r="AQ92" s="39" t="inlineStr"/>
      <c r="AR92" s="27" t="inlineStr">
        <is>
          <t>13H 3M 0S</t>
        </is>
      </c>
      <c r="AS92" s="1" t="inlineStr">
        <is>
          <t>13H 3M 0S</t>
        </is>
      </c>
      <c r="AT92" s="4" t="inlineStr">
        <is>
          <t>13H 3M 0S</t>
        </is>
      </c>
      <c r="AU92" s="4" t="inlineStr">
        <is>
          <t>13H 3M 0S</t>
        </is>
      </c>
      <c r="AV92" s="7" t="n"/>
    </row>
    <row r="93" ht="15" customHeight="1" thickBot="1" thickTop="1">
      <c r="A93" s="10" t="inlineStr">
        <is>
          <t>HBARUSDT</t>
        </is>
      </c>
      <c r="B93" s="12" t="inlineStr">
        <is>
          <t>CRYPTO</t>
        </is>
      </c>
      <c r="C93" s="673" t="n">
        <v>1</v>
      </c>
      <c r="D93" s="674" t="n">
        <v>0</v>
      </c>
      <c r="E93" s="675" t="n">
        <v>1</v>
      </c>
      <c r="F93" s="676" t="n">
        <v>0</v>
      </c>
      <c r="G93" s="677" t="n">
        <v>1</v>
      </c>
      <c r="H93" s="678" t="n">
        <v>0</v>
      </c>
      <c r="I93" s="679" t="n">
        <v>1</v>
      </c>
      <c r="J93" s="680" t="n">
        <v>0</v>
      </c>
      <c r="K93" s="677" t="n">
        <v>0</v>
      </c>
      <c r="L93" s="678" t="n">
        <v>0</v>
      </c>
      <c r="M93" s="679" t="n">
        <v>0</v>
      </c>
      <c r="N93" s="680" t="n">
        <v>0</v>
      </c>
      <c r="O93" s="681" t="n">
        <v>0</v>
      </c>
      <c r="P93" s="681" t="n">
        <v>0</v>
      </c>
      <c r="Q93" s="28" t="n"/>
      <c r="R93" s="28" t="n"/>
      <c r="S93" s="673" t="n">
        <v>0</v>
      </c>
      <c r="T93" s="673" t="n">
        <v>0</v>
      </c>
      <c r="U93" s="677" t="n">
        <v>0</v>
      </c>
      <c r="V93" s="680" t="n">
        <v>1</v>
      </c>
      <c r="W93" s="673" t="n">
        <v>0</v>
      </c>
      <c r="X93" s="673" t="n">
        <v>0</v>
      </c>
      <c r="Y93" s="673" t="n">
        <v>0</v>
      </c>
      <c r="Z93" s="673" t="n">
        <v>0</v>
      </c>
      <c r="AA93" s="673" t="n">
        <v>0</v>
      </c>
      <c r="AB93" s="673" t="n">
        <v>0</v>
      </c>
      <c r="AC93" s="31" t="inlineStr">
        <is>
          <t>1H</t>
        </is>
      </c>
      <c r="AD93" s="5" t="inlineStr">
        <is>
          <t>1H</t>
        </is>
      </c>
      <c r="AE93" s="62" t="inlineStr">
        <is>
          <t>1H</t>
        </is>
      </c>
      <c r="AF93" s="696" t="n">
        <v>-0.06802721088435573</v>
      </c>
      <c r="AG93" s="695" t="n">
        <v>-0.0009378607664690963</v>
      </c>
      <c r="AH93" s="689" t="n">
        <v>-0.0009378607664690963</v>
      </c>
      <c r="AI93" s="33" t="n">
        <v>0</v>
      </c>
      <c r="AJ93" s="35" t="n">
        <v>0.03563636363636361</v>
      </c>
      <c r="AK93" s="3" t="n"/>
      <c r="AL93" s="3" t="n">
        <v>0.03563636363636361</v>
      </c>
      <c r="AM93" s="39" t="inlineStr"/>
      <c r="AN93" s="35" t="n">
        <v>0.07127272727272722</v>
      </c>
      <c r="AO93" s="3" t="n"/>
      <c r="AP93" s="3" t="n">
        <v>0.07127272727272722</v>
      </c>
      <c r="AQ93" s="39" t="inlineStr"/>
      <c r="AR93" s="27" t="inlineStr">
        <is>
          <t>4H 26M 0S</t>
        </is>
      </c>
      <c r="AS93" s="1" t="inlineStr">
        <is>
          <t>4H 26M 0S</t>
        </is>
      </c>
      <c r="AT93" s="4" t="inlineStr">
        <is>
          <t>4H 26M 0S</t>
        </is>
      </c>
      <c r="AU93" s="4" t="n"/>
      <c r="AV93" s="7" t="inlineStr">
        <is>
          <t>4H 26M 0S</t>
        </is>
      </c>
    </row>
    <row r="94" ht="15" customHeight="1" thickBot="1" thickTop="1">
      <c r="A94" s="10" t="inlineStr">
        <is>
          <t>HOOKUSDT</t>
        </is>
      </c>
      <c r="B94" s="12" t="inlineStr">
        <is>
          <t>CRYPTO</t>
        </is>
      </c>
      <c r="C94" s="673" t="n">
        <v>1</v>
      </c>
      <c r="D94" s="674" t="n">
        <v>1</v>
      </c>
      <c r="E94" s="675" t="n">
        <v>0</v>
      </c>
      <c r="F94" s="676" t="n">
        <v>0</v>
      </c>
      <c r="G94" s="677" t="n">
        <v>0</v>
      </c>
      <c r="H94" s="678" t="n">
        <v>0</v>
      </c>
      <c r="I94" s="679" t="n">
        <v>0</v>
      </c>
      <c r="J94" s="680" t="n">
        <v>0</v>
      </c>
      <c r="K94" s="677" t="n">
        <v>1</v>
      </c>
      <c r="L94" s="678" t="n">
        <v>1</v>
      </c>
      <c r="M94" s="679" t="n">
        <v>0</v>
      </c>
      <c r="N94" s="680" t="n">
        <v>0</v>
      </c>
      <c r="O94" s="681" t="n">
        <v>0</v>
      </c>
      <c r="P94" s="681" t="n">
        <v>0</v>
      </c>
      <c r="Q94" s="28" t="n"/>
      <c r="R94" s="28" t="n"/>
      <c r="S94" s="673" t="n">
        <v>0</v>
      </c>
      <c r="T94" s="673" t="n">
        <v>0</v>
      </c>
      <c r="U94" s="677" t="n">
        <v>0</v>
      </c>
      <c r="V94" s="680" t="n">
        <v>0</v>
      </c>
      <c r="W94" s="673" t="n">
        <v>0</v>
      </c>
      <c r="X94" s="673" t="n">
        <v>0</v>
      </c>
      <c r="Y94" s="673" t="n">
        <v>0</v>
      </c>
      <c r="Z94" s="673" t="n">
        <v>0</v>
      </c>
      <c r="AA94" s="673" t="n">
        <v>0</v>
      </c>
      <c r="AB94" s="673" t="n">
        <v>0</v>
      </c>
      <c r="AC94" s="31" t="inlineStr">
        <is>
          <t>5MIN</t>
        </is>
      </c>
      <c r="AD94" s="5" t="inlineStr">
        <is>
          <t>5MIN</t>
        </is>
      </c>
      <c r="AE94" s="62" t="inlineStr">
        <is>
          <t>5MIN</t>
        </is>
      </c>
      <c r="AF94" s="682" t="n">
        <v>2</v>
      </c>
      <c r="AG94" s="683" t="n">
        <v>0.01908009906814704</v>
      </c>
      <c r="AH94" s="692" t="n">
        <v>0.01908009906814704</v>
      </c>
      <c r="AI94" s="33" t="n">
        <v>1</v>
      </c>
      <c r="AJ94" s="35" t="n">
        <v>0.01158748551564311</v>
      </c>
      <c r="AK94" s="3" t="n">
        <v>0.01158748551564311</v>
      </c>
      <c r="AL94" s="3" t="n"/>
      <c r="AM94" s="39" t="inlineStr"/>
      <c r="AN94" s="35" t="n">
        <v>0.02433371958285057</v>
      </c>
      <c r="AO94" s="3" t="n">
        <v>0.02433371958285057</v>
      </c>
      <c r="AP94" s="3" t="n"/>
      <c r="AQ94" s="39" t="inlineStr"/>
      <c r="AR94" s="27" t="inlineStr">
        <is>
          <t>1H 48M 0S</t>
        </is>
      </c>
      <c r="AS94" s="1" t="inlineStr">
        <is>
          <t>1H 48M 0S</t>
        </is>
      </c>
      <c r="AT94" s="4" t="inlineStr">
        <is>
          <t>1H 48M 0S</t>
        </is>
      </c>
      <c r="AU94" s="4" t="inlineStr">
        <is>
          <t>1H 48M 0S</t>
        </is>
      </c>
      <c r="AV94" s="7" t="n"/>
    </row>
    <row r="95" ht="15" customHeight="1" thickBot="1" thickTop="1">
      <c r="A95" s="10" t="inlineStr">
        <is>
          <t>ICXUSDT</t>
        </is>
      </c>
      <c r="B95" s="12" t="inlineStr">
        <is>
          <t>CRYPTO</t>
        </is>
      </c>
      <c r="C95" s="673" t="n">
        <v>1</v>
      </c>
      <c r="D95" s="674" t="n">
        <v>0</v>
      </c>
      <c r="E95" s="675" t="n">
        <v>1</v>
      </c>
      <c r="F95" s="676" t="n">
        <v>0</v>
      </c>
      <c r="G95" s="677" t="n">
        <v>1</v>
      </c>
      <c r="H95" s="678" t="n">
        <v>0</v>
      </c>
      <c r="I95" s="679" t="n">
        <v>1</v>
      </c>
      <c r="J95" s="680" t="n">
        <v>0</v>
      </c>
      <c r="K95" s="677" t="n">
        <v>0</v>
      </c>
      <c r="L95" s="678" t="n">
        <v>0</v>
      </c>
      <c r="M95" s="679" t="n">
        <v>0</v>
      </c>
      <c r="N95" s="680" t="n">
        <v>0</v>
      </c>
      <c r="O95" s="681" t="n">
        <v>0</v>
      </c>
      <c r="P95" s="681" t="n">
        <v>0</v>
      </c>
      <c r="Q95" s="12" t="n"/>
      <c r="R95" s="28" t="n"/>
      <c r="S95" s="673" t="n">
        <v>0</v>
      </c>
      <c r="T95" s="673" t="n">
        <v>0</v>
      </c>
      <c r="U95" s="677" t="n">
        <v>0</v>
      </c>
      <c r="V95" s="680" t="n">
        <v>1</v>
      </c>
      <c r="W95" s="673" t="n">
        <v>0</v>
      </c>
      <c r="X95" s="673" t="n">
        <v>0</v>
      </c>
      <c r="Y95" s="673" t="n">
        <v>0</v>
      </c>
      <c r="Z95" s="673" t="n">
        <v>0</v>
      </c>
      <c r="AA95" s="673" t="n">
        <v>0</v>
      </c>
      <c r="AB95" s="673" t="n">
        <v>0</v>
      </c>
      <c r="AC95" s="31" t="inlineStr">
        <is>
          <t>1H</t>
        </is>
      </c>
      <c r="AD95" s="5" t="inlineStr">
        <is>
          <t>1H</t>
        </is>
      </c>
      <c r="AE95" s="62" t="inlineStr">
        <is>
          <t>1H</t>
        </is>
      </c>
      <c r="AF95" s="690" t="n">
        <v>-0.1138211382113828</v>
      </c>
      <c r="AG95" s="688" t="n">
        <v>-0.001211168071419724</v>
      </c>
      <c r="AH95" s="691" t="n">
        <v>-0.001211168071419724</v>
      </c>
      <c r="AI95" s="33" t="n">
        <v>0</v>
      </c>
      <c r="AJ95" s="35" t="n">
        <v>0.04089095744680862</v>
      </c>
      <c r="AK95" s="150" t="n"/>
      <c r="AL95" s="3" t="n">
        <v>0.04089095744680862</v>
      </c>
      <c r="AM95" s="39" t="inlineStr"/>
      <c r="AN95" s="35" t="n">
        <v>0.08178191489361705</v>
      </c>
      <c r="AO95" s="150" t="n"/>
      <c r="AP95" s="3" t="n">
        <v>0.08178191489361705</v>
      </c>
      <c r="AQ95" s="39" t="inlineStr"/>
      <c r="AR95" s="27" t="inlineStr">
        <is>
          <t>5H 30M 0S</t>
        </is>
      </c>
      <c r="AS95" s="1" t="inlineStr">
        <is>
          <t>5H 30M 0S</t>
        </is>
      </c>
      <c r="AT95" s="4" t="inlineStr">
        <is>
          <t>5H 30M 0S</t>
        </is>
      </c>
      <c r="AU95" s="4" t="n"/>
      <c r="AV95" s="7" t="inlineStr">
        <is>
          <t>5H 30M 0S</t>
        </is>
      </c>
    </row>
    <row r="96" ht="15" customHeight="1" thickBot="1" thickTop="1">
      <c r="A96" s="10" t="inlineStr">
        <is>
          <t>NEARUSDT</t>
        </is>
      </c>
      <c r="B96" s="12" t="inlineStr">
        <is>
          <t>CRYPTO</t>
        </is>
      </c>
      <c r="C96" s="673" t="n">
        <v>1</v>
      </c>
      <c r="D96" s="674" t="n">
        <v>0</v>
      </c>
      <c r="E96" s="675" t="n">
        <v>1</v>
      </c>
      <c r="F96" s="676" t="n">
        <v>0</v>
      </c>
      <c r="G96" s="677" t="n">
        <v>1</v>
      </c>
      <c r="H96" s="678" t="n">
        <v>0</v>
      </c>
      <c r="I96" s="679" t="n">
        <v>1</v>
      </c>
      <c r="J96" s="680" t="n">
        <v>0</v>
      </c>
      <c r="K96" s="677" t="n">
        <v>0</v>
      </c>
      <c r="L96" s="678" t="n">
        <v>0</v>
      </c>
      <c r="M96" s="679" t="n">
        <v>0</v>
      </c>
      <c r="N96" s="680" t="n">
        <v>0</v>
      </c>
      <c r="O96" s="681" t="n">
        <v>0</v>
      </c>
      <c r="P96" s="681" t="n">
        <v>0</v>
      </c>
      <c r="Q96" s="12" t="n"/>
      <c r="R96" s="28" t="n"/>
      <c r="S96" s="673" t="n">
        <v>0</v>
      </c>
      <c r="T96" s="673" t="n">
        <v>0</v>
      </c>
      <c r="U96" s="677" t="n">
        <v>0</v>
      </c>
      <c r="V96" s="680" t="n">
        <v>1</v>
      </c>
      <c r="W96" s="673" t="n">
        <v>0</v>
      </c>
      <c r="X96" s="673" t="n">
        <v>0</v>
      </c>
      <c r="Y96" s="673" t="n">
        <v>0</v>
      </c>
      <c r="Z96" s="673" t="n">
        <v>0</v>
      </c>
      <c r="AA96" s="673" t="n">
        <v>0</v>
      </c>
      <c r="AB96" s="673" t="n">
        <v>0</v>
      </c>
      <c r="AC96" s="31" t="inlineStr">
        <is>
          <t>DAILY</t>
        </is>
      </c>
      <c r="AD96" s="5" t="inlineStr">
        <is>
          <t>DAILY</t>
        </is>
      </c>
      <c r="AE96" s="62" t="inlineStr">
        <is>
          <t>DAILY</t>
        </is>
      </c>
      <c r="AF96" s="690" t="n">
        <v>-1.004878048780489</v>
      </c>
      <c r="AG96" s="688" t="n">
        <v>-0.005111909943335212</v>
      </c>
      <c r="AH96" s="691" t="n">
        <v>-0.005111909943335212</v>
      </c>
      <c r="AI96" s="33" t="n">
        <v>0</v>
      </c>
      <c r="AJ96" s="35" t="n">
        <v>0.04100000000000002</v>
      </c>
      <c r="AK96" s="3" t="n"/>
      <c r="AL96" s="3" t="n">
        <v>0.04100000000000002</v>
      </c>
      <c r="AM96" s="39" t="inlineStr"/>
      <c r="AN96" s="35" t="n">
        <v>0.1781000000000001</v>
      </c>
      <c r="AO96" s="3" t="n"/>
      <c r="AP96" s="3" t="n">
        <v>0.1781000000000001</v>
      </c>
      <c r="AQ96" s="39" t="inlineStr"/>
      <c r="AR96" s="27" t="inlineStr">
        <is>
          <t>6M 0S</t>
        </is>
      </c>
      <c r="AS96" s="1" t="inlineStr">
        <is>
          <t>6M 0S</t>
        </is>
      </c>
      <c r="AT96" s="4" t="inlineStr">
        <is>
          <t>6M 0S</t>
        </is>
      </c>
      <c r="AU96" s="4" t="n"/>
      <c r="AV96" s="7" t="inlineStr">
        <is>
          <t>6M 0S</t>
        </is>
      </c>
    </row>
    <row r="97" ht="15" customHeight="1" thickBot="1" thickTop="1">
      <c r="A97" s="10" t="inlineStr">
        <is>
          <t>NKNUSDT</t>
        </is>
      </c>
      <c r="B97" s="12" t="inlineStr">
        <is>
          <t>CRYPTO</t>
        </is>
      </c>
      <c r="C97" s="673" t="n">
        <v>1</v>
      </c>
      <c r="D97" s="674" t="n">
        <v>1</v>
      </c>
      <c r="E97" s="675" t="n">
        <v>0</v>
      </c>
      <c r="F97" s="676" t="n">
        <v>0</v>
      </c>
      <c r="G97" s="677" t="n">
        <v>1</v>
      </c>
      <c r="H97" s="678" t="n">
        <v>1</v>
      </c>
      <c r="I97" s="679" t="n">
        <v>0</v>
      </c>
      <c r="J97" s="680" t="n">
        <v>0</v>
      </c>
      <c r="K97" s="677" t="n">
        <v>0</v>
      </c>
      <c r="L97" s="678" t="n">
        <v>0</v>
      </c>
      <c r="M97" s="679" t="n">
        <v>0</v>
      </c>
      <c r="N97" s="680" t="n">
        <v>0</v>
      </c>
      <c r="O97" s="681" t="n">
        <v>0</v>
      </c>
      <c r="P97" s="681" t="n">
        <v>0</v>
      </c>
      <c r="Q97" s="28" t="n"/>
      <c r="R97" s="28" t="n"/>
      <c r="S97" s="673" t="n">
        <v>0</v>
      </c>
      <c r="T97" s="673" t="n">
        <v>0</v>
      </c>
      <c r="U97" s="677" t="n">
        <v>0</v>
      </c>
      <c r="V97" s="680" t="n">
        <v>1</v>
      </c>
      <c r="W97" s="673" t="n">
        <v>0</v>
      </c>
      <c r="X97" s="673" t="n">
        <v>0</v>
      </c>
      <c r="Y97" s="673" t="n">
        <v>0</v>
      </c>
      <c r="Z97" s="673" t="n">
        <v>0</v>
      </c>
      <c r="AA97" s="673" t="n">
        <v>0</v>
      </c>
      <c r="AB97" s="673" t="n">
        <v>0</v>
      </c>
      <c r="AC97" s="31" t="inlineStr">
        <is>
          <t>4H</t>
        </is>
      </c>
      <c r="AD97" s="5" t="inlineStr">
        <is>
          <t>4H</t>
        </is>
      </c>
      <c r="AE97" s="62" t="inlineStr">
        <is>
          <t>4H</t>
        </is>
      </c>
      <c r="AF97" s="682" t="n">
        <v>3.071770334928227</v>
      </c>
      <c r="AG97" s="683" t="n">
        <v>0.02885568925753191</v>
      </c>
      <c r="AH97" s="692" t="n">
        <v>0.02885568925753191</v>
      </c>
      <c r="AI97" s="33" t="n">
        <v>1</v>
      </c>
      <c r="AJ97" s="35" t="n">
        <v>0.068189233278956</v>
      </c>
      <c r="AK97" s="3" t="n">
        <v>0.068189233278956</v>
      </c>
      <c r="AL97" s="3" t="n"/>
      <c r="AM97" s="39" t="inlineStr"/>
      <c r="AN97" s="35" t="n">
        <v>0.2052202283849919</v>
      </c>
      <c r="AO97" s="3" t="n">
        <v>0.2052202283849919</v>
      </c>
      <c r="AP97" s="3" t="n"/>
      <c r="AQ97" s="39" t="inlineStr"/>
      <c r="AR97" s="27" t="inlineStr">
        <is>
          <t>2D 8H 47M 0S</t>
        </is>
      </c>
      <c r="AS97" s="1" t="inlineStr">
        <is>
          <t>2D 8H 47M 0S</t>
        </is>
      </c>
      <c r="AT97" s="4" t="inlineStr">
        <is>
          <t>2D 8H 47M 0S</t>
        </is>
      </c>
      <c r="AU97" s="4" t="inlineStr">
        <is>
          <t>2D 8H 47M 0S</t>
        </is>
      </c>
      <c r="AV97" s="7" t="n"/>
    </row>
    <row r="98" ht="15" customHeight="1" thickBot="1" thickTop="1">
      <c r="A98" s="10" t="inlineStr">
        <is>
          <t>OMGUSDT</t>
        </is>
      </c>
      <c r="B98" s="12" t="inlineStr">
        <is>
          <t>CRYPTO</t>
        </is>
      </c>
      <c r="C98" s="673" t="n">
        <v>1</v>
      </c>
      <c r="D98" s="674" t="n">
        <v>0</v>
      </c>
      <c r="E98" s="675" t="n">
        <v>1</v>
      </c>
      <c r="F98" s="676" t="n">
        <v>0</v>
      </c>
      <c r="G98" s="677" t="n">
        <v>1</v>
      </c>
      <c r="H98" s="678" t="n">
        <v>0</v>
      </c>
      <c r="I98" s="679" t="n">
        <v>1</v>
      </c>
      <c r="J98" s="680" t="n">
        <v>0</v>
      </c>
      <c r="K98" s="677" t="n">
        <v>0</v>
      </c>
      <c r="L98" s="678" t="n">
        <v>0</v>
      </c>
      <c r="M98" s="679" t="n">
        <v>0</v>
      </c>
      <c r="N98" s="680" t="n">
        <v>0</v>
      </c>
      <c r="O98" s="681" t="n">
        <v>0</v>
      </c>
      <c r="P98" s="681" t="n">
        <v>0</v>
      </c>
      <c r="Q98" s="28" t="n"/>
      <c r="R98" s="28" t="n"/>
      <c r="S98" s="673" t="n">
        <v>0</v>
      </c>
      <c r="T98" s="673" t="n">
        <v>0</v>
      </c>
      <c r="U98" s="677" t="n">
        <v>0</v>
      </c>
      <c r="V98" s="680" t="n">
        <v>1</v>
      </c>
      <c r="W98" s="673" t="n">
        <v>0</v>
      </c>
      <c r="X98" s="673" t="n">
        <v>1</v>
      </c>
      <c r="Y98" s="673" t="n">
        <v>0</v>
      </c>
      <c r="Z98" s="673" t="n">
        <v>0</v>
      </c>
      <c r="AA98" s="673" t="n">
        <v>0</v>
      </c>
      <c r="AB98" s="673" t="n">
        <v>0</v>
      </c>
      <c r="AC98" s="31" t="inlineStr">
        <is>
          <t>4H</t>
        </is>
      </c>
      <c r="AD98" s="5" t="inlineStr">
        <is>
          <t>4H</t>
        </is>
      </c>
      <c r="AE98" s="62" t="inlineStr">
        <is>
          <t>4H</t>
        </is>
      </c>
      <c r="AF98" s="690" t="n">
        <v>-1</v>
      </c>
      <c r="AG98" s="688" t="n">
        <v>-0.009670674597616306</v>
      </c>
      <c r="AH98" s="691" t="n">
        <v>-0.009670674597616306</v>
      </c>
      <c r="AI98" s="33" t="n">
        <v>0</v>
      </c>
      <c r="AJ98" s="35" t="n">
        <v>0.09318640955004601</v>
      </c>
      <c r="AK98" s="3" t="n"/>
      <c r="AL98" s="3" t="n">
        <v>0.09318640955004601</v>
      </c>
      <c r="AM98" s="39" t="inlineStr"/>
      <c r="AN98" s="35" t="n">
        <v>0.2793021120293847</v>
      </c>
      <c r="AO98" s="3" t="n"/>
      <c r="AP98" s="3" t="n">
        <v>0.2793021120293847</v>
      </c>
      <c r="AQ98" s="39" t="inlineStr"/>
      <c r="AR98" s="27" t="inlineStr">
        <is>
          <t>14H 12M 0S</t>
        </is>
      </c>
      <c r="AS98" s="1" t="inlineStr">
        <is>
          <t>14H 12M 0S</t>
        </is>
      </c>
      <c r="AT98" s="4" t="inlineStr">
        <is>
          <t>14H 12M 0S</t>
        </is>
      </c>
      <c r="AU98" s="4" t="n"/>
      <c r="AV98" s="7" t="inlineStr">
        <is>
          <t>14H 12M 0S</t>
        </is>
      </c>
    </row>
    <row r="99" ht="15" customHeight="1" thickBot="1" thickTop="1">
      <c r="A99" s="10" t="inlineStr">
        <is>
          <t>ONEUSDT</t>
        </is>
      </c>
      <c r="B99" s="12" t="inlineStr">
        <is>
          <t>CRYPTO</t>
        </is>
      </c>
      <c r="C99" s="673" t="n">
        <v>1</v>
      </c>
      <c r="D99" s="674" t="n">
        <v>0</v>
      </c>
      <c r="E99" s="675" t="n">
        <v>1</v>
      </c>
      <c r="F99" s="676" t="n">
        <v>0</v>
      </c>
      <c r="G99" s="677" t="n">
        <v>1</v>
      </c>
      <c r="H99" s="678" t="n">
        <v>0</v>
      </c>
      <c r="I99" s="679" t="n">
        <v>1</v>
      </c>
      <c r="J99" s="680" t="n">
        <v>0</v>
      </c>
      <c r="K99" s="677" t="n">
        <v>0</v>
      </c>
      <c r="L99" s="678" t="n">
        <v>0</v>
      </c>
      <c r="M99" s="679" t="n">
        <v>0</v>
      </c>
      <c r="N99" s="680" t="n">
        <v>0</v>
      </c>
      <c r="O99" s="681" t="n">
        <v>0</v>
      </c>
      <c r="P99" s="681" t="n">
        <v>0</v>
      </c>
      <c r="Q99" s="28" t="n"/>
      <c r="R99" s="28" t="n"/>
      <c r="S99" s="673" t="n">
        <v>0</v>
      </c>
      <c r="T99" s="673" t="n">
        <v>0</v>
      </c>
      <c r="U99" s="677" t="n">
        <v>1</v>
      </c>
      <c r="V99" s="680" t="n">
        <v>0</v>
      </c>
      <c r="W99" s="673" t="n">
        <v>0</v>
      </c>
      <c r="X99" s="673" t="n">
        <v>0</v>
      </c>
      <c r="Y99" s="673" t="n">
        <v>0</v>
      </c>
      <c r="Z99" s="673" t="n">
        <v>0</v>
      </c>
      <c r="AA99" s="673" t="n">
        <v>0</v>
      </c>
      <c r="AB99" s="673" t="n">
        <v>0</v>
      </c>
      <c r="AC99" s="31" t="inlineStr">
        <is>
          <t>1H</t>
        </is>
      </c>
      <c r="AD99" s="5" t="inlineStr">
        <is>
          <t>1H</t>
        </is>
      </c>
      <c r="AE99" s="62" t="inlineStr">
        <is>
          <t>1H</t>
        </is>
      </c>
      <c r="AF99" s="690" t="n">
        <v>-1</v>
      </c>
      <c r="AG99" s="688" t="n">
        <v>-0.009654702937205604</v>
      </c>
      <c r="AH99" s="691" t="n">
        <v>-0.009654702937205604</v>
      </c>
      <c r="AI99" s="33" t="n">
        <v>0</v>
      </c>
      <c r="AJ99" s="35" t="n">
        <v>0.07653061224489795</v>
      </c>
      <c r="AK99" s="3" t="n"/>
      <c r="AL99" s="3" t="n">
        <v>0.07653061224489795</v>
      </c>
      <c r="AM99" s="39" t="inlineStr"/>
      <c r="AN99" s="35" t="n">
        <v>0.2295918367346938</v>
      </c>
      <c r="AO99" s="3" t="n"/>
      <c r="AP99" s="3" t="n">
        <v>0.2295918367346938</v>
      </c>
      <c r="AQ99" s="39" t="inlineStr"/>
      <c r="AR99" s="27" t="inlineStr">
        <is>
          <t>17H 10M 0S</t>
        </is>
      </c>
      <c r="AS99" s="1" t="inlineStr">
        <is>
          <t>17H 10M 0S</t>
        </is>
      </c>
      <c r="AT99" s="4" t="inlineStr">
        <is>
          <t>17H 10M 0S</t>
        </is>
      </c>
      <c r="AU99" s="4" t="n"/>
      <c r="AV99" s="7" t="inlineStr">
        <is>
          <t>17H 10M 0S</t>
        </is>
      </c>
    </row>
    <row r="100" ht="15" customHeight="1" thickBot="1" thickTop="1">
      <c r="A100" s="10" t="inlineStr">
        <is>
          <t>ONTUSDT</t>
        </is>
      </c>
      <c r="B100" s="12" t="inlineStr">
        <is>
          <t>CRYPTO</t>
        </is>
      </c>
      <c r="C100" s="673" t="n">
        <v>1</v>
      </c>
      <c r="D100" s="674" t="n">
        <v>1</v>
      </c>
      <c r="E100" s="675" t="n">
        <v>0</v>
      </c>
      <c r="F100" s="676" t="n">
        <v>0</v>
      </c>
      <c r="G100" s="677" t="n">
        <v>1</v>
      </c>
      <c r="H100" s="678" t="n">
        <v>1</v>
      </c>
      <c r="I100" s="679" t="n">
        <v>0</v>
      </c>
      <c r="J100" s="680" t="n">
        <v>0</v>
      </c>
      <c r="K100" s="677" t="n">
        <v>0</v>
      </c>
      <c r="L100" s="678" t="n">
        <v>0</v>
      </c>
      <c r="M100" s="679" t="n">
        <v>0</v>
      </c>
      <c r="N100" s="680" t="n">
        <v>0</v>
      </c>
      <c r="O100" s="681" t="n">
        <v>1</v>
      </c>
      <c r="P100" s="681" t="n">
        <v>0</v>
      </c>
      <c r="Q100" s="28" t="n"/>
      <c r="R100" s="28" t="n"/>
      <c r="S100" s="673" t="n">
        <v>0</v>
      </c>
      <c r="T100" s="673" t="n">
        <v>0</v>
      </c>
      <c r="U100" s="677" t="n">
        <v>0</v>
      </c>
      <c r="V100" s="680" t="n">
        <v>1</v>
      </c>
      <c r="W100" s="673" t="n">
        <v>0</v>
      </c>
      <c r="X100" s="673" t="n">
        <v>0</v>
      </c>
      <c r="Y100" s="673" t="n">
        <v>0</v>
      </c>
      <c r="Z100" s="673" t="n">
        <v>0</v>
      </c>
      <c r="AA100" s="673" t="n">
        <v>0</v>
      </c>
      <c r="AB100" s="673" t="n">
        <v>0</v>
      </c>
      <c r="AC100" s="31" t="inlineStr">
        <is>
          <t>4H</t>
        </is>
      </c>
      <c r="AD100" s="5" t="inlineStr">
        <is>
          <t>4H</t>
        </is>
      </c>
      <c r="AE100" s="62" t="inlineStr">
        <is>
          <t>4H</t>
        </is>
      </c>
      <c r="AF100" s="682" t="n">
        <v>4.07602339181287</v>
      </c>
      <c r="AG100" s="683" t="n">
        <v>0.03796984288540432</v>
      </c>
      <c r="AH100" s="692" t="n">
        <v>0.03796984288540432</v>
      </c>
      <c r="AI100" s="33" t="n">
        <v>1</v>
      </c>
      <c r="AJ100" s="35" t="n">
        <v>0.02387934645999163</v>
      </c>
      <c r="AK100" s="3" t="n">
        <v>0.02387934645999163</v>
      </c>
      <c r="AL100" s="3" t="n"/>
      <c r="AM100" s="39" t="inlineStr"/>
      <c r="AN100" s="35" t="n">
        <v>0.09733277475212972</v>
      </c>
      <c r="AO100" s="3" t="n">
        <v>0.09733277475212972</v>
      </c>
      <c r="AP100" s="3" t="n"/>
      <c r="AQ100" s="39" t="inlineStr"/>
      <c r="AR100" s="27" t="inlineStr">
        <is>
          <t>2D 1H 40M 0S</t>
        </is>
      </c>
      <c r="AS100" s="1" t="inlineStr">
        <is>
          <t>2D 1H 40M 0S</t>
        </is>
      </c>
      <c r="AT100" s="4" t="inlineStr">
        <is>
          <t>2D 1H 40M 0S</t>
        </is>
      </c>
      <c r="AU100" s="4" t="inlineStr">
        <is>
          <t>2D 1H 40M 0S</t>
        </is>
      </c>
      <c r="AV100" s="7" t="n"/>
    </row>
    <row r="101" ht="15" customHeight="1" thickBot="1" thickTop="1">
      <c r="A101" s="10" t="inlineStr">
        <is>
          <t>ORDERUSDT</t>
        </is>
      </c>
      <c r="B101" s="12" t="inlineStr">
        <is>
          <t>CRYPTO</t>
        </is>
      </c>
      <c r="C101" s="673" t="n">
        <v>1</v>
      </c>
      <c r="D101" s="674" t="n">
        <v>0</v>
      </c>
      <c r="E101" s="675" t="n">
        <v>1</v>
      </c>
      <c r="F101" s="676" t="n">
        <v>0</v>
      </c>
      <c r="G101" s="677" t="n">
        <v>1</v>
      </c>
      <c r="H101" s="678" t="n">
        <v>0</v>
      </c>
      <c r="I101" s="679" t="n">
        <v>1</v>
      </c>
      <c r="J101" s="680" t="n">
        <v>0</v>
      </c>
      <c r="K101" s="677" t="n">
        <v>0</v>
      </c>
      <c r="L101" s="678" t="n">
        <v>0</v>
      </c>
      <c r="M101" s="679" t="n">
        <v>0</v>
      </c>
      <c r="N101" s="680" t="n">
        <v>0</v>
      </c>
      <c r="O101" s="681" t="n">
        <v>0</v>
      </c>
      <c r="P101" s="681" t="n">
        <v>0</v>
      </c>
      <c r="Q101" s="28" t="n"/>
      <c r="R101" s="28" t="n"/>
      <c r="S101" s="673" t="n">
        <v>0</v>
      </c>
      <c r="T101" s="673" t="n">
        <v>0</v>
      </c>
      <c r="U101" s="677" t="n">
        <v>0</v>
      </c>
      <c r="V101" s="680" t="n">
        <v>0</v>
      </c>
      <c r="W101" s="673" t="n">
        <v>0</v>
      </c>
      <c r="X101" s="673" t="n">
        <v>0</v>
      </c>
      <c r="Y101" s="673" t="n">
        <v>0</v>
      </c>
      <c r="Z101" s="673" t="n">
        <v>0</v>
      </c>
      <c r="AA101" s="673" t="n">
        <v>0</v>
      </c>
      <c r="AB101" s="673" t="n">
        <v>0</v>
      </c>
      <c r="AC101" s="31" t="inlineStr">
        <is>
          <t>15MIN</t>
        </is>
      </c>
      <c r="AD101" s="5" t="inlineStr">
        <is>
          <t>15MIN</t>
        </is>
      </c>
      <c r="AE101" s="62" t="inlineStr">
        <is>
          <t>15MIN</t>
        </is>
      </c>
      <c r="AF101" s="690" t="n">
        <v>-1.043478260869563</v>
      </c>
      <c r="AG101" s="688" t="n">
        <v>-0.01042864222473602</v>
      </c>
      <c r="AH101" s="691" t="n">
        <v>-0.01042864222473602</v>
      </c>
      <c r="AI101" s="33" t="n">
        <v>0</v>
      </c>
      <c r="AJ101" s="35" t="n">
        <v>0.05688844917140742</v>
      </c>
      <c r="AK101" s="150" t="n"/>
      <c r="AL101" s="3" t="n">
        <v>0.05688844917140742</v>
      </c>
      <c r="AM101" s="39" t="inlineStr"/>
      <c r="AN101" s="35" t="n">
        <v>0.1177343556764779</v>
      </c>
      <c r="AO101" s="150" t="n"/>
      <c r="AP101" s="3" t="n">
        <v>0.1177343556764779</v>
      </c>
      <c r="AQ101" s="39" t="inlineStr"/>
      <c r="AR101" s="27" t="inlineStr">
        <is>
          <t>1H 31M 0S</t>
        </is>
      </c>
      <c r="AS101" s="1" t="inlineStr">
        <is>
          <t>1H 31M 0S</t>
        </is>
      </c>
      <c r="AT101" s="4" t="inlineStr">
        <is>
          <t>1H 31M 0S</t>
        </is>
      </c>
      <c r="AU101" s="4" t="n"/>
      <c r="AV101" s="7" t="inlineStr">
        <is>
          <t>1H 31M 0S</t>
        </is>
      </c>
    </row>
    <row r="102" ht="15" customHeight="1" thickBot="1" thickTop="1">
      <c r="A102" s="10" t="inlineStr">
        <is>
          <t>PENGUUSDT</t>
        </is>
      </c>
      <c r="B102" s="12" t="inlineStr">
        <is>
          <t>CRYPTO</t>
        </is>
      </c>
      <c r="C102" s="673" t="n">
        <v>1</v>
      </c>
      <c r="D102" s="674" t="n">
        <v>0</v>
      </c>
      <c r="E102" s="675" t="n">
        <v>1</v>
      </c>
      <c r="F102" s="676" t="n">
        <v>0</v>
      </c>
      <c r="G102" s="677" t="n">
        <v>1</v>
      </c>
      <c r="H102" s="678" t="n">
        <v>0</v>
      </c>
      <c r="I102" s="679" t="n">
        <v>1</v>
      </c>
      <c r="J102" s="680" t="n">
        <v>0</v>
      </c>
      <c r="K102" s="677" t="n">
        <v>0</v>
      </c>
      <c r="L102" s="678" t="n">
        <v>0</v>
      </c>
      <c r="M102" s="679" t="n">
        <v>0</v>
      </c>
      <c r="N102" s="680" t="n">
        <v>0</v>
      </c>
      <c r="O102" s="681" t="n">
        <v>0</v>
      </c>
      <c r="P102" s="681" t="n">
        <v>0</v>
      </c>
      <c r="Q102" s="28" t="n"/>
      <c r="R102" s="28" t="n"/>
      <c r="S102" s="673" t="n">
        <v>0</v>
      </c>
      <c r="T102" s="673" t="n">
        <v>0</v>
      </c>
      <c r="U102" s="677" t="n">
        <v>0</v>
      </c>
      <c r="V102" s="680" t="n">
        <v>0</v>
      </c>
      <c r="W102" s="673" t="n">
        <v>0</v>
      </c>
      <c r="X102" s="673" t="n">
        <v>0</v>
      </c>
      <c r="Y102" s="673" t="n">
        <v>0</v>
      </c>
      <c r="Z102" s="673" t="n">
        <v>0</v>
      </c>
      <c r="AA102" s="673" t="n">
        <v>0</v>
      </c>
      <c r="AB102" s="673" t="n">
        <v>0</v>
      </c>
      <c r="AC102" s="31" t="inlineStr">
        <is>
          <t>15MIN</t>
        </is>
      </c>
      <c r="AD102" s="5" t="inlineStr">
        <is>
          <t>15MIN</t>
        </is>
      </c>
      <c r="AE102" s="62" t="inlineStr">
        <is>
          <t>15MIN</t>
        </is>
      </c>
      <c r="AF102" s="690" t="n">
        <v>-0.9881305637982181</v>
      </c>
      <c r="AG102" s="688" t="n">
        <v>-0.01048433807470927</v>
      </c>
      <c r="AH102" s="691" t="n">
        <v>-0.01048433807470927</v>
      </c>
      <c r="AI102" s="33" t="n">
        <v>0</v>
      </c>
      <c r="AJ102" s="35" t="n">
        <v>0.01805518349852668</v>
      </c>
      <c r="AK102" s="150" t="n"/>
      <c r="AL102" s="3" t="n">
        <v>0.01805518349852668</v>
      </c>
      <c r="AM102" s="39" t="inlineStr"/>
      <c r="AN102" s="35" t="n">
        <v>0.03744977230109822</v>
      </c>
      <c r="AO102" s="150" t="n"/>
      <c r="AP102" s="3" t="n">
        <v>0.03744977230109822</v>
      </c>
      <c r="AQ102" s="39" t="inlineStr"/>
      <c r="AR102" s="27" t="inlineStr">
        <is>
          <t>11M 0S</t>
        </is>
      </c>
      <c r="AS102" s="1" t="inlineStr">
        <is>
          <t>11M 0S</t>
        </is>
      </c>
      <c r="AT102" s="4" t="inlineStr">
        <is>
          <t>11M 0S</t>
        </is>
      </c>
      <c r="AU102" s="4" t="n"/>
      <c r="AV102" s="7" t="inlineStr">
        <is>
          <t>11M 0S</t>
        </is>
      </c>
    </row>
    <row r="103" ht="15" customHeight="1" thickBot="1" thickTop="1">
      <c r="A103" s="10" t="inlineStr">
        <is>
          <t>PRCLUSDT</t>
        </is>
      </c>
      <c r="B103" s="12" t="inlineStr">
        <is>
          <t>CRYPTO</t>
        </is>
      </c>
      <c r="C103" s="673" t="n">
        <v>1</v>
      </c>
      <c r="D103" s="674" t="n">
        <v>0</v>
      </c>
      <c r="E103" s="675" t="n">
        <v>1</v>
      </c>
      <c r="F103" s="676" t="n">
        <v>0</v>
      </c>
      <c r="G103" s="677" t="n">
        <v>0</v>
      </c>
      <c r="H103" s="678" t="n">
        <v>0</v>
      </c>
      <c r="I103" s="679" t="n">
        <v>0</v>
      </c>
      <c r="J103" s="680" t="n">
        <v>0</v>
      </c>
      <c r="K103" s="677" t="n">
        <v>1</v>
      </c>
      <c r="L103" s="678" t="n">
        <v>0</v>
      </c>
      <c r="M103" s="679" t="n">
        <v>1</v>
      </c>
      <c r="N103" s="680" t="n">
        <v>0</v>
      </c>
      <c r="O103" s="681" t="n">
        <v>0</v>
      </c>
      <c r="P103" s="681" t="n">
        <v>0</v>
      </c>
      <c r="Q103" s="12" t="inlineStr">
        <is>
          <t>channel</t>
        </is>
      </c>
      <c r="R103" s="28" t="n"/>
      <c r="S103" s="673" t="n">
        <v>0</v>
      </c>
      <c r="T103" s="673" t="n">
        <v>0</v>
      </c>
      <c r="U103" s="677" t="n">
        <v>1</v>
      </c>
      <c r="V103" s="680" t="n">
        <v>0</v>
      </c>
      <c r="W103" s="673" t="n">
        <v>0</v>
      </c>
      <c r="X103" s="673" t="n">
        <v>0</v>
      </c>
      <c r="Y103" s="673" t="n">
        <v>0</v>
      </c>
      <c r="Z103" s="673" t="n">
        <v>0</v>
      </c>
      <c r="AA103" s="673" t="n">
        <v>0</v>
      </c>
      <c r="AB103" s="673" t="n">
        <v>0</v>
      </c>
      <c r="AC103" s="31" t="inlineStr">
        <is>
          <t>1H</t>
        </is>
      </c>
      <c r="AD103" s="5" t="inlineStr">
        <is>
          <t>1H</t>
        </is>
      </c>
      <c r="AE103" s="62" t="inlineStr">
        <is>
          <t>1H</t>
        </is>
      </c>
      <c r="AF103" s="690" t="n">
        <v>-1</v>
      </c>
      <c r="AG103" s="688" t="n">
        <v>-0.01054309569267289</v>
      </c>
      <c r="AH103" s="691" t="n">
        <v>-0.01054309569267289</v>
      </c>
      <c r="AI103" s="33" t="n">
        <v>0</v>
      </c>
      <c r="AJ103" s="35" t="n">
        <v>0.07123490263741676</v>
      </c>
      <c r="AK103" s="150" t="n"/>
      <c r="AL103" s="3" t="n">
        <v>0.07123490263741676</v>
      </c>
      <c r="AM103" s="39" t="inlineStr"/>
      <c r="AN103" s="35" t="n">
        <v>0.1424698052748337</v>
      </c>
      <c r="AO103" s="150" t="n"/>
      <c r="AP103" s="3" t="n">
        <v>0.1424698052748337</v>
      </c>
      <c r="AQ103" s="39" t="inlineStr"/>
      <c r="AR103" s="27" t="inlineStr">
        <is>
          <t>47M 0S</t>
        </is>
      </c>
      <c r="AS103" s="1" t="inlineStr">
        <is>
          <t>47M 0S</t>
        </is>
      </c>
      <c r="AT103" s="4" t="inlineStr">
        <is>
          <t>47M 0S</t>
        </is>
      </c>
      <c r="AU103" s="4" t="n"/>
      <c r="AV103" s="7" t="inlineStr">
        <is>
          <t>47M 0S</t>
        </is>
      </c>
    </row>
    <row r="104" ht="15" customHeight="1" thickBot="1" thickTop="1">
      <c r="A104" s="10" t="inlineStr">
        <is>
          <t>QUICKUSDT</t>
        </is>
      </c>
      <c r="B104" s="12" t="inlineStr">
        <is>
          <t>CRYPTO</t>
        </is>
      </c>
      <c r="C104" s="673" t="n">
        <v>1</v>
      </c>
      <c r="D104" s="674" t="n">
        <v>0</v>
      </c>
      <c r="E104" s="675" t="n">
        <v>1</v>
      </c>
      <c r="F104" s="676" t="n">
        <v>0</v>
      </c>
      <c r="G104" s="677" t="n">
        <v>1</v>
      </c>
      <c r="H104" s="678" t="n">
        <v>0</v>
      </c>
      <c r="I104" s="679" t="n">
        <v>1</v>
      </c>
      <c r="J104" s="680" t="n">
        <v>0</v>
      </c>
      <c r="K104" s="677" t="n">
        <v>0</v>
      </c>
      <c r="L104" s="678" t="n">
        <v>0</v>
      </c>
      <c r="M104" s="679" t="n">
        <v>0</v>
      </c>
      <c r="N104" s="680" t="n">
        <v>0</v>
      </c>
      <c r="O104" s="681" t="n">
        <v>0</v>
      </c>
      <c r="P104" s="681" t="n">
        <v>0</v>
      </c>
      <c r="Q104" s="12" t="inlineStr">
        <is>
          <t>channel</t>
        </is>
      </c>
      <c r="R104" s="28" t="n"/>
      <c r="S104" s="673" t="n">
        <v>0</v>
      </c>
      <c r="T104" s="673" t="n">
        <v>0</v>
      </c>
      <c r="U104" s="677" t="n">
        <v>1</v>
      </c>
      <c r="V104" s="680" t="n">
        <v>0</v>
      </c>
      <c r="W104" s="673" t="n">
        <v>0</v>
      </c>
      <c r="X104" s="673" t="n">
        <v>0</v>
      </c>
      <c r="Y104" s="673" t="n">
        <v>0</v>
      </c>
      <c r="Z104" s="673" t="n">
        <v>0</v>
      </c>
      <c r="AA104" s="673" t="n">
        <v>1</v>
      </c>
      <c r="AB104" s="673" t="n">
        <v>0</v>
      </c>
      <c r="AC104" s="31" t="inlineStr">
        <is>
          <t>1MIN</t>
        </is>
      </c>
      <c r="AD104" s="5" t="inlineStr">
        <is>
          <t>1MIN</t>
        </is>
      </c>
      <c r="AE104" s="62" t="inlineStr">
        <is>
          <t>1MIN</t>
        </is>
      </c>
      <c r="AF104" s="690" t="n">
        <v>-1.488888888888901</v>
      </c>
      <c r="AG104" s="688" t="n">
        <v>-0.01599254437579753</v>
      </c>
      <c r="AH104" s="691" t="n">
        <v>-0.01599254437579753</v>
      </c>
      <c r="AI104" s="33" t="n">
        <v>0</v>
      </c>
      <c r="AJ104" s="35" t="n">
        <v>0.008262945280940121</v>
      </c>
      <c r="AK104" s="3" t="n"/>
      <c r="AL104" s="3" t="n">
        <v>0.008262945280940121</v>
      </c>
      <c r="AM104" s="39" t="inlineStr"/>
      <c r="AN104" s="35" t="n">
        <v>0.02460521483657732</v>
      </c>
      <c r="AO104" s="3" t="n"/>
      <c r="AP104" s="3" t="n">
        <v>0.02460521483657732</v>
      </c>
      <c r="AQ104" s="39" t="inlineStr"/>
      <c r="AR104" s="27" t="inlineStr">
        <is>
          <t>57M 0S</t>
        </is>
      </c>
      <c r="AS104" s="1" t="inlineStr">
        <is>
          <t>57M 0S</t>
        </is>
      </c>
      <c r="AT104" s="4" t="inlineStr">
        <is>
          <t>57M 0S</t>
        </is>
      </c>
      <c r="AU104" s="4" t="n"/>
      <c r="AV104" s="7" t="inlineStr">
        <is>
          <t>57M 0S</t>
        </is>
      </c>
    </row>
    <row r="105" ht="15" customHeight="1" thickBot="1" thickTop="1">
      <c r="A105" s="10" t="inlineStr">
        <is>
          <t>RENUSDT</t>
        </is>
      </c>
      <c r="B105" s="12" t="inlineStr">
        <is>
          <t>CRYPTO</t>
        </is>
      </c>
      <c r="C105" s="673" t="n">
        <v>1</v>
      </c>
      <c r="D105" s="674" t="n">
        <v>0</v>
      </c>
      <c r="E105" s="675" t="n">
        <v>1</v>
      </c>
      <c r="F105" s="676" t="n">
        <v>0</v>
      </c>
      <c r="G105" s="677" t="n">
        <v>1</v>
      </c>
      <c r="H105" s="678" t="n">
        <v>0</v>
      </c>
      <c r="I105" s="679" t="n">
        <v>1</v>
      </c>
      <c r="J105" s="680" t="n">
        <v>0</v>
      </c>
      <c r="K105" s="677" t="n">
        <v>0</v>
      </c>
      <c r="L105" s="678" t="n">
        <v>0</v>
      </c>
      <c r="M105" s="679" t="n">
        <v>0</v>
      </c>
      <c r="N105" s="680" t="n">
        <v>0</v>
      </c>
      <c r="O105" s="681" t="n">
        <v>0</v>
      </c>
      <c r="P105" s="681" t="n">
        <v>0</v>
      </c>
      <c r="Q105" s="12" t="n"/>
      <c r="R105" s="28" t="n"/>
      <c r="S105" s="673" t="n">
        <v>0</v>
      </c>
      <c r="T105" s="673" t="n">
        <v>0</v>
      </c>
      <c r="U105" s="677" t="n">
        <v>0</v>
      </c>
      <c r="V105" s="680" t="n">
        <v>1</v>
      </c>
      <c r="W105" s="673" t="n">
        <v>0</v>
      </c>
      <c r="X105" s="673" t="n">
        <v>0</v>
      </c>
      <c r="Y105" s="673" t="n">
        <v>0</v>
      </c>
      <c r="Z105" s="673" t="n">
        <v>0</v>
      </c>
      <c r="AA105" s="673" t="n">
        <v>0</v>
      </c>
      <c r="AB105" s="673" t="n">
        <v>0</v>
      </c>
      <c r="AC105" s="31" t="inlineStr">
        <is>
          <t>4H</t>
        </is>
      </c>
      <c r="AD105" s="5" t="inlineStr">
        <is>
          <t>4H</t>
        </is>
      </c>
      <c r="AE105" s="62" t="inlineStr">
        <is>
          <t>4H</t>
        </is>
      </c>
      <c r="AF105" s="690" t="n">
        <v>-1.163676633444076</v>
      </c>
      <c r="AG105" s="688" t="n">
        <v>-0.01124339474610376</v>
      </c>
      <c r="AH105" s="691" t="n">
        <v>-0.01124339474610376</v>
      </c>
      <c r="AI105" s="33" t="n">
        <v>0</v>
      </c>
      <c r="AJ105" s="35" t="n">
        <v>0.09863678070520375</v>
      </c>
      <c r="AK105" s="3" t="n"/>
      <c r="AL105" s="3" t="n">
        <v>0.09863678070520375</v>
      </c>
      <c r="AM105" s="39" t="inlineStr"/>
      <c r="AN105" s="35" t="n">
        <v>0.2959540350417268</v>
      </c>
      <c r="AO105" s="3" t="n"/>
      <c r="AP105" s="3" t="n">
        <v>0.2959540350417268</v>
      </c>
      <c r="AQ105" s="39" t="inlineStr"/>
      <c r="AR105" s="27" t="inlineStr">
        <is>
          <t>13H 46M 0S</t>
        </is>
      </c>
      <c r="AS105" s="1" t="inlineStr">
        <is>
          <t>13H 46M 0S</t>
        </is>
      </c>
      <c r="AT105" s="4" t="inlineStr">
        <is>
          <t>13H 46M 0S</t>
        </is>
      </c>
      <c r="AU105" s="4" t="n"/>
      <c r="AV105" s="7" t="inlineStr">
        <is>
          <t>13H 46M 0S</t>
        </is>
      </c>
    </row>
    <row r="106" ht="15" customHeight="1" thickBot="1" thickTop="1">
      <c r="A106" s="10" t="inlineStr">
        <is>
          <t>RLCUSDT</t>
        </is>
      </c>
      <c r="B106" s="12" t="inlineStr">
        <is>
          <t>CRYPTO</t>
        </is>
      </c>
      <c r="C106" s="673" t="n">
        <v>1</v>
      </c>
      <c r="D106" s="674" t="n">
        <v>0</v>
      </c>
      <c r="E106" s="675" t="n">
        <v>1</v>
      </c>
      <c r="F106" s="676" t="n">
        <v>0</v>
      </c>
      <c r="G106" s="677" t="n">
        <v>1</v>
      </c>
      <c r="H106" s="678" t="n">
        <v>0</v>
      </c>
      <c r="I106" s="679" t="n">
        <v>1</v>
      </c>
      <c r="J106" s="680" t="n">
        <v>0</v>
      </c>
      <c r="K106" s="677" t="n">
        <v>0</v>
      </c>
      <c r="L106" s="678" t="n">
        <v>0</v>
      </c>
      <c r="M106" s="679" t="n">
        <v>0</v>
      </c>
      <c r="N106" s="680" t="n">
        <v>0</v>
      </c>
      <c r="O106" s="681" t="n">
        <v>0</v>
      </c>
      <c r="P106" s="681" t="n">
        <v>0</v>
      </c>
      <c r="Q106" s="12" t="n"/>
      <c r="R106" s="28" t="n"/>
      <c r="S106" s="673" t="n">
        <v>0</v>
      </c>
      <c r="T106" s="673" t="n">
        <v>0</v>
      </c>
      <c r="U106" s="677" t="n">
        <v>0</v>
      </c>
      <c r="V106" s="680" t="n">
        <v>1</v>
      </c>
      <c r="W106" s="673" t="n">
        <v>0</v>
      </c>
      <c r="X106" s="673" t="n">
        <v>0</v>
      </c>
      <c r="Y106" s="673" t="n">
        <v>0</v>
      </c>
      <c r="Z106" s="673" t="n">
        <v>0</v>
      </c>
      <c r="AA106" s="673" t="n">
        <v>0</v>
      </c>
      <c r="AB106" s="673" t="n">
        <v>0</v>
      </c>
      <c r="AC106" s="31" t="inlineStr">
        <is>
          <t>4H</t>
        </is>
      </c>
      <c r="AD106" s="5" t="inlineStr">
        <is>
          <t>4H</t>
        </is>
      </c>
      <c r="AE106" s="62" t="inlineStr">
        <is>
          <t>4H</t>
        </is>
      </c>
      <c r="AF106" s="690" t="n">
        <v>-1</v>
      </c>
      <c r="AG106" s="688" t="n">
        <v>-0.009225827669912442</v>
      </c>
      <c r="AH106" s="691" t="n">
        <v>-0.009225827669912442</v>
      </c>
      <c r="AI106" s="33" t="n">
        <v>0</v>
      </c>
      <c r="AJ106" s="35" t="n">
        <v>0.1231866088034718</v>
      </c>
      <c r="AK106" s="3" t="n"/>
      <c r="AL106" s="3" t="n">
        <v>0.1231866088034718</v>
      </c>
      <c r="AM106" s="39" t="inlineStr"/>
      <c r="AN106" s="35" t="n">
        <v>0.370117792932424</v>
      </c>
      <c r="AO106" s="3" t="n"/>
      <c r="AP106" s="3" t="n">
        <v>0.370117792932424</v>
      </c>
      <c r="AQ106" s="39" t="inlineStr"/>
      <c r="AR106" s="27" t="inlineStr">
        <is>
          <t>2D 17H 44M 0S</t>
        </is>
      </c>
      <c r="AS106" s="1" t="inlineStr">
        <is>
          <t>2D 17H 44M 0S</t>
        </is>
      </c>
      <c r="AT106" s="4" t="inlineStr">
        <is>
          <t>2D 17H 44M 0S</t>
        </is>
      </c>
      <c r="AU106" s="4" t="n"/>
      <c r="AV106" s="7" t="inlineStr">
        <is>
          <t>2D 17H 44M 0S</t>
        </is>
      </c>
    </row>
    <row r="107" ht="15" customHeight="1" thickBot="1" thickTop="1">
      <c r="A107" s="10" t="inlineStr">
        <is>
          <t>SHIB1000USDT</t>
        </is>
      </c>
      <c r="B107" s="12" t="inlineStr">
        <is>
          <t>CRYPTO</t>
        </is>
      </c>
      <c r="C107" s="673" t="n">
        <v>1</v>
      </c>
      <c r="D107" s="674" t="n">
        <v>0</v>
      </c>
      <c r="E107" s="675" t="n">
        <v>1</v>
      </c>
      <c r="F107" s="676" t="n">
        <v>0</v>
      </c>
      <c r="G107" s="677" t="n">
        <v>1</v>
      </c>
      <c r="H107" s="678" t="n">
        <v>0</v>
      </c>
      <c r="I107" s="679" t="n">
        <v>1</v>
      </c>
      <c r="J107" s="680" t="n">
        <v>0</v>
      </c>
      <c r="K107" s="677" t="n">
        <v>0</v>
      </c>
      <c r="L107" s="678" t="n">
        <v>0</v>
      </c>
      <c r="M107" s="679" t="n">
        <v>0</v>
      </c>
      <c r="N107" s="680" t="n">
        <v>0</v>
      </c>
      <c r="O107" s="681" t="n">
        <v>0</v>
      </c>
      <c r="P107" s="681" t="n">
        <v>0</v>
      </c>
      <c r="Q107" s="12" t="n"/>
      <c r="R107" s="12" t="n"/>
      <c r="S107" s="673" t="n">
        <v>0</v>
      </c>
      <c r="T107" s="673" t="n">
        <v>0</v>
      </c>
      <c r="U107" s="677" t="n">
        <v>0</v>
      </c>
      <c r="V107" s="680" t="n">
        <v>1</v>
      </c>
      <c r="W107" s="673" t="n">
        <v>0</v>
      </c>
      <c r="X107" s="673" t="n">
        <v>0</v>
      </c>
      <c r="Y107" s="673" t="n">
        <v>0</v>
      </c>
      <c r="Z107" s="673" t="n">
        <v>0</v>
      </c>
      <c r="AA107" s="673" t="n">
        <v>0</v>
      </c>
      <c r="AB107" s="673" t="n">
        <v>0</v>
      </c>
      <c r="AC107" s="31" t="inlineStr">
        <is>
          <t>WEEKLY</t>
        </is>
      </c>
      <c r="AD107" s="5" t="inlineStr">
        <is>
          <t>WEEKLY</t>
        </is>
      </c>
      <c r="AE107" s="62" t="inlineStr">
        <is>
          <t>WEEKLY</t>
        </is>
      </c>
      <c r="AF107" s="690" t="n">
        <v>-1.008736559139784</v>
      </c>
      <c r="AG107" s="688" t="n">
        <v>-0.005380477733729446</v>
      </c>
      <c r="AH107" s="691" t="n">
        <v>-0.005380477733729446</v>
      </c>
      <c r="AI107" s="33" t="n">
        <v>0</v>
      </c>
      <c r="AJ107" s="35" t="n">
        <v>0.1595197255574614</v>
      </c>
      <c r="AK107" s="3" t="n"/>
      <c r="AL107" s="3" t="n">
        <v>0.1595197255574614</v>
      </c>
      <c r="AM107" s="39" t="inlineStr"/>
      <c r="AN107" s="35" t="n">
        <v>0.7465694682675816</v>
      </c>
      <c r="AO107" s="3" t="n"/>
      <c r="AP107" s="3" t="n">
        <v>0.7465694682675816</v>
      </c>
      <c r="AQ107" s="39" t="inlineStr"/>
      <c r="AR107" s="27" t="inlineStr">
        <is>
          <t>3D 15H 37M 0S</t>
        </is>
      </c>
      <c r="AS107" s="1" t="inlineStr">
        <is>
          <t>3D 15H 37M 0S</t>
        </is>
      </c>
      <c r="AT107" s="4" t="inlineStr">
        <is>
          <t>3D 15H 37M 0S</t>
        </is>
      </c>
      <c r="AU107" s="4" t="n"/>
      <c r="AV107" s="7" t="inlineStr">
        <is>
          <t>3D 15H 37M 0S</t>
        </is>
      </c>
    </row>
    <row r="108" ht="15" customHeight="1" thickBot="1" thickTop="1">
      <c r="A108" s="10" t="inlineStr">
        <is>
          <t>SNXUSDT</t>
        </is>
      </c>
      <c r="B108" s="12" t="inlineStr">
        <is>
          <t>CRYPTO</t>
        </is>
      </c>
      <c r="C108" s="673" t="n">
        <v>1</v>
      </c>
      <c r="D108" s="674" t="n">
        <v>1</v>
      </c>
      <c r="E108" s="675" t="n">
        <v>0</v>
      </c>
      <c r="F108" s="676" t="n">
        <v>0</v>
      </c>
      <c r="G108" s="677" t="n">
        <v>1</v>
      </c>
      <c r="H108" s="678" t="n">
        <v>1</v>
      </c>
      <c r="I108" s="679" t="n">
        <v>0</v>
      </c>
      <c r="J108" s="680" t="n">
        <v>0</v>
      </c>
      <c r="K108" s="677" t="n">
        <v>0</v>
      </c>
      <c r="L108" s="678" t="n">
        <v>0</v>
      </c>
      <c r="M108" s="679" t="n">
        <v>0</v>
      </c>
      <c r="N108" s="680" t="n">
        <v>0</v>
      </c>
      <c r="O108" s="681" t="n">
        <v>1</v>
      </c>
      <c r="P108" s="681" t="n">
        <v>0</v>
      </c>
      <c r="Q108" s="12" t="n"/>
      <c r="R108" s="12" t="n"/>
      <c r="S108" s="673" t="n">
        <v>0</v>
      </c>
      <c r="T108" s="673" t="n">
        <v>0</v>
      </c>
      <c r="U108" s="677" t="n">
        <v>0</v>
      </c>
      <c r="V108" s="680" t="n">
        <v>1</v>
      </c>
      <c r="W108" s="673" t="n">
        <v>0</v>
      </c>
      <c r="X108" s="673" t="n">
        <v>0</v>
      </c>
      <c r="Y108" s="673" t="n">
        <v>0</v>
      </c>
      <c r="Z108" s="673" t="n">
        <v>0</v>
      </c>
      <c r="AA108" s="673" t="n">
        <v>0</v>
      </c>
      <c r="AB108" s="673" t="n">
        <v>0</v>
      </c>
      <c r="AC108" s="31" t="inlineStr">
        <is>
          <t>4H</t>
        </is>
      </c>
      <c r="AD108" s="5" t="inlineStr">
        <is>
          <t>4H</t>
        </is>
      </c>
      <c r="AE108" s="62" t="inlineStr">
        <is>
          <t>4H</t>
        </is>
      </c>
      <c r="AF108" s="682" t="n">
        <v>3.020408163265305</v>
      </c>
      <c r="AG108" s="683" t="n">
        <v>0.0284184976651805</v>
      </c>
      <c r="AH108" s="692" t="n">
        <v>0.0284184976651805</v>
      </c>
      <c r="AI108" s="33" t="n">
        <v>1</v>
      </c>
      <c r="AJ108" s="35" t="n">
        <v>0.06093011688634671</v>
      </c>
      <c r="AK108" s="3" t="n">
        <v>0.06093011688634671</v>
      </c>
      <c r="AL108" s="3" t="n"/>
      <c r="AM108" s="39" t="inlineStr"/>
      <c r="AN108" s="35" t="n">
        <v>0.1840338224322308</v>
      </c>
      <c r="AO108" s="3" t="n">
        <v>0.1840338224322308</v>
      </c>
      <c r="AP108" s="3" t="n"/>
      <c r="AQ108" s="39" t="inlineStr"/>
      <c r="AR108" s="27" t="inlineStr">
        <is>
          <t>7D 5H 52M 0S</t>
        </is>
      </c>
      <c r="AS108" s="1" t="inlineStr">
        <is>
          <t>7D 5H 52M 0S</t>
        </is>
      </c>
      <c r="AT108" s="4" t="inlineStr">
        <is>
          <t>7D 5H 52M 0S</t>
        </is>
      </c>
      <c r="AU108" s="4" t="inlineStr">
        <is>
          <t>7D 5H 52M 0S</t>
        </is>
      </c>
      <c r="AV108" s="7" t="n"/>
    </row>
    <row r="109" ht="15" customHeight="1" thickBot="1" thickTop="1">
      <c r="A109" s="10" t="inlineStr">
        <is>
          <t>SOLAYERUSDT</t>
        </is>
      </c>
      <c r="B109" s="12" t="inlineStr">
        <is>
          <t>CRYPTO</t>
        </is>
      </c>
      <c r="C109" s="673" t="n">
        <v>1</v>
      </c>
      <c r="D109" s="674" t="n">
        <v>0</v>
      </c>
      <c r="E109" s="675" t="n">
        <v>1</v>
      </c>
      <c r="F109" s="676" t="n">
        <v>0</v>
      </c>
      <c r="G109" s="677" t="n">
        <v>1</v>
      </c>
      <c r="H109" s="678" t="n">
        <v>0</v>
      </c>
      <c r="I109" s="679" t="n">
        <v>1</v>
      </c>
      <c r="J109" s="680" t="n">
        <v>0</v>
      </c>
      <c r="K109" s="677" t="n">
        <v>0</v>
      </c>
      <c r="L109" s="678" t="n">
        <v>0</v>
      </c>
      <c r="M109" s="679" t="n">
        <v>0</v>
      </c>
      <c r="N109" s="680" t="n">
        <v>0</v>
      </c>
      <c r="O109" s="681" t="n">
        <v>0</v>
      </c>
      <c r="P109" s="681" t="n">
        <v>0</v>
      </c>
      <c r="Q109" s="12" t="n"/>
      <c r="R109" s="28" t="n"/>
      <c r="S109" s="673" t="n">
        <v>0</v>
      </c>
      <c r="T109" s="673" t="n">
        <v>0</v>
      </c>
      <c r="U109" s="677" t="n">
        <v>0</v>
      </c>
      <c r="V109" s="680" t="n">
        <v>0</v>
      </c>
      <c r="W109" s="673" t="n">
        <v>0</v>
      </c>
      <c r="X109" s="673" t="n">
        <v>0</v>
      </c>
      <c r="Y109" s="673" t="n">
        <v>0</v>
      </c>
      <c r="Z109" s="673" t="n">
        <v>0</v>
      </c>
      <c r="AA109" s="673" t="n">
        <v>0</v>
      </c>
      <c r="AB109" s="673" t="n">
        <v>0</v>
      </c>
      <c r="AC109" s="31" t="n"/>
      <c r="AD109" s="5" t="n"/>
      <c r="AE109" s="62" t="n"/>
      <c r="AF109" s="690" t="n">
        <v>-1.112698412698411</v>
      </c>
      <c r="AG109" s="688" t="n">
        <v>-0.0130902641430304</v>
      </c>
      <c r="AH109" s="691" t="n">
        <v>-0.0130902641430304</v>
      </c>
      <c r="AI109" s="33" t="n">
        <v>0</v>
      </c>
      <c r="AJ109" s="35" t="n">
        <v>0.005741155886051699</v>
      </c>
      <c r="AK109" s="3" t="n"/>
      <c r="AL109" s="3" t="n">
        <v>0.005741155886051699</v>
      </c>
      <c r="AM109" s="39" t="inlineStr"/>
      <c r="AN109" s="35" t="n">
        <v>0.01212021798166484</v>
      </c>
      <c r="AO109" s="3" t="n"/>
      <c r="AP109" s="3" t="n">
        <v>0.01212021798166484</v>
      </c>
      <c r="AQ109" s="39" t="inlineStr"/>
      <c r="AR109" s="27" t="inlineStr">
        <is>
          <t>2M 0S</t>
        </is>
      </c>
      <c r="AS109" s="1" t="inlineStr">
        <is>
          <t>2M 0S</t>
        </is>
      </c>
      <c r="AT109" s="4" t="inlineStr">
        <is>
          <t>2M 0S</t>
        </is>
      </c>
      <c r="AU109" s="4" t="n"/>
      <c r="AV109" s="7" t="inlineStr">
        <is>
          <t>2M 0S</t>
        </is>
      </c>
    </row>
    <row r="110" ht="15" customHeight="1" thickBot="1" thickTop="1">
      <c r="A110" s="10" t="inlineStr">
        <is>
          <t>STBLUSDT</t>
        </is>
      </c>
      <c r="B110" s="12" t="inlineStr">
        <is>
          <t>CRYPTO</t>
        </is>
      </c>
      <c r="C110" s="673" t="n">
        <v>1</v>
      </c>
      <c r="D110" s="674" t="n">
        <v>1</v>
      </c>
      <c r="E110" s="675" t="n">
        <v>0</v>
      </c>
      <c r="F110" s="676" t="n">
        <v>0</v>
      </c>
      <c r="G110" s="677" t="n">
        <v>1</v>
      </c>
      <c r="H110" s="678" t="n">
        <v>1</v>
      </c>
      <c r="I110" s="679" t="n">
        <v>0</v>
      </c>
      <c r="J110" s="680" t="n">
        <v>0</v>
      </c>
      <c r="K110" s="677" t="n">
        <v>0</v>
      </c>
      <c r="L110" s="678" t="n">
        <v>0</v>
      </c>
      <c r="M110" s="679" t="n">
        <v>0</v>
      </c>
      <c r="N110" s="680" t="n">
        <v>0</v>
      </c>
      <c r="O110" s="681" t="n">
        <v>0</v>
      </c>
      <c r="P110" s="681" t="n">
        <v>0</v>
      </c>
      <c r="Q110" s="12" t="n"/>
      <c r="R110" s="28" t="n"/>
      <c r="S110" s="673" t="n">
        <v>0</v>
      </c>
      <c r="T110" s="673" t="n">
        <v>0</v>
      </c>
      <c r="U110" s="677" t="n">
        <v>0</v>
      </c>
      <c r="V110" s="680" t="n">
        <v>0</v>
      </c>
      <c r="W110" s="673" t="n">
        <v>0</v>
      </c>
      <c r="X110" s="673" t="n">
        <v>0</v>
      </c>
      <c r="Y110" s="673" t="n">
        <v>0</v>
      </c>
      <c r="Z110" s="673" t="n">
        <v>0</v>
      </c>
      <c r="AA110" s="673" t="n">
        <v>0</v>
      </c>
      <c r="AB110" s="673" t="n">
        <v>0</v>
      </c>
      <c r="AC110" s="31" t="inlineStr">
        <is>
          <t>30MIN</t>
        </is>
      </c>
      <c r="AD110" s="5" t="inlineStr">
        <is>
          <t>30MIN</t>
        </is>
      </c>
      <c r="AE110" s="62" t="inlineStr">
        <is>
          <t>30MIN</t>
        </is>
      </c>
      <c r="AF110" s="682" t="n">
        <v>2.044648719632306</v>
      </c>
      <c r="AG110" s="683" t="n">
        <v>0.03982413398276431</v>
      </c>
      <c r="AH110" s="692" t="n">
        <v>0.03982413398276431</v>
      </c>
      <c r="AI110" s="33" t="n">
        <v>1</v>
      </c>
      <c r="AJ110" s="35" t="n">
        <v>0.08786200530748815</v>
      </c>
      <c r="AK110" s="3" t="n">
        <v>0.08786200530748815</v>
      </c>
      <c r="AL110" s="3" t="n"/>
      <c r="AM110" s="39" t="inlineStr"/>
      <c r="AN110" s="35" t="n">
        <v>0.1795892465674398</v>
      </c>
      <c r="AO110" s="3" t="n">
        <v>0.1795892465674398</v>
      </c>
      <c r="AP110" s="3" t="n"/>
      <c r="AQ110" s="39" t="inlineStr"/>
      <c r="AR110" s="27" t="inlineStr">
        <is>
          <t>3H 8M 0S</t>
        </is>
      </c>
      <c r="AS110" s="1" t="inlineStr">
        <is>
          <t>3H 8M 0S</t>
        </is>
      </c>
      <c r="AT110" s="4" t="inlineStr">
        <is>
          <t>3H 8M 0S</t>
        </is>
      </c>
      <c r="AU110" s="4" t="inlineStr">
        <is>
          <t>3H 8M 0S</t>
        </is>
      </c>
      <c r="AV110" s="7" t="n"/>
    </row>
    <row r="111" ht="15" customHeight="1" thickBot="1" thickTop="1">
      <c r="A111" s="10" t="inlineStr">
        <is>
          <t>STMXUSDT</t>
        </is>
      </c>
      <c r="B111" s="12" t="inlineStr">
        <is>
          <t>CRYPTO</t>
        </is>
      </c>
      <c r="C111" s="673" t="n">
        <v>1</v>
      </c>
      <c r="D111" s="674" t="n">
        <v>0</v>
      </c>
      <c r="E111" s="675" t="n">
        <v>1</v>
      </c>
      <c r="F111" s="676" t="n">
        <v>0</v>
      </c>
      <c r="G111" s="677" t="n">
        <v>1</v>
      </c>
      <c r="H111" s="678" t="n">
        <v>0</v>
      </c>
      <c r="I111" s="679" t="n">
        <v>1</v>
      </c>
      <c r="J111" s="680" t="n">
        <v>0</v>
      </c>
      <c r="K111" s="677" t="n">
        <v>0</v>
      </c>
      <c r="L111" s="678" t="n">
        <v>0</v>
      </c>
      <c r="M111" s="679" t="n">
        <v>0</v>
      </c>
      <c r="N111" s="680" t="n">
        <v>0</v>
      </c>
      <c r="O111" s="681" t="n">
        <v>0</v>
      </c>
      <c r="P111" s="681" t="n">
        <v>0</v>
      </c>
      <c r="Q111" s="28" t="n"/>
      <c r="R111" s="28" t="n"/>
      <c r="S111" s="673" t="n">
        <v>0</v>
      </c>
      <c r="T111" s="673" t="n">
        <v>0</v>
      </c>
      <c r="U111" s="677" t="n">
        <v>0</v>
      </c>
      <c r="V111" s="680" t="n">
        <v>1</v>
      </c>
      <c r="W111" s="673" t="n">
        <v>0</v>
      </c>
      <c r="X111" s="673" t="n">
        <v>0</v>
      </c>
      <c r="Y111" s="673" t="n">
        <v>0</v>
      </c>
      <c r="Z111" s="673" t="n">
        <v>0</v>
      </c>
      <c r="AA111" s="673" t="n">
        <v>0</v>
      </c>
      <c r="AB111" s="673" t="n">
        <v>0</v>
      </c>
      <c r="AC111" s="31" t="inlineStr">
        <is>
          <t>4H</t>
        </is>
      </c>
      <c r="AD111" s="5" t="inlineStr">
        <is>
          <t>4H</t>
        </is>
      </c>
      <c r="AE111" s="62" t="inlineStr">
        <is>
          <t>4H</t>
        </is>
      </c>
      <c r="AF111" s="690" t="n">
        <v>-1</v>
      </c>
      <c r="AG111" s="688" t="n">
        <v>-0.009605011108052482</v>
      </c>
      <c r="AH111" s="691" t="n">
        <v>-0.009605011108052482</v>
      </c>
      <c r="AI111" s="33" t="n">
        <v>0</v>
      </c>
      <c r="AJ111" s="35" t="n">
        <v>0.1157050293119407</v>
      </c>
      <c r="AK111" s="150" t="n"/>
      <c r="AL111" s="3" t="n">
        <v>0.1157050293119407</v>
      </c>
      <c r="AM111" s="39" t="inlineStr"/>
      <c r="AN111" s="35" t="n">
        <v>0.3483492749151496</v>
      </c>
      <c r="AO111" s="150" t="n"/>
      <c r="AP111" s="3" t="n">
        <v>0.3483492749151496</v>
      </c>
      <c r="AQ111" s="39" t="inlineStr"/>
      <c r="AR111" s="27" t="inlineStr">
        <is>
          <t>2D 21H 0M 0S</t>
        </is>
      </c>
      <c r="AS111" s="1" t="inlineStr">
        <is>
          <t>2D 21H 0M 0S</t>
        </is>
      </c>
      <c r="AT111" s="4" t="inlineStr">
        <is>
          <t>2D 21H 0M 0S</t>
        </is>
      </c>
      <c r="AU111" s="4" t="n"/>
      <c r="AV111" s="7" t="inlineStr">
        <is>
          <t>2D 21H 0M 0S</t>
        </is>
      </c>
    </row>
    <row r="112" ht="15" customHeight="1" thickBot="1" thickTop="1">
      <c r="A112" s="10" t="inlineStr">
        <is>
          <t>STORJUSDT</t>
        </is>
      </c>
      <c r="B112" s="12" t="inlineStr">
        <is>
          <t>CRYPTO</t>
        </is>
      </c>
      <c r="C112" s="673" t="n">
        <v>1</v>
      </c>
      <c r="D112" s="674" t="n">
        <v>0</v>
      </c>
      <c r="E112" s="675" t="n">
        <v>1</v>
      </c>
      <c r="F112" s="676" t="n">
        <v>0</v>
      </c>
      <c r="G112" s="677" t="n">
        <v>1</v>
      </c>
      <c r="H112" s="678" t="n">
        <v>0</v>
      </c>
      <c r="I112" s="679" t="n">
        <v>1</v>
      </c>
      <c r="J112" s="680" t="n">
        <v>0</v>
      </c>
      <c r="K112" s="677" t="n">
        <v>0</v>
      </c>
      <c r="L112" s="678" t="n">
        <v>0</v>
      </c>
      <c r="M112" s="679" t="n">
        <v>0</v>
      </c>
      <c r="N112" s="680" t="n">
        <v>0</v>
      </c>
      <c r="O112" s="681" t="n">
        <v>0</v>
      </c>
      <c r="P112" s="681" t="n">
        <v>0</v>
      </c>
      <c r="Q112" s="28" t="n"/>
      <c r="R112" s="28" t="n"/>
      <c r="S112" s="673" t="n">
        <v>0</v>
      </c>
      <c r="T112" s="673" t="n">
        <v>0</v>
      </c>
      <c r="U112" s="677" t="n">
        <v>0</v>
      </c>
      <c r="V112" s="680" t="n">
        <v>1</v>
      </c>
      <c r="W112" s="673" t="n">
        <v>0</v>
      </c>
      <c r="X112" s="673" t="n">
        <v>1</v>
      </c>
      <c r="Y112" s="673" t="n">
        <v>0</v>
      </c>
      <c r="Z112" s="673" t="n">
        <v>0</v>
      </c>
      <c r="AA112" s="673" t="n">
        <v>0</v>
      </c>
      <c r="AB112" s="673" t="n">
        <v>0</v>
      </c>
      <c r="AC112" s="31" t="inlineStr">
        <is>
          <t>4H</t>
        </is>
      </c>
      <c r="AD112" s="5" t="inlineStr">
        <is>
          <t>4H</t>
        </is>
      </c>
      <c r="AE112" s="62" t="inlineStr">
        <is>
          <t>4H</t>
        </is>
      </c>
      <c r="AF112" s="690" t="n">
        <v>-1</v>
      </c>
      <c r="AG112" s="688" t="n">
        <v>-0.009713322640560082</v>
      </c>
      <c r="AH112" s="691" t="n">
        <v>-0.009713322640560082</v>
      </c>
      <c r="AI112" s="33" t="n">
        <v>0</v>
      </c>
      <c r="AJ112" s="35" t="n">
        <v>0.08173725384407876</v>
      </c>
      <c r="AK112" s="3" t="n"/>
      <c r="AL112" s="3" t="n">
        <v>0.08173725384407876</v>
      </c>
      <c r="AM112" s="39" t="inlineStr"/>
      <c r="AN112" s="35" t="n">
        <v>0.3274885352036688</v>
      </c>
      <c r="AO112" s="3" t="n"/>
      <c r="AP112" s="3" t="n">
        <v>0.3274885352036688</v>
      </c>
      <c r="AQ112" s="39" t="inlineStr"/>
      <c r="AR112" s="27" t="inlineStr">
        <is>
          <t>1D 0H 51M 0S</t>
        </is>
      </c>
      <c r="AS112" s="1" t="inlineStr">
        <is>
          <t>1D 0H 51M 0S</t>
        </is>
      </c>
      <c r="AT112" s="4" t="inlineStr">
        <is>
          <t>1D 0H 51M 0S</t>
        </is>
      </c>
      <c r="AU112" s="4" t="n"/>
      <c r="AV112" s="7" t="inlineStr">
        <is>
          <t>1D 0H 51M 0S</t>
        </is>
      </c>
    </row>
    <row r="113" ht="15" customHeight="1" thickBot="1" thickTop="1">
      <c r="A113" s="10" t="inlineStr">
        <is>
          <t>SUIUSDT</t>
        </is>
      </c>
      <c r="B113" s="12" t="inlineStr">
        <is>
          <t>CRYPTO</t>
        </is>
      </c>
      <c r="C113" s="673" t="n">
        <v>1</v>
      </c>
      <c r="D113" s="674" t="n">
        <v>0</v>
      </c>
      <c r="E113" s="675" t="n">
        <v>1</v>
      </c>
      <c r="F113" s="676" t="n">
        <v>0</v>
      </c>
      <c r="G113" s="677" t="n">
        <v>1</v>
      </c>
      <c r="H113" s="678" t="n">
        <v>0</v>
      </c>
      <c r="I113" s="679" t="n">
        <v>1</v>
      </c>
      <c r="J113" s="680" t="n">
        <v>0</v>
      </c>
      <c r="K113" s="677" t="n">
        <v>0</v>
      </c>
      <c r="L113" s="678" t="n">
        <v>0</v>
      </c>
      <c r="M113" s="679" t="n">
        <v>0</v>
      </c>
      <c r="N113" s="680" t="n">
        <v>0</v>
      </c>
      <c r="O113" s="681" t="n">
        <v>0</v>
      </c>
      <c r="P113" s="681" t="n">
        <v>0</v>
      </c>
      <c r="Q113" s="12" t="inlineStr">
        <is>
          <t>channel</t>
        </is>
      </c>
      <c r="R113" s="28" t="n"/>
      <c r="S113" s="673" t="n">
        <v>0</v>
      </c>
      <c r="T113" s="673" t="n">
        <v>0</v>
      </c>
      <c r="U113" s="677" t="n">
        <v>1</v>
      </c>
      <c r="V113" s="680" t="n">
        <v>0</v>
      </c>
      <c r="W113" s="673" t="n">
        <v>0</v>
      </c>
      <c r="X113" s="673" t="n">
        <v>0</v>
      </c>
      <c r="Y113" s="673" t="n">
        <v>0</v>
      </c>
      <c r="Z113" s="673" t="n">
        <v>0</v>
      </c>
      <c r="AA113" s="673" t="n">
        <v>0</v>
      </c>
      <c r="AB113" s="673" t="n">
        <v>0</v>
      </c>
      <c r="AC113" s="31" t="inlineStr">
        <is>
          <t>30MIN</t>
        </is>
      </c>
      <c r="AD113" s="5" t="inlineStr">
        <is>
          <t>30MIN</t>
        </is>
      </c>
      <c r="AE113" s="62" t="inlineStr">
        <is>
          <t>30MIN</t>
        </is>
      </c>
      <c r="AF113" s="690" t="n">
        <v>-0.9880095923261456</v>
      </c>
      <c r="AG113" s="688" t="n">
        <v>-0.01001852551741626</v>
      </c>
      <c r="AH113" s="691" t="n">
        <v>-0.01001852551741626</v>
      </c>
      <c r="AI113" s="33" t="n">
        <v>0</v>
      </c>
      <c r="AJ113" s="35" t="n">
        <v>0.008549111261455118</v>
      </c>
      <c r="AK113" s="3" t="n"/>
      <c r="AL113" s="3" t="n">
        <v>0.008549111261455118</v>
      </c>
      <c r="AM113" s="39" t="inlineStr"/>
      <c r="AN113" s="35" t="n">
        <v>0.01709822252291042</v>
      </c>
      <c r="AO113" s="3" t="n"/>
      <c r="AP113" s="3" t="n">
        <v>0.01709822252291042</v>
      </c>
      <c r="AQ113" s="39" t="inlineStr"/>
      <c r="AR113" s="27" t="inlineStr">
        <is>
          <t>3H 32M 0S</t>
        </is>
      </c>
      <c r="AS113" s="1" t="inlineStr">
        <is>
          <t>3H 32M 0S</t>
        </is>
      </c>
      <c r="AT113" s="4" t="inlineStr">
        <is>
          <t>3H 32M 0S</t>
        </is>
      </c>
      <c r="AU113" s="4" t="n"/>
      <c r="AV113" s="7" t="inlineStr">
        <is>
          <t>3H 32M 0S</t>
        </is>
      </c>
    </row>
    <row r="114" ht="15" customHeight="1" thickBot="1" thickTop="1">
      <c r="A114" s="10" t="inlineStr">
        <is>
          <t>SXPUSDT</t>
        </is>
      </c>
      <c r="B114" s="12" t="inlineStr">
        <is>
          <t>CRYPTO</t>
        </is>
      </c>
      <c r="C114" s="673" t="n">
        <v>1</v>
      </c>
      <c r="D114" s="674" t="n">
        <v>0</v>
      </c>
      <c r="E114" s="675" t="n">
        <v>1</v>
      </c>
      <c r="F114" s="676" t="n">
        <v>0</v>
      </c>
      <c r="G114" s="677" t="n">
        <v>1</v>
      </c>
      <c r="H114" s="678" t="n">
        <v>0</v>
      </c>
      <c r="I114" s="679" t="n">
        <v>1</v>
      </c>
      <c r="J114" s="680" t="n">
        <v>0</v>
      </c>
      <c r="K114" s="677" t="n">
        <v>0</v>
      </c>
      <c r="L114" s="678" t="n">
        <v>0</v>
      </c>
      <c r="M114" s="679" t="n">
        <v>0</v>
      </c>
      <c r="N114" s="680" t="n">
        <v>0</v>
      </c>
      <c r="O114" s="681" t="n">
        <v>0</v>
      </c>
      <c r="P114" s="681" t="n">
        <v>0</v>
      </c>
      <c r="Q114" s="28" t="n"/>
      <c r="R114" s="28" t="n"/>
      <c r="S114" s="673" t="n">
        <v>0</v>
      </c>
      <c r="T114" s="673" t="n">
        <v>0</v>
      </c>
      <c r="U114" s="677" t="n">
        <v>0</v>
      </c>
      <c r="V114" s="680" t="n">
        <v>1</v>
      </c>
      <c r="W114" s="673" t="n">
        <v>0</v>
      </c>
      <c r="X114" s="673" t="n">
        <v>0</v>
      </c>
      <c r="Y114" s="673" t="n">
        <v>0</v>
      </c>
      <c r="Z114" s="673" t="n">
        <v>0</v>
      </c>
      <c r="AA114" s="673" t="n">
        <v>0</v>
      </c>
      <c r="AB114" s="673" t="n">
        <v>0</v>
      </c>
      <c r="AC114" s="31" t="inlineStr">
        <is>
          <t>4H</t>
        </is>
      </c>
      <c r="AD114" s="5" t="inlineStr">
        <is>
          <t>4H</t>
        </is>
      </c>
      <c r="AE114" s="62" t="inlineStr">
        <is>
          <t>4H</t>
        </is>
      </c>
      <c r="AF114" s="690" t="n">
        <v>-0.9958333333333329</v>
      </c>
      <c r="AG114" s="688" t="n">
        <v>-0.009587219765114624</v>
      </c>
      <c r="AH114" s="691" t="n">
        <v>-0.009587219765114624</v>
      </c>
      <c r="AI114" s="33" t="n">
        <v>0</v>
      </c>
      <c r="AJ114" s="35" t="n">
        <v>0.1479654747225649</v>
      </c>
      <c r="AK114" s="3" t="n"/>
      <c r="AL114" s="3" t="n">
        <v>0.1479654747225649</v>
      </c>
      <c r="AM114" s="39" t="inlineStr"/>
      <c r="AN114" s="35" t="n">
        <v>0.5918618988902588</v>
      </c>
      <c r="AO114" s="3" t="n"/>
      <c r="AP114" s="3" t="n">
        <v>0.5918618988902588</v>
      </c>
      <c r="AQ114" s="39" t="inlineStr"/>
      <c r="AR114" s="27" t="inlineStr">
        <is>
          <t>3D 20H 24M 0S</t>
        </is>
      </c>
      <c r="AS114" s="1" t="inlineStr">
        <is>
          <t>3D 20H 24M 0S</t>
        </is>
      </c>
      <c r="AT114" s="4" t="inlineStr">
        <is>
          <t>3D 20H 24M 0S</t>
        </is>
      </c>
      <c r="AU114" s="4" t="n"/>
      <c r="AV114" s="7" t="inlineStr">
        <is>
          <t>3D 20H 24M 0S</t>
        </is>
      </c>
    </row>
    <row r="115" ht="15" customHeight="1" thickBot="1" thickTop="1">
      <c r="A115" s="10" t="inlineStr">
        <is>
          <t>TAIUSDT</t>
        </is>
      </c>
      <c r="B115" s="12" t="inlineStr">
        <is>
          <t>CRYPTO</t>
        </is>
      </c>
      <c r="C115" s="673" t="n">
        <v>1</v>
      </c>
      <c r="D115" s="674" t="n">
        <v>1</v>
      </c>
      <c r="E115" s="675" t="n">
        <v>0</v>
      </c>
      <c r="F115" s="676" t="n">
        <v>0</v>
      </c>
      <c r="G115" s="677" t="n">
        <v>0</v>
      </c>
      <c r="H115" s="678" t="n">
        <v>0</v>
      </c>
      <c r="I115" s="679" t="n">
        <v>0</v>
      </c>
      <c r="J115" s="680" t="n">
        <v>0</v>
      </c>
      <c r="K115" s="677" t="n">
        <v>1</v>
      </c>
      <c r="L115" s="678" t="n">
        <v>1</v>
      </c>
      <c r="M115" s="679" t="n">
        <v>0</v>
      </c>
      <c r="N115" s="680" t="n">
        <v>0</v>
      </c>
      <c r="O115" s="681" t="n">
        <v>0</v>
      </c>
      <c r="P115" s="681" t="n">
        <v>0</v>
      </c>
      <c r="Q115" s="12" t="n"/>
      <c r="R115" s="28" t="n"/>
      <c r="S115" s="673" t="n">
        <v>0</v>
      </c>
      <c r="T115" s="673" t="n">
        <v>0</v>
      </c>
      <c r="U115" s="677" t="n">
        <v>0</v>
      </c>
      <c r="V115" s="680" t="n">
        <v>0</v>
      </c>
      <c r="W115" s="673" t="n">
        <v>0</v>
      </c>
      <c r="X115" s="673" t="n">
        <v>0</v>
      </c>
      <c r="Y115" s="673" t="n">
        <v>0</v>
      </c>
      <c r="Z115" s="673" t="n">
        <v>0</v>
      </c>
      <c r="AA115" s="673" t="n">
        <v>0</v>
      </c>
      <c r="AB115" s="673" t="n">
        <v>0</v>
      </c>
      <c r="AC115" s="31" t="n"/>
      <c r="AD115" s="5" t="n"/>
      <c r="AE115" s="62" t="n"/>
      <c r="AF115" s="682" t="n">
        <v>2.000000000000006</v>
      </c>
      <c r="AG115" s="683" t="n">
        <v>0.01988722132029</v>
      </c>
      <c r="AH115" s="692" t="n">
        <v>0.01988722132029</v>
      </c>
      <c r="AI115" s="33" t="n">
        <v>1</v>
      </c>
      <c r="AJ115" s="35" t="n">
        <v>0.04317367861781247</v>
      </c>
      <c r="AK115" s="3" t="n">
        <v>0.04317367861781247</v>
      </c>
      <c r="AL115" s="3" t="n"/>
      <c r="AM115" s="39" t="inlineStr"/>
      <c r="AN115" s="35" t="n">
        <v>0.08634735723562523</v>
      </c>
      <c r="AO115" s="3" t="n">
        <v>0.08634735723562523</v>
      </c>
      <c r="AP115" s="3" t="n"/>
      <c r="AQ115" s="39" t="inlineStr"/>
      <c r="AR115" s="27" t="inlineStr">
        <is>
          <t>2H 41M 0S</t>
        </is>
      </c>
      <c r="AS115" s="1" t="inlineStr">
        <is>
          <t>2H 41M 0S</t>
        </is>
      </c>
      <c r="AT115" s="4" t="inlineStr">
        <is>
          <t>2H 41M 0S</t>
        </is>
      </c>
      <c r="AU115" s="4" t="inlineStr">
        <is>
          <t>2H 41M 0S</t>
        </is>
      </c>
      <c r="AV115" s="7" t="n"/>
    </row>
    <row r="116" ht="15" customHeight="1" thickBot="1" thickTop="1">
      <c r="A116" s="10" t="inlineStr">
        <is>
          <t>TLMUSDT</t>
        </is>
      </c>
      <c r="B116" s="12" t="inlineStr">
        <is>
          <t>CRYPTO</t>
        </is>
      </c>
      <c r="C116" s="673" t="n">
        <v>1</v>
      </c>
      <c r="D116" s="674" t="n">
        <v>0</v>
      </c>
      <c r="E116" s="675" t="n">
        <v>1</v>
      </c>
      <c r="F116" s="676" t="n">
        <v>0</v>
      </c>
      <c r="G116" s="677" t="n">
        <v>0</v>
      </c>
      <c r="H116" s="678" t="n">
        <v>0</v>
      </c>
      <c r="I116" s="679" t="n">
        <v>0</v>
      </c>
      <c r="J116" s="680" t="n">
        <v>0</v>
      </c>
      <c r="K116" s="677" t="n">
        <v>1</v>
      </c>
      <c r="L116" s="678" t="n">
        <v>0</v>
      </c>
      <c r="M116" s="679" t="n">
        <v>1</v>
      </c>
      <c r="N116" s="680" t="n">
        <v>0</v>
      </c>
      <c r="O116" s="681" t="n">
        <v>0</v>
      </c>
      <c r="P116" s="681" t="n">
        <v>0</v>
      </c>
      <c r="Q116" s="12" t="n"/>
      <c r="R116" s="28" t="n"/>
      <c r="S116" s="673" t="n">
        <v>0</v>
      </c>
      <c r="T116" s="673" t="n">
        <v>0</v>
      </c>
      <c r="U116" s="677" t="n">
        <v>0</v>
      </c>
      <c r="V116" s="680" t="n">
        <v>0</v>
      </c>
      <c r="W116" s="673" t="n">
        <v>0</v>
      </c>
      <c r="X116" s="673" t="n">
        <v>0</v>
      </c>
      <c r="Y116" s="673" t="n">
        <v>0</v>
      </c>
      <c r="Z116" s="673" t="n">
        <v>0</v>
      </c>
      <c r="AA116" s="673" t="n">
        <v>0</v>
      </c>
      <c r="AB116" s="673" t="n">
        <v>0</v>
      </c>
      <c r="AC116" s="31" t="inlineStr">
        <is>
          <t>4H</t>
        </is>
      </c>
      <c r="AD116" s="5" t="inlineStr">
        <is>
          <t>4H</t>
        </is>
      </c>
      <c r="AE116" s="62" t="inlineStr">
        <is>
          <t>4H</t>
        </is>
      </c>
      <c r="AF116" s="690" t="n">
        <v>-1.051470588235288</v>
      </c>
      <c r="AG116" s="688" t="n">
        <v>-0.01084160826315298</v>
      </c>
      <c r="AH116" s="691" t="n">
        <v>-0.01084160826315298</v>
      </c>
      <c r="AI116" s="33" t="n">
        <v>0</v>
      </c>
      <c r="AJ116" s="35" t="n">
        <v>0.03535222251104764</v>
      </c>
      <c r="AK116" s="3" t="n"/>
      <c r="AL116" s="3" t="n">
        <v>0.03535222251104764</v>
      </c>
      <c r="AM116" s="39" t="inlineStr"/>
      <c r="AN116" s="35" t="n">
        <v>0.07200415908500138</v>
      </c>
      <c r="AO116" s="3" t="n"/>
      <c r="AP116" s="3" t="n">
        <v>0.07200415908500138</v>
      </c>
      <c r="AQ116" s="39" t="inlineStr"/>
      <c r="AR116" s="27" t="inlineStr">
        <is>
          <t>6H 30M 0S</t>
        </is>
      </c>
      <c r="AS116" s="1" t="inlineStr">
        <is>
          <t>6H 30M 0S</t>
        </is>
      </c>
      <c r="AT116" s="4" t="inlineStr">
        <is>
          <t>6H 30M 0S</t>
        </is>
      </c>
      <c r="AU116" s="4" t="n"/>
      <c r="AV116" s="7" t="inlineStr">
        <is>
          <t>6H 30M 0S</t>
        </is>
      </c>
    </row>
    <row r="117" ht="15" customHeight="1" thickBot="1" thickTop="1">
      <c r="A117" s="10" t="inlineStr">
        <is>
          <t>TROYUSDT</t>
        </is>
      </c>
      <c r="B117" s="12" t="inlineStr">
        <is>
          <t>CRYPTO</t>
        </is>
      </c>
      <c r="C117" s="673" t="n">
        <v>1</v>
      </c>
      <c r="D117" s="674" t="n">
        <v>0</v>
      </c>
      <c r="E117" s="675" t="n">
        <v>1</v>
      </c>
      <c r="F117" s="676" t="n">
        <v>0</v>
      </c>
      <c r="G117" s="677" t="n">
        <v>1</v>
      </c>
      <c r="H117" s="678" t="n">
        <v>0</v>
      </c>
      <c r="I117" s="679" t="n">
        <v>1</v>
      </c>
      <c r="J117" s="680" t="n">
        <v>0</v>
      </c>
      <c r="K117" s="677" t="n">
        <v>0</v>
      </c>
      <c r="L117" s="678" t="n">
        <v>0</v>
      </c>
      <c r="M117" s="679" t="n">
        <v>0</v>
      </c>
      <c r="N117" s="680" t="n">
        <v>0</v>
      </c>
      <c r="O117" s="681" t="n">
        <v>0</v>
      </c>
      <c r="P117" s="681" t="n">
        <v>0</v>
      </c>
      <c r="Q117" s="12" t="n"/>
      <c r="R117" s="28" t="n"/>
      <c r="S117" s="673" t="n">
        <v>0</v>
      </c>
      <c r="T117" s="673" t="n">
        <v>0</v>
      </c>
      <c r="U117" s="677" t="n">
        <v>0</v>
      </c>
      <c r="V117" s="680" t="n">
        <v>1</v>
      </c>
      <c r="W117" s="673" t="n">
        <v>0</v>
      </c>
      <c r="X117" s="673" t="n">
        <v>0</v>
      </c>
      <c r="Y117" s="673" t="n">
        <v>0</v>
      </c>
      <c r="Z117" s="673" t="n">
        <v>0</v>
      </c>
      <c r="AA117" s="673" t="n">
        <v>0</v>
      </c>
      <c r="AB117" s="673" t="n">
        <v>0</v>
      </c>
      <c r="AC117" s="31" t="inlineStr">
        <is>
          <t>1H</t>
        </is>
      </c>
      <c r="AD117" s="5" t="inlineStr">
        <is>
          <t>1H</t>
        </is>
      </c>
      <c r="AE117" s="62" t="inlineStr">
        <is>
          <t>1H</t>
        </is>
      </c>
      <c r="AF117" s="690" t="n">
        <v>-0.5024561403508778</v>
      </c>
      <c r="AG117" s="688" t="n">
        <v>-0.004426242145161033</v>
      </c>
      <c r="AH117" s="691" t="n">
        <v>-0.004426242145161033</v>
      </c>
      <c r="AI117" s="33" t="n">
        <v>0</v>
      </c>
      <c r="AJ117" s="35" t="n">
        <v>0.05257138640891326</v>
      </c>
      <c r="AK117" s="3" t="n"/>
      <c r="AL117" s="3" t="n">
        <v>0.05257138640891326</v>
      </c>
      <c r="AM117" s="39" t="inlineStr"/>
      <c r="AN117" s="35" t="n">
        <v>0.1067660296613296</v>
      </c>
      <c r="AO117" s="3" t="n"/>
      <c r="AP117" s="3" t="n">
        <v>0.1067660296613296</v>
      </c>
      <c r="AQ117" s="39" t="inlineStr"/>
      <c r="AR117" s="27" t="inlineStr">
        <is>
          <t>5H 45M 0S</t>
        </is>
      </c>
      <c r="AS117" s="1" t="inlineStr">
        <is>
          <t>5H 45M 0S</t>
        </is>
      </c>
      <c r="AT117" s="4" t="inlineStr">
        <is>
          <t>5H 45M 0S</t>
        </is>
      </c>
      <c r="AU117" s="4" t="n"/>
      <c r="AV117" s="7" t="inlineStr">
        <is>
          <t>5H 45M 0S</t>
        </is>
      </c>
    </row>
    <row r="118" ht="15" customHeight="1" thickBot="1" thickTop="1">
      <c r="A118" s="10" t="inlineStr">
        <is>
          <t>VGXUSDT</t>
        </is>
      </c>
      <c r="B118" s="12" t="inlineStr">
        <is>
          <t>CRYPTO</t>
        </is>
      </c>
      <c r="C118" s="673" t="n">
        <v>1</v>
      </c>
      <c r="D118" s="674" t="n">
        <v>0</v>
      </c>
      <c r="E118" s="675" t="n">
        <v>1</v>
      </c>
      <c r="F118" s="676" t="n">
        <v>0</v>
      </c>
      <c r="G118" s="677" t="n">
        <v>1</v>
      </c>
      <c r="H118" s="678" t="n">
        <v>0</v>
      </c>
      <c r="I118" s="679" t="n">
        <v>1</v>
      </c>
      <c r="J118" s="680" t="n">
        <v>0</v>
      </c>
      <c r="K118" s="677" t="n">
        <v>0</v>
      </c>
      <c r="L118" s="678" t="n">
        <v>0</v>
      </c>
      <c r="M118" s="679" t="n">
        <v>0</v>
      </c>
      <c r="N118" s="680" t="n">
        <v>0</v>
      </c>
      <c r="O118" s="681" t="n">
        <v>0</v>
      </c>
      <c r="P118" s="681" t="n">
        <v>0</v>
      </c>
      <c r="Q118" s="12" t="inlineStr">
        <is>
          <t>channel</t>
        </is>
      </c>
      <c r="R118" s="28" t="n"/>
      <c r="S118" s="673" t="n">
        <v>0</v>
      </c>
      <c r="T118" s="673" t="n">
        <v>0</v>
      </c>
      <c r="U118" s="677" t="n">
        <v>1</v>
      </c>
      <c r="V118" s="680" t="n">
        <v>0</v>
      </c>
      <c r="W118" s="673" t="n">
        <v>0</v>
      </c>
      <c r="X118" s="673" t="n">
        <v>1</v>
      </c>
      <c r="Y118" s="673" t="n">
        <v>0</v>
      </c>
      <c r="Z118" s="673" t="n">
        <v>0</v>
      </c>
      <c r="AA118" s="673" t="n">
        <v>0</v>
      </c>
      <c r="AB118" s="673" t="n">
        <v>0</v>
      </c>
      <c r="AC118" s="31" t="inlineStr">
        <is>
          <t>15MIN</t>
        </is>
      </c>
      <c r="AD118" s="5" t="inlineStr">
        <is>
          <t>15MIN</t>
        </is>
      </c>
      <c r="AE118" s="62" t="inlineStr">
        <is>
          <t>15MIN</t>
        </is>
      </c>
      <c r="AF118" s="690" t="n">
        <v>-1.257142857142857</v>
      </c>
      <c r="AG118" s="688" t="n">
        <v>-0.01294935564357355</v>
      </c>
      <c r="AH118" s="691" t="n">
        <v>-0.01294935564357355</v>
      </c>
      <c r="AI118" s="33" t="n">
        <v>0</v>
      </c>
      <c r="AJ118" s="35" t="n">
        <v>0.04220681338558933</v>
      </c>
      <c r="AK118" s="3" t="n"/>
      <c r="AL118" s="3" t="n">
        <v>0.04220681338558933</v>
      </c>
      <c r="AM118" s="39" t="inlineStr"/>
      <c r="AN118" s="35" t="n">
        <v>0.1061199879409105</v>
      </c>
      <c r="AO118" s="3" t="n"/>
      <c r="AP118" s="3" t="n">
        <v>0.1061199879409105</v>
      </c>
      <c r="AQ118" s="39" t="inlineStr"/>
      <c r="AR118" s="27" t="inlineStr">
        <is>
          <t>1H 29M 0S</t>
        </is>
      </c>
      <c r="AS118" s="1" t="inlineStr">
        <is>
          <t>1H 29M 0S</t>
        </is>
      </c>
      <c r="AT118" s="4" t="inlineStr">
        <is>
          <t>1H 29M 0S</t>
        </is>
      </c>
      <c r="AU118" s="4" t="n"/>
      <c r="AV118" s="7" t="inlineStr">
        <is>
          <t>1H 29M 0S</t>
        </is>
      </c>
    </row>
    <row r="119" ht="15" customHeight="1" thickBot="1" thickTop="1">
      <c r="A119" s="10" t="inlineStr">
        <is>
          <t>WOOUSDT</t>
        </is>
      </c>
      <c r="B119" s="12" t="inlineStr">
        <is>
          <t>CRYPTO</t>
        </is>
      </c>
      <c r="C119" s="673" t="n">
        <v>1</v>
      </c>
      <c r="D119" s="674" t="n">
        <v>0</v>
      </c>
      <c r="E119" s="675" t="n">
        <v>1</v>
      </c>
      <c r="F119" s="676" t="n">
        <v>0</v>
      </c>
      <c r="G119" s="677" t="n">
        <v>0</v>
      </c>
      <c r="H119" s="678" t="n">
        <v>0</v>
      </c>
      <c r="I119" s="679" t="n">
        <v>0</v>
      </c>
      <c r="J119" s="680" t="n">
        <v>0</v>
      </c>
      <c r="K119" s="677" t="n">
        <v>1</v>
      </c>
      <c r="L119" s="678" t="n">
        <v>0</v>
      </c>
      <c r="M119" s="679" t="n">
        <v>1</v>
      </c>
      <c r="N119" s="680" t="n">
        <v>0</v>
      </c>
      <c r="O119" s="681" t="n">
        <v>0</v>
      </c>
      <c r="P119" s="681" t="n">
        <v>0</v>
      </c>
      <c r="Q119" s="28" t="n"/>
      <c r="R119" s="28" t="n"/>
      <c r="S119" s="673" t="n">
        <v>0</v>
      </c>
      <c r="T119" s="673" t="n">
        <v>0</v>
      </c>
      <c r="U119" s="677" t="n">
        <v>0</v>
      </c>
      <c r="V119" s="680" t="n">
        <v>1</v>
      </c>
      <c r="W119" s="673" t="n">
        <v>0</v>
      </c>
      <c r="X119" s="673" t="n">
        <v>0</v>
      </c>
      <c r="Y119" s="673" t="n">
        <v>0</v>
      </c>
      <c r="Z119" s="673" t="n">
        <v>0</v>
      </c>
      <c r="AA119" s="673" t="n">
        <v>0</v>
      </c>
      <c r="AB119" s="673" t="n">
        <v>1</v>
      </c>
      <c r="AC119" s="31" t="inlineStr">
        <is>
          <t>5MIN</t>
        </is>
      </c>
      <c r="AD119" s="5" t="inlineStr">
        <is>
          <t>5MIN</t>
        </is>
      </c>
      <c r="AE119" s="62" t="inlineStr">
        <is>
          <t>5MIN</t>
        </is>
      </c>
      <c r="AF119" s="690" t="n">
        <v>-1.01136363636366</v>
      </c>
      <c r="AG119" s="688" t="n">
        <v>-0.005375514937688414</v>
      </c>
      <c r="AH119" s="691" t="n">
        <v>-0.005375514937688414</v>
      </c>
      <c r="AI119" s="33" t="n">
        <v>0</v>
      </c>
      <c r="AJ119" s="35" t="n">
        <v>0.007119165116090865</v>
      </c>
      <c r="AK119" s="3" t="n"/>
      <c r="AL119" s="3" t="n">
        <v>0.007119165116090865</v>
      </c>
      <c r="AM119" s="39" t="inlineStr"/>
      <c r="AN119" s="35" t="n">
        <v>0.02281368821292776</v>
      </c>
      <c r="AO119" s="3" t="n"/>
      <c r="AP119" s="3" t="n">
        <v>0.02281368821292776</v>
      </c>
      <c r="AQ119" s="39" t="inlineStr"/>
      <c r="AR119" s="27" t="inlineStr">
        <is>
          <t>6M 0S</t>
        </is>
      </c>
      <c r="AS119" s="1" t="inlineStr">
        <is>
          <t>6M 0S</t>
        </is>
      </c>
      <c r="AT119" s="4" t="inlineStr">
        <is>
          <t>6M 0S</t>
        </is>
      </c>
      <c r="AU119" s="4" t="n"/>
      <c r="AV119" s="7" t="inlineStr">
        <is>
          <t>6M 0S</t>
        </is>
      </c>
    </row>
    <row r="120" ht="15" customHeight="1" thickBot="1" thickTop="1">
      <c r="A120" s="10" t="inlineStr">
        <is>
          <t>XEMUSDT</t>
        </is>
      </c>
      <c r="B120" s="12" t="inlineStr">
        <is>
          <t>CRYPTO</t>
        </is>
      </c>
      <c r="C120" s="673" t="n">
        <v>1</v>
      </c>
      <c r="D120" s="674" t="n">
        <v>0</v>
      </c>
      <c r="E120" s="675" t="n">
        <v>1</v>
      </c>
      <c r="F120" s="676" t="n">
        <v>0</v>
      </c>
      <c r="G120" s="677" t="n">
        <v>1</v>
      </c>
      <c r="H120" s="678" t="n">
        <v>0</v>
      </c>
      <c r="I120" s="679" t="n">
        <v>1</v>
      </c>
      <c r="J120" s="680" t="n">
        <v>0</v>
      </c>
      <c r="K120" s="677" t="n">
        <v>0</v>
      </c>
      <c r="L120" s="678" t="n">
        <v>0</v>
      </c>
      <c r="M120" s="679" t="n">
        <v>0</v>
      </c>
      <c r="N120" s="680" t="n">
        <v>0</v>
      </c>
      <c r="O120" s="681" t="n">
        <v>0</v>
      </c>
      <c r="P120" s="681" t="n">
        <v>0</v>
      </c>
      <c r="Q120" s="28" t="n"/>
      <c r="R120" s="28" t="n"/>
      <c r="S120" s="673" t="n">
        <v>0</v>
      </c>
      <c r="T120" s="673" t="n">
        <v>0</v>
      </c>
      <c r="U120" s="677" t="n">
        <v>0</v>
      </c>
      <c r="V120" s="680" t="n">
        <v>1</v>
      </c>
      <c r="W120" s="673" t="n">
        <v>0</v>
      </c>
      <c r="X120" s="673" t="n">
        <v>0</v>
      </c>
      <c r="Y120" s="673" t="n">
        <v>0</v>
      </c>
      <c r="Z120" s="673" t="n">
        <v>0</v>
      </c>
      <c r="AA120" s="673" t="n">
        <v>0</v>
      </c>
      <c r="AB120" s="673" t="n">
        <v>0</v>
      </c>
      <c r="AC120" s="31" t="inlineStr">
        <is>
          <t>DAILY</t>
        </is>
      </c>
      <c r="AD120" s="5" t="inlineStr">
        <is>
          <t>DAILY</t>
        </is>
      </c>
      <c r="AE120" s="62" t="inlineStr">
        <is>
          <t>DAILY</t>
        </is>
      </c>
      <c r="AF120" s="690" t="n">
        <v>-1.012195121951218</v>
      </c>
      <c r="AG120" s="688" t="n">
        <v>-0.005062428232975411</v>
      </c>
      <c r="AH120" s="691" t="n">
        <v>-0.005062428232975411</v>
      </c>
      <c r="AI120" s="33" t="n">
        <v>0</v>
      </c>
      <c r="AJ120" s="35" t="n">
        <v>0.06029411764705891</v>
      </c>
      <c r="AK120" s="3" t="n"/>
      <c r="AL120" s="3" t="n">
        <v>0.06029411764705891</v>
      </c>
      <c r="AM120" s="39" t="inlineStr"/>
      <c r="AN120" s="35" t="n">
        <v>0.1963235294117647</v>
      </c>
      <c r="AO120" s="3" t="n"/>
      <c r="AP120" s="3" t="n">
        <v>0.1963235294117647</v>
      </c>
      <c r="AQ120" s="39" t="inlineStr"/>
      <c r="AR120" s="27" t="inlineStr">
        <is>
          <t>57M 0S</t>
        </is>
      </c>
      <c r="AS120" s="1" t="inlineStr">
        <is>
          <t>57M 0S</t>
        </is>
      </c>
      <c r="AT120" s="4" t="inlineStr">
        <is>
          <t>57M 0S</t>
        </is>
      </c>
      <c r="AU120" s="4" t="n"/>
      <c r="AV120" s="7" t="inlineStr">
        <is>
          <t>57M 0S</t>
        </is>
      </c>
    </row>
    <row r="121" ht="15" customHeight="1" thickBot="1" thickTop="1">
      <c r="A121" s="10" t="inlineStr">
        <is>
          <t>YFIUSDT</t>
        </is>
      </c>
      <c r="B121" s="12" t="inlineStr">
        <is>
          <t>CRYPTO</t>
        </is>
      </c>
      <c r="C121" s="673" t="n">
        <v>1</v>
      </c>
      <c r="D121" s="674" t="n">
        <v>0</v>
      </c>
      <c r="E121" s="675" t="n">
        <v>1</v>
      </c>
      <c r="F121" s="676" t="n">
        <v>0</v>
      </c>
      <c r="G121" s="677" t="n">
        <v>1</v>
      </c>
      <c r="H121" s="678" t="n">
        <v>0</v>
      </c>
      <c r="I121" s="679" t="n">
        <v>1</v>
      </c>
      <c r="J121" s="680" t="n">
        <v>0</v>
      </c>
      <c r="K121" s="677" t="n">
        <v>0</v>
      </c>
      <c r="L121" s="678" t="n">
        <v>0</v>
      </c>
      <c r="M121" s="679" t="n">
        <v>0</v>
      </c>
      <c r="N121" s="680" t="n">
        <v>0</v>
      </c>
      <c r="O121" s="681" t="n">
        <v>0</v>
      </c>
      <c r="P121" s="681" t="n">
        <v>0</v>
      </c>
      <c r="Q121" s="28" t="n"/>
      <c r="R121" s="28" t="n"/>
      <c r="S121" s="673" t="n">
        <v>0</v>
      </c>
      <c r="T121" s="673" t="n">
        <v>0</v>
      </c>
      <c r="U121" s="677" t="n">
        <v>0</v>
      </c>
      <c r="V121" s="680" t="n">
        <v>1</v>
      </c>
      <c r="W121" s="673" t="n">
        <v>0</v>
      </c>
      <c r="X121" s="673" t="n">
        <v>0</v>
      </c>
      <c r="Y121" s="673" t="n">
        <v>0</v>
      </c>
      <c r="Z121" s="673" t="n">
        <v>0</v>
      </c>
      <c r="AA121" s="673" t="n">
        <v>0</v>
      </c>
      <c r="AB121" s="673" t="n">
        <v>0</v>
      </c>
      <c r="AC121" s="31" t="inlineStr">
        <is>
          <t>4H</t>
        </is>
      </c>
      <c r="AD121" s="5" t="inlineStr">
        <is>
          <t>4H</t>
        </is>
      </c>
      <c r="AE121" s="62" t="inlineStr">
        <is>
          <t>4H</t>
        </is>
      </c>
      <c r="AF121" s="690" t="n">
        <v>-1</v>
      </c>
      <c r="AG121" s="688" t="n">
        <v>-0.009006893341813017</v>
      </c>
      <c r="AH121" s="691" t="n">
        <v>-0.009006893341813017</v>
      </c>
      <c r="AI121" s="33" t="n">
        <v>0</v>
      </c>
      <c r="AJ121" s="35" t="n">
        <v>0.1186700966920747</v>
      </c>
      <c r="AK121" s="3" t="n"/>
      <c r="AL121" s="3" t="n">
        <v>0.1186700966920747</v>
      </c>
      <c r="AM121" s="39" t="inlineStr"/>
      <c r="AN121" s="35" t="n">
        <v>0.3579869458990337</v>
      </c>
      <c r="AO121" s="3" t="n"/>
      <c r="AP121" s="3" t="n">
        <v>0.3579869458990337</v>
      </c>
      <c r="AQ121" s="39" t="inlineStr"/>
      <c r="AR121" s="27" t="inlineStr">
        <is>
          <t>3D 15H 32M 0S</t>
        </is>
      </c>
      <c r="AS121" s="1" t="inlineStr">
        <is>
          <t>3D 15H 32M 0S</t>
        </is>
      </c>
      <c r="AT121" s="4" t="inlineStr">
        <is>
          <t>3D 15H 32M 0S</t>
        </is>
      </c>
      <c r="AU121" s="4" t="n"/>
      <c r="AV121" s="7" t="inlineStr">
        <is>
          <t>3D 15H 32M 0S</t>
        </is>
      </c>
    </row>
    <row r="122" ht="15" customHeight="1" thickBot="1" thickTop="1">
      <c r="A122" s="10" t="inlineStr">
        <is>
          <t>ZBCNUSDT</t>
        </is>
      </c>
      <c r="B122" s="13" t="inlineStr">
        <is>
          <t>CRYPTO</t>
        </is>
      </c>
      <c r="C122" s="697" t="n">
        <v>1</v>
      </c>
      <c r="D122" s="698" t="n">
        <v>1</v>
      </c>
      <c r="E122" s="699" t="n">
        <v>0</v>
      </c>
      <c r="F122" s="700" t="n">
        <v>0</v>
      </c>
      <c r="G122" s="701" t="n">
        <v>1</v>
      </c>
      <c r="H122" s="702" t="n">
        <v>1</v>
      </c>
      <c r="I122" s="703" t="n">
        <v>0</v>
      </c>
      <c r="J122" s="704" t="n">
        <v>0</v>
      </c>
      <c r="K122" s="701" t="n">
        <v>0</v>
      </c>
      <c r="L122" s="702" t="n">
        <v>0</v>
      </c>
      <c r="M122" s="703" t="n">
        <v>0</v>
      </c>
      <c r="N122" s="704" t="n">
        <v>0</v>
      </c>
      <c r="O122" s="705" t="n">
        <v>0</v>
      </c>
      <c r="P122" s="705" t="n">
        <v>0</v>
      </c>
      <c r="Q122" s="29" t="n"/>
      <c r="R122" s="29" t="n"/>
      <c r="S122" s="697" t="n">
        <v>0</v>
      </c>
      <c r="T122" s="697" t="n">
        <v>0</v>
      </c>
      <c r="U122" s="701" t="n">
        <v>0</v>
      </c>
      <c r="V122" s="704" t="n">
        <v>0</v>
      </c>
      <c r="W122" s="697" t="n">
        <v>0</v>
      </c>
      <c r="X122" s="697" t="n">
        <v>0</v>
      </c>
      <c r="Y122" s="697" t="n">
        <v>0</v>
      </c>
      <c r="Z122" s="697" t="n">
        <v>0</v>
      </c>
      <c r="AA122" s="697" t="n">
        <v>0</v>
      </c>
      <c r="AB122" s="697" t="n">
        <v>0</v>
      </c>
      <c r="AC122" s="32" t="n"/>
      <c r="AD122" s="67" t="n"/>
      <c r="AE122" s="68" t="n"/>
      <c r="AF122" s="706" t="n">
        <v>2.000000000000004</v>
      </c>
      <c r="AG122" s="707" t="n">
        <v>0.01803155812460047</v>
      </c>
      <c r="AH122" s="708" t="n">
        <v>0.01803155812460047</v>
      </c>
      <c r="AI122" s="34" t="n">
        <v>1</v>
      </c>
      <c r="AJ122" s="37" t="n">
        <v>0.03728616990432009</v>
      </c>
      <c r="AK122" s="38" t="n">
        <v>0.03728616990432009</v>
      </c>
      <c r="AL122" s="38" t="n"/>
      <c r="AM122" s="40" t="inlineStr"/>
      <c r="AN122" s="37" t="n">
        <v>0.07457233980864031</v>
      </c>
      <c r="AO122" s="38" t="n">
        <v>0.07457233980864031</v>
      </c>
      <c r="AP122" s="38" t="n"/>
      <c r="AQ122" s="40" t="inlineStr"/>
      <c r="AR122" s="30" t="inlineStr">
        <is>
          <t>40M 0S</t>
        </is>
      </c>
      <c r="AS122" s="2" t="inlineStr">
        <is>
          <t>40M 0S</t>
        </is>
      </c>
      <c r="AT122" s="8" t="inlineStr">
        <is>
          <t>40M 0S</t>
        </is>
      </c>
      <c r="AU122" s="8" t="inlineStr">
        <is>
          <t>40M 0S</t>
        </is>
      </c>
      <c r="AV122" s="69" t="n"/>
    </row>
    <row r="123" ht="15" customHeight="1" thickTop="1">
      <c r="A123" t="inlineStr">
        <is>
          <t>LUMIAUSDT</t>
        </is>
      </c>
      <c r="B123" t="inlineStr">
        <is>
          <t>CRYPTO</t>
        </is>
      </c>
      <c r="C123" s="709" t="n">
        <v>1</v>
      </c>
      <c r="D123" s="710" t="n">
        <v>0</v>
      </c>
      <c r="E123" s="711" t="n">
        <v>1</v>
      </c>
      <c r="F123" s="709" t="n">
        <v>0</v>
      </c>
      <c r="G123" s="709" t="n">
        <v>0</v>
      </c>
      <c r="H123" s="710" t="n">
        <v>0</v>
      </c>
      <c r="I123" s="711" t="n">
        <v>0</v>
      </c>
      <c r="J123" s="709" t="n">
        <v>0</v>
      </c>
      <c r="K123" s="709" t="n">
        <v>1</v>
      </c>
      <c r="L123" s="710" t="n">
        <v>0</v>
      </c>
      <c r="M123" s="711" t="n">
        <v>1</v>
      </c>
      <c r="N123" s="709" t="n">
        <v>0</v>
      </c>
      <c r="O123" s="709" t="n">
        <v>0</v>
      </c>
      <c r="P123" s="709" t="n">
        <v>0</v>
      </c>
      <c r="S123" s="709" t="n">
        <v>0</v>
      </c>
      <c r="T123" s="709" t="n">
        <v>0</v>
      </c>
      <c r="U123" s="709" t="n">
        <v>1</v>
      </c>
      <c r="V123" s="709" t="n">
        <v>0</v>
      </c>
      <c r="W123" s="709" t="n">
        <v>0</v>
      </c>
      <c r="X123" s="709" t="n">
        <v>0</v>
      </c>
      <c r="Y123" s="709" t="n">
        <v>0</v>
      </c>
      <c r="Z123" s="709" t="n">
        <v>0</v>
      </c>
      <c r="AA123" s="709" t="n">
        <v>0</v>
      </c>
      <c r="AB123" s="709" t="n">
        <v>0</v>
      </c>
      <c r="AC123" t="inlineStr">
        <is>
          <t>5MIN</t>
        </is>
      </c>
      <c r="AD123" s="279" t="inlineStr">
        <is>
          <t>5MIN</t>
        </is>
      </c>
      <c r="AE123" s="279" t="inlineStr">
        <is>
          <t>5MIN</t>
        </is>
      </c>
      <c r="AF123" s="712" t="n">
        <v>-1.000874125874127</v>
      </c>
      <c r="AG123" s="713" t="n">
        <v>-0.009317283459399854</v>
      </c>
      <c r="AH123" s="713" t="n">
        <v>-0.009317283459399854</v>
      </c>
      <c r="AI123" s="143" t="n">
        <v>0</v>
      </c>
      <c r="AJ123" s="143" t="n">
        <v>0.0739161336176262</v>
      </c>
      <c r="AK123" s="143" t="n"/>
      <c r="AL123" s="143" t="n">
        <v>0.0739161336176262</v>
      </c>
      <c r="AM123" s="259" t="inlineStr"/>
      <c r="AN123" s="143" t="n">
        <v>0.2492731149447567</v>
      </c>
      <c r="AO123" s="143" t="n"/>
      <c r="AP123" s="143" t="n">
        <v>0.2492731149447567</v>
      </c>
      <c r="AQ123" s="259" t="inlineStr"/>
      <c r="AR123" t="inlineStr">
        <is>
          <t>1H 23M 10S</t>
        </is>
      </c>
      <c r="AS123" t="inlineStr">
        <is>
          <t>1H 23M 10S</t>
        </is>
      </c>
      <c r="AT123" t="inlineStr">
        <is>
          <t>1H 23M 10S</t>
        </is>
      </c>
      <c r="AV123" t="inlineStr">
        <is>
          <t>1H 23M 10S</t>
        </is>
      </c>
    </row>
    <row r="124">
      <c r="A124" t="inlineStr">
        <is>
          <t>QUSDT</t>
        </is>
      </c>
      <c r="B124" t="inlineStr">
        <is>
          <t>CRYPTO</t>
        </is>
      </c>
      <c r="C124" s="709" t="n">
        <v>2</v>
      </c>
      <c r="D124" s="714" t="n">
        <v>0</v>
      </c>
      <c r="E124" s="715" t="n">
        <v>2</v>
      </c>
      <c r="F124" s="709" t="n">
        <v>0</v>
      </c>
      <c r="G124" s="709" t="n">
        <v>2</v>
      </c>
      <c r="H124" s="714" t="n">
        <v>0</v>
      </c>
      <c r="I124" s="715" t="n">
        <v>2</v>
      </c>
      <c r="J124" s="709" t="n">
        <v>0</v>
      </c>
      <c r="K124" s="709" t="n">
        <v>0</v>
      </c>
      <c r="L124" s="714" t="n">
        <v>0</v>
      </c>
      <c r="M124" s="715" t="n">
        <v>0</v>
      </c>
      <c r="N124" s="709" t="n">
        <v>0</v>
      </c>
      <c r="O124" s="709" t="n">
        <v>0</v>
      </c>
      <c r="P124" s="709" t="n">
        <v>0</v>
      </c>
      <c r="Q124" t="inlineStr">
        <is>
          <t>range</t>
        </is>
      </c>
      <c r="S124" s="709" t="n">
        <v>1</v>
      </c>
      <c r="T124" s="709" t="n">
        <v>0</v>
      </c>
      <c r="U124" s="709" t="n">
        <v>1</v>
      </c>
      <c r="V124" s="709" t="n">
        <v>1</v>
      </c>
      <c r="W124" s="709" t="n">
        <v>1</v>
      </c>
      <c r="X124" s="709" t="n">
        <v>0</v>
      </c>
      <c r="Y124" s="709" t="n">
        <v>0</v>
      </c>
      <c r="Z124" s="709" t="n">
        <v>0</v>
      </c>
      <c r="AA124" s="709" t="n">
        <v>0</v>
      </c>
      <c r="AB124" s="709" t="n">
        <v>0</v>
      </c>
      <c r="AC124" t="inlineStr">
        <is>
          <t>5MIN</t>
        </is>
      </c>
      <c r="AD124" s="279" t="inlineStr">
        <is>
          <t>5MIN</t>
        </is>
      </c>
      <c r="AE124" s="279" t="inlineStr">
        <is>
          <t>5MIN</t>
        </is>
      </c>
      <c r="AF124" s="712" t="n">
        <v>-1.922126139835858</v>
      </c>
      <c r="AG124" s="713" t="n">
        <v>-0.0184924574160432</v>
      </c>
      <c r="AH124" s="713" t="n">
        <v>-0.0092462287080216</v>
      </c>
      <c r="AI124" s="143" t="n">
        <v>0</v>
      </c>
      <c r="AJ124" s="143" t="n">
        <v>0.09412600097445825</v>
      </c>
      <c r="AK124" s="143" t="n"/>
      <c r="AL124" s="143" t="n">
        <v>0.09412600097445825</v>
      </c>
      <c r="AM124" s="259" t="inlineStr"/>
      <c r="AN124" s="143" t="n">
        <v>0.3109726125583008</v>
      </c>
      <c r="AO124" s="143" t="n"/>
      <c r="AP124" s="143" t="n">
        <v>0.3109726125583008</v>
      </c>
      <c r="AQ124" s="259" t="inlineStr"/>
      <c r="AR124" t="inlineStr">
        <is>
          <t>21S</t>
        </is>
      </c>
      <c r="AS124" t="inlineStr">
        <is>
          <t>5M 5S</t>
        </is>
      </c>
      <c r="AT124" t="inlineStr">
        <is>
          <t>9M 49S</t>
        </is>
      </c>
      <c r="AV124" t="inlineStr">
        <is>
          <t>5M 5S</t>
        </is>
      </c>
    </row>
  </sheetData>
  <autoFilter ref="A2:AV123"/>
  <mergeCells count="28">
    <mergeCell ref="AU1:AU2"/>
    <mergeCell ref="C1:C2"/>
    <mergeCell ref="E1:E2"/>
    <mergeCell ref="K1:K2"/>
    <mergeCell ref="AJ1:AM1"/>
    <mergeCell ref="M1:M2"/>
    <mergeCell ref="O1:O2"/>
    <mergeCell ref="Q1:Q2"/>
    <mergeCell ref="B1:B2"/>
    <mergeCell ref="L1:L2"/>
    <mergeCell ref="N1:N2"/>
    <mergeCell ref="T1:T2"/>
    <mergeCell ref="G1:G2"/>
    <mergeCell ref="I1:I2"/>
    <mergeCell ref="AN1:AQ1"/>
    <mergeCell ref="AR1:AR2"/>
    <mergeCell ref="AT1:AT2"/>
    <mergeCell ref="S1:S2"/>
    <mergeCell ref="AV1:AV2"/>
    <mergeCell ref="U1:V1"/>
    <mergeCell ref="D1:D2"/>
    <mergeCell ref="R1:R2"/>
    <mergeCell ref="F1:F2"/>
    <mergeCell ref="H1:H2"/>
    <mergeCell ref="J1:J2"/>
    <mergeCell ref="P1:P2"/>
    <mergeCell ref="AS1:AS2"/>
    <mergeCell ref="A1:A2"/>
  </mergeCells>
  <conditionalFormatting sqref="AF3:AF124">
    <cfRule type="cellIs" priority="3" operator="greaterThan" dxfId="11">
      <formula>0</formula>
    </cfRule>
    <cfRule type="cellIs" priority="4" operator="lessThan" dxfId="12">
      <formula>0</formula>
    </cfRule>
  </conditionalFormatting>
  <conditionalFormatting sqref="AG3:AH124">
    <cfRule type="cellIs" priority="5" operator="greaterThan" dxfId="11">
      <formula>0</formula>
    </cfRule>
    <cfRule type="cellIs" priority="6" operator="lessThan" dxfId="12">
      <formula>0</formula>
    </cfRule>
  </conditionalFormatting>
  <hyperlinks>
    <hyperlink xmlns:r="http://schemas.openxmlformats.org/officeDocument/2006/relationships" ref="AM3" r:id="rId1"/>
    <hyperlink xmlns:r="http://schemas.openxmlformats.org/officeDocument/2006/relationships" ref="AQ3" r:id="rId2"/>
    <hyperlink xmlns:r="http://schemas.openxmlformats.org/officeDocument/2006/relationships" ref="AM4" r:id="rId3"/>
    <hyperlink xmlns:r="http://schemas.openxmlformats.org/officeDocument/2006/relationships" ref="AQ4" r:id="rId4"/>
    <hyperlink xmlns:r="http://schemas.openxmlformats.org/officeDocument/2006/relationships" ref="AM5" r:id="rId5"/>
    <hyperlink xmlns:r="http://schemas.openxmlformats.org/officeDocument/2006/relationships" ref="AQ5" r:id="rId6"/>
    <hyperlink xmlns:r="http://schemas.openxmlformats.org/officeDocument/2006/relationships" ref="AM6" r:id="rId7"/>
    <hyperlink xmlns:r="http://schemas.openxmlformats.org/officeDocument/2006/relationships" ref="AQ6" r:id="rId8"/>
    <hyperlink xmlns:r="http://schemas.openxmlformats.org/officeDocument/2006/relationships" ref="AM7" r:id="rId9"/>
    <hyperlink xmlns:r="http://schemas.openxmlformats.org/officeDocument/2006/relationships" ref="AQ7" r:id="rId10"/>
    <hyperlink xmlns:r="http://schemas.openxmlformats.org/officeDocument/2006/relationships" ref="AM8" r:id="rId11"/>
    <hyperlink xmlns:r="http://schemas.openxmlformats.org/officeDocument/2006/relationships" ref="AQ8" r:id="rId12"/>
    <hyperlink xmlns:r="http://schemas.openxmlformats.org/officeDocument/2006/relationships" ref="AM9" r:id="rId13"/>
    <hyperlink xmlns:r="http://schemas.openxmlformats.org/officeDocument/2006/relationships" ref="AQ9" r:id="rId14"/>
    <hyperlink xmlns:r="http://schemas.openxmlformats.org/officeDocument/2006/relationships" ref="AM10" r:id="rId15"/>
    <hyperlink xmlns:r="http://schemas.openxmlformats.org/officeDocument/2006/relationships" ref="AQ10" r:id="rId16"/>
    <hyperlink xmlns:r="http://schemas.openxmlformats.org/officeDocument/2006/relationships" ref="AM11" r:id="rId17"/>
    <hyperlink xmlns:r="http://schemas.openxmlformats.org/officeDocument/2006/relationships" ref="AQ11" r:id="rId18"/>
    <hyperlink xmlns:r="http://schemas.openxmlformats.org/officeDocument/2006/relationships" ref="AM12" r:id="rId19"/>
    <hyperlink xmlns:r="http://schemas.openxmlformats.org/officeDocument/2006/relationships" ref="AQ12" r:id="rId20"/>
    <hyperlink xmlns:r="http://schemas.openxmlformats.org/officeDocument/2006/relationships" ref="AM13" r:id="rId21"/>
    <hyperlink xmlns:r="http://schemas.openxmlformats.org/officeDocument/2006/relationships" ref="AQ13" r:id="rId22"/>
    <hyperlink xmlns:r="http://schemas.openxmlformats.org/officeDocument/2006/relationships" ref="AM14" r:id="rId23"/>
    <hyperlink xmlns:r="http://schemas.openxmlformats.org/officeDocument/2006/relationships" ref="AQ14" r:id="rId24"/>
    <hyperlink xmlns:r="http://schemas.openxmlformats.org/officeDocument/2006/relationships" ref="AM15" r:id="rId25"/>
    <hyperlink xmlns:r="http://schemas.openxmlformats.org/officeDocument/2006/relationships" ref="AQ15" r:id="rId26"/>
    <hyperlink xmlns:r="http://schemas.openxmlformats.org/officeDocument/2006/relationships" ref="AM16" r:id="rId27"/>
    <hyperlink xmlns:r="http://schemas.openxmlformats.org/officeDocument/2006/relationships" ref="AQ16" r:id="rId28"/>
    <hyperlink xmlns:r="http://schemas.openxmlformats.org/officeDocument/2006/relationships" ref="AM17" r:id="rId29"/>
    <hyperlink xmlns:r="http://schemas.openxmlformats.org/officeDocument/2006/relationships" ref="AQ17" r:id="rId30"/>
    <hyperlink xmlns:r="http://schemas.openxmlformats.org/officeDocument/2006/relationships" ref="AM18" r:id="rId31"/>
    <hyperlink xmlns:r="http://schemas.openxmlformats.org/officeDocument/2006/relationships" ref="AQ18" r:id="rId32"/>
    <hyperlink xmlns:r="http://schemas.openxmlformats.org/officeDocument/2006/relationships" ref="AM19" r:id="rId33"/>
    <hyperlink xmlns:r="http://schemas.openxmlformats.org/officeDocument/2006/relationships" ref="AQ19" r:id="rId34"/>
    <hyperlink xmlns:r="http://schemas.openxmlformats.org/officeDocument/2006/relationships" ref="AM20" r:id="rId35"/>
    <hyperlink xmlns:r="http://schemas.openxmlformats.org/officeDocument/2006/relationships" ref="AQ20" r:id="rId36"/>
    <hyperlink xmlns:r="http://schemas.openxmlformats.org/officeDocument/2006/relationships" ref="AM21" r:id="rId37"/>
    <hyperlink xmlns:r="http://schemas.openxmlformats.org/officeDocument/2006/relationships" ref="AQ21" r:id="rId38"/>
    <hyperlink xmlns:r="http://schemas.openxmlformats.org/officeDocument/2006/relationships" ref="AM22" r:id="rId39"/>
    <hyperlink xmlns:r="http://schemas.openxmlformats.org/officeDocument/2006/relationships" ref="AQ22" r:id="rId40"/>
    <hyperlink xmlns:r="http://schemas.openxmlformats.org/officeDocument/2006/relationships" ref="AM23" r:id="rId41"/>
    <hyperlink xmlns:r="http://schemas.openxmlformats.org/officeDocument/2006/relationships" ref="AQ23" r:id="rId42"/>
    <hyperlink xmlns:r="http://schemas.openxmlformats.org/officeDocument/2006/relationships" ref="AM24" r:id="rId43"/>
    <hyperlink xmlns:r="http://schemas.openxmlformats.org/officeDocument/2006/relationships" ref="AQ24" r:id="rId44"/>
    <hyperlink xmlns:r="http://schemas.openxmlformats.org/officeDocument/2006/relationships" ref="AM25" r:id="rId45"/>
    <hyperlink xmlns:r="http://schemas.openxmlformats.org/officeDocument/2006/relationships" ref="AQ25" r:id="rId46"/>
    <hyperlink xmlns:r="http://schemas.openxmlformats.org/officeDocument/2006/relationships" ref="AM27" r:id="rId47"/>
    <hyperlink xmlns:r="http://schemas.openxmlformats.org/officeDocument/2006/relationships" ref="AQ27" r:id="rId48"/>
    <hyperlink xmlns:r="http://schemas.openxmlformats.org/officeDocument/2006/relationships" ref="AM28" r:id="rId49"/>
    <hyperlink xmlns:r="http://schemas.openxmlformats.org/officeDocument/2006/relationships" ref="AQ28" r:id="rId50"/>
    <hyperlink xmlns:r="http://schemas.openxmlformats.org/officeDocument/2006/relationships" ref="AM29" r:id="rId51"/>
    <hyperlink xmlns:r="http://schemas.openxmlformats.org/officeDocument/2006/relationships" ref="AQ29" r:id="rId52"/>
    <hyperlink xmlns:r="http://schemas.openxmlformats.org/officeDocument/2006/relationships" ref="AM31" r:id="rId53"/>
    <hyperlink xmlns:r="http://schemas.openxmlformats.org/officeDocument/2006/relationships" ref="AQ31" r:id="rId54"/>
    <hyperlink xmlns:r="http://schemas.openxmlformats.org/officeDocument/2006/relationships" ref="AM32" r:id="rId55"/>
    <hyperlink xmlns:r="http://schemas.openxmlformats.org/officeDocument/2006/relationships" ref="AQ32" r:id="rId56"/>
    <hyperlink xmlns:r="http://schemas.openxmlformats.org/officeDocument/2006/relationships" ref="AM33" r:id="rId57"/>
    <hyperlink xmlns:r="http://schemas.openxmlformats.org/officeDocument/2006/relationships" ref="AQ33" r:id="rId58"/>
    <hyperlink xmlns:r="http://schemas.openxmlformats.org/officeDocument/2006/relationships" ref="AM34" r:id="rId59"/>
    <hyperlink xmlns:r="http://schemas.openxmlformats.org/officeDocument/2006/relationships" ref="AQ34" r:id="rId60"/>
    <hyperlink xmlns:r="http://schemas.openxmlformats.org/officeDocument/2006/relationships" ref="AM35" r:id="rId61"/>
    <hyperlink xmlns:r="http://schemas.openxmlformats.org/officeDocument/2006/relationships" ref="AQ35" r:id="rId62"/>
    <hyperlink xmlns:r="http://schemas.openxmlformats.org/officeDocument/2006/relationships" ref="AM36" r:id="rId63"/>
    <hyperlink xmlns:r="http://schemas.openxmlformats.org/officeDocument/2006/relationships" ref="AQ36" r:id="rId64"/>
    <hyperlink xmlns:r="http://schemas.openxmlformats.org/officeDocument/2006/relationships" ref="AM38" r:id="rId65"/>
    <hyperlink xmlns:r="http://schemas.openxmlformats.org/officeDocument/2006/relationships" ref="AQ38" r:id="rId66"/>
    <hyperlink xmlns:r="http://schemas.openxmlformats.org/officeDocument/2006/relationships" ref="AM39" r:id="rId67"/>
    <hyperlink xmlns:r="http://schemas.openxmlformats.org/officeDocument/2006/relationships" ref="AQ39" r:id="rId68"/>
    <hyperlink xmlns:r="http://schemas.openxmlformats.org/officeDocument/2006/relationships" ref="AM40" r:id="rId69"/>
    <hyperlink xmlns:r="http://schemas.openxmlformats.org/officeDocument/2006/relationships" ref="AQ40" r:id="rId70"/>
    <hyperlink xmlns:r="http://schemas.openxmlformats.org/officeDocument/2006/relationships" ref="AM56" r:id="rId71"/>
    <hyperlink xmlns:r="http://schemas.openxmlformats.org/officeDocument/2006/relationships" ref="AQ56" r:id="rId72"/>
    <hyperlink xmlns:r="http://schemas.openxmlformats.org/officeDocument/2006/relationships" ref="AM57" r:id="rId73"/>
    <hyperlink xmlns:r="http://schemas.openxmlformats.org/officeDocument/2006/relationships" ref="AQ57" r:id="rId74"/>
    <hyperlink xmlns:r="http://schemas.openxmlformats.org/officeDocument/2006/relationships" ref="AM71" r:id="rId75"/>
    <hyperlink xmlns:r="http://schemas.openxmlformats.org/officeDocument/2006/relationships" ref="AQ71" r:id="rId76"/>
    <hyperlink xmlns:r="http://schemas.openxmlformats.org/officeDocument/2006/relationships" ref="AM72" r:id="rId77"/>
    <hyperlink xmlns:r="http://schemas.openxmlformats.org/officeDocument/2006/relationships" ref="AQ72" r:id="rId7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568"/>
  <sheetViews>
    <sheetView tabSelected="1" workbookViewId="0">
      <pane ySplit="3" topLeftCell="A4" activePane="bottomLeft" state="frozen"/>
      <selection pane="bottomLeft" activeCell="D5" sqref="D5"/>
    </sheetView>
  </sheetViews>
  <sheetFormatPr baseColWidth="8" defaultRowHeight="14.5"/>
  <cols>
    <col width="14" customWidth="1" style="14" min="1" max="1"/>
    <col width="21" customWidth="1" style="19" min="2" max="2"/>
    <col width="21" customWidth="1" style="20" min="3" max="3"/>
    <col width="18" customWidth="1" style="14" min="4" max="4"/>
    <col width="17" customWidth="1" style="14" min="5" max="5"/>
    <col width="13" customWidth="1" style="14" min="6" max="6"/>
    <col width="13" customWidth="1" min="7" max="8"/>
    <col width="21" customWidth="1" min="9" max="9"/>
    <col width="17" customWidth="1" style="19" min="10" max="10"/>
    <col width="23" customWidth="1" style="20" min="11" max="11"/>
    <col width="14" customWidth="1" style="19" min="12" max="12"/>
    <col width="23" customWidth="1" style="20" min="13" max="13"/>
    <col width="21" bestFit="1" customWidth="1" style="14" min="14" max="14"/>
    <col width="21" customWidth="1" style="19" min="15" max="15"/>
    <col width="24" customWidth="1" style="11" min="16" max="16"/>
    <col width="23" customWidth="1" style="20" min="17" max="17"/>
    <col width="19" customWidth="1" style="14" min="18" max="18"/>
    <col width="43" customWidth="1" style="14" min="19" max="19"/>
    <col width="21" customWidth="1" style="19" min="20" max="20"/>
    <col width="16" customWidth="1" style="11" min="21" max="21"/>
    <col width="15" customWidth="1" style="11" min="22" max="22"/>
    <col width="24" customWidth="1" style="11" min="23" max="23"/>
    <col width="24" customWidth="1" style="20" min="24" max="24"/>
    <col width="21" customWidth="1" style="19" min="25" max="25"/>
    <col width="14" customWidth="1" style="11" min="26" max="26"/>
    <col width="15" customWidth="1" style="11" min="27" max="27"/>
    <col width="23" customWidth="1" style="11" min="28" max="28"/>
    <col width="23" customWidth="1" style="20" min="29" max="29"/>
    <col width="13" customWidth="1" style="14" min="30" max="30"/>
    <col width="13" customWidth="1" min="31" max="32"/>
    <col width="14" customWidth="1" style="14" min="33" max="33"/>
    <col width="15" customWidth="1" style="14" min="34" max="34"/>
    <col width="13" customWidth="1" style="14" min="35" max="35"/>
    <col width="14" customWidth="1" style="14" min="36" max="36"/>
    <col width="13" customWidth="1" style="14" min="37" max="37"/>
    <col width="15" customWidth="1" style="14" min="38" max="38"/>
    <col width="20" customWidth="1" style="14" min="39" max="39"/>
    <col width="13" customWidth="1" style="14" min="40" max="40"/>
    <col width="13" customWidth="1" min="41" max="44"/>
    <col width="80" customWidth="1" style="14" min="45" max="45"/>
    <col width="17" customWidth="1" style="14" min="46" max="46"/>
    <col width="22" customWidth="1" style="14" min="47" max="47"/>
    <col width="13" customWidth="1" style="14" min="48" max="48"/>
    <col width="19" customWidth="1" style="14" min="49" max="49"/>
    <col hidden="1" width="80" customWidth="1" style="11" min="50" max="50"/>
  </cols>
  <sheetData>
    <row r="1" ht="24" customHeight="1" thickBot="1">
      <c r="A1" s="601" t="inlineStr">
        <is>
          <t>Trade Number</t>
        </is>
      </c>
      <c r="B1" s="613" t="inlineStr">
        <is>
          <t>Open Time</t>
        </is>
      </c>
      <c r="C1" s="615" t="inlineStr">
        <is>
          <t>Close Time</t>
        </is>
      </c>
      <c r="D1" s="601" t="inlineStr">
        <is>
          <t>Account</t>
        </is>
      </c>
      <c r="E1" s="601" t="inlineStr">
        <is>
          <t>Symbol</t>
        </is>
      </c>
      <c r="F1" s="601" t="inlineStr">
        <is>
          <t>Side</t>
        </is>
      </c>
      <c r="G1" s="601" t="inlineStr">
        <is>
          <t>Qty</t>
        </is>
      </c>
      <c r="H1" s="601" t="inlineStr">
        <is>
          <t>Entry Price</t>
        </is>
      </c>
      <c r="I1" s="601" t="inlineStr">
        <is>
          <t>Exit Price</t>
        </is>
      </c>
      <c r="J1" s="613" t="inlineStr">
        <is>
          <t>Stop Loss Price</t>
        </is>
      </c>
      <c r="K1" s="615" t="inlineStr">
        <is>
          <t>Stop Loss Distance</t>
        </is>
      </c>
      <c r="L1" s="613" t="inlineStr">
        <is>
          <t>Target Price</t>
        </is>
      </c>
      <c r="M1" s="615" t="inlineStr">
        <is>
          <t>Target Distance</t>
        </is>
      </c>
      <c r="N1" s="601" t="inlineStr">
        <is>
          <t>Commission</t>
        </is>
      </c>
      <c r="O1" s="613" t="inlineStr">
        <is>
          <t>Net P/L</t>
        </is>
      </c>
      <c r="P1" s="612" t="inlineStr">
        <is>
          <t>Profit %</t>
        </is>
      </c>
      <c r="Q1" s="615" t="inlineStr">
        <is>
          <t>R-Multiple</t>
        </is>
      </c>
      <c r="R1" s="601" t="inlineStr">
        <is>
          <t>Balance After</t>
        </is>
      </c>
      <c r="S1" s="601" t="inlineStr">
        <is>
          <t>Trade Duration (DD:HH:MM:SS)</t>
        </is>
      </c>
      <c r="T1" s="607" t="inlineStr">
        <is>
          <t>Move to Break-Even</t>
        </is>
      </c>
      <c r="U1" s="608" t="n"/>
      <c r="V1" s="608" t="n"/>
      <c r="W1" s="608" t="n"/>
      <c r="X1" s="609" t="n"/>
      <c r="Y1" s="607" t="inlineStr">
        <is>
          <t>Move to Profit</t>
        </is>
      </c>
      <c r="Z1" s="608" t="n"/>
      <c r="AA1" s="608" t="n"/>
      <c r="AB1" s="608" t="n"/>
      <c r="AC1" s="609" t="n"/>
      <c r="AD1" s="601" t="inlineStr">
        <is>
          <t>Test</t>
        </is>
      </c>
      <c r="AE1" s="601" t="inlineStr">
        <is>
          <t>Pattern</t>
        </is>
      </c>
      <c r="AF1" s="601" t="inlineStr">
        <is>
          <t>EMA</t>
        </is>
      </c>
      <c r="AG1" s="601" t="inlineStr">
        <is>
          <t>VWAP</t>
        </is>
      </c>
      <c r="AH1" s="601" t="inlineStr">
        <is>
          <t>ATHS/ATLS</t>
        </is>
      </c>
      <c r="AI1" s="601" t="inlineStr">
        <is>
          <t>Order</t>
        </is>
      </c>
      <c r="AJ1" s="601" t="inlineStr">
        <is>
          <t>Round Number</t>
        </is>
      </c>
      <c r="AK1" s="601" t="inlineStr">
        <is>
          <t>Spiked Out</t>
        </is>
      </c>
      <c r="AL1" s="601" t="inlineStr">
        <is>
          <t>Close Stopout</t>
        </is>
      </c>
      <c r="AM1" s="601" t="inlineStr">
        <is>
          <t>Near Perfect Entry</t>
        </is>
      </c>
      <c r="AN1" s="601" t="inlineStr">
        <is>
          <t>Near Win</t>
        </is>
      </c>
      <c r="AO1" s="601" t="inlineStr">
        <is>
          <t>Early Close</t>
        </is>
      </c>
      <c r="AP1" s="601" t="inlineStr">
        <is>
          <t>Setup</t>
        </is>
      </c>
      <c r="AQ1" s="601" t="inlineStr">
        <is>
          <t>Timeframe</t>
        </is>
      </c>
      <c r="AR1" s="601" t="inlineStr">
        <is>
          <t>Breakeven</t>
        </is>
      </c>
      <c r="AS1" s="601" t="inlineStr">
        <is>
          <t>Notes</t>
        </is>
      </c>
      <c r="AT1" s="601" t="inlineStr">
        <is>
          <t>Cashflow Amount</t>
        </is>
      </c>
      <c r="AU1" s="601" t="inlineStr">
        <is>
          <t>Cashflow New Balance</t>
        </is>
      </c>
      <c r="AV1" s="601" t="inlineStr">
        <is>
          <t>Currency</t>
        </is>
      </c>
      <c r="AW1" s="601" t="inlineStr">
        <is>
          <t>Row Type</t>
        </is>
      </c>
      <c r="AX1" s="610" t="inlineStr">
        <is>
          <t>Row ID</t>
        </is>
      </c>
    </row>
    <row r="2" ht="15" customHeight="1" thickTop="1">
      <c r="A2" s="14" t="n"/>
      <c r="B2" s="614" t="n"/>
      <c r="C2" s="616" t="n"/>
      <c r="D2" s="14" t="n"/>
      <c r="E2" s="14" t="n"/>
      <c r="F2" s="14" t="n"/>
      <c r="G2" s="14" t="n"/>
      <c r="H2" s="14" t="n"/>
      <c r="I2" s="14" t="n"/>
      <c r="J2" s="614" t="n"/>
      <c r="K2" s="616" t="n"/>
      <c r="L2" s="614" t="n"/>
      <c r="M2" s="616" t="n"/>
      <c r="N2" s="14" t="n"/>
      <c r="O2" s="614" t="n"/>
      <c r="P2" s="604" t="n"/>
      <c r="Q2" s="616" t="n"/>
      <c r="R2" s="14" t="n"/>
      <c r="S2" s="14" t="n"/>
      <c r="T2" s="605" t="inlineStr">
        <is>
          <t>Time</t>
        </is>
      </c>
      <c r="U2" s="603" t="inlineStr">
        <is>
          <t>Duration</t>
        </is>
      </c>
      <c r="V2" s="603" t="inlineStr">
        <is>
          <t>Trigger Price</t>
        </is>
      </c>
      <c r="W2" s="603" t="inlineStr">
        <is>
          <t>Distance From Entry %</t>
        </is>
      </c>
      <c r="X2" s="617" t="inlineStr">
        <is>
          <t>Distance From Exit %</t>
        </is>
      </c>
      <c r="Y2" s="605" t="inlineStr">
        <is>
          <t>Time</t>
        </is>
      </c>
      <c r="Z2" s="603" t="inlineStr">
        <is>
          <t>Duration</t>
        </is>
      </c>
      <c r="AA2" s="603" t="inlineStr">
        <is>
          <t>Trigger Price</t>
        </is>
      </c>
      <c r="AB2" s="603" t="inlineStr">
        <is>
          <t>Distance From Entry %</t>
        </is>
      </c>
      <c r="AC2" s="617" t="inlineStr">
        <is>
          <t>Distance From Exit %</t>
        </is>
      </c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  <c r="AP2" s="14" t="n"/>
      <c r="AQ2" s="14" t="n"/>
      <c r="AR2" s="14" t="n"/>
      <c r="AS2" s="14" t="n"/>
      <c r="AT2" s="14" t="n"/>
      <c r="AU2" s="14" t="n"/>
      <c r="AV2" s="14" t="n"/>
      <c r="AW2" s="14" t="n"/>
      <c r="AX2" s="611" t="n"/>
    </row>
    <row r="3" ht="15" customHeight="1">
      <c r="A3" s="14" t="n"/>
      <c r="B3" s="614" t="n"/>
      <c r="C3" s="616" t="n"/>
      <c r="D3" s="14" t="n"/>
      <c r="E3" s="14" t="n"/>
      <c r="F3" s="14" t="n"/>
      <c r="G3" s="14" t="n"/>
      <c r="H3" s="14" t="n"/>
      <c r="I3" s="14" t="n"/>
      <c r="J3" s="614" t="n"/>
      <c r="K3" s="616" t="n"/>
      <c r="L3" s="614" t="n"/>
      <c r="M3" s="616" t="n"/>
      <c r="N3" s="14" t="n"/>
      <c r="O3" s="614" t="n"/>
      <c r="P3" s="604" t="n"/>
      <c r="Q3" s="616" t="n"/>
      <c r="R3" s="14" t="n"/>
      <c r="S3" s="14" t="n"/>
      <c r="T3" s="606" t="n"/>
      <c r="U3" s="604" t="n"/>
      <c r="V3" s="604" t="n"/>
      <c r="W3" s="604" t="n"/>
      <c r="X3" s="616" t="n"/>
      <c r="Y3" s="606" t="n"/>
      <c r="Z3" s="604" t="n"/>
      <c r="AA3" s="604" t="n"/>
      <c r="AB3" s="604" t="n"/>
      <c r="AC3" s="616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  <c r="AP3" s="14" t="n"/>
      <c r="AQ3" s="14" t="n"/>
      <c r="AR3" s="14" t="n"/>
      <c r="AS3" s="14" t="n"/>
      <c r="AT3" s="14" t="n"/>
      <c r="AU3" s="14" t="n"/>
      <c r="AV3" s="14" t="n"/>
      <c r="AW3" s="14" t="n"/>
      <c r="AX3" s="611" t="n"/>
    </row>
    <row r="4">
      <c r="A4" s="716" t="inlineStr">
        <is>
          <t>C381</t>
        </is>
      </c>
      <c r="B4" s="717" t="n">
        <v>46314.71194444445</v>
      </c>
      <c r="C4" s="718" t="n">
        <v>46314.71876157408</v>
      </c>
      <c r="D4" s="719" t="inlineStr">
        <is>
          <t>Bybit Demo</t>
        </is>
      </c>
      <c r="E4" s="719" t="inlineStr">
        <is>
          <t>QUSDT</t>
        </is>
      </c>
      <c r="F4" s="719" t="inlineStr">
        <is>
          <t>BUY</t>
        </is>
      </c>
      <c r="G4" s="720" t="n">
        <v>190</v>
      </c>
      <c r="H4" s="720" t="n">
        <v>0.13565</v>
      </c>
      <c r="I4" s="720" t="n">
        <v>0.12012</v>
      </c>
      <c r="J4" s="721" t="n">
        <v>0.12011</v>
      </c>
      <c r="K4" s="722" t="n">
        <v>0.1145595281975673</v>
      </c>
      <c r="L4" s="721" t="n">
        <v>0.17492</v>
      </c>
      <c r="M4" s="722" t="n">
        <v>0.2894950239587173</v>
      </c>
      <c r="N4" s="723" t="n">
        <v>0.05345593</v>
      </c>
      <c r="O4" s="724" t="n">
        <v>-3.004155929999998</v>
      </c>
      <c r="P4" s="725" t="n">
        <v>-0.009679813964792238</v>
      </c>
      <c r="Q4" s="726" t="n">
        <v>-0.9993564993564987</v>
      </c>
      <c r="R4" s="727" t="n">
        <v>307.3484955699999</v>
      </c>
      <c r="S4" s="719" t="inlineStr">
        <is>
          <t>9M 49S</t>
        </is>
      </c>
      <c r="T4" s="728" t="n"/>
      <c r="U4" s="729" t="n"/>
      <c r="V4" s="730" t="n"/>
      <c r="W4" s="731" t="n"/>
      <c r="X4" s="732" t="n"/>
      <c r="Y4" s="728" t="n"/>
      <c r="Z4" s="729" t="n"/>
      <c r="AA4" s="730" t="n"/>
      <c r="AB4" s="731" t="n"/>
      <c r="AC4" s="732" t="n"/>
      <c r="AD4" s="719" t="inlineStr">
        <is>
          <t>No</t>
        </is>
      </c>
      <c r="AE4" s="719" t="n"/>
      <c r="AF4" s="733" t="n"/>
      <c r="AG4" s="733" t="n"/>
      <c r="AH4" s="719" t="inlineStr">
        <is>
          <t>All-Time High</t>
        </is>
      </c>
      <c r="AI4" s="719" t="inlineStr">
        <is>
          <t>market</t>
        </is>
      </c>
      <c r="AJ4" s="719" t="n"/>
      <c r="AK4" s="733" t="n"/>
      <c r="AL4" s="733" t="n"/>
      <c r="AM4" s="733" t="n"/>
      <c r="AN4" s="733" t="n"/>
      <c r="AO4" s="733" t="n"/>
      <c r="AP4" s="719" t="inlineStr">
        <is>
          <t>Pullback</t>
        </is>
      </c>
      <c r="AQ4" s="719" t="inlineStr">
        <is>
          <t>5MIN</t>
        </is>
      </c>
      <c r="AR4" s="733" t="n"/>
      <c r="AS4" s="719" t="n"/>
      <c r="AT4" s="719" t="n"/>
      <c r="AU4" s="719" t="n"/>
      <c r="AV4" s="719" t="inlineStr">
        <is>
          <t>USDT</t>
        </is>
      </c>
      <c r="AW4" s="719" t="inlineStr">
        <is>
          <t>trade</t>
        </is>
      </c>
      <c r="AX4" s="734" t="inlineStr">
        <is>
          <t>bybit:demo:trade:QUSDT:9432111bebc70b2f</t>
        </is>
      </c>
    </row>
    <row r="5" ht="15" customHeight="1">
      <c r="A5" s="716" t="inlineStr">
        <is>
          <t>C379</t>
        </is>
      </c>
      <c r="B5" s="717" t="n">
        <v>46313.85978009259</v>
      </c>
      <c r="C5" s="718" t="n">
        <v>46313.86002314815</v>
      </c>
      <c r="D5" s="719" t="inlineStr">
        <is>
          <t>Bybit Demo</t>
        </is>
      </c>
      <c r="E5" s="719" t="inlineStr">
        <is>
          <t>QUSDT</t>
        </is>
      </c>
      <c r="F5" s="719" t="inlineStr">
        <is>
          <t>BUY</t>
        </is>
      </c>
      <c r="G5" s="720" t="n">
        <v>390</v>
      </c>
      <c r="H5" s="720" t="n">
        <v>0.10191</v>
      </c>
      <c r="I5" s="735" t="n">
        <v>0.09498000000000001</v>
      </c>
      <c r="J5" s="736" t="n">
        <v>0.0944</v>
      </c>
      <c r="K5" s="722" t="n">
        <v>0.07369247375134926</v>
      </c>
      <c r="L5" s="721" t="n">
        <v>0.13579</v>
      </c>
      <c r="M5" s="722" t="n">
        <v>0.3324502011578843</v>
      </c>
      <c r="N5" s="723" t="n">
        <v>0.05664437999999999</v>
      </c>
      <c r="O5" s="724" t="n">
        <v>-2.75934438</v>
      </c>
      <c r="P5" s="725" t="n">
        <v>-0.008812643451250962</v>
      </c>
      <c r="Q5" s="726" t="n">
        <v>-0.9227696404793594</v>
      </c>
      <c r="R5" s="727" t="n">
        <v>310.3526514999999</v>
      </c>
      <c r="S5" s="719" t="inlineStr">
        <is>
          <t>21S</t>
        </is>
      </c>
      <c r="T5" s="728" t="n"/>
      <c r="U5" s="729" t="n"/>
      <c r="V5" s="730" t="n"/>
      <c r="W5" s="731" t="n"/>
      <c r="X5" s="732" t="n"/>
      <c r="Y5" s="728" t="n"/>
      <c r="Z5" s="729" t="n"/>
      <c r="AA5" s="730" t="n"/>
      <c r="AB5" s="731" t="n"/>
      <c r="AC5" s="732" t="n"/>
      <c r="AD5" s="719" t="inlineStr">
        <is>
          <t>No</t>
        </is>
      </c>
      <c r="AE5" s="719" t="inlineStr">
        <is>
          <t>range</t>
        </is>
      </c>
      <c r="AF5" s="733" t="n"/>
      <c r="AG5" s="733" t="n"/>
      <c r="AH5" s="733" t="n"/>
      <c r="AI5" s="719" t="inlineStr">
        <is>
          <t>limit</t>
        </is>
      </c>
      <c r="AJ5" s="719" t="inlineStr">
        <is>
          <t>Yes</t>
        </is>
      </c>
      <c r="AK5" s="733" t="n"/>
      <c r="AL5" s="733" t="n"/>
      <c r="AM5" s="733" t="n"/>
      <c r="AN5" s="733" t="n"/>
      <c r="AO5" s="733" t="n"/>
      <c r="AP5" s="719" t="inlineStr">
        <is>
          <t>Pullback</t>
        </is>
      </c>
      <c r="AQ5" s="719" t="inlineStr">
        <is>
          <t>5MIN</t>
        </is>
      </c>
      <c r="AR5" s="733" t="n"/>
      <c r="AS5" s="719" t="n"/>
      <c r="AT5" s="719" t="n"/>
      <c r="AU5" s="719" t="n"/>
      <c r="AV5" s="719" t="inlineStr">
        <is>
          <t>USDT</t>
        </is>
      </c>
      <c r="AW5" s="719" t="inlineStr">
        <is>
          <t>trade</t>
        </is>
      </c>
      <c r="AX5" s="734" t="inlineStr">
        <is>
          <t>bybit:demo:trade:QUSDT:4351d5a74409a9cc</t>
        </is>
      </c>
    </row>
    <row r="6">
      <c r="A6" s="737" t="n"/>
      <c r="B6" s="738" t="n">
        <v>46313.40880787037</v>
      </c>
      <c r="C6" s="739" t="n">
        <v>46313.68671296296</v>
      </c>
      <c r="D6" s="740" t="inlineStr">
        <is>
          <t>Bybit Demo</t>
        </is>
      </c>
      <c r="E6" s="740" t="inlineStr">
        <is>
          <t>BTCUSDT</t>
        </is>
      </c>
      <c r="F6" s="740" t="inlineStr">
        <is>
          <t>BUY</t>
        </is>
      </c>
      <c r="G6" s="741" t="n">
        <v>0.005</v>
      </c>
      <c r="H6" s="742" t="n">
        <v>81333.7</v>
      </c>
      <c r="I6" s="742" t="n">
        <v>81661.10000000001</v>
      </c>
      <c r="J6" s="743" t="n">
        <v>80833.60000000001</v>
      </c>
      <c r="K6" s="744" t="n">
        <v>0.006148742772061166</v>
      </c>
      <c r="L6" s="743" t="n">
        <v>82626.8</v>
      </c>
      <c r="M6" s="744" t="n">
        <v>0.01589869881734147</v>
      </c>
      <c r="N6" s="745" t="n">
        <v>0.46276594</v>
      </c>
      <c r="O6" s="746" t="n">
        <v>1.174234060000057</v>
      </c>
      <c r="P6" s="747" t="n">
        <v>0.00376432161707192</v>
      </c>
      <c r="Q6" s="748" t="n">
        <v>0.6546690661867915</v>
      </c>
      <c r="R6" s="749" t="n">
        <v>313.1119958799999</v>
      </c>
      <c r="S6" s="740" t="inlineStr">
        <is>
          <t>6H 40M 11S</t>
        </is>
      </c>
      <c r="T6" s="750" t="n"/>
      <c r="U6" s="751" t="n"/>
      <c r="V6" s="752" t="n"/>
      <c r="W6" s="753" t="n"/>
      <c r="X6" s="754" t="n"/>
      <c r="Y6" s="750" t="n"/>
      <c r="Z6" s="751" t="n"/>
      <c r="AA6" s="752" t="n"/>
      <c r="AB6" s="753" t="n"/>
      <c r="AC6" s="754" t="n"/>
      <c r="AD6" s="740" t="inlineStr">
        <is>
          <t>Yes</t>
        </is>
      </c>
      <c r="AE6" s="740" t="inlineStr">
        <is>
          <t>channel</t>
        </is>
      </c>
      <c r="AF6" s="740" t="inlineStr">
        <is>
          <t>9</t>
        </is>
      </c>
      <c r="AG6" s="740" t="inlineStr">
        <is>
          <t>Yes</t>
        </is>
      </c>
      <c r="AH6" s="740" t="inlineStr">
        <is>
          <t>All-Time High</t>
        </is>
      </c>
      <c r="AI6" s="740" t="inlineStr">
        <is>
          <t>market</t>
        </is>
      </c>
      <c r="AJ6" s="740" t="inlineStr">
        <is>
          <t>No</t>
        </is>
      </c>
      <c r="AK6" s="755" t="n"/>
      <c r="AL6" s="755" t="n"/>
      <c r="AM6" s="755" t="n"/>
      <c r="AN6" s="755" t="n"/>
      <c r="AO6" s="755" t="n"/>
      <c r="AP6" s="740" t="inlineStr">
        <is>
          <t>Breakout</t>
        </is>
      </c>
      <c r="AQ6" s="740" t="inlineStr">
        <is>
          <t>5MIN</t>
        </is>
      </c>
      <c r="AR6" s="755" t="n"/>
      <c r="AS6" s="740" t="n"/>
      <c r="AT6" s="740" t="n"/>
      <c r="AU6" s="740" t="n"/>
      <c r="AV6" s="740" t="inlineStr">
        <is>
          <t>USDT</t>
        </is>
      </c>
      <c r="AW6" s="740" t="inlineStr">
        <is>
          <t>trade</t>
        </is>
      </c>
      <c r="AX6" s="756" t="inlineStr">
        <is>
          <t>bybit:demo:trade:BTCUSDT:d29f59a9d501fcab</t>
        </is>
      </c>
    </row>
    <row r="7">
      <c r="A7" s="716" t="inlineStr">
        <is>
          <t>C379</t>
        </is>
      </c>
      <c r="B7" s="717" t="n">
        <v>46313.39017361111</v>
      </c>
      <c r="C7" s="718" t="n">
        <v>46313.39273148148</v>
      </c>
      <c r="D7" s="719" t="inlineStr">
        <is>
          <t>Bybit Demo</t>
        </is>
      </c>
      <c r="E7" s="719" t="inlineStr">
        <is>
          <t>BTCUSDT</t>
        </is>
      </c>
      <c r="F7" s="719" t="inlineStr">
        <is>
          <t>BUY</t>
        </is>
      </c>
      <c r="G7" s="757" t="n">
        <v>0.005</v>
      </c>
      <c r="H7" s="720" t="n">
        <v>81265.5</v>
      </c>
      <c r="I7" s="720" t="n">
        <v>81260.60000000001</v>
      </c>
      <c r="J7" s="721" t="n">
        <v>80770</v>
      </c>
      <c r="K7" s="722" t="n">
        <v>0.006097298361543336</v>
      </c>
      <c r="L7" s="721" t="n">
        <v>82563</v>
      </c>
      <c r="M7" s="722" t="n">
        <v>0.01596618491241671</v>
      </c>
      <c r="N7" s="758" t="n">
        <v>0.44694678</v>
      </c>
      <c r="O7" s="724" t="n">
        <v>-0.4714467799999322</v>
      </c>
      <c r="P7" s="725" t="n">
        <v>-0.00150906812930588</v>
      </c>
      <c r="Q7" s="759" t="n">
        <v>-0.009889001009069988</v>
      </c>
      <c r="R7" s="727" t="n">
        <v>311.9377618199999</v>
      </c>
      <c r="S7" s="719" t="inlineStr">
        <is>
          <t>3M 41S</t>
        </is>
      </c>
      <c r="T7" s="728" t="n"/>
      <c r="U7" s="729" t="n"/>
      <c r="V7" s="730" t="n"/>
      <c r="W7" s="731" t="n"/>
      <c r="X7" s="732" t="n"/>
      <c r="Y7" s="728" t="n"/>
      <c r="Z7" s="729" t="n"/>
      <c r="AA7" s="730" t="n"/>
      <c r="AB7" s="731" t="n"/>
      <c r="AC7" s="732" t="n"/>
      <c r="AD7" s="719" t="inlineStr">
        <is>
          <t>No</t>
        </is>
      </c>
      <c r="AE7" s="719" t="inlineStr">
        <is>
          <t>range</t>
        </is>
      </c>
      <c r="AF7" s="719" t="inlineStr">
        <is>
          <t>9</t>
        </is>
      </c>
      <c r="AG7" s="719" t="inlineStr">
        <is>
          <t>Yes</t>
        </is>
      </c>
      <c r="AH7" s="719" t="inlineStr">
        <is>
          <t>All-Time High</t>
        </is>
      </c>
      <c r="AI7" s="719" t="inlineStr">
        <is>
          <t>market</t>
        </is>
      </c>
      <c r="AJ7" s="719" t="inlineStr">
        <is>
          <t>Yes</t>
        </is>
      </c>
      <c r="AK7" s="733" t="n"/>
      <c r="AL7" s="733" t="n"/>
      <c r="AM7" s="733" t="n"/>
      <c r="AN7" s="733" t="n"/>
      <c r="AO7" s="733" t="n"/>
      <c r="AP7" s="719" t="inlineStr">
        <is>
          <t>Pullback</t>
        </is>
      </c>
      <c r="AQ7" s="719" t="inlineStr">
        <is>
          <t>5MIN</t>
        </is>
      </c>
      <c r="AR7" s="733" t="n"/>
      <c r="AS7" s="719" t="n"/>
      <c r="AT7" s="719" t="n"/>
      <c r="AU7" s="719" t="n"/>
      <c r="AV7" s="719" t="inlineStr">
        <is>
          <t>USDT</t>
        </is>
      </c>
      <c r="AW7" s="719" t="inlineStr">
        <is>
          <t>trade</t>
        </is>
      </c>
      <c r="AX7" s="734" t="inlineStr">
        <is>
          <t>bybit:demo:trade:BTCUSDT:1417eea0b64dfd1a</t>
        </is>
      </c>
    </row>
    <row r="8">
      <c r="A8" s="716" t="n"/>
      <c r="B8" s="717" t="n">
        <v>46312.6137037037</v>
      </c>
      <c r="C8" s="718" t="n">
        <v>46312.98947916667</v>
      </c>
      <c r="D8" s="719" t="inlineStr">
        <is>
          <t>Bybit Demo</t>
        </is>
      </c>
      <c r="E8" s="719" t="inlineStr">
        <is>
          <t>BTCUSDT</t>
        </is>
      </c>
      <c r="F8" s="719" t="inlineStr">
        <is>
          <t>BUY</t>
        </is>
      </c>
      <c r="G8" s="757" t="n">
        <v>0.005</v>
      </c>
      <c r="H8" s="720" t="n">
        <v>81541.60000000001</v>
      </c>
      <c r="I8" s="720" t="n">
        <v>81455</v>
      </c>
      <c r="J8" s="721" t="n">
        <v>81041.60000000001</v>
      </c>
      <c r="K8" s="722" t="n">
        <v>0.006131839453726686</v>
      </c>
      <c r="L8" s="721" t="n">
        <v>82835.60000000001</v>
      </c>
      <c r="M8" s="722" t="n">
        <v>0.01586920050624466</v>
      </c>
      <c r="N8" s="758" t="n">
        <v>0.46918964</v>
      </c>
      <c r="O8" s="724" t="n">
        <v>-0.9021896399999927</v>
      </c>
      <c r="P8" s="725" t="n">
        <v>-0.002879530221587745</v>
      </c>
      <c r="Q8" s="726" t="n">
        <v>-0.1732000000000117</v>
      </c>
      <c r="R8" s="727" t="n">
        <v>312.4092085999998</v>
      </c>
      <c r="S8" s="719" t="inlineStr">
        <is>
          <t>9H 1M 7S</t>
        </is>
      </c>
      <c r="T8" s="728" t="n"/>
      <c r="U8" s="729" t="n"/>
      <c r="V8" s="730" t="n"/>
      <c r="W8" s="731" t="n"/>
      <c r="X8" s="732" t="n"/>
      <c r="Y8" s="728" t="n"/>
      <c r="Z8" s="729" t="n"/>
      <c r="AA8" s="730" t="n"/>
      <c r="AB8" s="731" t="n"/>
      <c r="AC8" s="732" t="n"/>
      <c r="AD8" s="719" t="inlineStr">
        <is>
          <t>Yes</t>
        </is>
      </c>
      <c r="AE8" s="719" t="inlineStr">
        <is>
          <t>range</t>
        </is>
      </c>
      <c r="AF8" s="719" t="inlineStr">
        <is>
          <t>9</t>
        </is>
      </c>
      <c r="AG8" s="719" t="inlineStr">
        <is>
          <t>Yes</t>
        </is>
      </c>
      <c r="AH8" s="719" t="inlineStr">
        <is>
          <t>All-Time High</t>
        </is>
      </c>
      <c r="AI8" s="719" t="inlineStr">
        <is>
          <t>market</t>
        </is>
      </c>
      <c r="AJ8" s="719" t="inlineStr">
        <is>
          <t>Yes</t>
        </is>
      </c>
      <c r="AK8" s="733" t="n"/>
      <c r="AL8" s="733" t="n"/>
      <c r="AM8" s="733" t="n"/>
      <c r="AN8" s="733" t="n"/>
      <c r="AO8" s="733" t="n"/>
      <c r="AP8" s="719" t="inlineStr">
        <is>
          <t>Pullback</t>
        </is>
      </c>
      <c r="AQ8" s="719" t="inlineStr">
        <is>
          <t>5MIN</t>
        </is>
      </c>
      <c r="AR8" s="733" t="n"/>
      <c r="AS8" s="719" t="n"/>
      <c r="AT8" s="719" t="n"/>
      <c r="AU8" s="719" t="n"/>
      <c r="AV8" s="719" t="inlineStr">
        <is>
          <t>USDT</t>
        </is>
      </c>
      <c r="AW8" s="719" t="inlineStr">
        <is>
          <t>trade</t>
        </is>
      </c>
      <c r="AX8" s="734" t="inlineStr">
        <is>
          <t>bybit:demo:trade:BTCUSDT:ea7c0b6ac5d23328</t>
        </is>
      </c>
    </row>
    <row r="9">
      <c r="A9" s="716" t="n"/>
      <c r="B9" s="717" t="n">
        <v>46312.41734953703</v>
      </c>
      <c r="C9" s="718" t="n">
        <v>46312.42103009259</v>
      </c>
      <c r="D9" s="719" t="inlineStr">
        <is>
          <t>Bybit Demo</t>
        </is>
      </c>
      <c r="E9" s="719" t="inlineStr">
        <is>
          <t>BTCUSDT</t>
        </is>
      </c>
      <c r="F9" s="719" t="inlineStr">
        <is>
          <t>BUY</t>
        </is>
      </c>
      <c r="G9" s="757" t="n">
        <v>0.005</v>
      </c>
      <c r="H9" s="720" t="n">
        <v>81563.10000000001</v>
      </c>
      <c r="I9" s="720" t="n">
        <v>81565.5</v>
      </c>
      <c r="J9" s="721" t="n">
        <v>81063.10000000001</v>
      </c>
      <c r="K9" s="722" t="n">
        <v>0.006130223103339622</v>
      </c>
      <c r="L9" s="721" t="n">
        <v>82857.2</v>
      </c>
      <c r="M9" s="722" t="n">
        <v>0.0158662434360635</v>
      </c>
      <c r="N9" s="758" t="n">
        <v>0.44860366</v>
      </c>
      <c r="O9" s="724" t="n">
        <v>-0.4366036600000563</v>
      </c>
      <c r="P9" s="725" t="n">
        <v>-0.001391574312365546</v>
      </c>
      <c r="Q9" s="759" t="n">
        <v>0.004799999999988359</v>
      </c>
      <c r="R9" s="727" t="n">
        <v>313.3113982399998</v>
      </c>
      <c r="S9" s="719" t="inlineStr">
        <is>
          <t>5M 18S</t>
        </is>
      </c>
      <c r="T9" s="728" t="n"/>
      <c r="U9" s="729" t="n"/>
      <c r="V9" s="730" t="n"/>
      <c r="W9" s="731" t="n"/>
      <c r="X9" s="732" t="n"/>
      <c r="Y9" s="728" t="n"/>
      <c r="Z9" s="729" t="n"/>
      <c r="AA9" s="730" t="n"/>
      <c r="AB9" s="731" t="n"/>
      <c r="AC9" s="732" t="n"/>
      <c r="AD9" s="719" t="inlineStr">
        <is>
          <t>Yes</t>
        </is>
      </c>
      <c r="AE9" s="719" t="inlineStr">
        <is>
          <t>range</t>
        </is>
      </c>
      <c r="AF9" s="719" t="inlineStr">
        <is>
          <t>9</t>
        </is>
      </c>
      <c r="AG9" s="719" t="inlineStr">
        <is>
          <t>Yes</t>
        </is>
      </c>
      <c r="AH9" s="719" t="inlineStr">
        <is>
          <t>All-Time High</t>
        </is>
      </c>
      <c r="AI9" s="719" t="inlineStr">
        <is>
          <t>market</t>
        </is>
      </c>
      <c r="AJ9" s="719" t="inlineStr">
        <is>
          <t>Yes</t>
        </is>
      </c>
      <c r="AK9" s="733" t="n"/>
      <c r="AL9" s="733" t="n"/>
      <c r="AM9" s="733" t="n"/>
      <c r="AN9" s="733" t="n"/>
      <c r="AO9" s="733" t="n"/>
      <c r="AP9" s="719" t="inlineStr">
        <is>
          <t>Pullback</t>
        </is>
      </c>
      <c r="AQ9" s="719" t="inlineStr">
        <is>
          <t>15MIN</t>
        </is>
      </c>
      <c r="AR9" s="733" t="n"/>
      <c r="AS9" s="719" t="n"/>
      <c r="AT9" s="733" t="n"/>
      <c r="AU9" s="733" t="n"/>
      <c r="AV9" s="719" t="inlineStr">
        <is>
          <t>USDT</t>
        </is>
      </c>
      <c r="AW9" s="719" t="inlineStr">
        <is>
          <t>trade</t>
        </is>
      </c>
      <c r="AX9" s="734" t="inlineStr">
        <is>
          <t>bybit:demo:trade:BTCUSDT:64998ba9c9a615ee</t>
        </is>
      </c>
    </row>
    <row r="10" ht="15" customHeight="1">
      <c r="A10" s="716" t="inlineStr">
        <is>
          <t>F1168</t>
        </is>
      </c>
      <c r="B10" s="717" t="n">
        <v>46310.5743287037</v>
      </c>
      <c r="C10" s="718" t="n">
        <v>46310.71203703704</v>
      </c>
      <c r="D10" s="719" t="inlineStr">
        <is>
          <t>PEPPERSTONE DEMO</t>
        </is>
      </c>
      <c r="E10" s="719" t="inlineStr">
        <is>
          <t>EURGBP</t>
        </is>
      </c>
      <c r="F10" s="719" t="inlineStr">
        <is>
          <t>BUY</t>
        </is>
      </c>
      <c r="G10" s="720" t="n">
        <v>0.11</v>
      </c>
      <c r="H10" s="720" t="n">
        <v>0.8459</v>
      </c>
      <c r="I10" s="720" t="n">
        <v>0.8455</v>
      </c>
      <c r="J10" s="721" t="n">
        <v>0.8455</v>
      </c>
      <c r="K10" s="760" t="n">
        <v>0.0004728691334672608</v>
      </c>
      <c r="L10" s="721" t="n">
        <v>0.84765</v>
      </c>
      <c r="M10" s="722" t="n">
        <v>0.002068802458919529</v>
      </c>
      <c r="N10" s="761" t="n">
        <v>-0.78</v>
      </c>
      <c r="O10" s="762" t="n">
        <v>-9.229999999999999</v>
      </c>
      <c r="P10" s="763" t="n">
        <v>-0.0001844815259640259</v>
      </c>
      <c r="Q10" s="726" t="n">
        <v>-1</v>
      </c>
      <c r="R10" s="764" t="n">
        <v>50022.88</v>
      </c>
      <c r="S10" s="719" t="inlineStr">
        <is>
          <t>3H 18M 18S</t>
        </is>
      </c>
      <c r="T10" s="728" t="n"/>
      <c r="U10" s="729" t="n"/>
      <c r="V10" s="730" t="n"/>
      <c r="W10" s="731" t="n"/>
      <c r="X10" s="732" t="n"/>
      <c r="Y10" s="728" t="n"/>
      <c r="Z10" s="729" t="n"/>
      <c r="AA10" s="730" t="n"/>
      <c r="AB10" s="731" t="n"/>
      <c r="AC10" s="732" t="n"/>
      <c r="AD10" s="719" t="inlineStr">
        <is>
          <t>No</t>
        </is>
      </c>
      <c r="AE10" s="719" t="inlineStr">
        <is>
          <t>channel</t>
        </is>
      </c>
      <c r="AF10" s="733" t="n"/>
      <c r="AG10" s="733" t="n"/>
      <c r="AH10" s="733" t="n"/>
      <c r="AI10" s="719" t="inlineStr">
        <is>
          <t>market</t>
        </is>
      </c>
      <c r="AJ10" s="733" t="n"/>
      <c r="AK10" s="733" t="n"/>
      <c r="AL10" s="733" t="n"/>
      <c r="AM10" s="733" t="n"/>
      <c r="AN10" s="733" t="n"/>
      <c r="AO10" s="733" t="n"/>
      <c r="AP10" s="719" t="inlineStr">
        <is>
          <t>Breakout</t>
        </is>
      </c>
      <c r="AQ10" s="719" t="inlineStr">
        <is>
          <t>5MIN</t>
        </is>
      </c>
      <c r="AR10" s="733" t="n"/>
      <c r="AS10" s="719" t="n"/>
      <c r="AT10" s="719" t="n"/>
      <c r="AU10" s="719" t="n"/>
      <c r="AV10" s="719" t="inlineStr">
        <is>
          <t>AUD</t>
        </is>
      </c>
      <c r="AW10" s="719" t="inlineStr">
        <is>
          <t>trade</t>
        </is>
      </c>
      <c r="AX10" s="734" t="inlineStr">
        <is>
          <t>pepperstone_mt5:dd92b8014efc0346a494:closing-deals:a8e907348557aeb9</t>
        </is>
      </c>
    </row>
    <row r="11" ht="15" customHeight="1">
      <c r="A11" s="716" t="inlineStr">
        <is>
          <t>F1167</t>
        </is>
      </c>
      <c r="B11" s="717" t="n">
        <v>46308.56158564815</v>
      </c>
      <c r="C11" s="718" t="n">
        <v>46308.66847222222</v>
      </c>
      <c r="D11" s="719" t="inlineStr">
        <is>
          <t>PEPPERSTONE DEMO</t>
        </is>
      </c>
      <c r="E11" s="719" t="inlineStr">
        <is>
          <t>USDJPY</t>
        </is>
      </c>
      <c r="F11" s="719" t="inlineStr">
        <is>
          <t>SELL</t>
        </is>
      </c>
      <c r="G11" s="720" t="n">
        <v>0.11</v>
      </c>
      <c r="H11" s="720" t="n">
        <v>158.16</v>
      </c>
      <c r="I11" s="720" t="n">
        <v>158.25</v>
      </c>
      <c r="J11" s="721" t="n">
        <v>158.25</v>
      </c>
      <c r="K11" s="760" t="n">
        <v>0.0005690440060698243</v>
      </c>
      <c r="L11" s="721" t="n">
        <v>157.912</v>
      </c>
      <c r="M11" s="722" t="n">
        <v>0.001568032372281174</v>
      </c>
      <c r="N11" s="761" t="n">
        <v>-0.78</v>
      </c>
      <c r="O11" s="762" t="n">
        <v>-9.74</v>
      </c>
      <c r="P11" s="763" t="n">
        <v>-0.0001946370887567106</v>
      </c>
      <c r="Q11" s="726" t="n">
        <v>-1</v>
      </c>
      <c r="R11" s="764" t="n">
        <v>50032.11</v>
      </c>
      <c r="S11" s="719" t="inlineStr">
        <is>
          <t>2H 33M 55S</t>
        </is>
      </c>
      <c r="T11" s="728" t="n"/>
      <c r="U11" s="729" t="n"/>
      <c r="V11" s="730" t="n"/>
      <c r="W11" s="731" t="n"/>
      <c r="X11" s="732" t="n"/>
      <c r="Y11" s="728" t="n"/>
      <c r="Z11" s="729" t="n"/>
      <c r="AA11" s="730" t="n"/>
      <c r="AB11" s="731" t="n"/>
      <c r="AC11" s="732" t="n"/>
      <c r="AD11" s="719" t="inlineStr">
        <is>
          <t>No</t>
        </is>
      </c>
      <c r="AE11" s="719" t="n"/>
      <c r="AF11" s="733" t="n"/>
      <c r="AG11" s="733" t="n"/>
      <c r="AH11" s="733" t="n"/>
      <c r="AI11" s="719" t="inlineStr">
        <is>
          <t>market</t>
        </is>
      </c>
      <c r="AJ11" s="733" t="n"/>
      <c r="AK11" s="733" t="n"/>
      <c r="AL11" s="733" t="n"/>
      <c r="AM11" s="733" t="n"/>
      <c r="AN11" s="733" t="n"/>
      <c r="AO11" s="733" t="n"/>
      <c r="AP11" s="719" t="inlineStr">
        <is>
          <t>Pullback</t>
        </is>
      </c>
      <c r="AQ11" s="719" t="inlineStr">
        <is>
          <t>5MIN</t>
        </is>
      </c>
      <c r="AR11" s="733" t="n"/>
      <c r="AS11" s="719" t="n"/>
      <c r="AT11" s="719" t="n"/>
      <c r="AU11" s="719" t="n"/>
      <c r="AV11" s="719" t="inlineStr">
        <is>
          <t>AUD</t>
        </is>
      </c>
      <c r="AW11" s="719" t="inlineStr">
        <is>
          <t>trade</t>
        </is>
      </c>
      <c r="AX11" s="734" t="inlineStr">
        <is>
          <t>pepperstone_mt5:dd92b8014efc0346a494:closing-deals:a95c33cb73a2ba57</t>
        </is>
      </c>
    </row>
    <row r="12" ht="15" customHeight="1">
      <c r="A12" s="716" t="inlineStr">
        <is>
          <t>C378</t>
        </is>
      </c>
      <c r="B12" s="717" t="n">
        <v>46306.60252314815</v>
      </c>
      <c r="C12" s="718" t="n">
        <v>46306.66027777778</v>
      </c>
      <c r="D12" s="719" t="inlineStr">
        <is>
          <t>Bybit Demo</t>
        </is>
      </c>
      <c r="E12" s="719" t="inlineStr">
        <is>
          <t>LUMIAUSDT</t>
        </is>
      </c>
      <c r="F12" s="719" t="inlineStr">
        <is>
          <t>SELL</t>
        </is>
      </c>
      <c r="G12" s="720" t="n">
        <v>250</v>
      </c>
      <c r="H12" s="720" t="n">
        <v>0.15477</v>
      </c>
      <c r="I12" s="720" t="n">
        <v>0.16622</v>
      </c>
      <c r="J12" s="721" t="n">
        <v>0.16621</v>
      </c>
      <c r="K12" s="722" t="n">
        <v>0.0739161336176262</v>
      </c>
      <c r="L12" s="721" t="n">
        <v>0.11619</v>
      </c>
      <c r="M12" s="722" t="n">
        <v>0.2492731149447567</v>
      </c>
      <c r="N12" s="723" t="n">
        <v>0.08827225</v>
      </c>
      <c r="O12" s="724" t="n">
        <v>-2.950772250000004</v>
      </c>
      <c r="P12" s="725" t="n">
        <v>-0.009317283459399854</v>
      </c>
      <c r="Q12" s="726" t="n">
        <v>-1.000874125874127</v>
      </c>
      <c r="R12" s="727" t="n">
        <v>313.7480018999999</v>
      </c>
      <c r="S12" s="719" t="inlineStr">
        <is>
          <t>1H 23M 10S</t>
        </is>
      </c>
      <c r="T12" s="728" t="n"/>
      <c r="U12" s="729" t="n"/>
      <c r="V12" s="730" t="n"/>
      <c r="W12" s="731" t="n"/>
      <c r="X12" s="732" t="n"/>
      <c r="Y12" s="728" t="n"/>
      <c r="Z12" s="729" t="n"/>
      <c r="AA12" s="730" t="n"/>
      <c r="AB12" s="731" t="n"/>
      <c r="AC12" s="732" t="n"/>
      <c r="AD12" s="719" t="inlineStr">
        <is>
          <t>No</t>
        </is>
      </c>
      <c r="AE12" s="719" t="n"/>
      <c r="AF12" s="733" t="n"/>
      <c r="AG12" s="733" t="n"/>
      <c r="AH12" s="733" t="n"/>
      <c r="AI12" s="719" t="inlineStr">
        <is>
          <t>market</t>
        </is>
      </c>
      <c r="AJ12" s="733" t="n"/>
      <c r="AK12" s="733" t="n"/>
      <c r="AL12" s="733" t="n"/>
      <c r="AM12" s="733" t="n"/>
      <c r="AN12" s="733" t="n"/>
      <c r="AO12" s="733" t="n"/>
      <c r="AP12" s="719" t="inlineStr">
        <is>
          <t>Pullback</t>
        </is>
      </c>
      <c r="AQ12" s="719" t="inlineStr">
        <is>
          <t>5MIN</t>
        </is>
      </c>
      <c r="AR12" s="733" t="n"/>
      <c r="AS12" s="719" t="n"/>
      <c r="AT12" s="719" t="n"/>
      <c r="AU12" s="719" t="n"/>
      <c r="AV12" s="719" t="inlineStr">
        <is>
          <t>USDT</t>
        </is>
      </c>
      <c r="AW12" s="719" t="inlineStr">
        <is>
          <t>trade</t>
        </is>
      </c>
      <c r="AX12" s="734" t="inlineStr">
        <is>
          <t>bybit:demo:trade:LUMIAUSDT:f439e251de789bc4</t>
        </is>
      </c>
    </row>
    <row r="13" ht="15" customHeight="1">
      <c r="A13" s="716" t="inlineStr">
        <is>
          <t>C377</t>
        </is>
      </c>
      <c r="B13" s="717" t="n">
        <v>46299.54678240741</v>
      </c>
      <c r="C13" s="718" t="n">
        <v>46302.50077546296</v>
      </c>
      <c r="D13" s="719" t="inlineStr">
        <is>
          <t>Bybit Demo</t>
        </is>
      </c>
      <c r="E13" s="719" t="inlineStr">
        <is>
          <t>BTCUSDT</t>
        </is>
      </c>
      <c r="F13" s="719" t="inlineStr">
        <is>
          <t>BUY</t>
        </is>
      </c>
      <c r="G13" s="757" t="n">
        <v>0.004</v>
      </c>
      <c r="H13" s="720" t="n">
        <v>84763.8</v>
      </c>
      <c r="I13" s="720" t="n">
        <v>84100.3</v>
      </c>
      <c r="J13" s="721" t="n">
        <v>84102</v>
      </c>
      <c r="K13" s="722" t="n">
        <v>0.007807578235048487</v>
      </c>
      <c r="L13" s="721" t="n">
        <v>87539</v>
      </c>
      <c r="M13" s="722" t="n">
        <v>0.03274039153506564</v>
      </c>
      <c r="N13" s="758" t="n">
        <v>0.48115409</v>
      </c>
      <c r="O13" s="724" t="n">
        <v>-3.135154089999996</v>
      </c>
      <c r="P13" s="725" t="n">
        <v>-0.00980244374714183</v>
      </c>
      <c r="Q13" s="726" t="n">
        <v>-1.002568751888784</v>
      </c>
      <c r="R13" s="727" t="n">
        <v>316.6987741499999</v>
      </c>
      <c r="S13" s="719" t="inlineStr">
        <is>
          <t>2D 22H 53M 45S</t>
        </is>
      </c>
      <c r="T13" s="728" t="n"/>
      <c r="U13" s="729" t="n"/>
      <c r="V13" s="730" t="n"/>
      <c r="W13" s="731" t="n"/>
      <c r="X13" s="732" t="n"/>
      <c r="Y13" s="728" t="n"/>
      <c r="Z13" s="729" t="n"/>
      <c r="AA13" s="730" t="n"/>
      <c r="AB13" s="731" t="n"/>
      <c r="AC13" s="732" t="n"/>
      <c r="AD13" s="719" t="inlineStr">
        <is>
          <t>No</t>
        </is>
      </c>
      <c r="AE13" s="719" t="inlineStr">
        <is>
          <t>channel</t>
        </is>
      </c>
      <c r="AF13" s="733" t="n"/>
      <c r="AG13" s="733" t="n"/>
      <c r="AH13" s="733" t="n"/>
      <c r="AI13" s="719" t="inlineStr">
        <is>
          <t>market</t>
        </is>
      </c>
      <c r="AJ13" s="733" t="n"/>
      <c r="AK13" s="733" t="n"/>
      <c r="AL13" s="733" t="n"/>
      <c r="AM13" s="733" t="n"/>
      <c r="AN13" s="733" t="n"/>
      <c r="AO13" s="733" t="n"/>
      <c r="AP13" s="719" t="inlineStr">
        <is>
          <t>Pullback</t>
        </is>
      </c>
      <c r="AQ13" s="719" t="inlineStr">
        <is>
          <t>1H</t>
        </is>
      </c>
      <c r="AR13" s="733" t="n"/>
      <c r="AS13" s="719" t="n"/>
      <c r="AT13" s="719" t="n"/>
      <c r="AU13" s="719" t="n"/>
      <c r="AV13" s="719" t="inlineStr">
        <is>
          <t>USDT</t>
        </is>
      </c>
      <c r="AW13" s="719" t="inlineStr">
        <is>
          <t>trade</t>
        </is>
      </c>
      <c r="AX13" s="734" t="inlineStr">
        <is>
          <t>bybit:demo:trade:BTCUSDT:cd7d7d60e40d420e</t>
        </is>
      </c>
    </row>
    <row r="14" ht="15" customHeight="1">
      <c r="A14" s="737" t="inlineStr">
        <is>
          <t>F1166</t>
        </is>
      </c>
      <c r="B14" s="738" t="n">
        <v>46300.18101851852</v>
      </c>
      <c r="C14" s="739" t="n">
        <v>46300.19325231481</v>
      </c>
      <c r="D14" s="740" t="inlineStr">
        <is>
          <t>PEPPERSTONE DEMO</t>
        </is>
      </c>
      <c r="E14" s="740" t="inlineStr">
        <is>
          <t>GBPUSD</t>
        </is>
      </c>
      <c r="F14" s="740" t="inlineStr">
        <is>
          <t>BUY</t>
        </is>
      </c>
      <c r="G14" s="742" t="n">
        <v>0.11</v>
      </c>
      <c r="H14" s="742" t="n">
        <v>1.32339</v>
      </c>
      <c r="I14" s="742" t="n">
        <v>1.32358</v>
      </c>
      <c r="J14" s="743" t="n">
        <v>1.32285</v>
      </c>
      <c r="K14" s="765" t="n">
        <v>0.0004080429805272708</v>
      </c>
      <c r="L14" s="743" t="n">
        <v>1.32493</v>
      </c>
      <c r="M14" s="744" t="n">
        <v>0.001163678129651784</v>
      </c>
      <c r="N14" s="766" t="n">
        <v>-0.78</v>
      </c>
      <c r="O14" s="767" t="n">
        <v>2.23</v>
      </c>
      <c r="P14" s="768" t="n">
        <v>4.45646869420671e-05</v>
      </c>
      <c r="Q14" s="748" t="n">
        <v>0.3518518518516995</v>
      </c>
      <c r="R14" s="769" t="n">
        <v>50041.85</v>
      </c>
      <c r="S14" s="740" t="inlineStr">
        <is>
          <t>17M 37S</t>
        </is>
      </c>
      <c r="T14" s="750" t="n"/>
      <c r="U14" s="751" t="n"/>
      <c r="V14" s="752" t="n"/>
      <c r="W14" s="753" t="n"/>
      <c r="X14" s="754" t="n"/>
      <c r="Y14" s="750" t="n"/>
      <c r="Z14" s="751" t="n"/>
      <c r="AA14" s="752" t="n"/>
      <c r="AB14" s="753" t="n"/>
      <c r="AC14" s="754" t="n"/>
      <c r="AD14" s="740" t="inlineStr">
        <is>
          <t>No</t>
        </is>
      </c>
      <c r="AE14" s="755" t="n"/>
      <c r="AF14" s="755" t="n"/>
      <c r="AG14" s="755" t="n"/>
      <c r="AH14" s="755" t="n"/>
      <c r="AI14" s="740" t="inlineStr">
        <is>
          <t>market</t>
        </is>
      </c>
      <c r="AJ14" s="755" t="n"/>
      <c r="AK14" s="755" t="n"/>
      <c r="AL14" s="755" t="n"/>
      <c r="AM14" s="755" t="n"/>
      <c r="AN14" s="755" t="n"/>
      <c r="AO14" s="755" t="n"/>
      <c r="AP14" s="755" t="n"/>
      <c r="AQ14" s="755" t="n"/>
      <c r="AR14" s="755" t="n"/>
      <c r="AS14" s="740" t="n"/>
      <c r="AT14" s="755" t="n"/>
      <c r="AU14" s="755" t="n"/>
      <c r="AV14" s="740" t="inlineStr">
        <is>
          <t>AUD</t>
        </is>
      </c>
      <c r="AW14" s="740" t="inlineStr">
        <is>
          <t>trade</t>
        </is>
      </c>
      <c r="AX14" s="756" t="inlineStr">
        <is>
          <t>pepperstone_mt5:dd92b8014efc0346a494:closing-deals:5cca4fa8ec1a6815</t>
        </is>
      </c>
    </row>
    <row r="15" ht="15" customHeight="1">
      <c r="A15" s="42" t="n"/>
      <c r="B15" s="770" t="n">
        <v>46266</v>
      </c>
      <c r="C15" s="771" t="n">
        <v>46295.99998842592</v>
      </c>
      <c r="D15" s="12" t="inlineStr">
        <is>
          <t>BYBIT</t>
        </is>
      </c>
      <c r="E15" s="12" t="inlineStr">
        <is>
          <t>MONTHLY AUD P/L</t>
        </is>
      </c>
      <c r="F15" s="12" t="n"/>
      <c r="G15" s="262" t="n"/>
      <c r="H15" s="262" t="n">
        <v>0.716205</v>
      </c>
      <c r="I15" s="262" t="n">
        <v>0.69578</v>
      </c>
      <c r="J15" s="263" t="n"/>
      <c r="K15" s="36" t="n"/>
      <c r="L15" s="263" t="n"/>
      <c r="M15" s="36" t="n"/>
      <c r="N15" s="772" t="n"/>
      <c r="O15" s="773" t="n">
        <v>9.220000000000001</v>
      </c>
      <c r="P15" s="3" t="n"/>
      <c r="Q15" s="51" t="n"/>
      <c r="R15" s="54" t="n"/>
      <c r="S15" s="12" t="n"/>
      <c r="T15" s="774" t="n"/>
      <c r="U15" s="6" t="n"/>
      <c r="V15" s="264" t="n"/>
      <c r="W15" s="9" t="n"/>
      <c r="X15" s="46" t="n"/>
      <c r="Y15" s="774" t="n"/>
      <c r="Z15" s="6" t="n"/>
      <c r="AA15" s="264" t="n"/>
      <c r="AB15" s="9" t="n"/>
      <c r="AC15" s="46" t="n"/>
      <c r="AD15" s="12" t="inlineStr">
        <is>
          <t>No</t>
        </is>
      </c>
      <c r="AE15" s="45" t="n"/>
      <c r="AF15" s="45" t="n"/>
      <c r="AG15" s="45" t="n"/>
      <c r="AH15" s="45" t="n"/>
      <c r="AI15" s="45" t="n"/>
      <c r="AJ15" s="45" t="n"/>
      <c r="AK15" s="45" t="n"/>
      <c r="AL15" s="45" t="n"/>
      <c r="AM15" s="45" t="n"/>
      <c r="AN15" s="45" t="n"/>
      <c r="AO15" s="45" t="n"/>
      <c r="AP15" s="45" t="n"/>
      <c r="AQ15" s="45" t="n"/>
      <c r="AR15" s="45" t="n"/>
      <c r="AS15" s="12" t="inlineStr">
        <is>
          <t>Monthly BYBIT AUD P/L note; excluded from trading metrics.</t>
        </is>
      </c>
      <c r="AT15" s="45" t="n"/>
      <c r="AU15" s="45" t="n"/>
      <c r="AV15" s="12" t="inlineStr">
        <is>
          <t>AUD</t>
        </is>
      </c>
      <c r="AW15" s="12" t="inlineStr">
        <is>
          <t>monthly_aud_reval</t>
        </is>
      </c>
      <c r="AX15" s="57" t="inlineStr">
        <is>
          <t>monthly_aud_reval:bybit_live:2026-09</t>
        </is>
      </c>
    </row>
    <row r="16" ht="15" customHeight="1">
      <c r="A16" s="737" t="inlineStr">
        <is>
          <t>F1165</t>
        </is>
      </c>
      <c r="B16" s="738" t="n">
        <v>46276.63046296296</v>
      </c>
      <c r="C16" s="739" t="n">
        <v>46276.6371412037</v>
      </c>
      <c r="D16" s="740" t="inlineStr">
        <is>
          <t>PEPPERSTONE DEMO</t>
        </is>
      </c>
      <c r="E16" s="740" t="inlineStr">
        <is>
          <t>USDJPY</t>
        </is>
      </c>
      <c r="F16" s="740" t="inlineStr">
        <is>
          <t>SELL</t>
        </is>
      </c>
      <c r="G16" s="775" t="n">
        <v>0.07000000000000001</v>
      </c>
      <c r="H16" s="742" t="n">
        <v>154.064</v>
      </c>
      <c r="I16" s="742" t="n">
        <v>154</v>
      </c>
      <c r="J16" s="743" t="n">
        <v>154.221</v>
      </c>
      <c r="K16" s="744" t="n">
        <v>0.001019057015266452</v>
      </c>
      <c r="L16" s="743" t="n">
        <v>153.657</v>
      </c>
      <c r="M16" s="744" t="n">
        <v>0.002641759268875157</v>
      </c>
      <c r="N16" s="766" t="n">
        <v>-0.5</v>
      </c>
      <c r="O16" s="767" t="n">
        <v>3.56</v>
      </c>
      <c r="P16" s="768" t="n">
        <v>7.114868756652701e-05</v>
      </c>
      <c r="Q16" s="748" t="n">
        <v>0.4076433121018382</v>
      </c>
      <c r="R16" s="769" t="n">
        <v>50039.62</v>
      </c>
      <c r="S16" s="740" t="inlineStr">
        <is>
          <t>9M 37S</t>
        </is>
      </c>
      <c r="T16" s="750" t="n"/>
      <c r="U16" s="751" t="n"/>
      <c r="V16" s="752" t="n"/>
      <c r="W16" s="753" t="n"/>
      <c r="X16" s="754" t="n"/>
      <c r="Y16" s="750" t="n"/>
      <c r="Z16" s="751" t="n"/>
      <c r="AA16" s="752" t="n"/>
      <c r="AB16" s="753" t="n"/>
      <c r="AC16" s="754" t="n"/>
      <c r="AD16" s="740" t="inlineStr">
        <is>
          <t>No</t>
        </is>
      </c>
      <c r="AE16" s="755" t="n"/>
      <c r="AF16" s="755" t="n"/>
      <c r="AG16" s="755" t="n"/>
      <c r="AH16" s="755" t="n"/>
      <c r="AI16" s="740" t="inlineStr">
        <is>
          <t>market</t>
        </is>
      </c>
      <c r="AJ16" s="755" t="n"/>
      <c r="AK16" s="755" t="n"/>
      <c r="AL16" s="755" t="n"/>
      <c r="AM16" s="755" t="n"/>
      <c r="AN16" s="755" t="n"/>
      <c r="AO16" s="755" t="n"/>
      <c r="AP16" s="755" t="n"/>
      <c r="AQ16" s="755" t="n"/>
      <c r="AR16" s="755" t="n"/>
      <c r="AS16" s="740" t="n"/>
      <c r="AT16" s="755" t="n"/>
      <c r="AU16" s="755" t="n"/>
      <c r="AV16" s="740" t="inlineStr">
        <is>
          <t>AUD</t>
        </is>
      </c>
      <c r="AW16" s="740" t="inlineStr">
        <is>
          <t>trade</t>
        </is>
      </c>
      <c r="AX16" s="756" t="inlineStr">
        <is>
          <t>pepperstone_mt5:dd92b8014efc0346a494:closing-deals:a537c1e196910d7c</t>
        </is>
      </c>
    </row>
    <row r="17" ht="15" customHeight="1">
      <c r="A17" s="737" t="inlineStr">
        <is>
          <t>F1164</t>
        </is>
      </c>
      <c r="B17" s="738" t="n">
        <v>46272.34487268519</v>
      </c>
      <c r="C17" s="739" t="n">
        <v>46272.35810185185</v>
      </c>
      <c r="D17" s="740" t="inlineStr">
        <is>
          <t>PEPPERSTONE DEMO</t>
        </is>
      </c>
      <c r="E17" s="740" t="inlineStr">
        <is>
          <t>USDJPY</t>
        </is>
      </c>
      <c r="F17" s="740" t="inlineStr">
        <is>
          <t>SELL</t>
        </is>
      </c>
      <c r="G17" s="742" t="n">
        <v>0.22</v>
      </c>
      <c r="H17" s="742" t="n">
        <v>156.096</v>
      </c>
      <c r="I17" s="742" t="n">
        <v>155.996</v>
      </c>
      <c r="J17" s="743" t="n">
        <v>156.135</v>
      </c>
      <c r="K17" s="765" t="n">
        <v>0.0002498462484624031</v>
      </c>
      <c r="L17" s="743" t="n">
        <v>155.996</v>
      </c>
      <c r="M17" s="765" t="n">
        <v>0.0006406314063140267</v>
      </c>
      <c r="N17" s="766" t="n">
        <v>-1.54</v>
      </c>
      <c r="O17" s="767" t="n">
        <v>18.03</v>
      </c>
      <c r="P17" s="776" t="n">
        <v>0.0003604700145127668</v>
      </c>
      <c r="Q17" s="748" t="n">
        <v>2.564102564103255</v>
      </c>
      <c r="R17" s="769" t="n">
        <v>50036.06</v>
      </c>
      <c r="S17" s="740" t="inlineStr">
        <is>
          <t>19M 3S</t>
        </is>
      </c>
      <c r="T17" s="750" t="n"/>
      <c r="U17" s="751" t="n"/>
      <c r="V17" s="752" t="n"/>
      <c r="W17" s="753" t="n"/>
      <c r="X17" s="754" t="n"/>
      <c r="Y17" s="750" t="n"/>
      <c r="Z17" s="751" t="n"/>
      <c r="AA17" s="752" t="n"/>
      <c r="AB17" s="753" t="n"/>
      <c r="AC17" s="754" t="n"/>
      <c r="AD17" s="740" t="inlineStr">
        <is>
          <t>No</t>
        </is>
      </c>
      <c r="AE17" s="755" t="n"/>
      <c r="AF17" s="755" t="n"/>
      <c r="AG17" s="755" t="n"/>
      <c r="AH17" s="755" t="n"/>
      <c r="AI17" s="755" t="n"/>
      <c r="AJ17" s="755" t="n"/>
      <c r="AK17" s="755" t="n"/>
      <c r="AL17" s="755" t="n"/>
      <c r="AM17" s="755" t="n"/>
      <c r="AN17" s="755" t="n"/>
      <c r="AO17" s="755" t="n"/>
      <c r="AP17" s="755" t="n"/>
      <c r="AQ17" s="755" t="n"/>
      <c r="AR17" s="755" t="n"/>
      <c r="AS17" s="740" t="n"/>
      <c r="AT17" s="755" t="n"/>
      <c r="AU17" s="755" t="n"/>
      <c r="AV17" s="740" t="inlineStr">
        <is>
          <t>AUD</t>
        </is>
      </c>
      <c r="AW17" s="740" t="inlineStr">
        <is>
          <t>trade</t>
        </is>
      </c>
      <c r="AX17" s="756" t="inlineStr">
        <is>
          <t>pepperstone_mt5:dd92b8014efc0346a494:closing-deals:90f3f337181811e6</t>
        </is>
      </c>
    </row>
    <row r="18" ht="15" customHeight="1">
      <c r="A18" s="737" t="inlineStr">
        <is>
          <t>F1163</t>
        </is>
      </c>
      <c r="B18" s="738" t="n">
        <v>46272.30135416667</v>
      </c>
      <c r="C18" s="739" t="n">
        <v>46272.33172453703</v>
      </c>
      <c r="D18" s="740" t="inlineStr">
        <is>
          <t>PEPPERSTONE DEMO</t>
        </is>
      </c>
      <c r="E18" s="740" t="inlineStr">
        <is>
          <t>USDJPY</t>
        </is>
      </c>
      <c r="F18" s="740" t="inlineStr">
        <is>
          <t>SELL</t>
        </is>
      </c>
      <c r="G18" s="742" t="n">
        <v>0.22</v>
      </c>
      <c r="H18" s="742" t="n">
        <v>156.154</v>
      </c>
      <c r="I18" s="742" t="n">
        <v>156.054</v>
      </c>
      <c r="J18" s="743" t="n">
        <v>156.193</v>
      </c>
      <c r="K18" s="765" t="n">
        <v>0.0002497534485188704</v>
      </c>
      <c r="L18" s="743" t="n">
        <v>156.054</v>
      </c>
      <c r="M18" s="765" t="n">
        <v>0.0006403934577403994</v>
      </c>
      <c r="N18" s="766" t="n">
        <v>-1.54</v>
      </c>
      <c r="O18" s="767" t="n">
        <v>18.03</v>
      </c>
      <c r="P18" s="776" t="n">
        <v>0.0003606</v>
      </c>
      <c r="Q18" s="748" t="n">
        <v>2.564102564101387</v>
      </c>
      <c r="R18" s="769" t="n">
        <v>50018.03</v>
      </c>
      <c r="S18" s="740" t="inlineStr">
        <is>
          <t>43M 44S</t>
        </is>
      </c>
      <c r="T18" s="750" t="n"/>
      <c r="U18" s="751" t="n"/>
      <c r="V18" s="752" t="n"/>
      <c r="W18" s="753" t="n"/>
      <c r="X18" s="754" t="n"/>
      <c r="Y18" s="750" t="n"/>
      <c r="Z18" s="751" t="n"/>
      <c r="AA18" s="752" t="n"/>
      <c r="AB18" s="753" t="n"/>
      <c r="AC18" s="754" t="n"/>
      <c r="AD18" s="740" t="inlineStr">
        <is>
          <t>No</t>
        </is>
      </c>
      <c r="AE18" s="755" t="n"/>
      <c r="AF18" s="740" t="n"/>
      <c r="AG18" s="755" t="n"/>
      <c r="AH18" s="755" t="n"/>
      <c r="AI18" s="755" t="n"/>
      <c r="AJ18" s="755" t="n"/>
      <c r="AK18" s="755" t="n"/>
      <c r="AL18" s="755" t="n"/>
      <c r="AM18" s="755" t="n"/>
      <c r="AN18" s="755" t="n"/>
      <c r="AO18" s="755" t="n"/>
      <c r="AP18" s="740" t="n"/>
      <c r="AQ18" s="740" t="n"/>
      <c r="AR18" s="755" t="n"/>
      <c r="AS18" s="740" t="n"/>
      <c r="AT18" s="755" t="n"/>
      <c r="AU18" s="755" t="n"/>
      <c r="AV18" s="740" t="inlineStr">
        <is>
          <t>AUD</t>
        </is>
      </c>
      <c r="AW18" s="740" t="inlineStr">
        <is>
          <t>trade</t>
        </is>
      </c>
      <c r="AX18" s="756" t="inlineStr">
        <is>
          <t>pepperstone_mt5:dd92b8014efc0346a494:closing-deals:c6b365451b945146</t>
        </is>
      </c>
    </row>
    <row r="19" ht="15" customHeight="1">
      <c r="A19" s="41" t="n"/>
      <c r="B19" s="770" t="n">
        <v>46235</v>
      </c>
      <c r="C19" s="771" t="n">
        <v>46265.99998842592</v>
      </c>
      <c r="D19" s="12" t="inlineStr">
        <is>
          <t>BYBIT</t>
        </is>
      </c>
      <c r="E19" s="12" t="inlineStr">
        <is>
          <t>MONTHLY AUD P/L</t>
        </is>
      </c>
      <c r="F19" s="12" t="n"/>
      <c r="G19" s="262" t="n"/>
      <c r="H19" s="262" t="n">
        <v>0.70024</v>
      </c>
      <c r="I19" s="262" t="n">
        <v>0.716205</v>
      </c>
      <c r="J19" s="263" t="n"/>
      <c r="K19" s="36" t="n"/>
      <c r="L19" s="263" t="n"/>
      <c r="M19" s="36" t="n"/>
      <c r="N19" s="772" t="n"/>
      <c r="O19" s="773" t="n">
        <v>-7.17</v>
      </c>
      <c r="P19" s="3" t="n"/>
      <c r="Q19" s="51" t="n"/>
      <c r="R19" s="54" t="n"/>
      <c r="S19" s="12" t="n"/>
      <c r="T19" s="774" t="n"/>
      <c r="U19" s="6" t="n"/>
      <c r="V19" s="264" t="n"/>
      <c r="W19" s="9" t="n"/>
      <c r="X19" s="46" t="n"/>
      <c r="Y19" s="774" t="n"/>
      <c r="Z19" s="6" t="n"/>
      <c r="AA19" s="264" t="n"/>
      <c r="AB19" s="9" t="n"/>
      <c r="AC19" s="46" t="n"/>
      <c r="AD19" s="12" t="inlineStr">
        <is>
          <t>No</t>
        </is>
      </c>
      <c r="AE19" s="45" t="n"/>
      <c r="AF19" s="45" t="n"/>
      <c r="AG19" s="45" t="n"/>
      <c r="AH19" s="45" t="n"/>
      <c r="AI19" s="45" t="n"/>
      <c r="AJ19" s="45" t="n"/>
      <c r="AK19" s="45" t="n"/>
      <c r="AL19" s="45" t="n"/>
      <c r="AM19" s="45" t="n"/>
      <c r="AN19" s="45" t="n"/>
      <c r="AO19" s="45" t="n"/>
      <c r="AP19" s="45" t="n"/>
      <c r="AQ19" s="45" t="n"/>
      <c r="AR19" s="45" t="n"/>
      <c r="AS19" s="12" t="inlineStr">
        <is>
          <t>Monthly BYBIT AUD P/L note; excluded from trading metrics.</t>
        </is>
      </c>
      <c r="AT19" s="45" t="n"/>
      <c r="AU19" s="45" t="n"/>
      <c r="AV19" s="12" t="inlineStr">
        <is>
          <t>AUD</t>
        </is>
      </c>
      <c r="AW19" s="12" t="inlineStr">
        <is>
          <t>monthly_aud_reval</t>
        </is>
      </c>
      <c r="AX19" s="57" t="inlineStr">
        <is>
          <t>monthly_aud_reval:bybit_live:2026-08</t>
        </is>
      </c>
    </row>
    <row r="20" ht="15" customHeight="1">
      <c r="A20" s="716" t="inlineStr">
        <is>
          <t>C376</t>
        </is>
      </c>
      <c r="B20" s="717" t="n">
        <v>46260.91851851852</v>
      </c>
      <c r="C20" s="718" t="n">
        <v>46265.40696759259</v>
      </c>
      <c r="D20" s="719" t="inlineStr">
        <is>
          <t>Bybit Demo</t>
        </is>
      </c>
      <c r="E20" s="719" t="inlineStr">
        <is>
          <t>ETHUSDT</t>
        </is>
      </c>
      <c r="F20" s="719" t="inlineStr">
        <is>
          <t>BUY</t>
        </is>
      </c>
      <c r="G20" s="735" t="n">
        <v>0.04</v>
      </c>
      <c r="H20" s="720" t="n">
        <v>2463.51</v>
      </c>
      <c r="I20" s="720" t="n">
        <v>2394.51</v>
      </c>
      <c r="J20" s="721" t="n">
        <v>2394.29</v>
      </c>
      <c r="K20" s="722" t="n">
        <v>0.02809812016188294</v>
      </c>
      <c r="L20" s="721" t="n">
        <v>2682.44</v>
      </c>
      <c r="M20" s="722" t="n">
        <v>0.08886913387808444</v>
      </c>
      <c r="N20" s="758" t="n">
        <v>0.10687644</v>
      </c>
      <c r="O20" s="724" t="n">
        <v>-2.904106169999991</v>
      </c>
      <c r="P20" s="725" t="n">
        <v>-0.009081443445967041</v>
      </c>
      <c r="Q20" s="726" t="n">
        <v>-0.9968217278243245</v>
      </c>
      <c r="R20" s="727" t="n">
        <v>316.8805389999999</v>
      </c>
      <c r="S20" s="719" t="inlineStr">
        <is>
          <t>4D 11H 43M 22S</t>
        </is>
      </c>
      <c r="T20" s="728" t="n"/>
      <c r="U20" s="729" t="n"/>
      <c r="V20" s="730" t="n"/>
      <c r="W20" s="731" t="n"/>
      <c r="X20" s="732" t="n"/>
      <c r="Y20" s="728" t="n"/>
      <c r="Z20" s="729" t="n"/>
      <c r="AA20" s="730" t="n"/>
      <c r="AB20" s="731" t="n"/>
      <c r="AC20" s="732" t="n"/>
      <c r="AD20" s="719" t="inlineStr">
        <is>
          <t>No</t>
        </is>
      </c>
      <c r="AE20" s="733" t="n"/>
      <c r="AF20" s="719" t="inlineStr">
        <is>
          <t>20</t>
        </is>
      </c>
      <c r="AG20" s="733" t="n"/>
      <c r="AH20" s="733" t="n"/>
      <c r="AI20" s="733" t="n"/>
      <c r="AJ20" s="733" t="n"/>
      <c r="AK20" s="733" t="n"/>
      <c r="AL20" s="733" t="n"/>
      <c r="AM20" s="733" t="n"/>
      <c r="AN20" s="733" t="n"/>
      <c r="AO20" s="733" t="n"/>
      <c r="AP20" s="719" t="inlineStr">
        <is>
          <t>Pullback</t>
        </is>
      </c>
      <c r="AQ20" s="719" t="inlineStr">
        <is>
          <t>4H</t>
        </is>
      </c>
      <c r="AR20" s="733" t="n"/>
      <c r="AS20" s="719" t="n"/>
      <c r="AT20" s="733" t="n"/>
      <c r="AU20" s="733" t="n"/>
      <c r="AV20" s="719" t="inlineStr">
        <is>
          <t>USDT</t>
        </is>
      </c>
      <c r="AW20" s="719" t="inlineStr">
        <is>
          <t>trade</t>
        </is>
      </c>
      <c r="AX20" s="734" t="inlineStr">
        <is>
          <t>bybit:demo:trade:ETHUSDT:e2d77add7cacedcd</t>
        </is>
      </c>
    </row>
    <row r="21" ht="15" customHeight="1">
      <c r="A21" s="716" t="inlineStr">
        <is>
          <t>C375</t>
        </is>
      </c>
      <c r="B21" s="717" t="n">
        <v>46259.63788194444</v>
      </c>
      <c r="C21" s="718" t="n">
        <v>46259.64199074074</v>
      </c>
      <c r="D21" s="719" t="inlineStr">
        <is>
          <t>Bybit Demo</t>
        </is>
      </c>
      <c r="E21" s="719" t="inlineStr">
        <is>
          <t>ENAUSDT</t>
        </is>
      </c>
      <c r="F21" s="719" t="inlineStr">
        <is>
          <t>BUY</t>
        </is>
      </c>
      <c r="G21" s="720" t="n">
        <v>144</v>
      </c>
      <c r="H21" s="720" t="n">
        <v>0.15667</v>
      </c>
      <c r="I21" s="720" t="n">
        <v>0.1565</v>
      </c>
      <c r="J21" s="721" t="n">
        <v>0.13417</v>
      </c>
      <c r="K21" s="722" t="n">
        <v>0.143613965660305</v>
      </c>
      <c r="L21" s="721" t="n">
        <v>0.21606</v>
      </c>
      <c r="M21" s="722" t="n">
        <v>0.3790770409140231</v>
      </c>
      <c r="N21" s="723" t="n">
        <v>0.02480307</v>
      </c>
      <c r="O21" s="777" t="n">
        <v>-0.0492830700000005</v>
      </c>
      <c r="P21" s="763" t="n">
        <v>-0.0001540895622650109</v>
      </c>
      <c r="Q21" s="759" t="n">
        <v>-0.007555555555555713</v>
      </c>
      <c r="R21" s="727" t="n">
        <v>319.7846451699999</v>
      </c>
      <c r="S21" s="719" t="inlineStr">
        <is>
          <t>5M 55S</t>
        </is>
      </c>
      <c r="T21" s="728" t="n"/>
      <c r="U21" s="729" t="n"/>
      <c r="V21" s="730" t="n"/>
      <c r="W21" s="731" t="n"/>
      <c r="X21" s="732" t="n"/>
      <c r="Y21" s="728" t="n"/>
      <c r="Z21" s="729" t="n"/>
      <c r="AA21" s="730" t="n"/>
      <c r="AB21" s="731" t="n"/>
      <c r="AC21" s="732" t="n"/>
      <c r="AD21" s="719" t="inlineStr">
        <is>
          <t>No</t>
        </is>
      </c>
      <c r="AE21" s="733" t="n"/>
      <c r="AF21" s="719" t="inlineStr">
        <is>
          <t>20</t>
        </is>
      </c>
      <c r="AG21" s="733" t="n"/>
      <c r="AH21" s="733" t="n"/>
      <c r="AI21" s="733" t="n"/>
      <c r="AJ21" s="733" t="n"/>
      <c r="AK21" s="733" t="n"/>
      <c r="AL21" s="733" t="n"/>
      <c r="AM21" s="733" t="n"/>
      <c r="AN21" s="733" t="n"/>
      <c r="AO21" s="733" t="n"/>
      <c r="AP21" s="719" t="inlineStr">
        <is>
          <t>Pullback</t>
        </is>
      </c>
      <c r="AQ21" s="719" t="inlineStr">
        <is>
          <t>4H</t>
        </is>
      </c>
      <c r="AR21" s="733" t="n"/>
      <c r="AS21" s="719" t="n"/>
      <c r="AT21" s="719" t="n"/>
      <c r="AU21" s="719" t="n"/>
      <c r="AV21" s="719" t="inlineStr">
        <is>
          <t>USDT</t>
        </is>
      </c>
      <c r="AW21" s="719" t="inlineStr">
        <is>
          <t>trade</t>
        </is>
      </c>
      <c r="AX21" s="734" t="inlineStr">
        <is>
          <t>bybit:demo:trade:ENAUSDT:aa70032a44235ba3</t>
        </is>
      </c>
    </row>
    <row r="22" ht="15" customHeight="1">
      <c r="A22" s="778" t="n"/>
      <c r="B22" s="738" t="n">
        <v>46226.87690972222</v>
      </c>
      <c r="C22" s="739" t="n">
        <v>46235.20834490741</v>
      </c>
      <c r="D22" s="740" t="inlineStr">
        <is>
          <t>OANDA DEMO</t>
        </is>
      </c>
      <c r="E22" s="740" t="inlineStr">
        <is>
          <t>EURUSD</t>
        </is>
      </c>
      <c r="F22" s="740" t="inlineStr">
        <is>
          <t>BUY</t>
        </is>
      </c>
      <c r="G22" s="775" t="n">
        <v>0.01029</v>
      </c>
      <c r="H22" s="742" t="n">
        <v>1.14042</v>
      </c>
      <c r="I22" s="742" t="n">
        <v>1.15312</v>
      </c>
      <c r="J22" s="743" t="n">
        <v>1.13046</v>
      </c>
      <c r="K22" s="744" t="n">
        <v>0.008733624454148445</v>
      </c>
      <c r="L22" s="743" t="n">
        <v>1.16076</v>
      </c>
      <c r="M22" s="744" t="n">
        <v>0.01783553427684539</v>
      </c>
      <c r="N22" s="766" t="n">
        <v>0.9608</v>
      </c>
      <c r="O22" s="767" t="n">
        <v>17.4233</v>
      </c>
      <c r="P22" s="747" t="n">
        <v>0.01147825342240141</v>
      </c>
      <c r="Q22" s="748" t="n">
        <v>1.275100401606423</v>
      </c>
      <c r="R22" s="769" t="n">
        <v>1517.94</v>
      </c>
      <c r="S22" s="740" t="inlineStr">
        <is>
          <t>8D 7H 57M 16S</t>
        </is>
      </c>
      <c r="T22" s="750" t="n"/>
      <c r="U22" s="751" t="n"/>
      <c r="V22" s="752" t="n"/>
      <c r="W22" s="753" t="n"/>
      <c r="X22" s="754" t="n"/>
      <c r="Y22" s="750" t="n"/>
      <c r="Z22" s="751" t="n"/>
      <c r="AA22" s="752" t="n"/>
      <c r="AB22" s="753" t="n"/>
      <c r="AC22" s="754" t="n"/>
      <c r="AD22" s="740" t="inlineStr">
        <is>
          <t>Yes</t>
        </is>
      </c>
      <c r="AE22" s="755" t="n"/>
      <c r="AF22" s="755" t="n"/>
      <c r="AG22" s="755" t="n"/>
      <c r="AH22" s="755" t="n"/>
      <c r="AI22" s="755" t="n"/>
      <c r="AJ22" s="755" t="n"/>
      <c r="AK22" s="755" t="n"/>
      <c r="AL22" s="755" t="n"/>
      <c r="AM22" s="755" t="n"/>
      <c r="AN22" s="755" t="n"/>
      <c r="AO22" s="755" t="n"/>
      <c r="AP22" s="755" t="n"/>
      <c r="AQ22" s="755" t="n"/>
      <c r="AR22" s="755" t="n"/>
      <c r="AS22" s="740" t="n"/>
      <c r="AT22" s="755" t="n"/>
      <c r="AU22" s="755" t="n"/>
      <c r="AV22" s="740" t="n"/>
      <c r="AW22" s="740" t="inlineStr">
        <is>
          <t>trade</t>
        </is>
      </c>
      <c r="AX22" s="756" t="inlineStr">
        <is>
          <t>oanda_export:demo:652:664</t>
        </is>
      </c>
    </row>
    <row r="23" ht="15" customHeight="1">
      <c r="A23" s="41" t="n"/>
      <c r="B23" s="770" t="n">
        <v>46204</v>
      </c>
      <c r="C23" s="771" t="n">
        <v>46234.99998842592</v>
      </c>
      <c r="D23" s="12" t="inlineStr">
        <is>
          <t>BYBIT</t>
        </is>
      </c>
      <c r="E23" s="12" t="inlineStr">
        <is>
          <t>MONTHLY AUD P/L</t>
        </is>
      </c>
      <c r="F23" s="45" t="n"/>
      <c r="G23" s="265" t="n"/>
      <c r="H23" s="262" t="n">
        <v>0.68926</v>
      </c>
      <c r="I23" s="262" t="n">
        <v>0.70024</v>
      </c>
      <c r="J23" s="266" t="n"/>
      <c r="K23" s="46" t="n"/>
      <c r="L23" s="266" t="n"/>
      <c r="M23" s="46" t="n"/>
      <c r="N23" s="779" t="n"/>
      <c r="O23" s="773" t="n">
        <v>-5.12</v>
      </c>
      <c r="P23" s="9" t="n"/>
      <c r="Q23" s="49" t="n"/>
      <c r="R23" s="52" t="n"/>
      <c r="S23" s="45" t="n"/>
      <c r="T23" s="774" t="n"/>
      <c r="U23" s="6" t="n"/>
      <c r="V23" s="264" t="n"/>
      <c r="W23" s="9" t="n"/>
      <c r="X23" s="46" t="n"/>
      <c r="Y23" s="774" t="n"/>
      <c r="Z23" s="6" t="n"/>
      <c r="AA23" s="264" t="n"/>
      <c r="AB23" s="9" t="n"/>
      <c r="AC23" s="46" t="n"/>
      <c r="AD23" s="12" t="inlineStr">
        <is>
          <t>No</t>
        </is>
      </c>
      <c r="AE23" s="45" t="n"/>
      <c r="AF23" s="45" t="n"/>
      <c r="AG23" s="45" t="n"/>
      <c r="AH23" s="45" t="n"/>
      <c r="AI23" s="45" t="n"/>
      <c r="AJ23" s="45" t="n"/>
      <c r="AK23" s="45" t="n"/>
      <c r="AL23" s="45" t="n"/>
      <c r="AM23" s="45" t="n"/>
      <c r="AN23" s="45" t="n"/>
      <c r="AO23" s="45" t="n"/>
      <c r="AP23" s="45" t="n"/>
      <c r="AQ23" s="45" t="n"/>
      <c r="AR23" s="45" t="n"/>
      <c r="AS23" s="12" t="inlineStr">
        <is>
          <t>Monthly BYBIT AUD P/L note; excluded from trading metrics.</t>
        </is>
      </c>
      <c r="AT23" s="45" t="n"/>
      <c r="AU23" s="45" t="n"/>
      <c r="AV23" s="12" t="inlineStr">
        <is>
          <t>AUD</t>
        </is>
      </c>
      <c r="AW23" s="12" t="inlineStr">
        <is>
          <t>monthly_aud_reval</t>
        </is>
      </c>
      <c r="AX23" s="57" t="inlineStr">
        <is>
          <t>monthly_aud_reval:bybit_live:2026-07</t>
        </is>
      </c>
    </row>
    <row r="24" ht="15" customHeight="1">
      <c r="A24" s="41" t="n"/>
      <c r="B24" s="770" t="n">
        <v>46174</v>
      </c>
      <c r="C24" s="771" t="n">
        <v>46203.99998842592</v>
      </c>
      <c r="D24" s="12" t="inlineStr">
        <is>
          <t>BYBIT</t>
        </is>
      </c>
      <c r="E24" s="12" t="inlineStr">
        <is>
          <t>MONTHLY AUD P/L</t>
        </is>
      </c>
      <c r="F24" s="12" t="n"/>
      <c r="G24" s="265" t="n"/>
      <c r="H24" s="262" t="n">
        <v>0.717765</v>
      </c>
      <c r="I24" s="262" t="n">
        <v>0.68926</v>
      </c>
      <c r="J24" s="266" t="n"/>
      <c r="K24" s="46" t="n"/>
      <c r="L24" s="266" t="n"/>
      <c r="M24" s="46" t="n"/>
      <c r="N24" s="779" t="n"/>
      <c r="O24" s="773" t="n">
        <v>12.95</v>
      </c>
      <c r="P24" s="9" t="n"/>
      <c r="Q24" s="49" t="n"/>
      <c r="R24" s="54" t="n"/>
      <c r="S24" s="45" t="n"/>
      <c r="T24" s="774" t="n"/>
      <c r="U24" s="6" t="n"/>
      <c r="V24" s="264" t="n"/>
      <c r="W24" s="9" t="n"/>
      <c r="X24" s="46" t="n"/>
      <c r="Y24" s="774" t="n"/>
      <c r="Z24" s="6" t="n"/>
      <c r="AA24" s="264" t="n"/>
      <c r="AB24" s="9" t="n"/>
      <c r="AC24" s="46" t="n"/>
      <c r="AD24" s="12" t="inlineStr">
        <is>
          <t>No</t>
        </is>
      </c>
      <c r="AE24" s="45" t="n"/>
      <c r="AF24" s="45" t="n"/>
      <c r="AG24" s="45" t="n"/>
      <c r="AH24" s="45" t="n"/>
      <c r="AI24" s="45" t="n"/>
      <c r="AJ24" s="45" t="n"/>
      <c r="AK24" s="45" t="n"/>
      <c r="AL24" s="45" t="n"/>
      <c r="AM24" s="45" t="n"/>
      <c r="AN24" s="45" t="n"/>
      <c r="AO24" s="45" t="n"/>
      <c r="AP24" s="45" t="n"/>
      <c r="AQ24" s="45" t="n"/>
      <c r="AR24" s="45" t="n"/>
      <c r="AS24" s="12" t="inlineStr">
        <is>
          <t>Monthly BYBIT AUD P/L note; excluded from trading metrics.</t>
        </is>
      </c>
      <c r="AT24" s="12" t="n"/>
      <c r="AU24" s="12" t="n"/>
      <c r="AV24" s="12" t="inlineStr">
        <is>
          <t>AUD</t>
        </is>
      </c>
      <c r="AW24" s="12" t="inlineStr">
        <is>
          <t>monthly_aud_reval</t>
        </is>
      </c>
      <c r="AX24" s="57" t="inlineStr">
        <is>
          <t>monthly_aud_reval:bybit_live:2026-06</t>
        </is>
      </c>
    </row>
    <row r="25" ht="15" customHeight="1">
      <c r="A25" s="41" t="n"/>
      <c r="B25" s="770" t="n">
        <v>46143</v>
      </c>
      <c r="C25" s="771" t="n">
        <v>46173.99998842592</v>
      </c>
      <c r="D25" s="12" t="inlineStr">
        <is>
          <t>BYBIT</t>
        </is>
      </c>
      <c r="E25" s="12" t="inlineStr">
        <is>
          <t>MONTHLY AUD P/L</t>
        </is>
      </c>
      <c r="F25" s="12" t="n"/>
      <c r="G25" s="262" t="n"/>
      <c r="H25" s="262" t="n">
        <v>0.716215</v>
      </c>
      <c r="I25" s="262" t="n">
        <v>0.717765</v>
      </c>
      <c r="J25" s="263" t="n"/>
      <c r="K25" s="36" t="n"/>
      <c r="L25" s="263" t="n"/>
      <c r="M25" s="36" t="n"/>
      <c r="N25" s="772" t="n"/>
      <c r="O25" s="773" t="n">
        <v>-0.68</v>
      </c>
      <c r="P25" s="3" t="n"/>
      <c r="Q25" s="51" t="n"/>
      <c r="R25" s="54" t="n"/>
      <c r="S25" s="12" t="n"/>
      <c r="T25" s="774" t="n"/>
      <c r="U25" s="6" t="n"/>
      <c r="V25" s="264" t="n"/>
      <c r="W25" s="9" t="n"/>
      <c r="X25" s="46" t="n"/>
      <c r="Y25" s="774" t="n"/>
      <c r="Z25" s="6" t="n"/>
      <c r="AA25" s="264" t="n"/>
      <c r="AB25" s="9" t="n"/>
      <c r="AC25" s="46" t="n"/>
      <c r="AD25" s="12" t="inlineStr">
        <is>
          <t>No</t>
        </is>
      </c>
      <c r="AE25" s="45" t="n"/>
      <c r="AF25" s="45" t="n"/>
      <c r="AG25" s="45" t="n"/>
      <c r="AH25" s="45" t="n"/>
      <c r="AI25" s="45" t="n"/>
      <c r="AJ25" s="45" t="n"/>
      <c r="AK25" s="45" t="n"/>
      <c r="AL25" s="45" t="n"/>
      <c r="AM25" s="45" t="n"/>
      <c r="AN25" s="45" t="n"/>
      <c r="AO25" s="45" t="n"/>
      <c r="AP25" s="12" t="n"/>
      <c r="AQ25" s="12" t="n"/>
      <c r="AR25" s="45" t="n"/>
      <c r="AS25" s="12" t="inlineStr">
        <is>
          <t>Monthly BYBIT AUD P/L note; excluded from trading metrics.</t>
        </is>
      </c>
      <c r="AT25" s="45" t="n"/>
      <c r="AU25" s="45" t="n"/>
      <c r="AV25" s="12" t="inlineStr">
        <is>
          <t>AUD</t>
        </is>
      </c>
      <c r="AW25" s="12" t="inlineStr">
        <is>
          <t>monthly_aud_reval</t>
        </is>
      </c>
      <c r="AX25" s="57" t="inlineStr">
        <is>
          <t>monthly_aud_reval:bybit_live:2026-05</t>
        </is>
      </c>
    </row>
    <row r="26" ht="15" customHeight="1">
      <c r="A26" s="780" t="n"/>
      <c r="B26" s="717" t="n">
        <v>46168.70456018519</v>
      </c>
      <c r="C26" s="718" t="n">
        <v>46168.70521990741</v>
      </c>
      <c r="D26" s="719" t="inlineStr">
        <is>
          <t>OANDA DEMO</t>
        </is>
      </c>
      <c r="E26" s="719" t="inlineStr">
        <is>
          <t>EURUSD</t>
        </is>
      </c>
      <c r="F26" s="719" t="inlineStr">
        <is>
          <t>BUY</t>
        </is>
      </c>
      <c r="G26" s="735" t="n">
        <v>0.06393</v>
      </c>
      <c r="H26" s="720" t="n">
        <v>1.1637</v>
      </c>
      <c r="I26" s="720" t="n">
        <v>1.16365</v>
      </c>
      <c r="J26" s="721" t="n">
        <v>1.1626</v>
      </c>
      <c r="K26" s="760" t="n">
        <v>0.0009452608060495651</v>
      </c>
      <c r="L26" s="721" t="n">
        <v>1.16593</v>
      </c>
      <c r="M26" s="722" t="n">
        <v>0.00191630145226429</v>
      </c>
      <c r="N26" s="761" t="n"/>
      <c r="O26" s="762" t="n">
        <v>-0.4505</v>
      </c>
      <c r="P26" s="763" t="n">
        <v>-0.0003002932942274363</v>
      </c>
      <c r="Q26" s="781" t="n">
        <v>-0.04545454545444452</v>
      </c>
      <c r="R26" s="764" t="n">
        <v>1500.2</v>
      </c>
      <c r="S26" s="719" t="inlineStr">
        <is>
          <t>57S</t>
        </is>
      </c>
      <c r="T26" s="728" t="n"/>
      <c r="U26" s="729" t="n"/>
      <c r="V26" s="730" t="n"/>
      <c r="W26" s="731" t="n"/>
      <c r="X26" s="732" t="n"/>
      <c r="Y26" s="728" t="n"/>
      <c r="Z26" s="729" t="n"/>
      <c r="AA26" s="730" t="n"/>
      <c r="AB26" s="731" t="n"/>
      <c r="AC26" s="732" t="n"/>
      <c r="AD26" s="719" t="inlineStr">
        <is>
          <t>Yes</t>
        </is>
      </c>
      <c r="AE26" s="733" t="n"/>
      <c r="AF26" s="733" t="n"/>
      <c r="AG26" s="733" t="n"/>
      <c r="AH26" s="733" t="n"/>
      <c r="AI26" s="733" t="n"/>
      <c r="AJ26" s="733" t="n"/>
      <c r="AK26" s="733" t="n"/>
      <c r="AL26" s="733" t="n"/>
      <c r="AM26" s="733" t="n"/>
      <c r="AN26" s="733" t="n"/>
      <c r="AO26" s="733" t="n"/>
      <c r="AP26" s="719" t="inlineStr">
        <is>
          <t>Pullback</t>
        </is>
      </c>
      <c r="AQ26" s="733" t="n"/>
      <c r="AR26" s="733" t="n"/>
      <c r="AS26" s="782" t="n"/>
      <c r="AT26" s="733" t="n"/>
      <c r="AU26" s="733" t="n"/>
      <c r="AV26" s="733" t="n"/>
      <c r="AW26" s="719" t="inlineStr">
        <is>
          <t>trade</t>
        </is>
      </c>
      <c r="AX26" s="734" t="inlineStr">
        <is>
          <t>oanda_export:demo:626:630</t>
        </is>
      </c>
    </row>
    <row r="27" ht="15" customHeight="1">
      <c r="A27" s="41" t="n"/>
      <c r="B27" s="770" t="n">
        <v>46168.57778935185</v>
      </c>
      <c r="C27" s="771" t="n">
        <v>46168.57778935185</v>
      </c>
      <c r="D27" s="12" t="inlineStr">
        <is>
          <t>BYBIT DEMO</t>
        </is>
      </c>
      <c r="E27" s="12" t="inlineStr">
        <is>
          <t>CASHFLOW</t>
        </is>
      </c>
      <c r="F27" s="12" t="inlineStr">
        <is>
          <t>WITHDRAWAL</t>
        </is>
      </c>
      <c r="G27" s="265" t="n"/>
      <c r="H27" s="262" t="n"/>
      <c r="I27" s="262" t="n"/>
      <c r="J27" s="266" t="n"/>
      <c r="K27" s="46" t="n"/>
      <c r="L27" s="266" t="n"/>
      <c r="M27" s="46" t="n"/>
      <c r="N27" s="783" t="n"/>
      <c r="O27" s="784" t="n"/>
      <c r="P27" s="9" t="n"/>
      <c r="Q27" s="49" t="n"/>
      <c r="R27" s="53" t="n">
        <v>319.8339282399999</v>
      </c>
      <c r="S27" s="45" t="n"/>
      <c r="T27" s="774" t="n"/>
      <c r="U27" s="6" t="n"/>
      <c r="V27" s="264" t="n"/>
      <c r="W27" s="9" t="n"/>
      <c r="X27" s="46" t="n"/>
      <c r="Y27" s="774" t="n"/>
      <c r="Z27" s="6" t="n"/>
      <c r="AA27" s="264" t="n"/>
      <c r="AB27" s="9" t="n"/>
      <c r="AC27" s="46" t="n"/>
      <c r="AD27" s="12" t="inlineStr">
        <is>
          <t>No</t>
        </is>
      </c>
      <c r="AE27" s="45" t="n"/>
      <c r="AF27" s="45" t="n"/>
      <c r="AG27" s="45" t="n"/>
      <c r="AH27" s="45" t="n"/>
      <c r="AI27" s="45" t="n"/>
      <c r="AJ27" s="45" t="n"/>
      <c r="AK27" s="45" t="n"/>
      <c r="AL27" s="45" t="n"/>
      <c r="AM27" s="45" t="n"/>
      <c r="AN27" s="45" t="n"/>
      <c r="AO27" s="45" t="n"/>
      <c r="AP27" s="45" t="n"/>
      <c r="AQ27" s="45" t="n"/>
      <c r="AR27" s="12" t="n"/>
      <c r="AS27" s="12" t="inlineStr">
        <is>
          <t>Journal-only Bybit Demo balance adjustment; does not change Bybit.</t>
        </is>
      </c>
      <c r="AT27" s="12" t="n">
        <v>-46.66417972</v>
      </c>
      <c r="AU27" s="12" t="n">
        <v>319.8339282399999</v>
      </c>
      <c r="AV27" s="12" t="inlineStr">
        <is>
          <t>USDT</t>
        </is>
      </c>
      <c r="AW27" s="12" t="inlineStr">
        <is>
          <t>cashflow</t>
        </is>
      </c>
      <c r="AX27" s="57" t="inlineStr">
        <is>
          <t>cashflow:bybit_demo_balance_adjustment:20260526T035201865117Z:6e0f62d0</t>
        </is>
      </c>
    </row>
    <row r="28" ht="15" customHeight="1">
      <c r="A28" s="780" t="n"/>
      <c r="B28" s="717" t="n">
        <v>46168.52976851852</v>
      </c>
      <c r="C28" s="718" t="n">
        <v>46168.53020833333</v>
      </c>
      <c r="D28" s="719" t="inlineStr">
        <is>
          <t>BYBIT DEMO</t>
        </is>
      </c>
      <c r="E28" s="719" t="inlineStr">
        <is>
          <t>BTCUSDT</t>
        </is>
      </c>
      <c r="F28" s="719" t="inlineStr">
        <is>
          <t>BUY</t>
        </is>
      </c>
      <c r="G28" s="735" t="n">
        <v>0.016</v>
      </c>
      <c r="H28" s="720" t="n">
        <v>76600.60000000001</v>
      </c>
      <c r="I28" s="720" t="n">
        <v>76570.2</v>
      </c>
      <c r="J28" s="721" t="n">
        <v>76491.2</v>
      </c>
      <c r="K28" s="722" t="n">
        <v>0.001428187246575206</v>
      </c>
      <c r="L28" s="721" t="n">
        <v>77067.3</v>
      </c>
      <c r="M28" s="722" t="n">
        <v>0.006092641571998092</v>
      </c>
      <c r="N28" s="758" t="n">
        <v>1.34790304</v>
      </c>
      <c r="O28" s="724" t="n">
        <v>-1.834303040000231</v>
      </c>
      <c r="P28" s="725" t="n">
        <v>-0.005004945455817821</v>
      </c>
      <c r="Q28" s="726" t="n">
        <v>-0.2778793418647743</v>
      </c>
      <c r="R28" s="727" t="n">
        <v>366.4981079599999</v>
      </c>
      <c r="S28" s="719" t="inlineStr">
        <is>
          <t>38S</t>
        </is>
      </c>
      <c r="T28" s="728" t="n"/>
      <c r="U28" s="729" t="n"/>
      <c r="V28" s="730" t="n"/>
      <c r="W28" s="731" t="n"/>
      <c r="X28" s="732" t="n"/>
      <c r="Y28" s="728" t="n"/>
      <c r="Z28" s="729" t="n"/>
      <c r="AA28" s="730" t="n"/>
      <c r="AB28" s="731" t="n"/>
      <c r="AC28" s="732" t="n"/>
      <c r="AD28" s="719" t="inlineStr">
        <is>
          <t>Yes</t>
        </is>
      </c>
      <c r="AE28" s="733" t="n"/>
      <c r="AF28" s="733" t="n"/>
      <c r="AG28" s="733" t="n"/>
      <c r="AH28" s="733" t="n"/>
      <c r="AI28" s="733" t="n"/>
      <c r="AJ28" s="733" t="n"/>
      <c r="AK28" s="733" t="n"/>
      <c r="AL28" s="733" t="n"/>
      <c r="AM28" s="733" t="n"/>
      <c r="AN28" s="733" t="n"/>
      <c r="AO28" s="733" t="n"/>
      <c r="AP28" s="719" t="inlineStr">
        <is>
          <t>Pullback</t>
        </is>
      </c>
      <c r="AQ28" s="719" t="inlineStr">
        <is>
          <t>1MIN</t>
        </is>
      </c>
      <c r="AR28" s="733" t="n"/>
      <c r="AS28" s="733" t="n"/>
      <c r="AT28" s="733" t="n"/>
      <c r="AU28" s="733" t="n"/>
      <c r="AV28" s="719" t="inlineStr">
        <is>
          <t>USDT</t>
        </is>
      </c>
      <c r="AW28" s="719" t="inlineStr">
        <is>
          <t>trade</t>
        </is>
      </c>
      <c r="AX28" s="734" t="inlineStr">
        <is>
          <t>bybit:demo:trade:BTCUSDT:85c1adb0266f56a4</t>
        </is>
      </c>
    </row>
    <row r="29" ht="15" customHeight="1">
      <c r="A29" s="780" t="n"/>
      <c r="B29" s="717" t="n">
        <v>46168.41217592593</v>
      </c>
      <c r="C29" s="718" t="n">
        <v>46168.41262731481</v>
      </c>
      <c r="D29" s="719" t="inlineStr">
        <is>
          <t>BYBIT DEMO</t>
        </is>
      </c>
      <c r="E29" s="719" t="inlineStr">
        <is>
          <t>BTCUSDT</t>
        </is>
      </c>
      <c r="F29" s="719" t="inlineStr">
        <is>
          <t>BUY</t>
        </is>
      </c>
      <c r="G29" s="735" t="n">
        <v>0.016</v>
      </c>
      <c r="H29" s="720" t="n">
        <v>77294.7</v>
      </c>
      <c r="I29" s="720" t="n">
        <v>77297.39999999999</v>
      </c>
      <c r="J29" s="721" t="n">
        <v>77194.8</v>
      </c>
      <c r="K29" s="722" t="n">
        <v>0.001292456015742272</v>
      </c>
      <c r="L29" s="721" t="n">
        <v>77773.5</v>
      </c>
      <c r="M29" s="722" t="n">
        <v>0.006194473877251648</v>
      </c>
      <c r="N29" s="758" t="n">
        <v>1.36041048</v>
      </c>
      <c r="O29" s="724" t="n">
        <v>-1.31721047999993</v>
      </c>
      <c r="P29" s="725" t="n">
        <v>-0.003576146004702067</v>
      </c>
      <c r="Q29" s="781" t="n">
        <v>0.02702702702699947</v>
      </c>
      <c r="R29" s="727" t="n">
        <v>368.3324110000001</v>
      </c>
      <c r="S29" s="719" t="inlineStr">
        <is>
          <t>39S</t>
        </is>
      </c>
      <c r="T29" s="728" t="n"/>
      <c r="U29" s="729" t="n"/>
      <c r="V29" s="730" t="n"/>
      <c r="W29" s="731" t="n"/>
      <c r="X29" s="732" t="n"/>
      <c r="Y29" s="728" t="n"/>
      <c r="Z29" s="729" t="n"/>
      <c r="AA29" s="730" t="n"/>
      <c r="AB29" s="731" t="n"/>
      <c r="AC29" s="732" t="n"/>
      <c r="AD29" s="719" t="inlineStr">
        <is>
          <t>Yes</t>
        </is>
      </c>
      <c r="AE29" s="733" t="n"/>
      <c r="AF29" s="733" t="n"/>
      <c r="AG29" s="733" t="n"/>
      <c r="AH29" s="733" t="n"/>
      <c r="AI29" s="733" t="n"/>
      <c r="AJ29" s="733" t="n"/>
      <c r="AK29" s="733" t="n"/>
      <c r="AL29" s="733" t="n"/>
      <c r="AM29" s="733" t="n"/>
      <c r="AN29" s="733" t="n"/>
      <c r="AO29" s="733" t="n"/>
      <c r="AP29" s="719" t="inlineStr">
        <is>
          <t>Pullback</t>
        </is>
      </c>
      <c r="AQ29" s="719" t="inlineStr">
        <is>
          <t>1MIN</t>
        </is>
      </c>
      <c r="AR29" s="733" t="n"/>
      <c r="AS29" s="782" t="n"/>
      <c r="AT29" s="733" t="n"/>
      <c r="AU29" s="733" t="n"/>
      <c r="AV29" s="719" t="inlineStr">
        <is>
          <t>USDT</t>
        </is>
      </c>
      <c r="AW29" s="719" t="inlineStr">
        <is>
          <t>trade</t>
        </is>
      </c>
      <c r="AX29" s="734" t="inlineStr">
        <is>
          <t>bybit:demo:trade:BTCUSDT:049246f1ec6e4a68</t>
        </is>
      </c>
    </row>
    <row r="30" ht="15" customHeight="1">
      <c r="A30" s="780" t="n"/>
      <c r="B30" s="717" t="n">
        <v>46146.46875</v>
      </c>
      <c r="C30" s="718" t="n">
        <v>46146.46944444445</v>
      </c>
      <c r="D30" s="719" t="inlineStr">
        <is>
          <t>BYBIT DEMO</t>
        </is>
      </c>
      <c r="E30" s="719" t="inlineStr">
        <is>
          <t>BTCUSDT</t>
        </is>
      </c>
      <c r="F30" s="719" t="inlineStr">
        <is>
          <t>SELL</t>
        </is>
      </c>
      <c r="G30" s="735" t="n">
        <v>0.019</v>
      </c>
      <c r="H30" s="720" t="n">
        <v>78440.7</v>
      </c>
      <c r="I30" s="720" t="n">
        <v>78452.2</v>
      </c>
      <c r="J30" s="721" t="n"/>
      <c r="K30" s="722" t="n"/>
      <c r="L30" s="721" t="n"/>
      <c r="M30" s="722" t="n"/>
      <c r="N30" s="758" t="n">
        <v>1.63953081</v>
      </c>
      <c r="O30" s="724" t="n">
        <v>-1.42103081</v>
      </c>
      <c r="P30" s="725" t="n">
        <v>-0.003844264209741347</v>
      </c>
      <c r="Q30" s="726" t="n"/>
      <c r="R30" s="727" t="n">
        <v>369.64962148</v>
      </c>
      <c r="S30" s="719" t="inlineStr">
        <is>
          <t>1M 0S</t>
        </is>
      </c>
      <c r="T30" s="728" t="n"/>
      <c r="U30" s="729" t="n"/>
      <c r="V30" s="730" t="n"/>
      <c r="W30" s="731" t="n"/>
      <c r="X30" s="732" t="n"/>
      <c r="Y30" s="728" t="n"/>
      <c r="Z30" s="729" t="n"/>
      <c r="AA30" s="730" t="n"/>
      <c r="AB30" s="731" t="n"/>
      <c r="AC30" s="732" t="n"/>
      <c r="AD30" s="719" t="inlineStr">
        <is>
          <t>Yes</t>
        </is>
      </c>
      <c r="AE30" s="733" t="n"/>
      <c r="AF30" s="733" t="n"/>
      <c r="AG30" s="733" t="n"/>
      <c r="AH30" s="733" t="n"/>
      <c r="AI30" s="733" t="n"/>
      <c r="AJ30" s="733" t="n"/>
      <c r="AK30" s="733" t="n"/>
      <c r="AL30" s="733" t="n"/>
      <c r="AM30" s="733" t="n"/>
      <c r="AN30" s="733" t="n"/>
      <c r="AO30" s="733" t="n"/>
      <c r="AP30" s="719" t="inlineStr">
        <is>
          <t>Pullback</t>
        </is>
      </c>
      <c r="AQ30" s="733" t="n"/>
      <c r="AR30" s="733" t="n"/>
      <c r="AS30" s="782" t="inlineStr">
        <is>
          <t>Inferred matched round-trip from Bybit fill history. Gross PnL 0.2185 USDT. Raw order prices: 79228.2, 77671.5. Balance after trade unavailable in source CSV.</t>
        </is>
      </c>
      <c r="AT30" s="733" t="n"/>
      <c r="AU30" s="733" t="n"/>
      <c r="AV30" s="733" t="n"/>
      <c r="AW30" s="719" t="inlineStr">
        <is>
          <t>trade</t>
        </is>
      </c>
      <c r="AX30" s="734" t="inlineStr">
        <is>
          <t>sig:cadd2b98cf847e7f4d2e2c54</t>
        </is>
      </c>
    </row>
    <row r="31" ht="15" customHeight="1">
      <c r="A31" s="778" t="n"/>
      <c r="B31" s="738" t="n">
        <v>46145.92430555556</v>
      </c>
      <c r="C31" s="739" t="n">
        <v>46145.925</v>
      </c>
      <c r="D31" s="740" t="inlineStr">
        <is>
          <t>BYBIT DEMO</t>
        </is>
      </c>
      <c r="E31" s="740" t="inlineStr">
        <is>
          <t>LABUSDT</t>
        </is>
      </c>
      <c r="F31" s="740" t="inlineStr">
        <is>
          <t>SELL</t>
        </is>
      </c>
      <c r="G31" s="742" t="n">
        <v>234</v>
      </c>
      <c r="H31" s="742" t="n">
        <v>1.39056</v>
      </c>
      <c r="I31" s="742" t="n">
        <v>1.37831</v>
      </c>
      <c r="J31" s="785" t="n"/>
      <c r="K31" s="754" t="n"/>
      <c r="L31" s="785" t="n"/>
      <c r="M31" s="754" t="n"/>
      <c r="N31" s="745" t="n">
        <v>0.71270715</v>
      </c>
      <c r="O31" s="746" t="n">
        <v>2.15379285</v>
      </c>
      <c r="P31" s="747" t="n">
        <v>0.005804266213747248</v>
      </c>
      <c r="Q31" s="786" t="n"/>
      <c r="R31" s="749" t="n">
        <v>371.07065229</v>
      </c>
      <c r="S31" s="740" t="inlineStr">
        <is>
          <t>1M 0S</t>
        </is>
      </c>
      <c r="T31" s="750" t="n"/>
      <c r="U31" s="751" t="n"/>
      <c r="V31" s="752" t="n"/>
      <c r="W31" s="753" t="n"/>
      <c r="X31" s="754" t="n"/>
      <c r="Y31" s="750" t="n"/>
      <c r="Z31" s="751" t="n"/>
      <c r="AA31" s="752" t="n"/>
      <c r="AB31" s="753" t="n"/>
      <c r="AC31" s="754" t="n"/>
      <c r="AD31" s="740" t="inlineStr">
        <is>
          <t>Yes</t>
        </is>
      </c>
      <c r="AE31" s="755" t="n"/>
      <c r="AF31" s="755" t="n"/>
      <c r="AG31" s="755" t="n"/>
      <c r="AH31" s="755" t="n"/>
      <c r="AI31" s="755" t="n"/>
      <c r="AJ31" s="755" t="n"/>
      <c r="AK31" s="755" t="n"/>
      <c r="AL31" s="755" t="n"/>
      <c r="AM31" s="755" t="n"/>
      <c r="AN31" s="755" t="n"/>
      <c r="AO31" s="755" t="n"/>
      <c r="AP31" s="740" t="inlineStr">
        <is>
          <t>Pullback</t>
        </is>
      </c>
      <c r="AQ31" s="755" t="n"/>
      <c r="AR31" s="755" t="n"/>
      <c r="AS31" s="787" t="inlineStr">
        <is>
          <t>Inferred matched round-trip from Bybit fill history. Gross PnL 2.8665 USDT. Raw order prices: 1.17862, 1.58349. Balance after trade unavailable in source CSV.</t>
        </is>
      </c>
      <c r="AT31" s="755" t="n"/>
      <c r="AU31" s="755" t="n"/>
      <c r="AV31" s="755" t="n"/>
      <c r="AW31" s="740" t="inlineStr">
        <is>
          <t>trade</t>
        </is>
      </c>
      <c r="AX31" s="756" t="inlineStr">
        <is>
          <t>sig:4f93a6167d11cdecb0625d75</t>
        </is>
      </c>
    </row>
    <row r="32" ht="15" customHeight="1">
      <c r="A32" s="41" t="n"/>
      <c r="B32" s="770" t="n">
        <v>46113</v>
      </c>
      <c r="C32" s="771" t="n">
        <v>46142.99998842592</v>
      </c>
      <c r="D32" s="12" t="inlineStr">
        <is>
          <t>BYBIT</t>
        </is>
      </c>
      <c r="E32" s="12" t="inlineStr">
        <is>
          <t>MONTHLY AUD P/L</t>
        </is>
      </c>
      <c r="F32" s="12" t="n"/>
      <c r="G32" s="262" t="n"/>
      <c r="H32" s="262" t="n">
        <v>0.68842</v>
      </c>
      <c r="I32" s="262" t="n">
        <v>0.716215</v>
      </c>
      <c r="J32" s="263" t="n"/>
      <c r="K32" s="36" t="n"/>
      <c r="L32" s="263" t="n"/>
      <c r="M32" s="36" t="n"/>
      <c r="N32" s="779" t="n"/>
      <c r="O32" s="773" t="n">
        <v>-12.66</v>
      </c>
      <c r="P32" s="3" t="n"/>
      <c r="Q32" s="51" t="n"/>
      <c r="R32" s="54" t="n"/>
      <c r="S32" s="12" t="n"/>
      <c r="T32" s="774" t="n"/>
      <c r="U32" s="6" t="n"/>
      <c r="V32" s="264" t="n"/>
      <c r="W32" s="9" t="n"/>
      <c r="X32" s="46" t="n"/>
      <c r="Y32" s="774" t="n"/>
      <c r="Z32" s="6" t="n"/>
      <c r="AA32" s="264" t="n"/>
      <c r="AB32" s="9" t="n"/>
      <c r="AC32" s="46" t="n"/>
      <c r="AD32" s="12" t="inlineStr">
        <is>
          <t>No</t>
        </is>
      </c>
      <c r="AE32" s="45" t="n"/>
      <c r="AF32" s="45" t="n"/>
      <c r="AG32" s="45" t="n"/>
      <c r="AH32" s="45" t="n"/>
      <c r="AI32" s="45" t="n"/>
      <c r="AJ32" s="45" t="n"/>
      <c r="AK32" s="45" t="n"/>
      <c r="AL32" s="45" t="n"/>
      <c r="AM32" s="45" t="n"/>
      <c r="AN32" s="45" t="n"/>
      <c r="AO32" s="45" t="n"/>
      <c r="AP32" s="12" t="n"/>
      <c r="AQ32" s="45" t="n"/>
      <c r="AR32" s="12" t="inlineStr">
        <is>
          <t>No</t>
        </is>
      </c>
      <c r="AS32" s="12" t="inlineStr">
        <is>
          <t>Monthly BYBIT AUD P/L bookkeeping note (excluded from metrics).</t>
        </is>
      </c>
      <c r="AT32" s="45" t="n"/>
      <c r="AU32" s="45" t="n"/>
      <c r="AV32" s="12" t="inlineStr">
        <is>
          <t>AUD</t>
        </is>
      </c>
      <c r="AW32" s="12" t="inlineStr">
        <is>
          <t>monthly_aud_reval</t>
        </is>
      </c>
      <c r="AX32" s="57" t="inlineStr">
        <is>
          <t>monthly_aud_reval:bybit_live:2026-04</t>
        </is>
      </c>
    </row>
    <row r="33" ht="15" customHeight="1">
      <c r="A33" s="780" t="n"/>
      <c r="B33" s="717" t="n">
        <v>46142.82359953703</v>
      </c>
      <c r="C33" s="718" t="n">
        <v>46142.82408564815</v>
      </c>
      <c r="D33" s="719" t="inlineStr">
        <is>
          <t>OANDA DEMO</t>
        </is>
      </c>
      <c r="E33" s="719" t="inlineStr">
        <is>
          <t>EURUSD</t>
        </is>
      </c>
      <c r="F33" s="719" t="inlineStr">
        <is>
          <t>BUY</t>
        </is>
      </c>
      <c r="G33" s="735" t="n">
        <v>0.06546</v>
      </c>
      <c r="H33" s="720" t="n">
        <v>1.16929</v>
      </c>
      <c r="I33" s="720" t="n">
        <v>1.1691</v>
      </c>
      <c r="J33" s="721" t="n">
        <v>1.16824</v>
      </c>
      <c r="K33" s="760" t="n">
        <v>0.000897980825971312</v>
      </c>
      <c r="L33" s="721" t="n">
        <v>1.17148</v>
      </c>
      <c r="M33" s="722" t="n">
        <v>0.001872931437026004</v>
      </c>
      <c r="N33" s="788" t="n"/>
      <c r="O33" s="762" t="n">
        <v>-1.7591</v>
      </c>
      <c r="P33" s="725" t="n">
        <v>-0.001172225369006764</v>
      </c>
      <c r="Q33" s="726" t="n">
        <v>-0.1809523809522984</v>
      </c>
      <c r="R33" s="764" t="n">
        <v>1500.65</v>
      </c>
      <c r="S33" s="719" t="inlineStr">
        <is>
          <t>42S</t>
        </is>
      </c>
      <c r="T33" s="728" t="n"/>
      <c r="U33" s="729" t="n"/>
      <c r="V33" s="730" t="n"/>
      <c r="W33" s="731" t="n"/>
      <c r="X33" s="732" t="n"/>
      <c r="Y33" s="728" t="n"/>
      <c r="Z33" s="729" t="n"/>
      <c r="AA33" s="730" t="n"/>
      <c r="AB33" s="731" t="n"/>
      <c r="AC33" s="732" t="n"/>
      <c r="AD33" s="719" t="inlineStr">
        <is>
          <t>Yes</t>
        </is>
      </c>
      <c r="AE33" s="733" t="n"/>
      <c r="AF33" s="733" t="n"/>
      <c r="AG33" s="733" t="n"/>
      <c r="AH33" s="733" t="n"/>
      <c r="AI33" s="733" t="n"/>
      <c r="AJ33" s="733" t="n"/>
      <c r="AK33" s="733" t="n"/>
      <c r="AL33" s="733" t="n"/>
      <c r="AM33" s="733" t="n"/>
      <c r="AN33" s="733" t="n"/>
      <c r="AO33" s="733" t="n"/>
      <c r="AP33" s="719" t="inlineStr">
        <is>
          <t>Pullback</t>
        </is>
      </c>
      <c r="AQ33" s="733" t="n"/>
      <c r="AR33" s="733" t="n"/>
      <c r="AS33" s="733" t="n"/>
      <c r="AT33" s="733" t="n"/>
      <c r="AU33" s="733" t="n"/>
      <c r="AV33" s="733" t="n"/>
      <c r="AW33" s="719" t="inlineStr">
        <is>
          <t>trade</t>
        </is>
      </c>
      <c r="AX33" s="734" t="inlineStr">
        <is>
          <t>oanda_export:demo:618:622</t>
        </is>
      </c>
    </row>
    <row r="34" ht="15" customHeight="1">
      <c r="A34" s="780" t="n"/>
      <c r="B34" s="717" t="n">
        <v>46141.85833333333</v>
      </c>
      <c r="C34" s="718" t="n">
        <v>46142.04930555556</v>
      </c>
      <c r="D34" s="719" t="inlineStr">
        <is>
          <t>BYBIT DEMO</t>
        </is>
      </c>
      <c r="E34" s="719" t="inlineStr">
        <is>
          <t>DOLOUSDT</t>
        </is>
      </c>
      <c r="F34" s="719" t="inlineStr">
        <is>
          <t>BUY</t>
        </is>
      </c>
      <c r="G34" s="720" t="n">
        <v>2799</v>
      </c>
      <c r="H34" s="735" t="n">
        <v>0.03138</v>
      </c>
      <c r="I34" s="735" t="n">
        <v>0.03014</v>
      </c>
      <c r="J34" s="789" t="n"/>
      <c r="K34" s="732" t="n"/>
      <c r="L34" s="789" t="n"/>
      <c r="M34" s="732" t="n"/>
      <c r="N34" s="758" t="n">
        <v>0.19387555</v>
      </c>
      <c r="O34" s="724" t="n">
        <v>-3.66463555</v>
      </c>
      <c r="P34" s="725" t="n">
        <v>-0.00993349980145326</v>
      </c>
      <c r="Q34" s="790" t="n"/>
      <c r="R34" s="727" t="n">
        <v>368.91685944</v>
      </c>
      <c r="S34" s="719" t="inlineStr">
        <is>
          <t>4H 35M 0S</t>
        </is>
      </c>
      <c r="T34" s="728" t="n"/>
      <c r="U34" s="729" t="n"/>
      <c r="V34" s="730" t="n"/>
      <c r="W34" s="731" t="n"/>
      <c r="X34" s="732" t="n"/>
      <c r="Y34" s="728" t="n"/>
      <c r="Z34" s="729" t="n"/>
      <c r="AA34" s="730" t="n"/>
      <c r="AB34" s="731" t="n"/>
      <c r="AC34" s="732" t="n"/>
      <c r="AD34" s="719" t="inlineStr">
        <is>
          <t>Yes</t>
        </is>
      </c>
      <c r="AE34" s="733" t="n"/>
      <c r="AF34" s="733" t="n"/>
      <c r="AG34" s="733" t="n"/>
      <c r="AH34" s="733" t="n"/>
      <c r="AI34" s="733" t="n"/>
      <c r="AJ34" s="733" t="n"/>
      <c r="AK34" s="733" t="n"/>
      <c r="AL34" s="733" t="n"/>
      <c r="AM34" s="733" t="n"/>
      <c r="AN34" s="733" t="n"/>
      <c r="AO34" s="733" t="n"/>
      <c r="AP34" s="719" t="inlineStr">
        <is>
          <t>Pullback</t>
        </is>
      </c>
      <c r="AQ34" s="733" t="n"/>
      <c r="AR34" s="719" t="n"/>
      <c r="AS34" s="782" t="inlineStr">
        <is>
          <t>Inferred matched round-trip from Bybit fill history. Gross PnL -3.47076 USDT. Raw order prices: 0.03607, 0.02583. Included 0.00446161 USDT funding fee. Balance after trade unavailable in source CSV.</t>
        </is>
      </c>
      <c r="AT34" s="733" t="n"/>
      <c r="AU34" s="733" t="n"/>
      <c r="AV34" s="719" t="n"/>
      <c r="AW34" s="719" t="inlineStr">
        <is>
          <t>trade</t>
        </is>
      </c>
      <c r="AX34" s="734" t="inlineStr">
        <is>
          <t>sig:bda2e7543c6dcb9e5fd1059a</t>
        </is>
      </c>
    </row>
    <row r="35" ht="15" customHeight="1">
      <c r="A35" s="780" t="n"/>
      <c r="B35" s="717" t="n">
        <v>46140.8700462963</v>
      </c>
      <c r="C35" s="718" t="n">
        <v>46140.88453703704</v>
      </c>
      <c r="D35" s="719" t="inlineStr">
        <is>
          <t>OANDA DEMO</t>
        </is>
      </c>
      <c r="E35" s="719" t="inlineStr">
        <is>
          <t>USDJPY</t>
        </is>
      </c>
      <c r="F35" s="719" t="inlineStr">
        <is>
          <t>SELL</t>
        </is>
      </c>
      <c r="G35" s="720" t="n">
        <v>0.13319</v>
      </c>
      <c r="H35" s="720" t="n">
        <v>159.605</v>
      </c>
      <c r="I35" s="720" t="n">
        <v>159.681</v>
      </c>
      <c r="J35" s="721" t="n">
        <v>159.681</v>
      </c>
      <c r="K35" s="760" t="n">
        <v>0.000476175558409961</v>
      </c>
      <c r="L35" s="721" t="n">
        <v>159.426</v>
      </c>
      <c r="M35" s="722" t="n">
        <v>0.001121518749412625</v>
      </c>
      <c r="N35" s="788" t="n"/>
      <c r="O35" s="762" t="n">
        <v>-8.938499999999999</v>
      </c>
      <c r="P35" s="725" t="n">
        <v>-0.005949441231088716</v>
      </c>
      <c r="Q35" s="726" t="n">
        <v>-1</v>
      </c>
      <c r="R35" s="764" t="n">
        <v>1502.41</v>
      </c>
      <c r="S35" s="719" t="inlineStr">
        <is>
          <t>20M 52S</t>
        </is>
      </c>
      <c r="T35" s="728" t="n"/>
      <c r="U35" s="729" t="n"/>
      <c r="V35" s="730" t="n"/>
      <c r="W35" s="731" t="n"/>
      <c r="X35" s="732" t="n"/>
      <c r="Y35" s="728" t="n"/>
      <c r="Z35" s="729" t="n"/>
      <c r="AA35" s="730" t="n"/>
      <c r="AB35" s="731" t="n"/>
      <c r="AC35" s="732" t="n"/>
      <c r="AD35" s="719" t="inlineStr">
        <is>
          <t>Yes</t>
        </is>
      </c>
      <c r="AE35" s="733" t="n"/>
      <c r="AF35" s="733" t="n"/>
      <c r="AG35" s="733" t="n"/>
      <c r="AH35" s="733" t="n"/>
      <c r="AI35" s="733" t="n"/>
      <c r="AJ35" s="733" t="n"/>
      <c r="AK35" s="733" t="n"/>
      <c r="AL35" s="733" t="n"/>
      <c r="AM35" s="733" t="n"/>
      <c r="AN35" s="733" t="n"/>
      <c r="AO35" s="733" t="n"/>
      <c r="AP35" s="719" t="inlineStr">
        <is>
          <t>Pullback</t>
        </is>
      </c>
      <c r="AQ35" s="733" t="n"/>
      <c r="AR35" s="733" t="n"/>
      <c r="AS35" s="733" t="n"/>
      <c r="AT35" s="733" t="n"/>
      <c r="AU35" s="733" t="n"/>
      <c r="AV35" s="733" t="n"/>
      <c r="AW35" s="719" t="inlineStr">
        <is>
          <t>trade</t>
        </is>
      </c>
      <c r="AX35" s="734" t="inlineStr">
        <is>
          <t>oanda_export:demo:612:615</t>
        </is>
      </c>
    </row>
    <row r="36" ht="15" customHeight="1">
      <c r="A36" s="716" t="n"/>
      <c r="B36" s="717" t="n">
        <v>46140.55972222222</v>
      </c>
      <c r="C36" s="718" t="n">
        <v>46140.60069444445</v>
      </c>
      <c r="D36" s="719" t="inlineStr">
        <is>
          <t>BYBIT DEMO</t>
        </is>
      </c>
      <c r="E36" s="719" t="inlineStr">
        <is>
          <t>HYPEUSDT</t>
        </is>
      </c>
      <c r="F36" s="719" t="inlineStr">
        <is>
          <t>SELL</t>
        </is>
      </c>
      <c r="G36" s="720" t="n">
        <v>14.43</v>
      </c>
      <c r="H36" s="720" t="n">
        <v>40.95</v>
      </c>
      <c r="I36" s="720" t="n">
        <v>41.001</v>
      </c>
      <c r="J36" s="721" t="n"/>
      <c r="K36" s="722" t="n"/>
      <c r="L36" s="721" t="n"/>
      <c r="M36" s="722" t="n"/>
      <c r="N36" s="758" t="n">
        <v>0.65040412</v>
      </c>
      <c r="O36" s="724" t="n">
        <v>-1.38633412</v>
      </c>
      <c r="P36" s="725" t="n">
        <v>-0.003720888285225247</v>
      </c>
      <c r="Q36" s="726" t="n"/>
      <c r="R36" s="727" t="n">
        <v>372.58149499</v>
      </c>
      <c r="S36" s="719" t="inlineStr">
        <is>
          <t>59M 0S</t>
        </is>
      </c>
      <c r="T36" s="728" t="n"/>
      <c r="U36" s="729" t="n"/>
      <c r="V36" s="730" t="n"/>
      <c r="W36" s="731" t="n"/>
      <c r="X36" s="732" t="n"/>
      <c r="Y36" s="728" t="n"/>
      <c r="Z36" s="729" t="n"/>
      <c r="AA36" s="730" t="n"/>
      <c r="AB36" s="731" t="n"/>
      <c r="AC36" s="732" t="n"/>
      <c r="AD36" s="719" t="inlineStr">
        <is>
          <t>Yes</t>
        </is>
      </c>
      <c r="AE36" s="733" t="n"/>
      <c r="AF36" s="733" t="n"/>
      <c r="AG36" s="733" t="n"/>
      <c r="AH36" s="733" t="n"/>
      <c r="AI36" s="733" t="n"/>
      <c r="AJ36" s="733" t="n"/>
      <c r="AK36" s="733" t="n"/>
      <c r="AL36" s="733" t="n"/>
      <c r="AM36" s="733" t="n"/>
      <c r="AN36" s="733" t="n"/>
      <c r="AO36" s="733" t="n"/>
      <c r="AP36" s="719" t="inlineStr">
        <is>
          <t>Pullback</t>
        </is>
      </c>
      <c r="AQ36" s="719" t="n"/>
      <c r="AR36" s="719" t="n"/>
      <c r="AS36" s="782" t="inlineStr">
        <is>
          <t>Inferred matched round-trip from Bybit fill history. Gross PnL -0.73593 USDT. Raw order prices: 28.669, 53.301. Balance after trade unavailable in source CSV.</t>
        </is>
      </c>
      <c r="AT36" s="733" t="n"/>
      <c r="AU36" s="733" t="n"/>
      <c r="AV36" s="733" t="n"/>
      <c r="AW36" s="719" t="inlineStr">
        <is>
          <t>trade</t>
        </is>
      </c>
      <c r="AX36" s="734" t="inlineStr">
        <is>
          <t>sig:849fe6372f0266945dc88c77</t>
        </is>
      </c>
    </row>
    <row r="37" ht="15" customHeight="1">
      <c r="A37" s="716" t="n"/>
      <c r="B37" s="717" t="n">
        <v>46134.86939814815</v>
      </c>
      <c r="C37" s="718" t="n">
        <v>46134.86986111111</v>
      </c>
      <c r="D37" s="719" t="inlineStr">
        <is>
          <t>OANDA DEMO</t>
        </is>
      </c>
      <c r="E37" s="719" t="inlineStr">
        <is>
          <t>NZDUSD</t>
        </is>
      </c>
      <c r="F37" s="719" t="inlineStr">
        <is>
          <t>BUY</t>
        </is>
      </c>
      <c r="G37" s="720" t="n">
        <v>0.30821</v>
      </c>
      <c r="H37" s="720" t="n">
        <v>0.59116</v>
      </c>
      <c r="I37" s="720" t="n">
        <v>0.59112</v>
      </c>
      <c r="J37" s="721" t="n">
        <v>0.59097</v>
      </c>
      <c r="K37" s="760" t="n">
        <v>0.0003214019893091946</v>
      </c>
      <c r="L37" s="721" t="n">
        <v>0.59166</v>
      </c>
      <c r="M37" s="760" t="n">
        <v>0.0008457947087082092</v>
      </c>
      <c r="N37" s="788" t="n"/>
      <c r="O37" s="762" t="n">
        <v>-1.7385</v>
      </c>
      <c r="P37" s="725" t="n">
        <v>-0.001150296092897079</v>
      </c>
      <c r="Q37" s="726" t="n">
        <v>-0.2105263157896582</v>
      </c>
      <c r="R37" s="764" t="n">
        <v>1511.35</v>
      </c>
      <c r="S37" s="719" t="inlineStr">
        <is>
          <t>40S</t>
        </is>
      </c>
      <c r="T37" s="728" t="n"/>
      <c r="U37" s="729" t="n"/>
      <c r="V37" s="730" t="n"/>
      <c r="W37" s="731" t="n"/>
      <c r="X37" s="732" t="n"/>
      <c r="Y37" s="728" t="n"/>
      <c r="Z37" s="729" t="n"/>
      <c r="AA37" s="730" t="n"/>
      <c r="AB37" s="731" t="n"/>
      <c r="AC37" s="732" t="n"/>
      <c r="AD37" s="719" t="inlineStr">
        <is>
          <t>Yes</t>
        </is>
      </c>
      <c r="AE37" s="733" t="n"/>
      <c r="AF37" s="733" t="n"/>
      <c r="AG37" s="733" t="n"/>
      <c r="AH37" s="733" t="n"/>
      <c r="AI37" s="733" t="n"/>
      <c r="AJ37" s="733" t="n"/>
      <c r="AK37" s="733" t="n"/>
      <c r="AL37" s="733" t="n"/>
      <c r="AM37" s="733" t="n"/>
      <c r="AN37" s="733" t="n"/>
      <c r="AO37" s="733" t="n"/>
      <c r="AP37" s="719" t="inlineStr">
        <is>
          <t>Pullback</t>
        </is>
      </c>
      <c r="AQ37" s="733" t="n"/>
      <c r="AR37" s="719" t="n"/>
      <c r="AS37" s="782" t="n"/>
      <c r="AT37" s="733" t="n"/>
      <c r="AU37" s="733" t="n"/>
      <c r="AV37" s="733" t="n"/>
      <c r="AW37" s="719" t="inlineStr">
        <is>
          <t>trade</t>
        </is>
      </c>
      <c r="AX37" s="734" t="inlineStr">
        <is>
          <t>oanda_export:demo:604:608</t>
        </is>
      </c>
    </row>
    <row r="38" ht="15" customHeight="1">
      <c r="A38" s="737" t="n"/>
      <c r="B38" s="738" t="n">
        <v>46121.81789351852</v>
      </c>
      <c r="C38" s="739" t="n">
        <v>46122.09243055555</v>
      </c>
      <c r="D38" s="740" t="inlineStr">
        <is>
          <t>OANDA DEMO</t>
        </is>
      </c>
      <c r="E38" s="740" t="inlineStr">
        <is>
          <t>NZDUSD</t>
        </is>
      </c>
      <c r="F38" s="740" t="inlineStr">
        <is>
          <t>BUY</t>
        </is>
      </c>
      <c r="G38" s="775" t="n">
        <v>0.02916</v>
      </c>
      <c r="H38" s="742" t="n">
        <v>0.58323</v>
      </c>
      <c r="I38" s="742" t="n">
        <v>0.58718</v>
      </c>
      <c r="J38" s="743" t="n">
        <v>0.58117</v>
      </c>
      <c r="K38" s="744" t="n">
        <v>0.003532054249610037</v>
      </c>
      <c r="L38" s="743" t="n">
        <v>0.58717</v>
      </c>
      <c r="M38" s="744" t="n">
        <v>0.006755482399739285</v>
      </c>
      <c r="N38" s="766" t="n"/>
      <c r="O38" s="767" t="n">
        <v>16.1655</v>
      </c>
      <c r="P38" s="747" t="n">
        <v>0.01068376633247196</v>
      </c>
      <c r="Q38" s="748" t="n">
        <v>1.917475728155287</v>
      </c>
      <c r="R38" s="769" t="n">
        <v>1513.09</v>
      </c>
      <c r="S38" s="740" t="inlineStr">
        <is>
          <t>6H 35M 20S</t>
        </is>
      </c>
      <c r="T38" s="750" t="n"/>
      <c r="U38" s="751" t="n"/>
      <c r="V38" s="752" t="n"/>
      <c r="W38" s="753" t="n"/>
      <c r="X38" s="754" t="n"/>
      <c r="Y38" s="750" t="n"/>
      <c r="Z38" s="751" t="n"/>
      <c r="AA38" s="752" t="n"/>
      <c r="AB38" s="753" t="n"/>
      <c r="AC38" s="754" t="n"/>
      <c r="AD38" s="740" t="inlineStr">
        <is>
          <t>Yes</t>
        </is>
      </c>
      <c r="AE38" s="755" t="n"/>
      <c r="AF38" s="755" t="n"/>
      <c r="AG38" s="755" t="n"/>
      <c r="AH38" s="755" t="n"/>
      <c r="AI38" s="755" t="n"/>
      <c r="AJ38" s="755" t="n"/>
      <c r="AK38" s="755" t="n"/>
      <c r="AL38" s="755" t="n"/>
      <c r="AM38" s="755" t="n"/>
      <c r="AN38" s="755" t="n"/>
      <c r="AO38" s="755" t="n"/>
      <c r="AP38" s="740" t="inlineStr">
        <is>
          <t>Pullback</t>
        </is>
      </c>
      <c r="AQ38" s="740" t="n"/>
      <c r="AR38" s="740" t="n"/>
      <c r="AS38" s="787" t="n"/>
      <c r="AT38" s="755" t="n"/>
      <c r="AU38" s="755" t="n"/>
      <c r="AV38" s="755" t="n"/>
      <c r="AW38" s="740" t="inlineStr">
        <is>
          <t>trade</t>
        </is>
      </c>
      <c r="AX38" s="756" t="inlineStr">
        <is>
          <t>oanda_export:demo:598:601</t>
        </is>
      </c>
    </row>
    <row r="39" ht="15" customHeight="1">
      <c r="A39" s="737" t="n"/>
      <c r="B39" s="738" t="n">
        <v>46120.8269212963</v>
      </c>
      <c r="C39" s="739" t="n">
        <v>46121.81616898148</v>
      </c>
      <c r="D39" s="740" t="inlineStr">
        <is>
          <t>OANDA DEMO</t>
        </is>
      </c>
      <c r="E39" s="740" t="inlineStr">
        <is>
          <t>NZDUSD</t>
        </is>
      </c>
      <c r="F39" s="740" t="inlineStr">
        <is>
          <t>BUY</t>
        </is>
      </c>
      <c r="G39" s="775" t="n">
        <v>0.0255</v>
      </c>
      <c r="H39" s="742" t="n">
        <v>0.58217</v>
      </c>
      <c r="I39" s="742" t="n">
        <v>0.58308</v>
      </c>
      <c r="J39" s="743" t="n">
        <v>0.57864</v>
      </c>
      <c r="K39" s="744" t="n">
        <v>0.006063520964666545</v>
      </c>
      <c r="L39" s="743" t="n">
        <v>0.58888</v>
      </c>
      <c r="M39" s="744" t="n">
        <v>0.01152584296683098</v>
      </c>
      <c r="N39" s="766" t="n"/>
      <c r="O39" s="767" t="n">
        <v>3.1518</v>
      </c>
      <c r="P39" s="747" t="n">
        <v>0.002105523341260722</v>
      </c>
      <c r="Q39" s="748" t="n">
        <v>0.2577903682719823</v>
      </c>
      <c r="R39" s="769" t="n">
        <v>1496.92</v>
      </c>
      <c r="S39" s="740" t="inlineStr">
        <is>
          <t>23H 44M 31S</t>
        </is>
      </c>
      <c r="T39" s="750" t="n"/>
      <c r="U39" s="751" t="n"/>
      <c r="V39" s="752" t="n"/>
      <c r="W39" s="753" t="n"/>
      <c r="X39" s="754" t="n"/>
      <c r="Y39" s="750" t="n"/>
      <c r="Z39" s="751" t="n"/>
      <c r="AA39" s="752" t="n"/>
      <c r="AB39" s="753" t="n"/>
      <c r="AC39" s="754" t="n"/>
      <c r="AD39" s="740" t="inlineStr">
        <is>
          <t>Yes</t>
        </is>
      </c>
      <c r="AE39" s="755" t="n"/>
      <c r="AF39" s="755" t="n"/>
      <c r="AG39" s="755" t="n"/>
      <c r="AH39" s="755" t="n"/>
      <c r="AI39" s="755" t="n"/>
      <c r="AJ39" s="755" t="n"/>
      <c r="AK39" s="755" t="n"/>
      <c r="AL39" s="755" t="n"/>
      <c r="AM39" s="755" t="n"/>
      <c r="AN39" s="755" t="n"/>
      <c r="AO39" s="755" t="n"/>
      <c r="AP39" s="740" t="inlineStr">
        <is>
          <t>Pullback</t>
        </is>
      </c>
      <c r="AQ39" s="740" t="n"/>
      <c r="AR39" s="740" t="n"/>
      <c r="AS39" s="787" t="n"/>
      <c r="AT39" s="755" t="n"/>
      <c r="AU39" s="755" t="n"/>
      <c r="AV39" s="755" t="n"/>
      <c r="AW39" s="740" t="inlineStr">
        <is>
          <t>trade</t>
        </is>
      </c>
      <c r="AX39" s="756" t="inlineStr">
        <is>
          <t>oanda_export:demo:589:594</t>
        </is>
      </c>
    </row>
    <row r="40" ht="15" customHeight="1">
      <c r="A40" s="42" t="n"/>
      <c r="B40" s="770" t="n">
        <v>46082</v>
      </c>
      <c r="C40" s="771" t="n">
        <v>46112.99998842592</v>
      </c>
      <c r="D40" s="12" t="inlineStr">
        <is>
          <t>BYBIT</t>
        </is>
      </c>
      <c r="E40" s="12" t="inlineStr">
        <is>
          <t>MONTHLY AUD P/L</t>
        </is>
      </c>
      <c r="F40" s="12" t="n"/>
      <c r="G40" s="262" t="n"/>
      <c r="H40" s="262" t="n">
        <v>0.70807</v>
      </c>
      <c r="I40" s="262" t="n">
        <v>0.68842</v>
      </c>
      <c r="J40" s="263" t="n"/>
      <c r="K40" s="36" t="n"/>
      <c r="L40" s="263" t="n"/>
      <c r="M40" s="36" t="n"/>
      <c r="N40" s="772" t="n"/>
      <c r="O40" s="773" t="n">
        <v>9.07</v>
      </c>
      <c r="P40" s="3" t="n"/>
      <c r="Q40" s="51" t="n"/>
      <c r="R40" s="54" t="n"/>
      <c r="S40" s="12" t="n"/>
      <c r="T40" s="774" t="n"/>
      <c r="U40" s="6" t="n"/>
      <c r="V40" s="264" t="n"/>
      <c r="W40" s="9" t="n"/>
      <c r="X40" s="46" t="n"/>
      <c r="Y40" s="774" t="n"/>
      <c r="Z40" s="6" t="n"/>
      <c r="AA40" s="264" t="n"/>
      <c r="AB40" s="9" t="n"/>
      <c r="AC40" s="46" t="n"/>
      <c r="AD40" s="12" t="inlineStr">
        <is>
          <t>No</t>
        </is>
      </c>
      <c r="AE40" s="45" t="n"/>
      <c r="AF40" s="45" t="n"/>
      <c r="AG40" s="45" t="n"/>
      <c r="AH40" s="45" t="n"/>
      <c r="AI40" s="45" t="n"/>
      <c r="AJ40" s="45" t="n"/>
      <c r="AK40" s="45" t="n"/>
      <c r="AL40" s="45" t="n"/>
      <c r="AM40" s="45" t="n"/>
      <c r="AN40" s="45" t="n"/>
      <c r="AO40" s="45" t="n"/>
      <c r="AP40" s="12" t="n"/>
      <c r="AQ40" s="12" t="n"/>
      <c r="AR40" s="12" t="inlineStr">
        <is>
          <t>No</t>
        </is>
      </c>
      <c r="AS40" s="56" t="inlineStr">
        <is>
          <t>Monthly BYBIT AUD P/L bookkeeping note (excluded from metrics).</t>
        </is>
      </c>
      <c r="AT40" s="45" t="n"/>
      <c r="AU40" s="45" t="n"/>
      <c r="AV40" s="12" t="inlineStr">
        <is>
          <t>AUD</t>
        </is>
      </c>
      <c r="AW40" s="12" t="inlineStr">
        <is>
          <t>monthly_aud_reval</t>
        </is>
      </c>
      <c r="AX40" s="57" t="inlineStr">
        <is>
          <t>monthly_aud_reval:bybit_live:2026-03</t>
        </is>
      </c>
    </row>
    <row r="41" ht="15" customHeight="1">
      <c r="A41" s="737" t="n"/>
      <c r="B41" s="738" t="n">
        <v>46023</v>
      </c>
      <c r="C41" s="739" t="n">
        <v>46023.00347222222</v>
      </c>
      <c r="D41" s="740" t="inlineStr">
        <is>
          <t>Bybit Demo</t>
        </is>
      </c>
      <c r="E41" s="740" t="inlineStr">
        <is>
          <t>BTCUSDT</t>
        </is>
      </c>
      <c r="F41" s="740" t="inlineStr">
        <is>
          <t>BUY</t>
        </is>
      </c>
      <c r="G41" s="742" t="n"/>
      <c r="H41" s="742" t="n"/>
      <c r="I41" s="742" t="n"/>
      <c r="J41" s="743" t="n"/>
      <c r="K41" s="744" t="n"/>
      <c r="L41" s="743" t="n"/>
      <c r="M41" s="744" t="n"/>
      <c r="N41" s="745" t="n"/>
      <c r="O41" s="746" t="n">
        <v>1</v>
      </c>
      <c r="P41" s="747" t="n">
        <v>0.009900990099009901</v>
      </c>
      <c r="Q41" s="748" t="n"/>
      <c r="R41" s="749" t="n">
        <v>101</v>
      </c>
      <c r="S41" s="740" t="inlineStr">
        <is>
          <t>5M 0S</t>
        </is>
      </c>
      <c r="T41" s="750" t="n"/>
      <c r="U41" s="751" t="n"/>
      <c r="V41" s="752" t="n"/>
      <c r="W41" s="753" t="n"/>
      <c r="X41" s="754" t="n"/>
      <c r="Y41" s="750" t="n"/>
      <c r="Z41" s="751" t="n"/>
      <c r="AA41" s="752" t="n"/>
      <c r="AB41" s="753" t="n"/>
      <c r="AC41" s="754" t="n"/>
      <c r="AD41" s="740" t="inlineStr">
        <is>
          <t>Yes</t>
        </is>
      </c>
      <c r="AE41" s="755" t="n"/>
      <c r="AF41" s="755" t="n"/>
      <c r="AG41" s="755" t="n"/>
      <c r="AH41" s="755" t="n"/>
      <c r="AI41" s="755" t="n"/>
      <c r="AJ41" s="755" t="n"/>
      <c r="AK41" s="755" t="n"/>
      <c r="AL41" s="755" t="n"/>
      <c r="AM41" s="755" t="n"/>
      <c r="AN41" s="755" t="n"/>
      <c r="AO41" s="755" t="n"/>
      <c r="AP41" s="740" t="n"/>
      <c r="AQ41" s="740" t="n"/>
      <c r="AR41" s="740" t="n"/>
      <c r="AS41" s="787" t="n"/>
      <c r="AT41" s="755" t="n"/>
      <c r="AU41" s="755" t="n"/>
      <c r="AV41" s="755" t="n"/>
      <c r="AW41" s="740" t="inlineStr">
        <is>
          <t>trade</t>
        </is>
      </c>
      <c r="AX41" s="756" t="inlineStr">
        <is>
          <t>r-duration</t>
        </is>
      </c>
    </row>
    <row r="42" ht="15" customHeight="1">
      <c r="A42" s="716" t="n"/>
      <c r="B42" s="717" t="n">
        <v>46021.84581018519</v>
      </c>
      <c r="C42" s="718" t="n">
        <v>46021.84680555556</v>
      </c>
      <c r="D42" s="719" t="inlineStr">
        <is>
          <t>OANDA DEMO</t>
        </is>
      </c>
      <c r="E42" s="719" t="inlineStr">
        <is>
          <t>EURUSD</t>
        </is>
      </c>
      <c r="F42" s="719" t="inlineStr">
        <is>
          <t>BUY</t>
        </is>
      </c>
      <c r="G42" s="720" t="n">
        <v>0.14459</v>
      </c>
      <c r="H42" s="720" t="n">
        <v>1.17754</v>
      </c>
      <c r="I42" s="720" t="n">
        <v>1.17734</v>
      </c>
      <c r="J42" s="721" t="n">
        <v>1.17626</v>
      </c>
      <c r="K42" s="722" t="n">
        <v>0.001087011906177241</v>
      </c>
      <c r="L42" s="721" t="n">
        <v>1.17992</v>
      </c>
      <c r="M42" s="722" t="n">
        <v>0.00202116276304843</v>
      </c>
      <c r="N42" s="761" t="n"/>
      <c r="O42" s="762" t="n">
        <v>-4.332</v>
      </c>
      <c r="P42" s="725" t="n">
        <v>-0.002900044852955944</v>
      </c>
      <c r="Q42" s="726" t="n">
        <v>-0.1562499999999891</v>
      </c>
      <c r="R42" s="764" t="n">
        <v>1493.77</v>
      </c>
      <c r="S42" s="719" t="inlineStr">
        <is>
          <t>1M 26S</t>
        </is>
      </c>
      <c r="T42" s="728" t="n"/>
      <c r="U42" s="729" t="n"/>
      <c r="V42" s="730" t="n"/>
      <c r="W42" s="731" t="n"/>
      <c r="X42" s="732" t="n"/>
      <c r="Y42" s="728" t="n"/>
      <c r="Z42" s="729" t="n"/>
      <c r="AA42" s="730" t="n"/>
      <c r="AB42" s="731" t="n"/>
      <c r="AC42" s="732" t="n"/>
      <c r="AD42" s="719" t="inlineStr">
        <is>
          <t>Yes</t>
        </is>
      </c>
      <c r="AE42" s="733" t="n"/>
      <c r="AF42" s="733" t="n"/>
      <c r="AG42" s="733" t="n"/>
      <c r="AH42" s="733" t="n"/>
      <c r="AI42" s="733" t="n"/>
      <c r="AJ42" s="733" t="n"/>
      <c r="AK42" s="733" t="n"/>
      <c r="AL42" s="733" t="n"/>
      <c r="AM42" s="733" t="n"/>
      <c r="AN42" s="733" t="n"/>
      <c r="AO42" s="733" t="n"/>
      <c r="AP42" s="719" t="n"/>
      <c r="AQ42" s="719" t="n"/>
      <c r="AR42" s="719" t="n"/>
      <c r="AS42" s="782" t="n"/>
      <c r="AT42" s="733" t="n"/>
      <c r="AU42" s="733" t="n"/>
      <c r="AV42" s="733" t="n"/>
      <c r="AW42" s="719" t="inlineStr">
        <is>
          <t>trade</t>
        </is>
      </c>
      <c r="AX42" s="734" t="inlineStr">
        <is>
          <t>oanda_export:demo:573:577</t>
        </is>
      </c>
    </row>
    <row r="43" ht="15" customHeight="1">
      <c r="A43" s="716" t="inlineStr">
        <is>
          <t>F1029</t>
        </is>
      </c>
      <c r="B43" s="717" t="n">
        <v>45967.30318287037</v>
      </c>
      <c r="C43" s="718" t="n">
        <v>45967.47792824074</v>
      </c>
      <c r="D43" s="719" t="inlineStr">
        <is>
          <t>OANDA LIVE</t>
        </is>
      </c>
      <c r="E43" s="719" t="inlineStr">
        <is>
          <t>EURUSD</t>
        </is>
      </c>
      <c r="F43" s="719" t="inlineStr">
        <is>
          <t>SELL</t>
        </is>
      </c>
      <c r="G43" s="735" t="n">
        <v>0.06801</v>
      </c>
      <c r="H43" s="720" t="n">
        <v>1.1491</v>
      </c>
      <c r="I43" s="720" t="n">
        <v>1.15084</v>
      </c>
      <c r="J43" s="721" t="n">
        <v>1.15084</v>
      </c>
      <c r="K43" s="722" t="n">
        <v>0.001514228526673114</v>
      </c>
      <c r="L43" s="721" t="n">
        <v>1.14577</v>
      </c>
      <c r="M43" s="722" t="n">
        <v>0.002897920111391572</v>
      </c>
      <c r="N43" s="761" t="n">
        <v>0.9922</v>
      </c>
      <c r="O43" s="762" t="n">
        <v>-17.3026</v>
      </c>
      <c r="P43" s="725" t="n">
        <v>-0.01156117488253139</v>
      </c>
      <c r="Q43" s="726" t="n">
        <v>-1</v>
      </c>
      <c r="R43" s="764" t="n">
        <v>1479.31</v>
      </c>
      <c r="S43" s="719" t="inlineStr">
        <is>
          <t>4H 11M 38S</t>
        </is>
      </c>
      <c r="T43" s="728" t="n"/>
      <c r="U43" s="729" t="n"/>
      <c r="V43" s="730" t="n"/>
      <c r="W43" s="731" t="n"/>
      <c r="X43" s="732" t="n"/>
      <c r="Y43" s="728" t="n"/>
      <c r="Z43" s="729" t="n"/>
      <c r="AA43" s="730" t="n"/>
      <c r="AB43" s="731" t="n"/>
      <c r="AC43" s="732" t="n"/>
      <c r="AD43" s="719" t="inlineStr">
        <is>
          <t>No</t>
        </is>
      </c>
      <c r="AE43" s="733" t="n"/>
      <c r="AF43" s="733" t="n"/>
      <c r="AG43" s="733" t="n"/>
      <c r="AH43" s="733" t="n"/>
      <c r="AI43" s="733" t="n"/>
      <c r="AJ43" s="733" t="n"/>
      <c r="AK43" s="733" t="n"/>
      <c r="AL43" s="733" t="n"/>
      <c r="AM43" s="733" t="n"/>
      <c r="AN43" s="733" t="n"/>
      <c r="AO43" s="733" t="n"/>
      <c r="AP43" s="719" t="inlineStr">
        <is>
          <t>Pullback</t>
        </is>
      </c>
      <c r="AQ43" s="719" t="inlineStr">
        <is>
          <t>30MIN</t>
        </is>
      </c>
      <c r="AR43" s="719" t="inlineStr">
        <is>
          <t>No</t>
        </is>
      </c>
      <c r="AS43" s="782" t="inlineStr">
        <is>
          <t>https://1drv.ms/f/c/3c06055d9f85a2e0/EsVfSFQmYB9HnaAczAILJNMBOpfy2wFC3WLUnnxLVx9ZUw?e=KTAFqB</t>
        </is>
      </c>
      <c r="AT43" s="733" t="n"/>
      <c r="AU43" s="733" t="n"/>
      <c r="AV43" s="733" t="n"/>
      <c r="AW43" s="719" t="inlineStr">
        <is>
          <t>trade</t>
        </is>
      </c>
      <c r="AX43" s="734" t="inlineStr">
        <is>
          <t>oanda_export:live:460:464</t>
        </is>
      </c>
    </row>
    <row r="44" ht="15" customHeight="1">
      <c r="A44" s="716" t="inlineStr">
        <is>
          <t>F1028</t>
        </is>
      </c>
      <c r="B44" s="717" t="n">
        <v>45959.07472222222</v>
      </c>
      <c r="C44" s="718" t="n">
        <v>45959.49001157407</v>
      </c>
      <c r="D44" s="719" t="inlineStr">
        <is>
          <t>OANDA LIVE</t>
        </is>
      </c>
      <c r="E44" s="719" t="inlineStr">
        <is>
          <t>XAGUSD</t>
        </is>
      </c>
      <c r="F44" s="719" t="inlineStr">
        <is>
          <t>SELL</t>
        </is>
      </c>
      <c r="G44" s="791" t="n">
        <v>0.00018</v>
      </c>
      <c r="H44" s="720" t="n">
        <v>47.0781</v>
      </c>
      <c r="I44" s="720" t="n">
        <v>47.449</v>
      </c>
      <c r="J44" s="721" t="n">
        <v>47.44845</v>
      </c>
      <c r="K44" s="722" t="n">
        <v>0.007866715096828503</v>
      </c>
      <c r="L44" s="721" t="n">
        <v>46.37445</v>
      </c>
      <c r="M44" s="722" t="n">
        <v>0.0149464400644885</v>
      </c>
      <c r="N44" s="792" t="n">
        <v>0.0263</v>
      </c>
      <c r="O44" s="762" t="n">
        <v>-10.1409</v>
      </c>
      <c r="P44" s="725" t="n">
        <v>-0.006730309568754861</v>
      </c>
      <c r="Q44" s="726" t="n">
        <v>-1.001485081679484</v>
      </c>
      <c r="R44" s="764" t="n">
        <v>1496.61</v>
      </c>
      <c r="S44" s="719" t="inlineStr">
        <is>
          <t>9H 58M 1S</t>
        </is>
      </c>
      <c r="T44" s="728" t="n"/>
      <c r="U44" s="729" t="n"/>
      <c r="V44" s="730" t="n"/>
      <c r="W44" s="731" t="n"/>
      <c r="X44" s="732" t="n"/>
      <c r="Y44" s="728" t="n"/>
      <c r="Z44" s="729" t="n"/>
      <c r="AA44" s="730" t="n"/>
      <c r="AB44" s="731" t="n"/>
      <c r="AC44" s="732" t="n"/>
      <c r="AD44" s="719" t="inlineStr">
        <is>
          <t>No</t>
        </is>
      </c>
      <c r="AE44" s="733" t="n"/>
      <c r="AF44" s="733" t="n"/>
      <c r="AG44" s="733" t="n"/>
      <c r="AH44" s="733" t="n"/>
      <c r="AI44" s="733" t="n"/>
      <c r="AJ44" s="733" t="n"/>
      <c r="AK44" s="733" t="n"/>
      <c r="AL44" s="733" t="n"/>
      <c r="AM44" s="733" t="n"/>
      <c r="AN44" s="733" t="n"/>
      <c r="AO44" s="733" t="n"/>
      <c r="AP44" s="719" t="inlineStr">
        <is>
          <t>Pullback</t>
        </is>
      </c>
      <c r="AQ44" s="719" t="n"/>
      <c r="AR44" s="719" t="inlineStr">
        <is>
          <t>No</t>
        </is>
      </c>
      <c r="AS44" s="782" t="inlineStr">
        <is>
          <t>https://1drv.ms/f/c/3c06055d9f85a2e0/EjLYWyFx1F5KhZv6x5lFPdABQhptXc2FB-yhOSRZNY5eNQ?e=lYeuft</t>
        </is>
      </c>
      <c r="AT44" s="733" t="n"/>
      <c r="AU44" s="733" t="n"/>
      <c r="AV44" s="733" t="n"/>
      <c r="AW44" s="719" t="inlineStr">
        <is>
          <t>trade</t>
        </is>
      </c>
      <c r="AX44" s="734" t="inlineStr">
        <is>
          <t>oanda_export:live:453:457</t>
        </is>
      </c>
    </row>
    <row r="45" ht="15" customHeight="1">
      <c r="A45" s="716" t="inlineStr">
        <is>
          <t>C373</t>
        </is>
      </c>
      <c r="B45" s="717" t="n">
        <v>45940.02083333334</v>
      </c>
      <c r="C45" s="718" t="n">
        <v>45941.06319444445</v>
      </c>
      <c r="D45" s="719" t="inlineStr">
        <is>
          <t>BYBIT</t>
        </is>
      </c>
      <c r="E45" s="719" t="inlineStr">
        <is>
          <t>BNBUSDT</t>
        </is>
      </c>
      <c r="F45" s="719" t="inlineStr">
        <is>
          <t>BUY</t>
        </is>
      </c>
      <c r="G45" s="735" t="n">
        <v>0.08</v>
      </c>
      <c r="H45" s="720" t="n">
        <v>1238.9</v>
      </c>
      <c r="I45" s="720" t="n">
        <v>1209.2</v>
      </c>
      <c r="J45" s="721" t="n">
        <v>1209.2</v>
      </c>
      <c r="K45" s="722" t="n">
        <v>0.02397287916700302</v>
      </c>
      <c r="L45" s="721" t="n">
        <v>1303</v>
      </c>
      <c r="M45" s="722" t="n">
        <v>0.0517394462829929</v>
      </c>
      <c r="N45" s="758" t="n">
        <v>0.1077164</v>
      </c>
      <c r="O45" s="724" t="n">
        <v>-2.4837164</v>
      </c>
      <c r="P45" s="725" t="n">
        <v>-0.01092408928768175</v>
      </c>
      <c r="Q45" s="726" t="n">
        <v>-1</v>
      </c>
      <c r="R45" s="727" t="n">
        <v>224.8776987799999</v>
      </c>
      <c r="S45" s="719" t="inlineStr">
        <is>
          <t>1D 1H 1M 0S</t>
        </is>
      </c>
      <c r="T45" s="728" t="n"/>
      <c r="U45" s="729" t="n"/>
      <c r="V45" s="730" t="n"/>
      <c r="W45" s="731" t="n"/>
      <c r="X45" s="732" t="n"/>
      <c r="Y45" s="728" t="n"/>
      <c r="Z45" s="729" t="n"/>
      <c r="AA45" s="730" t="n"/>
      <c r="AB45" s="731" t="n"/>
      <c r="AC45" s="732" t="n"/>
      <c r="AD45" s="719" t="inlineStr">
        <is>
          <t>No</t>
        </is>
      </c>
      <c r="AE45" s="733" t="n"/>
      <c r="AF45" s="733" t="n"/>
      <c r="AG45" s="733" t="n"/>
      <c r="AH45" s="733" t="n"/>
      <c r="AI45" s="733" t="n"/>
      <c r="AJ45" s="733" t="n"/>
      <c r="AK45" s="733" t="n"/>
      <c r="AL45" s="733" t="n"/>
      <c r="AM45" s="733" t="n"/>
      <c r="AN45" s="733" t="n"/>
      <c r="AO45" s="733" t="n"/>
      <c r="AP45" s="719" t="inlineStr">
        <is>
          <t>Pullback</t>
        </is>
      </c>
      <c r="AQ45" s="719" t="inlineStr">
        <is>
          <t>1H</t>
        </is>
      </c>
      <c r="AR45" s="719" t="inlineStr">
        <is>
          <t>No</t>
        </is>
      </c>
      <c r="AS45" s="782" t="inlineStr">
        <is>
          <t>https://1drv.ms/f/c/3c06055d9f85a2e0/ElYKxfqZLL1OnF-PVIktsRMBYC3XLElnwOJ5o5p4Q9Cbcg?e=6q2tHs</t>
        </is>
      </c>
      <c r="AT45" s="733" t="n"/>
      <c r="AU45" s="733" t="n"/>
      <c r="AV45" s="733" t="n"/>
      <c r="AW45" s="719" t="inlineStr">
        <is>
          <t>trade</t>
        </is>
      </c>
      <c r="AX45" s="734" t="inlineStr">
        <is>
          <t>sig:5c8e56168305ddad93e2fcf2</t>
        </is>
      </c>
    </row>
    <row r="46" ht="15" customHeight="1">
      <c r="A46" s="716" t="inlineStr">
        <is>
          <t>C372</t>
        </is>
      </c>
      <c r="B46" s="717" t="n">
        <v>45938.04652777778</v>
      </c>
      <c r="C46" s="718" t="n">
        <v>45938.05625</v>
      </c>
      <c r="D46" s="719" t="inlineStr">
        <is>
          <t>BYBIT</t>
        </is>
      </c>
      <c r="E46" s="719" t="inlineStr">
        <is>
          <t>BNBUSDT</t>
        </is>
      </c>
      <c r="F46" s="719" t="inlineStr">
        <is>
          <t>BUY</t>
        </is>
      </c>
      <c r="G46" s="720" t="n">
        <v>0.1</v>
      </c>
      <c r="H46" s="720" t="n">
        <v>1287.2</v>
      </c>
      <c r="I46" s="720" t="n">
        <v>1267.1</v>
      </c>
      <c r="J46" s="721" t="n">
        <v>1265.8</v>
      </c>
      <c r="K46" s="722" t="n">
        <v>0.01662523306401499</v>
      </c>
      <c r="L46" s="721" t="n">
        <v>1334.8</v>
      </c>
      <c r="M46" s="722" t="n">
        <v>0.03697949036668731</v>
      </c>
      <c r="N46" s="758" t="n">
        <v>0.1404865</v>
      </c>
      <c r="O46" s="724" t="n">
        <v>-2.1504865</v>
      </c>
      <c r="P46" s="725" t="n">
        <v>-0.009369825635440662</v>
      </c>
      <c r="Q46" s="726" t="n">
        <v>-0.9392523364486005</v>
      </c>
      <c r="R46" s="727" t="n">
        <v>227.3614151799999</v>
      </c>
      <c r="S46" s="719" t="inlineStr">
        <is>
          <t>14M 0S</t>
        </is>
      </c>
      <c r="T46" s="728" t="n"/>
      <c r="U46" s="729" t="n"/>
      <c r="V46" s="730" t="n"/>
      <c r="W46" s="731" t="n"/>
      <c r="X46" s="732" t="n"/>
      <c r="Y46" s="728" t="n"/>
      <c r="Z46" s="729" t="n"/>
      <c r="AA46" s="730" t="n"/>
      <c r="AB46" s="731" t="n"/>
      <c r="AC46" s="732" t="n"/>
      <c r="AD46" s="719" t="inlineStr">
        <is>
          <t>No</t>
        </is>
      </c>
      <c r="AE46" s="733" t="n"/>
      <c r="AF46" s="733" t="n"/>
      <c r="AG46" s="733" t="n"/>
      <c r="AH46" s="733" t="n"/>
      <c r="AI46" s="733" t="n"/>
      <c r="AJ46" s="733" t="n"/>
      <c r="AK46" s="733" t="n"/>
      <c r="AL46" s="733" t="n"/>
      <c r="AM46" s="733" t="n"/>
      <c r="AN46" s="733" t="n"/>
      <c r="AO46" s="733" t="n"/>
      <c r="AP46" s="719" t="inlineStr">
        <is>
          <t>Pullback</t>
        </is>
      </c>
      <c r="AQ46" s="719" t="inlineStr">
        <is>
          <t>15MIN</t>
        </is>
      </c>
      <c r="AR46" s="719" t="inlineStr">
        <is>
          <t>No</t>
        </is>
      </c>
      <c r="AS46" s="782" t="inlineStr">
        <is>
          <t>https://1drv.ms/f/c/3c06055d9f85a2e0/EgdWeViH8PlAibj2bu4wbUYBy_XMGk4bpWQlXeSDfbsvKg?e=gfQhTu</t>
        </is>
      </c>
      <c r="AT46" s="733" t="n"/>
      <c r="AU46" s="733" t="n"/>
      <c r="AV46" s="733" t="n"/>
      <c r="AW46" s="719" t="inlineStr">
        <is>
          <t>trade</t>
        </is>
      </c>
      <c r="AX46" s="734" t="inlineStr">
        <is>
          <t>sig:3b10b12d0629e53aca9603db</t>
        </is>
      </c>
    </row>
    <row r="47" ht="15" customHeight="1">
      <c r="A47" s="716" t="inlineStr">
        <is>
          <t>C371</t>
        </is>
      </c>
      <c r="B47" s="717" t="n">
        <v>45931.03402777778</v>
      </c>
      <c r="C47" s="718" t="n">
        <v>45931.09722222222</v>
      </c>
      <c r="D47" s="719" t="inlineStr">
        <is>
          <t>BYBIT</t>
        </is>
      </c>
      <c r="E47" s="719" t="inlineStr">
        <is>
          <t>ORDERUSDT</t>
        </is>
      </c>
      <c r="F47" s="719" t="inlineStr">
        <is>
          <t>BUY</t>
        </is>
      </c>
      <c r="G47" s="720" t="n">
        <v>99</v>
      </c>
      <c r="H47" s="720" t="n">
        <v>0.4043</v>
      </c>
      <c r="I47" s="720" t="n">
        <v>0.3803</v>
      </c>
      <c r="J47" s="721" t="n">
        <v>0.3813</v>
      </c>
      <c r="K47" s="722" t="n">
        <v>0.05688844917140742</v>
      </c>
      <c r="L47" s="721" t="n">
        <v>0.4519</v>
      </c>
      <c r="M47" s="722" t="n">
        <v>0.1177343556764779</v>
      </c>
      <c r="N47" s="723" t="n">
        <v>0.04272149</v>
      </c>
      <c r="O47" s="724" t="n">
        <v>-2.41872149</v>
      </c>
      <c r="P47" s="725" t="n">
        <v>-0.01042864222473602</v>
      </c>
      <c r="Q47" s="726" t="n">
        <v>-1.043478260869563</v>
      </c>
      <c r="R47" s="727" t="n">
        <v>229.5119016799999</v>
      </c>
      <c r="S47" s="719" t="inlineStr">
        <is>
          <t>1H 31M 0S</t>
        </is>
      </c>
      <c r="T47" s="728" t="n"/>
      <c r="U47" s="729" t="n"/>
      <c r="V47" s="730" t="n"/>
      <c r="W47" s="731" t="n"/>
      <c r="X47" s="732" t="n"/>
      <c r="Y47" s="728" t="n"/>
      <c r="Z47" s="729" t="n"/>
      <c r="AA47" s="730" t="n"/>
      <c r="AB47" s="731" t="n"/>
      <c r="AC47" s="732" t="n"/>
      <c r="AD47" s="719" t="inlineStr">
        <is>
          <t>No</t>
        </is>
      </c>
      <c r="AE47" s="733" t="n"/>
      <c r="AF47" s="733" t="n"/>
      <c r="AG47" s="733" t="n"/>
      <c r="AH47" s="733" t="n"/>
      <c r="AI47" s="733" t="n"/>
      <c r="AJ47" s="733" t="n"/>
      <c r="AK47" s="733" t="n"/>
      <c r="AL47" s="733" t="n"/>
      <c r="AM47" s="733" t="n"/>
      <c r="AN47" s="733" t="n"/>
      <c r="AO47" s="733" t="n"/>
      <c r="AP47" s="719" t="inlineStr">
        <is>
          <t>Pullback</t>
        </is>
      </c>
      <c r="AQ47" s="719" t="inlineStr">
        <is>
          <t>15MIN</t>
        </is>
      </c>
      <c r="AR47" s="719" t="inlineStr">
        <is>
          <t>No</t>
        </is>
      </c>
      <c r="AS47" s="782" t="inlineStr">
        <is>
          <t>https://1drv.ms/f/c/3c06055d9f85a2e0/EhJ4o5FoCZ1HlYWhkXOJwHUBEk7gPSrKpHZaPxr4PUhSsA?e=ZVXzu6</t>
        </is>
      </c>
      <c r="AT47" s="733" t="n"/>
      <c r="AU47" s="733" t="n"/>
      <c r="AV47" s="733" t="n"/>
      <c r="AW47" s="719" t="inlineStr">
        <is>
          <t>trade</t>
        </is>
      </c>
      <c r="AX47" s="734" t="inlineStr">
        <is>
          <t>sig:369878148066f9fb95f904e6</t>
        </is>
      </c>
    </row>
    <row r="48" ht="15" customHeight="1">
      <c r="A48" s="716" t="inlineStr">
        <is>
          <t>F1027</t>
        </is>
      </c>
      <c r="B48" s="717" t="n">
        <v>45930.46076388889</v>
      </c>
      <c r="C48" s="718" t="n">
        <v>45930.99324074074</v>
      </c>
      <c r="D48" s="719" t="inlineStr">
        <is>
          <t>OANDA LIVE</t>
        </is>
      </c>
      <c r="E48" s="719" t="inlineStr">
        <is>
          <t>NZDCHF</t>
        </is>
      </c>
      <c r="F48" s="719" t="inlineStr">
        <is>
          <t>SELL</t>
        </is>
      </c>
      <c r="G48" s="735" t="n">
        <v>0.04474</v>
      </c>
      <c r="H48" s="720" t="n">
        <v>0.46146</v>
      </c>
      <c r="I48" s="720" t="n">
        <v>0.46256</v>
      </c>
      <c r="J48" s="721" t="n">
        <v>0.46255</v>
      </c>
      <c r="K48" s="722" t="n">
        <v>0.002362068218263848</v>
      </c>
      <c r="L48" s="721" t="n">
        <v>0.45946</v>
      </c>
      <c r="M48" s="722" t="n">
        <v>0.00433407012525463</v>
      </c>
      <c r="N48" s="761" t="n"/>
      <c r="O48" s="762" t="n">
        <v>-9.376099999999999</v>
      </c>
      <c r="P48" s="725" t="n">
        <v>-0.00618424813081181</v>
      </c>
      <c r="Q48" s="726" t="n">
        <v>-1.009174311926614</v>
      </c>
      <c r="R48" s="764" t="n">
        <v>1506.75</v>
      </c>
      <c r="S48" s="719" t="inlineStr">
        <is>
          <t>12H 46M 46S</t>
        </is>
      </c>
      <c r="T48" s="728" t="n"/>
      <c r="U48" s="729" t="n"/>
      <c r="V48" s="730" t="n"/>
      <c r="W48" s="731" t="n"/>
      <c r="X48" s="732" t="n"/>
      <c r="Y48" s="728" t="n"/>
      <c r="Z48" s="729" t="n"/>
      <c r="AA48" s="730" t="n"/>
      <c r="AB48" s="731" t="n"/>
      <c r="AC48" s="732" t="n"/>
      <c r="AD48" s="719" t="inlineStr">
        <is>
          <t>No</t>
        </is>
      </c>
      <c r="AE48" s="733" t="n"/>
      <c r="AF48" s="733" t="n"/>
      <c r="AG48" s="733" t="n"/>
      <c r="AH48" s="733" t="n"/>
      <c r="AI48" s="733" t="n"/>
      <c r="AJ48" s="733" t="n"/>
      <c r="AK48" s="733" t="n"/>
      <c r="AL48" s="733" t="n"/>
      <c r="AM48" s="733" t="n"/>
      <c r="AN48" s="733" t="n"/>
      <c r="AO48" s="733" t="n"/>
      <c r="AP48" s="719" t="inlineStr">
        <is>
          <t>Pullback</t>
        </is>
      </c>
      <c r="AQ48" s="719" t="inlineStr">
        <is>
          <t>1H</t>
        </is>
      </c>
      <c r="AR48" s="719" t="inlineStr">
        <is>
          <t>No</t>
        </is>
      </c>
      <c r="AS48" s="782" t="inlineStr">
        <is>
          <t>https://1drv.ms/f/c/3c06055d9f85a2e0/EryIXUkGJGxMmbgn03vUd7cBmoyHidpGKb5zQ5iXeRc5hg?e=hh3Cag</t>
        </is>
      </c>
      <c r="AT48" s="733" t="n"/>
      <c r="AU48" s="733" t="n"/>
      <c r="AV48" s="733" t="n"/>
      <c r="AW48" s="719" t="inlineStr">
        <is>
          <t>trade</t>
        </is>
      </c>
      <c r="AX48" s="734" t="inlineStr">
        <is>
          <t>oanda_export:live:447:450</t>
        </is>
      </c>
    </row>
    <row r="49" ht="15" customHeight="1">
      <c r="A49" s="716" t="inlineStr">
        <is>
          <t>C370</t>
        </is>
      </c>
      <c r="B49" s="717" t="n">
        <v>45928.42083333333</v>
      </c>
      <c r="C49" s="718" t="n">
        <v>45928.63263888889</v>
      </c>
      <c r="D49" s="719" t="inlineStr">
        <is>
          <t>BYBIT</t>
        </is>
      </c>
      <c r="E49" s="719" t="inlineStr">
        <is>
          <t>AVNTUSDT</t>
        </is>
      </c>
      <c r="F49" s="719" t="inlineStr">
        <is>
          <t>BUY</t>
        </is>
      </c>
      <c r="G49" s="720" t="n">
        <v>16</v>
      </c>
      <c r="H49" s="720" t="n">
        <v>1.5106</v>
      </c>
      <c r="I49" s="720" t="n">
        <v>1.3688</v>
      </c>
      <c r="J49" s="721" t="n">
        <v>1.3702</v>
      </c>
      <c r="K49" s="722" t="n">
        <v>0.09294320137693622</v>
      </c>
      <c r="L49" s="721" t="n">
        <v>1.7984</v>
      </c>
      <c r="M49" s="722" t="n">
        <v>0.1905203230504436</v>
      </c>
      <c r="N49" s="723" t="n">
        <v>0.05067744</v>
      </c>
      <c r="O49" s="724" t="n">
        <v>-2.31947744</v>
      </c>
      <c r="P49" s="725" t="n">
        <v>-0.009901713740826389</v>
      </c>
      <c r="Q49" s="726" t="n">
        <v>-1.009971509971511</v>
      </c>
      <c r="R49" s="727" t="n">
        <v>231.9306231699999</v>
      </c>
      <c r="S49" s="719" t="inlineStr">
        <is>
          <t>5H 5M 0S</t>
        </is>
      </c>
      <c r="T49" s="728" t="n"/>
      <c r="U49" s="729" t="n"/>
      <c r="V49" s="730" t="n"/>
      <c r="W49" s="731" t="n"/>
      <c r="X49" s="732" t="n"/>
      <c r="Y49" s="728" t="n"/>
      <c r="Z49" s="729" t="n"/>
      <c r="AA49" s="730" t="n"/>
      <c r="AB49" s="731" t="n"/>
      <c r="AC49" s="732" t="n"/>
      <c r="AD49" s="719" t="inlineStr">
        <is>
          <t>No</t>
        </is>
      </c>
      <c r="AE49" s="733" t="n"/>
      <c r="AF49" s="733" t="n"/>
      <c r="AG49" s="733" t="n"/>
      <c r="AH49" s="733" t="n"/>
      <c r="AI49" s="733" t="n"/>
      <c r="AJ49" s="733" t="n"/>
      <c r="AK49" s="733" t="n"/>
      <c r="AL49" s="733" t="n"/>
      <c r="AM49" s="733" t="n"/>
      <c r="AN49" s="733" t="n"/>
      <c r="AO49" s="733" t="n"/>
      <c r="AP49" s="719" t="inlineStr">
        <is>
          <t>Pullback</t>
        </is>
      </c>
      <c r="AQ49" s="719" t="inlineStr">
        <is>
          <t>1H</t>
        </is>
      </c>
      <c r="AR49" s="719" t="inlineStr">
        <is>
          <t>No</t>
        </is>
      </c>
      <c r="AS49" s="782" t="inlineStr">
        <is>
          <t>https://1drv.ms/f/c/3c06055d9f85a2e0/EgFR6fhEY1lEqmT37N3RJXkBOrlSPDV12j92y_yq7h5iwg?e=nhmwoF</t>
        </is>
      </c>
      <c r="AT49" s="733" t="n"/>
      <c r="AU49" s="733" t="n"/>
      <c r="AV49" s="733" t="n"/>
      <c r="AW49" s="719" t="inlineStr">
        <is>
          <t>trade</t>
        </is>
      </c>
      <c r="AX49" s="734" t="inlineStr">
        <is>
          <t>sig:5d7dbe7c8800ec9b1b54cd63</t>
        </is>
      </c>
    </row>
    <row r="50" ht="15" customHeight="1">
      <c r="A50" s="737" t="inlineStr">
        <is>
          <t>C369</t>
        </is>
      </c>
      <c r="B50" s="738" t="n">
        <v>45922.51041666666</v>
      </c>
      <c r="C50" s="739" t="n">
        <v>45922.64097222222</v>
      </c>
      <c r="D50" s="740" t="inlineStr">
        <is>
          <t>BYBIT</t>
        </is>
      </c>
      <c r="E50" s="740" t="inlineStr">
        <is>
          <t>STBLUSDT</t>
        </is>
      </c>
      <c r="F50" s="740" t="inlineStr">
        <is>
          <t>BUY</t>
        </is>
      </c>
      <c r="G50" s="742" t="n">
        <v>146</v>
      </c>
      <c r="H50" s="742" t="n">
        <v>0.34668</v>
      </c>
      <c r="I50" s="742" t="n">
        <v>0.40896</v>
      </c>
      <c r="J50" s="743" t="n">
        <v>0.31622</v>
      </c>
      <c r="K50" s="744" t="n">
        <v>0.08786200530748814</v>
      </c>
      <c r="L50" s="743" t="n">
        <v>0.40894</v>
      </c>
      <c r="M50" s="744" t="n">
        <v>0.1795892465674398</v>
      </c>
      <c r="N50" s="745" t="n">
        <v>0.12135579</v>
      </c>
      <c r="O50" s="746" t="n">
        <v>8.97152421</v>
      </c>
      <c r="P50" s="747" t="n">
        <v>0.03982413398276431</v>
      </c>
      <c r="Q50" s="748" t="n">
        <v>2.044648719632306</v>
      </c>
      <c r="R50" s="749" t="n">
        <v>234.2501006099999</v>
      </c>
      <c r="S50" s="740" t="inlineStr">
        <is>
          <t>3H 8M 0S</t>
        </is>
      </c>
      <c r="T50" s="750" t="n"/>
      <c r="U50" s="751" t="n"/>
      <c r="V50" s="752" t="n"/>
      <c r="W50" s="753" t="n"/>
      <c r="X50" s="754" t="n"/>
      <c r="Y50" s="750" t="n"/>
      <c r="Z50" s="751" t="n"/>
      <c r="AA50" s="752" t="n"/>
      <c r="AB50" s="753" t="n"/>
      <c r="AC50" s="754" t="n"/>
      <c r="AD50" s="740" t="inlineStr">
        <is>
          <t>No</t>
        </is>
      </c>
      <c r="AE50" s="755" t="n"/>
      <c r="AF50" s="755" t="n"/>
      <c r="AG50" s="755" t="n"/>
      <c r="AH50" s="755" t="n"/>
      <c r="AI50" s="755" t="n"/>
      <c r="AJ50" s="755" t="n"/>
      <c r="AK50" s="755" t="n"/>
      <c r="AL50" s="755" t="n"/>
      <c r="AM50" s="755" t="n"/>
      <c r="AN50" s="755" t="n"/>
      <c r="AO50" s="755" t="n"/>
      <c r="AP50" s="740" t="inlineStr">
        <is>
          <t>Pullback</t>
        </is>
      </c>
      <c r="AQ50" s="740" t="inlineStr">
        <is>
          <t>30MIN</t>
        </is>
      </c>
      <c r="AR50" s="740" t="inlineStr">
        <is>
          <t>No</t>
        </is>
      </c>
      <c r="AS50" s="787" t="inlineStr">
        <is>
          <t>https://1drv.ms/f/c/3c06055d9f85a2e0/En2ZaI5KKXVHnP6Eugx5vKcBB_VbHzaxtZHXvxSbfDHUXw?e=sc7NEJ</t>
        </is>
      </c>
      <c r="AT50" s="755" t="n"/>
      <c r="AU50" s="755" t="n"/>
      <c r="AV50" s="755" t="n"/>
      <c r="AW50" s="740" t="inlineStr">
        <is>
          <t>trade</t>
        </is>
      </c>
      <c r="AX50" s="756" t="inlineStr">
        <is>
          <t>sig:ea4dfda530bf6c01826eac42</t>
        </is>
      </c>
    </row>
    <row r="51" ht="15" customHeight="1">
      <c r="A51" s="737" t="inlineStr">
        <is>
          <t>F1026</t>
        </is>
      </c>
      <c r="B51" s="738" t="n">
        <v>45918.7312962963</v>
      </c>
      <c r="C51" s="739" t="n">
        <v>45918.73787037037</v>
      </c>
      <c r="D51" s="740" t="inlineStr">
        <is>
          <t>OANDA LIVE</t>
        </is>
      </c>
      <c r="E51" s="740" t="inlineStr">
        <is>
          <t>XAUUSD</t>
        </is>
      </c>
      <c r="F51" s="740" t="inlineStr">
        <is>
          <t>BUY</t>
        </is>
      </c>
      <c r="G51" s="793" t="n">
        <v>3e-05</v>
      </c>
      <c r="H51" s="742" t="n">
        <v>3652.025</v>
      </c>
      <c r="I51" s="742" t="n">
        <v>3655.985</v>
      </c>
      <c r="J51" s="743" t="n">
        <v>3649.326</v>
      </c>
      <c r="K51" s="765" t="n">
        <v>0.0007390420383212243</v>
      </c>
      <c r="L51" s="743" t="n">
        <v>3655.968</v>
      </c>
      <c r="M51" s="744" t="n">
        <v>0.001079674974842657</v>
      </c>
      <c r="N51" s="766" t="n"/>
      <c r="O51" s="767" t="n">
        <v>17.7917</v>
      </c>
      <c r="P51" s="747" t="n">
        <v>0.01187428766921329</v>
      </c>
      <c r="Q51" s="748" t="n">
        <v>1.467210077806571</v>
      </c>
      <c r="R51" s="769" t="n">
        <v>1516.13</v>
      </c>
      <c r="S51" s="740" t="inlineStr">
        <is>
          <t>9M 28S</t>
        </is>
      </c>
      <c r="T51" s="750" t="n"/>
      <c r="U51" s="751" t="n"/>
      <c r="V51" s="752" t="n"/>
      <c r="W51" s="753" t="n"/>
      <c r="X51" s="754" t="n"/>
      <c r="Y51" s="750" t="n"/>
      <c r="Z51" s="751" t="n"/>
      <c r="AA51" s="752" t="n"/>
      <c r="AB51" s="753" t="n"/>
      <c r="AC51" s="754" t="n"/>
      <c r="AD51" s="740" t="inlineStr">
        <is>
          <t>No</t>
        </is>
      </c>
      <c r="AE51" s="755" t="n"/>
      <c r="AF51" s="755" t="n"/>
      <c r="AG51" s="755" t="n"/>
      <c r="AH51" s="755" t="n"/>
      <c r="AI51" s="755" t="n"/>
      <c r="AJ51" s="755" t="n"/>
      <c r="AK51" s="755" t="n"/>
      <c r="AL51" s="755" t="n"/>
      <c r="AM51" s="755" t="n"/>
      <c r="AN51" s="755" t="n"/>
      <c r="AO51" s="755" t="n"/>
      <c r="AP51" s="740" t="inlineStr">
        <is>
          <t>Pullback</t>
        </is>
      </c>
      <c r="AQ51" s="740" t="inlineStr">
        <is>
          <t>4H</t>
        </is>
      </c>
      <c r="AR51" s="740" t="inlineStr">
        <is>
          <t>No</t>
        </is>
      </c>
      <c r="AS51" s="787" t="inlineStr">
        <is>
          <t>https://1drv.ms/f/c/3c06055d9f85a2e0/EsFux_m7SUZLs_Hoyxtd4skBZLIVoiWfXzD4axDlRh4HhA?e=jHhNlA</t>
        </is>
      </c>
      <c r="AT51" s="755" t="n"/>
      <c r="AU51" s="755" t="n"/>
      <c r="AV51" s="755" t="n"/>
      <c r="AW51" s="740" t="inlineStr">
        <is>
          <t>trade</t>
        </is>
      </c>
      <c r="AX51" s="756" t="inlineStr">
        <is>
          <t>oanda_export:live:441:444</t>
        </is>
      </c>
    </row>
    <row r="52" ht="15" customHeight="1">
      <c r="A52" s="716" t="inlineStr">
        <is>
          <t>F1025</t>
        </is>
      </c>
      <c r="B52" s="717" t="n">
        <v>45911.49953703704</v>
      </c>
      <c r="C52" s="718" t="n">
        <v>45911.57277777778</v>
      </c>
      <c r="D52" s="719" t="inlineStr">
        <is>
          <t>OANDA LIVE</t>
        </is>
      </c>
      <c r="E52" s="719" t="inlineStr">
        <is>
          <t>XAUUSD</t>
        </is>
      </c>
      <c r="F52" s="719" t="inlineStr">
        <is>
          <t>BUY</t>
        </is>
      </c>
      <c r="G52" s="794" t="n">
        <v>1e-05</v>
      </c>
      <c r="H52" s="720" t="n">
        <v>3640.525</v>
      </c>
      <c r="I52" s="720" t="n">
        <v>3629.985</v>
      </c>
      <c r="J52" s="721" t="n">
        <v>3629.995</v>
      </c>
      <c r="K52" s="722" t="n">
        <v>0.002892439964016234</v>
      </c>
      <c r="L52" s="721" t="n">
        <v>3660.835</v>
      </c>
      <c r="M52" s="722" t="n">
        <v>0.005578865685581048</v>
      </c>
      <c r="N52" s="761" t="n"/>
      <c r="O52" s="762" t="n">
        <v>-16.0163</v>
      </c>
      <c r="P52" s="725" t="n">
        <v>-0.01057630889111103</v>
      </c>
      <c r="Q52" s="726" t="n">
        <v>-1.000949667616312</v>
      </c>
      <c r="R52" s="764" t="n">
        <v>1498.34</v>
      </c>
      <c r="S52" s="719" t="inlineStr">
        <is>
          <t>1H 45M 28S</t>
        </is>
      </c>
      <c r="T52" s="728" t="n"/>
      <c r="U52" s="729" t="n"/>
      <c r="V52" s="730" t="n"/>
      <c r="W52" s="731" t="n"/>
      <c r="X52" s="732" t="n"/>
      <c r="Y52" s="728" t="n"/>
      <c r="Z52" s="729" t="n"/>
      <c r="AA52" s="730" t="n"/>
      <c r="AB52" s="731" t="n"/>
      <c r="AC52" s="732" t="n"/>
      <c r="AD52" s="719" t="inlineStr">
        <is>
          <t>No</t>
        </is>
      </c>
      <c r="AE52" s="733" t="n"/>
      <c r="AF52" s="733" t="n"/>
      <c r="AG52" s="733" t="n"/>
      <c r="AH52" s="733" t="n"/>
      <c r="AI52" s="733" t="n"/>
      <c r="AJ52" s="733" t="n"/>
      <c r="AK52" s="733" t="n"/>
      <c r="AL52" s="733" t="n"/>
      <c r="AM52" s="733" t="n"/>
      <c r="AN52" s="733" t="n"/>
      <c r="AO52" s="733" t="n"/>
      <c r="AP52" s="719" t="inlineStr">
        <is>
          <t>Pullback</t>
        </is>
      </c>
      <c r="AQ52" s="719" t="inlineStr">
        <is>
          <t>1H</t>
        </is>
      </c>
      <c r="AR52" s="719" t="inlineStr">
        <is>
          <t>No</t>
        </is>
      </c>
      <c r="AS52" s="782" t="inlineStr">
        <is>
          <t>https://1drv.ms/f/c/3c06055d9f85a2e0/EuWtmW3xXYpIhxOu6NPUa3kB0qQc93M6FSoc68IxwhyNQw?e=p7q9Wt</t>
        </is>
      </c>
      <c r="AT52" s="733" t="n"/>
      <c r="AU52" s="733" t="n"/>
      <c r="AV52" s="733" t="n"/>
      <c r="AW52" s="719" t="inlineStr">
        <is>
          <t>trade</t>
        </is>
      </c>
      <c r="AX52" s="734" t="inlineStr">
        <is>
          <t>oanda_export:live:435:438</t>
        </is>
      </c>
    </row>
    <row r="53" ht="15" customHeight="1">
      <c r="A53" s="737" t="inlineStr">
        <is>
          <t>F1024</t>
        </is>
      </c>
      <c r="B53" s="738" t="n">
        <v>45908.50793981482</v>
      </c>
      <c r="C53" s="739" t="n">
        <v>45908.70121527778</v>
      </c>
      <c r="D53" s="740" t="inlineStr">
        <is>
          <t>OANDA LIVE</t>
        </is>
      </c>
      <c r="E53" s="740" t="inlineStr">
        <is>
          <t>XAGUSD</t>
        </is>
      </c>
      <c r="F53" s="740" t="inlineStr">
        <is>
          <t>BUY</t>
        </is>
      </c>
      <c r="G53" s="795" t="n">
        <v>0.00065</v>
      </c>
      <c r="H53" s="742" t="n">
        <v>40.6727</v>
      </c>
      <c r="I53" s="742" t="n">
        <v>40.9724</v>
      </c>
      <c r="J53" s="743" t="n">
        <v>40.51285</v>
      </c>
      <c r="K53" s="744" t="n">
        <v>0.003930154624600745</v>
      </c>
      <c r="L53" s="743" t="n">
        <v>40.97185</v>
      </c>
      <c r="M53" s="744" t="n">
        <v>0.007355056340002126</v>
      </c>
      <c r="N53" s="766" t="n"/>
      <c r="O53" s="767" t="n">
        <v>29.4903</v>
      </c>
      <c r="P53" s="747" t="n">
        <v>0.01986066427690104</v>
      </c>
      <c r="Q53" s="748" t="n">
        <v>1.874882702533649</v>
      </c>
      <c r="R53" s="769" t="n">
        <v>1514.35</v>
      </c>
      <c r="S53" s="740" t="inlineStr">
        <is>
          <t>4H 38M 19S</t>
        </is>
      </c>
      <c r="T53" s="750" t="n"/>
      <c r="U53" s="751" t="n"/>
      <c r="V53" s="752" t="n"/>
      <c r="W53" s="753" t="n"/>
      <c r="X53" s="754" t="n"/>
      <c r="Y53" s="750" t="n"/>
      <c r="Z53" s="751" t="n"/>
      <c r="AA53" s="752" t="n"/>
      <c r="AB53" s="753" t="n"/>
      <c r="AC53" s="754" t="n"/>
      <c r="AD53" s="740" t="inlineStr">
        <is>
          <t>No</t>
        </is>
      </c>
      <c r="AE53" s="755" t="n"/>
      <c r="AF53" s="755" t="n"/>
      <c r="AG53" s="755" t="n"/>
      <c r="AH53" s="755" t="n"/>
      <c r="AI53" s="755" t="n"/>
      <c r="AJ53" s="755" t="n"/>
      <c r="AK53" s="755" t="n"/>
      <c r="AL53" s="755" t="n"/>
      <c r="AM53" s="755" t="n"/>
      <c r="AN53" s="755" t="n"/>
      <c r="AO53" s="755" t="n"/>
      <c r="AP53" s="740" t="inlineStr">
        <is>
          <t>Pullback</t>
        </is>
      </c>
      <c r="AQ53" s="740" t="inlineStr">
        <is>
          <t>30MIN</t>
        </is>
      </c>
      <c r="AR53" s="740" t="inlineStr">
        <is>
          <t>No</t>
        </is>
      </c>
      <c r="AS53" s="787" t="inlineStr">
        <is>
          <t>https://1drv.ms/f/c/3c06055d9f85a2e0/Ej8pfCtTNjVEmkRrIbfrHl0BDNbra-LYrt15UrZ53dqBgQ?e=rSZsyn</t>
        </is>
      </c>
      <c r="AT53" s="755" t="n"/>
      <c r="AU53" s="755" t="n"/>
      <c r="AV53" s="755" t="n"/>
      <c r="AW53" s="740" t="inlineStr">
        <is>
          <t>trade</t>
        </is>
      </c>
      <c r="AX53" s="756" t="inlineStr">
        <is>
          <t>oanda_export:live:429:432</t>
        </is>
      </c>
    </row>
    <row r="54" ht="15" customHeight="1">
      <c r="A54" s="737" t="inlineStr">
        <is>
          <t>F1023</t>
        </is>
      </c>
      <c r="B54" s="738" t="n">
        <v>45905.1285300926</v>
      </c>
      <c r="C54" s="739" t="n">
        <v>45905.75409722222</v>
      </c>
      <c r="D54" s="740" t="inlineStr">
        <is>
          <t>OANDA LIVE</t>
        </is>
      </c>
      <c r="E54" s="740" t="inlineStr">
        <is>
          <t>USDCHF</t>
        </is>
      </c>
      <c r="F54" s="740" t="inlineStr">
        <is>
          <t>SELL</t>
        </is>
      </c>
      <c r="G54" s="775" t="n">
        <v>0.0413</v>
      </c>
      <c r="H54" s="742" t="n">
        <v>0.80699</v>
      </c>
      <c r="I54" s="742" t="n">
        <v>0.80372</v>
      </c>
      <c r="J54" s="743" t="n">
        <v>0.80899</v>
      </c>
      <c r="K54" s="744" t="n">
        <v>0.002478345456573194</v>
      </c>
      <c r="L54" s="743" t="n">
        <v>0.80299</v>
      </c>
      <c r="M54" s="744" t="n">
        <v>0.004956690913146388</v>
      </c>
      <c r="N54" s="766" t="n"/>
      <c r="O54" s="767" t="n">
        <v>24.5718</v>
      </c>
      <c r="P54" s="747" t="n">
        <v>0.01682667845977253</v>
      </c>
      <c r="Q54" s="748" t="n">
        <v>1.634999999999996</v>
      </c>
      <c r="R54" s="769" t="n">
        <v>1484.86</v>
      </c>
      <c r="S54" s="740" t="inlineStr">
        <is>
          <t>15H 0M 49S</t>
        </is>
      </c>
      <c r="T54" s="750" t="n"/>
      <c r="U54" s="751" t="n"/>
      <c r="V54" s="752" t="n"/>
      <c r="W54" s="753" t="n"/>
      <c r="X54" s="754" t="n"/>
      <c r="Y54" s="750" t="n"/>
      <c r="Z54" s="751" t="n"/>
      <c r="AA54" s="752" t="n"/>
      <c r="AB54" s="753" t="n"/>
      <c r="AC54" s="754" t="n"/>
      <c r="AD54" s="740" t="inlineStr">
        <is>
          <t>No</t>
        </is>
      </c>
      <c r="AE54" s="755" t="n"/>
      <c r="AF54" s="755" t="n"/>
      <c r="AG54" s="755" t="n"/>
      <c r="AH54" s="755" t="n"/>
      <c r="AI54" s="755" t="n"/>
      <c r="AJ54" s="755" t="n"/>
      <c r="AK54" s="755" t="n"/>
      <c r="AL54" s="755" t="n"/>
      <c r="AM54" s="755" t="n"/>
      <c r="AN54" s="755" t="n"/>
      <c r="AO54" s="755" t="n"/>
      <c r="AP54" s="740" t="inlineStr">
        <is>
          <t>Pullback</t>
        </is>
      </c>
      <c r="AQ54" s="740" t="inlineStr">
        <is>
          <t>4H</t>
        </is>
      </c>
      <c r="AR54" s="740" t="inlineStr">
        <is>
          <t>No</t>
        </is>
      </c>
      <c r="AS54" s="787" t="inlineStr">
        <is>
          <t>https://1drv.ms/f/c/3c06055d9f85a2e0/Eptmd0de3ZZDjYNAXz6PVJkBRduEsuxtVtww_6tvYzqSLA?e=7NMMfA</t>
        </is>
      </c>
      <c r="AT54" s="755" t="n"/>
      <c r="AU54" s="755" t="n"/>
      <c r="AV54" s="755" t="n"/>
      <c r="AW54" s="740" t="inlineStr">
        <is>
          <t>trade</t>
        </is>
      </c>
      <c r="AX54" s="756" t="inlineStr">
        <is>
          <t>oanda_export:live:420:425</t>
        </is>
      </c>
    </row>
    <row r="55" ht="15" customHeight="1">
      <c r="A55" s="716" t="inlineStr">
        <is>
          <t>C368</t>
        </is>
      </c>
      <c r="B55" s="717" t="n">
        <v>45894.85486111111</v>
      </c>
      <c r="C55" s="718" t="n">
        <v>45895.29930555556</v>
      </c>
      <c r="D55" s="719" t="inlineStr">
        <is>
          <t>BYBIT</t>
        </is>
      </c>
      <c r="E55" s="719" t="inlineStr">
        <is>
          <t>BNBUSDT</t>
        </is>
      </c>
      <c r="F55" s="719" t="inlineStr">
        <is>
          <t>BUY</t>
        </is>
      </c>
      <c r="G55" s="720" t="n">
        <v>0.13</v>
      </c>
      <c r="H55" s="720" t="n">
        <v>851.2</v>
      </c>
      <c r="I55" s="720" t="n">
        <v>834.7</v>
      </c>
      <c r="J55" s="721" t="n">
        <v>835</v>
      </c>
      <c r="K55" s="722" t="n">
        <v>0.0190319548872181</v>
      </c>
      <c r="L55" s="721" t="n">
        <v>886.8</v>
      </c>
      <c r="M55" s="722" t="n">
        <v>0.04182330827067658</v>
      </c>
      <c r="N55" s="758" t="n">
        <v>0.12054185</v>
      </c>
      <c r="O55" s="724" t="n">
        <v>-2.26554185</v>
      </c>
      <c r="P55" s="725" t="n">
        <v>-0.009956494887338192</v>
      </c>
      <c r="Q55" s="726" t="n">
        <v>-1.018518518518516</v>
      </c>
      <c r="R55" s="727" t="n">
        <v>225.2785763999998</v>
      </c>
      <c r="S55" s="719" t="inlineStr">
        <is>
          <t>10H 40M 0S</t>
        </is>
      </c>
      <c r="T55" s="728" t="n"/>
      <c r="U55" s="729" t="n"/>
      <c r="V55" s="730" t="n"/>
      <c r="W55" s="731" t="n"/>
      <c r="X55" s="732" t="n"/>
      <c r="Y55" s="728" t="n"/>
      <c r="Z55" s="729" t="n"/>
      <c r="AA55" s="730" t="n"/>
      <c r="AB55" s="731" t="n"/>
      <c r="AC55" s="732" t="n"/>
      <c r="AD55" s="719" t="inlineStr">
        <is>
          <t>No</t>
        </is>
      </c>
      <c r="AE55" s="733" t="n"/>
      <c r="AF55" s="733" t="n"/>
      <c r="AG55" s="733" t="n"/>
      <c r="AH55" s="733" t="n"/>
      <c r="AI55" s="733" t="n"/>
      <c r="AJ55" s="733" t="n"/>
      <c r="AK55" s="733" t="n"/>
      <c r="AL55" s="733" t="n"/>
      <c r="AM55" s="733" t="n"/>
      <c r="AN55" s="733" t="n"/>
      <c r="AO55" s="733" t="n"/>
      <c r="AP55" s="719" t="inlineStr">
        <is>
          <t>Pullback</t>
        </is>
      </c>
      <c r="AQ55" s="719" t="inlineStr">
        <is>
          <t>1H</t>
        </is>
      </c>
      <c r="AR55" s="719" t="inlineStr">
        <is>
          <t>No</t>
        </is>
      </c>
      <c r="AS55" s="782" t="inlineStr">
        <is>
          <t>https://1drv.ms/f/c/3c06055d9f85a2e0/En41pJcOXyZCr5k1-oAxzDABgGvI1UCBQPR4vSurHy946A?e=gVWXLS</t>
        </is>
      </c>
      <c r="AT55" s="733" t="n"/>
      <c r="AU55" s="733" t="n"/>
      <c r="AV55" s="733" t="n"/>
      <c r="AW55" s="719" t="inlineStr">
        <is>
          <t>trade</t>
        </is>
      </c>
      <c r="AX55" s="734" t="inlineStr">
        <is>
          <t>sig:29464cf2240b996f8a7d8cf7</t>
        </is>
      </c>
    </row>
    <row r="56" ht="15" customHeight="1">
      <c r="A56" s="737" t="inlineStr">
        <is>
          <t>C367</t>
        </is>
      </c>
      <c r="B56" s="738" t="n">
        <v>45890.15555555555</v>
      </c>
      <c r="C56" s="739" t="n">
        <v>45890.80416666667</v>
      </c>
      <c r="D56" s="740" t="inlineStr">
        <is>
          <t>BYBIT</t>
        </is>
      </c>
      <c r="E56" s="740" t="inlineStr">
        <is>
          <t>ETHUSDT</t>
        </is>
      </c>
      <c r="F56" s="740" t="inlineStr">
        <is>
          <t>SELL</t>
        </is>
      </c>
      <c r="G56" s="775" t="n">
        <v>0.05</v>
      </c>
      <c r="H56" s="742" t="n">
        <v>4346.78</v>
      </c>
      <c r="I56" s="742" t="n">
        <v>4254.824</v>
      </c>
      <c r="J56" s="743" t="n">
        <v>4384.94</v>
      </c>
      <c r="K56" s="744" t="n">
        <v>0.008778912206276798</v>
      </c>
      <c r="L56" s="743" t="n">
        <v>4255.02</v>
      </c>
      <c r="M56" s="744" t="n">
        <v>0.02110987903689612</v>
      </c>
      <c r="N56" s="745" t="n">
        <v>0.23654411</v>
      </c>
      <c r="O56" s="746" t="n">
        <v>4.36125589</v>
      </c>
      <c r="P56" s="747" t="n">
        <v>0.01954117732823579</v>
      </c>
      <c r="Q56" s="748" t="n">
        <v>2.409748427672969</v>
      </c>
      <c r="R56" s="749" t="n">
        <v>227.5441182499999</v>
      </c>
      <c r="S56" s="740" t="inlineStr">
        <is>
          <t>15H 34M 0S</t>
        </is>
      </c>
      <c r="T56" s="750" t="n"/>
      <c r="U56" s="751" t="n"/>
      <c r="V56" s="752" t="n"/>
      <c r="W56" s="753" t="n"/>
      <c r="X56" s="754" t="n"/>
      <c r="Y56" s="750" t="n"/>
      <c r="Z56" s="751" t="n"/>
      <c r="AA56" s="752" t="n"/>
      <c r="AB56" s="753" t="n"/>
      <c r="AC56" s="754" t="n"/>
      <c r="AD56" s="740" t="inlineStr">
        <is>
          <t>No</t>
        </is>
      </c>
      <c r="AE56" s="755" t="n"/>
      <c r="AF56" s="755" t="n"/>
      <c r="AG56" s="755" t="n"/>
      <c r="AH56" s="755" t="n"/>
      <c r="AI56" s="755" t="n"/>
      <c r="AJ56" s="755" t="n"/>
      <c r="AK56" s="755" t="n"/>
      <c r="AL56" s="755" t="n"/>
      <c r="AM56" s="755" t="n"/>
      <c r="AN56" s="755" t="n"/>
      <c r="AO56" s="755" t="n"/>
      <c r="AP56" s="740" t="inlineStr">
        <is>
          <t>Pullback</t>
        </is>
      </c>
      <c r="AQ56" s="740" t="inlineStr">
        <is>
          <t>30MIN</t>
        </is>
      </c>
      <c r="AR56" s="740" t="inlineStr">
        <is>
          <t>No</t>
        </is>
      </c>
      <c r="AS56" s="787" t="inlineStr">
        <is>
          <t>https://1drv.ms/f/c/3c06055d9f85a2e0/EokrKA3mfUpMqYWchMTN8TcBVkF73yfUBwpKlERPCVRWIw?e=A7BReK</t>
        </is>
      </c>
      <c r="AT56" s="755" t="n"/>
      <c r="AU56" s="755" t="n"/>
      <c r="AV56" s="755" t="n"/>
      <c r="AW56" s="740" t="inlineStr">
        <is>
          <t>trade</t>
        </is>
      </c>
      <c r="AX56" s="756" t="inlineStr">
        <is>
          <t>sig:ea1d001764c7360f7a213600</t>
        </is>
      </c>
    </row>
    <row r="57" ht="15" customHeight="1">
      <c r="A57" s="716" t="inlineStr">
        <is>
          <t>C366</t>
        </is>
      </c>
      <c r="B57" s="717" t="n">
        <v>45887.69861111111</v>
      </c>
      <c r="C57" s="718" t="n">
        <v>45888.92916666667</v>
      </c>
      <c r="D57" s="719" t="inlineStr">
        <is>
          <t>BYBIT</t>
        </is>
      </c>
      <c r="E57" s="719" t="inlineStr">
        <is>
          <t>ENAUSDT</t>
        </is>
      </c>
      <c r="F57" s="719" t="inlineStr">
        <is>
          <t>BUY</t>
        </is>
      </c>
      <c r="G57" s="720" t="n">
        <v>73</v>
      </c>
      <c r="H57" s="720" t="n">
        <v>0.6754</v>
      </c>
      <c r="I57" s="720" t="n">
        <v>0.661</v>
      </c>
      <c r="J57" s="721" t="n">
        <v>0.6454</v>
      </c>
      <c r="K57" s="722" t="n">
        <v>0.0444181225940184</v>
      </c>
      <c r="L57" s="721" t="n">
        <v>0.7381</v>
      </c>
      <c r="M57" s="722" t="n">
        <v>0.09283387622149834</v>
      </c>
      <c r="N57" s="723" t="n">
        <v>0.05365646</v>
      </c>
      <c r="O57" s="724" t="n">
        <v>-1.10485646</v>
      </c>
      <c r="P57" s="725" t="n">
        <v>-0.004926067578790137</v>
      </c>
      <c r="Q57" s="726" t="n">
        <v>-0.4799999999999985</v>
      </c>
      <c r="R57" s="727" t="n">
        <v>223.1828623599999</v>
      </c>
      <c r="S57" s="719" t="inlineStr">
        <is>
          <t>1D 5H 32M 0S</t>
        </is>
      </c>
      <c r="T57" s="728" t="n"/>
      <c r="U57" s="729" t="n"/>
      <c r="V57" s="730" t="n"/>
      <c r="W57" s="731" t="n"/>
      <c r="X57" s="732" t="n"/>
      <c r="Y57" s="728" t="n"/>
      <c r="Z57" s="729" t="n"/>
      <c r="AA57" s="730" t="n"/>
      <c r="AB57" s="731" t="n"/>
      <c r="AC57" s="732" t="n"/>
      <c r="AD57" s="719" t="inlineStr">
        <is>
          <t>No</t>
        </is>
      </c>
      <c r="AE57" s="733" t="n"/>
      <c r="AF57" s="733" t="n"/>
      <c r="AG57" s="733" t="n"/>
      <c r="AH57" s="733" t="n"/>
      <c r="AI57" s="733" t="n"/>
      <c r="AJ57" s="733" t="n"/>
      <c r="AK57" s="733" t="n"/>
      <c r="AL57" s="733" t="n"/>
      <c r="AM57" s="733" t="n"/>
      <c r="AN57" s="733" t="n"/>
      <c r="AO57" s="733" t="n"/>
      <c r="AP57" s="719" t="inlineStr">
        <is>
          <t>Pullback</t>
        </is>
      </c>
      <c r="AQ57" s="719" t="inlineStr">
        <is>
          <t>4H</t>
        </is>
      </c>
      <c r="AR57" s="719" t="inlineStr">
        <is>
          <t>No</t>
        </is>
      </c>
      <c r="AS57" s="782" t="inlineStr">
        <is>
          <t>https://1drv.ms/f/c/3c06055d9f85a2e0/EpCcpc1StfZNloMzqPY_80wBf8WFjt0PvGkbYv7-SMb5-Q?e=S55gk3</t>
        </is>
      </c>
      <c r="AT57" s="733" t="n"/>
      <c r="AU57" s="733" t="n"/>
      <c r="AV57" s="733" t="n"/>
      <c r="AW57" s="719" t="inlineStr">
        <is>
          <t>trade</t>
        </is>
      </c>
      <c r="AX57" s="734" t="inlineStr">
        <is>
          <t>sig:18e0719b24e998e50348e6fd</t>
        </is>
      </c>
    </row>
    <row r="58" ht="15" customHeight="1">
      <c r="A58" s="716" t="inlineStr">
        <is>
          <t>C365</t>
        </is>
      </c>
      <c r="B58" s="717" t="n">
        <v>45883.93958333333</v>
      </c>
      <c r="C58" s="718" t="n">
        <v>45883.94027777778</v>
      </c>
      <c r="D58" s="719" t="inlineStr">
        <is>
          <t>BYBIT</t>
        </is>
      </c>
      <c r="E58" s="719" t="inlineStr">
        <is>
          <t>TRXUSDT</t>
        </is>
      </c>
      <c r="F58" s="719" t="inlineStr">
        <is>
          <t>BUY</t>
        </is>
      </c>
      <c r="G58" s="720" t="n">
        <v>1200</v>
      </c>
      <c r="H58" s="720" t="n">
        <v>0.36649</v>
      </c>
      <c r="I58" s="720" t="n">
        <v>0.36492</v>
      </c>
      <c r="J58" s="721" t="n">
        <v>0.36503</v>
      </c>
      <c r="K58" s="722" t="n">
        <v>0.00398373761903452</v>
      </c>
      <c r="L58" s="721" t="n">
        <v>0.37071</v>
      </c>
      <c r="M58" s="722" t="n">
        <v>0.01151463887145625</v>
      </c>
      <c r="N58" s="758" t="n">
        <v>0.4827306</v>
      </c>
      <c r="O58" s="724" t="n">
        <v>-2.3667306</v>
      </c>
      <c r="P58" s="725" t="n">
        <v>-0.01044202135037001</v>
      </c>
      <c r="Q58" s="726" t="n">
        <v>-1.075342465753426</v>
      </c>
      <c r="R58" s="727" t="n">
        <v>224.2877188199999</v>
      </c>
      <c r="S58" s="719" t="inlineStr">
        <is>
          <t>1M 0S</t>
        </is>
      </c>
      <c r="T58" s="728" t="n"/>
      <c r="U58" s="729" t="n"/>
      <c r="V58" s="730" t="n"/>
      <c r="W58" s="731" t="n"/>
      <c r="X58" s="732" t="n"/>
      <c r="Y58" s="728" t="n"/>
      <c r="Z58" s="729" t="n"/>
      <c r="AA58" s="730" t="n"/>
      <c r="AB58" s="731" t="n"/>
      <c r="AC58" s="732" t="n"/>
      <c r="AD58" s="719" t="inlineStr">
        <is>
          <t>No</t>
        </is>
      </c>
      <c r="AE58" s="733" t="n"/>
      <c r="AF58" s="733" t="n"/>
      <c r="AG58" s="733" t="n"/>
      <c r="AH58" s="733" t="n"/>
      <c r="AI58" s="733" t="n"/>
      <c r="AJ58" s="733" t="n"/>
      <c r="AK58" s="733" t="n"/>
      <c r="AL58" s="733" t="n"/>
      <c r="AM58" s="733" t="n"/>
      <c r="AN58" s="733" t="n"/>
      <c r="AO58" s="733" t="n"/>
      <c r="AP58" s="719" t="inlineStr">
        <is>
          <t>Pullback</t>
        </is>
      </c>
      <c r="AQ58" s="719" t="inlineStr">
        <is>
          <t>15MIN</t>
        </is>
      </c>
      <c r="AR58" s="719" t="inlineStr">
        <is>
          <t>No</t>
        </is>
      </c>
      <c r="AS58" s="782" t="inlineStr">
        <is>
          <t>https://1drv.ms/f/c/3c06055d9f85a2e0/EuUqIpwuOENDppNl85hz-uIBpNiVXCvU8nlq3JCTpfUHVA?e=w0Tiee</t>
        </is>
      </c>
      <c r="AT58" s="733" t="n"/>
      <c r="AU58" s="733" t="n"/>
      <c r="AV58" s="733" t="n"/>
      <c r="AW58" s="719" t="inlineStr">
        <is>
          <t>trade</t>
        </is>
      </c>
      <c r="AX58" s="734" t="inlineStr">
        <is>
          <t>sig:7b3999ce4388f88b0dfec757</t>
        </is>
      </c>
    </row>
    <row r="59" ht="15" customHeight="1">
      <c r="A59" s="716" t="inlineStr">
        <is>
          <t>C364</t>
        </is>
      </c>
      <c r="B59" s="717" t="n">
        <v>45880.63472222222</v>
      </c>
      <c r="C59" s="718" t="n">
        <v>45880.76597222222</v>
      </c>
      <c r="D59" s="719" t="inlineStr">
        <is>
          <t>BYBIT</t>
        </is>
      </c>
      <c r="E59" s="719" t="inlineStr">
        <is>
          <t>XRPUSDT</t>
        </is>
      </c>
      <c r="F59" s="719" t="inlineStr">
        <is>
          <t>SELL</t>
        </is>
      </c>
      <c r="G59" s="720" t="n">
        <v>82</v>
      </c>
      <c r="H59" s="720" t="n">
        <v>3.2782</v>
      </c>
      <c r="I59" s="720" t="n">
        <v>3.3</v>
      </c>
      <c r="J59" s="721" t="n">
        <v>3.3</v>
      </c>
      <c r="K59" s="722" t="n">
        <v>0.006649990848636392</v>
      </c>
      <c r="L59" s="721" t="n">
        <v>3.2166</v>
      </c>
      <c r="M59" s="722" t="n">
        <v>0.01879079982917451</v>
      </c>
      <c r="N59" s="758" t="n">
        <v>0.29667682</v>
      </c>
      <c r="O59" s="724" t="n">
        <v>-2.08427682</v>
      </c>
      <c r="P59" s="725" t="n">
        <v>-0.009112041735395128</v>
      </c>
      <c r="Q59" s="726" t="n">
        <v>-1</v>
      </c>
      <c r="R59" s="727" t="n">
        <v>226.6544494199999</v>
      </c>
      <c r="S59" s="719" t="inlineStr">
        <is>
          <t>3H 9M 0S</t>
        </is>
      </c>
      <c r="T59" s="728" t="n"/>
      <c r="U59" s="729" t="n"/>
      <c r="V59" s="730" t="n"/>
      <c r="W59" s="731" t="n"/>
      <c r="X59" s="732" t="n"/>
      <c r="Y59" s="728" t="n"/>
      <c r="Z59" s="729" t="n"/>
      <c r="AA59" s="730" t="n"/>
      <c r="AB59" s="731" t="n"/>
      <c r="AC59" s="732" t="n"/>
      <c r="AD59" s="719" t="inlineStr">
        <is>
          <t>No</t>
        </is>
      </c>
      <c r="AE59" s="733" t="n"/>
      <c r="AF59" s="733" t="n"/>
      <c r="AG59" s="733" t="n"/>
      <c r="AH59" s="733" t="n"/>
      <c r="AI59" s="733" t="n"/>
      <c r="AJ59" s="733" t="n"/>
      <c r="AK59" s="733" t="n"/>
      <c r="AL59" s="733" t="n"/>
      <c r="AM59" s="733" t="n"/>
      <c r="AN59" s="733" t="n"/>
      <c r="AO59" s="733" t="n"/>
      <c r="AP59" s="719" t="inlineStr">
        <is>
          <t>Pullback</t>
        </is>
      </c>
      <c r="AQ59" s="719" t="inlineStr">
        <is>
          <t>15MIN</t>
        </is>
      </c>
      <c r="AR59" s="719" t="inlineStr">
        <is>
          <t>No</t>
        </is>
      </c>
      <c r="AS59" s="782" t="inlineStr">
        <is>
          <t>https://1drv.ms/f/c/3c06055d9f85a2e0/El7rXFdJDKZOnBCNHF2fSlcByZUmUA9kYDUqSMVUVBKEIA?e=AWHUgu</t>
        </is>
      </c>
      <c r="AT59" s="733" t="n"/>
      <c r="AU59" s="733" t="n"/>
      <c r="AV59" s="733" t="n"/>
      <c r="AW59" s="719" t="inlineStr">
        <is>
          <t>trade</t>
        </is>
      </c>
      <c r="AX59" s="734" t="inlineStr">
        <is>
          <t>sig:f2529a1c58c46db8c13e0223</t>
        </is>
      </c>
    </row>
    <row r="60" ht="15" customHeight="1">
      <c r="A60" s="716" t="inlineStr">
        <is>
          <t>C363</t>
        </is>
      </c>
      <c r="B60" s="717" t="n">
        <v>45873.98263888889</v>
      </c>
      <c r="C60" s="718" t="n">
        <v>45874.09791666667</v>
      </c>
      <c r="D60" s="719" t="inlineStr">
        <is>
          <t>BYBIT</t>
        </is>
      </c>
      <c r="E60" s="719" t="inlineStr">
        <is>
          <t>SOLUSDT</t>
        </is>
      </c>
      <c r="F60" s="719" t="inlineStr">
        <is>
          <t>SELL</t>
        </is>
      </c>
      <c r="G60" s="720" t="n">
        <v>0.9</v>
      </c>
      <c r="H60" s="720" t="n">
        <v>164.91</v>
      </c>
      <c r="I60" s="720" t="n">
        <v>167.549</v>
      </c>
      <c r="J60" s="721" t="n">
        <v>167.52</v>
      </c>
      <c r="K60" s="722" t="n">
        <v>0.01582681462615981</v>
      </c>
      <c r="L60" s="721" t="n">
        <v>159.09</v>
      </c>
      <c r="M60" s="722" t="n">
        <v>0.03529197744224118</v>
      </c>
      <c r="N60" s="758" t="n">
        <v>0.16456715</v>
      </c>
      <c r="O60" s="724" t="n">
        <v>-2.53966715</v>
      </c>
      <c r="P60" s="725" t="n">
        <v>-0.01098099616126878</v>
      </c>
      <c r="Q60" s="726" t="n">
        <v>-1.01111111111111</v>
      </c>
      <c r="R60" s="727" t="n">
        <v>228.7387262399999</v>
      </c>
      <c r="S60" s="719" t="inlineStr">
        <is>
          <t>2H 46M 0S</t>
        </is>
      </c>
      <c r="T60" s="728" t="n"/>
      <c r="U60" s="729" t="n"/>
      <c r="V60" s="730" t="n"/>
      <c r="W60" s="731" t="n"/>
      <c r="X60" s="732" t="n"/>
      <c r="Y60" s="728" t="n"/>
      <c r="Z60" s="729" t="n"/>
      <c r="AA60" s="730" t="n"/>
      <c r="AB60" s="731" t="n"/>
      <c r="AC60" s="732" t="n"/>
      <c r="AD60" s="719" t="inlineStr">
        <is>
          <t>No</t>
        </is>
      </c>
      <c r="AE60" s="733" t="n"/>
      <c r="AF60" s="733" t="n"/>
      <c r="AG60" s="733" t="n"/>
      <c r="AH60" s="733" t="n"/>
      <c r="AI60" s="733" t="n"/>
      <c r="AJ60" s="733" t="n"/>
      <c r="AK60" s="733" t="n"/>
      <c r="AL60" s="733" t="n"/>
      <c r="AM60" s="733" t="n"/>
      <c r="AN60" s="733" t="n"/>
      <c r="AO60" s="733" t="n"/>
      <c r="AP60" s="719" t="inlineStr">
        <is>
          <t>Pullback</t>
        </is>
      </c>
      <c r="AQ60" s="719" t="inlineStr">
        <is>
          <t>1H</t>
        </is>
      </c>
      <c r="AR60" s="719" t="inlineStr">
        <is>
          <t>No</t>
        </is>
      </c>
      <c r="AS60" s="782" t="inlineStr">
        <is>
          <t>https://1drv.ms/f/c/3c06055d9f85a2e0/Em82sH9T-udJslRtASZ0KYoBRkv3T9MAwpKxDVx_CBTjHQ?e=dxLnhH</t>
        </is>
      </c>
      <c r="AT60" s="733" t="n"/>
      <c r="AU60" s="733" t="n"/>
      <c r="AV60" s="733" t="n"/>
      <c r="AW60" s="719" t="inlineStr">
        <is>
          <t>trade</t>
        </is>
      </c>
      <c r="AX60" s="734" t="inlineStr">
        <is>
          <t>sig:ef762dc74a8ca3e94be1f41b</t>
        </is>
      </c>
    </row>
    <row r="61" ht="15" customHeight="1">
      <c r="A61" s="716" t="inlineStr">
        <is>
          <t>C362</t>
        </is>
      </c>
      <c r="B61" s="717" t="n">
        <v>45872.57222222222</v>
      </c>
      <c r="C61" s="718" t="n">
        <v>45873.38819444444</v>
      </c>
      <c r="D61" s="719" t="inlineStr">
        <is>
          <t>BYBIT</t>
        </is>
      </c>
      <c r="E61" s="719" t="inlineStr">
        <is>
          <t>SOLUSDT</t>
        </is>
      </c>
      <c r="F61" s="719" t="inlineStr">
        <is>
          <t>SELL</t>
        </is>
      </c>
      <c r="G61" s="720" t="n">
        <v>1.2</v>
      </c>
      <c r="H61" s="720" t="n">
        <v>160.98</v>
      </c>
      <c r="I61" s="720" t="n">
        <v>162.83</v>
      </c>
      <c r="J61" s="721" t="n">
        <v>162.86</v>
      </c>
      <c r="K61" s="722" t="n">
        <v>0.0116784693750778</v>
      </c>
      <c r="L61" s="721" t="n">
        <v>156.64</v>
      </c>
      <c r="M61" s="722" t="n">
        <v>0.02695987079140268</v>
      </c>
      <c r="N61" s="758" t="n">
        <v>0.2137146</v>
      </c>
      <c r="O61" s="724" t="n">
        <v>-2.4337146</v>
      </c>
      <c r="P61" s="725" t="n">
        <v>-0.01041330130873722</v>
      </c>
      <c r="Q61" s="726" t="n">
        <v>-0.9840425531914889</v>
      </c>
      <c r="R61" s="727" t="n">
        <v>231.2783933899999</v>
      </c>
      <c r="S61" s="719" t="inlineStr">
        <is>
          <t>19H 35M 0S</t>
        </is>
      </c>
      <c r="T61" s="728" t="n"/>
      <c r="U61" s="729" t="n"/>
      <c r="V61" s="730" t="n"/>
      <c r="W61" s="731" t="n"/>
      <c r="X61" s="732" t="n"/>
      <c r="Y61" s="728" t="n"/>
      <c r="Z61" s="729" t="n"/>
      <c r="AA61" s="730" t="n"/>
      <c r="AB61" s="731" t="n"/>
      <c r="AC61" s="732" t="n"/>
      <c r="AD61" s="719" t="inlineStr">
        <is>
          <t>No</t>
        </is>
      </c>
      <c r="AE61" s="733" t="n"/>
      <c r="AF61" s="733" t="n"/>
      <c r="AG61" s="733" t="n"/>
      <c r="AH61" s="733" t="n"/>
      <c r="AI61" s="733" t="n"/>
      <c r="AJ61" s="733" t="n"/>
      <c r="AK61" s="733" t="n"/>
      <c r="AL61" s="733" t="n"/>
      <c r="AM61" s="733" t="n"/>
      <c r="AN61" s="733" t="n"/>
      <c r="AO61" s="733" t="n"/>
      <c r="AP61" s="719" t="inlineStr">
        <is>
          <t>Pullback</t>
        </is>
      </c>
      <c r="AQ61" s="719" t="inlineStr">
        <is>
          <t>15MIN</t>
        </is>
      </c>
      <c r="AR61" s="719" t="inlineStr">
        <is>
          <t>No</t>
        </is>
      </c>
      <c r="AS61" s="782" t="inlineStr">
        <is>
          <t>https://1drv.ms/f/c/3c06055d9f85a2e0/ErR7IwowW71Ak1lLdVgj91ABTRsvM9yDLHYeEF_QdtKneQ?e=WAKHh4</t>
        </is>
      </c>
      <c r="AT61" s="733" t="n"/>
      <c r="AU61" s="733" t="n"/>
      <c r="AV61" s="733" t="n"/>
      <c r="AW61" s="719" t="inlineStr">
        <is>
          <t>trade</t>
        </is>
      </c>
      <c r="AX61" s="734" t="inlineStr">
        <is>
          <t>sig:8711cb635245ba946e966544</t>
        </is>
      </c>
    </row>
    <row r="62" ht="15" customHeight="1">
      <c r="A62" s="737" t="inlineStr">
        <is>
          <t>F1022</t>
        </is>
      </c>
      <c r="B62" s="738" t="n">
        <v>45866.91805555556</v>
      </c>
      <c r="C62" s="739" t="n">
        <v>45866.92222222222</v>
      </c>
      <c r="D62" s="740" t="inlineStr">
        <is>
          <t>PEPPERSTONE LIVE</t>
        </is>
      </c>
      <c r="E62" s="740" t="inlineStr">
        <is>
          <t>EURUSD</t>
        </is>
      </c>
      <c r="F62" s="740" t="inlineStr">
        <is>
          <t>SELL</t>
        </is>
      </c>
      <c r="G62" s="742" t="n">
        <v>0.18</v>
      </c>
      <c r="H62" s="742" t="n">
        <v>1.16623</v>
      </c>
      <c r="I62" s="742" t="n">
        <v>1.16556</v>
      </c>
      <c r="J62" s="743" t="n">
        <v>1.16666</v>
      </c>
      <c r="K62" s="765" t="n">
        <v>0.000368709431244206</v>
      </c>
      <c r="L62" s="743" t="n">
        <v>1.16556</v>
      </c>
      <c r="M62" s="765" t="n">
        <v>0.0005745007417063276</v>
      </c>
      <c r="N62" s="766" t="n">
        <v>1.26</v>
      </c>
      <c r="O62" s="767" t="n">
        <v>17.21</v>
      </c>
      <c r="P62" s="747" t="n">
        <v>0.006907430002568713</v>
      </c>
      <c r="Q62" s="748" t="n">
        <v>1.558139534884369</v>
      </c>
      <c r="R62" s="769" t="n">
        <v>2508.73</v>
      </c>
      <c r="S62" s="740" t="inlineStr">
        <is>
          <t>6M 0S</t>
        </is>
      </c>
      <c r="T62" s="750" t="n"/>
      <c r="U62" s="751" t="n"/>
      <c r="V62" s="752" t="n"/>
      <c r="W62" s="753" t="n"/>
      <c r="X62" s="754" t="n"/>
      <c r="Y62" s="750" t="n"/>
      <c r="Z62" s="751" t="n"/>
      <c r="AA62" s="752" t="n"/>
      <c r="AB62" s="753" t="n"/>
      <c r="AC62" s="754" t="n"/>
      <c r="AD62" s="740" t="inlineStr">
        <is>
          <t>No</t>
        </is>
      </c>
      <c r="AE62" s="755" t="n"/>
      <c r="AF62" s="755" t="n"/>
      <c r="AG62" s="755" t="n"/>
      <c r="AH62" s="755" t="n"/>
      <c r="AI62" s="755" t="n"/>
      <c r="AJ62" s="755" t="n"/>
      <c r="AK62" s="755" t="n"/>
      <c r="AL62" s="755" t="n"/>
      <c r="AM62" s="755" t="n"/>
      <c r="AN62" s="755" t="n"/>
      <c r="AO62" s="755" t="n"/>
      <c r="AP62" s="740" t="inlineStr">
        <is>
          <t>Pullback</t>
        </is>
      </c>
      <c r="AQ62" s="740" t="inlineStr">
        <is>
          <t>1MIN</t>
        </is>
      </c>
      <c r="AR62" s="740" t="inlineStr">
        <is>
          <t>No</t>
        </is>
      </c>
      <c r="AS62" s="787" t="inlineStr">
        <is>
          <t>https://1drv.ms/f/c/3c06055d9f85a2e0/Egn7rsLwuHBIjOBgHLfSYzgBBLEWWEFWo1atj7KSED8wDA?e=Wau2zm</t>
        </is>
      </c>
      <c r="AT62" s="755" t="n"/>
      <c r="AU62" s="755" t="n"/>
      <c r="AV62" s="755" t="n"/>
      <c r="AW62" s="740" t="inlineStr">
        <is>
          <t>trade</t>
        </is>
      </c>
      <c r="AX62" s="756" t="inlineStr">
        <is>
          <t>sig:043122b0ed44a3a4ddde3b1e</t>
        </is>
      </c>
    </row>
    <row r="63" ht="15" customHeight="1">
      <c r="A63" s="716" t="inlineStr">
        <is>
          <t>C361</t>
        </is>
      </c>
      <c r="B63" s="717" t="n">
        <v>45861.98541666667</v>
      </c>
      <c r="C63" s="718" t="n">
        <v>45862.69652777778</v>
      </c>
      <c r="D63" s="719" t="inlineStr">
        <is>
          <t>BYBIT</t>
        </is>
      </c>
      <c r="E63" s="719" t="inlineStr">
        <is>
          <t>ENAUSDT</t>
        </is>
      </c>
      <c r="F63" s="719" t="inlineStr">
        <is>
          <t>BUY</t>
        </is>
      </c>
      <c r="G63" s="720" t="n">
        <v>92</v>
      </c>
      <c r="H63" s="720" t="n">
        <v>0.454</v>
      </c>
      <c r="I63" s="720" t="n">
        <v>0.4284</v>
      </c>
      <c r="J63" s="721" t="n">
        <v>0.4288</v>
      </c>
      <c r="K63" s="722" t="n">
        <v>0.05550660792951542</v>
      </c>
      <c r="L63" s="721" t="n">
        <v>0.5063</v>
      </c>
      <c r="M63" s="722" t="n">
        <v>0.1151982378854625</v>
      </c>
      <c r="N63" s="723" t="n">
        <v>0.04464944</v>
      </c>
      <c r="O63" s="724" t="n">
        <v>-2.39984944</v>
      </c>
      <c r="P63" s="725" t="n">
        <v>-0.0101640317844194</v>
      </c>
      <c r="Q63" s="726" t="n">
        <v>-1.015873015873016</v>
      </c>
      <c r="R63" s="727" t="n">
        <v>233.7121079899999</v>
      </c>
      <c r="S63" s="719" t="inlineStr">
        <is>
          <t>17H 4M 0S</t>
        </is>
      </c>
      <c r="T63" s="728" t="n"/>
      <c r="U63" s="729" t="n"/>
      <c r="V63" s="730" t="n"/>
      <c r="W63" s="731" t="n"/>
      <c r="X63" s="732" t="n"/>
      <c r="Y63" s="728" t="n"/>
      <c r="Z63" s="729" t="n"/>
      <c r="AA63" s="730" t="n"/>
      <c r="AB63" s="731" t="n"/>
      <c r="AC63" s="732" t="n"/>
      <c r="AD63" s="719" t="inlineStr">
        <is>
          <t>No</t>
        </is>
      </c>
      <c r="AE63" s="733" t="n"/>
      <c r="AF63" s="733" t="n"/>
      <c r="AG63" s="733" t="n"/>
      <c r="AH63" s="733" t="n"/>
      <c r="AI63" s="733" t="n"/>
      <c r="AJ63" s="733" t="n"/>
      <c r="AK63" s="733" t="n"/>
      <c r="AL63" s="733" t="n"/>
      <c r="AM63" s="733" t="n"/>
      <c r="AN63" s="733" t="n"/>
      <c r="AO63" s="733" t="n"/>
      <c r="AP63" s="719" t="inlineStr">
        <is>
          <t>Pullback</t>
        </is>
      </c>
      <c r="AQ63" s="719" t="inlineStr">
        <is>
          <t>1H</t>
        </is>
      </c>
      <c r="AR63" s="719" t="inlineStr">
        <is>
          <t>No</t>
        </is>
      </c>
      <c r="AS63" s="782" t="inlineStr">
        <is>
          <t>https://1drv.ms/f/c/3c06055d9f85a2e0/En_TUEARnRRPmRsn3nN-exoBrbvoHLeuBYBqjmFy6Fg7sg?e=JDs3M5</t>
        </is>
      </c>
      <c r="AT63" s="733" t="n"/>
      <c r="AU63" s="733" t="n"/>
      <c r="AV63" s="733" t="n"/>
      <c r="AW63" s="719" t="inlineStr">
        <is>
          <t>trade</t>
        </is>
      </c>
      <c r="AX63" s="734" t="inlineStr">
        <is>
          <t>sig:99eb36466249c05d80b4596f</t>
        </is>
      </c>
    </row>
    <row r="64" ht="15" customHeight="1">
      <c r="A64" s="716" t="inlineStr">
        <is>
          <t>C360</t>
        </is>
      </c>
      <c r="B64" s="717" t="n">
        <v>45849.23472222222</v>
      </c>
      <c r="C64" s="718" t="n">
        <v>45849.24236111111</v>
      </c>
      <c r="D64" s="719" t="inlineStr">
        <is>
          <t>BYBIT</t>
        </is>
      </c>
      <c r="E64" s="719" t="inlineStr">
        <is>
          <t>PENGUUSDT</t>
        </is>
      </c>
      <c r="F64" s="719" t="inlineStr">
        <is>
          <t>BUY</t>
        </is>
      </c>
      <c r="G64" s="720" t="n">
        <v>7080</v>
      </c>
      <c r="H64" s="735" t="n">
        <v>0.018665</v>
      </c>
      <c r="I64" s="735" t="n">
        <v>0.018332</v>
      </c>
      <c r="J64" s="736" t="n">
        <v>0.018328</v>
      </c>
      <c r="K64" s="722" t="n">
        <v>0.01805518349852668</v>
      </c>
      <c r="L64" s="736" t="n">
        <v>0.019364</v>
      </c>
      <c r="M64" s="722" t="n">
        <v>0.03744977230109822</v>
      </c>
      <c r="N64" s="758" t="n">
        <v>0.14406632</v>
      </c>
      <c r="O64" s="724" t="n">
        <v>-2.50170632</v>
      </c>
      <c r="P64" s="725" t="n">
        <v>-0.01048433807470927</v>
      </c>
      <c r="Q64" s="726" t="n">
        <v>-0.9881305637982181</v>
      </c>
      <c r="R64" s="727" t="n">
        <v>236.1119574299999</v>
      </c>
      <c r="S64" s="719" t="inlineStr">
        <is>
          <t>11M 0S</t>
        </is>
      </c>
      <c r="T64" s="728" t="n"/>
      <c r="U64" s="729" t="n"/>
      <c r="V64" s="730" t="n"/>
      <c r="W64" s="731" t="n"/>
      <c r="X64" s="732" t="n"/>
      <c r="Y64" s="728" t="n"/>
      <c r="Z64" s="729" t="n"/>
      <c r="AA64" s="730" t="n"/>
      <c r="AB64" s="731" t="n"/>
      <c r="AC64" s="732" t="n"/>
      <c r="AD64" s="719" t="inlineStr">
        <is>
          <t>No</t>
        </is>
      </c>
      <c r="AE64" s="733" t="n"/>
      <c r="AF64" s="733" t="n"/>
      <c r="AG64" s="733" t="n"/>
      <c r="AH64" s="733" t="n"/>
      <c r="AI64" s="733" t="n"/>
      <c r="AJ64" s="733" t="n"/>
      <c r="AK64" s="733" t="n"/>
      <c r="AL64" s="733" t="n"/>
      <c r="AM64" s="733" t="n"/>
      <c r="AN64" s="733" t="n"/>
      <c r="AO64" s="733" t="n"/>
      <c r="AP64" s="719" t="inlineStr">
        <is>
          <t>Pullback</t>
        </is>
      </c>
      <c r="AQ64" s="719" t="inlineStr">
        <is>
          <t>15MIN</t>
        </is>
      </c>
      <c r="AR64" s="719" t="inlineStr">
        <is>
          <t>No</t>
        </is>
      </c>
      <c r="AS64" s="782" t="inlineStr">
        <is>
          <t>https://1drv.ms/f/c/3c06055d9f85a2e0/EpY0PhsZFmBBgV11yB7Vi6YBjEKz2v9wddWXrl6Av_POUw?e=kCUXpP</t>
        </is>
      </c>
      <c r="AT64" s="733" t="n"/>
      <c r="AU64" s="733" t="n"/>
      <c r="AV64" s="733" t="n"/>
      <c r="AW64" s="719" t="inlineStr">
        <is>
          <t>trade</t>
        </is>
      </c>
      <c r="AX64" s="734" t="inlineStr">
        <is>
          <t>sig:dcdc18b720a4dee33823f31e</t>
        </is>
      </c>
    </row>
    <row r="65" ht="15" customHeight="1">
      <c r="A65" s="737" t="inlineStr">
        <is>
          <t>F1021</t>
        </is>
      </c>
      <c r="B65" s="738" t="n">
        <v>45835.62502314815</v>
      </c>
      <c r="C65" s="739" t="n">
        <v>45835.77563657407</v>
      </c>
      <c r="D65" s="740" t="inlineStr">
        <is>
          <t>OANDA LIVE</t>
        </is>
      </c>
      <c r="E65" s="740" t="inlineStr">
        <is>
          <t>USDCHF</t>
        </is>
      </c>
      <c r="F65" s="740" t="inlineStr">
        <is>
          <t>SELL</t>
        </is>
      </c>
      <c r="G65" s="775" t="n">
        <v>0.0352</v>
      </c>
      <c r="H65" s="742" t="n">
        <v>0.80125</v>
      </c>
      <c r="I65" s="742" t="n">
        <v>0.79837</v>
      </c>
      <c r="J65" s="743" t="n">
        <v>0.80284</v>
      </c>
      <c r="K65" s="744" t="n">
        <v>0.001984399375975015</v>
      </c>
      <c r="L65" s="743" t="n">
        <v>0.79837</v>
      </c>
      <c r="M65" s="744" t="n">
        <v>0.003594383775351006</v>
      </c>
      <c r="N65" s="796" t="n"/>
      <c r="O65" s="767" t="n">
        <v>19.278</v>
      </c>
      <c r="P65" s="747" t="n">
        <v>0.01337809816989727</v>
      </c>
      <c r="Q65" s="748" t="n">
        <v>1.811320754717</v>
      </c>
      <c r="R65" s="769" t="n">
        <v>1460.29</v>
      </c>
      <c r="S65" s="740" t="inlineStr">
        <is>
          <t>3H 36M 53S</t>
        </is>
      </c>
      <c r="T65" s="750" t="n"/>
      <c r="U65" s="751" t="n"/>
      <c r="V65" s="752" t="n"/>
      <c r="W65" s="753" t="n"/>
      <c r="X65" s="754" t="n"/>
      <c r="Y65" s="750" t="n"/>
      <c r="Z65" s="751" t="n"/>
      <c r="AA65" s="752" t="n"/>
      <c r="AB65" s="753" t="n"/>
      <c r="AC65" s="754" t="n"/>
      <c r="AD65" s="740" t="inlineStr">
        <is>
          <t>No</t>
        </is>
      </c>
      <c r="AE65" s="755" t="n"/>
      <c r="AF65" s="755" t="n"/>
      <c r="AG65" s="755" t="n"/>
      <c r="AH65" s="755" t="n"/>
      <c r="AI65" s="755" t="n"/>
      <c r="AJ65" s="755" t="n"/>
      <c r="AK65" s="755" t="n"/>
      <c r="AL65" s="755" t="n"/>
      <c r="AM65" s="755" t="n"/>
      <c r="AN65" s="755" t="n"/>
      <c r="AO65" s="755" t="n"/>
      <c r="AP65" s="740" t="inlineStr">
        <is>
          <t>Pullback</t>
        </is>
      </c>
      <c r="AQ65" s="740" t="inlineStr">
        <is>
          <t>30MIN</t>
        </is>
      </c>
      <c r="AR65" s="740" t="inlineStr">
        <is>
          <t>No</t>
        </is>
      </c>
      <c r="AS65" s="787" t="inlineStr">
        <is>
          <t>https://1drv.ms/f/c/3c06055d9f85a2e0/Eh1sV3HgygJGj8liaD52m_IBF-zNHlK9cBsLcWwW6YVQmQ?e=19lEWs</t>
        </is>
      </c>
      <c r="AT65" s="755" t="n"/>
      <c r="AU65" s="755" t="n"/>
      <c r="AV65" s="755" t="n"/>
      <c r="AW65" s="740" t="inlineStr">
        <is>
          <t>trade</t>
        </is>
      </c>
      <c r="AX65" s="756" t="inlineStr">
        <is>
          <t>oanda_export:live:414:417</t>
        </is>
      </c>
    </row>
    <row r="66" ht="15" customHeight="1">
      <c r="A66" s="737" t="inlineStr">
        <is>
          <t>C359</t>
        </is>
      </c>
      <c r="B66" s="738" t="n">
        <v>45834.97222222222</v>
      </c>
      <c r="C66" s="739" t="n">
        <v>45835.51597222222</v>
      </c>
      <c r="D66" s="740" t="inlineStr">
        <is>
          <t>BYBIT</t>
        </is>
      </c>
      <c r="E66" s="740" t="inlineStr">
        <is>
          <t>GPSUSDT</t>
        </is>
      </c>
      <c r="F66" s="740" t="inlineStr">
        <is>
          <t>BUY</t>
        </is>
      </c>
      <c r="G66" s="742" t="n">
        <v>2491</v>
      </c>
      <c r="H66" s="775" t="n">
        <v>0.02801</v>
      </c>
      <c r="I66" s="775" t="n">
        <v>0.02995</v>
      </c>
      <c r="J66" s="797" t="n">
        <v>0.02707</v>
      </c>
      <c r="K66" s="744" t="n">
        <v>0.03355944305605141</v>
      </c>
      <c r="L66" s="797" t="n">
        <v>0.02993</v>
      </c>
      <c r="M66" s="744" t="n">
        <v>0.06854694751874324</v>
      </c>
      <c r="N66" s="745" t="n">
        <v>0.15881619</v>
      </c>
      <c r="O66" s="746" t="n">
        <v>4.67372381</v>
      </c>
      <c r="P66" s="747" t="n">
        <v>0.01997830644565738</v>
      </c>
      <c r="Q66" s="748" t="n">
        <v>2.063829787234044</v>
      </c>
      <c r="R66" s="749" t="n">
        <v>238.6136637499999</v>
      </c>
      <c r="S66" s="740" t="inlineStr">
        <is>
          <t>13H 3M 0S</t>
        </is>
      </c>
      <c r="T66" s="750" t="n"/>
      <c r="U66" s="751" t="n"/>
      <c r="V66" s="752" t="n"/>
      <c r="W66" s="753" t="n"/>
      <c r="X66" s="754" t="n"/>
      <c r="Y66" s="750" t="n"/>
      <c r="Z66" s="751" t="n"/>
      <c r="AA66" s="752" t="n"/>
      <c r="AB66" s="753" t="n"/>
      <c r="AC66" s="754" t="n"/>
      <c r="AD66" s="740" t="inlineStr">
        <is>
          <t>No</t>
        </is>
      </c>
      <c r="AE66" s="755" t="n"/>
      <c r="AF66" s="755" t="n"/>
      <c r="AG66" s="755" t="n"/>
      <c r="AH66" s="755" t="n"/>
      <c r="AI66" s="755" t="n"/>
      <c r="AJ66" s="755" t="n"/>
      <c r="AK66" s="755" t="n"/>
      <c r="AL66" s="755" t="n"/>
      <c r="AM66" s="755" t="n"/>
      <c r="AN66" s="755" t="n"/>
      <c r="AO66" s="755" t="n"/>
      <c r="AP66" s="740" t="inlineStr">
        <is>
          <t>Pullback</t>
        </is>
      </c>
      <c r="AQ66" s="740" t="inlineStr">
        <is>
          <t>1H</t>
        </is>
      </c>
      <c r="AR66" s="740" t="inlineStr">
        <is>
          <t>No</t>
        </is>
      </c>
      <c r="AS66" s="787" t="inlineStr">
        <is>
          <t>https://1drv.ms/f/c/3c06055d9f85a2e0/EgrA7qGzludEvoHVdxc3IsQBLW85LVfsp2OZcOAreclrBA?e=QIQIaV</t>
        </is>
      </c>
      <c r="AT66" s="755" t="n"/>
      <c r="AU66" s="740" t="n"/>
      <c r="AV66" s="740" t="n"/>
      <c r="AW66" s="740" t="inlineStr">
        <is>
          <t>trade</t>
        </is>
      </c>
      <c r="AX66" s="756" t="inlineStr">
        <is>
          <t>sig:429ee5c856173f0250ae9031</t>
        </is>
      </c>
    </row>
    <row r="67" ht="15" customHeight="1">
      <c r="A67" s="716" t="inlineStr">
        <is>
          <t>C358</t>
        </is>
      </c>
      <c r="B67" s="717" t="n">
        <v>45831.98888888889</v>
      </c>
      <c r="C67" s="718" t="n">
        <v>45832.25972222222</v>
      </c>
      <c r="D67" s="719" t="inlineStr">
        <is>
          <t>BYBIT</t>
        </is>
      </c>
      <c r="E67" s="719" t="inlineStr">
        <is>
          <t>TLMUSDT</t>
        </is>
      </c>
      <c r="F67" s="719" t="inlineStr">
        <is>
          <t>SELL</t>
        </is>
      </c>
      <c r="G67" s="720" t="n">
        <v>17406</v>
      </c>
      <c r="H67" s="757" t="n">
        <v>0.003847</v>
      </c>
      <c r="I67" s="757" t="n">
        <v>0.00399</v>
      </c>
      <c r="J67" s="798" t="n">
        <v>0.003983</v>
      </c>
      <c r="K67" s="722" t="n">
        <v>0.03535222251104764</v>
      </c>
      <c r="L67" s="798" t="n">
        <v>0.00357</v>
      </c>
      <c r="M67" s="722" t="n">
        <v>0.07200415908500138</v>
      </c>
      <c r="N67" s="723" t="n">
        <v>0.07502598000000001</v>
      </c>
      <c r="O67" s="724" t="n">
        <v>-2.56408398</v>
      </c>
      <c r="P67" s="725" t="n">
        <v>-0.01084160826315298</v>
      </c>
      <c r="Q67" s="726" t="n">
        <v>-1.051470588235288</v>
      </c>
      <c r="R67" s="727" t="n">
        <v>233.9399399399999</v>
      </c>
      <c r="S67" s="719" t="inlineStr">
        <is>
          <t>6H 30M 0S</t>
        </is>
      </c>
      <c r="T67" s="728" t="n"/>
      <c r="U67" s="729" t="n"/>
      <c r="V67" s="730" t="n"/>
      <c r="W67" s="731" t="n"/>
      <c r="X67" s="732" t="n"/>
      <c r="Y67" s="728" t="n"/>
      <c r="Z67" s="729" t="n"/>
      <c r="AA67" s="730" t="n"/>
      <c r="AB67" s="731" t="n"/>
      <c r="AC67" s="732" t="n"/>
      <c r="AD67" s="719" t="inlineStr">
        <is>
          <t>No</t>
        </is>
      </c>
      <c r="AE67" s="733" t="n"/>
      <c r="AF67" s="733" t="n"/>
      <c r="AG67" s="733" t="n"/>
      <c r="AH67" s="733" t="n"/>
      <c r="AI67" s="733" t="n"/>
      <c r="AJ67" s="733" t="n"/>
      <c r="AK67" s="733" t="n"/>
      <c r="AL67" s="733" t="n"/>
      <c r="AM67" s="733" t="n"/>
      <c r="AN67" s="733" t="n"/>
      <c r="AO67" s="733" t="n"/>
      <c r="AP67" s="719" t="inlineStr">
        <is>
          <t>Pullback</t>
        </is>
      </c>
      <c r="AQ67" s="719" t="inlineStr">
        <is>
          <t>4H</t>
        </is>
      </c>
      <c r="AR67" s="719" t="inlineStr">
        <is>
          <t>No</t>
        </is>
      </c>
      <c r="AS67" s="782" t="inlineStr">
        <is>
          <t>https://1drv.ms/f/c/3c06055d9f85a2e0/EmfbcAUuJ-hAjnmDthXDhFEBfjbUqKyCepyg0j-NgiqgTw?e=Oher1i</t>
        </is>
      </c>
      <c r="AT67" s="733" t="n"/>
      <c r="AU67" s="733" t="n"/>
      <c r="AV67" s="733" t="n"/>
      <c r="AW67" s="719" t="inlineStr">
        <is>
          <t>trade</t>
        </is>
      </c>
      <c r="AX67" s="734" t="inlineStr">
        <is>
          <t>sig:2c97b4664ce7af302293e934</t>
        </is>
      </c>
    </row>
    <row r="68" ht="15" customHeight="1">
      <c r="A68" s="737" t="inlineStr">
        <is>
          <t>C357</t>
        </is>
      </c>
      <c r="B68" s="738" t="n">
        <v>45830.43958333333</v>
      </c>
      <c r="C68" s="739" t="n">
        <v>45830.51458333333</v>
      </c>
      <c r="D68" s="740" t="inlineStr">
        <is>
          <t>BYBIT</t>
        </is>
      </c>
      <c r="E68" s="740" t="inlineStr">
        <is>
          <t>HOOKUSDT</t>
        </is>
      </c>
      <c r="F68" s="740" t="inlineStr">
        <is>
          <t>SELL</t>
        </is>
      </c>
      <c r="G68" s="742" t="n">
        <v>2323</v>
      </c>
      <c r="H68" s="775" t="n">
        <v>0.0863</v>
      </c>
      <c r="I68" s="775" t="n">
        <v>0.0843</v>
      </c>
      <c r="J68" s="797" t="n">
        <v>0.0873</v>
      </c>
      <c r="K68" s="744" t="n">
        <v>0.01158748551564311</v>
      </c>
      <c r="L68" s="797" t="n">
        <v>0.0842</v>
      </c>
      <c r="M68" s="744" t="n">
        <v>0.02433371958285057</v>
      </c>
      <c r="N68" s="745" t="n">
        <v>0.2179671</v>
      </c>
      <c r="O68" s="746" t="n">
        <v>4.4280329</v>
      </c>
      <c r="P68" s="747" t="n">
        <v>0.01908009906814704</v>
      </c>
      <c r="Q68" s="748" t="n">
        <v>2</v>
      </c>
      <c r="R68" s="749" t="n">
        <v>236.5040239199999</v>
      </c>
      <c r="S68" s="740" t="inlineStr">
        <is>
          <t>1H 48M 0S</t>
        </is>
      </c>
      <c r="T68" s="750" t="n"/>
      <c r="U68" s="751" t="n"/>
      <c r="V68" s="752" t="n"/>
      <c r="W68" s="753" t="n"/>
      <c r="X68" s="754" t="n"/>
      <c r="Y68" s="750" t="n"/>
      <c r="Z68" s="751" t="n"/>
      <c r="AA68" s="752" t="n"/>
      <c r="AB68" s="753" t="n"/>
      <c r="AC68" s="754" t="n"/>
      <c r="AD68" s="740" t="inlineStr">
        <is>
          <t>No</t>
        </is>
      </c>
      <c r="AE68" s="755" t="n"/>
      <c r="AF68" s="755" t="n"/>
      <c r="AG68" s="755" t="n"/>
      <c r="AH68" s="755" t="n"/>
      <c r="AI68" s="755" t="n"/>
      <c r="AJ68" s="755" t="n"/>
      <c r="AK68" s="755" t="n"/>
      <c r="AL68" s="755" t="n"/>
      <c r="AM68" s="755" t="n"/>
      <c r="AN68" s="755" t="n"/>
      <c r="AO68" s="755" t="n"/>
      <c r="AP68" s="740" t="inlineStr">
        <is>
          <t>Pullback</t>
        </is>
      </c>
      <c r="AQ68" s="740" t="inlineStr">
        <is>
          <t>5MIN</t>
        </is>
      </c>
      <c r="AR68" s="740" t="inlineStr">
        <is>
          <t>No</t>
        </is>
      </c>
      <c r="AS68" s="787" t="inlineStr">
        <is>
          <t>https://1drv.ms/f/c/3c06055d9f85a2e0/Ehz04JapfEhDiqnw28_sJrwBK1sCJo6M6mGg-VSf1EHYFw?e=zn1gNT</t>
        </is>
      </c>
      <c r="AT68" s="755" t="n"/>
      <c r="AU68" s="755" t="n"/>
      <c r="AV68" s="755" t="n"/>
      <c r="AW68" s="740" t="inlineStr">
        <is>
          <t>trade</t>
        </is>
      </c>
      <c r="AX68" s="756" t="inlineStr">
        <is>
          <t>sig:6e372649b3bf71b6dcc8d1fc</t>
        </is>
      </c>
    </row>
    <row r="69" ht="15" customHeight="1">
      <c r="A69" s="716" t="inlineStr">
        <is>
          <t>C356</t>
        </is>
      </c>
      <c r="B69" s="717" t="n">
        <v>45823.44305555556</v>
      </c>
      <c r="C69" s="718" t="n">
        <v>45823.84722222222</v>
      </c>
      <c r="D69" s="719" t="inlineStr">
        <is>
          <t>BYBIT</t>
        </is>
      </c>
      <c r="E69" s="719" t="inlineStr">
        <is>
          <t>1000CATSUSDT</t>
        </is>
      </c>
      <c r="F69" s="719" t="inlineStr">
        <is>
          <t>SELL</t>
        </is>
      </c>
      <c r="G69" s="720" t="n">
        <v>10110</v>
      </c>
      <c r="H69" s="757" t="n">
        <v>0.004409</v>
      </c>
      <c r="I69" s="757" t="n">
        <v>0.004639</v>
      </c>
      <c r="J69" s="798" t="n">
        <v>0.004641</v>
      </c>
      <c r="K69" s="722" t="n">
        <v>0.05261964164209582</v>
      </c>
      <c r="L69" s="798" t="n">
        <v>0.003942</v>
      </c>
      <c r="M69" s="722" t="n">
        <v>0.1059197096847357</v>
      </c>
      <c r="N69" s="758" t="n">
        <v>0.10062281</v>
      </c>
      <c r="O69" s="724" t="n">
        <v>-2.42592281</v>
      </c>
      <c r="P69" s="725" t="n">
        <v>-0.01034500218091461</v>
      </c>
      <c r="Q69" s="726" t="n">
        <v>-0.9913793103448264</v>
      </c>
      <c r="R69" s="727" t="n">
        <v>232.0759910199999</v>
      </c>
      <c r="S69" s="719" t="inlineStr">
        <is>
          <t>9H 42M 0S</t>
        </is>
      </c>
      <c r="T69" s="728" t="n"/>
      <c r="U69" s="729" t="n"/>
      <c r="V69" s="730" t="n"/>
      <c r="W69" s="731" t="n"/>
      <c r="X69" s="732" t="n"/>
      <c r="Y69" s="728" t="n"/>
      <c r="Z69" s="729" t="n"/>
      <c r="AA69" s="730" t="n"/>
      <c r="AB69" s="731" t="n"/>
      <c r="AC69" s="732" t="n"/>
      <c r="AD69" s="719" t="inlineStr">
        <is>
          <t>No</t>
        </is>
      </c>
      <c r="AE69" s="733" t="n"/>
      <c r="AF69" s="733" t="n"/>
      <c r="AG69" s="733" t="n"/>
      <c r="AH69" s="733" t="n"/>
      <c r="AI69" s="733" t="n"/>
      <c r="AJ69" s="733" t="n"/>
      <c r="AK69" s="733" t="n"/>
      <c r="AL69" s="733" t="n"/>
      <c r="AM69" s="733" t="n"/>
      <c r="AN69" s="733" t="n"/>
      <c r="AO69" s="733" t="n"/>
      <c r="AP69" s="719" t="inlineStr">
        <is>
          <t>Pullback</t>
        </is>
      </c>
      <c r="AQ69" s="719" t="inlineStr">
        <is>
          <t>15MIN</t>
        </is>
      </c>
      <c r="AR69" s="719" t="inlineStr">
        <is>
          <t>No</t>
        </is>
      </c>
      <c r="AS69" s="782" t="inlineStr">
        <is>
          <t>https://1drv.ms/f/c/3c06055d9f85a2e0/EgdEun8GdORJg8I4SB5VgwABMt8o6ZF7CcsWkHcMMb0lrA?e=ufJbwC</t>
        </is>
      </c>
      <c r="AT69" s="733" t="n"/>
      <c r="AU69" s="719" t="n"/>
      <c r="AV69" s="719" t="n"/>
      <c r="AW69" s="719" t="inlineStr">
        <is>
          <t>trade</t>
        </is>
      </c>
      <c r="AX69" s="734" t="inlineStr">
        <is>
          <t>sig:cf89a974cb7dcb49bebb58c3</t>
        </is>
      </c>
    </row>
    <row r="70" ht="15" customHeight="1">
      <c r="A70" s="716" t="inlineStr">
        <is>
          <t>F1020</t>
        </is>
      </c>
      <c r="B70" s="717" t="n">
        <v>45818.85208333333</v>
      </c>
      <c r="C70" s="718" t="n">
        <v>45818.85208333333</v>
      </c>
      <c r="D70" s="719" t="inlineStr">
        <is>
          <t>PEPPERSTONE LIVE</t>
        </is>
      </c>
      <c r="E70" s="719" t="inlineStr">
        <is>
          <t>NZDUSD</t>
        </is>
      </c>
      <c r="F70" s="719" t="inlineStr">
        <is>
          <t>SELL</t>
        </is>
      </c>
      <c r="G70" s="735" t="n">
        <v>0.02</v>
      </c>
      <c r="H70" s="720" t="n">
        <v>0.60517</v>
      </c>
      <c r="I70" s="720" t="n">
        <v>0.6051800000000001</v>
      </c>
      <c r="J70" s="721" t="n">
        <v>0.60576</v>
      </c>
      <c r="K70" s="760" t="n">
        <v>0.0009749326635490514</v>
      </c>
      <c r="L70" s="721" t="n">
        <v>0.605129</v>
      </c>
      <c r="M70" s="799" t="n">
        <v>6.774955797537508e-05</v>
      </c>
      <c r="N70" s="761" t="n">
        <v>0.16</v>
      </c>
      <c r="O70" s="762" t="n">
        <v>-0.19</v>
      </c>
      <c r="P70" s="800" t="n">
        <v>-7.625285446540728e-05</v>
      </c>
      <c r="Q70" s="781" t="n">
        <v>-0.01694915254248451</v>
      </c>
      <c r="R70" s="764" t="n">
        <v>2491.52</v>
      </c>
      <c r="S70" s="719" t="inlineStr">
        <is>
          <t>1S</t>
        </is>
      </c>
      <c r="T70" s="728" t="n"/>
      <c r="U70" s="729" t="n"/>
      <c r="V70" s="730" t="n"/>
      <c r="W70" s="731" t="n"/>
      <c r="X70" s="732" t="n"/>
      <c r="Y70" s="728" t="n"/>
      <c r="Z70" s="729" t="n"/>
      <c r="AA70" s="730" t="n"/>
      <c r="AB70" s="731" t="n"/>
      <c r="AC70" s="732" t="n"/>
      <c r="AD70" s="719" t="inlineStr">
        <is>
          <t>No</t>
        </is>
      </c>
      <c r="AE70" s="719" t="n"/>
      <c r="AF70" s="733" t="n"/>
      <c r="AG70" s="733" t="n"/>
      <c r="AH70" s="733" t="n"/>
      <c r="AI70" s="719" t="n"/>
      <c r="AJ70" s="733" t="n"/>
      <c r="AK70" s="719" t="n"/>
      <c r="AL70" s="733" t="n"/>
      <c r="AM70" s="733" t="n"/>
      <c r="AN70" s="733" t="n"/>
      <c r="AO70" s="733" t="n"/>
      <c r="AP70" s="719" t="inlineStr">
        <is>
          <t>Pullback</t>
        </is>
      </c>
      <c r="AQ70" s="719" t="inlineStr">
        <is>
          <t>15MIN</t>
        </is>
      </c>
      <c r="AR70" s="719" t="inlineStr">
        <is>
          <t>No</t>
        </is>
      </c>
      <c r="AS70" s="782" t="inlineStr">
        <is>
          <t>https://1drv.ms/f/c/3c06055d9f85a2e0/Ep630Q-x0llLts9SmJy5-QEBzT0m9XbrEUYRhIUNqlt5tQ?e=ltz98s
###########
https://1drv.ms/f/c/3c06055d9f85a2e0/Ep630Q-x0llLts9SmJy5-QEBzT0m9XbrEUYRhIUNqlt5tQ?e=ltz98s</t>
        </is>
      </c>
      <c r="AT70" s="733" t="n"/>
      <c r="AU70" s="733" t="n"/>
      <c r="AV70" s="733" t="n"/>
      <c r="AW70" s="719" t="inlineStr">
        <is>
          <t>trade</t>
        </is>
      </c>
      <c r="AX70" s="734" t="inlineStr">
        <is>
          <t>sig:7c0b431e6ed15efb0b702219</t>
        </is>
      </c>
    </row>
    <row r="71" ht="15" customHeight="1">
      <c r="A71" s="737" t="inlineStr">
        <is>
          <t>C355</t>
        </is>
      </c>
      <c r="B71" s="738" t="n">
        <v>45802.46666666667</v>
      </c>
      <c r="C71" s="739" t="n">
        <v>45802.49444444444</v>
      </c>
      <c r="D71" s="740" t="inlineStr">
        <is>
          <t>BYBIT</t>
        </is>
      </c>
      <c r="E71" s="740" t="inlineStr">
        <is>
          <t>ZBCNUSDT</t>
        </is>
      </c>
      <c r="F71" s="740" t="inlineStr">
        <is>
          <t>BUY</t>
        </is>
      </c>
      <c r="G71" s="742" t="n">
        <v>16400</v>
      </c>
      <c r="H71" s="741" t="n">
        <v>0.003449</v>
      </c>
      <c r="I71" s="741" t="n">
        <v>0.0037062</v>
      </c>
      <c r="J71" s="801" t="n">
        <v>0.0033204</v>
      </c>
      <c r="K71" s="744" t="n">
        <v>0.03728616990432009</v>
      </c>
      <c r="L71" s="801" t="n">
        <v>0.0037062</v>
      </c>
      <c r="M71" s="744" t="n">
        <v>0.07457233980864031</v>
      </c>
      <c r="N71" s="802" t="n">
        <v>0.06453991000000001</v>
      </c>
      <c r="O71" s="746" t="n">
        <v>4.15354009</v>
      </c>
      <c r="P71" s="747" t="n">
        <v>0.01803155812460047</v>
      </c>
      <c r="Q71" s="748" t="n">
        <v>2.000000000000004</v>
      </c>
      <c r="R71" s="749" t="n">
        <v>234.5019138299999</v>
      </c>
      <c r="S71" s="740" t="inlineStr">
        <is>
          <t>40M 0S</t>
        </is>
      </c>
      <c r="T71" s="750" t="n"/>
      <c r="U71" s="751" t="n"/>
      <c r="V71" s="752" t="n"/>
      <c r="W71" s="753" t="n"/>
      <c r="X71" s="754" t="n"/>
      <c r="Y71" s="750" t="n"/>
      <c r="Z71" s="751" t="n"/>
      <c r="AA71" s="752" t="n"/>
      <c r="AB71" s="753" t="n"/>
      <c r="AC71" s="754" t="n"/>
      <c r="AD71" s="740" t="inlineStr">
        <is>
          <t>No</t>
        </is>
      </c>
      <c r="AE71" s="740" t="n"/>
      <c r="AF71" s="755" t="n"/>
      <c r="AG71" s="755" t="n"/>
      <c r="AH71" s="755" t="n"/>
      <c r="AI71" s="740" t="n"/>
      <c r="AJ71" s="755" t="n"/>
      <c r="AK71" s="755" t="n"/>
      <c r="AL71" s="755" t="n"/>
      <c r="AM71" s="740" t="n"/>
      <c r="AN71" s="755" t="n"/>
      <c r="AO71" s="755" t="n"/>
      <c r="AP71" s="740" t="inlineStr">
        <is>
          <t>Pullback</t>
        </is>
      </c>
      <c r="AQ71" s="740" t="n"/>
      <c r="AR71" s="740" t="inlineStr">
        <is>
          <t>No</t>
        </is>
      </c>
      <c r="AS71" s="787" t="inlineStr">
        <is>
          <t>https://1drv.ms/f/c/3c06055d9f85a2e0/EhJHEwk7jGBAnut6lQ0eC7QBWX0hMKfQvCXR5mU3khTJcw?e=P4cIjD</t>
        </is>
      </c>
      <c r="AT71" s="755" t="n"/>
      <c r="AU71" s="755" t="n"/>
      <c r="AV71" s="755" t="n"/>
      <c r="AW71" s="740" t="inlineStr">
        <is>
          <t>trade</t>
        </is>
      </c>
      <c r="AX71" s="756" t="inlineStr">
        <is>
          <t>sig:174cebfbe1a87b9a5580b5be</t>
        </is>
      </c>
    </row>
    <row r="72" ht="15" customHeight="1">
      <c r="A72" s="716" t="inlineStr">
        <is>
          <t>C354</t>
        </is>
      </c>
      <c r="B72" s="717" t="n">
        <v>45800.79861111111</v>
      </c>
      <c r="C72" s="718" t="n">
        <v>45800.8</v>
      </c>
      <c r="D72" s="719" t="inlineStr">
        <is>
          <t>BYBIT</t>
        </is>
      </c>
      <c r="E72" s="719" t="inlineStr">
        <is>
          <t>SOLAYERUSDT</t>
        </is>
      </c>
      <c r="F72" s="719" t="inlineStr">
        <is>
          <t>BUY</t>
        </is>
      </c>
      <c r="G72" s="720" t="n">
        <v>372</v>
      </c>
      <c r="H72" s="720" t="n">
        <v>1.09734</v>
      </c>
      <c r="I72" s="720" t="n">
        <v>1.09033</v>
      </c>
      <c r="J72" s="721" t="n">
        <v>1.09104</v>
      </c>
      <c r="K72" s="722" t="n">
        <v>0.0057411558860517</v>
      </c>
      <c r="L72" s="721" t="n">
        <v>1.11064</v>
      </c>
      <c r="M72" s="722" t="n">
        <v>0.01212021798166484</v>
      </c>
      <c r="N72" s="758" t="n">
        <v>0.44759595</v>
      </c>
      <c r="O72" s="724" t="n">
        <v>-3.05531595</v>
      </c>
      <c r="P72" s="725" t="n">
        <v>-0.0130902641430304</v>
      </c>
      <c r="Q72" s="726" t="n">
        <v>-1.112698412698411</v>
      </c>
      <c r="R72" s="727" t="n">
        <v>230.3483737399999</v>
      </c>
      <c r="S72" s="719" t="inlineStr">
        <is>
          <t>2M 0S</t>
        </is>
      </c>
      <c r="T72" s="728" t="n"/>
      <c r="U72" s="729" t="n"/>
      <c r="V72" s="730" t="n"/>
      <c r="W72" s="731" t="n"/>
      <c r="X72" s="732" t="n"/>
      <c r="Y72" s="728" t="n"/>
      <c r="Z72" s="729" t="n"/>
      <c r="AA72" s="730" t="n"/>
      <c r="AB72" s="731" t="n"/>
      <c r="AC72" s="732" t="n"/>
      <c r="AD72" s="719" t="inlineStr">
        <is>
          <t>No</t>
        </is>
      </c>
      <c r="AE72" s="733" t="n"/>
      <c r="AF72" s="733" t="n"/>
      <c r="AG72" s="733" t="n"/>
      <c r="AH72" s="733" t="n"/>
      <c r="AI72" s="719" t="n"/>
      <c r="AJ72" s="733" t="n"/>
      <c r="AK72" s="733" t="n"/>
      <c r="AL72" s="733" t="n"/>
      <c r="AM72" s="733" t="n"/>
      <c r="AN72" s="733" t="n"/>
      <c r="AO72" s="733" t="n"/>
      <c r="AP72" s="719" t="inlineStr">
        <is>
          <t>Pullback</t>
        </is>
      </c>
      <c r="AQ72" s="719" t="n"/>
      <c r="AR72" s="719" t="inlineStr">
        <is>
          <t>No</t>
        </is>
      </c>
      <c r="AS72" s="782" t="inlineStr">
        <is>
          <t>https://1drv.ms/f/c/3c06055d9f85a2e0/EtGEznqxmjFEmB7IHLp1U5gB-tYlUqZfVIPHdVQiRsbAEw?e=koo48e</t>
        </is>
      </c>
      <c r="AT72" s="733" t="n"/>
      <c r="AU72" s="733" t="n"/>
      <c r="AV72" s="733" t="n"/>
      <c r="AW72" s="719" t="inlineStr">
        <is>
          <t>trade</t>
        </is>
      </c>
      <c r="AX72" s="734" t="inlineStr">
        <is>
          <t>sig:671004397966c824ff427971</t>
        </is>
      </c>
    </row>
    <row r="73" ht="15" customHeight="1">
      <c r="A73" s="716" t="n"/>
      <c r="B73" s="717" t="n">
        <v>45794.83194444444</v>
      </c>
      <c r="C73" s="718" t="n">
        <v>45794.83194444444</v>
      </c>
      <c r="D73" s="719" t="inlineStr">
        <is>
          <t>PEPPERSTONE LIVE</t>
        </is>
      </c>
      <c r="E73" s="719" t="inlineStr">
        <is>
          <t>EOSUSD</t>
        </is>
      </c>
      <c r="F73" s="719" t="inlineStr">
        <is>
          <t>SELL</t>
        </is>
      </c>
      <c r="G73" s="720" t="n">
        <v>16.6</v>
      </c>
      <c r="H73" s="720" t="n">
        <v>0.7849</v>
      </c>
      <c r="I73" s="720" t="n">
        <v>0.7881</v>
      </c>
      <c r="J73" s="721" t="n">
        <v>0.7909</v>
      </c>
      <c r="K73" s="722" t="n">
        <v>0.007644285896292528</v>
      </c>
      <c r="L73" s="721" t="n">
        <v>0.7729</v>
      </c>
      <c r="M73" s="722" t="n">
        <v>0.01528857179258506</v>
      </c>
      <c r="N73" s="761" t="n"/>
      <c r="O73" s="762" t="n">
        <v>-8.289999999999999</v>
      </c>
      <c r="P73" s="725" t="n">
        <v>-0.003327032439569613</v>
      </c>
      <c r="Q73" s="726" t="n">
        <v>-0.5333333333333297</v>
      </c>
      <c r="R73" s="764" t="n">
        <v>2491.71</v>
      </c>
      <c r="S73" s="719" t="inlineStr">
        <is>
          <t>1S</t>
        </is>
      </c>
      <c r="T73" s="728" t="n"/>
      <c r="U73" s="729" t="n"/>
      <c r="V73" s="730" t="n"/>
      <c r="W73" s="731" t="n"/>
      <c r="X73" s="732" t="n"/>
      <c r="Y73" s="728" t="n"/>
      <c r="Z73" s="729" t="n"/>
      <c r="AA73" s="730" t="n"/>
      <c r="AB73" s="731" t="n"/>
      <c r="AC73" s="732" t="n"/>
      <c r="AD73" s="719" t="inlineStr">
        <is>
          <t>Yes</t>
        </is>
      </c>
      <c r="AE73" s="719" t="n"/>
      <c r="AF73" s="733" t="n"/>
      <c r="AG73" s="733" t="n"/>
      <c r="AH73" s="733" t="n"/>
      <c r="AI73" s="719" t="n"/>
      <c r="AJ73" s="733" t="n"/>
      <c r="AK73" s="733" t="n"/>
      <c r="AL73" s="733" t="n"/>
      <c r="AM73" s="733" t="n"/>
      <c r="AN73" s="733" t="n"/>
      <c r="AO73" s="733" t="n"/>
      <c r="AP73" s="719" t="inlineStr">
        <is>
          <t>Pullback</t>
        </is>
      </c>
      <c r="AQ73" s="719" t="n"/>
      <c r="AR73" s="719" t="inlineStr">
        <is>
          <t>No</t>
        </is>
      </c>
      <c r="AS73" s="782" t="inlineStr">
        <is>
          <t>https://1drv.ms/f/c/3c06055d9f85a2e0/EtMIrICJ4NRHoh7J5RzUALkBET_uCGVM0r8-Qr7N8ohrSg?e=c28tWf
GPT incorrectly wrote position size calculator script to execute a market order immediately upon load.</t>
        </is>
      </c>
      <c r="AT73" s="733" t="n"/>
      <c r="AU73" s="733" t="n"/>
      <c r="AV73" s="733" t="n"/>
      <c r="AW73" s="719" t="inlineStr">
        <is>
          <t>trade</t>
        </is>
      </c>
      <c r="AX73" s="734" t="inlineStr">
        <is>
          <t>sig:9546429beeb49a2b4f628f13</t>
        </is>
      </c>
    </row>
    <row r="74" ht="15" customHeight="1">
      <c r="A74" s="42" t="n"/>
      <c r="B74" s="770" t="n">
        <v>45787</v>
      </c>
      <c r="C74" s="771" t="n">
        <v>45787</v>
      </c>
      <c r="D74" s="12" t="inlineStr">
        <is>
          <t>PEPPERSTONE LIVE</t>
        </is>
      </c>
      <c r="E74" s="12" t="inlineStr">
        <is>
          <t>CASHFLOW</t>
        </is>
      </c>
      <c r="F74" s="12" t="inlineStr">
        <is>
          <t>DEPOSIT</t>
        </is>
      </c>
      <c r="G74" s="262" t="n"/>
      <c r="H74" s="262" t="n"/>
      <c r="I74" s="262" t="n"/>
      <c r="J74" s="263" t="n"/>
      <c r="K74" s="36" t="n"/>
      <c r="L74" s="263" t="n"/>
      <c r="M74" s="36" t="n"/>
      <c r="N74" s="772" t="n"/>
      <c r="O74" s="773" t="n"/>
      <c r="P74" s="3" t="n"/>
      <c r="Q74" s="51" t="n"/>
      <c r="R74" s="54" t="n">
        <v>2500</v>
      </c>
      <c r="S74" s="12" t="n"/>
      <c r="T74" s="774" t="n"/>
      <c r="U74" s="6" t="n"/>
      <c r="V74" s="264" t="n"/>
      <c r="W74" s="9" t="n"/>
      <c r="X74" s="46" t="n"/>
      <c r="Y74" s="774" t="n"/>
      <c r="Z74" s="6" t="n"/>
      <c r="AA74" s="264" t="n"/>
      <c r="AB74" s="9" t="n"/>
      <c r="AC74" s="46" t="n"/>
      <c r="AD74" s="12" t="inlineStr">
        <is>
          <t>No</t>
        </is>
      </c>
      <c r="AE74" s="45" t="n"/>
      <c r="AF74" s="45" t="n"/>
      <c r="AG74" s="45" t="n"/>
      <c r="AH74" s="45" t="n"/>
      <c r="AI74" s="12" t="n"/>
      <c r="AJ74" s="45" t="n"/>
      <c r="AK74" s="45" t="n"/>
      <c r="AL74" s="45" t="n"/>
      <c r="AM74" s="45" t="n"/>
      <c r="AN74" s="45" t="n"/>
      <c r="AO74" s="45" t="n"/>
      <c r="AP74" s="12" t="n"/>
      <c r="AQ74" s="12" t="n"/>
      <c r="AR74" s="12" t="n"/>
      <c r="AS74" s="56" t="inlineStr">
        <is>
          <t>Deposit 1000.0 AUD. Reason: DP CC_AU #P681eda7. Source: manual_fix. Imported from account_cashflows.xlsx row 96.</t>
        </is>
      </c>
      <c r="AT74" s="45" t="n"/>
      <c r="AU74" s="12" t="n">
        <v>2500</v>
      </c>
      <c r="AV74" s="12" t="inlineStr">
        <is>
          <t>AUD</t>
        </is>
      </c>
      <c r="AW74" s="12" t="inlineStr">
        <is>
          <t>cashflow</t>
        </is>
      </c>
      <c r="AX74" s="57" t="inlineStr">
        <is>
          <t>cashflow:PEPPERSTONE LIVE:2025-05-10T00:00:00:17</t>
        </is>
      </c>
    </row>
    <row r="75" ht="15" customHeight="1">
      <c r="A75" s="737" t="inlineStr">
        <is>
          <t>F1019</t>
        </is>
      </c>
      <c r="B75" s="738" t="n">
        <v>45782.9563425926</v>
      </c>
      <c r="C75" s="739" t="n">
        <v>45783.1096412037</v>
      </c>
      <c r="D75" s="740" t="inlineStr">
        <is>
          <t>OANDA LIVE</t>
        </is>
      </c>
      <c r="E75" s="740" t="inlineStr">
        <is>
          <t>USDJPY</t>
        </is>
      </c>
      <c r="F75" s="740" t="inlineStr">
        <is>
          <t>BUY</t>
        </is>
      </c>
      <c r="G75" s="775" t="n">
        <v>0.03301</v>
      </c>
      <c r="H75" s="742" t="n">
        <v>143.622</v>
      </c>
      <c r="I75" s="742" t="n">
        <v>144.183</v>
      </c>
      <c r="J75" s="743" t="n">
        <v>143.333</v>
      </c>
      <c r="K75" s="744" t="n">
        <v>0.002012226539109716</v>
      </c>
      <c r="L75" s="743" t="n">
        <v>144.182</v>
      </c>
      <c r="M75" s="744" t="n">
        <v>0.00389912408962397</v>
      </c>
      <c r="N75" s="796" t="n"/>
      <c r="O75" s="767" t="n">
        <v>19.7599</v>
      </c>
      <c r="P75" s="747" t="n">
        <v>0.01390318283882618</v>
      </c>
      <c r="Q75" s="748" t="n">
        <v>1.941176470588056</v>
      </c>
      <c r="R75" s="769" t="n">
        <v>1441.01</v>
      </c>
      <c r="S75" s="740" t="inlineStr">
        <is>
          <t>3H 40M 45S</t>
        </is>
      </c>
      <c r="T75" s="750" t="n"/>
      <c r="U75" s="751" t="n"/>
      <c r="V75" s="752" t="n"/>
      <c r="W75" s="753" t="n"/>
      <c r="X75" s="754" t="n"/>
      <c r="Y75" s="750" t="n"/>
      <c r="Z75" s="751" t="n"/>
      <c r="AA75" s="752" t="n"/>
      <c r="AB75" s="753" t="n"/>
      <c r="AC75" s="754" t="n"/>
      <c r="AD75" s="740" t="inlineStr">
        <is>
          <t>No</t>
        </is>
      </c>
      <c r="AE75" s="740" t="n"/>
      <c r="AF75" s="755" t="n"/>
      <c r="AG75" s="755" t="n"/>
      <c r="AH75" s="755" t="n"/>
      <c r="AI75" s="740" t="n"/>
      <c r="AJ75" s="755" t="n"/>
      <c r="AK75" s="755" t="n"/>
      <c r="AL75" s="755" t="n"/>
      <c r="AM75" s="755" t="n"/>
      <c r="AN75" s="755" t="n"/>
      <c r="AO75" s="755" t="n"/>
      <c r="AP75" s="740" t="inlineStr">
        <is>
          <t>Pullback</t>
        </is>
      </c>
      <c r="AQ75" s="740" t="inlineStr">
        <is>
          <t>1H</t>
        </is>
      </c>
      <c r="AR75" s="740" t="inlineStr">
        <is>
          <t>No</t>
        </is>
      </c>
      <c r="AS75" s="787" t="inlineStr">
        <is>
          <t>https://1drv.ms/f/c/3c06055d9f85a2e0/EjWaEo9Rt7JCgzfVbfYzczcBN0HT_GMrcI20VVjbH6-afQ?e=UNFzb7</t>
        </is>
      </c>
      <c r="AT75" s="755" t="n"/>
      <c r="AU75" s="755" t="n"/>
      <c r="AV75" s="755" t="n"/>
      <c r="AW75" s="740" t="inlineStr">
        <is>
          <t>trade</t>
        </is>
      </c>
      <c r="AX75" s="756" t="inlineStr">
        <is>
          <t>oanda_export:live:408:411</t>
        </is>
      </c>
    </row>
    <row r="76" ht="15" customHeight="1">
      <c r="A76" s="737" t="inlineStr">
        <is>
          <t>C352</t>
        </is>
      </c>
      <c r="B76" s="738" t="n">
        <v>45777.08958333333</v>
      </c>
      <c r="C76" s="739" t="n">
        <v>45777.20138888889</v>
      </c>
      <c r="D76" s="740" t="inlineStr">
        <is>
          <t>BYBIT</t>
        </is>
      </c>
      <c r="E76" s="740" t="inlineStr">
        <is>
          <t>TAIUSDT</t>
        </is>
      </c>
      <c r="F76" s="740" t="inlineStr">
        <is>
          <t>SELL</t>
        </is>
      </c>
      <c r="G76" s="742" t="n">
        <v>525</v>
      </c>
      <c r="H76" s="742" t="n">
        <v>0.101636</v>
      </c>
      <c r="I76" s="775" t="n">
        <v>0.09286</v>
      </c>
      <c r="J76" s="743" t="n">
        <v>0.106024</v>
      </c>
      <c r="K76" s="744" t="n">
        <v>0.04317367861781247</v>
      </c>
      <c r="L76" s="797" t="n">
        <v>0.09286</v>
      </c>
      <c r="M76" s="744" t="n">
        <v>0.08634735723562523</v>
      </c>
      <c r="N76" s="802" t="n">
        <v>0.05616067</v>
      </c>
      <c r="O76" s="746" t="n">
        <v>4.55123933</v>
      </c>
      <c r="P76" s="747" t="n">
        <v>0.01988722132029</v>
      </c>
      <c r="Q76" s="748" t="n">
        <v>2.000000000000006</v>
      </c>
      <c r="R76" s="749" t="n">
        <v>233.4036896899999</v>
      </c>
      <c r="S76" s="740" t="inlineStr">
        <is>
          <t>2H 41M 0S</t>
        </is>
      </c>
      <c r="T76" s="750" t="n"/>
      <c r="U76" s="751" t="n"/>
      <c r="V76" s="752" t="n"/>
      <c r="W76" s="753" t="n"/>
      <c r="X76" s="754" t="n"/>
      <c r="Y76" s="750" t="n"/>
      <c r="Z76" s="751" t="n"/>
      <c r="AA76" s="752" t="n"/>
      <c r="AB76" s="753" t="n"/>
      <c r="AC76" s="754" t="n"/>
      <c r="AD76" s="740" t="inlineStr">
        <is>
          <t>No</t>
        </is>
      </c>
      <c r="AE76" s="740" t="n"/>
      <c r="AF76" s="755" t="n"/>
      <c r="AG76" s="755" t="n"/>
      <c r="AH76" s="755" t="n"/>
      <c r="AI76" s="740" t="n"/>
      <c r="AJ76" s="755" t="n"/>
      <c r="AK76" s="755" t="n"/>
      <c r="AL76" s="755" t="n"/>
      <c r="AM76" s="755" t="n"/>
      <c r="AN76" s="755" t="n"/>
      <c r="AO76" s="755" t="n"/>
      <c r="AP76" s="740" t="inlineStr">
        <is>
          <t>Pullback</t>
        </is>
      </c>
      <c r="AQ76" s="740" t="n"/>
      <c r="AR76" s="740" t="inlineStr">
        <is>
          <t>No</t>
        </is>
      </c>
      <c r="AS76" s="787" t="inlineStr">
        <is>
          <t>https://1drv.ms/f/c/3c06055d9f85a2e0/Eori-lMgfhhNs0HzP9bPIh4BgGW5yFsL6uYaIer0s_tdSw?e=p7jnfP</t>
        </is>
      </c>
      <c r="AT76" s="755" t="n"/>
      <c r="AU76" s="755" t="n"/>
      <c r="AV76" s="755" t="n"/>
      <c r="AW76" s="740" t="inlineStr">
        <is>
          <t>trade</t>
        </is>
      </c>
      <c r="AX76" s="756" t="inlineStr">
        <is>
          <t>sig:37f58b68526dc5792efaf8ca</t>
        </is>
      </c>
    </row>
    <row r="77" ht="15" customHeight="1">
      <c r="A77" s="42" t="n"/>
      <c r="B77" s="770" t="n">
        <v>45731</v>
      </c>
      <c r="C77" s="771" t="n">
        <v>45731</v>
      </c>
      <c r="D77" s="12" t="inlineStr">
        <is>
          <t>PEPPERSTONE LIVE</t>
        </is>
      </c>
      <c r="E77" s="12" t="inlineStr">
        <is>
          <t>CASHFLOW</t>
        </is>
      </c>
      <c r="F77" s="12" t="inlineStr">
        <is>
          <t>DEPOSIT</t>
        </is>
      </c>
      <c r="G77" s="262" t="n"/>
      <c r="H77" s="262" t="n"/>
      <c r="I77" s="262" t="n"/>
      <c r="J77" s="263" t="n"/>
      <c r="K77" s="36" t="n"/>
      <c r="L77" s="263" t="n"/>
      <c r="M77" s="36" t="n"/>
      <c r="N77" s="772" t="n"/>
      <c r="O77" s="773" t="n"/>
      <c r="P77" s="3" t="n"/>
      <c r="Q77" s="51" t="n"/>
      <c r="R77" s="54" t="n">
        <v>1500</v>
      </c>
      <c r="S77" s="12" t="n"/>
      <c r="T77" s="774" t="n"/>
      <c r="U77" s="6" t="n"/>
      <c r="V77" s="264" t="n"/>
      <c r="W77" s="9" t="n"/>
      <c r="X77" s="46" t="n"/>
      <c r="Y77" s="774" t="n"/>
      <c r="Z77" s="6" t="n"/>
      <c r="AA77" s="264" t="n"/>
      <c r="AB77" s="9" t="n"/>
      <c r="AC77" s="46" t="n"/>
      <c r="AD77" s="12" t="inlineStr">
        <is>
          <t>No</t>
        </is>
      </c>
      <c r="AE77" s="12" t="n"/>
      <c r="AF77" s="45" t="n"/>
      <c r="AG77" s="45" t="n"/>
      <c r="AH77" s="45" t="n"/>
      <c r="AI77" s="12" t="n"/>
      <c r="AJ77" s="45" t="n"/>
      <c r="AK77" s="45" t="n"/>
      <c r="AL77" s="45" t="n"/>
      <c r="AM77" s="12" t="n"/>
      <c r="AN77" s="45" t="n"/>
      <c r="AO77" s="45" t="n"/>
      <c r="AP77" s="12" t="n"/>
      <c r="AQ77" s="12" t="n"/>
      <c r="AR77" s="12" t="n"/>
      <c r="AS77" s="56" t="inlineStr">
        <is>
          <t>Deposit 1500.0 AUD. Reason: Transfer 379194 &gt;5130... Source: screenshot_ocr. Imported from account_cashflows.xlsx row 95.</t>
        </is>
      </c>
      <c r="AT77" s="45" t="n"/>
      <c r="AU77" s="12" t="n">
        <v>1500</v>
      </c>
      <c r="AV77" s="12" t="inlineStr">
        <is>
          <t>AUD</t>
        </is>
      </c>
      <c r="AW77" s="12" t="inlineStr">
        <is>
          <t>cashflow</t>
        </is>
      </c>
      <c r="AX77" s="57" t="inlineStr">
        <is>
          <t>cashflow:PEPPERSTONE LIVE:2025-03-15T00:00:00:16</t>
        </is>
      </c>
    </row>
    <row r="78" ht="15" customHeight="1">
      <c r="A78" s="716" t="inlineStr">
        <is>
          <t>C350</t>
        </is>
      </c>
      <c r="B78" s="717" t="n">
        <v>45685.60555555556</v>
      </c>
      <c r="C78" s="718" t="n">
        <v>45686.06527777778</v>
      </c>
      <c r="D78" s="719" t="inlineStr">
        <is>
          <t>BYBIT</t>
        </is>
      </c>
      <c r="E78" s="719" t="inlineStr">
        <is>
          <t>XRPUSDT</t>
        </is>
      </c>
      <c r="F78" s="719" t="inlineStr">
        <is>
          <t>SELL</t>
        </is>
      </c>
      <c r="G78" s="720" t="n">
        <v>24</v>
      </c>
      <c r="H78" s="720" t="n">
        <v>3.1174</v>
      </c>
      <c r="I78" s="720" t="n">
        <v>3.2131</v>
      </c>
      <c r="J78" s="721" t="n">
        <v>3.2134</v>
      </c>
      <c r="K78" s="722" t="n">
        <v>0.03079489318021431</v>
      </c>
      <c r="L78" s="721" t="n">
        <v>2.9254</v>
      </c>
      <c r="M78" s="722" t="n">
        <v>0.06158978636042862</v>
      </c>
      <c r="N78" s="723" t="n">
        <v>0.08401169999999999</v>
      </c>
      <c r="O78" s="724" t="n">
        <v>-2.3808117</v>
      </c>
      <c r="P78" s="725" t="n">
        <v>-0.01029614718397318</v>
      </c>
      <c r="Q78" s="726" t="n">
        <v>-0.9968749999999981</v>
      </c>
      <c r="R78" s="727" t="n">
        <v>228.8524503599999</v>
      </c>
      <c r="S78" s="719" t="inlineStr">
        <is>
          <t>11H 2M 0S</t>
        </is>
      </c>
      <c r="T78" s="728" t="n"/>
      <c r="U78" s="729" t="n"/>
      <c r="V78" s="730" t="n"/>
      <c r="W78" s="731" t="n"/>
      <c r="X78" s="732" t="n"/>
      <c r="Y78" s="728" t="n"/>
      <c r="Z78" s="729" t="n"/>
      <c r="AA78" s="730" t="n"/>
      <c r="AB78" s="731" t="n"/>
      <c r="AC78" s="732" t="n"/>
      <c r="AD78" s="719" t="inlineStr">
        <is>
          <t>No</t>
        </is>
      </c>
      <c r="AE78" s="719" t="inlineStr">
        <is>
          <t>channel</t>
        </is>
      </c>
      <c r="AF78" s="733" t="n"/>
      <c r="AG78" s="733" t="n"/>
      <c r="AH78" s="733" t="n"/>
      <c r="AI78" s="719" t="inlineStr">
        <is>
          <t>Market</t>
        </is>
      </c>
      <c r="AJ78" s="733" t="n"/>
      <c r="AK78" s="719" t="inlineStr">
        <is>
          <t>Yes</t>
        </is>
      </c>
      <c r="AL78" s="733" t="n"/>
      <c r="AM78" s="733" t="n"/>
      <c r="AN78" s="733" t="n"/>
      <c r="AO78" s="719" t="n"/>
      <c r="AP78" s="719" t="inlineStr">
        <is>
          <t>Pullback</t>
        </is>
      </c>
      <c r="AQ78" s="719" t="inlineStr">
        <is>
          <t>1H</t>
        </is>
      </c>
      <c r="AR78" s="719" t="inlineStr">
        <is>
          <t>No</t>
        </is>
      </c>
      <c r="AS78" s="733" t="n"/>
      <c r="AT78" s="733" t="n"/>
      <c r="AU78" s="733" t="n"/>
      <c r="AV78" s="733" t="n"/>
      <c r="AW78" s="719" t="inlineStr">
        <is>
          <t>trade</t>
        </is>
      </c>
      <c r="AX78" s="734" t="inlineStr">
        <is>
          <t>sig:bcf4c40a3ab14ea10d1b0aef</t>
        </is>
      </c>
    </row>
    <row r="79" ht="15" customHeight="1">
      <c r="A79" s="737" t="inlineStr">
        <is>
          <t>C349</t>
        </is>
      </c>
      <c r="B79" s="738" t="n">
        <v>45679.19861111111</v>
      </c>
      <c r="C79" s="739" t="n">
        <v>45679.25694444445</v>
      </c>
      <c r="D79" s="740" t="inlineStr">
        <is>
          <t>BYBIT</t>
        </is>
      </c>
      <c r="E79" s="740" t="inlineStr">
        <is>
          <t>SOLUSDT</t>
        </is>
      </c>
      <c r="F79" s="740" t="inlineStr">
        <is>
          <t>SELL</t>
        </is>
      </c>
      <c r="G79" s="742" t="n">
        <v>0.7</v>
      </c>
      <c r="H79" s="742" t="n">
        <v>258.28</v>
      </c>
      <c r="I79" s="742" t="n">
        <v>251.82</v>
      </c>
      <c r="J79" s="743" t="n">
        <v>261.54</v>
      </c>
      <c r="K79" s="744" t="n">
        <v>0.01262196066284671</v>
      </c>
      <c r="L79" s="743" t="n">
        <v>251.48</v>
      </c>
      <c r="M79" s="744" t="n">
        <v>0.02632801610655097</v>
      </c>
      <c r="N79" s="745" t="n">
        <v>0.1963885</v>
      </c>
      <c r="O79" s="746" t="n">
        <v>4.3256115</v>
      </c>
      <c r="P79" s="747" t="n">
        <v>0.01906331271477426</v>
      </c>
      <c r="Q79" s="748" t="n">
        <v>1.981595092024505</v>
      </c>
      <c r="R79" s="749" t="n">
        <v>231.2332620599999</v>
      </c>
      <c r="S79" s="740" t="inlineStr">
        <is>
          <t>1H 24M 0S</t>
        </is>
      </c>
      <c r="T79" s="750" t="n"/>
      <c r="U79" s="751" t="n"/>
      <c r="V79" s="752" t="n"/>
      <c r="W79" s="753" t="n"/>
      <c r="X79" s="754" t="n"/>
      <c r="Y79" s="750" t="n"/>
      <c r="Z79" s="751" t="n"/>
      <c r="AA79" s="752" t="n"/>
      <c r="AB79" s="753" t="n"/>
      <c r="AC79" s="754" t="n"/>
      <c r="AD79" s="740" t="inlineStr">
        <is>
          <t>No</t>
        </is>
      </c>
      <c r="AE79" s="740" t="inlineStr">
        <is>
          <t>channel</t>
        </is>
      </c>
      <c r="AF79" s="755" t="n"/>
      <c r="AG79" s="755" t="n"/>
      <c r="AH79" s="755" t="n"/>
      <c r="AI79" s="740" t="inlineStr">
        <is>
          <t>Market</t>
        </is>
      </c>
      <c r="AJ79" s="755" t="n"/>
      <c r="AK79" s="755" t="n"/>
      <c r="AL79" s="755" t="n"/>
      <c r="AM79" s="740" t="inlineStr">
        <is>
          <t>Yes</t>
        </is>
      </c>
      <c r="AN79" s="755" t="n"/>
      <c r="AO79" s="755" t="n"/>
      <c r="AP79" s="740" t="inlineStr">
        <is>
          <t>Pullback</t>
        </is>
      </c>
      <c r="AQ79" s="740" t="inlineStr">
        <is>
          <t>15MIN</t>
        </is>
      </c>
      <c r="AR79" s="740" t="inlineStr">
        <is>
          <t>No</t>
        </is>
      </c>
      <c r="AS79" s="755" t="n"/>
      <c r="AT79" s="755" t="n"/>
      <c r="AU79" s="755" t="n"/>
      <c r="AV79" s="755" t="n"/>
      <c r="AW79" s="740" t="inlineStr">
        <is>
          <t>trade</t>
        </is>
      </c>
      <c r="AX79" s="756" t="inlineStr">
        <is>
          <t>sig:2dc73beaad3f2b7c36d7bd52</t>
        </is>
      </c>
    </row>
    <row r="80" ht="15" customHeight="1">
      <c r="A80" s="716" t="inlineStr">
        <is>
          <t>C348</t>
        </is>
      </c>
      <c r="B80" s="717" t="n">
        <v>45676.80416666667</v>
      </c>
      <c r="C80" s="718" t="n">
        <v>45676.80972222222</v>
      </c>
      <c r="D80" s="719" t="inlineStr">
        <is>
          <t>BYBIT</t>
        </is>
      </c>
      <c r="E80" s="719" t="inlineStr">
        <is>
          <t>DOGEUSDT</t>
        </is>
      </c>
      <c r="F80" s="719" t="inlineStr">
        <is>
          <t>SELL</t>
        </is>
      </c>
      <c r="G80" s="720" t="n">
        <v>970</v>
      </c>
      <c r="H80" s="720" t="n">
        <v>0.3692</v>
      </c>
      <c r="I80" s="720" t="n">
        <v>0.37163</v>
      </c>
      <c r="J80" s="721" t="n">
        <v>0.37119</v>
      </c>
      <c r="K80" s="722" t="n">
        <v>0.005390032502708688</v>
      </c>
      <c r="L80" s="721" t="n">
        <v>0.36403</v>
      </c>
      <c r="M80" s="722" t="n">
        <v>0.01400325027085578</v>
      </c>
      <c r="N80" s="758" t="n">
        <v>0.395233</v>
      </c>
      <c r="O80" s="724" t="n">
        <v>-2.752333</v>
      </c>
      <c r="P80" s="725" t="n">
        <v>-0.01198438211714379</v>
      </c>
      <c r="Q80" s="726" t="n">
        <v>-1.221105527638184</v>
      </c>
      <c r="R80" s="727" t="n">
        <v>226.9076505599999</v>
      </c>
      <c r="S80" s="719" t="inlineStr">
        <is>
          <t>8M 0S</t>
        </is>
      </c>
      <c r="T80" s="728" t="n"/>
      <c r="U80" s="729" t="n"/>
      <c r="V80" s="730" t="n"/>
      <c r="W80" s="731" t="n"/>
      <c r="X80" s="732" t="n"/>
      <c r="Y80" s="728" t="n"/>
      <c r="Z80" s="729" t="n"/>
      <c r="AA80" s="730" t="n"/>
      <c r="AB80" s="731" t="n"/>
      <c r="AC80" s="732" t="n"/>
      <c r="AD80" s="719" t="inlineStr">
        <is>
          <t>No</t>
        </is>
      </c>
      <c r="AE80" s="733" t="n"/>
      <c r="AF80" s="733" t="n"/>
      <c r="AG80" s="733" t="n"/>
      <c r="AH80" s="733" t="n"/>
      <c r="AI80" s="719" t="inlineStr">
        <is>
          <t>Market</t>
        </is>
      </c>
      <c r="AJ80" s="733" t="n"/>
      <c r="AK80" s="733" t="n"/>
      <c r="AL80" s="733" t="n"/>
      <c r="AM80" s="733" t="n"/>
      <c r="AN80" s="733" t="n"/>
      <c r="AO80" s="733" t="n"/>
      <c r="AP80" s="719" t="inlineStr">
        <is>
          <t>Pullback</t>
        </is>
      </c>
      <c r="AQ80" s="719" t="inlineStr">
        <is>
          <t>1MIN</t>
        </is>
      </c>
      <c r="AR80" s="719" t="inlineStr">
        <is>
          <t>No</t>
        </is>
      </c>
      <c r="AS80" s="733" t="n"/>
      <c r="AT80" s="733" t="n"/>
      <c r="AU80" s="733" t="n"/>
      <c r="AV80" s="733" t="n"/>
      <c r="AW80" s="719" t="inlineStr">
        <is>
          <t>trade</t>
        </is>
      </c>
      <c r="AX80" s="734" t="inlineStr">
        <is>
          <t>sig:7cf93fa32bfe4afdedb52eba</t>
        </is>
      </c>
    </row>
    <row r="81" ht="15" customHeight="1">
      <c r="A81" s="716" t="inlineStr">
        <is>
          <t>C347</t>
        </is>
      </c>
      <c r="B81" s="717" t="n">
        <v>45669.56041666667</v>
      </c>
      <c r="C81" s="718" t="n">
        <v>45669.70763888889</v>
      </c>
      <c r="D81" s="719" t="inlineStr">
        <is>
          <t>BYBIT</t>
        </is>
      </c>
      <c r="E81" s="719" t="inlineStr">
        <is>
          <t>SUIUSDT</t>
        </is>
      </c>
      <c r="F81" s="719" t="inlineStr">
        <is>
          <t>BUY</t>
        </is>
      </c>
      <c r="G81" s="720" t="n">
        <v>50</v>
      </c>
      <c r="H81" s="720" t="n">
        <v>4.8777</v>
      </c>
      <c r="I81" s="720" t="n">
        <v>4.8365</v>
      </c>
      <c r="J81" s="721" t="n">
        <v>4.836</v>
      </c>
      <c r="K81" s="722" t="n">
        <v>0.008549111261455118</v>
      </c>
      <c r="L81" s="721" t="n">
        <v>4.9611</v>
      </c>
      <c r="M81" s="722" t="n">
        <v>0.01709822252291042</v>
      </c>
      <c r="N81" s="758" t="n">
        <v>0.26713885</v>
      </c>
      <c r="O81" s="724" t="n">
        <v>-2.32413885</v>
      </c>
      <c r="P81" s="725" t="n">
        <v>-0.01001852551741626</v>
      </c>
      <c r="Q81" s="726" t="n">
        <v>-0.9880095923261456</v>
      </c>
      <c r="R81" s="727" t="n">
        <v>229.6599835599999</v>
      </c>
      <c r="S81" s="719" t="inlineStr">
        <is>
          <t>3H 32M 0S</t>
        </is>
      </c>
      <c r="T81" s="728" t="n"/>
      <c r="U81" s="729" t="n"/>
      <c r="V81" s="730" t="n"/>
      <c r="W81" s="731" t="n"/>
      <c r="X81" s="732" t="n"/>
      <c r="Y81" s="728" t="n"/>
      <c r="Z81" s="729" t="n"/>
      <c r="AA81" s="730" t="n"/>
      <c r="AB81" s="731" t="n"/>
      <c r="AC81" s="732" t="n"/>
      <c r="AD81" s="719" t="inlineStr">
        <is>
          <t>No</t>
        </is>
      </c>
      <c r="AE81" s="719" t="inlineStr">
        <is>
          <t>channel</t>
        </is>
      </c>
      <c r="AF81" s="733" t="n"/>
      <c r="AG81" s="733" t="n"/>
      <c r="AH81" s="733" t="n"/>
      <c r="AI81" s="719" t="inlineStr">
        <is>
          <t>Market</t>
        </is>
      </c>
      <c r="AJ81" s="733" t="n"/>
      <c r="AK81" s="733" t="n"/>
      <c r="AL81" s="733" t="n"/>
      <c r="AM81" s="733" t="n"/>
      <c r="AN81" s="733" t="n"/>
      <c r="AO81" s="733" t="n"/>
      <c r="AP81" s="719" t="inlineStr">
        <is>
          <t>Pullback</t>
        </is>
      </c>
      <c r="AQ81" s="719" t="inlineStr">
        <is>
          <t>30MIN</t>
        </is>
      </c>
      <c r="AR81" s="719" t="inlineStr">
        <is>
          <t>No</t>
        </is>
      </c>
      <c r="AS81" s="733" t="n"/>
      <c r="AT81" s="733" t="n"/>
      <c r="AU81" s="733" t="n"/>
      <c r="AV81" s="733" t="n"/>
      <c r="AW81" s="719" t="inlineStr">
        <is>
          <t>trade</t>
        </is>
      </c>
      <c r="AX81" s="734" t="inlineStr">
        <is>
          <t>sig:c6d4c85ba6b6e9e78473476e</t>
        </is>
      </c>
    </row>
    <row r="82" ht="15" customHeight="1">
      <c r="A82" s="716" t="inlineStr">
        <is>
          <t>C346</t>
        </is>
      </c>
      <c r="B82" s="717" t="n">
        <v>45634.05694444444</v>
      </c>
      <c r="C82" s="718" t="n">
        <v>45634.1125</v>
      </c>
      <c r="D82" s="719" t="inlineStr">
        <is>
          <t>BYBIT</t>
        </is>
      </c>
      <c r="E82" s="719" t="inlineStr">
        <is>
          <t>UXLINKUSDT</t>
        </is>
      </c>
      <c r="F82" s="719" t="inlineStr">
        <is>
          <t>SELL</t>
        </is>
      </c>
      <c r="G82" s="720" t="n">
        <v>254</v>
      </c>
      <c r="H82" s="720" t="n">
        <v>0.6645</v>
      </c>
      <c r="I82" s="720" t="n">
        <v>0.6738</v>
      </c>
      <c r="J82" s="721" t="n">
        <v>0.6738</v>
      </c>
      <c r="K82" s="722" t="n">
        <v>0.01399548532731373</v>
      </c>
      <c r="L82" s="721" t="n">
        <v>0.6459</v>
      </c>
      <c r="M82" s="722" t="n">
        <v>0.02799097065462746</v>
      </c>
      <c r="N82" s="723" t="n">
        <v>0.03864609</v>
      </c>
      <c r="O82" s="724" t="n">
        <v>-2.32355391</v>
      </c>
      <c r="P82" s="725" t="n">
        <v>-0.009916678559120972</v>
      </c>
      <c r="Q82" s="726" t="n">
        <v>-1</v>
      </c>
      <c r="R82" s="727" t="n">
        <v>231.9841224099999</v>
      </c>
      <c r="S82" s="719" t="inlineStr">
        <is>
          <t>1H 20M 0S</t>
        </is>
      </c>
      <c r="T82" s="728" t="n"/>
      <c r="U82" s="729" t="n"/>
      <c r="V82" s="730" t="n"/>
      <c r="W82" s="731" t="n"/>
      <c r="X82" s="732" t="n"/>
      <c r="Y82" s="728" t="n"/>
      <c r="Z82" s="729" t="n"/>
      <c r="AA82" s="730" t="n"/>
      <c r="AB82" s="731" t="n"/>
      <c r="AC82" s="732" t="n"/>
      <c r="AD82" s="719" t="inlineStr">
        <is>
          <t>No</t>
        </is>
      </c>
      <c r="AE82" s="733" t="n"/>
      <c r="AF82" s="733" t="n"/>
      <c r="AG82" s="733" t="n"/>
      <c r="AH82" s="733" t="n"/>
      <c r="AI82" s="719" t="inlineStr">
        <is>
          <t>Limit</t>
        </is>
      </c>
      <c r="AJ82" s="733" t="n"/>
      <c r="AK82" s="733" t="n"/>
      <c r="AL82" s="733" t="n"/>
      <c r="AM82" s="733" t="n"/>
      <c r="AN82" s="733" t="n"/>
      <c r="AO82" s="733" t="n"/>
      <c r="AP82" s="719" t="inlineStr">
        <is>
          <t>Pullback</t>
        </is>
      </c>
      <c r="AQ82" s="719" t="inlineStr">
        <is>
          <t>15MIN</t>
        </is>
      </c>
      <c r="AR82" s="719" t="inlineStr">
        <is>
          <t>No</t>
        </is>
      </c>
      <c r="AS82" s="733" t="n"/>
      <c r="AT82" s="733" t="n"/>
      <c r="AU82" s="733" t="n"/>
      <c r="AV82" s="733" t="n"/>
      <c r="AW82" s="719" t="inlineStr">
        <is>
          <t>trade</t>
        </is>
      </c>
      <c r="AX82" s="734" t="inlineStr">
        <is>
          <t>sig:14822c971527a5df3fc8facf</t>
        </is>
      </c>
    </row>
    <row r="83" ht="15" customHeight="1">
      <c r="A83" s="716" t="inlineStr">
        <is>
          <t>F1018</t>
        </is>
      </c>
      <c r="B83" s="717" t="n">
        <v>45631.1528587963</v>
      </c>
      <c r="C83" s="718" t="n">
        <v>45631.20819444444</v>
      </c>
      <c r="D83" s="719" t="inlineStr">
        <is>
          <t>OANDA LIVE</t>
        </is>
      </c>
      <c r="E83" s="719" t="inlineStr">
        <is>
          <t>USDJPY</t>
        </is>
      </c>
      <c r="F83" s="719" t="inlineStr">
        <is>
          <t>SELL</t>
        </is>
      </c>
      <c r="G83" s="735" t="n">
        <v>0.08493000000000001</v>
      </c>
      <c r="H83" s="720" t="n">
        <v>150.206</v>
      </c>
      <c r="I83" s="720" t="n">
        <v>150.33</v>
      </c>
      <c r="J83" s="721" t="n">
        <v>150.328</v>
      </c>
      <c r="K83" s="760" t="n">
        <v>0.0008122178874346837</v>
      </c>
      <c r="L83" s="721" t="n">
        <v>149.986</v>
      </c>
      <c r="M83" s="722" t="n">
        <v>0.001464655206849253</v>
      </c>
      <c r="N83" s="788" t="n"/>
      <c r="O83" s="762" t="n">
        <v>-10.9404</v>
      </c>
      <c r="P83" s="725" t="n">
        <v>-0.0076389284553227</v>
      </c>
      <c r="Q83" s="726" t="n">
        <v>-1.016393442623027</v>
      </c>
      <c r="R83" s="764" t="n">
        <v>1421.25</v>
      </c>
      <c r="S83" s="719" t="inlineStr">
        <is>
          <t>1H 19M 41S</t>
        </is>
      </c>
      <c r="T83" s="728" t="n"/>
      <c r="U83" s="729" t="n"/>
      <c r="V83" s="730" t="n"/>
      <c r="W83" s="731" t="n"/>
      <c r="X83" s="732" t="n"/>
      <c r="Y83" s="728" t="n"/>
      <c r="Z83" s="729" t="n"/>
      <c r="AA83" s="730" t="n"/>
      <c r="AB83" s="731" t="n"/>
      <c r="AC83" s="732" t="n"/>
      <c r="AD83" s="719" t="inlineStr">
        <is>
          <t>No</t>
        </is>
      </c>
      <c r="AE83" s="719" t="inlineStr">
        <is>
          <t>channel</t>
        </is>
      </c>
      <c r="AF83" s="733" t="n"/>
      <c r="AG83" s="733" t="n"/>
      <c r="AH83" s="733" t="n"/>
      <c r="AI83" s="719" t="inlineStr">
        <is>
          <t>Market</t>
        </is>
      </c>
      <c r="AJ83" s="733" t="n"/>
      <c r="AK83" s="733" t="n"/>
      <c r="AL83" s="733" t="n"/>
      <c r="AM83" s="733" t="n"/>
      <c r="AN83" s="733" t="n"/>
      <c r="AO83" s="733" t="n"/>
      <c r="AP83" s="719" t="inlineStr">
        <is>
          <t>Pullback</t>
        </is>
      </c>
      <c r="AQ83" s="719" t="inlineStr">
        <is>
          <t>1MIN</t>
        </is>
      </c>
      <c r="AR83" s="719" t="inlineStr">
        <is>
          <t>No</t>
        </is>
      </c>
      <c r="AS83" s="733" t="n"/>
      <c r="AT83" s="733" t="n"/>
      <c r="AU83" s="733" t="n"/>
      <c r="AV83" s="733" t="n"/>
      <c r="AW83" s="719" t="inlineStr">
        <is>
          <t>trade</t>
        </is>
      </c>
      <c r="AX83" s="734" t="inlineStr">
        <is>
          <t>oanda_export:live:399:402</t>
        </is>
      </c>
    </row>
    <row r="84" ht="15" customHeight="1">
      <c r="A84" s="716" t="inlineStr">
        <is>
          <t>C345</t>
        </is>
      </c>
      <c r="B84" s="717" t="n">
        <v>45624.23680555556</v>
      </c>
      <c r="C84" s="718" t="n">
        <v>45624.26944444444</v>
      </c>
      <c r="D84" s="719" t="inlineStr">
        <is>
          <t>BYBIT</t>
        </is>
      </c>
      <c r="E84" s="719" t="inlineStr">
        <is>
          <t>PRCLUSDT</t>
        </is>
      </c>
      <c r="F84" s="719" t="inlineStr">
        <is>
          <t>SELL</t>
        </is>
      </c>
      <c r="G84" s="720" t="n">
        <v>85</v>
      </c>
      <c r="H84" s="720" t="n">
        <v>0.4057</v>
      </c>
      <c r="I84" s="720" t="n">
        <v>0.4346</v>
      </c>
      <c r="J84" s="721" t="n">
        <v>0.4346</v>
      </c>
      <c r="K84" s="722" t="n">
        <v>0.07123490263741676</v>
      </c>
      <c r="L84" s="721" t="n">
        <v>0.3479</v>
      </c>
      <c r="M84" s="722" t="n">
        <v>0.1424698052748337</v>
      </c>
      <c r="N84" s="723" t="n">
        <v>0.03928403</v>
      </c>
      <c r="O84" s="724" t="n">
        <v>-2.49665068</v>
      </c>
      <c r="P84" s="725" t="n">
        <v>-0.01054309569267289</v>
      </c>
      <c r="Q84" s="726" t="n">
        <v>-1</v>
      </c>
      <c r="R84" s="727" t="n">
        <v>234.3076763199999</v>
      </c>
      <c r="S84" s="719" t="inlineStr">
        <is>
          <t>47M 0S</t>
        </is>
      </c>
      <c r="T84" s="728" t="n"/>
      <c r="U84" s="729" t="n"/>
      <c r="V84" s="730" t="n"/>
      <c r="W84" s="731" t="n"/>
      <c r="X84" s="732" t="n"/>
      <c r="Y84" s="728" t="n"/>
      <c r="Z84" s="729" t="n"/>
      <c r="AA84" s="730" t="n"/>
      <c r="AB84" s="731" t="n"/>
      <c r="AC84" s="732" t="n"/>
      <c r="AD84" s="719" t="inlineStr">
        <is>
          <t>No</t>
        </is>
      </c>
      <c r="AE84" s="719" t="inlineStr">
        <is>
          <t>channel</t>
        </is>
      </c>
      <c r="AF84" s="733" t="n"/>
      <c r="AG84" s="733" t="n"/>
      <c r="AH84" s="733" t="n"/>
      <c r="AI84" s="719" t="inlineStr">
        <is>
          <t>Market</t>
        </is>
      </c>
      <c r="AJ84" s="733" t="n"/>
      <c r="AK84" s="733" t="n"/>
      <c r="AL84" s="733" t="n"/>
      <c r="AM84" s="733" t="n"/>
      <c r="AN84" s="733" t="n"/>
      <c r="AO84" s="733" t="n"/>
      <c r="AP84" s="719" t="inlineStr">
        <is>
          <t>Pullback</t>
        </is>
      </c>
      <c r="AQ84" s="719" t="inlineStr">
        <is>
          <t>1H</t>
        </is>
      </c>
      <c r="AR84" s="719" t="inlineStr">
        <is>
          <t>No</t>
        </is>
      </c>
      <c r="AS84" s="733" t="n"/>
      <c r="AT84" s="733" t="n"/>
      <c r="AU84" s="733" t="n"/>
      <c r="AV84" s="733" t="n"/>
      <c r="AW84" s="719" t="inlineStr">
        <is>
          <t>trade</t>
        </is>
      </c>
      <c r="AX84" s="734" t="inlineStr">
        <is>
          <t>sig:34bded3950be5e72f3c156bc</t>
        </is>
      </c>
    </row>
    <row r="85" ht="15" customHeight="1">
      <c r="A85" s="737" t="inlineStr">
        <is>
          <t>C342</t>
        </is>
      </c>
      <c r="B85" s="738" t="n">
        <v>45619.92222222222</v>
      </c>
      <c r="C85" s="739" t="n">
        <v>45622.87708333333</v>
      </c>
      <c r="D85" s="740" t="inlineStr">
        <is>
          <t>BYBIT</t>
        </is>
      </c>
      <c r="E85" s="740" t="inlineStr">
        <is>
          <t>LTCUSDT</t>
        </is>
      </c>
      <c r="F85" s="740" t="inlineStr">
        <is>
          <t>SELL</t>
        </is>
      </c>
      <c r="G85" s="742" t="n">
        <v>0.3</v>
      </c>
      <c r="H85" s="742" t="n">
        <v>104.06</v>
      </c>
      <c r="I85" s="742" t="n">
        <v>89.06</v>
      </c>
      <c r="J85" s="743" t="n">
        <v>111.56</v>
      </c>
      <c r="K85" s="744" t="n">
        <v>0.07207380357486065</v>
      </c>
      <c r="L85" s="743" t="n">
        <v>89.06</v>
      </c>
      <c r="M85" s="744" t="n">
        <v>0.1441476071497213</v>
      </c>
      <c r="N85" s="802" t="n">
        <v>0.05025198</v>
      </c>
      <c r="O85" s="746" t="n">
        <v>4.54938533</v>
      </c>
      <c r="P85" s="747" t="n">
        <v>0.01958789465269595</v>
      </c>
      <c r="Q85" s="748" t="n">
        <v>2</v>
      </c>
      <c r="R85" s="749" t="n">
        <v>236.8043269999999</v>
      </c>
      <c r="S85" s="740" t="inlineStr">
        <is>
          <t>2D 22H 55M 0S</t>
        </is>
      </c>
      <c r="T85" s="750" t="n"/>
      <c r="U85" s="751" t="n"/>
      <c r="V85" s="752" t="n"/>
      <c r="W85" s="753" t="n"/>
      <c r="X85" s="754" t="n"/>
      <c r="Y85" s="750" t="n"/>
      <c r="Z85" s="751" t="n"/>
      <c r="AA85" s="752" t="n"/>
      <c r="AB85" s="753" t="n"/>
      <c r="AC85" s="754" t="n"/>
      <c r="AD85" s="740" t="inlineStr">
        <is>
          <t>No</t>
        </is>
      </c>
      <c r="AE85" s="740" t="inlineStr">
        <is>
          <t>channel</t>
        </is>
      </c>
      <c r="AF85" s="755" t="n"/>
      <c r="AG85" s="755" t="n"/>
      <c r="AH85" s="755" t="n"/>
      <c r="AI85" s="740" t="inlineStr">
        <is>
          <t>Limit</t>
        </is>
      </c>
      <c r="AJ85" s="755" t="n"/>
      <c r="AK85" s="755" t="n"/>
      <c r="AL85" s="755" t="n"/>
      <c r="AM85" s="740" t="inlineStr">
        <is>
          <t>Yes</t>
        </is>
      </c>
      <c r="AN85" s="755" t="n"/>
      <c r="AO85" s="755" t="n"/>
      <c r="AP85" s="740" t="inlineStr">
        <is>
          <t>Pullback</t>
        </is>
      </c>
      <c r="AQ85" s="740" t="inlineStr">
        <is>
          <t>WEEKLY</t>
        </is>
      </c>
      <c r="AR85" s="740" t="inlineStr">
        <is>
          <t>No</t>
        </is>
      </c>
      <c r="AS85" s="755" t="n"/>
      <c r="AT85" s="755" t="n"/>
      <c r="AU85" s="755" t="n"/>
      <c r="AV85" s="755" t="n"/>
      <c r="AW85" s="740" t="inlineStr">
        <is>
          <t>trade</t>
        </is>
      </c>
      <c r="AX85" s="756" t="inlineStr">
        <is>
          <t>sig:02a21d37fe44109262b94fca</t>
        </is>
      </c>
    </row>
    <row r="86" ht="15" customHeight="1">
      <c r="A86" s="716" t="inlineStr">
        <is>
          <t>C344</t>
        </is>
      </c>
      <c r="B86" s="717" t="n">
        <v>45620.91111111111</v>
      </c>
      <c r="C86" s="718" t="n">
        <v>45621.51805555556</v>
      </c>
      <c r="D86" s="719" t="inlineStr">
        <is>
          <t>BYBIT</t>
        </is>
      </c>
      <c r="E86" s="719" t="inlineStr">
        <is>
          <t>XLMUSDT</t>
        </is>
      </c>
      <c r="F86" s="719" t="inlineStr">
        <is>
          <t>BUY</t>
        </is>
      </c>
      <c r="G86" s="720" t="n">
        <v>108</v>
      </c>
      <c r="H86" s="720" t="n">
        <v>0.53309</v>
      </c>
      <c r="I86" s="720" t="n">
        <v>0.51896</v>
      </c>
      <c r="J86" s="721" t="n">
        <v>0.51114</v>
      </c>
      <c r="K86" s="722" t="n">
        <v>0.04117503611022513</v>
      </c>
      <c r="L86" s="721" t="n">
        <v>0.57699</v>
      </c>
      <c r="M86" s="722" t="n">
        <v>0.08235007222045068</v>
      </c>
      <c r="N86" s="723" t="n">
        <v>0.08592830999999999</v>
      </c>
      <c r="O86" s="724" t="n">
        <v>-1.61283496</v>
      </c>
      <c r="P86" s="725" t="n">
        <v>-0.006896353928021694</v>
      </c>
      <c r="Q86" s="726" t="n">
        <v>-0.6437357630979513</v>
      </c>
      <c r="R86" s="727" t="n">
        <v>232.2549416699999</v>
      </c>
      <c r="S86" s="719" t="inlineStr">
        <is>
          <t>14H 34M 0S</t>
        </is>
      </c>
      <c r="T86" s="728" t="n"/>
      <c r="U86" s="729" t="n"/>
      <c r="V86" s="730" t="n"/>
      <c r="W86" s="731" t="n"/>
      <c r="X86" s="732" t="n"/>
      <c r="Y86" s="728" t="n"/>
      <c r="Z86" s="729" t="n"/>
      <c r="AA86" s="730" t="n"/>
      <c r="AB86" s="731" t="n"/>
      <c r="AC86" s="732" t="n"/>
      <c r="AD86" s="719" t="inlineStr">
        <is>
          <t>No</t>
        </is>
      </c>
      <c r="AE86" s="719" t="inlineStr">
        <is>
          <t>channel</t>
        </is>
      </c>
      <c r="AF86" s="733" t="n"/>
      <c r="AG86" s="733" t="n"/>
      <c r="AH86" s="733" t="n"/>
      <c r="AI86" s="719" t="inlineStr">
        <is>
          <t>Market</t>
        </is>
      </c>
      <c r="AJ86" s="733" t="n"/>
      <c r="AK86" s="733" t="n"/>
      <c r="AL86" s="733" t="n"/>
      <c r="AM86" s="733" t="n"/>
      <c r="AN86" s="733" t="n"/>
      <c r="AO86" s="719" t="inlineStr">
        <is>
          <t>Yes</t>
        </is>
      </c>
      <c r="AP86" s="719" t="inlineStr">
        <is>
          <t>Pullback</t>
        </is>
      </c>
      <c r="AQ86" s="719" t="inlineStr">
        <is>
          <t>15MIN</t>
        </is>
      </c>
      <c r="AR86" s="719" t="inlineStr">
        <is>
          <t>No</t>
        </is>
      </c>
      <c r="AS86" s="733" t="n"/>
      <c r="AT86" s="733" t="n"/>
      <c r="AU86" s="733" t="n"/>
      <c r="AV86" s="733" t="n"/>
      <c r="AW86" s="719" t="inlineStr">
        <is>
          <t>trade</t>
        </is>
      </c>
      <c r="AX86" s="734" t="inlineStr">
        <is>
          <t>sig:0d9ec58975a782ae9dff9ca7</t>
        </is>
      </c>
    </row>
    <row r="87" ht="15" customHeight="1">
      <c r="A87" s="716" t="inlineStr">
        <is>
          <t>C343</t>
        </is>
      </c>
      <c r="B87" s="717" t="n">
        <v>45620.08194444444</v>
      </c>
      <c r="C87" s="718" t="n">
        <v>45620.09444444445</v>
      </c>
      <c r="D87" s="719" t="inlineStr">
        <is>
          <t>BYBIT</t>
        </is>
      </c>
      <c r="E87" s="719" t="inlineStr">
        <is>
          <t>DOGEUSDT</t>
        </is>
      </c>
      <c r="F87" s="719" t="inlineStr">
        <is>
          <t>BUY</t>
        </is>
      </c>
      <c r="G87" s="720" t="n">
        <v>311</v>
      </c>
      <c r="H87" s="720" t="n">
        <v>0.4557</v>
      </c>
      <c r="I87" s="720" t="n">
        <v>0.44822</v>
      </c>
      <c r="J87" s="721" t="n">
        <v>0.448</v>
      </c>
      <c r="K87" s="722" t="n">
        <v>0.01689708141321041</v>
      </c>
      <c r="L87" s="721" t="n">
        <v>0.4711</v>
      </c>
      <c r="M87" s="722" t="n">
        <v>0.03379416282642095</v>
      </c>
      <c r="N87" s="758" t="n">
        <v>0.27180329</v>
      </c>
      <c r="O87" s="724" t="n">
        <v>-2.59894994</v>
      </c>
      <c r="P87" s="725" t="n">
        <v>-0.01099076380723124</v>
      </c>
      <c r="Q87" s="726" t="n">
        <v>-0.9714285714285716</v>
      </c>
      <c r="R87" s="727" t="n">
        <v>233.8677766299998</v>
      </c>
      <c r="S87" s="719" t="inlineStr">
        <is>
          <t>18M 0S</t>
        </is>
      </c>
      <c r="T87" s="728" t="n"/>
      <c r="U87" s="729" t="n"/>
      <c r="V87" s="730" t="n"/>
      <c r="W87" s="731" t="n"/>
      <c r="X87" s="732" t="n"/>
      <c r="Y87" s="728" t="n"/>
      <c r="Z87" s="729" t="n"/>
      <c r="AA87" s="730" t="n"/>
      <c r="AB87" s="731" t="n"/>
      <c r="AC87" s="732" t="n"/>
      <c r="AD87" s="719" t="inlineStr">
        <is>
          <t>No</t>
        </is>
      </c>
      <c r="AE87" s="719" t="n"/>
      <c r="AF87" s="733" t="n"/>
      <c r="AG87" s="733" t="n"/>
      <c r="AH87" s="733" t="n"/>
      <c r="AI87" s="719" t="inlineStr">
        <is>
          <t>Market</t>
        </is>
      </c>
      <c r="AJ87" s="733" t="n"/>
      <c r="AK87" s="733" t="n"/>
      <c r="AL87" s="733" t="n"/>
      <c r="AM87" s="719" t="n"/>
      <c r="AN87" s="733" t="n"/>
      <c r="AO87" s="733" t="n"/>
      <c r="AP87" s="719" t="inlineStr">
        <is>
          <t>Pullback</t>
        </is>
      </c>
      <c r="AQ87" s="719" t="inlineStr">
        <is>
          <t>5MIN</t>
        </is>
      </c>
      <c r="AR87" s="719" t="inlineStr">
        <is>
          <t>No</t>
        </is>
      </c>
      <c r="AS87" s="733" t="n"/>
      <c r="AT87" s="733" t="n"/>
      <c r="AU87" s="733" t="n"/>
      <c r="AV87" s="733" t="n"/>
      <c r="AW87" s="719" t="inlineStr">
        <is>
          <t>trade</t>
        </is>
      </c>
      <c r="AX87" s="734" t="inlineStr">
        <is>
          <t>sig:3046bd668cfd389bb6186606</t>
        </is>
      </c>
    </row>
    <row r="88" ht="15" customHeight="1">
      <c r="A88" s="737" t="inlineStr">
        <is>
          <t>F1160</t>
        </is>
      </c>
      <c r="B88" s="738" t="n">
        <v>45617.05671296296</v>
      </c>
      <c r="C88" s="739" t="n">
        <v>45617.05774305556</v>
      </c>
      <c r="D88" s="740" t="inlineStr">
        <is>
          <t>OANDA DEMO</t>
        </is>
      </c>
      <c r="E88" s="740" t="inlineStr">
        <is>
          <t>EURUSD</t>
        </is>
      </c>
      <c r="F88" s="740" t="inlineStr">
        <is>
          <t>BUY</t>
        </is>
      </c>
      <c r="G88" s="775" t="n">
        <v>0.01</v>
      </c>
      <c r="H88" s="742" t="n">
        <v>1.05247</v>
      </c>
      <c r="I88" s="742" t="n">
        <v>1.05261</v>
      </c>
      <c r="J88" s="743" t="n">
        <v>1.05292</v>
      </c>
      <c r="K88" s="765" t="n">
        <v>0.0004275656313244667</v>
      </c>
      <c r="L88" s="743" t="n">
        <v>1.05352</v>
      </c>
      <c r="M88" s="765" t="n">
        <v>0.0009976531397569482</v>
      </c>
      <c r="N88" s="766" t="n"/>
      <c r="O88" s="767" t="n">
        <v>0.2148</v>
      </c>
      <c r="P88" s="776" t="n">
        <v>0.0001437669016465728</v>
      </c>
      <c r="Q88" s="748" t="n">
        <v>0.311111111111133</v>
      </c>
      <c r="R88" s="769" t="n">
        <v>1494.3</v>
      </c>
      <c r="S88" s="740" t="inlineStr">
        <is>
          <t>1M 29S</t>
        </is>
      </c>
      <c r="T88" s="750" t="n"/>
      <c r="U88" s="751" t="n"/>
      <c r="V88" s="752" t="n"/>
      <c r="W88" s="753" t="n"/>
      <c r="X88" s="754" t="n"/>
      <c r="Y88" s="750" t="n"/>
      <c r="Z88" s="751" t="n"/>
      <c r="AA88" s="752" t="n"/>
      <c r="AB88" s="753" t="n"/>
      <c r="AC88" s="754" t="n"/>
      <c r="AD88" s="740" t="inlineStr">
        <is>
          <t>No</t>
        </is>
      </c>
      <c r="AE88" s="740" t="n"/>
      <c r="AF88" s="755" t="n"/>
      <c r="AG88" s="755" t="n"/>
      <c r="AH88" s="755" t="n"/>
      <c r="AI88" s="740" t="n"/>
      <c r="AJ88" s="755" t="n"/>
      <c r="AK88" s="755" t="n"/>
      <c r="AL88" s="755" t="n"/>
      <c r="AM88" s="755" t="n"/>
      <c r="AN88" s="755" t="n"/>
      <c r="AO88" s="755" t="n"/>
      <c r="AP88" s="740" t="n"/>
      <c r="AQ88" s="740" t="n"/>
      <c r="AR88" s="740" t="n"/>
      <c r="AS88" s="755" t="n"/>
      <c r="AT88" s="755" t="n"/>
      <c r="AU88" s="755" t="n"/>
      <c r="AV88" s="755" t="n"/>
      <c r="AW88" s="740" t="inlineStr">
        <is>
          <t>trade</t>
        </is>
      </c>
      <c r="AX88" s="756" t="inlineStr">
        <is>
          <t>oanda_export:demo:552:556</t>
        </is>
      </c>
    </row>
    <row r="89" ht="15" customHeight="1">
      <c r="A89" s="716" t="inlineStr">
        <is>
          <t>F1159</t>
        </is>
      </c>
      <c r="B89" s="717" t="n">
        <v>45617.04959490741</v>
      </c>
      <c r="C89" s="718" t="n">
        <v>45617.05204861111</v>
      </c>
      <c r="D89" s="719" t="inlineStr">
        <is>
          <t>OANDA DEMO</t>
        </is>
      </c>
      <c r="E89" s="719" t="inlineStr">
        <is>
          <t>EURUSD</t>
        </is>
      </c>
      <c r="F89" s="719" t="inlineStr">
        <is>
          <t>BUY</t>
        </is>
      </c>
      <c r="G89" s="735" t="n">
        <v>0.01</v>
      </c>
      <c r="H89" s="720" t="n">
        <v>1.05327</v>
      </c>
      <c r="I89" s="720" t="n">
        <v>1.05291</v>
      </c>
      <c r="J89" s="721" t="n">
        <v>1.05278</v>
      </c>
      <c r="K89" s="760" t="n">
        <v>0.0004652178453766645</v>
      </c>
      <c r="L89" s="721" t="n">
        <v>1.05311</v>
      </c>
      <c r="M89" s="760" t="n">
        <v>0.000151907867878073</v>
      </c>
      <c r="N89" s="788" t="n"/>
      <c r="O89" s="762" t="n">
        <v>-0.5577</v>
      </c>
      <c r="P89" s="763" t="n">
        <v>-0.0003731339039554536</v>
      </c>
      <c r="Q89" s="726" t="n">
        <v>-0.7346938775510297</v>
      </c>
      <c r="R89" s="764" t="n">
        <v>1494.08</v>
      </c>
      <c r="S89" s="719" t="inlineStr">
        <is>
          <t>3M 32S</t>
        </is>
      </c>
      <c r="T89" s="728" t="n"/>
      <c r="U89" s="729" t="n"/>
      <c r="V89" s="730" t="n"/>
      <c r="W89" s="731" t="n"/>
      <c r="X89" s="732" t="n"/>
      <c r="Y89" s="728" t="n"/>
      <c r="Z89" s="729" t="n"/>
      <c r="AA89" s="730" t="n"/>
      <c r="AB89" s="731" t="n"/>
      <c r="AC89" s="732" t="n"/>
      <c r="AD89" s="719" t="inlineStr">
        <is>
          <t>No</t>
        </is>
      </c>
      <c r="AE89" s="733" t="n"/>
      <c r="AF89" s="733" t="n"/>
      <c r="AG89" s="733" t="n"/>
      <c r="AH89" s="733" t="n"/>
      <c r="AI89" s="733" t="n"/>
      <c r="AJ89" s="733" t="n"/>
      <c r="AK89" s="733" t="n"/>
      <c r="AL89" s="733" t="n"/>
      <c r="AM89" s="733" t="n"/>
      <c r="AN89" s="733" t="n"/>
      <c r="AO89" s="733" t="n"/>
      <c r="AP89" s="733" t="n"/>
      <c r="AQ89" s="733" t="n"/>
      <c r="AR89" s="733" t="n"/>
      <c r="AS89" s="782" t="n"/>
      <c r="AT89" s="733" t="n"/>
      <c r="AU89" s="719" t="n"/>
      <c r="AV89" s="719" t="n"/>
      <c r="AW89" s="719" t="inlineStr">
        <is>
          <t>trade</t>
        </is>
      </c>
      <c r="AX89" s="734" t="inlineStr">
        <is>
          <t>oanda_export:demo:546:549</t>
        </is>
      </c>
    </row>
    <row r="90" ht="15" customHeight="1">
      <c r="A90" s="737" t="inlineStr">
        <is>
          <t>F1158</t>
        </is>
      </c>
      <c r="B90" s="738" t="n">
        <v>45617.04320601852</v>
      </c>
      <c r="C90" s="739" t="n">
        <v>45617.04569444444</v>
      </c>
      <c r="D90" s="740" t="inlineStr">
        <is>
          <t>OANDA DEMO</t>
        </is>
      </c>
      <c r="E90" s="740" t="inlineStr">
        <is>
          <t>EURUSD</t>
        </is>
      </c>
      <c r="F90" s="740" t="inlineStr">
        <is>
          <t>BUY</t>
        </is>
      </c>
      <c r="G90" s="775" t="n">
        <v>0.01</v>
      </c>
      <c r="H90" s="742" t="n">
        <v>1.05275</v>
      </c>
      <c r="I90" s="742" t="n">
        <v>1.0528</v>
      </c>
      <c r="J90" s="743" t="n">
        <v>1.05241</v>
      </c>
      <c r="K90" s="765" t="n">
        <v>0.0003229636665875155</v>
      </c>
      <c r="L90" s="743" t="n">
        <v>1.05301</v>
      </c>
      <c r="M90" s="765" t="n">
        <v>0.0002469722156256727</v>
      </c>
      <c r="N90" s="796" t="n"/>
      <c r="O90" s="803" t="n">
        <v>0.0767</v>
      </c>
      <c r="P90" s="768" t="n">
        <v>5.131933856531871e-05</v>
      </c>
      <c r="Q90" s="748" t="n">
        <v>0.147058823529066</v>
      </c>
      <c r="R90" s="769" t="n">
        <v>1494.64</v>
      </c>
      <c r="S90" s="740" t="inlineStr">
        <is>
          <t>3M 35S</t>
        </is>
      </c>
      <c r="T90" s="750" t="n"/>
      <c r="U90" s="751" t="n"/>
      <c r="V90" s="752" t="n"/>
      <c r="W90" s="753" t="n"/>
      <c r="X90" s="754" t="n"/>
      <c r="Y90" s="750" t="n"/>
      <c r="Z90" s="751" t="n"/>
      <c r="AA90" s="752" t="n"/>
      <c r="AB90" s="753" t="n"/>
      <c r="AC90" s="754" t="n"/>
      <c r="AD90" s="740" t="inlineStr">
        <is>
          <t>No</t>
        </is>
      </c>
      <c r="AE90" s="755" t="n"/>
      <c r="AF90" s="755" t="n"/>
      <c r="AG90" s="755" t="n"/>
      <c r="AH90" s="755" t="n"/>
      <c r="AI90" s="755" t="n"/>
      <c r="AJ90" s="755" t="n"/>
      <c r="AK90" s="755" t="n"/>
      <c r="AL90" s="755" t="n"/>
      <c r="AM90" s="755" t="n"/>
      <c r="AN90" s="755" t="n"/>
      <c r="AO90" s="755" t="n"/>
      <c r="AP90" s="755" t="n"/>
      <c r="AQ90" s="755" t="n"/>
      <c r="AR90" s="755" t="n"/>
      <c r="AS90" s="787" t="n"/>
      <c r="AT90" s="755" t="n"/>
      <c r="AU90" s="740" t="n"/>
      <c r="AV90" s="740" t="n"/>
      <c r="AW90" s="740" t="inlineStr">
        <is>
          <t>trade</t>
        </is>
      </c>
      <c r="AX90" s="756" t="inlineStr">
        <is>
          <t>oanda_export:demo:536:540</t>
        </is>
      </c>
    </row>
    <row r="91" ht="15" customHeight="1">
      <c r="A91" s="716" t="inlineStr">
        <is>
          <t>F1157</t>
        </is>
      </c>
      <c r="B91" s="717" t="n">
        <v>45617.03807870371</v>
      </c>
      <c r="C91" s="718" t="n">
        <v>45617.03900462963</v>
      </c>
      <c r="D91" s="719" t="inlineStr">
        <is>
          <t>OANDA DEMO</t>
        </is>
      </c>
      <c r="E91" s="719" t="inlineStr">
        <is>
          <t>EURUSD</t>
        </is>
      </c>
      <c r="F91" s="719" t="inlineStr">
        <is>
          <t>BUY</t>
        </is>
      </c>
      <c r="G91" s="735" t="n">
        <v>0.01</v>
      </c>
      <c r="H91" s="720" t="n">
        <v>1.05272</v>
      </c>
      <c r="I91" s="720" t="n">
        <v>1.05238</v>
      </c>
      <c r="J91" s="721" t="n">
        <v>1.05238</v>
      </c>
      <c r="K91" s="760" t="n">
        <v>0.0003229728702789032</v>
      </c>
      <c r="L91" s="721" t="n">
        <v>1.05298</v>
      </c>
      <c r="M91" s="760" t="n">
        <v>0.0002469792537426162</v>
      </c>
      <c r="N91" s="788" t="n"/>
      <c r="O91" s="762" t="n">
        <v>-0.5268</v>
      </c>
      <c r="P91" s="763" t="n">
        <v>-0.0003523541241886424</v>
      </c>
      <c r="Q91" s="726" t="n">
        <v>-1</v>
      </c>
      <c r="R91" s="764" t="n">
        <v>1494.56</v>
      </c>
      <c r="S91" s="719" t="inlineStr">
        <is>
          <t>1M 20S</t>
        </is>
      </c>
      <c r="T91" s="728" t="n"/>
      <c r="U91" s="729" t="n"/>
      <c r="V91" s="730" t="n"/>
      <c r="W91" s="731" t="n"/>
      <c r="X91" s="732" t="n"/>
      <c r="Y91" s="728" t="n"/>
      <c r="Z91" s="729" t="n"/>
      <c r="AA91" s="730" t="n"/>
      <c r="AB91" s="731" t="n"/>
      <c r="AC91" s="732" t="n"/>
      <c r="AD91" s="719" t="inlineStr">
        <is>
          <t>No</t>
        </is>
      </c>
      <c r="AE91" s="733" t="n"/>
      <c r="AF91" s="733" t="n"/>
      <c r="AG91" s="733" t="n"/>
      <c r="AH91" s="733" t="n"/>
      <c r="AI91" s="733" t="n"/>
      <c r="AJ91" s="733" t="n"/>
      <c r="AK91" s="733" t="n"/>
      <c r="AL91" s="733" t="n"/>
      <c r="AM91" s="733" t="n"/>
      <c r="AN91" s="733" t="n"/>
      <c r="AO91" s="733" t="n"/>
      <c r="AP91" s="733" t="n"/>
      <c r="AQ91" s="733" t="n"/>
      <c r="AR91" s="733" t="n"/>
      <c r="AS91" s="733" t="n"/>
      <c r="AT91" s="733" t="n"/>
      <c r="AU91" s="733" t="n"/>
      <c r="AV91" s="733" t="n"/>
      <c r="AW91" s="719" t="inlineStr">
        <is>
          <t>trade</t>
        </is>
      </c>
      <c r="AX91" s="734" t="inlineStr">
        <is>
          <t>oanda_export:demo:530:533</t>
        </is>
      </c>
    </row>
    <row r="92" ht="15" customHeight="1">
      <c r="A92" s="716" t="inlineStr">
        <is>
          <t>F1017</t>
        </is>
      </c>
      <c r="B92" s="717" t="n">
        <v>45611.72083333333</v>
      </c>
      <c r="C92" s="718" t="n">
        <v>45611.77291666667</v>
      </c>
      <c r="D92" s="719" t="inlineStr">
        <is>
          <t>OANDA LIVE</t>
        </is>
      </c>
      <c r="E92" s="719" t="inlineStr">
        <is>
          <t>USDJPY</t>
        </is>
      </c>
      <c r="F92" s="719" t="inlineStr">
        <is>
          <t>BUY</t>
        </is>
      </c>
      <c r="G92" s="735" t="n">
        <v>0.02895</v>
      </c>
      <c r="H92" s="720" t="n">
        <v>155.906</v>
      </c>
      <c r="I92" s="720" t="n">
        <v>155.556</v>
      </c>
      <c r="J92" s="721" t="n">
        <v>155.557</v>
      </c>
      <c r="K92" s="722" t="n">
        <v>0.00223852834400227</v>
      </c>
      <c r="L92" s="721" t="n">
        <v>156.604</v>
      </c>
      <c r="M92" s="722" t="n">
        <v>0.004477056688004358</v>
      </c>
      <c r="N92" s="788" t="n"/>
      <c r="O92" s="762" t="n">
        <v>-10.14</v>
      </c>
      <c r="P92" s="725" t="n">
        <v>-0.007030291264828436</v>
      </c>
      <c r="Q92" s="726" t="n">
        <v>-1.002865329512826</v>
      </c>
      <c r="R92" s="764" t="n">
        <v>1432.19</v>
      </c>
      <c r="S92" s="719" t="inlineStr">
        <is>
          <t>1H 15M 0S</t>
        </is>
      </c>
      <c r="T92" s="728" t="n"/>
      <c r="U92" s="729" t="n"/>
      <c r="V92" s="730" t="n"/>
      <c r="W92" s="731" t="n"/>
      <c r="X92" s="732" t="n"/>
      <c r="Y92" s="728" t="n"/>
      <c r="Z92" s="729" t="n"/>
      <c r="AA92" s="730" t="n"/>
      <c r="AB92" s="731" t="n"/>
      <c r="AC92" s="732" t="n"/>
      <c r="AD92" s="719" t="inlineStr">
        <is>
          <t>No</t>
        </is>
      </c>
      <c r="AE92" s="719" t="inlineStr">
        <is>
          <t>channel</t>
        </is>
      </c>
      <c r="AF92" s="733" t="n"/>
      <c r="AG92" s="733" t="n"/>
      <c r="AH92" s="733" t="n"/>
      <c r="AI92" s="719" t="inlineStr">
        <is>
          <t>Market</t>
        </is>
      </c>
      <c r="AJ92" s="733" t="n"/>
      <c r="AK92" s="733" t="n"/>
      <c r="AL92" s="733" t="n"/>
      <c r="AM92" s="733" t="n"/>
      <c r="AN92" s="733" t="n"/>
      <c r="AO92" s="733" t="n"/>
      <c r="AP92" s="719" t="inlineStr">
        <is>
          <t>Pullback</t>
        </is>
      </c>
      <c r="AQ92" s="719" t="inlineStr">
        <is>
          <t>1H</t>
        </is>
      </c>
      <c r="AR92" s="719" t="inlineStr">
        <is>
          <t>No</t>
        </is>
      </c>
      <c r="AS92" s="733" t="n"/>
      <c r="AT92" s="733" t="n"/>
      <c r="AU92" s="733" t="n"/>
      <c r="AV92" s="733" t="n"/>
      <c r="AW92" s="719" t="inlineStr">
        <is>
          <t>trade</t>
        </is>
      </c>
      <c r="AX92" s="734" t="inlineStr">
        <is>
          <t>sig:79df857cf9ccba6b59fb5fc0</t>
        </is>
      </c>
    </row>
    <row r="93" ht="15" customHeight="1">
      <c r="A93" s="737" t="inlineStr">
        <is>
          <t>C341</t>
        </is>
      </c>
      <c r="B93" s="738" t="n">
        <v>45610.25138888889</v>
      </c>
      <c r="C93" s="739" t="n">
        <v>45610.275</v>
      </c>
      <c r="D93" s="740" t="inlineStr">
        <is>
          <t>BYBIT</t>
        </is>
      </c>
      <c r="E93" s="740" t="inlineStr">
        <is>
          <t>BTCUSDT</t>
        </is>
      </c>
      <c r="F93" s="740" t="inlineStr">
        <is>
          <t>BUY</t>
        </is>
      </c>
      <c r="G93" s="741" t="n">
        <v>0.003</v>
      </c>
      <c r="H93" s="742" t="n">
        <v>89588</v>
      </c>
      <c r="I93" s="742" t="n">
        <v>91204</v>
      </c>
      <c r="J93" s="743" t="n">
        <v>88780</v>
      </c>
      <c r="K93" s="744" t="n">
        <v>0.00901906505335536</v>
      </c>
      <c r="L93" s="743" t="n">
        <v>91204</v>
      </c>
      <c r="M93" s="744" t="n">
        <v>0.01803813010671072</v>
      </c>
      <c r="N93" s="745" t="n">
        <v>0.1084752</v>
      </c>
      <c r="O93" s="746" t="n">
        <v>4.73865815</v>
      </c>
      <c r="P93" s="747" t="n">
        <v>0.02044921956286854</v>
      </c>
      <c r="Q93" s="748" t="n">
        <v>2</v>
      </c>
      <c r="R93" s="749" t="n">
        <v>236.4667265699998</v>
      </c>
      <c r="S93" s="740" t="inlineStr">
        <is>
          <t>34M 0S</t>
        </is>
      </c>
      <c r="T93" s="750" t="n"/>
      <c r="U93" s="751" t="n"/>
      <c r="V93" s="752" t="n"/>
      <c r="W93" s="753" t="n"/>
      <c r="X93" s="754" t="n"/>
      <c r="Y93" s="750" t="n"/>
      <c r="Z93" s="751" t="n"/>
      <c r="AA93" s="752" t="n"/>
      <c r="AB93" s="753" t="n"/>
      <c r="AC93" s="754" t="n"/>
      <c r="AD93" s="740" t="inlineStr">
        <is>
          <t>No</t>
        </is>
      </c>
      <c r="AE93" s="755" t="n"/>
      <c r="AF93" s="755" t="n"/>
      <c r="AG93" s="755" t="n"/>
      <c r="AH93" s="755" t="n"/>
      <c r="AI93" s="740" t="inlineStr">
        <is>
          <t>Limit</t>
        </is>
      </c>
      <c r="AJ93" s="755" t="n"/>
      <c r="AK93" s="755" t="n"/>
      <c r="AL93" s="755" t="n"/>
      <c r="AM93" s="755" t="n"/>
      <c r="AN93" s="755" t="n"/>
      <c r="AO93" s="755" t="n"/>
      <c r="AP93" s="740" t="inlineStr">
        <is>
          <t>Pullback</t>
        </is>
      </c>
      <c r="AQ93" s="740" t="inlineStr">
        <is>
          <t>1H</t>
        </is>
      </c>
      <c r="AR93" s="740" t="inlineStr">
        <is>
          <t>No</t>
        </is>
      </c>
      <c r="AS93" s="755" t="n"/>
      <c r="AT93" s="755" t="n"/>
      <c r="AU93" s="755" t="n"/>
      <c r="AV93" s="755" t="n"/>
      <c r="AW93" s="740" t="inlineStr">
        <is>
          <t>trade</t>
        </is>
      </c>
      <c r="AX93" s="756" t="inlineStr">
        <is>
          <t>sig:3ca0782bbd8da3516caf6f4c</t>
        </is>
      </c>
    </row>
    <row r="94" ht="15" customHeight="1">
      <c r="A94" s="716" t="inlineStr">
        <is>
          <t>F1016</t>
        </is>
      </c>
      <c r="B94" s="717" t="n">
        <v>45604.98244212963</v>
      </c>
      <c r="C94" s="718" t="n">
        <v>45607.33685185185</v>
      </c>
      <c r="D94" s="719" t="inlineStr">
        <is>
          <t>OANDA LIVE</t>
        </is>
      </c>
      <c r="E94" s="719" t="inlineStr">
        <is>
          <t>NZDUSD</t>
        </is>
      </c>
      <c r="F94" s="719" t="inlineStr">
        <is>
          <t>BUY</t>
        </is>
      </c>
      <c r="G94" s="735" t="n">
        <v>0.06968000000000001</v>
      </c>
      <c r="H94" s="720" t="n">
        <v>0.5980799999999999</v>
      </c>
      <c r="I94" s="720" t="n">
        <v>0.59443</v>
      </c>
      <c r="J94" s="789" t="n"/>
      <c r="K94" s="732" t="n"/>
      <c r="L94" s="789" t="n"/>
      <c r="M94" s="732" t="n"/>
      <c r="N94" s="788" t="n"/>
      <c r="O94" s="762" t="n">
        <v>-38.9841</v>
      </c>
      <c r="P94" s="725" t="n">
        <v>-0.02631724088766859</v>
      </c>
      <c r="Q94" s="790" t="n"/>
      <c r="R94" s="764" t="n">
        <v>1442.33</v>
      </c>
      <c r="S94" s="719" t="inlineStr">
        <is>
          <t>2D 8H 30M 21S</t>
        </is>
      </c>
      <c r="T94" s="728" t="n"/>
      <c r="U94" s="729" t="n"/>
      <c r="V94" s="730" t="n"/>
      <c r="W94" s="731" t="n"/>
      <c r="X94" s="732" t="n"/>
      <c r="Y94" s="728" t="n"/>
      <c r="Z94" s="729" t="n"/>
      <c r="AA94" s="730" t="n"/>
      <c r="AB94" s="731" t="n"/>
      <c r="AC94" s="732" t="n"/>
      <c r="AD94" s="719" t="inlineStr">
        <is>
          <t>No</t>
        </is>
      </c>
      <c r="AE94" s="719" t="inlineStr">
        <is>
          <t>channel</t>
        </is>
      </c>
      <c r="AF94" s="733" t="n"/>
      <c r="AG94" s="733" t="n"/>
      <c r="AH94" s="733" t="n"/>
      <c r="AI94" s="719" t="inlineStr">
        <is>
          <t>Market</t>
        </is>
      </c>
      <c r="AJ94" s="733" t="n"/>
      <c r="AK94" s="733" t="n"/>
      <c r="AL94" s="733" t="n"/>
      <c r="AM94" s="733" t="n"/>
      <c r="AN94" s="733" t="n"/>
      <c r="AO94" s="733" t="n"/>
      <c r="AP94" s="719" t="inlineStr">
        <is>
          <t>Pullback</t>
        </is>
      </c>
      <c r="AQ94" s="719" t="inlineStr">
        <is>
          <t>1H</t>
        </is>
      </c>
      <c r="AR94" s="719" t="inlineStr">
        <is>
          <t>No</t>
        </is>
      </c>
      <c r="AS94" s="733" t="n"/>
      <c r="AT94" s="733" t="n"/>
      <c r="AU94" s="733" t="n"/>
      <c r="AV94" s="733" t="n"/>
      <c r="AW94" s="719" t="inlineStr">
        <is>
          <t>trade</t>
        </is>
      </c>
      <c r="AX94" s="734" t="inlineStr">
        <is>
          <t>oanda_export:live:378:389</t>
        </is>
      </c>
    </row>
    <row r="95" ht="15" customHeight="1">
      <c r="A95" s="737" t="inlineStr">
        <is>
          <t>C340</t>
        </is>
      </c>
      <c r="B95" s="738" t="n">
        <v>45606.95</v>
      </c>
      <c r="C95" s="739" t="n">
        <v>45606.97708333333</v>
      </c>
      <c r="D95" s="740" t="inlineStr">
        <is>
          <t>BYBIT</t>
        </is>
      </c>
      <c r="E95" s="740" t="inlineStr">
        <is>
          <t>ETHUSDT</t>
        </is>
      </c>
      <c r="F95" s="740" t="inlineStr">
        <is>
          <t>BUY</t>
        </is>
      </c>
      <c r="G95" s="742" t="n">
        <v>0.19</v>
      </c>
      <c r="H95" s="742" t="n">
        <v>3184.23</v>
      </c>
      <c r="I95" s="742" t="n">
        <v>3207.28</v>
      </c>
      <c r="J95" s="743" t="n">
        <v>3171.73</v>
      </c>
      <c r="K95" s="744" t="n">
        <v>0.003925595826934612</v>
      </c>
      <c r="L95" s="743" t="n">
        <v>3193.78747</v>
      </c>
      <c r="M95" s="744" t="n">
        <v>0.003001501147844281</v>
      </c>
      <c r="N95" s="745" t="n">
        <v>0.6679128</v>
      </c>
      <c r="O95" s="746" t="n">
        <v>3.71072055</v>
      </c>
      <c r="P95" s="747" t="n">
        <v>0.01627385190058259</v>
      </c>
      <c r="Q95" s="748" t="n">
        <v>1.844000000000015</v>
      </c>
      <c r="R95" s="749" t="n">
        <v>231.7280684199999</v>
      </c>
      <c r="S95" s="740" t="inlineStr">
        <is>
          <t>39M 0S</t>
        </is>
      </c>
      <c r="T95" s="750" t="n"/>
      <c r="U95" s="751" t="n"/>
      <c r="V95" s="752" t="n"/>
      <c r="W95" s="753" t="n"/>
      <c r="X95" s="754" t="n"/>
      <c r="Y95" s="750" t="n"/>
      <c r="Z95" s="751" t="n"/>
      <c r="AA95" s="752" t="n"/>
      <c r="AB95" s="753" t="n"/>
      <c r="AC95" s="754" t="n"/>
      <c r="AD95" s="740" t="inlineStr">
        <is>
          <t>No</t>
        </is>
      </c>
      <c r="AE95" s="740" t="inlineStr">
        <is>
          <t>channel</t>
        </is>
      </c>
      <c r="AF95" s="755" t="n"/>
      <c r="AG95" s="755" t="n"/>
      <c r="AH95" s="755" t="n"/>
      <c r="AI95" s="740" t="inlineStr">
        <is>
          <t>Market</t>
        </is>
      </c>
      <c r="AJ95" s="755" t="n"/>
      <c r="AK95" s="755" t="n"/>
      <c r="AL95" s="755" t="n"/>
      <c r="AM95" s="740" t="inlineStr">
        <is>
          <t>Yes</t>
        </is>
      </c>
      <c r="AN95" s="755" t="n"/>
      <c r="AO95" s="755" t="n"/>
      <c r="AP95" s="740" t="inlineStr">
        <is>
          <t>Pullback</t>
        </is>
      </c>
      <c r="AQ95" s="740" t="inlineStr">
        <is>
          <t>5MIN</t>
        </is>
      </c>
      <c r="AR95" s="740" t="inlineStr">
        <is>
          <t>No</t>
        </is>
      </c>
      <c r="AS95" s="755" t="n"/>
      <c r="AT95" s="755" t="n"/>
      <c r="AU95" s="755" t="n"/>
      <c r="AV95" s="755" t="n"/>
      <c r="AW95" s="740" t="inlineStr">
        <is>
          <t>trade</t>
        </is>
      </c>
      <c r="AX95" s="756" t="inlineStr">
        <is>
          <t>sig:8d671f3f47f0ee59b1caa1a9</t>
        </is>
      </c>
    </row>
    <row r="96" ht="15" customHeight="1">
      <c r="A96" s="737" t="inlineStr">
        <is>
          <t>C339</t>
        </is>
      </c>
      <c r="B96" s="738" t="n">
        <v>45598.95069444444</v>
      </c>
      <c r="C96" s="739" t="n">
        <v>45598.95972222222</v>
      </c>
      <c r="D96" s="740" t="inlineStr">
        <is>
          <t>BYBIT</t>
        </is>
      </c>
      <c r="E96" s="740" t="inlineStr">
        <is>
          <t>OGNUSDT</t>
        </is>
      </c>
      <c r="F96" s="740" t="inlineStr">
        <is>
          <t>BUY</t>
        </is>
      </c>
      <c r="G96" s="742" t="n">
        <v>904</v>
      </c>
      <c r="H96" s="742" t="n">
        <v>0.1004</v>
      </c>
      <c r="I96" s="742" t="n">
        <v>0.1053</v>
      </c>
      <c r="J96" s="797" t="n">
        <v>0.0979</v>
      </c>
      <c r="K96" s="744" t="n">
        <v>0.02490039840637452</v>
      </c>
      <c r="L96" s="743" t="n">
        <v>0.1054</v>
      </c>
      <c r="M96" s="744" t="n">
        <v>0.04980079681274891</v>
      </c>
      <c r="N96" s="745" t="n">
        <v>0.10227404</v>
      </c>
      <c r="O96" s="746" t="n">
        <v>4.32645931</v>
      </c>
      <c r="P96" s="747" t="n">
        <v>0.01934124066407616</v>
      </c>
      <c r="Q96" s="748" t="n">
        <v>1.959999999999999</v>
      </c>
      <c r="R96" s="749" t="n">
        <v>228.0173478699999</v>
      </c>
      <c r="S96" s="740" t="inlineStr">
        <is>
          <t>13M 0S</t>
        </is>
      </c>
      <c r="T96" s="750" t="n"/>
      <c r="U96" s="751" t="n"/>
      <c r="V96" s="752" t="n"/>
      <c r="W96" s="753" t="n"/>
      <c r="X96" s="754" t="n"/>
      <c r="Y96" s="750" t="n"/>
      <c r="Z96" s="751" t="n"/>
      <c r="AA96" s="752" t="n"/>
      <c r="AB96" s="753" t="n"/>
      <c r="AC96" s="754" t="n"/>
      <c r="AD96" s="740" t="inlineStr">
        <is>
          <t>No</t>
        </is>
      </c>
      <c r="AE96" s="740" t="inlineStr">
        <is>
          <t>channel</t>
        </is>
      </c>
      <c r="AF96" s="755" t="n"/>
      <c r="AG96" s="755" t="n"/>
      <c r="AH96" s="755" t="n"/>
      <c r="AI96" s="740" t="inlineStr">
        <is>
          <t>Market</t>
        </is>
      </c>
      <c r="AJ96" s="755" t="n"/>
      <c r="AK96" s="755" t="n"/>
      <c r="AL96" s="755" t="n"/>
      <c r="AM96" s="755" t="n"/>
      <c r="AN96" s="755" t="n"/>
      <c r="AO96" s="755" t="n"/>
      <c r="AP96" s="740" t="inlineStr">
        <is>
          <t>Pullback</t>
        </is>
      </c>
      <c r="AQ96" s="740" t="inlineStr">
        <is>
          <t>5MIN</t>
        </is>
      </c>
      <c r="AR96" s="740" t="inlineStr">
        <is>
          <t>No</t>
        </is>
      </c>
      <c r="AS96" s="755" t="n"/>
      <c r="AT96" s="755" t="n"/>
      <c r="AU96" s="755" t="n"/>
      <c r="AV96" s="755" t="n"/>
      <c r="AW96" s="740" t="inlineStr">
        <is>
          <t>trade</t>
        </is>
      </c>
      <c r="AX96" s="756" t="inlineStr">
        <is>
          <t>sig:f0c40b301d9c37c3b185b7da</t>
        </is>
      </c>
    </row>
    <row r="97" ht="15" customHeight="1">
      <c r="A97" s="41" t="n"/>
      <c r="B97" s="770" t="n">
        <v>45596</v>
      </c>
      <c r="C97" s="771" t="n">
        <v>45596</v>
      </c>
      <c r="D97" s="12" t="inlineStr">
        <is>
          <t>PEPPERSTONE LIVE</t>
        </is>
      </c>
      <c r="E97" s="12" t="inlineStr">
        <is>
          <t>CASHFLOW</t>
        </is>
      </c>
      <c r="F97" s="12" t="inlineStr">
        <is>
          <t>WITHDRAWAL</t>
        </is>
      </c>
      <c r="G97" s="262" t="n"/>
      <c r="H97" s="262" t="n"/>
      <c r="I97" s="262" t="n"/>
      <c r="J97" s="266" t="n"/>
      <c r="K97" s="46" t="n"/>
      <c r="L97" s="266" t="n"/>
      <c r="M97" s="46" t="n"/>
      <c r="N97" s="779" t="n"/>
      <c r="O97" s="773" t="n"/>
      <c r="P97" s="3" t="n"/>
      <c r="Q97" s="49" t="n"/>
      <c r="R97" s="54" t="n">
        <v>0</v>
      </c>
      <c r="S97" s="12" t="n"/>
      <c r="T97" s="774" t="n"/>
      <c r="U97" s="6" t="n"/>
      <c r="V97" s="264" t="n"/>
      <c r="W97" s="9" t="n"/>
      <c r="X97" s="46" t="n"/>
      <c r="Y97" s="774" t="n"/>
      <c r="Z97" s="6" t="n"/>
      <c r="AA97" s="264" t="n"/>
      <c r="AB97" s="9" t="n"/>
      <c r="AC97" s="46" t="n"/>
      <c r="AD97" s="12" t="inlineStr">
        <is>
          <t>No</t>
        </is>
      </c>
      <c r="AE97" s="45" t="n"/>
      <c r="AF97" s="45" t="n"/>
      <c r="AG97" s="45" t="n"/>
      <c r="AH97" s="45" t="n"/>
      <c r="AI97" s="45" t="n"/>
      <c r="AJ97" s="45" t="n"/>
      <c r="AK97" s="45" t="n"/>
      <c r="AL97" s="45" t="n"/>
      <c r="AM97" s="45" t="n"/>
      <c r="AN97" s="45" t="n"/>
      <c r="AO97" s="45" t="n"/>
      <c r="AP97" s="45" t="n"/>
      <c r="AQ97" s="45" t="n"/>
      <c r="AR97" s="45" t="n"/>
      <c r="AS97" s="56" t="inlineStr">
        <is>
          <t>Withdrawal -1481.3 AUD. Source: screenshot_ocr. Imported from account_cashflows.xlsx row 94.</t>
        </is>
      </c>
      <c r="AT97" s="45" t="n"/>
      <c r="AU97" s="12" t="n">
        <v>0</v>
      </c>
      <c r="AV97" s="12" t="inlineStr">
        <is>
          <t>AUD</t>
        </is>
      </c>
      <c r="AW97" s="12" t="inlineStr">
        <is>
          <t>cashflow</t>
        </is>
      </c>
      <c r="AX97" s="57" t="inlineStr">
        <is>
          <t>cashflow:PEPPERSTONE LIVE:2024-10-31T00:00:00:15</t>
        </is>
      </c>
    </row>
    <row r="98" ht="15" customHeight="1">
      <c r="A98" s="41" t="n"/>
      <c r="B98" s="770" t="n">
        <v>45596</v>
      </c>
      <c r="C98" s="771" t="n">
        <v>45596</v>
      </c>
      <c r="D98" s="12" t="inlineStr">
        <is>
          <t>OANDA LIVE</t>
        </is>
      </c>
      <c r="E98" s="12" t="inlineStr">
        <is>
          <t>CASHFLOW</t>
        </is>
      </c>
      <c r="F98" s="12" t="inlineStr">
        <is>
          <t>DEPOSIT</t>
        </is>
      </c>
      <c r="G98" s="262" t="n"/>
      <c r="H98" s="262" t="n"/>
      <c r="I98" s="262" t="n"/>
      <c r="J98" s="266" t="n"/>
      <c r="K98" s="46" t="n"/>
      <c r="L98" s="263" t="n"/>
      <c r="M98" s="36" t="n"/>
      <c r="N98" s="779" t="n"/>
      <c r="O98" s="773" t="n"/>
      <c r="P98" s="3" t="n"/>
      <c r="Q98" s="49" t="n"/>
      <c r="R98" s="54" t="n">
        <v>1481.31</v>
      </c>
      <c r="S98" s="12" t="n"/>
      <c r="T98" s="774" t="n"/>
      <c r="U98" s="6" t="n"/>
      <c r="V98" s="264" t="n"/>
      <c r="W98" s="9" t="n"/>
      <c r="X98" s="46" t="n"/>
      <c r="Y98" s="774" t="n"/>
      <c r="Z98" s="6" t="n"/>
      <c r="AA98" s="264" t="n"/>
      <c r="AB98" s="9" t="n"/>
      <c r="AC98" s="46" t="n"/>
      <c r="AD98" s="12" t="inlineStr">
        <is>
          <t>No</t>
        </is>
      </c>
      <c r="AE98" s="45" t="n"/>
      <c r="AF98" s="45" t="n"/>
      <c r="AG98" s="45" t="n"/>
      <c r="AH98" s="45" t="n"/>
      <c r="AI98" s="45" t="n"/>
      <c r="AJ98" s="45" t="n"/>
      <c r="AK98" s="45" t="n"/>
      <c r="AL98" s="45" t="n"/>
      <c r="AM98" s="45" t="n"/>
      <c r="AN98" s="45" t="n"/>
      <c r="AO98" s="45" t="n"/>
      <c r="AP98" s="45" t="n"/>
      <c r="AQ98" s="45" t="n"/>
      <c r="AR98" s="45" t="n"/>
      <c r="AS98" s="56" t="inlineStr">
        <is>
          <t>Deposit 1481.3 AUD. Source: screenshot_ocr. Imported from account_cashflows.xlsx row 13.</t>
        </is>
      </c>
      <c r="AT98" s="45" t="n"/>
      <c r="AU98" s="12" t="n">
        <v>1481.31</v>
      </c>
      <c r="AV98" s="12" t="inlineStr">
        <is>
          <t>AUD</t>
        </is>
      </c>
      <c r="AW98" s="12" t="inlineStr">
        <is>
          <t>cashflow</t>
        </is>
      </c>
      <c r="AX98" s="57" t="inlineStr">
        <is>
          <t>cashflow:OANDA LIVE:2024-10-31T00:00:00:3</t>
        </is>
      </c>
    </row>
    <row r="99" ht="15" customHeight="1">
      <c r="A99" s="778" t="n"/>
      <c r="B99" s="738" t="n">
        <v>45594.98210648148</v>
      </c>
      <c r="C99" s="739" t="n">
        <v>45595.07988425926</v>
      </c>
      <c r="D99" s="740" t="inlineStr">
        <is>
          <t>OANDA DEMO</t>
        </is>
      </c>
      <c r="E99" s="740" t="inlineStr">
        <is>
          <t>USDJPY</t>
        </is>
      </c>
      <c r="F99" s="740" t="inlineStr">
        <is>
          <t>SELL</t>
        </is>
      </c>
      <c r="G99" s="775" t="n">
        <v>0.01</v>
      </c>
      <c r="H99" s="742" t="n">
        <v>153.654</v>
      </c>
      <c r="I99" s="742" t="n">
        <v>153.529</v>
      </c>
      <c r="J99" s="785" t="n"/>
      <c r="K99" s="754" t="n"/>
      <c r="L99" s="743" t="n"/>
      <c r="M99" s="744" t="n"/>
      <c r="N99" s="796" t="n"/>
      <c r="O99" s="767" t="n">
        <v>0.3461</v>
      </c>
      <c r="P99" s="776" t="n">
        <v>0.0002312853343312706</v>
      </c>
      <c r="Q99" s="786" t="n"/>
      <c r="R99" s="769" t="n">
        <v>1496.42</v>
      </c>
      <c r="S99" s="740" t="inlineStr">
        <is>
          <t>2H 20M 48S</t>
        </is>
      </c>
      <c r="T99" s="750" t="n"/>
      <c r="U99" s="751" t="n"/>
      <c r="V99" s="752" t="n"/>
      <c r="W99" s="753" t="n"/>
      <c r="X99" s="754" t="n"/>
      <c r="Y99" s="750" t="n"/>
      <c r="Z99" s="751" t="n"/>
      <c r="AA99" s="752" t="n"/>
      <c r="AB99" s="753" t="n"/>
      <c r="AC99" s="754" t="n"/>
      <c r="AD99" s="740" t="inlineStr">
        <is>
          <t>Yes</t>
        </is>
      </c>
      <c r="AE99" s="755" t="n"/>
      <c r="AF99" s="755" t="n"/>
      <c r="AG99" s="755" t="n"/>
      <c r="AH99" s="755" t="n"/>
      <c r="AI99" s="755" t="n"/>
      <c r="AJ99" s="755" t="n"/>
      <c r="AK99" s="755" t="n"/>
      <c r="AL99" s="755" t="n"/>
      <c r="AM99" s="755" t="n"/>
      <c r="AN99" s="755" t="n"/>
      <c r="AO99" s="755" t="n"/>
      <c r="AP99" s="755" t="n"/>
      <c r="AQ99" s="755" t="n"/>
      <c r="AR99" s="755" t="n"/>
      <c r="AS99" s="755" t="n"/>
      <c r="AT99" s="755" t="n"/>
      <c r="AU99" s="755" t="n"/>
      <c r="AV99" s="755" t="n"/>
      <c r="AW99" s="740" t="inlineStr">
        <is>
          <t>trade</t>
        </is>
      </c>
      <c r="AX99" s="756" t="inlineStr">
        <is>
          <t>oanda_export:demo:494:508</t>
        </is>
      </c>
    </row>
    <row r="100" ht="15" customHeight="1">
      <c r="A100" s="780" t="n"/>
      <c r="B100" s="717" t="n">
        <v>45594.98135416667</v>
      </c>
      <c r="C100" s="718" t="n">
        <v>45595.07511574074</v>
      </c>
      <c r="D100" s="719" t="inlineStr">
        <is>
          <t>OANDA DEMO</t>
        </is>
      </c>
      <c r="E100" s="719" t="inlineStr">
        <is>
          <t>USDJPY</t>
        </is>
      </c>
      <c r="F100" s="719" t="inlineStr">
        <is>
          <t>BUY</t>
        </is>
      </c>
      <c r="G100" s="735" t="n">
        <v>0.01</v>
      </c>
      <c r="H100" s="720" t="n">
        <v>153.697</v>
      </c>
      <c r="I100" s="720" t="n">
        <v>153.5</v>
      </c>
      <c r="J100" s="789" t="n"/>
      <c r="K100" s="732" t="n"/>
      <c r="L100" s="721" t="n">
        <v>155</v>
      </c>
      <c r="M100" s="722" t="n">
        <v>0.00847771914871466</v>
      </c>
      <c r="N100" s="788" t="n"/>
      <c r="O100" s="762" t="n">
        <v>-0.5693</v>
      </c>
      <c r="P100" s="763" t="n">
        <v>-0.0003805303227790144</v>
      </c>
      <c r="Q100" s="790" t="n"/>
      <c r="R100" s="764" t="n">
        <v>1496.07</v>
      </c>
      <c r="S100" s="719" t="inlineStr">
        <is>
          <t>2H 15M 1S</t>
        </is>
      </c>
      <c r="T100" s="728" t="n"/>
      <c r="U100" s="729" t="n"/>
      <c r="V100" s="730" t="n"/>
      <c r="W100" s="731" t="n"/>
      <c r="X100" s="732" t="n"/>
      <c r="Y100" s="728" t="n"/>
      <c r="Z100" s="729" t="n"/>
      <c r="AA100" s="730" t="n"/>
      <c r="AB100" s="731" t="n"/>
      <c r="AC100" s="732" t="n"/>
      <c r="AD100" s="719" t="inlineStr">
        <is>
          <t>Yes</t>
        </is>
      </c>
      <c r="AE100" s="733" t="n"/>
      <c r="AF100" s="733" t="n"/>
      <c r="AG100" s="733" t="n"/>
      <c r="AH100" s="733" t="n"/>
      <c r="AI100" s="733" t="n"/>
      <c r="AJ100" s="733" t="n"/>
      <c r="AK100" s="733" t="n"/>
      <c r="AL100" s="733" t="n"/>
      <c r="AM100" s="733" t="n"/>
      <c r="AN100" s="733" t="n"/>
      <c r="AO100" s="733" t="n"/>
      <c r="AP100" s="733" t="n"/>
      <c r="AQ100" s="733" t="n"/>
      <c r="AR100" s="733" t="n"/>
      <c r="AS100" s="733" t="n"/>
      <c r="AT100" s="733" t="n"/>
      <c r="AU100" s="733" t="n"/>
      <c r="AV100" s="733" t="n"/>
      <c r="AW100" s="719" t="inlineStr">
        <is>
          <t>trade</t>
        </is>
      </c>
      <c r="AX100" s="734" t="inlineStr">
        <is>
          <t>oanda_export:demo:490:504</t>
        </is>
      </c>
    </row>
    <row r="101" ht="15" customHeight="1">
      <c r="A101" s="778" t="n"/>
      <c r="B101" s="738" t="n">
        <v>45594.9756712963</v>
      </c>
      <c r="C101" s="739" t="n">
        <v>45594.98274305555</v>
      </c>
      <c r="D101" s="740" t="inlineStr">
        <is>
          <t>OANDA DEMO</t>
        </is>
      </c>
      <c r="E101" s="740" t="inlineStr">
        <is>
          <t>USDJPY</t>
        </is>
      </c>
      <c r="F101" s="740" t="inlineStr">
        <is>
          <t>SELL</t>
        </is>
      </c>
      <c r="G101" s="775" t="n">
        <v>0.01</v>
      </c>
      <c r="H101" s="742" t="n">
        <v>153.699</v>
      </c>
      <c r="I101" s="742" t="n">
        <v>153.648</v>
      </c>
      <c r="J101" s="785" t="n"/>
      <c r="K101" s="754" t="n"/>
      <c r="L101" s="743" t="n"/>
      <c r="M101" s="744" t="n"/>
      <c r="N101" s="796" t="n"/>
      <c r="O101" s="803" t="n">
        <v>0.0593</v>
      </c>
      <c r="P101" s="768" t="n">
        <v>3.960858965367531e-05</v>
      </c>
      <c r="Q101" s="786" t="n"/>
      <c r="R101" s="769" t="n">
        <v>1497.15</v>
      </c>
      <c r="S101" s="740" t="inlineStr">
        <is>
          <t>10M 11S</t>
        </is>
      </c>
      <c r="T101" s="750" t="n"/>
      <c r="U101" s="751" t="n"/>
      <c r="V101" s="752" t="n"/>
      <c r="W101" s="753" t="n"/>
      <c r="X101" s="754" t="n"/>
      <c r="Y101" s="750" t="n"/>
      <c r="Z101" s="751" t="n"/>
      <c r="AA101" s="752" t="n"/>
      <c r="AB101" s="753" t="n"/>
      <c r="AC101" s="754" t="n"/>
      <c r="AD101" s="740" t="inlineStr">
        <is>
          <t>Yes</t>
        </is>
      </c>
      <c r="AE101" s="755" t="n"/>
      <c r="AF101" s="755" t="n"/>
      <c r="AG101" s="755" t="n"/>
      <c r="AH101" s="755" t="n"/>
      <c r="AI101" s="755" t="n"/>
      <c r="AJ101" s="755" t="n"/>
      <c r="AK101" s="755" t="n"/>
      <c r="AL101" s="755" t="n"/>
      <c r="AM101" s="755" t="n"/>
      <c r="AN101" s="755" t="n"/>
      <c r="AO101" s="755" t="n"/>
      <c r="AP101" s="755" t="n"/>
      <c r="AQ101" s="755" t="n"/>
      <c r="AR101" s="755" t="n"/>
      <c r="AS101" s="755" t="n"/>
      <c r="AT101" s="755" t="n"/>
      <c r="AU101" s="755" t="n"/>
      <c r="AV101" s="755" t="n"/>
      <c r="AW101" s="740" t="inlineStr">
        <is>
          <t>trade</t>
        </is>
      </c>
      <c r="AX101" s="756" t="inlineStr">
        <is>
          <t>oanda_export:demo:488:496</t>
        </is>
      </c>
    </row>
    <row r="102" ht="15" customHeight="1">
      <c r="A102" s="778" t="n"/>
      <c r="B102" s="738" t="n">
        <v>45594.97472222222</v>
      </c>
      <c r="C102" s="739" t="n">
        <v>45594.98159722222</v>
      </c>
      <c r="D102" s="740" t="inlineStr">
        <is>
          <t>OANDA DEMO</t>
        </is>
      </c>
      <c r="E102" s="740" t="inlineStr">
        <is>
          <t>USDJPY</t>
        </is>
      </c>
      <c r="F102" s="740" t="inlineStr">
        <is>
          <t>BUY</t>
        </is>
      </c>
      <c r="G102" s="775" t="n">
        <v>0.01</v>
      </c>
      <c r="H102" s="742" t="n">
        <v>153.722</v>
      </c>
      <c r="I102" s="742" t="n">
        <v>153.7</v>
      </c>
      <c r="J102" s="785" t="n"/>
      <c r="K102" s="754" t="n"/>
      <c r="L102" s="743" t="n"/>
      <c r="M102" s="744" t="n"/>
      <c r="N102" s="796" t="n"/>
      <c r="O102" s="803" t="n">
        <v>0.0296</v>
      </c>
      <c r="P102" s="768" t="n">
        <v>1.977169041273404e-05</v>
      </c>
      <c r="Q102" s="786" t="n"/>
      <c r="R102" s="769" t="n">
        <v>1497.09</v>
      </c>
      <c r="S102" s="740" t="inlineStr">
        <is>
          <t>9M 54S</t>
        </is>
      </c>
      <c r="T102" s="750" t="n"/>
      <c r="U102" s="751" t="n"/>
      <c r="V102" s="752" t="n"/>
      <c r="W102" s="753" t="n"/>
      <c r="X102" s="754" t="n"/>
      <c r="Y102" s="750" t="n"/>
      <c r="Z102" s="751" t="n"/>
      <c r="AA102" s="752" t="n"/>
      <c r="AB102" s="753" t="n"/>
      <c r="AC102" s="754" t="n"/>
      <c r="AD102" s="740" t="inlineStr">
        <is>
          <t>Yes</t>
        </is>
      </c>
      <c r="AE102" s="755" t="n"/>
      <c r="AF102" s="755" t="n"/>
      <c r="AG102" s="755" t="n"/>
      <c r="AH102" s="755" t="n"/>
      <c r="AI102" s="755" t="n"/>
      <c r="AJ102" s="755" t="n"/>
      <c r="AK102" s="755" t="n"/>
      <c r="AL102" s="755" t="n"/>
      <c r="AM102" s="755" t="n"/>
      <c r="AN102" s="755" t="n"/>
      <c r="AO102" s="755" t="n"/>
      <c r="AP102" s="755" t="n"/>
      <c r="AQ102" s="755" t="n"/>
      <c r="AR102" s="755" t="n"/>
      <c r="AS102" s="755" t="n"/>
      <c r="AT102" s="755" t="n"/>
      <c r="AU102" s="755" t="n"/>
      <c r="AV102" s="755" t="n"/>
      <c r="AW102" s="740" t="inlineStr">
        <is>
          <t>trade</t>
        </is>
      </c>
      <c r="AX102" s="756" t="inlineStr">
        <is>
          <t>oanda_export:demo:486:492</t>
        </is>
      </c>
    </row>
    <row r="103" ht="15" customHeight="1">
      <c r="A103" s="780" t="n"/>
      <c r="B103" s="717" t="n">
        <v>45594.96839120371</v>
      </c>
      <c r="C103" s="718" t="n">
        <v>45594.97209490741</v>
      </c>
      <c r="D103" s="719" t="inlineStr">
        <is>
          <t>OANDA DEMO</t>
        </is>
      </c>
      <c r="E103" s="719" t="inlineStr">
        <is>
          <t>USDJPY</t>
        </is>
      </c>
      <c r="F103" s="719" t="inlineStr">
        <is>
          <t>BUY</t>
        </is>
      </c>
      <c r="G103" s="735" t="n">
        <v>0.01</v>
      </c>
      <c r="H103" s="720" t="n">
        <v>153.782</v>
      </c>
      <c r="I103" s="720" t="n">
        <v>153.743</v>
      </c>
      <c r="J103" s="789" t="n"/>
      <c r="K103" s="732" t="n"/>
      <c r="L103" s="789" t="n"/>
      <c r="M103" s="732" t="n"/>
      <c r="N103" s="788" t="n"/>
      <c r="O103" s="762" t="n">
        <v>-0.3887</v>
      </c>
      <c r="P103" s="763" t="n">
        <v>-0.0002596023482424914</v>
      </c>
      <c r="Q103" s="790" t="n"/>
      <c r="R103" s="764" t="n">
        <v>1497.29</v>
      </c>
      <c r="S103" s="719" t="inlineStr">
        <is>
          <t>5M 20S</t>
        </is>
      </c>
      <c r="T103" s="728" t="n"/>
      <c r="U103" s="729" t="n"/>
      <c r="V103" s="730" t="n"/>
      <c r="W103" s="731" t="n"/>
      <c r="X103" s="732" t="n"/>
      <c r="Y103" s="728" t="n"/>
      <c r="Z103" s="729" t="n"/>
      <c r="AA103" s="730" t="n"/>
      <c r="AB103" s="731" t="n"/>
      <c r="AC103" s="732" t="n"/>
      <c r="AD103" s="719" t="inlineStr">
        <is>
          <t>Yes</t>
        </is>
      </c>
      <c r="AE103" s="733" t="n"/>
      <c r="AF103" s="733" t="n"/>
      <c r="AG103" s="733" t="n"/>
      <c r="AH103" s="733" t="n"/>
      <c r="AI103" s="733" t="n"/>
      <c r="AJ103" s="733" t="n"/>
      <c r="AK103" s="733" t="n"/>
      <c r="AL103" s="733" t="n"/>
      <c r="AM103" s="733" t="n"/>
      <c r="AN103" s="733" t="n"/>
      <c r="AO103" s="733" t="n"/>
      <c r="AP103" s="733" t="n"/>
      <c r="AQ103" s="733" t="n"/>
      <c r="AR103" s="733" t="n"/>
      <c r="AS103" s="733" t="n"/>
      <c r="AT103" s="733" t="n"/>
      <c r="AU103" s="733" t="n"/>
      <c r="AV103" s="733" t="n"/>
      <c r="AW103" s="719" t="inlineStr">
        <is>
          <t>trade</t>
        </is>
      </c>
      <c r="AX103" s="734" t="inlineStr">
        <is>
          <t>oanda_export:demo:482:484</t>
        </is>
      </c>
    </row>
    <row r="104" ht="15" customHeight="1">
      <c r="A104" s="778" t="n"/>
      <c r="B104" s="738" t="n">
        <v>45594.55972222222</v>
      </c>
      <c r="C104" s="739" t="n">
        <v>45594.56996527778</v>
      </c>
      <c r="D104" s="740" t="inlineStr">
        <is>
          <t>OANDA DEMO</t>
        </is>
      </c>
      <c r="E104" s="740" t="inlineStr">
        <is>
          <t>USDJPY</t>
        </is>
      </c>
      <c r="F104" s="740" t="inlineStr">
        <is>
          <t>BUY</t>
        </is>
      </c>
      <c r="G104" s="775" t="n">
        <v>0.01</v>
      </c>
      <c r="H104" s="742" t="n">
        <v>153.049</v>
      </c>
      <c r="I104" s="742" t="n">
        <v>153.132</v>
      </c>
      <c r="J104" s="785" t="n"/>
      <c r="K104" s="754" t="n"/>
      <c r="L104" s="743" t="n">
        <v>151</v>
      </c>
      <c r="M104" s="744" t="n">
        <v>0.01338786924449037</v>
      </c>
      <c r="N104" s="796" t="n"/>
      <c r="O104" s="767" t="n">
        <v>0.8214</v>
      </c>
      <c r="P104" s="776" t="n">
        <v>0.0005484482666524224</v>
      </c>
      <c r="Q104" s="786" t="n"/>
      <c r="R104" s="769" t="n">
        <v>1497.68</v>
      </c>
      <c r="S104" s="740" t="inlineStr">
        <is>
          <t>14M 45S</t>
        </is>
      </c>
      <c r="T104" s="750" t="n"/>
      <c r="U104" s="751" t="n"/>
      <c r="V104" s="752" t="n"/>
      <c r="W104" s="753" t="n"/>
      <c r="X104" s="754" t="n"/>
      <c r="Y104" s="750" t="n"/>
      <c r="Z104" s="751" t="n"/>
      <c r="AA104" s="752" t="n"/>
      <c r="AB104" s="753" t="n"/>
      <c r="AC104" s="754" t="n"/>
      <c r="AD104" s="740" t="inlineStr">
        <is>
          <t>Yes</t>
        </is>
      </c>
      <c r="AE104" s="755" t="n"/>
      <c r="AF104" s="755" t="n"/>
      <c r="AG104" s="755" t="n"/>
      <c r="AH104" s="755" t="n"/>
      <c r="AI104" s="755" t="n"/>
      <c r="AJ104" s="755" t="n"/>
      <c r="AK104" s="755" t="n"/>
      <c r="AL104" s="755" t="n"/>
      <c r="AM104" s="755" t="n"/>
      <c r="AN104" s="755" t="n"/>
      <c r="AO104" s="755" t="n"/>
      <c r="AP104" s="755" t="n"/>
      <c r="AQ104" s="755" t="n"/>
      <c r="AR104" s="755" t="n"/>
      <c r="AS104" s="755" t="n"/>
      <c r="AT104" s="755" t="n"/>
      <c r="AU104" s="755" t="n"/>
      <c r="AV104" s="755" t="n"/>
      <c r="AW104" s="740" t="inlineStr">
        <is>
          <t>trade</t>
        </is>
      </c>
      <c r="AX104" s="756" t="inlineStr">
        <is>
          <t>oanda_export:demo:478:480</t>
        </is>
      </c>
    </row>
    <row r="105" ht="15" customHeight="1">
      <c r="A105" s="778" t="n"/>
      <c r="B105" s="738" t="n">
        <v>45594.53648148148</v>
      </c>
      <c r="C105" s="739" t="n">
        <v>45594.54946759259</v>
      </c>
      <c r="D105" s="740" t="inlineStr">
        <is>
          <t>OANDA DEMO</t>
        </is>
      </c>
      <c r="E105" s="740" t="inlineStr">
        <is>
          <t>USDJPY</t>
        </is>
      </c>
      <c r="F105" s="740" t="inlineStr">
        <is>
          <t>BUY</t>
        </is>
      </c>
      <c r="G105" s="775" t="n">
        <v>0.01</v>
      </c>
      <c r="H105" s="742" t="n">
        <v>152.935</v>
      </c>
      <c r="I105" s="742" t="n">
        <v>152.958</v>
      </c>
      <c r="J105" s="785" t="n"/>
      <c r="K105" s="754" t="n"/>
      <c r="L105" s="743" t="n">
        <v>158</v>
      </c>
      <c r="M105" s="744" t="n">
        <v>0.03311864517605517</v>
      </c>
      <c r="N105" s="796" t="n"/>
      <c r="O105" s="767" t="n">
        <v>0.2274</v>
      </c>
      <c r="P105" s="776" t="n">
        <v>0.0001519180150448272</v>
      </c>
      <c r="Q105" s="786" t="n"/>
      <c r="R105" s="769" t="n">
        <v>1496.86</v>
      </c>
      <c r="S105" s="740" t="inlineStr">
        <is>
          <t>18M 42S</t>
        </is>
      </c>
      <c r="T105" s="750" t="n"/>
      <c r="U105" s="751" t="n"/>
      <c r="V105" s="752" t="n"/>
      <c r="W105" s="753" t="n"/>
      <c r="X105" s="754" t="n"/>
      <c r="Y105" s="750" t="n"/>
      <c r="Z105" s="751" t="n"/>
      <c r="AA105" s="752" t="n"/>
      <c r="AB105" s="753" t="n"/>
      <c r="AC105" s="754" t="n"/>
      <c r="AD105" s="740" t="inlineStr">
        <is>
          <t>Yes</t>
        </is>
      </c>
      <c r="AE105" s="755" t="n"/>
      <c r="AF105" s="755" t="n"/>
      <c r="AG105" s="755" t="n"/>
      <c r="AH105" s="755" t="n"/>
      <c r="AI105" s="755" t="n"/>
      <c r="AJ105" s="755" t="n"/>
      <c r="AK105" s="755" t="n"/>
      <c r="AL105" s="755" t="n"/>
      <c r="AM105" s="755" t="n"/>
      <c r="AN105" s="755" t="n"/>
      <c r="AO105" s="755" t="n"/>
      <c r="AP105" s="755" t="n"/>
      <c r="AQ105" s="755" t="n"/>
      <c r="AR105" s="755" t="n"/>
      <c r="AS105" s="755" t="n"/>
      <c r="AT105" s="755" t="n"/>
      <c r="AU105" s="755" t="n"/>
      <c r="AV105" s="755" t="n"/>
      <c r="AW105" s="740" t="inlineStr">
        <is>
          <t>trade</t>
        </is>
      </c>
      <c r="AX105" s="756" t="inlineStr">
        <is>
          <t>oanda_export:demo:474:476</t>
        </is>
      </c>
    </row>
    <row r="106" ht="15" customHeight="1">
      <c r="A106" s="780" t="n"/>
      <c r="B106" s="717" t="n">
        <v>45594.5275</v>
      </c>
      <c r="C106" s="718" t="n">
        <v>45594.5275925926</v>
      </c>
      <c r="D106" s="719" t="inlineStr">
        <is>
          <t>OANDA DEMO</t>
        </is>
      </c>
      <c r="E106" s="719" t="inlineStr">
        <is>
          <t>USDJPY</t>
        </is>
      </c>
      <c r="F106" s="719" t="inlineStr">
        <is>
          <t>BUY</t>
        </is>
      </c>
      <c r="G106" s="757" t="n">
        <v>0.00524</v>
      </c>
      <c r="H106" s="720" t="n">
        <v>152.939</v>
      </c>
      <c r="I106" s="720" t="n">
        <v>152.932</v>
      </c>
      <c r="J106" s="789" t="n"/>
      <c r="K106" s="732" t="n"/>
      <c r="L106" s="789" t="n"/>
      <c r="M106" s="732" t="n"/>
      <c r="N106" s="788" t="n"/>
      <c r="O106" s="804" t="n">
        <v>-0.0366</v>
      </c>
      <c r="P106" s="800" t="n">
        <v>-2.445494210325865e-05</v>
      </c>
      <c r="Q106" s="790" t="n"/>
      <c r="R106" s="764" t="n">
        <v>1496.63</v>
      </c>
      <c r="S106" s="719" t="inlineStr">
        <is>
          <t>8S</t>
        </is>
      </c>
      <c r="T106" s="728" t="n"/>
      <c r="U106" s="729" t="n"/>
      <c r="V106" s="730" t="n"/>
      <c r="W106" s="731" t="n"/>
      <c r="X106" s="732" t="n"/>
      <c r="Y106" s="728" t="n"/>
      <c r="Z106" s="729" t="n"/>
      <c r="AA106" s="730" t="n"/>
      <c r="AB106" s="731" t="n"/>
      <c r="AC106" s="732" t="n"/>
      <c r="AD106" s="719" t="inlineStr">
        <is>
          <t>Yes</t>
        </is>
      </c>
      <c r="AE106" s="733" t="n"/>
      <c r="AF106" s="733" t="n"/>
      <c r="AG106" s="733" t="n"/>
      <c r="AH106" s="733" t="n"/>
      <c r="AI106" s="733" t="n"/>
      <c r="AJ106" s="733" t="n"/>
      <c r="AK106" s="733" t="n"/>
      <c r="AL106" s="733" t="n"/>
      <c r="AM106" s="733" t="n"/>
      <c r="AN106" s="733" t="n"/>
      <c r="AO106" s="733" t="n"/>
      <c r="AP106" s="733" t="n"/>
      <c r="AQ106" s="733" t="n"/>
      <c r="AR106" s="733" t="n"/>
      <c r="AS106" s="733" t="n"/>
      <c r="AT106" s="733" t="n"/>
      <c r="AU106" s="733" t="n"/>
      <c r="AV106" s="733" t="n"/>
      <c r="AW106" s="719" t="inlineStr">
        <is>
          <t>trade</t>
        </is>
      </c>
      <c r="AX106" s="734" t="inlineStr">
        <is>
          <t>oanda_export:demo:468:471</t>
        </is>
      </c>
    </row>
    <row r="107" ht="15" customHeight="1">
      <c r="A107" s="780" t="n"/>
      <c r="B107" s="717" t="n">
        <v>45594.52657407407</v>
      </c>
      <c r="C107" s="718" t="n">
        <v>45594.52722222222</v>
      </c>
      <c r="D107" s="719" t="inlineStr">
        <is>
          <t>OANDA DEMO</t>
        </is>
      </c>
      <c r="E107" s="719" t="inlineStr">
        <is>
          <t>USDJPY</t>
        </is>
      </c>
      <c r="F107" s="719" t="inlineStr">
        <is>
          <t>BUY</t>
        </is>
      </c>
      <c r="G107" s="735" t="n">
        <v>0.01</v>
      </c>
      <c r="H107" s="720" t="n">
        <v>152.969</v>
      </c>
      <c r="I107" s="720" t="n">
        <v>152.929</v>
      </c>
      <c r="J107" s="789" t="n"/>
      <c r="K107" s="732" t="n"/>
      <c r="L107" s="721" t="n">
        <v>153</v>
      </c>
      <c r="M107" s="760" t="n">
        <v>0.000202655439991148</v>
      </c>
      <c r="N107" s="788" t="n"/>
      <c r="O107" s="762" t="n">
        <v>-0.3996</v>
      </c>
      <c r="P107" s="763" t="n">
        <v>-0.0002669927238469402</v>
      </c>
      <c r="Q107" s="790" t="n"/>
      <c r="R107" s="764" t="n">
        <v>1496.67</v>
      </c>
      <c r="S107" s="719" t="inlineStr">
        <is>
          <t>56S</t>
        </is>
      </c>
      <c r="T107" s="728" t="n"/>
      <c r="U107" s="729" t="n"/>
      <c r="V107" s="730" t="n"/>
      <c r="W107" s="731" t="n"/>
      <c r="X107" s="732" t="n"/>
      <c r="Y107" s="728" t="n"/>
      <c r="Z107" s="729" t="n"/>
      <c r="AA107" s="730" t="n"/>
      <c r="AB107" s="731" t="n"/>
      <c r="AC107" s="732" t="n"/>
      <c r="AD107" s="719" t="inlineStr">
        <is>
          <t>Yes</t>
        </is>
      </c>
      <c r="AE107" s="733" t="n"/>
      <c r="AF107" s="733" t="n"/>
      <c r="AG107" s="733" t="n"/>
      <c r="AH107" s="733" t="n"/>
      <c r="AI107" s="733" t="n"/>
      <c r="AJ107" s="733" t="n"/>
      <c r="AK107" s="733" t="n"/>
      <c r="AL107" s="733" t="n"/>
      <c r="AM107" s="733" t="n"/>
      <c r="AN107" s="733" t="n"/>
      <c r="AO107" s="733" t="n"/>
      <c r="AP107" s="733" t="n"/>
      <c r="AQ107" s="733" t="n"/>
      <c r="AR107" s="733" t="n"/>
      <c r="AS107" s="733" t="n"/>
      <c r="AT107" s="733" t="n"/>
      <c r="AU107" s="733" t="n"/>
      <c r="AV107" s="733" t="n"/>
      <c r="AW107" s="719" t="inlineStr">
        <is>
          <t>trade</t>
        </is>
      </c>
      <c r="AX107" s="734" t="inlineStr">
        <is>
          <t>oanda_export:demo:462:465</t>
        </is>
      </c>
    </row>
    <row r="108" ht="15" customHeight="1">
      <c r="A108" s="780" t="n"/>
      <c r="B108" s="717" t="n">
        <v>45594.52613425926</v>
      </c>
      <c r="C108" s="718" t="n">
        <v>45594.5262037037</v>
      </c>
      <c r="D108" s="719" t="inlineStr">
        <is>
          <t>OANDA DEMO</t>
        </is>
      </c>
      <c r="E108" s="719" t="inlineStr">
        <is>
          <t>USDJPY</t>
        </is>
      </c>
      <c r="F108" s="719" t="inlineStr">
        <is>
          <t>BUY</t>
        </is>
      </c>
      <c r="G108" s="735" t="n">
        <v>0.01</v>
      </c>
      <c r="H108" s="720" t="n">
        <v>152.932</v>
      </c>
      <c r="I108" s="720" t="n">
        <v>152.921</v>
      </c>
      <c r="J108" s="789" t="n"/>
      <c r="K108" s="732" t="n"/>
      <c r="L108" s="789" t="n"/>
      <c r="M108" s="732" t="n"/>
      <c r="N108" s="788" t="n"/>
      <c r="O108" s="762" t="n">
        <v>-0.1099</v>
      </c>
      <c r="P108" s="800" t="n">
        <v>-7.341006098579225e-05</v>
      </c>
      <c r="Q108" s="790" t="n"/>
      <c r="R108" s="764" t="n">
        <v>1497.07</v>
      </c>
      <c r="S108" s="719" t="inlineStr">
        <is>
          <t>6S</t>
        </is>
      </c>
      <c r="T108" s="728" t="n"/>
      <c r="U108" s="729" t="n"/>
      <c r="V108" s="730" t="n"/>
      <c r="W108" s="731" t="n"/>
      <c r="X108" s="732" t="n"/>
      <c r="Y108" s="728" t="n"/>
      <c r="Z108" s="729" t="n"/>
      <c r="AA108" s="730" t="n"/>
      <c r="AB108" s="731" t="n"/>
      <c r="AC108" s="732" t="n"/>
      <c r="AD108" s="719" t="inlineStr">
        <is>
          <t>Yes</t>
        </is>
      </c>
      <c r="AE108" s="733" t="n"/>
      <c r="AF108" s="733" t="n"/>
      <c r="AG108" s="733" t="n"/>
      <c r="AH108" s="733" t="n"/>
      <c r="AI108" s="733" t="n"/>
      <c r="AJ108" s="733" t="n"/>
      <c r="AK108" s="733" t="n"/>
      <c r="AL108" s="733" t="n"/>
      <c r="AM108" s="733" t="n"/>
      <c r="AN108" s="733" t="n"/>
      <c r="AO108" s="733" t="n"/>
      <c r="AP108" s="733" t="n"/>
      <c r="AQ108" s="733" t="n"/>
      <c r="AR108" s="733" t="n"/>
      <c r="AS108" s="733" t="n"/>
      <c r="AT108" s="733" t="n"/>
      <c r="AU108" s="733" t="n"/>
      <c r="AV108" s="733" t="n"/>
      <c r="AW108" s="719" t="inlineStr">
        <is>
          <t>trade</t>
        </is>
      </c>
      <c r="AX108" s="734" t="inlineStr">
        <is>
          <t>oanda_export:demo:458:460</t>
        </is>
      </c>
    </row>
    <row r="109" ht="15" customHeight="1">
      <c r="A109" s="780" t="n"/>
      <c r="B109" s="717" t="n">
        <v>45594.52550925926</v>
      </c>
      <c r="C109" s="718" t="n">
        <v>45594.52598379629</v>
      </c>
      <c r="D109" s="719" t="inlineStr">
        <is>
          <t>OANDA DEMO</t>
        </is>
      </c>
      <c r="E109" s="719" t="inlineStr">
        <is>
          <t>USDJPY</t>
        </is>
      </c>
      <c r="F109" s="719" t="inlineStr">
        <is>
          <t>BUY</t>
        </is>
      </c>
      <c r="G109" s="735" t="n">
        <v>0.01</v>
      </c>
      <c r="H109" s="720" t="n">
        <v>152.907</v>
      </c>
      <c r="I109" s="720" t="n">
        <v>152.905</v>
      </c>
      <c r="J109" s="789" t="n"/>
      <c r="K109" s="732" t="n"/>
      <c r="L109" s="721" t="n">
        <v>123</v>
      </c>
      <c r="M109" s="722" t="n">
        <v>0.1955894759559733</v>
      </c>
      <c r="N109" s="788" t="n"/>
      <c r="O109" s="804" t="n">
        <v>-0.02</v>
      </c>
      <c r="P109" s="800" t="n">
        <v>-1.335844721409583e-05</v>
      </c>
      <c r="Q109" s="790" t="n"/>
      <c r="R109" s="764" t="n">
        <v>1497.18</v>
      </c>
      <c r="S109" s="719" t="inlineStr">
        <is>
          <t>41S</t>
        </is>
      </c>
      <c r="T109" s="728" t="n"/>
      <c r="U109" s="729" t="n"/>
      <c r="V109" s="730" t="n"/>
      <c r="W109" s="731" t="n"/>
      <c r="X109" s="732" t="n"/>
      <c r="Y109" s="728" t="n"/>
      <c r="Z109" s="729" t="n"/>
      <c r="AA109" s="730" t="n"/>
      <c r="AB109" s="731" t="n"/>
      <c r="AC109" s="732" t="n"/>
      <c r="AD109" s="719" t="inlineStr">
        <is>
          <t>Yes</t>
        </is>
      </c>
      <c r="AE109" s="733" t="n"/>
      <c r="AF109" s="733" t="n"/>
      <c r="AG109" s="733" t="n"/>
      <c r="AH109" s="733" t="n"/>
      <c r="AI109" s="733" t="n"/>
      <c r="AJ109" s="733" t="n"/>
      <c r="AK109" s="733" t="n"/>
      <c r="AL109" s="733" t="n"/>
      <c r="AM109" s="733" t="n"/>
      <c r="AN109" s="733" t="n"/>
      <c r="AO109" s="733" t="n"/>
      <c r="AP109" s="733" t="n"/>
      <c r="AQ109" s="733" t="n"/>
      <c r="AR109" s="733" t="n"/>
      <c r="AS109" s="733" t="n"/>
      <c r="AT109" s="733" t="n"/>
      <c r="AU109" s="733" t="n"/>
      <c r="AV109" s="733" t="n"/>
      <c r="AW109" s="719" t="inlineStr">
        <is>
          <t>trade</t>
        </is>
      </c>
      <c r="AX109" s="734" t="inlineStr">
        <is>
          <t>oanda_export:demo:454:456</t>
        </is>
      </c>
    </row>
    <row r="110" ht="15" customHeight="1">
      <c r="A110" s="780" t="n"/>
      <c r="B110" s="717" t="n">
        <v>45594.52215277778</v>
      </c>
      <c r="C110" s="718" t="n">
        <v>45594.52274305555</v>
      </c>
      <c r="D110" s="719" t="inlineStr">
        <is>
          <t>OANDA DEMO</t>
        </is>
      </c>
      <c r="E110" s="719" t="inlineStr">
        <is>
          <t>USDJPY</t>
        </is>
      </c>
      <c r="F110" s="719" t="inlineStr">
        <is>
          <t>BUY</t>
        </is>
      </c>
      <c r="G110" s="735" t="n">
        <v>0.01</v>
      </c>
      <c r="H110" s="720" t="n">
        <v>152.92</v>
      </c>
      <c r="I110" s="720" t="n">
        <v>152.905</v>
      </c>
      <c r="J110" s="789" t="n"/>
      <c r="K110" s="732" t="n"/>
      <c r="L110" s="721" t="n">
        <v>128</v>
      </c>
      <c r="M110" s="722" t="n">
        <v>0.1629610253727438</v>
      </c>
      <c r="N110" s="788" t="n"/>
      <c r="O110" s="762" t="n">
        <v>-0.1498</v>
      </c>
      <c r="P110" s="763" t="n">
        <v>-0.0001000534330750735</v>
      </c>
      <c r="Q110" s="790" t="n"/>
      <c r="R110" s="764" t="n">
        <v>1497.2</v>
      </c>
      <c r="S110" s="719" t="inlineStr">
        <is>
          <t>51S</t>
        </is>
      </c>
      <c r="T110" s="728" t="n"/>
      <c r="U110" s="729" t="n"/>
      <c r="V110" s="730" t="n"/>
      <c r="W110" s="731" t="n"/>
      <c r="X110" s="732" t="n"/>
      <c r="Y110" s="728" t="n"/>
      <c r="Z110" s="729" t="n"/>
      <c r="AA110" s="730" t="n"/>
      <c r="AB110" s="731" t="n"/>
      <c r="AC110" s="732" t="n"/>
      <c r="AD110" s="719" t="inlineStr">
        <is>
          <t>Yes</t>
        </is>
      </c>
      <c r="AE110" s="733" t="n"/>
      <c r="AF110" s="733" t="n"/>
      <c r="AG110" s="733" t="n"/>
      <c r="AH110" s="733" t="n"/>
      <c r="AI110" s="733" t="n"/>
      <c r="AJ110" s="733" t="n"/>
      <c r="AK110" s="733" t="n"/>
      <c r="AL110" s="733" t="n"/>
      <c r="AM110" s="733" t="n"/>
      <c r="AN110" s="733" t="n"/>
      <c r="AO110" s="733" t="n"/>
      <c r="AP110" s="733" t="n"/>
      <c r="AQ110" s="733" t="n"/>
      <c r="AR110" s="733" t="n"/>
      <c r="AS110" s="733" t="n"/>
      <c r="AT110" s="733" t="n"/>
      <c r="AU110" s="733" t="n"/>
      <c r="AV110" s="733" t="n"/>
      <c r="AW110" s="719" t="inlineStr">
        <is>
          <t>trade</t>
        </is>
      </c>
      <c r="AX110" s="734" t="inlineStr">
        <is>
          <t>oanda_export:demo:448:451</t>
        </is>
      </c>
    </row>
    <row r="111" ht="15" customHeight="1">
      <c r="A111" s="716" t="n"/>
      <c r="B111" s="717" t="n">
        <v>45594.52142361111</v>
      </c>
      <c r="C111" s="718" t="n">
        <v>45594.52173611111</v>
      </c>
      <c r="D111" s="719" t="inlineStr">
        <is>
          <t>OANDA DEMO</t>
        </is>
      </c>
      <c r="E111" s="719" t="inlineStr">
        <is>
          <t>USDJPY</t>
        </is>
      </c>
      <c r="F111" s="719" t="inlineStr">
        <is>
          <t>BUY</t>
        </is>
      </c>
      <c r="G111" s="735" t="n">
        <v>0.01</v>
      </c>
      <c r="H111" s="720" t="n">
        <v>152.92</v>
      </c>
      <c r="I111" s="720" t="n">
        <v>152.915</v>
      </c>
      <c r="J111" s="721" t="n"/>
      <c r="K111" s="722" t="n"/>
      <c r="L111" s="721" t="n"/>
      <c r="M111" s="722" t="n"/>
      <c r="N111" s="761" t="n"/>
      <c r="O111" s="804" t="n">
        <v>-0.0499</v>
      </c>
      <c r="P111" s="800" t="n">
        <v>-3.332554179049654e-05</v>
      </c>
      <c r="Q111" s="726" t="n"/>
      <c r="R111" s="764" t="n">
        <v>1497.35</v>
      </c>
      <c r="S111" s="719" t="inlineStr">
        <is>
          <t>27S</t>
        </is>
      </c>
      <c r="T111" s="728" t="n"/>
      <c r="U111" s="729" t="n"/>
      <c r="V111" s="730" t="n"/>
      <c r="W111" s="731" t="n"/>
      <c r="X111" s="732" t="n"/>
      <c r="Y111" s="728" t="n"/>
      <c r="Z111" s="729" t="n"/>
      <c r="AA111" s="730" t="n"/>
      <c r="AB111" s="731" t="n"/>
      <c r="AC111" s="732" t="n"/>
      <c r="AD111" s="719" t="inlineStr">
        <is>
          <t>Yes</t>
        </is>
      </c>
      <c r="AE111" s="719" t="n"/>
      <c r="AF111" s="733" t="n"/>
      <c r="AG111" s="733" t="n"/>
      <c r="AH111" s="733" t="n"/>
      <c r="AI111" s="719" t="n"/>
      <c r="AJ111" s="733" t="n"/>
      <c r="AK111" s="733" t="n"/>
      <c r="AL111" s="733" t="n"/>
      <c r="AM111" s="719" t="n"/>
      <c r="AN111" s="733" t="n"/>
      <c r="AO111" s="719" t="n"/>
      <c r="AP111" s="719" t="n"/>
      <c r="AQ111" s="719" t="n"/>
      <c r="AR111" s="719" t="n"/>
      <c r="AS111" s="733" t="n"/>
      <c r="AT111" s="733" t="n"/>
      <c r="AU111" s="733" t="n"/>
      <c r="AV111" s="733" t="n"/>
      <c r="AW111" s="719" t="inlineStr">
        <is>
          <t>trade</t>
        </is>
      </c>
      <c r="AX111" s="734" t="inlineStr">
        <is>
          <t>oanda_export:demo:442:444</t>
        </is>
      </c>
    </row>
    <row r="112" ht="15" customHeight="1">
      <c r="A112" s="716" t="n"/>
      <c r="B112" s="717" t="n">
        <v>45594.50167824074</v>
      </c>
      <c r="C112" s="718" t="n">
        <v>45594.50203703704</v>
      </c>
      <c r="D112" s="719" t="inlineStr">
        <is>
          <t>OANDA DEMO</t>
        </is>
      </c>
      <c r="E112" s="719" t="inlineStr">
        <is>
          <t>USDJPY</t>
        </is>
      </c>
      <c r="F112" s="719" t="inlineStr">
        <is>
          <t>BUY</t>
        </is>
      </c>
      <c r="G112" s="735" t="n">
        <v>0.01</v>
      </c>
      <c r="H112" s="720" t="n">
        <v>152.934</v>
      </c>
      <c r="I112" s="720" t="n">
        <v>152.933</v>
      </c>
      <c r="J112" s="721" t="n"/>
      <c r="K112" s="722" t="n"/>
      <c r="L112" s="721" t="n"/>
      <c r="M112" s="722" t="n"/>
      <c r="N112" s="761" t="n"/>
      <c r="O112" s="804" t="n">
        <v>-0.01</v>
      </c>
      <c r="P112" s="805" t="n">
        <v>-6.678242286630159e-06</v>
      </c>
      <c r="Q112" s="726" t="n"/>
      <c r="R112" s="764" t="n">
        <v>1497.4</v>
      </c>
      <c r="S112" s="719" t="inlineStr">
        <is>
          <t>31S</t>
        </is>
      </c>
      <c r="T112" s="728" t="n"/>
      <c r="U112" s="729" t="n"/>
      <c r="V112" s="730" t="n"/>
      <c r="W112" s="731" t="n"/>
      <c r="X112" s="732" t="n"/>
      <c r="Y112" s="728" t="n"/>
      <c r="Z112" s="729" t="n"/>
      <c r="AA112" s="730" t="n"/>
      <c r="AB112" s="731" t="n"/>
      <c r="AC112" s="732" t="n"/>
      <c r="AD112" s="719" t="inlineStr">
        <is>
          <t>Yes</t>
        </is>
      </c>
      <c r="AE112" s="719" t="n"/>
      <c r="AF112" s="733" t="n"/>
      <c r="AG112" s="733" t="n"/>
      <c r="AH112" s="733" t="n"/>
      <c r="AI112" s="719" t="n"/>
      <c r="AJ112" s="733" t="n"/>
      <c r="AK112" s="733" t="n"/>
      <c r="AL112" s="733" t="n"/>
      <c r="AM112" s="733" t="n"/>
      <c r="AN112" s="733" t="n"/>
      <c r="AO112" s="719" t="n"/>
      <c r="AP112" s="719" t="n"/>
      <c r="AQ112" s="719" t="n"/>
      <c r="AR112" s="719" t="n"/>
      <c r="AS112" s="733" t="n"/>
      <c r="AT112" s="733" t="n"/>
      <c r="AU112" s="733" t="n"/>
      <c r="AV112" s="733" t="n"/>
      <c r="AW112" s="719" t="inlineStr">
        <is>
          <t>trade</t>
        </is>
      </c>
      <c r="AX112" s="734" t="inlineStr">
        <is>
          <t>oanda_export:demo:434:437</t>
        </is>
      </c>
    </row>
    <row r="113" ht="15" customHeight="1">
      <c r="A113" s="716" t="n"/>
      <c r="B113" s="717" t="n">
        <v>45594.50099537037</v>
      </c>
      <c r="C113" s="718" t="n">
        <v>45594.50125</v>
      </c>
      <c r="D113" s="719" t="inlineStr">
        <is>
          <t>OANDA DEMO</t>
        </is>
      </c>
      <c r="E113" s="719" t="inlineStr">
        <is>
          <t>USDJPY</t>
        </is>
      </c>
      <c r="F113" s="719" t="inlineStr">
        <is>
          <t>BUY</t>
        </is>
      </c>
      <c r="G113" s="735" t="n">
        <v>0.01</v>
      </c>
      <c r="H113" s="720" t="n">
        <v>152.938</v>
      </c>
      <c r="I113" s="720" t="n">
        <v>152.936</v>
      </c>
      <c r="J113" s="721" t="n"/>
      <c r="K113" s="722" t="n"/>
      <c r="L113" s="721" t="n"/>
      <c r="M113" s="722" t="n"/>
      <c r="N113" s="788" t="n"/>
      <c r="O113" s="804" t="n">
        <v>-0.02</v>
      </c>
      <c r="P113" s="800" t="n">
        <v>-1.335639537601592e-05</v>
      </c>
      <c r="Q113" s="726" t="n"/>
      <c r="R113" s="764" t="n">
        <v>1497.41</v>
      </c>
      <c r="S113" s="719" t="inlineStr">
        <is>
          <t>22S</t>
        </is>
      </c>
      <c r="T113" s="728" t="n"/>
      <c r="U113" s="729" t="n"/>
      <c r="V113" s="730" t="n"/>
      <c r="W113" s="731" t="n"/>
      <c r="X113" s="732" t="n"/>
      <c r="Y113" s="728" t="n"/>
      <c r="Z113" s="729" t="n"/>
      <c r="AA113" s="730" t="n"/>
      <c r="AB113" s="731" t="n"/>
      <c r="AC113" s="732" t="n"/>
      <c r="AD113" s="719" t="inlineStr">
        <is>
          <t>Yes</t>
        </is>
      </c>
      <c r="AE113" s="719" t="n"/>
      <c r="AF113" s="733" t="n"/>
      <c r="AG113" s="733" t="n"/>
      <c r="AH113" s="733" t="n"/>
      <c r="AI113" s="719" t="n"/>
      <c r="AJ113" s="733" t="n"/>
      <c r="AK113" s="733" t="n"/>
      <c r="AL113" s="733" t="n"/>
      <c r="AM113" s="733" t="n"/>
      <c r="AN113" s="733" t="n"/>
      <c r="AO113" s="733" t="n"/>
      <c r="AP113" s="719" t="n"/>
      <c r="AQ113" s="719" t="n"/>
      <c r="AR113" s="719" t="n"/>
      <c r="AS113" s="733" t="n"/>
      <c r="AT113" s="733" t="n"/>
      <c r="AU113" s="733" t="n"/>
      <c r="AV113" s="733" t="n"/>
      <c r="AW113" s="719" t="inlineStr">
        <is>
          <t>trade</t>
        </is>
      </c>
      <c r="AX113" s="734" t="inlineStr">
        <is>
          <t>oanda_export:demo:428:431</t>
        </is>
      </c>
    </row>
    <row r="114" ht="15" customHeight="1">
      <c r="A114" s="716" t="n"/>
      <c r="B114" s="717" t="n">
        <v>45594.50043981482</v>
      </c>
      <c r="C114" s="718" t="n">
        <v>45594.50079861111</v>
      </c>
      <c r="D114" s="719" t="inlineStr">
        <is>
          <t>OANDA DEMO</t>
        </is>
      </c>
      <c r="E114" s="719" t="inlineStr">
        <is>
          <t>USDJPY</t>
        </is>
      </c>
      <c r="F114" s="719" t="inlineStr">
        <is>
          <t>BUY</t>
        </is>
      </c>
      <c r="G114" s="735" t="n">
        <v>0.01</v>
      </c>
      <c r="H114" s="720" t="n">
        <v>152.933</v>
      </c>
      <c r="I114" s="720" t="n">
        <v>152.921</v>
      </c>
      <c r="J114" s="721" t="n"/>
      <c r="K114" s="722" t="n"/>
      <c r="L114" s="721" t="n"/>
      <c r="M114" s="722" t="n"/>
      <c r="N114" s="761" t="n"/>
      <c r="O114" s="762" t="n">
        <v>-0.1199</v>
      </c>
      <c r="P114" s="800" t="n">
        <v>-8.007052082568134e-05</v>
      </c>
      <c r="Q114" s="726" t="n"/>
      <c r="R114" s="764" t="n">
        <v>1497.43</v>
      </c>
      <c r="S114" s="719" t="inlineStr">
        <is>
          <t>31S</t>
        </is>
      </c>
      <c r="T114" s="728" t="n"/>
      <c r="U114" s="729" t="n"/>
      <c r="V114" s="730" t="n"/>
      <c r="W114" s="731" t="n"/>
      <c r="X114" s="732" t="n"/>
      <c r="Y114" s="728" t="n"/>
      <c r="Z114" s="729" t="n"/>
      <c r="AA114" s="730" t="n"/>
      <c r="AB114" s="731" t="n"/>
      <c r="AC114" s="732" t="n"/>
      <c r="AD114" s="719" t="inlineStr">
        <is>
          <t>Yes</t>
        </is>
      </c>
      <c r="AE114" s="719" t="n"/>
      <c r="AF114" s="733" t="n"/>
      <c r="AG114" s="733" t="n"/>
      <c r="AH114" s="733" t="n"/>
      <c r="AI114" s="719" t="n"/>
      <c r="AJ114" s="733" t="n"/>
      <c r="AK114" s="733" t="n"/>
      <c r="AL114" s="733" t="n"/>
      <c r="AM114" s="733" t="n"/>
      <c r="AN114" s="733" t="n"/>
      <c r="AO114" s="733" t="n"/>
      <c r="AP114" s="719" t="n"/>
      <c r="AQ114" s="719" t="n"/>
      <c r="AR114" s="719" t="n"/>
      <c r="AS114" s="733" t="n"/>
      <c r="AT114" s="733" t="n"/>
      <c r="AU114" s="733" t="n"/>
      <c r="AV114" s="733" t="n"/>
      <c r="AW114" s="719" t="inlineStr">
        <is>
          <t>trade</t>
        </is>
      </c>
      <c r="AX114" s="734" t="inlineStr">
        <is>
          <t>oanda_export:demo:424:426</t>
        </is>
      </c>
    </row>
    <row r="115" ht="15" customHeight="1">
      <c r="A115" s="716" t="n"/>
      <c r="B115" s="717" t="n">
        <v>45594.46278935186</v>
      </c>
      <c r="C115" s="718" t="n">
        <v>45594.46395833333</v>
      </c>
      <c r="D115" s="719" t="inlineStr">
        <is>
          <t>OANDA DEMO</t>
        </is>
      </c>
      <c r="E115" s="719" t="inlineStr">
        <is>
          <t>USDJPY</t>
        </is>
      </c>
      <c r="F115" s="719" t="inlineStr">
        <is>
          <t>SELL</t>
        </is>
      </c>
      <c r="G115" s="735" t="n">
        <v>0.01</v>
      </c>
      <c r="H115" s="720" t="n">
        <v>152.922</v>
      </c>
      <c r="I115" s="720" t="n">
        <v>152.992</v>
      </c>
      <c r="J115" s="721" t="n"/>
      <c r="K115" s="722" t="n"/>
      <c r="L115" s="721" t="n"/>
      <c r="M115" s="722" t="n"/>
      <c r="N115" s="788" t="n"/>
      <c r="O115" s="762" t="n">
        <v>-0.6993</v>
      </c>
      <c r="P115" s="763" t="n">
        <v>-0.0004669627057527295</v>
      </c>
      <c r="Q115" s="726" t="n"/>
      <c r="R115" s="764" t="n">
        <v>1497.55</v>
      </c>
      <c r="S115" s="719" t="inlineStr">
        <is>
          <t>1M 41S</t>
        </is>
      </c>
      <c r="T115" s="728" t="n"/>
      <c r="U115" s="729" t="n"/>
      <c r="V115" s="730" t="n"/>
      <c r="W115" s="731" t="n"/>
      <c r="X115" s="732" t="n"/>
      <c r="Y115" s="728" t="n"/>
      <c r="Z115" s="729" t="n"/>
      <c r="AA115" s="730" t="n"/>
      <c r="AB115" s="731" t="n"/>
      <c r="AC115" s="732" t="n"/>
      <c r="AD115" s="719" t="inlineStr">
        <is>
          <t>Yes</t>
        </is>
      </c>
      <c r="AE115" s="733" t="n"/>
      <c r="AF115" s="719" t="n"/>
      <c r="AG115" s="733" t="n"/>
      <c r="AH115" s="733" t="n"/>
      <c r="AI115" s="719" t="n"/>
      <c r="AJ115" s="733" t="n"/>
      <c r="AK115" s="733" t="n"/>
      <c r="AL115" s="733" t="n"/>
      <c r="AM115" s="733" t="n"/>
      <c r="AN115" s="733" t="n"/>
      <c r="AO115" s="733" t="n"/>
      <c r="AP115" s="719" t="n"/>
      <c r="AQ115" s="719" t="n"/>
      <c r="AR115" s="719" t="n"/>
      <c r="AS115" s="733" t="n"/>
      <c r="AT115" s="733" t="n"/>
      <c r="AU115" s="733" t="n"/>
      <c r="AV115" s="733" t="n"/>
      <c r="AW115" s="719" t="inlineStr">
        <is>
          <t>trade</t>
        </is>
      </c>
      <c r="AX115" s="734" t="inlineStr">
        <is>
          <t>oanda_export:demo:408:410</t>
        </is>
      </c>
    </row>
    <row r="116" ht="15" customHeight="1">
      <c r="A116" s="737" t="n"/>
      <c r="B116" s="738" t="n">
        <v>45594.46043981481</v>
      </c>
      <c r="C116" s="739" t="n">
        <v>45594.46103009259</v>
      </c>
      <c r="D116" s="740" t="inlineStr">
        <is>
          <t>OANDA DEMO</t>
        </is>
      </c>
      <c r="E116" s="740" t="inlineStr">
        <is>
          <t>USDJPY</t>
        </is>
      </c>
      <c r="F116" s="740" t="inlineStr">
        <is>
          <t>BUY</t>
        </is>
      </c>
      <c r="G116" s="775" t="n">
        <v>0.01</v>
      </c>
      <c r="H116" s="742" t="n">
        <v>152.878</v>
      </c>
      <c r="I116" s="742" t="n">
        <v>152.886</v>
      </c>
      <c r="J116" s="743" t="n"/>
      <c r="K116" s="744" t="n"/>
      <c r="L116" s="743" t="n"/>
      <c r="M116" s="744" t="n"/>
      <c r="N116" s="766" t="n"/>
      <c r="O116" s="803" t="n">
        <v>0.07920000000000001</v>
      </c>
      <c r="P116" s="768" t="n">
        <v>5.286167195060905e-05</v>
      </c>
      <c r="Q116" s="748" t="n"/>
      <c r="R116" s="769" t="n">
        <v>1498.25</v>
      </c>
      <c r="S116" s="740" t="inlineStr">
        <is>
          <t>51S</t>
        </is>
      </c>
      <c r="T116" s="750" t="n"/>
      <c r="U116" s="751" t="n"/>
      <c r="V116" s="752" t="n"/>
      <c r="W116" s="753" t="n"/>
      <c r="X116" s="754" t="n"/>
      <c r="Y116" s="750" t="n"/>
      <c r="Z116" s="751" t="n"/>
      <c r="AA116" s="752" t="n"/>
      <c r="AB116" s="753" t="n"/>
      <c r="AC116" s="754" t="n"/>
      <c r="AD116" s="740" t="inlineStr">
        <is>
          <t>Yes</t>
        </is>
      </c>
      <c r="AE116" s="740" t="n"/>
      <c r="AF116" s="755" t="n"/>
      <c r="AG116" s="755" t="n"/>
      <c r="AH116" s="755" t="n"/>
      <c r="AI116" s="740" t="n"/>
      <c r="AJ116" s="755" t="n"/>
      <c r="AK116" s="740" t="n"/>
      <c r="AL116" s="755" t="n"/>
      <c r="AM116" s="755" t="n"/>
      <c r="AN116" s="755" t="n"/>
      <c r="AO116" s="755" t="n"/>
      <c r="AP116" s="740" t="n"/>
      <c r="AQ116" s="740" t="n"/>
      <c r="AR116" s="740" t="n"/>
      <c r="AS116" s="755" t="n"/>
      <c r="AT116" s="755" t="n"/>
      <c r="AU116" s="755" t="n"/>
      <c r="AV116" s="755" t="n"/>
      <c r="AW116" s="740" t="inlineStr">
        <is>
          <t>trade</t>
        </is>
      </c>
      <c r="AX116" s="756" t="inlineStr">
        <is>
          <t>oanda_export:demo:404:406</t>
        </is>
      </c>
    </row>
    <row r="117" ht="15" customHeight="1">
      <c r="A117" s="716" t="n"/>
      <c r="B117" s="717" t="n">
        <v>45594.45158564814</v>
      </c>
      <c r="C117" s="718" t="n">
        <v>45594.45436342592</v>
      </c>
      <c r="D117" s="719" t="inlineStr">
        <is>
          <t>OANDA DEMO</t>
        </is>
      </c>
      <c r="E117" s="719" t="inlineStr">
        <is>
          <t>USDJPY</t>
        </is>
      </c>
      <c r="F117" s="719" t="inlineStr">
        <is>
          <t>BUY</t>
        </is>
      </c>
      <c r="G117" s="735" t="n">
        <v>0.01</v>
      </c>
      <c r="H117" s="720" t="n">
        <v>153.095</v>
      </c>
      <c r="I117" s="720" t="n">
        <v>152.931</v>
      </c>
      <c r="J117" s="721" t="n"/>
      <c r="K117" s="722" t="n"/>
      <c r="L117" s="721" t="n"/>
      <c r="M117" s="722" t="n"/>
      <c r="N117" s="788" t="n"/>
      <c r="O117" s="762" t="n">
        <v>-1.6385</v>
      </c>
      <c r="P117" s="725" t="n">
        <v>-0.001093667607814867</v>
      </c>
      <c r="Q117" s="726" t="n"/>
      <c r="R117" s="764" t="n">
        <v>1498.17</v>
      </c>
      <c r="S117" s="719" t="inlineStr">
        <is>
          <t>4M 0S</t>
        </is>
      </c>
      <c r="T117" s="728" t="n"/>
      <c r="U117" s="729" t="n"/>
      <c r="V117" s="730" t="n"/>
      <c r="W117" s="731" t="n"/>
      <c r="X117" s="732" t="n"/>
      <c r="Y117" s="728" t="n"/>
      <c r="Z117" s="729" t="n"/>
      <c r="AA117" s="730" t="n"/>
      <c r="AB117" s="731" t="n"/>
      <c r="AC117" s="732" t="n"/>
      <c r="AD117" s="719" t="inlineStr">
        <is>
          <t>Yes</t>
        </is>
      </c>
      <c r="AE117" s="719" t="n"/>
      <c r="AF117" s="733" t="n"/>
      <c r="AG117" s="733" t="n"/>
      <c r="AH117" s="733" t="n"/>
      <c r="AI117" s="719" t="n"/>
      <c r="AJ117" s="733" t="n"/>
      <c r="AK117" s="733" t="n"/>
      <c r="AL117" s="733" t="n"/>
      <c r="AM117" s="733" t="n"/>
      <c r="AN117" s="733" t="n"/>
      <c r="AO117" s="733" t="n"/>
      <c r="AP117" s="719" t="n"/>
      <c r="AQ117" s="719" t="n"/>
      <c r="AR117" s="719" t="n"/>
      <c r="AS117" s="733" t="n"/>
      <c r="AT117" s="733" t="n"/>
      <c r="AU117" s="733" t="n"/>
      <c r="AV117" s="733" t="n"/>
      <c r="AW117" s="719" t="inlineStr">
        <is>
          <t>trade</t>
        </is>
      </c>
      <c r="AX117" s="734" t="inlineStr">
        <is>
          <t>oanda_export:demo:400:402</t>
        </is>
      </c>
    </row>
    <row r="118" ht="15" customHeight="1">
      <c r="A118" s="716" t="n"/>
      <c r="B118" s="717" t="n">
        <v>45593.91664351852</v>
      </c>
      <c r="C118" s="718" t="n">
        <v>45593.91700231482</v>
      </c>
      <c r="D118" s="719" t="inlineStr">
        <is>
          <t>OANDA DEMO</t>
        </is>
      </c>
      <c r="E118" s="719" t="inlineStr">
        <is>
          <t>USDJPY</t>
        </is>
      </c>
      <c r="F118" s="719" t="inlineStr">
        <is>
          <t>SELL</t>
        </is>
      </c>
      <c r="G118" s="720" t="n">
        <v>0.11</v>
      </c>
      <c r="H118" s="720" t="n">
        <v>152.723</v>
      </c>
      <c r="I118" s="720" t="n">
        <v>152.726</v>
      </c>
      <c r="J118" s="721" t="n"/>
      <c r="K118" s="722" t="n"/>
      <c r="L118" s="721" t="n"/>
      <c r="M118" s="722" t="n"/>
      <c r="N118" s="761" t="n"/>
      <c r="O118" s="762" t="n">
        <v>-0.3287</v>
      </c>
      <c r="P118" s="763" t="n">
        <v>-0.0002191610937385402</v>
      </c>
      <c r="Q118" s="726" t="n"/>
      <c r="R118" s="764" t="n">
        <v>1499.81</v>
      </c>
      <c r="S118" s="719" t="inlineStr">
        <is>
          <t>31S</t>
        </is>
      </c>
      <c r="T118" s="728" t="n"/>
      <c r="U118" s="729" t="n"/>
      <c r="V118" s="730" t="n"/>
      <c r="W118" s="731" t="n"/>
      <c r="X118" s="732" t="n"/>
      <c r="Y118" s="728" t="n"/>
      <c r="Z118" s="729" t="n"/>
      <c r="AA118" s="730" t="n"/>
      <c r="AB118" s="731" t="n"/>
      <c r="AC118" s="732" t="n"/>
      <c r="AD118" s="719" t="inlineStr">
        <is>
          <t>Yes</t>
        </is>
      </c>
      <c r="AE118" s="719" t="n"/>
      <c r="AF118" s="733" t="n"/>
      <c r="AG118" s="733" t="n"/>
      <c r="AH118" s="733" t="n"/>
      <c r="AI118" s="719" t="n"/>
      <c r="AJ118" s="733" t="n"/>
      <c r="AK118" s="733" t="n"/>
      <c r="AL118" s="733" t="n"/>
      <c r="AM118" s="733" t="n"/>
      <c r="AN118" s="719" t="n"/>
      <c r="AO118" s="733" t="n"/>
      <c r="AP118" s="719" t="n"/>
      <c r="AQ118" s="719" t="n"/>
      <c r="AR118" s="719" t="n"/>
      <c r="AS118" s="733" t="n"/>
      <c r="AT118" s="733" t="n"/>
      <c r="AU118" s="733" t="n"/>
      <c r="AV118" s="733" t="n"/>
      <c r="AW118" s="719" t="inlineStr">
        <is>
          <t>trade</t>
        </is>
      </c>
      <c r="AX118" s="734" t="inlineStr">
        <is>
          <t>oanda_export:demo:396:398</t>
        </is>
      </c>
    </row>
    <row r="119" ht="15" customHeight="1">
      <c r="A119" s="737" t="inlineStr">
        <is>
          <t>C338</t>
        </is>
      </c>
      <c r="B119" s="738" t="n">
        <v>45592.93888888889</v>
      </c>
      <c r="C119" s="739" t="n">
        <v>45592.94861111111</v>
      </c>
      <c r="D119" s="740" t="inlineStr">
        <is>
          <t>BYBIT</t>
        </is>
      </c>
      <c r="E119" s="740" t="inlineStr">
        <is>
          <t>UXLINKUSDT</t>
        </is>
      </c>
      <c r="F119" s="740" t="inlineStr">
        <is>
          <t>SELL</t>
        </is>
      </c>
      <c r="G119" s="742" t="n">
        <v>831</v>
      </c>
      <c r="H119" s="742" t="n">
        <v>0.4366</v>
      </c>
      <c r="I119" s="742" t="n">
        <v>0.4339</v>
      </c>
      <c r="J119" s="743" t="n">
        <v>0.4393</v>
      </c>
      <c r="K119" s="744" t="n">
        <v>0.006184150251946944</v>
      </c>
      <c r="L119" s="743" t="n">
        <v>0.4312</v>
      </c>
      <c r="M119" s="744" t="n">
        <v>0.01236830050389363</v>
      </c>
      <c r="N119" s="745" t="n">
        <v>0.39784356</v>
      </c>
      <c r="O119" s="746" t="n">
        <v>1.81138979</v>
      </c>
      <c r="P119" s="747" t="n">
        <v>0.008163844789813975</v>
      </c>
      <c r="Q119" s="748" t="n">
        <v>0.9999999999999795</v>
      </c>
      <c r="R119" s="749" t="n">
        <v>223.6908885599999</v>
      </c>
      <c r="S119" s="740" t="inlineStr">
        <is>
          <t>14M 0S</t>
        </is>
      </c>
      <c r="T119" s="750" t="n"/>
      <c r="U119" s="751" t="n"/>
      <c r="V119" s="752" t="n"/>
      <c r="W119" s="753" t="n"/>
      <c r="X119" s="754" t="n"/>
      <c r="Y119" s="750" t="n"/>
      <c r="Z119" s="751" t="n"/>
      <c r="AA119" s="752" t="n"/>
      <c r="AB119" s="753" t="n"/>
      <c r="AC119" s="754" t="n"/>
      <c r="AD119" s="740" t="inlineStr">
        <is>
          <t>No</t>
        </is>
      </c>
      <c r="AE119" s="740" t="inlineStr">
        <is>
          <t>channel</t>
        </is>
      </c>
      <c r="AF119" s="755" t="n"/>
      <c r="AG119" s="755" t="n"/>
      <c r="AH119" s="755" t="n"/>
      <c r="AI119" s="740" t="inlineStr">
        <is>
          <t>Market</t>
        </is>
      </c>
      <c r="AJ119" s="755" t="n"/>
      <c r="AK119" s="755" t="n"/>
      <c r="AL119" s="755" t="n"/>
      <c r="AM119" s="740" t="inlineStr">
        <is>
          <t>Yes</t>
        </is>
      </c>
      <c r="AN119" s="755" t="n"/>
      <c r="AO119" s="740" t="inlineStr">
        <is>
          <t>Yes</t>
        </is>
      </c>
      <c r="AP119" s="740" t="inlineStr">
        <is>
          <t>Pullback</t>
        </is>
      </c>
      <c r="AQ119" s="740" t="inlineStr">
        <is>
          <t>5MIN</t>
        </is>
      </c>
      <c r="AR119" s="740" t="inlineStr">
        <is>
          <t>No</t>
        </is>
      </c>
      <c r="AS119" s="755" t="n"/>
      <c r="AT119" s="755" t="n"/>
      <c r="AU119" s="755" t="n"/>
      <c r="AV119" s="755" t="n"/>
      <c r="AW119" s="740" t="inlineStr">
        <is>
          <t>trade</t>
        </is>
      </c>
      <c r="AX119" s="756" t="inlineStr">
        <is>
          <t>sig:4c249b3d3d4b0af159117a9b</t>
        </is>
      </c>
    </row>
    <row r="120" ht="15" customHeight="1">
      <c r="A120" s="716" t="inlineStr">
        <is>
          <t>C337</t>
        </is>
      </c>
      <c r="B120" s="717" t="n">
        <v>45592.86597222222</v>
      </c>
      <c r="C120" s="718" t="n">
        <v>45592.86597222222</v>
      </c>
      <c r="D120" s="719" t="inlineStr">
        <is>
          <t>BYBIT</t>
        </is>
      </c>
      <c r="E120" s="719" t="inlineStr">
        <is>
          <t>ETHUSDT</t>
        </is>
      </c>
      <c r="F120" s="719" t="inlineStr">
        <is>
          <t>BUY</t>
        </is>
      </c>
      <c r="G120" s="720" t="n">
        <v>0.24</v>
      </c>
      <c r="H120" s="720" t="n">
        <v>2464.94</v>
      </c>
      <c r="I120" s="720" t="n">
        <v>2465.13</v>
      </c>
      <c r="J120" s="721" t="n">
        <v>2455.36</v>
      </c>
      <c r="K120" s="722" t="n">
        <v>0.003886504336819528</v>
      </c>
      <c r="L120" s="721" t="n">
        <v>2484.29</v>
      </c>
      <c r="M120" s="722" t="n">
        <v>0.007850089657354706</v>
      </c>
      <c r="N120" s="758" t="n">
        <v>0.65076925</v>
      </c>
      <c r="O120" s="724" t="n">
        <v>-0.6060359</v>
      </c>
      <c r="P120" s="725" t="n">
        <v>-0.002723933944284955</v>
      </c>
      <c r="Q120" s="781" t="n">
        <v>0.01983298538622714</v>
      </c>
      <c r="R120" s="727" t="n">
        <v>221.8794987699999</v>
      </c>
      <c r="S120" s="719" t="inlineStr">
        <is>
          <t>1S</t>
        </is>
      </c>
      <c r="T120" s="728" t="n"/>
      <c r="U120" s="729" t="n"/>
      <c r="V120" s="730" t="n"/>
      <c r="W120" s="731" t="n"/>
      <c r="X120" s="732" t="n"/>
      <c r="Y120" s="728" t="n"/>
      <c r="Z120" s="729" t="n"/>
      <c r="AA120" s="730" t="n"/>
      <c r="AB120" s="731" t="n"/>
      <c r="AC120" s="732" t="n"/>
      <c r="AD120" s="719" t="inlineStr">
        <is>
          <t>No</t>
        </is>
      </c>
      <c r="AE120" s="719" t="inlineStr">
        <is>
          <t>channel</t>
        </is>
      </c>
      <c r="AF120" s="733" t="n"/>
      <c r="AG120" s="733" t="n"/>
      <c r="AH120" s="733" t="n"/>
      <c r="AI120" s="719" t="inlineStr">
        <is>
          <t>Market</t>
        </is>
      </c>
      <c r="AJ120" s="733" t="n"/>
      <c r="AK120" s="733" t="n"/>
      <c r="AL120" s="733" t="n"/>
      <c r="AM120" s="733" t="n"/>
      <c r="AN120" s="733" t="n"/>
      <c r="AO120" s="719" t="inlineStr">
        <is>
          <t>Yes</t>
        </is>
      </c>
      <c r="AP120" s="719" t="inlineStr">
        <is>
          <t>Pullback</t>
        </is>
      </c>
      <c r="AQ120" s="719" t="inlineStr">
        <is>
          <t>15MIN</t>
        </is>
      </c>
      <c r="AR120" s="719" t="inlineStr">
        <is>
          <t>No</t>
        </is>
      </c>
      <c r="AS120" s="733" t="n"/>
      <c r="AT120" s="733" t="n"/>
      <c r="AU120" s="733" t="n"/>
      <c r="AV120" s="733" t="n"/>
      <c r="AW120" s="719" t="inlineStr">
        <is>
          <t>trade</t>
        </is>
      </c>
      <c r="AX120" s="734" t="inlineStr">
        <is>
          <t>sig:de661a0ef9935998a674f8cc</t>
        </is>
      </c>
    </row>
    <row r="121" ht="15" customHeight="1">
      <c r="A121" s="716" t="inlineStr">
        <is>
          <t>F1015</t>
        </is>
      </c>
      <c r="B121" s="717" t="n">
        <v>45568.6875</v>
      </c>
      <c r="C121" s="718" t="n">
        <v>45568.68751157408</v>
      </c>
      <c r="D121" s="719" t="inlineStr">
        <is>
          <t>PEPPERSTONE LIVE</t>
        </is>
      </c>
      <c r="E121" s="719" t="inlineStr">
        <is>
          <t>USDCHF</t>
        </is>
      </c>
      <c r="F121" s="719" t="inlineStr">
        <is>
          <t>SELL</t>
        </is>
      </c>
      <c r="G121" s="735" t="n">
        <v>0.07000000000000001</v>
      </c>
      <c r="H121" s="720" t="n">
        <v>0.85144</v>
      </c>
      <c r="I121" s="720" t="n">
        <v>0.85351</v>
      </c>
      <c r="J121" s="721" t="n">
        <v>0.85234</v>
      </c>
      <c r="K121" s="722" t="n">
        <v>0.001057032791506168</v>
      </c>
      <c r="L121" s="721" t="n">
        <v>0.84964</v>
      </c>
      <c r="M121" s="722" t="n">
        <v>0.002114065583012336</v>
      </c>
      <c r="N121" s="788" t="n"/>
      <c r="O121" s="762" t="n">
        <v>-14.69</v>
      </c>
      <c r="P121" s="725" t="n">
        <v>-0.009819584355510398</v>
      </c>
      <c r="Q121" s="726" t="n">
        <v>-2.299999999999988</v>
      </c>
      <c r="R121" s="764" t="n">
        <v>1481.3</v>
      </c>
      <c r="S121" s="719" t="inlineStr">
        <is>
          <t>1S</t>
        </is>
      </c>
      <c r="T121" s="728" t="n"/>
      <c r="U121" s="729" t="n"/>
      <c r="V121" s="730" t="n"/>
      <c r="W121" s="731" t="n"/>
      <c r="X121" s="732" t="n"/>
      <c r="Y121" s="728" t="n"/>
      <c r="Z121" s="729" t="n"/>
      <c r="AA121" s="730" t="n"/>
      <c r="AB121" s="731" t="n"/>
      <c r="AC121" s="732" t="n"/>
      <c r="AD121" s="719" t="inlineStr">
        <is>
          <t>No</t>
        </is>
      </c>
      <c r="AE121" s="719" t="inlineStr">
        <is>
          <t>range</t>
        </is>
      </c>
      <c r="AF121" s="733" t="n"/>
      <c r="AG121" s="733" t="n"/>
      <c r="AH121" s="733" t="n"/>
      <c r="AI121" s="719" t="inlineStr">
        <is>
          <t>Limit</t>
        </is>
      </c>
      <c r="AJ121" s="733" t="n"/>
      <c r="AK121" s="733" t="n"/>
      <c r="AL121" s="733" t="n"/>
      <c r="AM121" s="733" t="n"/>
      <c r="AN121" s="733" t="n"/>
      <c r="AO121" s="733" t="n"/>
      <c r="AP121" s="719" t="inlineStr">
        <is>
          <t>Pullback</t>
        </is>
      </c>
      <c r="AQ121" s="719" t="inlineStr">
        <is>
          <t>4H</t>
        </is>
      </c>
      <c r="AR121" s="719" t="inlineStr">
        <is>
          <t>No</t>
        </is>
      </c>
      <c r="AS121" s="782" t="n"/>
      <c r="AT121" s="733" t="n"/>
      <c r="AU121" s="719" t="n"/>
      <c r="AV121" s="719" t="n"/>
      <c r="AW121" s="719" t="inlineStr">
        <is>
          <t>trade</t>
        </is>
      </c>
      <c r="AX121" s="734" t="inlineStr">
        <is>
          <t>sig:4ccdfff9cc3e7493f96456e4</t>
        </is>
      </c>
    </row>
    <row r="122" ht="15" customHeight="1">
      <c r="A122" s="716" t="inlineStr">
        <is>
          <t>C336</t>
        </is>
      </c>
      <c r="B122" s="717" t="n">
        <v>45566.40486111111</v>
      </c>
      <c r="C122" s="718" t="n">
        <v>45567.03611111111</v>
      </c>
      <c r="D122" s="719" t="inlineStr">
        <is>
          <t>BYBIT</t>
        </is>
      </c>
      <c r="E122" s="719" t="inlineStr">
        <is>
          <t>BIGTIMEUSDT</t>
        </is>
      </c>
      <c r="F122" s="719" t="inlineStr">
        <is>
          <t>BUY</t>
        </is>
      </c>
      <c r="G122" s="720" t="n">
        <v>447</v>
      </c>
      <c r="H122" s="720" t="n">
        <v>0.1292</v>
      </c>
      <c r="I122" s="720" t="n">
        <v>0.1239</v>
      </c>
      <c r="J122" s="721" t="n">
        <v>0.1241</v>
      </c>
      <c r="K122" s="722" t="n">
        <v>0.03947368421052637</v>
      </c>
      <c r="L122" s="721" t="n">
        <v>0.1398</v>
      </c>
      <c r="M122" s="722" t="n">
        <v>0.08204334365325075</v>
      </c>
      <c r="N122" s="723" t="n">
        <v>0.07399862</v>
      </c>
      <c r="O122" s="724" t="n">
        <v>-2.44396527</v>
      </c>
      <c r="P122" s="725" t="n">
        <v>-0.01086547238424453</v>
      </c>
      <c r="Q122" s="726" t="n">
        <v>-1.039215686274511</v>
      </c>
      <c r="R122" s="727" t="n">
        <v>222.4855346699999</v>
      </c>
      <c r="S122" s="719" t="inlineStr">
        <is>
          <t>15H 9M 0S</t>
        </is>
      </c>
      <c r="T122" s="728" t="n"/>
      <c r="U122" s="729" t="n"/>
      <c r="V122" s="730" t="n"/>
      <c r="W122" s="731" t="n"/>
      <c r="X122" s="732" t="n"/>
      <c r="Y122" s="728" t="n"/>
      <c r="Z122" s="729" t="n"/>
      <c r="AA122" s="730" t="n"/>
      <c r="AB122" s="731" t="n"/>
      <c r="AC122" s="732" t="n"/>
      <c r="AD122" s="719" t="inlineStr">
        <is>
          <t>No</t>
        </is>
      </c>
      <c r="AE122" s="719" t="inlineStr">
        <is>
          <t>channel</t>
        </is>
      </c>
      <c r="AF122" s="733" t="n"/>
      <c r="AG122" s="733" t="n"/>
      <c r="AH122" s="733" t="n"/>
      <c r="AI122" s="719" t="inlineStr">
        <is>
          <t>Limit</t>
        </is>
      </c>
      <c r="AJ122" s="733" t="n"/>
      <c r="AK122" s="733" t="n"/>
      <c r="AL122" s="733" t="n"/>
      <c r="AM122" s="719" t="n"/>
      <c r="AN122" s="733" t="n"/>
      <c r="AO122" s="733" t="n"/>
      <c r="AP122" s="719" t="inlineStr">
        <is>
          <t>Pullback</t>
        </is>
      </c>
      <c r="AQ122" s="719" t="inlineStr">
        <is>
          <t>4H</t>
        </is>
      </c>
      <c r="AR122" s="719" t="inlineStr">
        <is>
          <t>No</t>
        </is>
      </c>
      <c r="AS122" s="733" t="n"/>
      <c r="AT122" s="733" t="n"/>
      <c r="AU122" s="733" t="n"/>
      <c r="AV122" s="733" t="n"/>
      <c r="AW122" s="719" t="inlineStr">
        <is>
          <t>trade</t>
        </is>
      </c>
      <c r="AX122" s="734" t="inlineStr">
        <is>
          <t>sig:429868dec1759fe7e96785ea</t>
        </is>
      </c>
    </row>
    <row r="123" ht="15" customHeight="1">
      <c r="A123" s="716" t="inlineStr">
        <is>
          <t>F1014</t>
        </is>
      </c>
      <c r="B123" s="717" t="n">
        <v>45562.49163194445</v>
      </c>
      <c r="C123" s="718" t="n">
        <v>45562.49943287037</v>
      </c>
      <c r="D123" s="719" t="inlineStr">
        <is>
          <t>PEPPERSTONE LIVE</t>
        </is>
      </c>
      <c r="E123" s="719" t="inlineStr">
        <is>
          <t>USDJPY</t>
        </is>
      </c>
      <c r="F123" s="719" t="inlineStr">
        <is>
          <t>BUY</t>
        </is>
      </c>
      <c r="G123" s="720" t="n">
        <v>0.1</v>
      </c>
      <c r="H123" s="720" t="n">
        <v>145.37</v>
      </c>
      <c r="I123" s="720" t="n">
        <v>145.267</v>
      </c>
      <c r="J123" s="721" t="n">
        <v>145.27</v>
      </c>
      <c r="K123" s="760" t="n">
        <v>0.0006878998417829973</v>
      </c>
      <c r="L123" s="721" t="n">
        <v>145.57</v>
      </c>
      <c r="M123" s="722" t="n">
        <v>0.001375799683565995</v>
      </c>
      <c r="N123" s="761" t="n"/>
      <c r="O123" s="762" t="n">
        <v>-11.31</v>
      </c>
      <c r="P123" s="725" t="n">
        <v>-0.007503483049160752</v>
      </c>
      <c r="Q123" s="726" t="n">
        <v>-1.030000000000145</v>
      </c>
      <c r="R123" s="764" t="n">
        <v>1495.99</v>
      </c>
      <c r="S123" s="719" t="inlineStr">
        <is>
          <t>11M 14S</t>
        </is>
      </c>
      <c r="T123" s="728" t="n"/>
      <c r="U123" s="729" t="n"/>
      <c r="V123" s="730" t="n"/>
      <c r="W123" s="731" t="n"/>
      <c r="X123" s="732" t="n"/>
      <c r="Y123" s="728" t="n"/>
      <c r="Z123" s="729" t="n"/>
      <c r="AA123" s="730" t="n"/>
      <c r="AB123" s="731" t="n"/>
      <c r="AC123" s="732" t="n"/>
      <c r="AD123" s="719" t="inlineStr">
        <is>
          <t>No</t>
        </is>
      </c>
      <c r="AE123" s="719" t="n"/>
      <c r="AF123" s="719" t="inlineStr">
        <is>
          <t>20</t>
        </is>
      </c>
      <c r="AG123" s="733" t="n"/>
      <c r="AH123" s="733" t="n"/>
      <c r="AI123" s="719" t="inlineStr">
        <is>
          <t>Limit</t>
        </is>
      </c>
      <c r="AJ123" s="733" t="n"/>
      <c r="AK123" s="733" t="n"/>
      <c r="AL123" s="733" t="n"/>
      <c r="AM123" s="719" t="n"/>
      <c r="AN123" s="733" t="n"/>
      <c r="AO123" s="733" t="n"/>
      <c r="AP123" s="719" t="inlineStr">
        <is>
          <t>Pullback</t>
        </is>
      </c>
      <c r="AQ123" s="719" t="inlineStr">
        <is>
          <t>5MIN</t>
        </is>
      </c>
      <c r="AR123" s="719" t="inlineStr">
        <is>
          <t>No</t>
        </is>
      </c>
      <c r="AS123" s="733" t="n"/>
      <c r="AT123" s="733" t="n"/>
      <c r="AU123" s="733" t="n"/>
      <c r="AV123" s="733" t="n"/>
      <c r="AW123" s="719" t="inlineStr">
        <is>
          <t>trade</t>
        </is>
      </c>
      <c r="AX123" s="734" t="inlineStr">
        <is>
          <t>sig:1181f6d15bbd9e54e1694a21</t>
        </is>
      </c>
    </row>
    <row r="124" ht="15" customHeight="1">
      <c r="A124" s="716" t="inlineStr">
        <is>
          <t>C335</t>
        </is>
      </c>
      <c r="B124" s="717" t="n">
        <v>45557.80277777778</v>
      </c>
      <c r="C124" s="718" t="n">
        <v>45557.86458333334</v>
      </c>
      <c r="D124" s="719" t="inlineStr">
        <is>
          <t>BYBIT</t>
        </is>
      </c>
      <c r="E124" s="719" t="inlineStr">
        <is>
          <t>VGXUSDT</t>
        </is>
      </c>
      <c r="F124" s="719" t="inlineStr">
        <is>
          <t>BUY</t>
        </is>
      </c>
      <c r="G124" s="720" t="n">
        <v>1643</v>
      </c>
      <c r="H124" s="735" t="n">
        <v>0.03317</v>
      </c>
      <c r="I124" s="735" t="n">
        <v>0.03141</v>
      </c>
      <c r="J124" s="736" t="n">
        <v>0.03177</v>
      </c>
      <c r="K124" s="722" t="n">
        <v>0.04220681338558934</v>
      </c>
      <c r="L124" s="736" t="n">
        <v>0.03669</v>
      </c>
      <c r="M124" s="722" t="n">
        <v>0.1061199879409105</v>
      </c>
      <c r="N124" s="723" t="n">
        <v>0.05835775</v>
      </c>
      <c r="O124" s="724" t="n">
        <v>-2.9509044</v>
      </c>
      <c r="P124" s="725" t="n">
        <v>-0.01294935564357355</v>
      </c>
      <c r="Q124" s="726" t="n">
        <v>-1.257142857142857</v>
      </c>
      <c r="R124" s="727" t="n">
        <v>224.9294999399999</v>
      </c>
      <c r="S124" s="719" t="inlineStr">
        <is>
          <t>1H 29M 0S</t>
        </is>
      </c>
      <c r="T124" s="728" t="n"/>
      <c r="U124" s="729" t="n"/>
      <c r="V124" s="730" t="n"/>
      <c r="W124" s="731" t="n"/>
      <c r="X124" s="732" t="n"/>
      <c r="Y124" s="728" t="n"/>
      <c r="Z124" s="729" t="n"/>
      <c r="AA124" s="730" t="n"/>
      <c r="AB124" s="731" t="n"/>
      <c r="AC124" s="732" t="n"/>
      <c r="AD124" s="719" t="inlineStr">
        <is>
          <t>No</t>
        </is>
      </c>
      <c r="AE124" s="719" t="inlineStr">
        <is>
          <t>channel</t>
        </is>
      </c>
      <c r="AF124" s="733" t="n"/>
      <c r="AG124" s="733" t="n"/>
      <c r="AH124" s="733" t="n"/>
      <c r="AI124" s="719" t="inlineStr">
        <is>
          <t>Market</t>
        </is>
      </c>
      <c r="AJ124" s="733" t="n"/>
      <c r="AK124" s="719" t="inlineStr">
        <is>
          <t>Yes</t>
        </is>
      </c>
      <c r="AL124" s="733" t="n"/>
      <c r="AM124" s="719" t="n"/>
      <c r="AN124" s="733" t="n"/>
      <c r="AO124" s="719" t="n"/>
      <c r="AP124" s="719" t="inlineStr">
        <is>
          <t>Pullback</t>
        </is>
      </c>
      <c r="AQ124" s="719" t="inlineStr">
        <is>
          <t>15MIN</t>
        </is>
      </c>
      <c r="AR124" s="719" t="inlineStr">
        <is>
          <t>No</t>
        </is>
      </c>
      <c r="AS124" s="733" t="n"/>
      <c r="AT124" s="733" t="n"/>
      <c r="AU124" s="733" t="n"/>
      <c r="AV124" s="733" t="n"/>
      <c r="AW124" s="719" t="inlineStr">
        <is>
          <t>trade</t>
        </is>
      </c>
      <c r="AX124" s="734" t="inlineStr">
        <is>
          <t>sig:648eb32caa22e0da74f7019e</t>
        </is>
      </c>
    </row>
    <row r="125" ht="15" customHeight="1">
      <c r="A125" s="716" t="inlineStr">
        <is>
          <t>F1013</t>
        </is>
      </c>
      <c r="B125" s="717" t="n">
        <v>45554.55965277777</v>
      </c>
      <c r="C125" s="718" t="n">
        <v>45554.56008101852</v>
      </c>
      <c r="D125" s="719" t="inlineStr">
        <is>
          <t>PEPPERSTONE LIVE</t>
        </is>
      </c>
      <c r="E125" s="719" t="inlineStr">
        <is>
          <t>NZDUSD</t>
        </is>
      </c>
      <c r="F125" s="719" t="inlineStr">
        <is>
          <t>SELL</t>
        </is>
      </c>
      <c r="G125" s="735" t="n">
        <v>0.07000000000000001</v>
      </c>
      <c r="H125" s="720" t="n">
        <v>0.62233</v>
      </c>
      <c r="I125" s="720" t="n">
        <v>0.62235</v>
      </c>
      <c r="J125" s="721" t="n">
        <v>0.6233300000000001</v>
      </c>
      <c r="K125" s="722" t="n">
        <v>0.001606864525251877</v>
      </c>
      <c r="L125" s="721" t="n">
        <v>0.62033</v>
      </c>
      <c r="M125" s="722" t="n">
        <v>0.003213729050503755</v>
      </c>
      <c r="N125" s="761" t="n"/>
      <c r="O125" s="762" t="n">
        <v>-0.21</v>
      </c>
      <c r="P125" s="763" t="n">
        <v>-0.0001393025585236582</v>
      </c>
      <c r="Q125" s="781" t="n">
        <v>-0.01999999999990896</v>
      </c>
      <c r="R125" s="764" t="n">
        <v>1507.3</v>
      </c>
      <c r="S125" s="719" t="inlineStr">
        <is>
          <t>37S</t>
        </is>
      </c>
      <c r="T125" s="728" t="n"/>
      <c r="U125" s="729" t="n"/>
      <c r="V125" s="730" t="n"/>
      <c r="W125" s="731" t="n"/>
      <c r="X125" s="732" t="n"/>
      <c r="Y125" s="728" t="n"/>
      <c r="Z125" s="729" t="n"/>
      <c r="AA125" s="730" t="n"/>
      <c r="AB125" s="731" t="n"/>
      <c r="AC125" s="732" t="n"/>
      <c r="AD125" s="719" t="inlineStr">
        <is>
          <t>No</t>
        </is>
      </c>
      <c r="AE125" s="719" t="inlineStr">
        <is>
          <t>channel</t>
        </is>
      </c>
      <c r="AF125" s="733" t="n"/>
      <c r="AG125" s="733" t="n"/>
      <c r="AH125" s="733" t="n"/>
      <c r="AI125" s="719" t="inlineStr">
        <is>
          <t>Limit</t>
        </is>
      </c>
      <c r="AJ125" s="733" t="n"/>
      <c r="AK125" s="733" t="n"/>
      <c r="AL125" s="733" t="n"/>
      <c r="AM125" s="733" t="n"/>
      <c r="AN125" s="733" t="n"/>
      <c r="AO125" s="733" t="n"/>
      <c r="AP125" s="719" t="inlineStr">
        <is>
          <t>Pullback</t>
        </is>
      </c>
      <c r="AQ125" s="719" t="inlineStr">
        <is>
          <t>15MIN</t>
        </is>
      </c>
      <c r="AR125" s="719" t="inlineStr">
        <is>
          <t>No</t>
        </is>
      </c>
      <c r="AS125" s="733" t="n"/>
      <c r="AT125" s="733" t="n"/>
      <c r="AU125" s="733" t="n"/>
      <c r="AV125" s="733" t="n"/>
      <c r="AW125" s="719" t="inlineStr">
        <is>
          <t>trade</t>
        </is>
      </c>
      <c r="AX125" s="734" t="inlineStr">
        <is>
          <t>sig:77080850fc6779a17d97c633</t>
        </is>
      </c>
    </row>
    <row r="126" ht="15" customHeight="1">
      <c r="A126" s="716" t="inlineStr">
        <is>
          <t>C334</t>
        </is>
      </c>
      <c r="B126" s="717" t="n">
        <v>45550.67013888889</v>
      </c>
      <c r="C126" s="718" t="n">
        <v>45550.70972222222</v>
      </c>
      <c r="D126" s="719" t="inlineStr">
        <is>
          <t>BYBIT</t>
        </is>
      </c>
      <c r="E126" s="719" t="inlineStr">
        <is>
          <t>QUICKUSDT</t>
        </is>
      </c>
      <c r="F126" s="719" t="inlineStr">
        <is>
          <t>BUY</t>
        </is>
      </c>
      <c r="G126" s="720" t="n">
        <v>5100</v>
      </c>
      <c r="H126" s="735" t="n">
        <v>0.05446</v>
      </c>
      <c r="I126" s="735" t="n">
        <v>0.05379</v>
      </c>
      <c r="J126" s="736" t="n">
        <v>0.05401</v>
      </c>
      <c r="K126" s="722" t="n">
        <v>0.008262945280940121</v>
      </c>
      <c r="L126" s="736" t="n">
        <v>0.0558</v>
      </c>
      <c r="M126" s="722" t="n">
        <v>0.02460521483657732</v>
      </c>
      <c r="N126" s="758" t="n">
        <v>0.3036511</v>
      </c>
      <c r="O126" s="724" t="n">
        <v>-3.70361775</v>
      </c>
      <c r="P126" s="725" t="n">
        <v>-0.01599254437579753</v>
      </c>
      <c r="Q126" s="726" t="n">
        <v>-1.488888888888901</v>
      </c>
      <c r="R126" s="727" t="n">
        <v>227.8804043399999</v>
      </c>
      <c r="S126" s="719" t="inlineStr">
        <is>
          <t>57M 0S</t>
        </is>
      </c>
      <c r="T126" s="728" t="n"/>
      <c r="U126" s="729" t="n"/>
      <c r="V126" s="730" t="n"/>
      <c r="W126" s="731" t="n"/>
      <c r="X126" s="732" t="n"/>
      <c r="Y126" s="728" t="n"/>
      <c r="Z126" s="729" t="n"/>
      <c r="AA126" s="730" t="n"/>
      <c r="AB126" s="731" t="n"/>
      <c r="AC126" s="732" t="n"/>
      <c r="AD126" s="719" t="inlineStr">
        <is>
          <t>No</t>
        </is>
      </c>
      <c r="AE126" s="719" t="inlineStr">
        <is>
          <t>channel</t>
        </is>
      </c>
      <c r="AF126" s="733" t="n"/>
      <c r="AG126" s="733" t="n"/>
      <c r="AH126" s="733" t="n"/>
      <c r="AI126" s="719" t="inlineStr">
        <is>
          <t>Market</t>
        </is>
      </c>
      <c r="AJ126" s="733" t="n"/>
      <c r="AK126" s="733" t="n"/>
      <c r="AL126" s="733" t="n"/>
      <c r="AM126" s="733" t="n"/>
      <c r="AN126" s="719" t="inlineStr">
        <is>
          <t>Yes</t>
        </is>
      </c>
      <c r="AO126" s="733" t="n"/>
      <c r="AP126" s="719" t="inlineStr">
        <is>
          <t>Pullback</t>
        </is>
      </c>
      <c r="AQ126" s="719" t="inlineStr">
        <is>
          <t>1MIN</t>
        </is>
      </c>
      <c r="AR126" s="719" t="inlineStr">
        <is>
          <t>No</t>
        </is>
      </c>
      <c r="AS126" s="733" t="n"/>
      <c r="AT126" s="733" t="n"/>
      <c r="AU126" s="733" t="n"/>
      <c r="AV126" s="733" t="n"/>
      <c r="AW126" s="719" t="inlineStr">
        <is>
          <t>trade</t>
        </is>
      </c>
      <c r="AX126" s="734" t="inlineStr">
        <is>
          <t>sig:be7051b76d636f0bdc65faa3</t>
        </is>
      </c>
    </row>
    <row r="127" ht="15" customHeight="1">
      <c r="A127" s="737" t="inlineStr">
        <is>
          <t>C333</t>
        </is>
      </c>
      <c r="B127" s="738" t="n">
        <v>45550.65833333333</v>
      </c>
      <c r="C127" s="739" t="n">
        <v>45550.67361111111</v>
      </c>
      <c r="D127" s="740" t="inlineStr">
        <is>
          <t>BYBIT</t>
        </is>
      </c>
      <c r="E127" s="740" t="inlineStr">
        <is>
          <t>UXLINKUSDT</t>
        </is>
      </c>
      <c r="F127" s="740" t="inlineStr">
        <is>
          <t>BUY</t>
        </is>
      </c>
      <c r="G127" s="742" t="n">
        <v>765</v>
      </c>
      <c r="H127" s="742" t="n">
        <v>0.3886</v>
      </c>
      <c r="I127" s="742" t="n">
        <v>0.3946</v>
      </c>
      <c r="J127" s="743" t="n">
        <v>0.3856</v>
      </c>
      <c r="K127" s="744" t="n">
        <v>0.007720020586721572</v>
      </c>
      <c r="L127" s="743" t="n">
        <v>0.3946</v>
      </c>
      <c r="M127" s="744" t="n">
        <v>0.01544004117344314</v>
      </c>
      <c r="N127" s="745" t="n">
        <v>0.1198296</v>
      </c>
      <c r="O127" s="746" t="n">
        <v>4.46930375</v>
      </c>
      <c r="P127" s="747" t="n">
        <v>0.01967861784857673</v>
      </c>
      <c r="Q127" s="748" t="n">
        <v>2</v>
      </c>
      <c r="R127" s="749" t="n">
        <v>231.5840220899999</v>
      </c>
      <c r="S127" s="740" t="inlineStr">
        <is>
          <t>22M 0S</t>
        </is>
      </c>
      <c r="T127" s="750" t="n"/>
      <c r="U127" s="751" t="n"/>
      <c r="V127" s="752" t="n"/>
      <c r="W127" s="753" t="n"/>
      <c r="X127" s="754" t="n"/>
      <c r="Y127" s="750" t="n"/>
      <c r="Z127" s="751" t="n"/>
      <c r="AA127" s="752" t="n"/>
      <c r="AB127" s="753" t="n"/>
      <c r="AC127" s="754" t="n"/>
      <c r="AD127" s="740" t="inlineStr">
        <is>
          <t>No</t>
        </is>
      </c>
      <c r="AE127" s="755" t="n"/>
      <c r="AF127" s="755" t="n"/>
      <c r="AG127" s="740" t="n"/>
      <c r="AH127" s="755" t="n"/>
      <c r="AI127" s="740" t="inlineStr">
        <is>
          <t>Limit</t>
        </is>
      </c>
      <c r="AJ127" s="740" t="n"/>
      <c r="AK127" s="755" t="n"/>
      <c r="AL127" s="755" t="n"/>
      <c r="AM127" s="740" t="inlineStr">
        <is>
          <t>Yes</t>
        </is>
      </c>
      <c r="AN127" s="755" t="n"/>
      <c r="AO127" s="755" t="n"/>
      <c r="AP127" s="740" t="inlineStr">
        <is>
          <t>Pullback</t>
        </is>
      </c>
      <c r="AQ127" s="740" t="inlineStr">
        <is>
          <t>1MIN</t>
        </is>
      </c>
      <c r="AR127" s="740" t="inlineStr">
        <is>
          <t>No</t>
        </is>
      </c>
      <c r="AS127" s="755" t="n"/>
      <c r="AT127" s="755" t="n"/>
      <c r="AU127" s="755" t="n"/>
      <c r="AV127" s="755" t="n"/>
      <c r="AW127" s="740" t="inlineStr">
        <is>
          <t>trade</t>
        </is>
      </c>
      <c r="AX127" s="756" t="inlineStr">
        <is>
          <t>sig:fd0c98ae2a5914f76868cfd2</t>
        </is>
      </c>
    </row>
    <row r="128" ht="15" customHeight="1">
      <c r="A128" s="716" t="inlineStr">
        <is>
          <t>C332</t>
        </is>
      </c>
      <c r="B128" s="717" t="n">
        <v>45516.22152777778</v>
      </c>
      <c r="C128" s="718" t="n">
        <v>45516.22152777778</v>
      </c>
      <c r="D128" s="719" t="inlineStr">
        <is>
          <t>BYBIT</t>
        </is>
      </c>
      <c r="E128" s="719" t="inlineStr">
        <is>
          <t>ZECUSDT</t>
        </is>
      </c>
      <c r="F128" s="719" t="inlineStr">
        <is>
          <t>BUY</t>
        </is>
      </c>
      <c r="G128" s="720" t="n">
        <v>14.67</v>
      </c>
      <c r="H128" s="720" t="n">
        <v>40.66</v>
      </c>
      <c r="I128" s="720" t="n">
        <v>40.35</v>
      </c>
      <c r="J128" s="721" t="n">
        <v>40.5</v>
      </c>
      <c r="K128" s="722" t="n">
        <v>0.003935071323167649</v>
      </c>
      <c r="L128" s="721" t="n">
        <v>40.98</v>
      </c>
      <c r="M128" s="722" t="n">
        <v>0.007870142646335473</v>
      </c>
      <c r="N128" s="758" t="n">
        <v>0.44486042</v>
      </c>
      <c r="O128" s="724" t="n">
        <v>-4.99342707</v>
      </c>
      <c r="P128" s="725" t="n">
        <v>-0.0215133642172683</v>
      </c>
      <c r="Q128" s="726" t="n">
        <v>-1.937500000000011</v>
      </c>
      <c r="R128" s="727" t="n">
        <v>227.1147183399999</v>
      </c>
      <c r="S128" s="719" t="inlineStr">
        <is>
          <t>1S</t>
        </is>
      </c>
      <c r="T128" s="728" t="n"/>
      <c r="U128" s="729" t="n"/>
      <c r="V128" s="730" t="n"/>
      <c r="W128" s="731" t="n"/>
      <c r="X128" s="732" t="n"/>
      <c r="Y128" s="728" t="n"/>
      <c r="Z128" s="729" t="n"/>
      <c r="AA128" s="730" t="n"/>
      <c r="AB128" s="731" t="n"/>
      <c r="AC128" s="732" t="n"/>
      <c r="AD128" s="719" t="inlineStr">
        <is>
          <t>No</t>
        </is>
      </c>
      <c r="AE128" s="733" t="n"/>
      <c r="AF128" s="733" t="n"/>
      <c r="AG128" s="719" t="n"/>
      <c r="AH128" s="733" t="n"/>
      <c r="AI128" s="719" t="inlineStr">
        <is>
          <t>Limit</t>
        </is>
      </c>
      <c r="AJ128" s="719" t="n"/>
      <c r="AK128" s="733" t="n"/>
      <c r="AL128" s="733" t="n"/>
      <c r="AM128" s="733" t="n"/>
      <c r="AN128" s="733" t="n"/>
      <c r="AO128" s="733" t="n"/>
      <c r="AP128" s="719" t="inlineStr">
        <is>
          <t>Pullback</t>
        </is>
      </c>
      <c r="AQ128" s="719" t="inlineStr">
        <is>
          <t>30MIN</t>
        </is>
      </c>
      <c r="AR128" s="719" t="inlineStr">
        <is>
          <t>No</t>
        </is>
      </c>
      <c r="AS128" s="733" t="n"/>
      <c r="AT128" s="733" t="n"/>
      <c r="AU128" s="733" t="n"/>
      <c r="AV128" s="733" t="n"/>
      <c r="AW128" s="719" t="inlineStr">
        <is>
          <t>trade</t>
        </is>
      </c>
      <c r="AX128" s="734" t="inlineStr">
        <is>
          <t>sig:fa770e6bd3010bedd361917b</t>
        </is>
      </c>
    </row>
    <row r="129" ht="15" customHeight="1">
      <c r="A129" s="42" t="n"/>
      <c r="B129" s="770" t="n">
        <v>45495</v>
      </c>
      <c r="C129" s="771" t="n">
        <v>45495</v>
      </c>
      <c r="D129" s="12" t="inlineStr">
        <is>
          <t>OANDA LIVE</t>
        </is>
      </c>
      <c r="E129" s="12" t="inlineStr">
        <is>
          <t>CASHFLOW</t>
        </is>
      </c>
      <c r="F129" s="12" t="inlineStr">
        <is>
          <t>WITHDRAWAL</t>
        </is>
      </c>
      <c r="G129" s="262" t="n"/>
      <c r="H129" s="262" t="n"/>
      <c r="I129" s="262" t="n"/>
      <c r="J129" s="263" t="n"/>
      <c r="K129" s="36" t="n"/>
      <c r="L129" s="263" t="n"/>
      <c r="M129" s="36" t="n"/>
      <c r="N129" s="772" t="n"/>
      <c r="O129" s="773" t="n"/>
      <c r="P129" s="3" t="n"/>
      <c r="Q129" s="51" t="n"/>
      <c r="R129" s="54" t="n">
        <v>0.01</v>
      </c>
      <c r="S129" s="12" t="n"/>
      <c r="T129" s="774" t="n"/>
      <c r="U129" s="6" t="n"/>
      <c r="V129" s="264" t="n"/>
      <c r="W129" s="9" t="n"/>
      <c r="X129" s="46" t="n"/>
      <c r="Y129" s="774" t="n"/>
      <c r="Z129" s="6" t="n"/>
      <c r="AA129" s="264" t="n"/>
      <c r="AB129" s="9" t="n"/>
      <c r="AC129" s="46" t="n"/>
      <c r="AD129" s="12" t="inlineStr">
        <is>
          <t>No</t>
        </is>
      </c>
      <c r="AE129" s="12" t="n"/>
      <c r="AF129" s="45" t="n"/>
      <c r="AG129" s="45" t="n"/>
      <c r="AH129" s="45" t="n"/>
      <c r="AI129" s="12" t="n"/>
      <c r="AJ129" s="45" t="n"/>
      <c r="AK129" s="45" t="n"/>
      <c r="AL129" s="45" t="n"/>
      <c r="AM129" s="45" t="n"/>
      <c r="AN129" s="45" t="n"/>
      <c r="AO129" s="45" t="n"/>
      <c r="AP129" s="12" t="n"/>
      <c r="AQ129" s="12" t="n"/>
      <c r="AR129" s="12" t="n"/>
      <c r="AS129" s="56" t="inlineStr">
        <is>
          <t>Withdrawal -462.77 AUD. Source: screenshot_ocr. Imported from account_cashflows.xlsx row 12.</t>
        </is>
      </c>
      <c r="AT129" s="45" t="n"/>
      <c r="AU129" s="12" t="n">
        <v>0.01</v>
      </c>
      <c r="AV129" s="12" t="inlineStr">
        <is>
          <t>AUD</t>
        </is>
      </c>
      <c r="AW129" s="12" t="inlineStr">
        <is>
          <t>cashflow</t>
        </is>
      </c>
      <c r="AX129" s="57" t="inlineStr">
        <is>
          <t>cashflow:OANDA LIVE:2024-07-22T00:00:00:2</t>
        </is>
      </c>
    </row>
    <row r="130" ht="15" customHeight="1">
      <c r="A130" s="737" t="inlineStr">
        <is>
          <t>F1012</t>
        </is>
      </c>
      <c r="B130" s="738" t="n">
        <v>45453.92818287037</v>
      </c>
      <c r="C130" s="739" t="n">
        <v>45453.95604166666</v>
      </c>
      <c r="D130" s="740" t="inlineStr">
        <is>
          <t>PEPPERSTONE LIVE</t>
        </is>
      </c>
      <c r="E130" s="740" t="inlineStr">
        <is>
          <t>EURUSD</t>
        </is>
      </c>
      <c r="F130" s="740" t="inlineStr">
        <is>
          <t>SELL</t>
        </is>
      </c>
      <c r="G130" s="775" t="n">
        <v>0.09</v>
      </c>
      <c r="H130" s="742" t="n">
        <v>1.0757</v>
      </c>
      <c r="I130" s="742" t="n">
        <v>1.0743</v>
      </c>
      <c r="J130" s="743" t="n">
        <v>1.07642</v>
      </c>
      <c r="K130" s="765" t="n">
        <v>0.000669331598029034</v>
      </c>
      <c r="L130" s="743" t="n">
        <v>1.07432</v>
      </c>
      <c r="M130" s="744" t="n">
        <v>0.001282885562889429</v>
      </c>
      <c r="N130" s="766" t="n">
        <v>0.63</v>
      </c>
      <c r="O130" s="767" t="n">
        <v>18.34</v>
      </c>
      <c r="P130" s="747" t="n">
        <v>0.01231558519175111</v>
      </c>
      <c r="Q130" s="748" t="n">
        <v>1.944444444444993</v>
      </c>
      <c r="R130" s="769" t="n">
        <v>1507.51</v>
      </c>
      <c r="S130" s="740" t="inlineStr">
        <is>
          <t>40M 7S</t>
        </is>
      </c>
      <c r="T130" s="750" t="n"/>
      <c r="U130" s="751" t="n"/>
      <c r="V130" s="752" t="n"/>
      <c r="W130" s="753" t="n"/>
      <c r="X130" s="754" t="n"/>
      <c r="Y130" s="750" t="n"/>
      <c r="Z130" s="751" t="n"/>
      <c r="AA130" s="752" t="n"/>
      <c r="AB130" s="753" t="n"/>
      <c r="AC130" s="754" t="n"/>
      <c r="AD130" s="740" t="inlineStr">
        <is>
          <t>No</t>
        </is>
      </c>
      <c r="AE130" s="740" t="inlineStr">
        <is>
          <t>channel</t>
        </is>
      </c>
      <c r="AF130" s="755" t="n"/>
      <c r="AG130" s="740" t="n"/>
      <c r="AH130" s="755" t="n"/>
      <c r="AI130" s="740" t="inlineStr">
        <is>
          <t>Limit</t>
        </is>
      </c>
      <c r="AJ130" s="740" t="n"/>
      <c r="AK130" s="755" t="n"/>
      <c r="AL130" s="755" t="n"/>
      <c r="AM130" s="740" t="inlineStr">
        <is>
          <t>Yes</t>
        </is>
      </c>
      <c r="AN130" s="755" t="n"/>
      <c r="AO130" s="755" t="n"/>
      <c r="AP130" s="740" t="inlineStr">
        <is>
          <t>Pullback</t>
        </is>
      </c>
      <c r="AQ130" s="740" t="inlineStr">
        <is>
          <t>15MIN</t>
        </is>
      </c>
      <c r="AR130" s="740" t="inlineStr">
        <is>
          <t>No</t>
        </is>
      </c>
      <c r="AS130" s="755" t="n"/>
      <c r="AT130" s="755" t="n"/>
      <c r="AU130" s="755" t="n"/>
      <c r="AV130" s="755" t="n"/>
      <c r="AW130" s="740" t="inlineStr">
        <is>
          <t>trade</t>
        </is>
      </c>
      <c r="AX130" s="756" t="inlineStr">
        <is>
          <t>sig:5d620595b171ad49d343734d</t>
        </is>
      </c>
    </row>
    <row r="131" ht="15" customHeight="1">
      <c r="A131" s="737" t="inlineStr">
        <is>
          <t>C331</t>
        </is>
      </c>
      <c r="B131" s="738" t="n">
        <v>45445.00138888889</v>
      </c>
      <c r="C131" s="739" t="n">
        <v>45445.01597222222</v>
      </c>
      <c r="D131" s="740" t="inlineStr">
        <is>
          <t>BYBIT</t>
        </is>
      </c>
      <c r="E131" s="740" t="inlineStr">
        <is>
          <t>BTCUSDT</t>
        </is>
      </c>
      <c r="F131" s="740" t="inlineStr">
        <is>
          <t>BUY</t>
        </is>
      </c>
      <c r="G131" s="775" t="n">
        <v>0.03</v>
      </c>
      <c r="H131" s="742" t="n">
        <v>67703.8</v>
      </c>
      <c r="I131" s="742" t="n">
        <v>67836.2</v>
      </c>
      <c r="J131" s="743" t="n">
        <v>67631.8</v>
      </c>
      <c r="K131" s="744" t="n">
        <v>0.001063455817841834</v>
      </c>
      <c r="L131" s="743" t="n">
        <v>67847.8</v>
      </c>
      <c r="M131" s="744" t="n">
        <v>0.002126911635683669</v>
      </c>
      <c r="N131" s="745" t="n">
        <v>2.23641</v>
      </c>
      <c r="O131" s="746" t="n">
        <v>1.73472335</v>
      </c>
      <c r="P131" s="747" t="n">
        <v>0.007530049840333569</v>
      </c>
      <c r="Q131" s="748" t="n">
        <v>1.838888888888808</v>
      </c>
      <c r="R131" s="749" t="n">
        <v>232.1081454099999</v>
      </c>
      <c r="S131" s="740" t="inlineStr">
        <is>
          <t>21M 0S</t>
        </is>
      </c>
      <c r="T131" s="750" t="n"/>
      <c r="U131" s="751" t="n"/>
      <c r="V131" s="752" t="n"/>
      <c r="W131" s="753" t="n"/>
      <c r="X131" s="754" t="n"/>
      <c r="Y131" s="750" t="n"/>
      <c r="Z131" s="751" t="n"/>
      <c r="AA131" s="752" t="n"/>
      <c r="AB131" s="753" t="n"/>
      <c r="AC131" s="754" t="n"/>
      <c r="AD131" s="740" t="inlineStr">
        <is>
          <t>No</t>
        </is>
      </c>
      <c r="AE131" s="740" t="inlineStr">
        <is>
          <t>channel</t>
        </is>
      </c>
      <c r="AF131" s="755" t="n"/>
      <c r="AG131" s="755" t="n"/>
      <c r="AH131" s="755" t="n"/>
      <c r="AI131" s="740" t="inlineStr">
        <is>
          <t>Market</t>
        </is>
      </c>
      <c r="AJ131" s="755" t="n"/>
      <c r="AK131" s="755" t="n"/>
      <c r="AL131" s="755" t="n"/>
      <c r="AM131" s="740" t="inlineStr">
        <is>
          <t>Yes</t>
        </is>
      </c>
      <c r="AN131" s="755" t="n"/>
      <c r="AO131" s="755" t="n"/>
      <c r="AP131" s="740" t="inlineStr">
        <is>
          <t>Pullback</t>
        </is>
      </c>
      <c r="AQ131" s="740" t="inlineStr">
        <is>
          <t>5MIN</t>
        </is>
      </c>
      <c r="AR131" s="740" t="inlineStr">
        <is>
          <t>No</t>
        </is>
      </c>
      <c r="AS131" s="755" t="n"/>
      <c r="AT131" s="755" t="n"/>
      <c r="AU131" s="755" t="n"/>
      <c r="AV131" s="755" t="n"/>
      <c r="AW131" s="740" t="inlineStr">
        <is>
          <t>trade</t>
        </is>
      </c>
      <c r="AX131" s="756" t="inlineStr">
        <is>
          <t>sig:7716fd0f6ce2c61f411ae19b</t>
        </is>
      </c>
    </row>
    <row r="132" ht="15" customHeight="1">
      <c r="A132" s="716" t="inlineStr">
        <is>
          <t>F1011</t>
        </is>
      </c>
      <c r="B132" s="717" t="n">
        <v>45373.76255787037</v>
      </c>
      <c r="C132" s="718" t="n">
        <v>45384.36762731482</v>
      </c>
      <c r="D132" s="719" t="inlineStr">
        <is>
          <t>PEPPERSTONE LIVE</t>
        </is>
      </c>
      <c r="E132" s="719" t="inlineStr">
        <is>
          <t>GBPUSD</t>
        </is>
      </c>
      <c r="F132" s="719" t="inlineStr">
        <is>
          <t>BUY</t>
        </is>
      </c>
      <c r="G132" s="735" t="n">
        <v>0.01</v>
      </c>
      <c r="H132" s="720" t="n">
        <v>1.25899</v>
      </c>
      <c r="I132" s="720" t="n">
        <v>1.2552</v>
      </c>
      <c r="J132" s="721" t="n">
        <v>1.25379</v>
      </c>
      <c r="K132" s="722" t="n">
        <v>0.004130294918943036</v>
      </c>
      <c r="L132" s="721" t="n">
        <v>1.26939</v>
      </c>
      <c r="M132" s="722" t="n">
        <v>0.008260589837885897</v>
      </c>
      <c r="N132" s="761" t="n">
        <v>0.54</v>
      </c>
      <c r="O132" s="762" t="n">
        <v>-6.41</v>
      </c>
      <c r="P132" s="725" t="n">
        <v>-0.00428596263656909</v>
      </c>
      <c r="Q132" s="726" t="n">
        <v>-0.728846153846133</v>
      </c>
      <c r="R132" s="764" t="n">
        <v>1489.17</v>
      </c>
      <c r="S132" s="719" t="inlineStr">
        <is>
          <t>10D 14H 31M 18S</t>
        </is>
      </c>
      <c r="T132" s="728" t="n"/>
      <c r="U132" s="729" t="n"/>
      <c r="V132" s="730" t="n"/>
      <c r="W132" s="731" t="n"/>
      <c r="X132" s="732" t="n"/>
      <c r="Y132" s="728" t="n"/>
      <c r="Z132" s="729" t="n"/>
      <c r="AA132" s="730" t="n"/>
      <c r="AB132" s="731" t="n"/>
      <c r="AC132" s="732" t="n"/>
      <c r="AD132" s="719" t="inlineStr">
        <is>
          <t>No</t>
        </is>
      </c>
      <c r="AE132" s="719" t="inlineStr">
        <is>
          <t>channel</t>
        </is>
      </c>
      <c r="AF132" s="733" t="n"/>
      <c r="AG132" s="719" t="n"/>
      <c r="AH132" s="733" t="n"/>
      <c r="AI132" s="719" t="inlineStr">
        <is>
          <t>Limit</t>
        </is>
      </c>
      <c r="AJ132" s="719" t="n"/>
      <c r="AK132" s="733" t="n"/>
      <c r="AL132" s="733" t="n"/>
      <c r="AM132" s="719" t="inlineStr">
        <is>
          <t>Yes</t>
        </is>
      </c>
      <c r="AN132" s="733" t="n"/>
      <c r="AO132" s="719" t="inlineStr">
        <is>
          <t>Yes</t>
        </is>
      </c>
      <c r="AP132" s="719" t="inlineStr">
        <is>
          <t>Pullback</t>
        </is>
      </c>
      <c r="AQ132" s="719" t="inlineStr">
        <is>
          <t>DAILY</t>
        </is>
      </c>
      <c r="AR132" s="719" t="inlineStr">
        <is>
          <t>No</t>
        </is>
      </c>
      <c r="AS132" s="733" t="n"/>
      <c r="AT132" s="733" t="n"/>
      <c r="AU132" s="733" t="n"/>
      <c r="AV132" s="733" t="n"/>
      <c r="AW132" s="719" t="inlineStr">
        <is>
          <t>trade</t>
        </is>
      </c>
      <c r="AX132" s="734" t="inlineStr">
        <is>
          <t>sig:c8418c220e0762291ea78820</t>
        </is>
      </c>
    </row>
    <row r="133" ht="15" customHeight="1">
      <c r="A133" s="716" t="inlineStr">
        <is>
          <t>C330</t>
        </is>
      </c>
      <c r="B133" s="717" t="n">
        <v>45376.99930555555</v>
      </c>
      <c r="C133" s="718" t="n">
        <v>45377.00694444445</v>
      </c>
      <c r="D133" s="719" t="inlineStr">
        <is>
          <t>BYBIT</t>
        </is>
      </c>
      <c r="E133" s="719" t="inlineStr">
        <is>
          <t>BNBUSDT</t>
        </is>
      </c>
      <c r="F133" s="719" t="inlineStr">
        <is>
          <t>SELL</t>
        </is>
      </c>
      <c r="G133" s="720" t="n">
        <v>0.83</v>
      </c>
      <c r="H133" s="720" t="n">
        <v>583.45</v>
      </c>
      <c r="I133" s="720" t="n">
        <v>585.95</v>
      </c>
      <c r="J133" s="721" t="n">
        <v>586.3</v>
      </c>
      <c r="K133" s="722" t="n">
        <v>0.00488473733824648</v>
      </c>
      <c r="L133" s="721" t="n">
        <v>578.6</v>
      </c>
      <c r="M133" s="722" t="n">
        <v>0.008312623189647823</v>
      </c>
      <c r="N133" s="758" t="n">
        <v>0.5338311100000001</v>
      </c>
      <c r="O133" s="724" t="n">
        <v>-2.60969776</v>
      </c>
      <c r="P133" s="725" t="n">
        <v>-0.01120123106779677</v>
      </c>
      <c r="Q133" s="726" t="n">
        <v>-0.8771929824561684</v>
      </c>
      <c r="R133" s="727" t="n">
        <v>230.3734220599999</v>
      </c>
      <c r="S133" s="719" t="inlineStr">
        <is>
          <t>11M 0S</t>
        </is>
      </c>
      <c r="T133" s="728" t="n"/>
      <c r="U133" s="729" t="n"/>
      <c r="V133" s="730" t="n"/>
      <c r="W133" s="731" t="n"/>
      <c r="X133" s="732" t="n"/>
      <c r="Y133" s="728" t="n"/>
      <c r="Z133" s="729" t="n"/>
      <c r="AA133" s="730" t="n"/>
      <c r="AB133" s="731" t="n"/>
      <c r="AC133" s="732" t="n"/>
      <c r="AD133" s="719" t="inlineStr">
        <is>
          <t>No</t>
        </is>
      </c>
      <c r="AE133" s="719" t="inlineStr">
        <is>
          <t>channel</t>
        </is>
      </c>
      <c r="AF133" s="733" t="n"/>
      <c r="AG133" s="719" t="n"/>
      <c r="AH133" s="733" t="n"/>
      <c r="AI133" s="719" t="inlineStr">
        <is>
          <t>Market</t>
        </is>
      </c>
      <c r="AJ133" s="719" t="n"/>
      <c r="AK133" s="733" t="n"/>
      <c r="AL133" s="733" t="n"/>
      <c r="AM133" s="719" t="n"/>
      <c r="AN133" s="733" t="n"/>
      <c r="AO133" s="733" t="n"/>
      <c r="AP133" s="719" t="inlineStr">
        <is>
          <t>Pullback</t>
        </is>
      </c>
      <c r="AQ133" s="719" t="inlineStr">
        <is>
          <t>5MIN</t>
        </is>
      </c>
      <c r="AR133" s="719" t="inlineStr">
        <is>
          <t>No</t>
        </is>
      </c>
      <c r="AS133" s="733" t="n"/>
      <c r="AT133" s="733" t="n"/>
      <c r="AU133" s="733" t="n"/>
      <c r="AV133" s="733" t="n"/>
      <c r="AW133" s="719" t="inlineStr">
        <is>
          <t>trade</t>
        </is>
      </c>
      <c r="AX133" s="734" t="inlineStr">
        <is>
          <t>sig:5fd21c86a8b33b0cc0edf1c5</t>
        </is>
      </c>
    </row>
    <row r="134" ht="15" customHeight="1">
      <c r="A134" s="716" t="inlineStr">
        <is>
          <t>F1156</t>
        </is>
      </c>
      <c r="B134" s="717" t="n">
        <v>45376.29282407407</v>
      </c>
      <c r="C134" s="718" t="n">
        <v>45376.33538194445</v>
      </c>
      <c r="D134" s="719" t="inlineStr">
        <is>
          <t>PEPPERSTONE LIVE</t>
        </is>
      </c>
      <c r="E134" s="719" t="inlineStr">
        <is>
          <t>GBPUSD</t>
        </is>
      </c>
      <c r="F134" s="719" t="inlineStr">
        <is>
          <t>BUY</t>
        </is>
      </c>
      <c r="G134" s="735" t="n">
        <v>0.01</v>
      </c>
      <c r="H134" s="720" t="n">
        <v>1.26167</v>
      </c>
      <c r="I134" s="720" t="n">
        <v>1.25931</v>
      </c>
      <c r="J134" s="721" t="n">
        <v>1.25647</v>
      </c>
      <c r="K134" s="722" t="n">
        <v>0.004121521475504762</v>
      </c>
      <c r="L134" s="721" t="n">
        <v>1.27207</v>
      </c>
      <c r="M134" s="722" t="n">
        <v>0.008243042951009348</v>
      </c>
      <c r="N134" s="792" t="n">
        <v>0.07000000000000001</v>
      </c>
      <c r="O134" s="762" t="n">
        <v>-3.69</v>
      </c>
      <c r="P134" s="725" t="n">
        <v>-0.002461197782921021</v>
      </c>
      <c r="Q134" s="726" t="n">
        <v>-0.4538461538461726</v>
      </c>
      <c r="R134" s="764" t="n">
        <v>1495.58</v>
      </c>
      <c r="S134" s="719" t="inlineStr">
        <is>
          <t>1H 1M 17S</t>
        </is>
      </c>
      <c r="T134" s="728" t="n"/>
      <c r="U134" s="729" t="n"/>
      <c r="V134" s="730" t="n"/>
      <c r="W134" s="731" t="n"/>
      <c r="X134" s="732" t="n"/>
      <c r="Y134" s="728" t="n"/>
      <c r="Z134" s="729" t="n"/>
      <c r="AA134" s="730" t="n"/>
      <c r="AB134" s="731" t="n"/>
      <c r="AC134" s="732" t="n"/>
      <c r="AD134" s="719" t="inlineStr">
        <is>
          <t>No</t>
        </is>
      </c>
      <c r="AE134" s="733" t="n"/>
      <c r="AF134" s="733" t="n"/>
      <c r="AG134" s="733" t="n"/>
      <c r="AH134" s="719" t="n"/>
      <c r="AI134" s="719" t="n"/>
      <c r="AJ134" s="733" t="n"/>
      <c r="AK134" s="733" t="n"/>
      <c r="AL134" s="733" t="n"/>
      <c r="AM134" s="733" t="n"/>
      <c r="AN134" s="733" t="n"/>
      <c r="AO134" s="719" t="n"/>
      <c r="AP134" s="719" t="inlineStr">
        <is>
          <t>Pullback</t>
        </is>
      </c>
      <c r="AQ134" s="719" t="n"/>
      <c r="AR134" s="719" t="inlineStr">
        <is>
          <t>No</t>
        </is>
      </c>
      <c r="AS134" s="733" t="n"/>
      <c r="AT134" s="733" t="n"/>
      <c r="AU134" s="733" t="n"/>
      <c r="AV134" s="733" t="n"/>
      <c r="AW134" s="719" t="inlineStr">
        <is>
          <t>trade</t>
        </is>
      </c>
      <c r="AX134" s="734" t="inlineStr">
        <is>
          <t>sig:8d7f2674e19b04a471d7fba4</t>
        </is>
      </c>
    </row>
    <row r="135" ht="15" customHeight="1">
      <c r="A135" s="716" t="inlineStr">
        <is>
          <t>F1010</t>
        </is>
      </c>
      <c r="B135" s="717" t="n">
        <v>45373.50359953703</v>
      </c>
      <c r="C135" s="718" t="n">
        <v>45373.51649305555</v>
      </c>
      <c r="D135" s="719" t="inlineStr">
        <is>
          <t>OANDA LIVE</t>
        </is>
      </c>
      <c r="E135" s="719" t="inlineStr">
        <is>
          <t>AUDJPY</t>
        </is>
      </c>
      <c r="F135" s="719" t="inlineStr">
        <is>
          <t>BUY</t>
        </is>
      </c>
      <c r="G135" s="735" t="n">
        <v>0.06662999999999999</v>
      </c>
      <c r="H135" s="720" t="n">
        <v>99.334</v>
      </c>
      <c r="I135" s="720" t="n">
        <v>99.185</v>
      </c>
      <c r="J135" s="721" t="n">
        <v>99.187</v>
      </c>
      <c r="K135" s="722" t="n">
        <v>0.001479855839893748</v>
      </c>
      <c r="L135" s="721" t="n">
        <v>99.628</v>
      </c>
      <c r="M135" s="722" t="n">
        <v>0.002959711679787353</v>
      </c>
      <c r="N135" s="761" t="n"/>
      <c r="O135" s="762" t="n">
        <v>-10.0586</v>
      </c>
      <c r="P135" s="725" t="n">
        <v>-0.01016052428329545</v>
      </c>
      <c r="Q135" s="726" t="n">
        <v>-1.013605442176839</v>
      </c>
      <c r="R135" s="764" t="n">
        <v>979.91</v>
      </c>
      <c r="S135" s="719" t="inlineStr">
        <is>
          <t>18M 34S</t>
        </is>
      </c>
      <c r="T135" s="728" t="n"/>
      <c r="U135" s="729" t="n"/>
      <c r="V135" s="730" t="n"/>
      <c r="W135" s="731" t="n"/>
      <c r="X135" s="732" t="n"/>
      <c r="Y135" s="728" t="n"/>
      <c r="Z135" s="729" t="n"/>
      <c r="AA135" s="730" t="n"/>
      <c r="AB135" s="731" t="n"/>
      <c r="AC135" s="732" t="n"/>
      <c r="AD135" s="719" t="inlineStr">
        <is>
          <t>No</t>
        </is>
      </c>
      <c r="AE135" s="733" t="n"/>
      <c r="AF135" s="733" t="n"/>
      <c r="AG135" s="733" t="n"/>
      <c r="AH135" s="733" t="n"/>
      <c r="AI135" s="719" t="inlineStr">
        <is>
          <t>Limit</t>
        </is>
      </c>
      <c r="AJ135" s="719" t="inlineStr">
        <is>
          <t>Yes</t>
        </is>
      </c>
      <c r="AK135" s="719" t="n"/>
      <c r="AL135" s="733" t="n"/>
      <c r="AM135" s="733" t="n"/>
      <c r="AN135" s="719" t="n"/>
      <c r="AO135" s="733" t="n"/>
      <c r="AP135" s="719" t="n"/>
      <c r="AQ135" s="719" t="inlineStr">
        <is>
          <t>15MIN</t>
        </is>
      </c>
      <c r="AR135" s="719" t="n"/>
      <c r="AS135" s="733" t="n"/>
      <c r="AT135" s="733" t="n"/>
      <c r="AU135" s="733" t="n"/>
      <c r="AV135" s="733" t="n"/>
      <c r="AW135" s="719" t="inlineStr">
        <is>
          <t>trade</t>
        </is>
      </c>
      <c r="AX135" s="734" t="inlineStr">
        <is>
          <t>oanda_export:live:367:370</t>
        </is>
      </c>
    </row>
    <row r="136" ht="15" customHeight="1">
      <c r="A136" s="716" t="inlineStr">
        <is>
          <t>C329</t>
        </is>
      </c>
      <c r="B136" s="717" t="n">
        <v>45364.04166666666</v>
      </c>
      <c r="C136" s="718" t="n">
        <v>45364.04166666666</v>
      </c>
      <c r="D136" s="719" t="inlineStr">
        <is>
          <t>BYBIT</t>
        </is>
      </c>
      <c r="E136" s="719" t="inlineStr">
        <is>
          <t>BTCUSDT</t>
        </is>
      </c>
      <c r="F136" s="719" t="inlineStr">
        <is>
          <t>BUY</t>
        </is>
      </c>
      <c r="G136" s="757" t="n">
        <v>0.005</v>
      </c>
      <c r="H136" s="720" t="n">
        <v>71538.2</v>
      </c>
      <c r="I136" s="720" t="n">
        <v>71018.3</v>
      </c>
      <c r="J136" s="721" t="n">
        <v>71078.7</v>
      </c>
      <c r="K136" s="722" t="n">
        <v>0.006423141762023647</v>
      </c>
      <c r="L136" s="721" t="n">
        <v>72457.2</v>
      </c>
      <c r="M136" s="722" t="n">
        <v>0.01284628352404729</v>
      </c>
      <c r="N136" s="758" t="n">
        <v>0.26683853</v>
      </c>
      <c r="O136" s="724" t="n">
        <v>-2.86720518</v>
      </c>
      <c r="P136" s="725" t="n">
        <v>-0.01215688458347471</v>
      </c>
      <c r="Q136" s="726" t="n">
        <v>-1.131447225244819</v>
      </c>
      <c r="R136" s="727" t="n">
        <v>232.9831198199999</v>
      </c>
      <c r="S136" s="719" t="inlineStr">
        <is>
          <t>1S</t>
        </is>
      </c>
      <c r="T136" s="728" t="n"/>
      <c r="U136" s="729" t="n"/>
      <c r="V136" s="730" t="n"/>
      <c r="W136" s="731" t="n"/>
      <c r="X136" s="732" t="n"/>
      <c r="Y136" s="728" t="n"/>
      <c r="Z136" s="729" t="n"/>
      <c r="AA136" s="730" t="n"/>
      <c r="AB136" s="731" t="n"/>
      <c r="AC136" s="732" t="n"/>
      <c r="AD136" s="719" t="inlineStr">
        <is>
          <t>No</t>
        </is>
      </c>
      <c r="AE136" s="719" t="n"/>
      <c r="AF136" s="719" t="n"/>
      <c r="AG136" s="733" t="n"/>
      <c r="AH136" s="733" t="n"/>
      <c r="AI136" s="719" t="inlineStr">
        <is>
          <t>Limit</t>
        </is>
      </c>
      <c r="AJ136" s="719" t="inlineStr">
        <is>
          <t>Yes</t>
        </is>
      </c>
      <c r="AK136" s="733" t="n"/>
      <c r="AL136" s="733" t="n"/>
      <c r="AM136" s="733" t="n"/>
      <c r="AN136" s="733" t="n"/>
      <c r="AO136" s="733" t="n"/>
      <c r="AP136" s="719" t="inlineStr">
        <is>
          <t>Pullback</t>
        </is>
      </c>
      <c r="AQ136" s="719" t="inlineStr">
        <is>
          <t>15MIN</t>
        </is>
      </c>
      <c r="AR136" s="719" t="inlineStr">
        <is>
          <t>No</t>
        </is>
      </c>
      <c r="AS136" s="733" t="n"/>
      <c r="AT136" s="733" t="n"/>
      <c r="AU136" s="733" t="n"/>
      <c r="AV136" s="733" t="n"/>
      <c r="AW136" s="719" t="inlineStr">
        <is>
          <t>trade</t>
        </is>
      </c>
      <c r="AX136" s="734" t="inlineStr">
        <is>
          <t>sig:12f4dc786c61905001dbb6d3</t>
        </is>
      </c>
    </row>
    <row r="137" ht="15" customHeight="1">
      <c r="A137" s="737" t="inlineStr">
        <is>
          <t>F1009</t>
        </is>
      </c>
      <c r="B137" s="738" t="n">
        <v>45363.94527777778</v>
      </c>
      <c r="C137" s="739" t="n">
        <v>45363.95276620371</v>
      </c>
      <c r="D137" s="740" t="inlineStr">
        <is>
          <t>PEPPERSTONE LIVE</t>
        </is>
      </c>
      <c r="E137" s="740" t="inlineStr">
        <is>
          <t>GBPUSD</t>
        </is>
      </c>
      <c r="F137" s="740" t="inlineStr">
        <is>
          <t>SELL</t>
        </is>
      </c>
      <c r="G137" s="775" t="n">
        <v>0.06</v>
      </c>
      <c r="H137" s="742" t="n">
        <v>1.28079</v>
      </c>
      <c r="I137" s="742" t="n">
        <v>1.27855</v>
      </c>
      <c r="J137" s="743" t="n">
        <v>1.28189</v>
      </c>
      <c r="K137" s="765" t="n">
        <v>0.0008588449316436564</v>
      </c>
      <c r="L137" s="743" t="n">
        <v>1.27859</v>
      </c>
      <c r="M137" s="744" t="n">
        <v>0.00171768986328766</v>
      </c>
      <c r="N137" s="766" t="n">
        <v>0.42</v>
      </c>
      <c r="O137" s="767" t="n">
        <v>19.87</v>
      </c>
      <c r="P137" s="747" t="n">
        <v>0.01343112072461809</v>
      </c>
      <c r="Q137" s="748" t="n">
        <v>2.036363636363879</v>
      </c>
      <c r="R137" s="769" t="n">
        <v>1499.27</v>
      </c>
      <c r="S137" s="740" t="inlineStr">
        <is>
          <t>10M 47S</t>
        </is>
      </c>
      <c r="T137" s="750" t="n"/>
      <c r="U137" s="751" t="n"/>
      <c r="V137" s="752" t="n"/>
      <c r="W137" s="753" t="n"/>
      <c r="X137" s="754" t="n"/>
      <c r="Y137" s="750" t="n"/>
      <c r="Z137" s="751" t="n"/>
      <c r="AA137" s="752" t="n"/>
      <c r="AB137" s="753" t="n"/>
      <c r="AC137" s="754" t="n"/>
      <c r="AD137" s="740" t="inlineStr">
        <is>
          <t>No</t>
        </is>
      </c>
      <c r="AE137" s="740" t="inlineStr">
        <is>
          <t>channel</t>
        </is>
      </c>
      <c r="AF137" s="755" t="n"/>
      <c r="AG137" s="755" t="n"/>
      <c r="AH137" s="755" t="n"/>
      <c r="AI137" s="740" t="inlineStr">
        <is>
          <t>Limit</t>
        </is>
      </c>
      <c r="AJ137" s="755" t="n"/>
      <c r="AK137" s="755" t="n"/>
      <c r="AL137" s="755" t="n"/>
      <c r="AM137" s="755" t="n"/>
      <c r="AN137" s="755" t="n"/>
      <c r="AO137" s="755" t="n"/>
      <c r="AP137" s="740" t="inlineStr">
        <is>
          <t>Pullback</t>
        </is>
      </c>
      <c r="AQ137" s="740" t="inlineStr">
        <is>
          <t>1H</t>
        </is>
      </c>
      <c r="AR137" s="740" t="inlineStr">
        <is>
          <t>No</t>
        </is>
      </c>
      <c r="AS137" s="755" t="n"/>
      <c r="AT137" s="755" t="n"/>
      <c r="AU137" s="755" t="n"/>
      <c r="AV137" s="755" t="n"/>
      <c r="AW137" s="740" t="inlineStr">
        <is>
          <t>trade</t>
        </is>
      </c>
      <c r="AX137" s="756" t="inlineStr">
        <is>
          <t>sig:bef480096c4238cde6a6620f</t>
        </is>
      </c>
    </row>
    <row r="138" ht="15" customHeight="1">
      <c r="A138" s="716" t="inlineStr">
        <is>
          <t>F1008</t>
        </is>
      </c>
      <c r="B138" s="717" t="n">
        <v>45356.6802662037</v>
      </c>
      <c r="C138" s="718" t="n">
        <v>45356.6828125</v>
      </c>
      <c r="D138" s="719" t="inlineStr">
        <is>
          <t>OANDA LIVE</t>
        </is>
      </c>
      <c r="E138" s="719" t="inlineStr">
        <is>
          <t>NZDUSD</t>
        </is>
      </c>
      <c r="F138" s="719" t="inlineStr">
        <is>
          <t>BUY</t>
        </is>
      </c>
      <c r="G138" s="735" t="n">
        <v>0.08407000000000001</v>
      </c>
      <c r="H138" s="720" t="n">
        <v>0.60814</v>
      </c>
      <c r="I138" s="720" t="n">
        <v>0.60737</v>
      </c>
      <c r="J138" s="721" t="n">
        <v>0.60739</v>
      </c>
      <c r="K138" s="722" t="n">
        <v>0.001233268655243905</v>
      </c>
      <c r="L138" s="721" t="n">
        <v>0.61009</v>
      </c>
      <c r="M138" s="722" t="n">
        <v>0.003206498503634044</v>
      </c>
      <c r="N138" s="788" t="n"/>
      <c r="O138" s="762" t="n">
        <v>-10.0382</v>
      </c>
      <c r="P138" s="725" t="n">
        <v>-0.01003811768743496</v>
      </c>
      <c r="Q138" s="726" t="n">
        <v>-1.026666666666692</v>
      </c>
      <c r="R138" s="764" t="n">
        <v>989.97</v>
      </c>
      <c r="S138" s="719" t="inlineStr">
        <is>
          <t>3M 40S</t>
        </is>
      </c>
      <c r="T138" s="728" t="n"/>
      <c r="U138" s="729" t="n"/>
      <c r="V138" s="730" t="n"/>
      <c r="W138" s="731" t="n"/>
      <c r="X138" s="732" t="n"/>
      <c r="Y138" s="728" t="n"/>
      <c r="Z138" s="729" t="n"/>
      <c r="AA138" s="730" t="n"/>
      <c r="AB138" s="731" t="n"/>
      <c r="AC138" s="732" t="n"/>
      <c r="AD138" s="719" t="inlineStr">
        <is>
          <t>No</t>
        </is>
      </c>
      <c r="AE138" s="719" t="inlineStr">
        <is>
          <t>range</t>
        </is>
      </c>
      <c r="AF138" s="733" t="n"/>
      <c r="AG138" s="733" t="n"/>
      <c r="AH138" s="733" t="n"/>
      <c r="AI138" s="719" t="inlineStr">
        <is>
          <t>Limit</t>
        </is>
      </c>
      <c r="AJ138" s="719" t="inlineStr">
        <is>
          <t>Yes</t>
        </is>
      </c>
      <c r="AK138" s="733" t="n"/>
      <c r="AL138" s="719" t="n"/>
      <c r="AM138" s="733" t="n"/>
      <c r="AN138" s="733" t="n"/>
      <c r="AO138" s="733" t="n"/>
      <c r="AP138" s="719" t="n"/>
      <c r="AQ138" s="719" t="inlineStr">
        <is>
          <t>1H</t>
        </is>
      </c>
      <c r="AR138" s="719" t="n"/>
      <c r="AS138" s="733" t="n"/>
      <c r="AT138" s="733" t="n"/>
      <c r="AU138" s="733" t="n"/>
      <c r="AV138" s="733" t="n"/>
      <c r="AW138" s="719" t="inlineStr">
        <is>
          <t>trade</t>
        </is>
      </c>
      <c r="AX138" s="734" t="inlineStr">
        <is>
          <t>oanda_export:live:361:364</t>
        </is>
      </c>
    </row>
    <row r="139" ht="15" customHeight="1">
      <c r="A139" s="716" t="inlineStr">
        <is>
          <t>F1007</t>
        </is>
      </c>
      <c r="B139" s="717" t="n">
        <v>45355.74086805555</v>
      </c>
      <c r="C139" s="718" t="n">
        <v>45356.03094907408</v>
      </c>
      <c r="D139" s="719" t="inlineStr">
        <is>
          <t>PEPPERSTONE LIVE</t>
        </is>
      </c>
      <c r="E139" s="719" t="inlineStr">
        <is>
          <t>GBPUSD</t>
        </is>
      </c>
      <c r="F139" s="719" t="inlineStr">
        <is>
          <t>SELL</t>
        </is>
      </c>
      <c r="G139" s="735" t="n">
        <v>0.06</v>
      </c>
      <c r="H139" s="720" t="n">
        <v>1.26755</v>
      </c>
      <c r="I139" s="720" t="n">
        <v>1.26865</v>
      </c>
      <c r="J139" s="721" t="n">
        <v>1.26865</v>
      </c>
      <c r="K139" s="760" t="n">
        <v>0.0008678158652519434</v>
      </c>
      <c r="L139" s="721" t="n">
        <v>1.26535</v>
      </c>
      <c r="M139" s="722" t="n">
        <v>0.001735631730503712</v>
      </c>
      <c r="N139" s="761" t="n">
        <v>0.42</v>
      </c>
      <c r="O139" s="762" t="n">
        <v>-10.55</v>
      </c>
      <c r="P139" s="725" t="n">
        <v>-0.007080774522634988</v>
      </c>
      <c r="Q139" s="726" t="n">
        <v>-1</v>
      </c>
      <c r="R139" s="764" t="n">
        <v>1479.4</v>
      </c>
      <c r="S139" s="719" t="inlineStr">
        <is>
          <t>6H 57M 43S</t>
        </is>
      </c>
      <c r="T139" s="728" t="n"/>
      <c r="U139" s="729" t="n"/>
      <c r="V139" s="730" t="n"/>
      <c r="W139" s="731" t="n"/>
      <c r="X139" s="732" t="n"/>
      <c r="Y139" s="728" t="n"/>
      <c r="Z139" s="729" t="n"/>
      <c r="AA139" s="730" t="n"/>
      <c r="AB139" s="731" t="n"/>
      <c r="AC139" s="732" t="n"/>
      <c r="AD139" s="719" t="inlineStr">
        <is>
          <t>No</t>
        </is>
      </c>
      <c r="AE139" s="719" t="inlineStr">
        <is>
          <t>channel</t>
        </is>
      </c>
      <c r="AF139" s="733" t="n"/>
      <c r="AG139" s="733" t="n"/>
      <c r="AH139" s="733" t="n"/>
      <c r="AI139" s="719" t="inlineStr">
        <is>
          <t>Limit</t>
        </is>
      </c>
      <c r="AJ139" s="733" t="n"/>
      <c r="AK139" s="733" t="n"/>
      <c r="AL139" s="733" t="n"/>
      <c r="AM139" s="733" t="n"/>
      <c r="AN139" s="733" t="n"/>
      <c r="AO139" s="733" t="n"/>
      <c r="AP139" s="719" t="inlineStr">
        <is>
          <t>Pullback</t>
        </is>
      </c>
      <c r="AQ139" s="719" t="inlineStr">
        <is>
          <t>1H</t>
        </is>
      </c>
      <c r="AR139" s="719" t="inlineStr">
        <is>
          <t>No</t>
        </is>
      </c>
      <c r="AS139" s="733" t="n"/>
      <c r="AT139" s="733" t="n"/>
      <c r="AU139" s="733" t="n"/>
      <c r="AV139" s="733" t="n"/>
      <c r="AW139" s="719" t="inlineStr">
        <is>
          <t>trade</t>
        </is>
      </c>
      <c r="AX139" s="734" t="inlineStr">
        <is>
          <t>sig:b004f73e421dc22f49418f2f</t>
        </is>
      </c>
    </row>
    <row r="140" ht="15" customHeight="1">
      <c r="A140" s="716" t="inlineStr">
        <is>
          <t>C328</t>
        </is>
      </c>
      <c r="B140" s="717" t="n">
        <v>45356.02361111111</v>
      </c>
      <c r="C140" s="718" t="n">
        <v>45356.02430555555</v>
      </c>
      <c r="D140" s="719" t="inlineStr">
        <is>
          <t>BYBIT</t>
        </is>
      </c>
      <c r="E140" s="719" t="inlineStr">
        <is>
          <t>BTCUSDT</t>
        </is>
      </c>
      <c r="F140" s="719" t="inlineStr">
        <is>
          <t>SELL</t>
        </is>
      </c>
      <c r="G140" s="735" t="n">
        <v>0.011</v>
      </c>
      <c r="H140" s="720" t="n">
        <v>65667</v>
      </c>
      <c r="I140" s="720" t="n">
        <v>65888</v>
      </c>
      <c r="J140" s="721" t="n">
        <v>65883.5</v>
      </c>
      <c r="K140" s="722" t="n">
        <v>0.003296937578997061</v>
      </c>
      <c r="L140" s="721" t="n">
        <v>65125.7</v>
      </c>
      <c r="M140" s="722" t="n">
        <v>0.00824310536494743</v>
      </c>
      <c r="N140" s="758" t="n">
        <v>0.5430898</v>
      </c>
      <c r="O140" s="724" t="n">
        <v>-2.97495645</v>
      </c>
      <c r="P140" s="725" t="n">
        <v>-0.01245662281621903</v>
      </c>
      <c r="Q140" s="726" t="n">
        <v>-1.020785219399538</v>
      </c>
      <c r="R140" s="727" t="n">
        <v>235.8503249999999</v>
      </c>
      <c r="S140" s="719" t="inlineStr">
        <is>
          <t>1M 0S</t>
        </is>
      </c>
      <c r="T140" s="728" t="n"/>
      <c r="U140" s="729" t="n"/>
      <c r="V140" s="730" t="n"/>
      <c r="W140" s="731" t="n"/>
      <c r="X140" s="732" t="n"/>
      <c r="Y140" s="728" t="n"/>
      <c r="Z140" s="729" t="n"/>
      <c r="AA140" s="730" t="n"/>
      <c r="AB140" s="731" t="n"/>
      <c r="AC140" s="732" t="n"/>
      <c r="AD140" s="719" t="inlineStr">
        <is>
          <t>No</t>
        </is>
      </c>
      <c r="AE140" s="719" t="n"/>
      <c r="AF140" s="733" t="n"/>
      <c r="AG140" s="733" t="n"/>
      <c r="AH140" s="733" t="n"/>
      <c r="AI140" s="719" t="inlineStr">
        <is>
          <t>Limit</t>
        </is>
      </c>
      <c r="AJ140" s="719" t="inlineStr">
        <is>
          <t>Yes</t>
        </is>
      </c>
      <c r="AK140" s="733" t="n"/>
      <c r="AL140" s="733" t="n"/>
      <c r="AM140" s="733" t="n"/>
      <c r="AN140" s="733" t="n"/>
      <c r="AO140" s="733" t="n"/>
      <c r="AP140" s="719" t="inlineStr">
        <is>
          <t>Pullback</t>
        </is>
      </c>
      <c r="AQ140" s="719" t="inlineStr">
        <is>
          <t>5MIN</t>
        </is>
      </c>
      <c r="AR140" s="719" t="inlineStr">
        <is>
          <t>No</t>
        </is>
      </c>
      <c r="AS140" s="733" t="n"/>
      <c r="AT140" s="733" t="n"/>
      <c r="AU140" s="733" t="n"/>
      <c r="AV140" s="733" t="n"/>
      <c r="AW140" s="719" t="inlineStr">
        <is>
          <t>trade</t>
        </is>
      </c>
      <c r="AX140" s="734" t="inlineStr">
        <is>
          <t>sig:13261c6a833b43958957b4e8</t>
        </is>
      </c>
    </row>
    <row r="141" ht="15" customHeight="1">
      <c r="A141" s="737" t="inlineStr">
        <is>
          <t>C327</t>
        </is>
      </c>
      <c r="B141" s="738" t="n">
        <v>45311.1125</v>
      </c>
      <c r="C141" s="739" t="n">
        <v>45311.20138888889</v>
      </c>
      <c r="D141" s="740" t="inlineStr">
        <is>
          <t>BYBIT</t>
        </is>
      </c>
      <c r="E141" s="740" t="inlineStr">
        <is>
          <t>BTCUSDT</t>
        </is>
      </c>
      <c r="F141" s="740" t="inlineStr">
        <is>
          <t>BUY</t>
        </is>
      </c>
      <c r="G141" s="741" t="n">
        <v>0.003</v>
      </c>
      <c r="H141" s="742" t="n">
        <v>40355.1</v>
      </c>
      <c r="I141" s="742" t="n">
        <v>41731.9</v>
      </c>
      <c r="J141" s="743" t="n">
        <v>39666.6</v>
      </c>
      <c r="K141" s="744" t="n">
        <v>0.01706104061196726</v>
      </c>
      <c r="L141" s="743" t="n">
        <v>41732.1</v>
      </c>
      <c r="M141" s="744" t="n">
        <v>0.03412208122393452</v>
      </c>
      <c r="N141" s="802" t="n">
        <v>0.09307070000000001</v>
      </c>
      <c r="O141" s="746" t="n">
        <v>4.03646265</v>
      </c>
      <c r="P141" s="747" t="n">
        <v>0.01719188618363628</v>
      </c>
      <c r="Q141" s="748" t="n">
        <v>1.999709513435008</v>
      </c>
      <c r="R141" s="749" t="n">
        <v>238.8252814499999</v>
      </c>
      <c r="S141" s="740" t="inlineStr">
        <is>
          <t>2H 8M 0S</t>
        </is>
      </c>
      <c r="T141" s="750" t="n"/>
      <c r="U141" s="751" t="n"/>
      <c r="V141" s="752" t="n"/>
      <c r="W141" s="753" t="n"/>
      <c r="X141" s="754" t="n"/>
      <c r="Y141" s="750" t="n"/>
      <c r="Z141" s="751" t="n"/>
      <c r="AA141" s="752" t="n"/>
      <c r="AB141" s="753" t="n"/>
      <c r="AC141" s="754" t="n"/>
      <c r="AD141" s="740" t="inlineStr">
        <is>
          <t>No</t>
        </is>
      </c>
      <c r="AE141" s="740" t="n"/>
      <c r="AF141" s="755" t="n"/>
      <c r="AG141" s="755" t="n"/>
      <c r="AH141" s="755" t="n"/>
      <c r="AI141" s="740" t="inlineStr">
        <is>
          <t>Limit</t>
        </is>
      </c>
      <c r="AJ141" s="740" t="inlineStr">
        <is>
          <t>Yes</t>
        </is>
      </c>
      <c r="AK141" s="755" t="n"/>
      <c r="AL141" s="755" t="n"/>
      <c r="AM141" s="740" t="inlineStr">
        <is>
          <t>Yes</t>
        </is>
      </c>
      <c r="AN141" s="755" t="n"/>
      <c r="AO141" s="755" t="n"/>
      <c r="AP141" s="740" t="inlineStr">
        <is>
          <t>Pullback</t>
        </is>
      </c>
      <c r="AQ141" s="740" t="inlineStr">
        <is>
          <t>DAILY</t>
        </is>
      </c>
      <c r="AR141" s="740" t="inlineStr">
        <is>
          <t>No</t>
        </is>
      </c>
      <c r="AS141" s="755" t="n"/>
      <c r="AT141" s="755" t="n"/>
      <c r="AU141" s="755" t="n"/>
      <c r="AV141" s="755" t="n"/>
      <c r="AW141" s="740" t="inlineStr">
        <is>
          <t>trade</t>
        </is>
      </c>
      <c r="AX141" s="756" t="inlineStr">
        <is>
          <t>sig:64e175f7ad58cdaada997895</t>
        </is>
      </c>
    </row>
    <row r="142" ht="15" customHeight="1">
      <c r="A142" s="716" t="inlineStr">
        <is>
          <t>F1006</t>
        </is>
      </c>
      <c r="B142" s="717" t="n">
        <v>45310.00768518518</v>
      </c>
      <c r="C142" s="718" t="n">
        <v>45310.96194444445</v>
      </c>
      <c r="D142" s="719" t="inlineStr">
        <is>
          <t>OANDA LIVE</t>
        </is>
      </c>
      <c r="E142" s="719" t="inlineStr">
        <is>
          <t>CADCHF</t>
        </is>
      </c>
      <c r="F142" s="719" t="inlineStr">
        <is>
          <t>SELL</t>
        </is>
      </c>
      <c r="G142" s="735" t="n">
        <v>0.01128</v>
      </c>
      <c r="H142" s="720" t="n">
        <v>0.64307</v>
      </c>
      <c r="I142" s="720" t="n">
        <v>0.64533</v>
      </c>
      <c r="J142" s="721" t="n">
        <v>0.64555</v>
      </c>
      <c r="K142" s="722" t="n">
        <v>0.003856500847497048</v>
      </c>
      <c r="L142" s="721" t="n">
        <v>0.63811</v>
      </c>
      <c r="M142" s="722" t="n">
        <v>0.007713001694994441</v>
      </c>
      <c r="N142" s="761" t="n"/>
      <c r="O142" s="762" t="n">
        <v>-4.6227</v>
      </c>
      <c r="P142" s="725" t="n">
        <v>-0.009482409020503886</v>
      </c>
      <c r="Q142" s="726" t="n">
        <v>-0.9112903225806434</v>
      </c>
      <c r="R142" s="764" t="n">
        <v>482.88</v>
      </c>
      <c r="S142" s="719" t="inlineStr">
        <is>
          <t>22H 54M 8S</t>
        </is>
      </c>
      <c r="T142" s="728" t="n"/>
      <c r="U142" s="729" t="n"/>
      <c r="V142" s="730" t="n"/>
      <c r="W142" s="731" t="n"/>
      <c r="X142" s="732" t="n"/>
      <c r="Y142" s="728" t="n"/>
      <c r="Z142" s="729" t="n"/>
      <c r="AA142" s="730" t="n"/>
      <c r="AB142" s="731" t="n"/>
      <c r="AC142" s="732" t="n"/>
      <c r="AD142" s="719" t="inlineStr">
        <is>
          <t>No</t>
        </is>
      </c>
      <c r="AE142" s="733" t="n"/>
      <c r="AF142" s="733" t="n"/>
      <c r="AG142" s="733" t="n"/>
      <c r="AH142" s="719" t="inlineStr">
        <is>
          <t>All-Time Low</t>
        </is>
      </c>
      <c r="AI142" s="719" t="inlineStr">
        <is>
          <t>Limit</t>
        </is>
      </c>
      <c r="AJ142" s="733" t="n"/>
      <c r="AK142" s="733" t="n"/>
      <c r="AL142" s="733" t="n"/>
      <c r="AM142" s="733" t="n"/>
      <c r="AN142" s="733" t="n"/>
      <c r="AO142" s="719" t="inlineStr">
        <is>
          <t>Yes</t>
        </is>
      </c>
      <c r="AP142" s="719" t="inlineStr">
        <is>
          <t>Pullback</t>
        </is>
      </c>
      <c r="AQ142" s="719" t="inlineStr">
        <is>
          <t>4H</t>
        </is>
      </c>
      <c r="AR142" s="719" t="inlineStr">
        <is>
          <t>No</t>
        </is>
      </c>
      <c r="AS142" s="733" t="n"/>
      <c r="AT142" s="733" t="n"/>
      <c r="AU142" s="733" t="n"/>
      <c r="AV142" s="733" t="n"/>
      <c r="AW142" s="719" t="inlineStr">
        <is>
          <t>trade</t>
        </is>
      </c>
      <c r="AX142" s="734" t="inlineStr">
        <is>
          <t>oanda_export:live:348:353</t>
        </is>
      </c>
    </row>
    <row r="143" ht="15" customHeight="1">
      <c r="A143" s="716" t="inlineStr">
        <is>
          <t>C326</t>
        </is>
      </c>
      <c r="B143" s="717" t="n">
        <v>45304.14027777778</v>
      </c>
      <c r="C143" s="718" t="n">
        <v>45304.14236111111</v>
      </c>
      <c r="D143" s="719" t="inlineStr">
        <is>
          <t>BYBIT</t>
        </is>
      </c>
      <c r="E143" s="719" t="inlineStr">
        <is>
          <t>ETHUSDT</t>
        </is>
      </c>
      <c r="F143" s="719" t="inlineStr">
        <is>
          <t>BUY</t>
        </is>
      </c>
      <c r="G143" s="720" t="n">
        <v>0.13</v>
      </c>
      <c r="H143" s="720" t="n">
        <v>2577.57</v>
      </c>
      <c r="I143" s="720" t="n">
        <v>2559.61</v>
      </c>
      <c r="J143" s="721" t="n">
        <v>2559.72</v>
      </c>
      <c r="K143" s="722" t="n">
        <v>0.006925127154645795</v>
      </c>
      <c r="L143" s="721" t="n">
        <v>2613.27</v>
      </c>
      <c r="M143" s="722" t="n">
        <v>0.01385025430929124</v>
      </c>
      <c r="N143" s="758" t="n">
        <v>0.25002894</v>
      </c>
      <c r="O143" s="724" t="n">
        <v>-2.58569559</v>
      </c>
      <c r="P143" s="725" t="n">
        <v>-0.01089289470120525</v>
      </c>
      <c r="Q143" s="726" t="n">
        <v>-1.006162464985976</v>
      </c>
      <c r="R143" s="727" t="n">
        <v>234.7888187999999</v>
      </c>
      <c r="S143" s="719" t="inlineStr">
        <is>
          <t>3M 0S</t>
        </is>
      </c>
      <c r="T143" s="728" t="n"/>
      <c r="U143" s="729" t="n"/>
      <c r="V143" s="730" t="n"/>
      <c r="W143" s="731" t="n"/>
      <c r="X143" s="732" t="n"/>
      <c r="Y143" s="728" t="n"/>
      <c r="Z143" s="729" t="n"/>
      <c r="AA143" s="730" t="n"/>
      <c r="AB143" s="731" t="n"/>
      <c r="AC143" s="732" t="n"/>
      <c r="AD143" s="719" t="inlineStr">
        <is>
          <t>No</t>
        </is>
      </c>
      <c r="AE143" s="733" t="n"/>
      <c r="AF143" s="733" t="n"/>
      <c r="AG143" s="733" t="n"/>
      <c r="AH143" s="733" t="n"/>
      <c r="AI143" s="719" t="inlineStr">
        <is>
          <t>Limit</t>
        </is>
      </c>
      <c r="AJ143" s="733" t="n"/>
      <c r="AK143" s="719" t="inlineStr">
        <is>
          <t>Yes</t>
        </is>
      </c>
      <c r="AL143" s="733" t="n"/>
      <c r="AM143" s="733" t="n"/>
      <c r="AN143" s="719" t="inlineStr">
        <is>
          <t>Yes</t>
        </is>
      </c>
      <c r="AO143" s="733" t="n"/>
      <c r="AP143" s="719" t="inlineStr">
        <is>
          <t>Pullback</t>
        </is>
      </c>
      <c r="AQ143" s="719" t="inlineStr">
        <is>
          <t>15MIN</t>
        </is>
      </c>
      <c r="AR143" s="719" t="inlineStr">
        <is>
          <t>No</t>
        </is>
      </c>
      <c r="AS143" s="733" t="n"/>
      <c r="AT143" s="733" t="n"/>
      <c r="AU143" s="733" t="n"/>
      <c r="AV143" s="733" t="n"/>
      <c r="AW143" s="719" t="inlineStr">
        <is>
          <t>trade</t>
        </is>
      </c>
      <c r="AX143" s="734" t="inlineStr">
        <is>
          <t>sig:7e1e019594e684ff69a81545</t>
        </is>
      </c>
    </row>
    <row r="144" ht="15" customHeight="1">
      <c r="A144" s="716" t="inlineStr">
        <is>
          <t>F1005</t>
        </is>
      </c>
      <c r="B144" s="717" t="n">
        <v>45294.92582175926</v>
      </c>
      <c r="C144" s="718" t="n">
        <v>45294.92780092593</v>
      </c>
      <c r="D144" s="719" t="inlineStr">
        <is>
          <t>PEPPERSTONE LIVE</t>
        </is>
      </c>
      <c r="E144" s="719" t="inlineStr">
        <is>
          <t>EURUSD</t>
        </is>
      </c>
      <c r="F144" s="719" t="inlineStr">
        <is>
          <t>SELL</t>
        </is>
      </c>
      <c r="G144" s="735" t="n">
        <v>0.08</v>
      </c>
      <c r="H144" s="720" t="n">
        <v>1.09236</v>
      </c>
      <c r="I144" s="720" t="n">
        <v>1.09276</v>
      </c>
      <c r="J144" s="721" t="n">
        <v>1.09276</v>
      </c>
      <c r="K144" s="760" t="n">
        <v>0.0003661796477351385</v>
      </c>
      <c r="L144" s="721" t="n">
        <v>1.09156</v>
      </c>
      <c r="M144" s="760" t="n">
        <v>0.0007323592954702771</v>
      </c>
      <c r="N144" s="761" t="n">
        <v>0.5600000000000001</v>
      </c>
      <c r="O144" s="762" t="n">
        <v>-5.31</v>
      </c>
      <c r="P144" s="725" t="n">
        <v>-0.003551221861081016</v>
      </c>
      <c r="Q144" s="726" t="n">
        <v>-1</v>
      </c>
      <c r="R144" s="764" t="n">
        <v>1489.95</v>
      </c>
      <c r="S144" s="719" t="inlineStr">
        <is>
          <t>2M 51S</t>
        </is>
      </c>
      <c r="T144" s="728" t="n"/>
      <c r="U144" s="729" t="n"/>
      <c r="V144" s="730" t="n"/>
      <c r="W144" s="731" t="n"/>
      <c r="X144" s="732" t="n"/>
      <c r="Y144" s="728" t="n"/>
      <c r="Z144" s="729" t="n"/>
      <c r="AA144" s="730" t="n"/>
      <c r="AB144" s="731" t="n"/>
      <c r="AC144" s="732" t="n"/>
      <c r="AD144" s="719" t="inlineStr">
        <is>
          <t>No</t>
        </is>
      </c>
      <c r="AE144" s="719" t="inlineStr">
        <is>
          <t>channel</t>
        </is>
      </c>
      <c r="AF144" s="719" t="inlineStr">
        <is>
          <t>9</t>
        </is>
      </c>
      <c r="AG144" s="733" t="n"/>
      <c r="AH144" s="733" t="n"/>
      <c r="AI144" s="719" t="inlineStr">
        <is>
          <t>Limit</t>
        </is>
      </c>
      <c r="AJ144" s="733" t="n"/>
      <c r="AK144" s="733" t="n"/>
      <c r="AL144" s="733" t="n"/>
      <c r="AM144" s="733" t="n"/>
      <c r="AN144" s="733" t="n"/>
      <c r="AO144" s="733" t="n"/>
      <c r="AP144" s="719" t="inlineStr">
        <is>
          <t>Pullback</t>
        </is>
      </c>
      <c r="AQ144" s="719" t="inlineStr">
        <is>
          <t>5MIN</t>
        </is>
      </c>
      <c r="AR144" s="719" t="inlineStr">
        <is>
          <t>No</t>
        </is>
      </c>
      <c r="AS144" s="733" t="n"/>
      <c r="AT144" s="733" t="n"/>
      <c r="AU144" s="733" t="n"/>
      <c r="AV144" s="733" t="n"/>
      <c r="AW144" s="719" t="inlineStr">
        <is>
          <t>trade</t>
        </is>
      </c>
      <c r="AX144" s="734" t="inlineStr">
        <is>
          <t>sig:4c9f92ab27a5e576c4d0e282</t>
        </is>
      </c>
    </row>
    <row r="145" ht="15" customHeight="1">
      <c r="A145" s="716" t="inlineStr">
        <is>
          <t>C325</t>
        </is>
      </c>
      <c r="B145" s="717" t="n">
        <v>45294.92291666667</v>
      </c>
      <c r="C145" s="718" t="n">
        <v>45294.92291666667</v>
      </c>
      <c r="D145" s="719" t="inlineStr">
        <is>
          <t>BYBIT</t>
        </is>
      </c>
      <c r="E145" s="719" t="inlineStr">
        <is>
          <t>ETHUSDT</t>
        </is>
      </c>
      <c r="F145" s="719" t="inlineStr">
        <is>
          <t>BUY</t>
        </is>
      </c>
      <c r="G145" s="735" t="n">
        <v>0.07000000000000001</v>
      </c>
      <c r="H145" s="720" t="n">
        <v>2131.35</v>
      </c>
      <c r="I145" s="720" t="n">
        <v>2100.83</v>
      </c>
      <c r="J145" s="721" t="n">
        <v>2097.22</v>
      </c>
      <c r="K145" s="722" t="n">
        <v>0.01601332488798185</v>
      </c>
      <c r="L145" s="721" t="n">
        <v>2199.61</v>
      </c>
      <c r="M145" s="722" t="n">
        <v>0.03202664977596369</v>
      </c>
      <c r="N145" s="758" t="n">
        <v>0.11072086</v>
      </c>
      <c r="O145" s="724" t="n">
        <v>-2.24798751</v>
      </c>
      <c r="P145" s="725" t="n">
        <v>-0.009381370665005986</v>
      </c>
      <c r="Q145" s="726" t="n">
        <v>-0.8942279519484291</v>
      </c>
      <c r="R145" s="727" t="n">
        <v>237.3745143899999</v>
      </c>
      <c r="S145" s="719" t="inlineStr">
        <is>
          <t>1S</t>
        </is>
      </c>
      <c r="T145" s="728" t="n"/>
      <c r="U145" s="729" t="n"/>
      <c r="V145" s="730" t="n"/>
      <c r="W145" s="731" t="n"/>
      <c r="X145" s="732" t="n"/>
      <c r="Y145" s="728" t="n"/>
      <c r="Z145" s="729" t="n"/>
      <c r="AA145" s="730" t="n"/>
      <c r="AB145" s="731" t="n"/>
      <c r="AC145" s="732" t="n"/>
      <c r="AD145" s="719" t="inlineStr">
        <is>
          <t>No</t>
        </is>
      </c>
      <c r="AE145" s="733" t="n"/>
      <c r="AF145" s="733" t="n"/>
      <c r="AG145" s="733" t="n"/>
      <c r="AH145" s="733" t="n"/>
      <c r="AI145" s="719" t="inlineStr">
        <is>
          <t>Limit</t>
        </is>
      </c>
      <c r="AJ145" s="733" t="n"/>
      <c r="AK145" s="719" t="n"/>
      <c r="AL145" s="733" t="n"/>
      <c r="AM145" s="733" t="n"/>
      <c r="AN145" s="733" t="n"/>
      <c r="AO145" s="733" t="n"/>
      <c r="AP145" s="719" t="inlineStr">
        <is>
          <t>Pullback</t>
        </is>
      </c>
      <c r="AQ145" s="719" t="inlineStr">
        <is>
          <t>4H</t>
        </is>
      </c>
      <c r="AR145" s="719" t="inlineStr">
        <is>
          <t>No</t>
        </is>
      </c>
      <c r="AS145" s="733" t="n"/>
      <c r="AT145" s="733" t="n"/>
      <c r="AU145" s="733" t="n"/>
      <c r="AV145" s="733" t="n"/>
      <c r="AW145" s="719" t="inlineStr">
        <is>
          <t>trade</t>
        </is>
      </c>
      <c r="AX145" s="734" t="inlineStr">
        <is>
          <t>sig:628665f225672942cfa73ef8</t>
        </is>
      </c>
    </row>
    <row r="146" ht="15" customHeight="1">
      <c r="A146" s="737" t="inlineStr">
        <is>
          <t>F1004</t>
        </is>
      </c>
      <c r="B146" s="738" t="n">
        <v>45271.94415509259</v>
      </c>
      <c r="C146" s="739" t="n">
        <v>45272.85635416667</v>
      </c>
      <c r="D146" s="740" t="inlineStr">
        <is>
          <t>OANDA LIVE</t>
        </is>
      </c>
      <c r="E146" s="740" t="inlineStr">
        <is>
          <t>CADCHF</t>
        </is>
      </c>
      <c r="F146" s="740" t="inlineStr">
        <is>
          <t>SELL</t>
        </is>
      </c>
      <c r="G146" s="775" t="n">
        <v>0.02135</v>
      </c>
      <c r="H146" s="742" t="n">
        <v>0.64861</v>
      </c>
      <c r="I146" s="742" t="n">
        <v>0.64599</v>
      </c>
      <c r="J146" s="743" t="n">
        <v>0.64989</v>
      </c>
      <c r="K146" s="744" t="n">
        <v>0.001973450918117124</v>
      </c>
      <c r="L146" s="743" t="n">
        <v>0.64599</v>
      </c>
      <c r="M146" s="744" t="n">
        <v>0.004039407348021256</v>
      </c>
      <c r="N146" s="796" t="n"/>
      <c r="O146" s="767" t="n">
        <v>9.347199999999999</v>
      </c>
      <c r="P146" s="747" t="n">
        <v>0.01954856271886309</v>
      </c>
      <c r="Q146" s="748" t="n">
        <v>2.046875000000135</v>
      </c>
      <c r="R146" s="769" t="n">
        <v>487.5</v>
      </c>
      <c r="S146" s="740" t="inlineStr">
        <is>
          <t>21H 53M 34S</t>
        </is>
      </c>
      <c r="T146" s="750" t="n"/>
      <c r="U146" s="751" t="n"/>
      <c r="V146" s="752" t="n"/>
      <c r="W146" s="753" t="n"/>
      <c r="X146" s="754" t="n"/>
      <c r="Y146" s="750" t="n"/>
      <c r="Z146" s="751" t="n"/>
      <c r="AA146" s="752" t="n"/>
      <c r="AB146" s="753" t="n"/>
      <c r="AC146" s="754" t="n"/>
      <c r="AD146" s="740" t="inlineStr">
        <is>
          <t>No</t>
        </is>
      </c>
      <c r="AE146" s="740" t="inlineStr">
        <is>
          <t>range</t>
        </is>
      </c>
      <c r="AF146" s="755" t="n"/>
      <c r="AG146" s="755" t="n"/>
      <c r="AH146" s="755" t="n"/>
      <c r="AI146" s="740" t="inlineStr">
        <is>
          <t>Limit</t>
        </is>
      </c>
      <c r="AJ146" s="755" t="n"/>
      <c r="AK146" s="755" t="n"/>
      <c r="AL146" s="740" t="inlineStr">
        <is>
          <t>Yes</t>
        </is>
      </c>
      <c r="AM146" s="755" t="n"/>
      <c r="AN146" s="755" t="n"/>
      <c r="AO146" s="755" t="n"/>
      <c r="AP146" s="740" t="inlineStr">
        <is>
          <t>Pullback</t>
        </is>
      </c>
      <c r="AQ146" s="740" t="inlineStr">
        <is>
          <t>4H</t>
        </is>
      </c>
      <c r="AR146" s="740" t="inlineStr">
        <is>
          <t>No</t>
        </is>
      </c>
      <c r="AS146" s="755" t="n"/>
      <c r="AT146" s="755" t="n"/>
      <c r="AU146" s="755" t="n"/>
      <c r="AV146" s="755" t="n"/>
      <c r="AW146" s="740" t="inlineStr">
        <is>
          <t>trade</t>
        </is>
      </c>
      <c r="AX146" s="756" t="inlineStr">
        <is>
          <t>oanda_export:live:340:344</t>
        </is>
      </c>
    </row>
    <row r="147" ht="15" customHeight="1">
      <c r="A147" s="737" t="inlineStr">
        <is>
          <t>F1003</t>
        </is>
      </c>
      <c r="B147" s="738" t="n">
        <v>45271.84413194445</v>
      </c>
      <c r="C147" s="739" t="n">
        <v>45272.10560185185</v>
      </c>
      <c r="D147" s="740" t="inlineStr">
        <is>
          <t>PEPPERSTONE LIVE</t>
        </is>
      </c>
      <c r="E147" s="740" t="inlineStr">
        <is>
          <t>EURUSD</t>
        </is>
      </c>
      <c r="F147" s="740" t="inlineStr">
        <is>
          <t>SELL</t>
        </is>
      </c>
      <c r="G147" s="775" t="n">
        <v>0.02</v>
      </c>
      <c r="H147" s="742" t="n">
        <v>1.0774</v>
      </c>
      <c r="I147" s="742" t="n">
        <v>1.0742</v>
      </c>
      <c r="J147" s="743" t="n">
        <v>1.07897</v>
      </c>
      <c r="K147" s="744" t="n">
        <v>0.001457211806200178</v>
      </c>
      <c r="L147" s="743" t="n">
        <v>1.07417</v>
      </c>
      <c r="M147" s="744" t="n">
        <v>0.002997958047150403</v>
      </c>
      <c r="N147" s="766" t="n">
        <v>0.14</v>
      </c>
      <c r="O147" s="767" t="n">
        <v>9.59</v>
      </c>
      <c r="P147" s="747" t="n">
        <v>0.006455000100964547</v>
      </c>
      <c r="Q147" s="748" t="n">
        <v>2.038216560509378</v>
      </c>
      <c r="R147" s="769" t="n">
        <v>1495.26</v>
      </c>
      <c r="S147" s="740" t="inlineStr">
        <is>
          <t>6H 16M 31S</t>
        </is>
      </c>
      <c r="T147" s="750" t="n"/>
      <c r="U147" s="751" t="n"/>
      <c r="V147" s="752" t="n"/>
      <c r="W147" s="753" t="n"/>
      <c r="X147" s="754" t="n"/>
      <c r="Y147" s="750" t="n"/>
      <c r="Z147" s="751" t="n"/>
      <c r="AA147" s="752" t="n"/>
      <c r="AB147" s="753" t="n"/>
      <c r="AC147" s="754" t="n"/>
      <c r="AD147" s="740" t="inlineStr">
        <is>
          <t>No</t>
        </is>
      </c>
      <c r="AE147" s="740" t="inlineStr">
        <is>
          <t>channel</t>
        </is>
      </c>
      <c r="AF147" s="755" t="n"/>
      <c r="AG147" s="740" t="n"/>
      <c r="AH147" s="755" t="n"/>
      <c r="AI147" s="740" t="inlineStr">
        <is>
          <t>Limit</t>
        </is>
      </c>
      <c r="AJ147" s="740" t="n"/>
      <c r="AK147" s="755" t="n"/>
      <c r="AL147" s="755" t="n"/>
      <c r="AM147" s="755" t="n"/>
      <c r="AN147" s="755" t="n"/>
      <c r="AO147" s="755" t="n"/>
      <c r="AP147" s="740" t="inlineStr">
        <is>
          <t>Pullback</t>
        </is>
      </c>
      <c r="AQ147" s="740" t="inlineStr">
        <is>
          <t>4H</t>
        </is>
      </c>
      <c r="AR147" s="740" t="inlineStr">
        <is>
          <t>No</t>
        </is>
      </c>
      <c r="AS147" s="755" t="n"/>
      <c r="AT147" s="755" t="n"/>
      <c r="AU147" s="755" t="n"/>
      <c r="AV147" s="755" t="n"/>
      <c r="AW147" s="740" t="inlineStr">
        <is>
          <t>trade</t>
        </is>
      </c>
      <c r="AX147" s="756" t="inlineStr">
        <is>
          <t>sig:075accac066cb0feb5616e4c</t>
        </is>
      </c>
    </row>
    <row r="148" ht="15" customHeight="1">
      <c r="A148" s="716" t="inlineStr">
        <is>
          <t>F1002</t>
        </is>
      </c>
      <c r="B148" s="717" t="n">
        <v>45267.73164351852</v>
      </c>
      <c r="C148" s="718" t="n">
        <v>45268.06335648148</v>
      </c>
      <c r="D148" s="719" t="inlineStr">
        <is>
          <t>OANDA LIVE</t>
        </is>
      </c>
      <c r="E148" s="719" t="inlineStr">
        <is>
          <t>USDJPY</t>
        </is>
      </c>
      <c r="F148" s="719" t="inlineStr">
        <is>
          <t>BUY</t>
        </is>
      </c>
      <c r="G148" s="757" t="n">
        <v>0.00319</v>
      </c>
      <c r="H148" s="720" t="n">
        <v>145.756</v>
      </c>
      <c r="I148" s="720" t="n">
        <v>144.287</v>
      </c>
      <c r="J148" s="721" t="n">
        <v>144.122</v>
      </c>
      <c r="K148" s="722" t="n">
        <v>0.0112105162051647</v>
      </c>
      <c r="L148" s="721" t="n">
        <v>148.517</v>
      </c>
      <c r="M148" s="722" t="n">
        <v>0.01894261642745407</v>
      </c>
      <c r="N148" s="788" t="n"/>
      <c r="O148" s="762" t="n">
        <v>-4.9551</v>
      </c>
      <c r="P148" s="725" t="n">
        <v>-0.01025677435406912</v>
      </c>
      <c r="Q148" s="726" t="n">
        <v>-0.8990208078335413</v>
      </c>
      <c r="R148" s="764" t="n">
        <v>478.15</v>
      </c>
      <c r="S148" s="719" t="inlineStr">
        <is>
          <t>7H 57M 40S</t>
        </is>
      </c>
      <c r="T148" s="728" t="n"/>
      <c r="U148" s="729" t="n"/>
      <c r="V148" s="730" t="n"/>
      <c r="W148" s="731" t="n"/>
      <c r="X148" s="732" t="n"/>
      <c r="Y148" s="728" t="n"/>
      <c r="Z148" s="729" t="n"/>
      <c r="AA148" s="730" t="n"/>
      <c r="AB148" s="731" t="n"/>
      <c r="AC148" s="732" t="n"/>
      <c r="AD148" s="719" t="inlineStr">
        <is>
          <t>No</t>
        </is>
      </c>
      <c r="AE148" s="719" t="inlineStr">
        <is>
          <t>channel</t>
        </is>
      </c>
      <c r="AF148" s="733" t="n"/>
      <c r="AG148" s="733" t="n"/>
      <c r="AH148" s="733" t="n"/>
      <c r="AI148" s="719" t="inlineStr">
        <is>
          <t>Limit</t>
        </is>
      </c>
      <c r="AJ148" s="733" t="n"/>
      <c r="AK148" s="733" t="n"/>
      <c r="AL148" s="733" t="n"/>
      <c r="AM148" s="733" t="n"/>
      <c r="AN148" s="733" t="n"/>
      <c r="AO148" s="733" t="n"/>
      <c r="AP148" s="719" t="inlineStr">
        <is>
          <t>Pullback</t>
        </is>
      </c>
      <c r="AQ148" s="719" t="inlineStr">
        <is>
          <t>WEEKLY</t>
        </is>
      </c>
      <c r="AR148" s="719" t="inlineStr">
        <is>
          <t>No</t>
        </is>
      </c>
      <c r="AS148" s="733" t="n"/>
      <c r="AT148" s="733" t="n"/>
      <c r="AU148" s="733" t="n"/>
      <c r="AV148" s="733" t="n"/>
      <c r="AW148" s="719" t="inlineStr">
        <is>
          <t>trade</t>
        </is>
      </c>
      <c r="AX148" s="734" t="inlineStr">
        <is>
          <t>oanda_export:live:335:338</t>
        </is>
      </c>
    </row>
    <row r="149" ht="15" customHeight="1">
      <c r="A149" s="716" t="inlineStr">
        <is>
          <t>F1001</t>
        </is>
      </c>
      <c r="B149" s="717" t="n">
        <v>45267.45453703704</v>
      </c>
      <c r="C149" s="718" t="n">
        <v>45267.50576388889</v>
      </c>
      <c r="D149" s="719" t="inlineStr">
        <is>
          <t>OANDA LIVE</t>
        </is>
      </c>
      <c r="E149" s="719" t="inlineStr">
        <is>
          <t>GBPJPY</t>
        </is>
      </c>
      <c r="F149" s="719" t="inlineStr">
        <is>
          <t>BUY</t>
        </is>
      </c>
      <c r="G149" s="735" t="n">
        <v>0.0153</v>
      </c>
      <c r="H149" s="720" t="n">
        <v>184.652</v>
      </c>
      <c r="I149" s="720" t="n">
        <v>184.35</v>
      </c>
      <c r="J149" s="721" t="n">
        <v>184.351</v>
      </c>
      <c r="K149" s="722" t="n">
        <v>0.001630093364815912</v>
      </c>
      <c r="L149" s="721" t="n">
        <v>185.275</v>
      </c>
      <c r="M149" s="722" t="n">
        <v>0.003373914173688988</v>
      </c>
      <c r="N149" s="788" t="n"/>
      <c r="O149" s="762" t="n">
        <v>-4.8294</v>
      </c>
      <c r="P149" s="725" t="n">
        <v>-0.00989754055524108</v>
      </c>
      <c r="Q149" s="726" t="n">
        <v>-1.003322259136229</v>
      </c>
      <c r="R149" s="764" t="n">
        <v>483.11</v>
      </c>
      <c r="S149" s="719" t="inlineStr">
        <is>
          <t>1H 13M 46S</t>
        </is>
      </c>
      <c r="T149" s="728" t="n"/>
      <c r="U149" s="729" t="n"/>
      <c r="V149" s="730" t="n"/>
      <c r="W149" s="731" t="n"/>
      <c r="X149" s="732" t="n"/>
      <c r="Y149" s="728" t="n"/>
      <c r="Z149" s="729" t="n"/>
      <c r="AA149" s="730" t="n"/>
      <c r="AB149" s="731" t="n"/>
      <c r="AC149" s="732" t="n"/>
      <c r="AD149" s="719" t="inlineStr">
        <is>
          <t>No</t>
        </is>
      </c>
      <c r="AE149" s="719" t="inlineStr">
        <is>
          <t>range</t>
        </is>
      </c>
      <c r="AF149" s="733" t="n"/>
      <c r="AG149" s="719" t="n"/>
      <c r="AH149" s="733" t="n"/>
      <c r="AI149" s="719" t="inlineStr">
        <is>
          <t>Limit</t>
        </is>
      </c>
      <c r="AJ149" s="719" t="n"/>
      <c r="AK149" s="733" t="n"/>
      <c r="AL149" s="733" t="n"/>
      <c r="AM149" s="733" t="n"/>
      <c r="AN149" s="733" t="n"/>
      <c r="AO149" s="719" t="n"/>
      <c r="AP149" s="719" t="inlineStr">
        <is>
          <t>Pullback</t>
        </is>
      </c>
      <c r="AQ149" s="719" t="inlineStr">
        <is>
          <t>4H</t>
        </is>
      </c>
      <c r="AR149" s="719" t="inlineStr">
        <is>
          <t>No</t>
        </is>
      </c>
      <c r="AS149" s="733" t="n"/>
      <c r="AT149" s="733" t="n"/>
      <c r="AU149" s="733" t="n"/>
      <c r="AV149" s="733" t="n"/>
      <c r="AW149" s="719" t="inlineStr">
        <is>
          <t>trade</t>
        </is>
      </c>
      <c r="AX149" s="734" t="inlineStr">
        <is>
          <t>oanda_export:live:330:333</t>
        </is>
      </c>
    </row>
    <row r="150" ht="15" customHeight="1">
      <c r="A150" s="716" t="inlineStr">
        <is>
          <t>F1000</t>
        </is>
      </c>
      <c r="B150" s="717" t="n">
        <v>45224.7937962963</v>
      </c>
      <c r="C150" s="718" t="n">
        <v>45224.81024305556</v>
      </c>
      <c r="D150" s="719" t="inlineStr">
        <is>
          <t>PEPPERSTONE LIVE</t>
        </is>
      </c>
      <c r="E150" s="719" t="inlineStr">
        <is>
          <t>USDCHF</t>
        </is>
      </c>
      <c r="F150" s="719" t="inlineStr">
        <is>
          <t>SELL</t>
        </is>
      </c>
      <c r="G150" s="735" t="n">
        <v>0.04</v>
      </c>
      <c r="H150" s="720" t="n">
        <v>0.8955</v>
      </c>
      <c r="I150" s="720" t="n">
        <v>0.8961</v>
      </c>
      <c r="J150" s="721" t="n">
        <v>0.89607</v>
      </c>
      <c r="K150" s="760" t="n">
        <v>0.0006365159128979012</v>
      </c>
      <c r="L150" s="721" t="n">
        <v>0.8943</v>
      </c>
      <c r="M150" s="722" t="n">
        <v>0.001340033500837497</v>
      </c>
      <c r="N150" s="761" t="n">
        <v>0.28</v>
      </c>
      <c r="O150" s="762" t="n">
        <v>-4.58</v>
      </c>
      <c r="P150" s="725" t="n">
        <v>-0.00307330984734105</v>
      </c>
      <c r="Q150" s="726" t="n">
        <v>-1.052631578947317</v>
      </c>
      <c r="R150" s="764" t="n">
        <v>1485.67</v>
      </c>
      <c r="S150" s="719" t="inlineStr">
        <is>
          <t>23M 41S</t>
        </is>
      </c>
      <c r="T150" s="728" t="n"/>
      <c r="U150" s="729" t="n"/>
      <c r="V150" s="730" t="n"/>
      <c r="W150" s="731" t="n"/>
      <c r="X150" s="732" t="n"/>
      <c r="Y150" s="728" t="n"/>
      <c r="Z150" s="729" t="n"/>
      <c r="AA150" s="730" t="n"/>
      <c r="AB150" s="731" t="n"/>
      <c r="AC150" s="732" t="n"/>
      <c r="AD150" s="719" t="inlineStr">
        <is>
          <t>No</t>
        </is>
      </c>
      <c r="AE150" s="733" t="n"/>
      <c r="AF150" s="719" t="n"/>
      <c r="AG150" s="733" t="n"/>
      <c r="AH150" s="733" t="n"/>
      <c r="AI150" s="719" t="inlineStr">
        <is>
          <t>Limit</t>
        </is>
      </c>
      <c r="AJ150" s="733" t="n"/>
      <c r="AK150" s="733" t="n"/>
      <c r="AL150" s="733" t="n"/>
      <c r="AM150" s="733" t="n"/>
      <c r="AN150" s="733" t="n"/>
      <c r="AO150" s="733" t="n"/>
      <c r="AP150" s="719" t="inlineStr">
        <is>
          <t>Pullback</t>
        </is>
      </c>
      <c r="AQ150" s="719" t="inlineStr">
        <is>
          <t>1H</t>
        </is>
      </c>
      <c r="AR150" s="719" t="inlineStr">
        <is>
          <t>No</t>
        </is>
      </c>
      <c r="AS150" s="733" t="n"/>
      <c r="AT150" s="733" t="n"/>
      <c r="AU150" s="733" t="n"/>
      <c r="AV150" s="733" t="n"/>
      <c r="AW150" s="719" t="inlineStr">
        <is>
          <t>trade</t>
        </is>
      </c>
      <c r="AX150" s="734" t="inlineStr">
        <is>
          <t>sig:3c4d26171e00a46025a7e181</t>
        </is>
      </c>
    </row>
    <row r="151" ht="15" customHeight="1">
      <c r="A151" s="716" t="inlineStr">
        <is>
          <t>F999</t>
        </is>
      </c>
      <c r="B151" s="717" t="n">
        <v>45223.98878472222</v>
      </c>
      <c r="C151" s="718" t="n">
        <v>45223.99059027778</v>
      </c>
      <c r="D151" s="719" t="inlineStr">
        <is>
          <t>PEPPERSTONE LIVE</t>
        </is>
      </c>
      <c r="E151" s="719" t="inlineStr">
        <is>
          <t>USDCAD</t>
        </is>
      </c>
      <c r="F151" s="719" t="inlineStr">
        <is>
          <t>SELL</t>
        </is>
      </c>
      <c r="G151" s="735" t="n">
        <v>0.05</v>
      </c>
      <c r="H151" s="720" t="n">
        <v>1.3725</v>
      </c>
      <c r="I151" s="720" t="n">
        <v>1.3733</v>
      </c>
      <c r="J151" s="721" t="n">
        <v>1.3733</v>
      </c>
      <c r="K151" s="760" t="n">
        <v>0.0005828779599270761</v>
      </c>
      <c r="L151" s="721" t="n">
        <v>1.37102</v>
      </c>
      <c r="M151" s="722" t="n">
        <v>0.001078324225865317</v>
      </c>
      <c r="N151" s="761" t="n">
        <v>0.35</v>
      </c>
      <c r="O151" s="762" t="n">
        <v>-4.71</v>
      </c>
      <c r="P151" s="725" t="n">
        <v>-0.003150585968855354</v>
      </c>
      <c r="Q151" s="726" t="n">
        <v>-1</v>
      </c>
      <c r="R151" s="764" t="n">
        <v>1490.25</v>
      </c>
      <c r="S151" s="719" t="inlineStr">
        <is>
          <t>2M 36S</t>
        </is>
      </c>
      <c r="T151" s="728" t="n"/>
      <c r="U151" s="729" t="n"/>
      <c r="V151" s="730" t="n"/>
      <c r="W151" s="731" t="n"/>
      <c r="X151" s="732" t="n"/>
      <c r="Y151" s="728" t="n"/>
      <c r="Z151" s="729" t="n"/>
      <c r="AA151" s="730" t="n"/>
      <c r="AB151" s="731" t="n"/>
      <c r="AC151" s="732" t="n"/>
      <c r="AD151" s="719" t="inlineStr">
        <is>
          <t>No</t>
        </is>
      </c>
      <c r="AE151" s="733" t="n"/>
      <c r="AF151" s="733" t="n"/>
      <c r="AG151" s="733" t="n"/>
      <c r="AH151" s="733" t="n"/>
      <c r="AI151" s="719" t="inlineStr">
        <is>
          <t>Limit</t>
        </is>
      </c>
      <c r="AJ151" s="733" t="n"/>
      <c r="AK151" s="733" t="n"/>
      <c r="AL151" s="733" t="n"/>
      <c r="AM151" s="719" t="n"/>
      <c r="AN151" s="733" t="n"/>
      <c r="AO151" s="733" t="n"/>
      <c r="AP151" s="719" t="inlineStr">
        <is>
          <t>Pullback</t>
        </is>
      </c>
      <c r="AQ151" s="719" t="inlineStr">
        <is>
          <t>1H</t>
        </is>
      </c>
      <c r="AR151" s="719" t="inlineStr">
        <is>
          <t>No</t>
        </is>
      </c>
      <c r="AS151" s="733" t="n"/>
      <c r="AT151" s="733" t="n"/>
      <c r="AU151" s="733" t="n"/>
      <c r="AV151" s="733" t="n"/>
      <c r="AW151" s="719" t="inlineStr">
        <is>
          <t>trade</t>
        </is>
      </c>
      <c r="AX151" s="734" t="inlineStr">
        <is>
          <t>sig:18c2675a5b1b00d0045d86df</t>
        </is>
      </c>
    </row>
    <row r="152" ht="15" customHeight="1">
      <c r="A152" s="716" t="inlineStr">
        <is>
          <t>F998</t>
        </is>
      </c>
      <c r="B152" s="717" t="n">
        <v>45223.00892361111</v>
      </c>
      <c r="C152" s="718" t="n">
        <v>45223.01265046297</v>
      </c>
      <c r="D152" s="719" t="inlineStr">
        <is>
          <t>PEPPERSTONE LIVE</t>
        </is>
      </c>
      <c r="E152" s="719" t="inlineStr">
        <is>
          <t>NZDUSD</t>
        </is>
      </c>
      <c r="F152" s="719" t="inlineStr">
        <is>
          <t>SELL</t>
        </is>
      </c>
      <c r="G152" s="735" t="n">
        <v>0.09</v>
      </c>
      <c r="H152" s="720" t="n">
        <v>0.5833</v>
      </c>
      <c r="I152" s="720" t="n">
        <v>0.5836</v>
      </c>
      <c r="J152" s="721" t="n">
        <v>0.58363</v>
      </c>
      <c r="K152" s="760" t="n">
        <v>0.0005657466140921335</v>
      </c>
      <c r="L152" s="721" t="n">
        <v>0.58264</v>
      </c>
      <c r="M152" s="722" t="n">
        <v>0.001131493228184457</v>
      </c>
      <c r="N152" s="761" t="n">
        <v>0.63</v>
      </c>
      <c r="O152" s="762" t="n">
        <v>-5.04</v>
      </c>
      <c r="P152" s="725" t="n">
        <v>-0.00336</v>
      </c>
      <c r="Q152" s="726" t="n">
        <v>-0.9090909090909702</v>
      </c>
      <c r="R152" s="764" t="n">
        <v>1494.96</v>
      </c>
      <c r="S152" s="719" t="inlineStr">
        <is>
          <t>5M 22S</t>
        </is>
      </c>
      <c r="T152" s="728" t="n"/>
      <c r="U152" s="729" t="n"/>
      <c r="V152" s="730" t="n"/>
      <c r="W152" s="731" t="n"/>
      <c r="X152" s="732" t="n"/>
      <c r="Y152" s="728" t="n"/>
      <c r="Z152" s="729" t="n"/>
      <c r="AA152" s="730" t="n"/>
      <c r="AB152" s="731" t="n"/>
      <c r="AC152" s="732" t="n"/>
      <c r="AD152" s="719" t="inlineStr">
        <is>
          <t>No</t>
        </is>
      </c>
      <c r="AE152" s="733" t="n"/>
      <c r="AF152" s="733" t="n"/>
      <c r="AG152" s="719" t="n"/>
      <c r="AH152" s="733" t="n"/>
      <c r="AI152" s="719" t="inlineStr">
        <is>
          <t>Limit</t>
        </is>
      </c>
      <c r="AJ152" s="719" t="n"/>
      <c r="AK152" s="733" t="n"/>
      <c r="AL152" s="733" t="n"/>
      <c r="AM152" s="719" t="n"/>
      <c r="AN152" s="733" t="n"/>
      <c r="AO152" s="733" t="n"/>
      <c r="AP152" s="719" t="inlineStr">
        <is>
          <t>Pullback</t>
        </is>
      </c>
      <c r="AQ152" s="719" t="inlineStr">
        <is>
          <t>15MIN</t>
        </is>
      </c>
      <c r="AR152" s="719" t="inlineStr">
        <is>
          <t>No</t>
        </is>
      </c>
      <c r="AS152" s="733" t="n"/>
      <c r="AT152" s="733" t="n"/>
      <c r="AU152" s="733" t="n"/>
      <c r="AV152" s="733" t="n"/>
      <c r="AW152" s="719" t="inlineStr">
        <is>
          <t>trade</t>
        </is>
      </c>
      <c r="AX152" s="734" t="inlineStr">
        <is>
          <t>sig:3c742f5d9ee6f5775e40ad51</t>
        </is>
      </c>
    </row>
    <row r="153" ht="15" customHeight="1">
      <c r="A153" s="716" t="inlineStr">
        <is>
          <t>F997</t>
        </is>
      </c>
      <c r="B153" s="717" t="n">
        <v>45203.98269675926</v>
      </c>
      <c r="C153" s="718" t="n">
        <v>45204.79122685185</v>
      </c>
      <c r="D153" s="719" t="inlineStr">
        <is>
          <t>OANDA LIVE</t>
        </is>
      </c>
      <c r="E153" s="719" t="inlineStr">
        <is>
          <t>USDCAD</t>
        </is>
      </c>
      <c r="F153" s="719" t="inlineStr">
        <is>
          <t>SELL</t>
        </is>
      </c>
      <c r="G153" s="757" t="n">
        <v>0.00885</v>
      </c>
      <c r="H153" s="720" t="n">
        <v>1.37375</v>
      </c>
      <c r="I153" s="720" t="n">
        <v>1.3785</v>
      </c>
      <c r="J153" s="721" t="n">
        <v>1.3785</v>
      </c>
      <c r="K153" s="722" t="n">
        <v>0.003457688808007303</v>
      </c>
      <c r="L153" s="721" t="n">
        <v>1.36419</v>
      </c>
      <c r="M153" s="722" t="n">
        <v>0.006959053685168344</v>
      </c>
      <c r="N153" s="788" t="n"/>
      <c r="O153" s="762" t="n">
        <v>-4.9046</v>
      </c>
      <c r="P153" s="725" t="n">
        <v>-0.009951615580245782</v>
      </c>
      <c r="Q153" s="726" t="n">
        <v>-1</v>
      </c>
      <c r="R153" s="764" t="n">
        <v>487.94</v>
      </c>
      <c r="S153" s="719" t="inlineStr">
        <is>
          <t>19H 24M 17S</t>
        </is>
      </c>
      <c r="T153" s="728" t="n"/>
      <c r="U153" s="729" t="n"/>
      <c r="V153" s="730" t="n"/>
      <c r="W153" s="731" t="n"/>
      <c r="X153" s="732" t="n"/>
      <c r="Y153" s="728" t="n"/>
      <c r="Z153" s="729" t="n"/>
      <c r="AA153" s="730" t="n"/>
      <c r="AB153" s="731" t="n"/>
      <c r="AC153" s="732" t="n"/>
      <c r="AD153" s="719" t="inlineStr">
        <is>
          <t>No</t>
        </is>
      </c>
      <c r="AE153" s="733" t="n"/>
      <c r="AF153" s="733" t="n"/>
      <c r="AG153" s="733" t="n"/>
      <c r="AH153" s="733" t="n"/>
      <c r="AI153" s="719" t="inlineStr">
        <is>
          <t>Limit</t>
        </is>
      </c>
      <c r="AJ153" s="733" t="n"/>
      <c r="AK153" s="719" t="inlineStr">
        <is>
          <t>Yes</t>
        </is>
      </c>
      <c r="AL153" s="733" t="n"/>
      <c r="AM153" s="733" t="n"/>
      <c r="AN153" s="719" t="n"/>
      <c r="AO153" s="733" t="n"/>
      <c r="AP153" s="719" t="inlineStr">
        <is>
          <t>Pullback</t>
        </is>
      </c>
      <c r="AQ153" s="719" t="inlineStr">
        <is>
          <t>WEEKLY</t>
        </is>
      </c>
      <c r="AR153" s="719" t="inlineStr">
        <is>
          <t>No</t>
        </is>
      </c>
      <c r="AS153" s="733" t="n"/>
      <c r="AT153" s="733" t="n"/>
      <c r="AU153" s="733" t="n"/>
      <c r="AV153" s="733" t="n"/>
      <c r="AW153" s="719" t="inlineStr">
        <is>
          <t>trade</t>
        </is>
      </c>
      <c r="AX153" s="734" t="inlineStr">
        <is>
          <t>oanda_export:live:313:317</t>
        </is>
      </c>
    </row>
    <row r="154" ht="15" customHeight="1">
      <c r="A154" s="737" t="inlineStr">
        <is>
          <t>F1154</t>
        </is>
      </c>
      <c r="B154" s="738" t="n">
        <v>45184.11166666666</v>
      </c>
      <c r="C154" s="739" t="n">
        <v>45184.94565972222</v>
      </c>
      <c r="D154" s="740" t="inlineStr">
        <is>
          <t>OANDA LIVE</t>
        </is>
      </c>
      <c r="E154" s="740" t="inlineStr">
        <is>
          <t>USDCAD</t>
        </is>
      </c>
      <c r="F154" s="740" t="inlineStr">
        <is>
          <t>BUY</t>
        </is>
      </c>
      <c r="G154" s="775" t="n">
        <v>0.02668</v>
      </c>
      <c r="H154" s="742" t="n">
        <v>1.35015</v>
      </c>
      <c r="I154" s="742" t="n">
        <v>1.35333</v>
      </c>
      <c r="J154" s="743" t="n">
        <v>1.34862</v>
      </c>
      <c r="K154" s="744" t="n">
        <v>0.001133207421397646</v>
      </c>
      <c r="L154" s="743" t="n">
        <v>1.3533</v>
      </c>
      <c r="M154" s="744" t="n">
        <v>0.002333074102877448</v>
      </c>
      <c r="N154" s="796" t="n"/>
      <c r="O154" s="767" t="n">
        <v>9.4855</v>
      </c>
      <c r="P154" s="747" t="n">
        <v>0.01962431300422361</v>
      </c>
      <c r="Q154" s="748" t="n">
        <v>2.078431372548951</v>
      </c>
      <c r="R154" s="769" t="n">
        <v>492.84</v>
      </c>
      <c r="S154" s="740" t="inlineStr">
        <is>
          <t>20H 0M 57S</t>
        </is>
      </c>
      <c r="T154" s="750" t="n"/>
      <c r="U154" s="751" t="n"/>
      <c r="V154" s="752" t="n"/>
      <c r="W154" s="753" t="n"/>
      <c r="X154" s="754" t="n"/>
      <c r="Y154" s="750" t="n"/>
      <c r="Z154" s="751" t="n"/>
      <c r="AA154" s="752" t="n"/>
      <c r="AB154" s="753" t="n"/>
      <c r="AC154" s="754" t="n"/>
      <c r="AD154" s="740" t="inlineStr">
        <is>
          <t>No</t>
        </is>
      </c>
      <c r="AE154" s="755" t="n"/>
      <c r="AF154" s="755" t="n"/>
      <c r="AG154" s="755" t="n"/>
      <c r="AH154" s="755" t="n"/>
      <c r="AI154" s="740" t="n"/>
      <c r="AJ154" s="755" t="n"/>
      <c r="AK154" s="755" t="n"/>
      <c r="AL154" s="755" t="n"/>
      <c r="AM154" s="755" t="n"/>
      <c r="AN154" s="755" t="n"/>
      <c r="AO154" s="755" t="n"/>
      <c r="AP154" s="740" t="n"/>
      <c r="AQ154" s="740" t="n"/>
      <c r="AR154" s="740" t="n"/>
      <c r="AS154" s="755" t="n"/>
      <c r="AT154" s="755" t="n"/>
      <c r="AU154" s="755" t="n"/>
      <c r="AV154" s="755" t="n"/>
      <c r="AW154" s="740" t="inlineStr">
        <is>
          <t>trade</t>
        </is>
      </c>
      <c r="AX154" s="756" t="inlineStr">
        <is>
          <t>oanda_export:live:298:309</t>
        </is>
      </c>
    </row>
    <row r="155" ht="15" customHeight="1">
      <c r="A155" s="737" t="inlineStr">
        <is>
          <t>F995</t>
        </is>
      </c>
      <c r="B155" s="738" t="n">
        <v>45184.11111111111</v>
      </c>
      <c r="C155" s="739" t="n">
        <v>45184.94513888889</v>
      </c>
      <c r="D155" s="740" t="inlineStr">
        <is>
          <t>OANDA LIVE</t>
        </is>
      </c>
      <c r="E155" s="740" t="inlineStr">
        <is>
          <t>USDCAD</t>
        </is>
      </c>
      <c r="F155" s="740" t="inlineStr">
        <is>
          <t>BUY</t>
        </is>
      </c>
      <c r="G155" s="775" t="n">
        <v>0.02668</v>
      </c>
      <c r="H155" s="742" t="n">
        <v>1.3502</v>
      </c>
      <c r="I155" s="742" t="n">
        <v>1.3533</v>
      </c>
      <c r="J155" s="743" t="n">
        <v>1.34862</v>
      </c>
      <c r="K155" s="744" t="n">
        <v>0.00117019700785079</v>
      </c>
      <c r="L155" s="743" t="n">
        <v>1.3533</v>
      </c>
      <c r="M155" s="744" t="n">
        <v>0.002295956154643668</v>
      </c>
      <c r="N155" s="796" t="n"/>
      <c r="O155" s="767" t="n">
        <v>9.68</v>
      </c>
      <c r="P155" s="747" t="n">
        <v>0.02003477109032205</v>
      </c>
      <c r="Q155" s="748" t="n">
        <v>1.962025316455451</v>
      </c>
      <c r="R155" s="769" t="n">
        <v>492.84</v>
      </c>
      <c r="S155" s="740" t="inlineStr">
        <is>
          <t>20H 1M 0S</t>
        </is>
      </c>
      <c r="T155" s="750" t="n"/>
      <c r="U155" s="751" t="n"/>
      <c r="V155" s="752" t="n"/>
      <c r="W155" s="753" t="n"/>
      <c r="X155" s="754" t="n"/>
      <c r="Y155" s="750" t="n"/>
      <c r="Z155" s="751" t="n"/>
      <c r="AA155" s="752" t="n"/>
      <c r="AB155" s="753" t="n"/>
      <c r="AC155" s="754" t="n"/>
      <c r="AD155" s="740" t="inlineStr">
        <is>
          <t>No</t>
        </is>
      </c>
      <c r="AE155" s="755" t="n"/>
      <c r="AF155" s="755" t="n"/>
      <c r="AG155" s="755" t="n"/>
      <c r="AH155" s="755" t="n"/>
      <c r="AI155" s="740" t="inlineStr">
        <is>
          <t>Limit</t>
        </is>
      </c>
      <c r="AJ155" s="740" t="inlineStr">
        <is>
          <t>Yes</t>
        </is>
      </c>
      <c r="AK155" s="755" t="n"/>
      <c r="AL155" s="755" t="n"/>
      <c r="AM155" s="755" t="n"/>
      <c r="AN155" s="740" t="n"/>
      <c r="AO155" s="755" t="n"/>
      <c r="AP155" s="740" t="inlineStr">
        <is>
          <t>Pullback</t>
        </is>
      </c>
      <c r="AQ155" s="740" t="inlineStr">
        <is>
          <t>4H</t>
        </is>
      </c>
      <c r="AR155" s="740" t="inlineStr">
        <is>
          <t>No</t>
        </is>
      </c>
      <c r="AS155" s="755" t="n"/>
      <c r="AT155" s="755" t="n"/>
      <c r="AU155" s="755" t="n"/>
      <c r="AV155" s="755" t="n"/>
      <c r="AW155" s="740" t="inlineStr">
        <is>
          <t>trade</t>
        </is>
      </c>
      <c r="AX155" s="756" t="inlineStr">
        <is>
          <t>sig:d094f4ca24f506f4c18d57ac</t>
        </is>
      </c>
    </row>
    <row r="156" ht="15" customHeight="1">
      <c r="A156" s="737" t="inlineStr">
        <is>
          <t>F1155</t>
        </is>
      </c>
      <c r="B156" s="738" t="n">
        <v>45184.62618055556</v>
      </c>
      <c r="C156" s="739" t="n">
        <v>45184.9325925926</v>
      </c>
      <c r="D156" s="740" t="inlineStr">
        <is>
          <t>OANDA LIVE</t>
        </is>
      </c>
      <c r="E156" s="740" t="inlineStr">
        <is>
          <t>CADJPY</t>
        </is>
      </c>
      <c r="F156" s="740" t="inlineStr">
        <is>
          <t>SELL</t>
        </is>
      </c>
      <c r="G156" s="775" t="n">
        <v>0.02468</v>
      </c>
      <c r="H156" s="742" t="n">
        <v>109.379</v>
      </c>
      <c r="I156" s="742" t="n">
        <v>109.301</v>
      </c>
      <c r="J156" s="743" t="n">
        <v>109.562</v>
      </c>
      <c r="K156" s="744" t="n">
        <v>0.001673081670155996</v>
      </c>
      <c r="L156" s="743" t="n">
        <v>108.914</v>
      </c>
      <c r="M156" s="744" t="n">
        <v>0.004251273096298224</v>
      </c>
      <c r="N156" s="796" t="n"/>
      <c r="O156" s="767" t="n">
        <v>2.0075</v>
      </c>
      <c r="P156" s="747" t="n">
        <v>0.004172273863276196</v>
      </c>
      <c r="Q156" s="748" t="n">
        <v>0.4262295081967544</v>
      </c>
      <c r="R156" s="769" t="n">
        <v>483.16</v>
      </c>
      <c r="S156" s="740" t="inlineStr">
        <is>
          <t>7H 21M 14S</t>
        </is>
      </c>
      <c r="T156" s="750" t="n"/>
      <c r="U156" s="751" t="n"/>
      <c r="V156" s="752" t="n"/>
      <c r="W156" s="753" t="n"/>
      <c r="X156" s="754" t="n"/>
      <c r="Y156" s="750" t="n"/>
      <c r="Z156" s="751" t="n"/>
      <c r="AA156" s="752" t="n"/>
      <c r="AB156" s="753" t="n"/>
      <c r="AC156" s="754" t="n"/>
      <c r="AD156" s="740" t="inlineStr">
        <is>
          <t>No</t>
        </is>
      </c>
      <c r="AE156" s="755" t="n"/>
      <c r="AF156" s="755" t="n"/>
      <c r="AG156" s="755" t="n"/>
      <c r="AH156" s="755" t="n"/>
      <c r="AI156" s="740" t="n"/>
      <c r="AJ156" s="755" t="n"/>
      <c r="AK156" s="740" t="n"/>
      <c r="AL156" s="755" t="n"/>
      <c r="AM156" s="755" t="n"/>
      <c r="AN156" s="755" t="n"/>
      <c r="AO156" s="755" t="n"/>
      <c r="AP156" s="740" t="n"/>
      <c r="AQ156" s="740" t="n"/>
      <c r="AR156" s="740" t="n"/>
      <c r="AS156" s="755" t="n"/>
      <c r="AT156" s="755" t="n"/>
      <c r="AU156" s="755" t="n"/>
      <c r="AV156" s="755" t="n"/>
      <c r="AW156" s="740" t="inlineStr">
        <is>
          <t>trade</t>
        </is>
      </c>
      <c r="AX156" s="756" t="inlineStr">
        <is>
          <t>oanda_export:live:302:306</t>
        </is>
      </c>
    </row>
    <row r="157" ht="15" customHeight="1">
      <c r="A157" s="737" t="inlineStr">
        <is>
          <t>F996</t>
        </is>
      </c>
      <c r="B157" s="738" t="n">
        <v>45184.62569444445</v>
      </c>
      <c r="C157" s="739" t="n">
        <v>45184.93194444444</v>
      </c>
      <c r="D157" s="740" t="inlineStr">
        <is>
          <t>OANDA LIVE</t>
        </is>
      </c>
      <c r="E157" s="740" t="inlineStr">
        <is>
          <t>CADJPY</t>
        </is>
      </c>
      <c r="F157" s="740" t="inlineStr">
        <is>
          <t>SELL</t>
        </is>
      </c>
      <c r="G157" s="775" t="n">
        <v>0.02468</v>
      </c>
      <c r="H157" s="742" t="n">
        <v>109.379</v>
      </c>
      <c r="I157" s="742" t="n">
        <v>109.301</v>
      </c>
      <c r="J157" s="743" t="n">
        <v>109.562</v>
      </c>
      <c r="K157" s="744" t="n">
        <v>0.001673081670155996</v>
      </c>
      <c r="L157" s="743" t="n">
        <v>108.914</v>
      </c>
      <c r="M157" s="744" t="n">
        <v>0.004251273096298224</v>
      </c>
      <c r="N157" s="796" t="n"/>
      <c r="O157" s="767" t="n">
        <v>1.82</v>
      </c>
      <c r="P157" s="747" t="n">
        <v>0.003781111064943699</v>
      </c>
      <c r="Q157" s="748" t="n">
        <v>0.4262295081967544</v>
      </c>
      <c r="R157" s="769" t="n">
        <v>483.16</v>
      </c>
      <c r="S157" s="740" t="inlineStr">
        <is>
          <t>7H 21M 0S</t>
        </is>
      </c>
      <c r="T157" s="750" t="n"/>
      <c r="U157" s="751" t="n"/>
      <c r="V157" s="752" t="n"/>
      <c r="W157" s="753" t="n"/>
      <c r="X157" s="754" t="n"/>
      <c r="Y157" s="750" t="n"/>
      <c r="Z157" s="751" t="n"/>
      <c r="AA157" s="752" t="n"/>
      <c r="AB157" s="753" t="n"/>
      <c r="AC157" s="754" t="n"/>
      <c r="AD157" s="740" t="inlineStr">
        <is>
          <t>No</t>
        </is>
      </c>
      <c r="AE157" s="755" t="n"/>
      <c r="AF157" s="755" t="n"/>
      <c r="AG157" s="740" t="n"/>
      <c r="AH157" s="755" t="n"/>
      <c r="AI157" s="740" t="inlineStr">
        <is>
          <t>Limit</t>
        </is>
      </c>
      <c r="AJ157" s="740" t="inlineStr">
        <is>
          <t>Yes</t>
        </is>
      </c>
      <c r="AK157" s="755" t="n"/>
      <c r="AL157" s="755" t="n"/>
      <c r="AM157" s="740" t="n"/>
      <c r="AN157" s="740" t="n"/>
      <c r="AO157" s="740" t="inlineStr">
        <is>
          <t>Yes</t>
        </is>
      </c>
      <c r="AP157" s="740" t="inlineStr">
        <is>
          <t>Pullback</t>
        </is>
      </c>
      <c r="AQ157" s="740" t="inlineStr">
        <is>
          <t>DAILY</t>
        </is>
      </c>
      <c r="AR157" s="740" t="inlineStr">
        <is>
          <t>No</t>
        </is>
      </c>
      <c r="AS157" s="755" t="n"/>
      <c r="AT157" s="755" t="n"/>
      <c r="AU157" s="755" t="n"/>
      <c r="AV157" s="755" t="n"/>
      <c r="AW157" s="740" t="inlineStr">
        <is>
          <t>trade</t>
        </is>
      </c>
      <c r="AX157" s="756" t="inlineStr">
        <is>
          <t>sig:0c4d35acd7d49ae31a3a9c40</t>
        </is>
      </c>
    </row>
    <row r="158" ht="15" customHeight="1">
      <c r="A158" s="716" t="inlineStr">
        <is>
          <t>F994</t>
        </is>
      </c>
      <c r="B158" s="717" t="n">
        <v>45183.42850694444</v>
      </c>
      <c r="C158" s="718" t="n">
        <v>45183.93748842592</v>
      </c>
      <c r="D158" s="719" t="inlineStr">
        <is>
          <t>OANDA LIVE</t>
        </is>
      </c>
      <c r="E158" s="719" t="inlineStr">
        <is>
          <t>GBPNZD</t>
        </is>
      </c>
      <c r="F158" s="719" t="inlineStr">
        <is>
          <t>BUY</t>
        </is>
      </c>
      <c r="G158" s="757" t="n">
        <v>0.00748</v>
      </c>
      <c r="H158" s="720" t="n">
        <v>2.10764</v>
      </c>
      <c r="I158" s="720" t="n">
        <v>2.1003</v>
      </c>
      <c r="J158" s="721" t="n"/>
      <c r="K158" s="722" t="n"/>
      <c r="L158" s="721" t="n"/>
      <c r="M158" s="722" t="n"/>
      <c r="N158" s="761" t="n"/>
      <c r="O158" s="762" t="n">
        <v>-5.0747</v>
      </c>
      <c r="P158" s="725" t="n">
        <v>-0.01043265278264035</v>
      </c>
      <c r="Q158" s="726" t="n"/>
      <c r="R158" s="764" t="n">
        <v>481.35</v>
      </c>
      <c r="S158" s="719" t="inlineStr">
        <is>
          <t>12H 12M 56S</t>
        </is>
      </c>
      <c r="T158" s="728" t="n"/>
      <c r="U158" s="729" t="n"/>
      <c r="V158" s="730" t="n"/>
      <c r="W158" s="731" t="n"/>
      <c r="X158" s="732" t="n"/>
      <c r="Y158" s="728" t="n"/>
      <c r="Z158" s="729" t="n"/>
      <c r="AA158" s="730" t="n"/>
      <c r="AB158" s="731" t="n"/>
      <c r="AC158" s="732" t="n"/>
      <c r="AD158" s="719" t="inlineStr">
        <is>
          <t>No</t>
        </is>
      </c>
      <c r="AE158" s="733" t="n"/>
      <c r="AF158" s="719" t="inlineStr">
        <is>
          <t>9</t>
        </is>
      </c>
      <c r="AG158" s="733" t="n"/>
      <c r="AH158" s="733" t="n"/>
      <c r="AI158" s="719" t="inlineStr">
        <is>
          <t>Limit</t>
        </is>
      </c>
      <c r="AJ158" s="733" t="n"/>
      <c r="AK158" s="733" t="n"/>
      <c r="AL158" s="733" t="n"/>
      <c r="AM158" s="733" t="n"/>
      <c r="AN158" s="733" t="n"/>
      <c r="AO158" s="733" t="n"/>
      <c r="AP158" s="719" t="inlineStr">
        <is>
          <t>Pullback</t>
        </is>
      </c>
      <c r="AQ158" s="719" t="inlineStr">
        <is>
          <t>WEEKLY</t>
        </is>
      </c>
      <c r="AR158" s="719" t="inlineStr">
        <is>
          <t>No</t>
        </is>
      </c>
      <c r="AS158" s="733" t="n"/>
      <c r="AT158" s="733" t="n"/>
      <c r="AU158" s="733" t="n"/>
      <c r="AV158" s="733" t="n"/>
      <c r="AW158" s="719" t="inlineStr">
        <is>
          <t>trade</t>
        </is>
      </c>
      <c r="AX158" s="734" t="inlineStr">
        <is>
          <t>oanda_export:live:291:295</t>
        </is>
      </c>
    </row>
    <row r="159" ht="15" customHeight="1">
      <c r="A159" s="737" t="inlineStr">
        <is>
          <t>F993</t>
        </is>
      </c>
      <c r="B159" s="738" t="n">
        <v>45180.6772337963</v>
      </c>
      <c r="C159" s="739" t="n">
        <v>45180.77217592593</v>
      </c>
      <c r="D159" s="740" t="inlineStr">
        <is>
          <t>OANDA LIVE</t>
        </is>
      </c>
      <c r="E159" s="740" t="inlineStr">
        <is>
          <t>CHFJPY</t>
        </is>
      </c>
      <c r="F159" s="740" t="inlineStr">
        <is>
          <t>BUY</t>
        </is>
      </c>
      <c r="G159" s="775" t="n">
        <v>0.02162</v>
      </c>
      <c r="H159" s="742" t="n">
        <v>163.858</v>
      </c>
      <c r="I159" s="742" t="n">
        <v>164.267</v>
      </c>
      <c r="J159" s="743" t="n">
        <v>163.66</v>
      </c>
      <c r="K159" s="744" t="n">
        <v>0.001208363338988682</v>
      </c>
      <c r="L159" s="743" t="n">
        <v>164.265</v>
      </c>
      <c r="M159" s="744" t="n">
        <v>0.002483857974587644</v>
      </c>
      <c r="N159" s="766" t="n"/>
      <c r="O159" s="767" t="n">
        <v>9.3405</v>
      </c>
      <c r="P159" s="747" t="n">
        <v>0.01957849792330209</v>
      </c>
      <c r="Q159" s="748" t="n">
        <v>2.065656565656446</v>
      </c>
      <c r="R159" s="769" t="n">
        <v>486.42</v>
      </c>
      <c r="S159" s="740" t="inlineStr">
        <is>
          <t>2H 16M 43S</t>
        </is>
      </c>
      <c r="T159" s="750" t="n"/>
      <c r="U159" s="751" t="n"/>
      <c r="V159" s="752" t="n"/>
      <c r="W159" s="753" t="n"/>
      <c r="X159" s="754" t="n"/>
      <c r="Y159" s="750" t="n"/>
      <c r="Z159" s="751" t="n"/>
      <c r="AA159" s="752" t="n"/>
      <c r="AB159" s="753" t="n"/>
      <c r="AC159" s="754" t="n"/>
      <c r="AD159" s="740" t="inlineStr">
        <is>
          <t>No</t>
        </is>
      </c>
      <c r="AE159" s="755" t="n"/>
      <c r="AF159" s="755" t="n"/>
      <c r="AG159" s="755" t="n"/>
      <c r="AH159" s="755" t="n"/>
      <c r="AI159" s="740" t="inlineStr">
        <is>
          <t>Limit</t>
        </is>
      </c>
      <c r="AJ159" s="755" t="n"/>
      <c r="AK159" s="755" t="n"/>
      <c r="AL159" s="740" t="n"/>
      <c r="AM159" s="740" t="inlineStr">
        <is>
          <t>Yes</t>
        </is>
      </c>
      <c r="AN159" s="755" t="n"/>
      <c r="AO159" s="755" t="n"/>
      <c r="AP159" s="740" t="inlineStr">
        <is>
          <t>Pullback</t>
        </is>
      </c>
      <c r="AQ159" s="740" t="inlineStr">
        <is>
          <t>4H</t>
        </is>
      </c>
      <c r="AR159" s="740" t="inlineStr">
        <is>
          <t>No</t>
        </is>
      </c>
      <c r="AS159" s="755" t="n"/>
      <c r="AT159" s="755" t="n"/>
      <c r="AU159" s="755" t="n"/>
      <c r="AV159" s="755" t="n"/>
      <c r="AW159" s="740" t="inlineStr">
        <is>
          <t>trade</t>
        </is>
      </c>
      <c r="AX159" s="756" t="inlineStr">
        <is>
          <t>oanda_export:live:281:284</t>
        </is>
      </c>
    </row>
    <row r="160" ht="15" customHeight="1">
      <c r="A160" s="737" t="inlineStr">
        <is>
          <t>F992</t>
        </is>
      </c>
      <c r="B160" s="738" t="n">
        <v>45164.0581712963</v>
      </c>
      <c r="C160" s="739" t="n">
        <v>45168.94511574074</v>
      </c>
      <c r="D160" s="740" t="inlineStr">
        <is>
          <t>OANDA LIVE</t>
        </is>
      </c>
      <c r="E160" s="740" t="inlineStr">
        <is>
          <t>USDCAD</t>
        </is>
      </c>
      <c r="F160" s="740" t="inlineStr">
        <is>
          <t>SELL</t>
        </is>
      </c>
      <c r="G160" s="741" t="n">
        <v>0.0089</v>
      </c>
      <c r="H160" s="742" t="n">
        <v>1.36395</v>
      </c>
      <c r="I160" s="742" t="n">
        <v>1.35478</v>
      </c>
      <c r="J160" s="743" t="n"/>
      <c r="K160" s="744" t="n"/>
      <c r="L160" s="743" t="n"/>
      <c r="M160" s="744" t="n"/>
      <c r="N160" s="796" t="n"/>
      <c r="O160" s="767" t="n">
        <v>9.0382</v>
      </c>
      <c r="P160" s="747" t="n">
        <v>0.01931066840611245</v>
      </c>
      <c r="Q160" s="748" t="n"/>
      <c r="R160" s="769" t="n">
        <v>477.08</v>
      </c>
      <c r="S160" s="740" t="inlineStr">
        <is>
          <t>4D 21H 17M 12S</t>
        </is>
      </c>
      <c r="T160" s="750" t="n"/>
      <c r="U160" s="751" t="n"/>
      <c r="V160" s="752" t="n"/>
      <c r="W160" s="753" t="n"/>
      <c r="X160" s="754" t="n"/>
      <c r="Y160" s="750" t="n"/>
      <c r="Z160" s="751" t="n"/>
      <c r="AA160" s="752" t="n"/>
      <c r="AB160" s="753" t="n"/>
      <c r="AC160" s="754" t="n"/>
      <c r="AD160" s="740" t="inlineStr">
        <is>
          <t>No</t>
        </is>
      </c>
      <c r="AE160" s="755" t="n"/>
      <c r="AF160" s="755" t="n"/>
      <c r="AG160" s="755" t="n"/>
      <c r="AH160" s="755" t="n"/>
      <c r="AI160" s="740" t="inlineStr">
        <is>
          <t>Limit</t>
        </is>
      </c>
      <c r="AJ160" s="740" t="inlineStr">
        <is>
          <t>Yes</t>
        </is>
      </c>
      <c r="AK160" s="755" t="n"/>
      <c r="AL160" s="755" t="n"/>
      <c r="AM160" s="740" t="inlineStr">
        <is>
          <t>Yes</t>
        </is>
      </c>
      <c r="AN160" s="755" t="n"/>
      <c r="AO160" s="755" t="n"/>
      <c r="AP160" s="740" t="inlineStr">
        <is>
          <t>Pullback</t>
        </is>
      </c>
      <c r="AQ160" s="740" t="inlineStr">
        <is>
          <t>DAILY</t>
        </is>
      </c>
      <c r="AR160" s="740" t="inlineStr">
        <is>
          <t>No</t>
        </is>
      </c>
      <c r="AS160" s="755" t="n"/>
      <c r="AT160" s="755" t="n"/>
      <c r="AU160" s="755" t="n"/>
      <c r="AV160" s="755" t="n"/>
      <c r="AW160" s="740" t="inlineStr">
        <is>
          <t>trade</t>
        </is>
      </c>
      <c r="AX160" s="756" t="inlineStr">
        <is>
          <t>oanda_export:live:268:276</t>
        </is>
      </c>
    </row>
    <row r="161" ht="15" customHeight="1">
      <c r="A161" s="716" t="inlineStr">
        <is>
          <t>F991</t>
        </is>
      </c>
      <c r="B161" s="717" t="n">
        <v>45161.02561342593</v>
      </c>
      <c r="C161" s="718" t="n">
        <v>45161.73052083333</v>
      </c>
      <c r="D161" s="719" t="inlineStr">
        <is>
          <t>OANDA LIVE</t>
        </is>
      </c>
      <c r="E161" s="719" t="inlineStr">
        <is>
          <t>EURUSD</t>
        </is>
      </c>
      <c r="F161" s="719" t="inlineStr">
        <is>
          <t>BUY</t>
        </is>
      </c>
      <c r="G161" s="735" t="n">
        <v>0.0207</v>
      </c>
      <c r="H161" s="720" t="n">
        <v>1.08398</v>
      </c>
      <c r="I161" s="720" t="n">
        <v>1.08254</v>
      </c>
      <c r="J161" s="721" t="n"/>
      <c r="K161" s="722" t="n"/>
      <c r="L161" s="721" t="n"/>
      <c r="M161" s="722" t="n"/>
      <c r="N161" s="788" t="n"/>
      <c r="O161" s="762" t="n">
        <v>-4.9248</v>
      </c>
      <c r="P161" s="725" t="n">
        <v>-0.01041261421568793</v>
      </c>
      <c r="Q161" s="726" t="n"/>
      <c r="R161" s="764" t="n">
        <v>468.04</v>
      </c>
      <c r="S161" s="719" t="inlineStr">
        <is>
          <t>16H 55M 4S</t>
        </is>
      </c>
      <c r="T161" s="728" t="n"/>
      <c r="U161" s="729" t="n"/>
      <c r="V161" s="730" t="n"/>
      <c r="W161" s="731" t="n"/>
      <c r="X161" s="732" t="n"/>
      <c r="Y161" s="728" t="n"/>
      <c r="Z161" s="729" t="n"/>
      <c r="AA161" s="730" t="n"/>
      <c r="AB161" s="731" t="n"/>
      <c r="AC161" s="732" t="n"/>
      <c r="AD161" s="719" t="inlineStr">
        <is>
          <t>No</t>
        </is>
      </c>
      <c r="AE161" s="733" t="n"/>
      <c r="AF161" s="733" t="n"/>
      <c r="AG161" s="733" t="n"/>
      <c r="AH161" s="733" t="n"/>
      <c r="AI161" s="719" t="inlineStr">
        <is>
          <t>Limit</t>
        </is>
      </c>
      <c r="AJ161" s="733" t="n"/>
      <c r="AK161" s="733" t="n"/>
      <c r="AL161" s="733" t="n"/>
      <c r="AM161" s="733" t="n"/>
      <c r="AN161" s="719" t="inlineStr">
        <is>
          <t>Yes</t>
        </is>
      </c>
      <c r="AO161" s="733" t="n"/>
      <c r="AP161" s="719" t="inlineStr">
        <is>
          <t>Pullback</t>
        </is>
      </c>
      <c r="AQ161" s="719" t="inlineStr">
        <is>
          <t>4H</t>
        </is>
      </c>
      <c r="AR161" s="719" t="inlineStr">
        <is>
          <t>No</t>
        </is>
      </c>
      <c r="AS161" s="733" t="n"/>
      <c r="AT161" s="733" t="n"/>
      <c r="AU161" s="733" t="n"/>
      <c r="AV161" s="733" t="n"/>
      <c r="AW161" s="719" t="inlineStr">
        <is>
          <t>trade</t>
        </is>
      </c>
      <c r="AX161" s="734" t="inlineStr">
        <is>
          <t>oanda_export:live:262:266</t>
        </is>
      </c>
    </row>
    <row r="162" ht="15" customHeight="1">
      <c r="A162" s="716" t="inlineStr">
        <is>
          <t>F990</t>
        </is>
      </c>
      <c r="B162" s="717" t="n">
        <v>45156.63760416667</v>
      </c>
      <c r="C162" s="718" t="n">
        <v>45156.66762731481</v>
      </c>
      <c r="D162" s="719" t="inlineStr">
        <is>
          <t>OANDA LIVE</t>
        </is>
      </c>
      <c r="E162" s="719" t="inlineStr">
        <is>
          <t>GBPJPY</t>
        </is>
      </c>
      <c r="F162" s="719" t="inlineStr">
        <is>
          <t>BUY</t>
        </is>
      </c>
      <c r="G162" s="735" t="n">
        <v>0.02698</v>
      </c>
      <c r="H162" s="720" t="n">
        <v>185.222</v>
      </c>
      <c r="I162" s="720" t="n">
        <v>185.054</v>
      </c>
      <c r="J162" s="721" t="n">
        <v>185.055</v>
      </c>
      <c r="K162" s="760" t="n">
        <v>0.0009016207577933592</v>
      </c>
      <c r="L162" s="721" t="n">
        <v>185.557</v>
      </c>
      <c r="M162" s="722" t="n">
        <v>0.001808640442279964</v>
      </c>
      <c r="N162" s="761" t="n"/>
      <c r="O162" s="762" t="n">
        <v>-4.8913</v>
      </c>
      <c r="P162" s="725" t="n">
        <v>-0.01023581528782515</v>
      </c>
      <c r="Q162" s="726" t="n">
        <v>-1.005988023952124</v>
      </c>
      <c r="R162" s="764" t="n">
        <v>472.97</v>
      </c>
      <c r="S162" s="719" t="inlineStr">
        <is>
          <t>43M 14S</t>
        </is>
      </c>
      <c r="T162" s="728" t="n"/>
      <c r="U162" s="729" t="n"/>
      <c r="V162" s="730" t="n"/>
      <c r="W162" s="731" t="n"/>
      <c r="X162" s="732" t="n"/>
      <c r="Y162" s="728" t="n"/>
      <c r="Z162" s="729" t="n"/>
      <c r="AA162" s="730" t="n"/>
      <c r="AB162" s="731" t="n"/>
      <c r="AC162" s="732" t="n"/>
      <c r="AD162" s="719" t="inlineStr">
        <is>
          <t>No</t>
        </is>
      </c>
      <c r="AE162" s="733" t="n"/>
      <c r="AF162" s="733" t="n"/>
      <c r="AG162" s="733" t="n"/>
      <c r="AH162" s="733" t="n"/>
      <c r="AI162" s="719" t="inlineStr">
        <is>
          <t>Limit</t>
        </is>
      </c>
      <c r="AJ162" s="733" t="n"/>
      <c r="AK162" s="733" t="n"/>
      <c r="AL162" s="733" t="n"/>
      <c r="AM162" s="719" t="n"/>
      <c r="AN162" s="719" t="n"/>
      <c r="AO162" s="733" t="n"/>
      <c r="AP162" s="719" t="inlineStr">
        <is>
          <t>Pullback</t>
        </is>
      </c>
      <c r="AQ162" s="719" t="inlineStr">
        <is>
          <t>1H</t>
        </is>
      </c>
      <c r="AR162" s="719" t="inlineStr">
        <is>
          <t>No</t>
        </is>
      </c>
      <c r="AS162" s="733" t="n"/>
      <c r="AT162" s="733" t="n"/>
      <c r="AU162" s="733" t="n"/>
      <c r="AV162" s="733" t="n"/>
      <c r="AW162" s="719" t="inlineStr">
        <is>
          <t>trade</t>
        </is>
      </c>
      <c r="AX162" s="734" t="inlineStr">
        <is>
          <t>oanda_export:live:252:255</t>
        </is>
      </c>
    </row>
    <row r="163" ht="15" customHeight="1">
      <c r="A163" s="716" t="inlineStr">
        <is>
          <t>F989</t>
        </is>
      </c>
      <c r="B163" s="717" t="n">
        <v>45156.57520833334</v>
      </c>
      <c r="C163" s="718" t="n">
        <v>45156.63581018519</v>
      </c>
      <c r="D163" s="719" t="inlineStr">
        <is>
          <t>OANDA LIVE</t>
        </is>
      </c>
      <c r="E163" s="719" t="inlineStr">
        <is>
          <t>CHFJPY</t>
        </is>
      </c>
      <c r="F163" s="719" t="inlineStr">
        <is>
          <t>BUY</t>
        </is>
      </c>
      <c r="G163" s="735" t="n">
        <v>0.05604</v>
      </c>
      <c r="H163" s="720" t="n">
        <v>165.496</v>
      </c>
      <c r="I163" s="720" t="n">
        <v>165.416</v>
      </c>
      <c r="J163" s="721" t="n">
        <v>165.417</v>
      </c>
      <c r="K163" s="760" t="n">
        <v>0.0004773529269590064</v>
      </c>
      <c r="L163" s="721" t="n">
        <v>165.657</v>
      </c>
      <c r="M163" s="760" t="n">
        <v>0.0009728331802581413</v>
      </c>
      <c r="N163" s="788" t="n"/>
      <c r="O163" s="762" t="n">
        <v>-4.844</v>
      </c>
      <c r="P163" s="725" t="n">
        <v>-0.01003513540389141</v>
      </c>
      <c r="Q163" s="726" t="n">
        <v>-1.01265822784816</v>
      </c>
      <c r="R163" s="764" t="n">
        <v>477.86</v>
      </c>
      <c r="S163" s="719" t="inlineStr">
        <is>
          <t>1H 27M 16S</t>
        </is>
      </c>
      <c r="T163" s="728" t="n"/>
      <c r="U163" s="729" t="n"/>
      <c r="V163" s="730" t="n"/>
      <c r="W163" s="731" t="n"/>
      <c r="X163" s="732" t="n"/>
      <c r="Y163" s="728" t="n"/>
      <c r="Z163" s="729" t="n"/>
      <c r="AA163" s="730" t="n"/>
      <c r="AB163" s="731" t="n"/>
      <c r="AC163" s="732" t="n"/>
      <c r="AD163" s="719" t="inlineStr">
        <is>
          <t>No</t>
        </is>
      </c>
      <c r="AE163" s="733" t="n"/>
      <c r="AF163" s="733" t="n"/>
      <c r="AG163" s="733" t="n"/>
      <c r="AH163" s="733" t="n"/>
      <c r="AI163" s="719" t="inlineStr">
        <is>
          <t>Limit</t>
        </is>
      </c>
      <c r="AJ163" s="733" t="n"/>
      <c r="AK163" s="733" t="n"/>
      <c r="AL163" s="733" t="n"/>
      <c r="AM163" s="733" t="n"/>
      <c r="AN163" s="719" t="inlineStr">
        <is>
          <t>Yes</t>
        </is>
      </c>
      <c r="AO163" s="733" t="n"/>
      <c r="AP163" s="719" t="inlineStr">
        <is>
          <t>Pullback</t>
        </is>
      </c>
      <c r="AQ163" s="719" t="inlineStr">
        <is>
          <t>1H</t>
        </is>
      </c>
      <c r="AR163" s="719" t="inlineStr">
        <is>
          <t>No</t>
        </is>
      </c>
      <c r="AS163" s="782" t="n"/>
      <c r="AT163" s="733" t="n"/>
      <c r="AU163" s="719" t="n"/>
      <c r="AV163" s="719" t="n"/>
      <c r="AW163" s="719" t="inlineStr">
        <is>
          <t>trade</t>
        </is>
      </c>
      <c r="AX163" s="734" t="inlineStr">
        <is>
          <t>oanda_export:live:247:250</t>
        </is>
      </c>
    </row>
    <row r="164" ht="15" customHeight="1">
      <c r="A164" s="716" t="inlineStr">
        <is>
          <t>F988</t>
        </is>
      </c>
      <c r="B164" s="717" t="n">
        <v>45146.50252314815</v>
      </c>
      <c r="C164" s="718" t="n">
        <v>45146.66587962963</v>
      </c>
      <c r="D164" s="719" t="inlineStr">
        <is>
          <t>OANDA LIVE</t>
        </is>
      </c>
      <c r="E164" s="719" t="inlineStr">
        <is>
          <t>CHFJPY</t>
        </is>
      </c>
      <c r="F164" s="719" t="inlineStr">
        <is>
          <t>SELL</t>
        </is>
      </c>
      <c r="G164" s="735" t="n">
        <v>0.01801</v>
      </c>
      <c r="H164" s="720" t="n">
        <v>163.899</v>
      </c>
      <c r="I164" s="720" t="n">
        <v>164.148</v>
      </c>
      <c r="J164" s="721" t="n">
        <v>164.145</v>
      </c>
      <c r="K164" s="722" t="n">
        <v>0.001500924349752038</v>
      </c>
      <c r="L164" s="721" t="n">
        <v>163.27</v>
      </c>
      <c r="M164" s="722" t="n">
        <v>0.003837729333308871</v>
      </c>
      <c r="N164" s="788" t="n"/>
      <c r="O164" s="762" t="n">
        <v>-4.8148</v>
      </c>
      <c r="P164" s="725" t="n">
        <v>-0.009876212988815929</v>
      </c>
      <c r="Q164" s="726" t="n">
        <v>-1.012195121951162</v>
      </c>
      <c r="R164" s="764" t="n">
        <v>482.7</v>
      </c>
      <c r="S164" s="719" t="inlineStr">
        <is>
          <t>3H 55M 14S</t>
        </is>
      </c>
      <c r="T164" s="728" t="n"/>
      <c r="U164" s="729" t="n"/>
      <c r="V164" s="730" t="n"/>
      <c r="W164" s="731" t="n"/>
      <c r="X164" s="732" t="n"/>
      <c r="Y164" s="728" t="n"/>
      <c r="Z164" s="729" t="n"/>
      <c r="AA164" s="730" t="n"/>
      <c r="AB164" s="731" t="n"/>
      <c r="AC164" s="732" t="n"/>
      <c r="AD164" s="719" t="inlineStr">
        <is>
          <t>No</t>
        </is>
      </c>
      <c r="AE164" s="733" t="n"/>
      <c r="AF164" s="733" t="n"/>
      <c r="AG164" s="733" t="n"/>
      <c r="AH164" s="733" t="n"/>
      <c r="AI164" s="719" t="inlineStr">
        <is>
          <t>Limit</t>
        </is>
      </c>
      <c r="AJ164" s="733" t="n"/>
      <c r="AK164" s="719" t="inlineStr">
        <is>
          <t>Yes</t>
        </is>
      </c>
      <c r="AL164" s="733" t="n"/>
      <c r="AM164" s="733" t="n"/>
      <c r="AN164" s="733" t="n"/>
      <c r="AO164" s="733" t="n"/>
      <c r="AP164" s="719" t="inlineStr">
        <is>
          <t>Pullback</t>
        </is>
      </c>
      <c r="AQ164" s="719" t="inlineStr">
        <is>
          <t>4H</t>
        </is>
      </c>
      <c r="AR164" s="719" t="inlineStr">
        <is>
          <t>No</t>
        </is>
      </c>
      <c r="AS164" s="733" t="n"/>
      <c r="AT164" s="733" t="n"/>
      <c r="AU164" s="733" t="n"/>
      <c r="AV164" s="733" t="n"/>
      <c r="AW164" s="719" t="inlineStr">
        <is>
          <t>trade</t>
        </is>
      </c>
      <c r="AX164" s="734" t="inlineStr">
        <is>
          <t>oanda_export:live:233:236</t>
        </is>
      </c>
    </row>
    <row r="165" ht="15" customHeight="1">
      <c r="A165" s="716" t="inlineStr">
        <is>
          <t>F987</t>
        </is>
      </c>
      <c r="B165" s="717" t="n">
        <v>45140.14155092592</v>
      </c>
      <c r="C165" s="718" t="n">
        <v>45140.55303240741</v>
      </c>
      <c r="D165" s="719" t="inlineStr">
        <is>
          <t>OANDA LIVE</t>
        </is>
      </c>
      <c r="E165" s="719" t="inlineStr">
        <is>
          <t>AUDUSD</t>
        </is>
      </c>
      <c r="F165" s="719" t="inlineStr">
        <is>
          <t>BUY</t>
        </is>
      </c>
      <c r="G165" s="735" t="n">
        <v>0.02312</v>
      </c>
      <c r="H165" s="720" t="n">
        <v>0.66029</v>
      </c>
      <c r="I165" s="720" t="n">
        <v>0.65887</v>
      </c>
      <c r="J165" s="721" t="n">
        <v>0.65887</v>
      </c>
      <c r="K165" s="722" t="n">
        <v>0.002150570204001405</v>
      </c>
      <c r="L165" s="721" t="n">
        <v>0.66313</v>
      </c>
      <c r="M165" s="722" t="n">
        <v>0.004301140408002474</v>
      </c>
      <c r="N165" s="761" t="n"/>
      <c r="O165" s="762" t="n">
        <v>-5.162100000000001</v>
      </c>
      <c r="P165" s="725" t="n">
        <v>-0.01047754728657688</v>
      </c>
      <c r="Q165" s="726" t="n">
        <v>-1</v>
      </c>
      <c r="R165" s="764" t="n">
        <v>487.52</v>
      </c>
      <c r="S165" s="719" t="inlineStr">
        <is>
          <t>9H 52M 32S</t>
        </is>
      </c>
      <c r="T165" s="728" t="n"/>
      <c r="U165" s="729" t="n"/>
      <c r="V165" s="730" t="n"/>
      <c r="W165" s="731" t="n"/>
      <c r="X165" s="732" t="n"/>
      <c r="Y165" s="728" t="n"/>
      <c r="Z165" s="729" t="n"/>
      <c r="AA165" s="730" t="n"/>
      <c r="AB165" s="731" t="n"/>
      <c r="AC165" s="732" t="n"/>
      <c r="AD165" s="719" t="inlineStr">
        <is>
          <t>No</t>
        </is>
      </c>
      <c r="AE165" s="733" t="n"/>
      <c r="AF165" s="733" t="n"/>
      <c r="AG165" s="733" t="n"/>
      <c r="AH165" s="733" t="n"/>
      <c r="AI165" s="719" t="inlineStr">
        <is>
          <t>Limit</t>
        </is>
      </c>
      <c r="AJ165" s="719" t="inlineStr">
        <is>
          <t>Yes</t>
        </is>
      </c>
      <c r="AK165" s="733" t="n"/>
      <c r="AL165" s="733" t="n"/>
      <c r="AM165" s="719" t="inlineStr">
        <is>
          <t>Yes</t>
        </is>
      </c>
      <c r="AN165" s="719" t="inlineStr">
        <is>
          <t>Yes</t>
        </is>
      </c>
      <c r="AO165" s="733" t="n"/>
      <c r="AP165" s="719" t="inlineStr">
        <is>
          <t>Pullback</t>
        </is>
      </c>
      <c r="AQ165" s="719" t="inlineStr">
        <is>
          <t>4H</t>
        </is>
      </c>
      <c r="AR165" s="719" t="inlineStr">
        <is>
          <t>No</t>
        </is>
      </c>
      <c r="AS165" s="733" t="n"/>
      <c r="AT165" s="733" t="n"/>
      <c r="AU165" s="733" t="n"/>
      <c r="AV165" s="733" t="n"/>
      <c r="AW165" s="719" t="inlineStr">
        <is>
          <t>trade</t>
        </is>
      </c>
      <c r="AX165" s="734" t="inlineStr">
        <is>
          <t>oanda_export:live:223:227</t>
        </is>
      </c>
    </row>
    <row r="166" ht="15" customHeight="1">
      <c r="A166" s="716" t="inlineStr">
        <is>
          <t>C324</t>
        </is>
      </c>
      <c r="B166" s="717" t="n">
        <v>45140.41041666667</v>
      </c>
      <c r="C166" s="718" t="n">
        <v>45140.41597222222</v>
      </c>
      <c r="D166" s="719" t="inlineStr">
        <is>
          <t>BYBIT</t>
        </is>
      </c>
      <c r="E166" s="719" t="inlineStr">
        <is>
          <t>BTCUSDT</t>
        </is>
      </c>
      <c r="F166" s="719" t="inlineStr">
        <is>
          <t>SELL</t>
        </is>
      </c>
      <c r="G166" s="735" t="n">
        <v>0.03</v>
      </c>
      <c r="H166" s="720" t="n">
        <v>29642.4</v>
      </c>
      <c r="I166" s="720" t="n">
        <v>29720.3</v>
      </c>
      <c r="J166" s="721" t="n">
        <v>29720.6</v>
      </c>
      <c r="K166" s="722" t="n">
        <v>0.002638112973308406</v>
      </c>
      <c r="L166" s="721" t="n">
        <v>29486</v>
      </c>
      <c r="M166" s="722" t="n">
        <v>0.005276225946617057</v>
      </c>
      <c r="N166" s="758" t="n">
        <v>0.66823935</v>
      </c>
      <c r="O166" s="724" t="n">
        <v>-3.006106</v>
      </c>
      <c r="P166" s="725" t="n">
        <v>-0.01238974260297852</v>
      </c>
      <c r="Q166" s="726" t="n">
        <v>-0.9961636828644593</v>
      </c>
      <c r="R166" s="727" t="n">
        <v>239.6225018999999</v>
      </c>
      <c r="S166" s="719" t="inlineStr">
        <is>
          <t>8M 0S</t>
        </is>
      </c>
      <c r="T166" s="728" t="n"/>
      <c r="U166" s="729" t="n"/>
      <c r="V166" s="730" t="n"/>
      <c r="W166" s="731" t="n"/>
      <c r="X166" s="732" t="n"/>
      <c r="Y166" s="728" t="n"/>
      <c r="Z166" s="729" t="n"/>
      <c r="AA166" s="730" t="n"/>
      <c r="AB166" s="731" t="n"/>
      <c r="AC166" s="732" t="n"/>
      <c r="AD166" s="719" t="inlineStr">
        <is>
          <t>No</t>
        </is>
      </c>
      <c r="AE166" s="733" t="n"/>
      <c r="AF166" s="733" t="n"/>
      <c r="AG166" s="733" t="n"/>
      <c r="AH166" s="733" t="n"/>
      <c r="AI166" s="719" t="inlineStr">
        <is>
          <t>Limit</t>
        </is>
      </c>
      <c r="AJ166" s="733" t="n"/>
      <c r="AK166" s="733" t="n"/>
      <c r="AL166" s="733" t="n"/>
      <c r="AM166" s="733" t="n"/>
      <c r="AN166" s="733" t="n"/>
      <c r="AO166" s="733" t="n"/>
      <c r="AP166" s="719" t="inlineStr">
        <is>
          <t>Pullback</t>
        </is>
      </c>
      <c r="AQ166" s="719" t="inlineStr">
        <is>
          <t>1H</t>
        </is>
      </c>
      <c r="AR166" s="719" t="inlineStr">
        <is>
          <t>No</t>
        </is>
      </c>
      <c r="AS166" s="733" t="n"/>
      <c r="AT166" s="733" t="n"/>
      <c r="AU166" s="733" t="n"/>
      <c r="AV166" s="733" t="n"/>
      <c r="AW166" s="719" t="inlineStr">
        <is>
          <t>trade</t>
        </is>
      </c>
      <c r="AX166" s="734" t="inlineStr">
        <is>
          <t>sig:d41c07334fc6cf482c66f50e</t>
        </is>
      </c>
    </row>
    <row r="167" ht="15" customHeight="1">
      <c r="A167" s="737" t="inlineStr">
        <is>
          <t>C323</t>
        </is>
      </c>
      <c r="B167" s="738" t="n">
        <v>45139.50625</v>
      </c>
      <c r="C167" s="739" t="n">
        <v>45140.41527777778</v>
      </c>
      <c r="D167" s="740" t="inlineStr">
        <is>
          <t>BYBIT</t>
        </is>
      </c>
      <c r="E167" s="740" t="inlineStr">
        <is>
          <t>ETHUSDT</t>
        </is>
      </c>
      <c r="F167" s="740" t="inlineStr">
        <is>
          <t>BUY</t>
        </is>
      </c>
      <c r="G167" s="742" t="n">
        <v>0.1</v>
      </c>
      <c r="H167" s="742" t="n">
        <v>1828.82</v>
      </c>
      <c r="I167" s="742" t="n">
        <v>1875.31</v>
      </c>
      <c r="J167" s="743" t="n">
        <v>1805.55</v>
      </c>
      <c r="K167" s="744" t="n">
        <v>0.01272405157423912</v>
      </c>
      <c r="L167" s="743" t="n">
        <v>1875.36</v>
      </c>
      <c r="M167" s="744" t="n">
        <v>0.02544810314847824</v>
      </c>
      <c r="N167" s="745" t="n">
        <v>0.16374949</v>
      </c>
      <c r="O167" s="746" t="n">
        <v>4.48438386</v>
      </c>
      <c r="P167" s="747" t="n">
        <v>0.01883053799888416</v>
      </c>
      <c r="Q167" s="748" t="n">
        <v>1.997851310700475</v>
      </c>
      <c r="R167" s="749" t="n">
        <v>242.6286078999999</v>
      </c>
      <c r="S167" s="740" t="inlineStr">
        <is>
          <t>21H 49M 0S</t>
        </is>
      </c>
      <c r="T167" s="750" t="n"/>
      <c r="U167" s="751" t="n"/>
      <c r="V167" s="752" t="n"/>
      <c r="W167" s="753" t="n"/>
      <c r="X167" s="754" t="n"/>
      <c r="Y167" s="750" t="n"/>
      <c r="Z167" s="751" t="n"/>
      <c r="AA167" s="752" t="n"/>
      <c r="AB167" s="753" t="n"/>
      <c r="AC167" s="754" t="n"/>
      <c r="AD167" s="740" t="inlineStr">
        <is>
          <t>No</t>
        </is>
      </c>
      <c r="AE167" s="755" t="n"/>
      <c r="AF167" s="755" t="n"/>
      <c r="AG167" s="755" t="n"/>
      <c r="AH167" s="755" t="n"/>
      <c r="AI167" s="740" t="inlineStr">
        <is>
          <t>Limit</t>
        </is>
      </c>
      <c r="AJ167" s="755" t="n"/>
      <c r="AK167" s="755" t="n"/>
      <c r="AL167" s="740" t="inlineStr">
        <is>
          <t>Yes</t>
        </is>
      </c>
      <c r="AM167" s="755" t="n"/>
      <c r="AN167" s="755" t="n"/>
      <c r="AO167" s="755" t="n"/>
      <c r="AP167" s="740" t="inlineStr">
        <is>
          <t>Pullback</t>
        </is>
      </c>
      <c r="AQ167" s="740" t="inlineStr">
        <is>
          <t>4H</t>
        </is>
      </c>
      <c r="AR167" s="740" t="inlineStr">
        <is>
          <t>No</t>
        </is>
      </c>
      <c r="AS167" s="755" t="n"/>
      <c r="AT167" s="755" t="n"/>
      <c r="AU167" s="755" t="n"/>
      <c r="AV167" s="755" t="n"/>
      <c r="AW167" s="740" t="inlineStr">
        <is>
          <t>trade</t>
        </is>
      </c>
      <c r="AX167" s="756" t="inlineStr">
        <is>
          <t>sig:6284fde52419c6b9bc0e307f</t>
        </is>
      </c>
    </row>
    <row r="168" ht="15" customHeight="1">
      <c r="A168" s="716" t="inlineStr">
        <is>
          <t>F986</t>
        </is>
      </c>
      <c r="B168" s="717" t="n">
        <v>45138.90166666666</v>
      </c>
      <c r="C168" s="718" t="n">
        <v>45138.91956018518</v>
      </c>
      <c r="D168" s="719" t="inlineStr">
        <is>
          <t>OANDA LIVE</t>
        </is>
      </c>
      <c r="E168" s="719" t="inlineStr">
        <is>
          <t>NZDCHF</t>
        </is>
      </c>
      <c r="F168" s="719" t="inlineStr">
        <is>
          <t>SELL</t>
        </is>
      </c>
      <c r="G168" s="735" t="n">
        <v>0.05189</v>
      </c>
      <c r="H168" s="720" t="n">
        <v>0.5404099999999999</v>
      </c>
      <c r="I168" s="720" t="n">
        <v>0.54097</v>
      </c>
      <c r="J168" s="721" t="n">
        <v>0.54096</v>
      </c>
      <c r="K168" s="722" t="n">
        <v>0.001017745785607318</v>
      </c>
      <c r="L168" s="721" t="n">
        <v>0.53931</v>
      </c>
      <c r="M168" s="722" t="n">
        <v>0.00203549157121443</v>
      </c>
      <c r="N168" s="761" t="n"/>
      <c r="O168" s="762" t="n">
        <v>-4.9927</v>
      </c>
      <c r="P168" s="725" t="n">
        <v>-0.01003209539120792</v>
      </c>
      <c r="Q168" s="726" t="n">
        <v>-1.018181818181734</v>
      </c>
      <c r="R168" s="764" t="n">
        <v>492.68</v>
      </c>
      <c r="S168" s="719" t="inlineStr">
        <is>
          <t>25M 46S</t>
        </is>
      </c>
      <c r="T168" s="728" t="n"/>
      <c r="U168" s="729" t="n"/>
      <c r="V168" s="730" t="n"/>
      <c r="W168" s="731" t="n"/>
      <c r="X168" s="732" t="n"/>
      <c r="Y168" s="728" t="n"/>
      <c r="Z168" s="729" t="n"/>
      <c r="AA168" s="730" t="n"/>
      <c r="AB168" s="731" t="n"/>
      <c r="AC168" s="732" t="n"/>
      <c r="AD168" s="719" t="inlineStr">
        <is>
          <t>No</t>
        </is>
      </c>
      <c r="AE168" s="733" t="n"/>
      <c r="AF168" s="733" t="n"/>
      <c r="AG168" s="733" t="n"/>
      <c r="AH168" s="733" t="n"/>
      <c r="AI168" s="719" t="inlineStr">
        <is>
          <t>Limit</t>
        </is>
      </c>
      <c r="AJ168" s="733" t="n"/>
      <c r="AK168" s="733" t="n"/>
      <c r="AL168" s="733" t="n"/>
      <c r="AM168" s="733" t="n"/>
      <c r="AN168" s="733" t="n"/>
      <c r="AO168" s="733" t="n"/>
      <c r="AP168" s="719" t="inlineStr">
        <is>
          <t>Pullback</t>
        </is>
      </c>
      <c r="AQ168" s="719" t="inlineStr">
        <is>
          <t>1H</t>
        </is>
      </c>
      <c r="AR168" s="719" t="inlineStr">
        <is>
          <t>No</t>
        </is>
      </c>
      <c r="AS168" s="733" t="n"/>
      <c r="AT168" s="733" t="n"/>
      <c r="AU168" s="733" t="n"/>
      <c r="AV168" s="733" t="n"/>
      <c r="AW168" s="719" t="inlineStr">
        <is>
          <t>trade</t>
        </is>
      </c>
      <c r="AX168" s="734" t="inlineStr">
        <is>
          <t>oanda_export:live:218:221</t>
        </is>
      </c>
    </row>
    <row r="169" ht="15" customHeight="1">
      <c r="A169" s="716" t="inlineStr">
        <is>
          <t>F985</t>
        </is>
      </c>
      <c r="B169" s="717" t="n">
        <v>45133.67738425926</v>
      </c>
      <c r="C169" s="718" t="n">
        <v>45133.68287037037</v>
      </c>
      <c r="D169" s="719" t="inlineStr">
        <is>
          <t>OANDA LIVE</t>
        </is>
      </c>
      <c r="E169" s="719" t="inlineStr">
        <is>
          <t>USDCHF</t>
        </is>
      </c>
      <c r="F169" s="719" t="inlineStr">
        <is>
          <t>BUY</t>
        </is>
      </c>
      <c r="G169" s="735" t="n">
        <v>0.03875</v>
      </c>
      <c r="H169" s="720" t="n">
        <v>0.86291</v>
      </c>
      <c r="I169" s="720" t="n">
        <v>0.8622</v>
      </c>
      <c r="J169" s="721" t="n">
        <v>0.8622</v>
      </c>
      <c r="K169" s="760" t="n">
        <v>0.000822797278974619</v>
      </c>
      <c r="L169" s="721" t="n">
        <v>0.8644500000000001</v>
      </c>
      <c r="M169" s="722" t="n">
        <v>0.00178465888679016</v>
      </c>
      <c r="N169" s="761" t="n"/>
      <c r="O169" s="762" t="n">
        <v>-4.7393</v>
      </c>
      <c r="P169" s="725" t="n">
        <v>-0.009433145445357002</v>
      </c>
      <c r="Q169" s="726" t="n">
        <v>-1</v>
      </c>
      <c r="R169" s="764" t="n">
        <v>497.67</v>
      </c>
      <c r="S169" s="719" t="inlineStr">
        <is>
          <t>7M 54S</t>
        </is>
      </c>
      <c r="T169" s="728" t="n"/>
      <c r="U169" s="729" t="n"/>
      <c r="V169" s="730" t="n"/>
      <c r="W169" s="731" t="n"/>
      <c r="X169" s="732" t="n"/>
      <c r="Y169" s="728" t="n"/>
      <c r="Z169" s="729" t="n"/>
      <c r="AA169" s="730" t="n"/>
      <c r="AB169" s="731" t="n"/>
      <c r="AC169" s="732" t="n"/>
      <c r="AD169" s="719" t="inlineStr">
        <is>
          <t>No</t>
        </is>
      </c>
      <c r="AE169" s="733" t="n"/>
      <c r="AF169" s="733" t="n"/>
      <c r="AG169" s="733" t="n"/>
      <c r="AH169" s="733" t="n"/>
      <c r="AI169" s="719" t="inlineStr">
        <is>
          <t>Limit</t>
        </is>
      </c>
      <c r="AJ169" s="733" t="n"/>
      <c r="AK169" s="719" t="n"/>
      <c r="AL169" s="733" t="n"/>
      <c r="AM169" s="733" t="n"/>
      <c r="AN169" s="733" t="n"/>
      <c r="AO169" s="733" t="n"/>
      <c r="AP169" s="719" t="inlineStr">
        <is>
          <t>Pullback</t>
        </is>
      </c>
      <c r="AQ169" s="719" t="inlineStr">
        <is>
          <t>1H</t>
        </is>
      </c>
      <c r="AR169" s="719" t="inlineStr">
        <is>
          <t>No</t>
        </is>
      </c>
      <c r="AS169" s="733" t="n"/>
      <c r="AT169" s="733" t="n"/>
      <c r="AU169" s="733" t="n"/>
      <c r="AV169" s="733" t="n"/>
      <c r="AW169" s="719" t="inlineStr">
        <is>
          <t>trade</t>
        </is>
      </c>
      <c r="AX169" s="734" t="inlineStr">
        <is>
          <t>oanda_export:live:211:214</t>
        </is>
      </c>
    </row>
    <row r="170" ht="15" customHeight="1">
      <c r="A170" s="716" t="inlineStr">
        <is>
          <t>C322</t>
        </is>
      </c>
      <c r="B170" s="717" t="n">
        <v>45130.05416666667</v>
      </c>
      <c r="C170" s="718" t="n">
        <v>45130.18402777778</v>
      </c>
      <c r="D170" s="719" t="inlineStr">
        <is>
          <t>BYBIT</t>
        </is>
      </c>
      <c r="E170" s="719" t="inlineStr">
        <is>
          <t>XLMUSDT</t>
        </is>
      </c>
      <c r="F170" s="719" t="inlineStr">
        <is>
          <t>BUY</t>
        </is>
      </c>
      <c r="G170" s="720" t="n">
        <v>1849</v>
      </c>
      <c r="H170" s="720" t="n">
        <v>0.16075</v>
      </c>
      <c r="I170" s="720" t="n">
        <v>0.15945</v>
      </c>
      <c r="J170" s="721" t="n">
        <v>0.15945</v>
      </c>
      <c r="K170" s="722" t="n">
        <v>0.00808709175738722</v>
      </c>
      <c r="L170" s="721" t="n">
        <v>0.16335</v>
      </c>
      <c r="M170" s="722" t="n">
        <v>0.01617418351477444</v>
      </c>
      <c r="N170" s="758" t="n">
        <v>0.13128802</v>
      </c>
      <c r="O170" s="724" t="n">
        <v>-2.53585467</v>
      </c>
      <c r="P170" s="725" t="n">
        <v>-0.01053620508847972</v>
      </c>
      <c r="Q170" s="726" t="n">
        <v>-1</v>
      </c>
      <c r="R170" s="727" t="n">
        <v>238.1442240399999</v>
      </c>
      <c r="S170" s="719" t="inlineStr">
        <is>
          <t>3H 7M 0S</t>
        </is>
      </c>
      <c r="T170" s="728" t="n"/>
      <c r="U170" s="729" t="n"/>
      <c r="V170" s="730" t="n"/>
      <c r="W170" s="731" t="n"/>
      <c r="X170" s="732" t="n"/>
      <c r="Y170" s="728" t="n"/>
      <c r="Z170" s="729" t="n"/>
      <c r="AA170" s="730" t="n"/>
      <c r="AB170" s="731" t="n"/>
      <c r="AC170" s="732" t="n"/>
      <c r="AD170" s="719" t="inlineStr">
        <is>
          <t>No</t>
        </is>
      </c>
      <c r="AE170" s="733" t="n"/>
      <c r="AF170" s="733" t="n"/>
      <c r="AG170" s="733" t="n"/>
      <c r="AH170" s="733" t="n"/>
      <c r="AI170" s="719" t="inlineStr">
        <is>
          <t>Limit</t>
        </is>
      </c>
      <c r="AJ170" s="733" t="n"/>
      <c r="AK170" s="733" t="n"/>
      <c r="AL170" s="733" t="n"/>
      <c r="AM170" s="719" t="inlineStr">
        <is>
          <t>Yes</t>
        </is>
      </c>
      <c r="AN170" s="719" t="inlineStr">
        <is>
          <t>Yes</t>
        </is>
      </c>
      <c r="AO170" s="733" t="n"/>
      <c r="AP170" s="719" t="inlineStr">
        <is>
          <t>Pullback</t>
        </is>
      </c>
      <c r="AQ170" s="719" t="inlineStr">
        <is>
          <t>15MIN</t>
        </is>
      </c>
      <c r="AR170" s="719" t="inlineStr">
        <is>
          <t>No</t>
        </is>
      </c>
      <c r="AS170" s="733" t="n"/>
      <c r="AT170" s="733" t="n"/>
      <c r="AU170" s="733" t="n"/>
      <c r="AV170" s="733" t="n"/>
      <c r="AW170" s="719" t="inlineStr">
        <is>
          <t>trade</t>
        </is>
      </c>
      <c r="AX170" s="734" t="inlineStr">
        <is>
          <t>sig:fabcd3fa6d845db39ef5bcfb</t>
        </is>
      </c>
    </row>
    <row r="171" ht="15" customHeight="1">
      <c r="A171" s="42" t="n"/>
      <c r="B171" s="770" t="n">
        <v>45128</v>
      </c>
      <c r="C171" s="771" t="n">
        <v>45128</v>
      </c>
      <c r="D171" s="12" t="inlineStr">
        <is>
          <t>PEPPERSTONE LIVE</t>
        </is>
      </c>
      <c r="E171" s="12" t="inlineStr">
        <is>
          <t>CASHFLOW</t>
        </is>
      </c>
      <c r="F171" s="12" t="inlineStr">
        <is>
          <t>DEPOSIT</t>
        </is>
      </c>
      <c r="G171" s="262" t="n"/>
      <c r="H171" s="262" t="n"/>
      <c r="I171" s="262" t="n"/>
      <c r="J171" s="263" t="n"/>
      <c r="K171" s="36" t="n"/>
      <c r="L171" s="263" t="n"/>
      <c r="M171" s="36" t="n"/>
      <c r="N171" s="779" t="n"/>
      <c r="O171" s="773" t="n"/>
      <c r="P171" s="3" t="n"/>
      <c r="Q171" s="51" t="n"/>
      <c r="R171" s="54" t="n">
        <v>1500</v>
      </c>
      <c r="S171" s="12" t="n"/>
      <c r="T171" s="774" t="n"/>
      <c r="U171" s="6" t="n"/>
      <c r="V171" s="264" t="n"/>
      <c r="W171" s="9" t="n"/>
      <c r="X171" s="46" t="n"/>
      <c r="Y171" s="774" t="n"/>
      <c r="Z171" s="6" t="n"/>
      <c r="AA171" s="264" t="n"/>
      <c r="AB171" s="9" t="n"/>
      <c r="AC171" s="46" t="n"/>
      <c r="AD171" s="12" t="inlineStr">
        <is>
          <t>No</t>
        </is>
      </c>
      <c r="AE171" s="45" t="n"/>
      <c r="AF171" s="45" t="n"/>
      <c r="AG171" s="45" t="n"/>
      <c r="AH171" s="45" t="n"/>
      <c r="AI171" s="12" t="n"/>
      <c r="AJ171" s="45" t="n"/>
      <c r="AK171" s="45" t="n"/>
      <c r="AL171" s="45" t="n"/>
      <c r="AM171" s="12" t="n"/>
      <c r="AN171" s="45" t="n"/>
      <c r="AO171" s="45" t="n"/>
      <c r="AP171" s="12" t="n"/>
      <c r="AQ171" s="12" t="n"/>
      <c r="AR171" s="12" t="n"/>
      <c r="AS171" s="56" t="inlineStr">
        <is>
          <t>Deposit 500.0 AUD. Source: screenshot_ocr. Imported from account_cashflows.xlsx row 93.</t>
        </is>
      </c>
      <c r="AT171" s="45" t="n"/>
      <c r="AU171" s="12" t="n">
        <v>1500</v>
      </c>
      <c r="AV171" s="12" t="inlineStr">
        <is>
          <t>AUD</t>
        </is>
      </c>
      <c r="AW171" s="12" t="inlineStr">
        <is>
          <t>cashflow</t>
        </is>
      </c>
      <c r="AX171" s="57" t="inlineStr">
        <is>
          <t>cashflow:PEPPERSTONE LIVE:2023-07-21T00:00:00:14</t>
        </is>
      </c>
    </row>
    <row r="172" ht="15" customHeight="1">
      <c r="A172" s="737" t="inlineStr">
        <is>
          <t>F984</t>
        </is>
      </c>
      <c r="B172" s="738" t="n">
        <v>45121.43657407408</v>
      </c>
      <c r="C172" s="739" t="n">
        <v>45124.9812962963</v>
      </c>
      <c r="D172" s="740" t="inlineStr">
        <is>
          <t>OANDA LIVE</t>
        </is>
      </c>
      <c r="E172" s="740" t="inlineStr">
        <is>
          <t>USDJPY</t>
        </is>
      </c>
      <c r="F172" s="740" t="inlineStr">
        <is>
          <t>BUY</t>
        </is>
      </c>
      <c r="G172" s="741" t="n">
        <v>0.00616</v>
      </c>
      <c r="H172" s="742" t="n">
        <v>137.761</v>
      </c>
      <c r="I172" s="742" t="n">
        <v>139.29</v>
      </c>
      <c r="J172" s="743" t="n">
        <v>137.002</v>
      </c>
      <c r="K172" s="744" t="n">
        <v>0.005509541887762038</v>
      </c>
      <c r="L172" s="743" t="n">
        <v>139.288</v>
      </c>
      <c r="M172" s="744" t="n">
        <v>0.01108441431174291</v>
      </c>
      <c r="N172" s="796" t="n"/>
      <c r="O172" s="767" t="n">
        <v>9.8979</v>
      </c>
      <c r="P172" s="747" t="n">
        <v>0.02009676513531343</v>
      </c>
      <c r="Q172" s="748" t="n">
        <v>2.01449275362322</v>
      </c>
      <c r="R172" s="769" t="n">
        <v>502.41</v>
      </c>
      <c r="S172" s="740" t="inlineStr">
        <is>
          <t>3D 13H 4M 24S</t>
        </is>
      </c>
      <c r="T172" s="750" t="n"/>
      <c r="U172" s="751" t="n"/>
      <c r="V172" s="752" t="n"/>
      <c r="W172" s="753" t="n"/>
      <c r="X172" s="754" t="n"/>
      <c r="Y172" s="750" t="n"/>
      <c r="Z172" s="751" t="n"/>
      <c r="AA172" s="752" t="n"/>
      <c r="AB172" s="753" t="n"/>
      <c r="AC172" s="754" t="n"/>
      <c r="AD172" s="740" t="inlineStr">
        <is>
          <t>No</t>
        </is>
      </c>
      <c r="AE172" s="755" t="n"/>
      <c r="AF172" s="755" t="n"/>
      <c r="AG172" s="755" t="n"/>
      <c r="AH172" s="755" t="n"/>
      <c r="AI172" s="740" t="inlineStr">
        <is>
          <t>Limit</t>
        </is>
      </c>
      <c r="AJ172" s="755" t="n"/>
      <c r="AK172" s="755" t="n"/>
      <c r="AL172" s="755" t="n"/>
      <c r="AM172" s="740" t="n"/>
      <c r="AN172" s="755" t="n"/>
      <c r="AO172" s="755" t="n"/>
      <c r="AP172" s="740" t="inlineStr">
        <is>
          <t>Pullback</t>
        </is>
      </c>
      <c r="AQ172" s="740" t="inlineStr">
        <is>
          <t>DAILY</t>
        </is>
      </c>
      <c r="AR172" s="740" t="inlineStr">
        <is>
          <t>No</t>
        </is>
      </c>
      <c r="AS172" s="755" t="n"/>
      <c r="AT172" s="755" t="n"/>
      <c r="AU172" s="755" t="n"/>
      <c r="AV172" s="755" t="n"/>
      <c r="AW172" s="740" t="inlineStr">
        <is>
          <t>trade</t>
        </is>
      </c>
      <c r="AX172" s="756" t="inlineStr">
        <is>
          <t>oanda_export:live:200:208</t>
        </is>
      </c>
    </row>
    <row r="173" ht="15" customHeight="1">
      <c r="A173" s="737" t="inlineStr">
        <is>
          <t>C321</t>
        </is>
      </c>
      <c r="B173" s="738" t="n">
        <v>45124.24930555555</v>
      </c>
      <c r="C173" s="739" t="n">
        <v>45124.30138888889</v>
      </c>
      <c r="D173" s="740" t="inlineStr">
        <is>
          <t>BYBIT</t>
        </is>
      </c>
      <c r="E173" s="740" t="inlineStr">
        <is>
          <t>XLMUSDT</t>
        </is>
      </c>
      <c r="F173" s="740" t="inlineStr">
        <is>
          <t>BUY</t>
        </is>
      </c>
      <c r="G173" s="742" t="n">
        <v>2951</v>
      </c>
      <c r="H173" s="742" t="n">
        <v>0.1312</v>
      </c>
      <c r="I173" s="742" t="n">
        <v>0.13275</v>
      </c>
      <c r="J173" s="743" t="n">
        <v>0.1304</v>
      </c>
      <c r="K173" s="744" t="n">
        <v>0.006097560975609931</v>
      </c>
      <c r="L173" s="743" t="n">
        <v>0.1328</v>
      </c>
      <c r="M173" s="744" t="n">
        <v>0.01219512195121944</v>
      </c>
      <c r="N173" s="745" t="n">
        <v>0.27376427</v>
      </c>
      <c r="O173" s="746" t="n">
        <v>4.29941908</v>
      </c>
      <c r="P173" s="747" t="n">
        <v>0.01818853998770357</v>
      </c>
      <c r="Q173" s="748" t="n">
        <v>1.937499999999939</v>
      </c>
      <c r="R173" s="749" t="n">
        <v>240.6800787099999</v>
      </c>
      <c r="S173" s="740" t="inlineStr">
        <is>
          <t>1H 15M 0S</t>
        </is>
      </c>
      <c r="T173" s="750" t="n"/>
      <c r="U173" s="751" t="n"/>
      <c r="V173" s="752" t="n"/>
      <c r="W173" s="753" t="n"/>
      <c r="X173" s="754" t="n"/>
      <c r="Y173" s="750" t="n"/>
      <c r="Z173" s="751" t="n"/>
      <c r="AA173" s="752" t="n"/>
      <c r="AB173" s="753" t="n"/>
      <c r="AC173" s="754" t="n"/>
      <c r="AD173" s="740" t="inlineStr">
        <is>
          <t>No</t>
        </is>
      </c>
      <c r="AE173" s="755" t="n"/>
      <c r="AF173" s="755" t="n"/>
      <c r="AG173" s="755" t="n"/>
      <c r="AH173" s="755" t="n"/>
      <c r="AI173" s="740" t="inlineStr">
        <is>
          <t>Limit</t>
        </is>
      </c>
      <c r="AJ173" s="755" t="n"/>
      <c r="AK173" s="740" t="n"/>
      <c r="AL173" s="755" t="n"/>
      <c r="AM173" s="755" t="n"/>
      <c r="AN173" s="755" t="n"/>
      <c r="AO173" s="755" t="n"/>
      <c r="AP173" s="740" t="inlineStr">
        <is>
          <t>Pullback</t>
        </is>
      </c>
      <c r="AQ173" s="740" t="inlineStr">
        <is>
          <t>15MIN</t>
        </is>
      </c>
      <c r="AR173" s="740" t="inlineStr">
        <is>
          <t>No</t>
        </is>
      </c>
      <c r="AS173" s="755" t="n"/>
      <c r="AT173" s="755" t="n"/>
      <c r="AU173" s="755" t="n"/>
      <c r="AV173" s="755" t="n"/>
      <c r="AW173" s="740" t="inlineStr">
        <is>
          <t>trade</t>
        </is>
      </c>
      <c r="AX173" s="756" t="inlineStr">
        <is>
          <t>sig:6dd73e2425b478c67039afd8</t>
        </is>
      </c>
    </row>
    <row r="174" ht="15" customHeight="1">
      <c r="A174" s="716" t="inlineStr">
        <is>
          <t>F983</t>
        </is>
      </c>
      <c r="B174" s="717" t="n">
        <v>45120.98244212963</v>
      </c>
      <c r="C174" s="718" t="n">
        <v>45121.50233796296</v>
      </c>
      <c r="D174" s="719" t="inlineStr">
        <is>
          <t>OANDA LIVE</t>
        </is>
      </c>
      <c r="E174" s="719" t="inlineStr">
        <is>
          <t>NZDUSD</t>
        </is>
      </c>
      <c r="F174" s="719" t="inlineStr">
        <is>
          <t>SELL</t>
        </is>
      </c>
      <c r="G174" s="735" t="n">
        <v>0.01172</v>
      </c>
      <c r="H174" s="720" t="n">
        <v>0.63764</v>
      </c>
      <c r="I174" s="720" t="n">
        <v>0.64051</v>
      </c>
      <c r="J174" s="721" t="n">
        <v>0.6405</v>
      </c>
      <c r="K174" s="722" t="n">
        <v>0.00448528950504983</v>
      </c>
      <c r="L174" s="721" t="n">
        <v>0.63189</v>
      </c>
      <c r="M174" s="722" t="n">
        <v>0.009017627501411506</v>
      </c>
      <c r="N174" s="761" t="n"/>
      <c r="O174" s="762" t="n">
        <v>-4.9052</v>
      </c>
      <c r="P174" s="725" t="n">
        <v>-0.009861379386878406</v>
      </c>
      <c r="Q174" s="726" t="n">
        <v>-1.003496503496526</v>
      </c>
      <c r="R174" s="764" t="n">
        <v>492.51</v>
      </c>
      <c r="S174" s="719" t="inlineStr">
        <is>
          <t>12H 28M 39S</t>
        </is>
      </c>
      <c r="T174" s="728" t="n"/>
      <c r="U174" s="729" t="n"/>
      <c r="V174" s="730" t="n"/>
      <c r="W174" s="731" t="n"/>
      <c r="X174" s="732" t="n"/>
      <c r="Y174" s="728" t="n"/>
      <c r="Z174" s="729" t="n"/>
      <c r="AA174" s="730" t="n"/>
      <c r="AB174" s="731" t="n"/>
      <c r="AC174" s="732" t="n"/>
      <c r="AD174" s="719" t="inlineStr">
        <is>
          <t>No</t>
        </is>
      </c>
      <c r="AE174" s="733" t="n"/>
      <c r="AF174" s="733" t="n"/>
      <c r="AG174" s="733" t="n"/>
      <c r="AH174" s="733" t="n"/>
      <c r="AI174" s="719" t="inlineStr">
        <is>
          <t>Limit</t>
        </is>
      </c>
      <c r="AJ174" s="733" t="n"/>
      <c r="AK174" s="733" t="n"/>
      <c r="AL174" s="733" t="n"/>
      <c r="AM174" s="733" t="n"/>
      <c r="AN174" s="733" t="n"/>
      <c r="AO174" s="733" t="n"/>
      <c r="AP174" s="719" t="inlineStr">
        <is>
          <t>Pullback</t>
        </is>
      </c>
      <c r="AQ174" s="719" t="inlineStr">
        <is>
          <t>DAILY</t>
        </is>
      </c>
      <c r="AR174" s="719" t="inlineStr">
        <is>
          <t>No</t>
        </is>
      </c>
      <c r="AS174" s="733" t="n"/>
      <c r="AT174" s="733" t="n"/>
      <c r="AU174" s="733" t="n"/>
      <c r="AV174" s="733" t="n"/>
      <c r="AW174" s="719" t="inlineStr">
        <is>
          <t>trade</t>
        </is>
      </c>
      <c r="AX174" s="734" t="inlineStr">
        <is>
          <t>oanda_export:live:196:203</t>
        </is>
      </c>
    </row>
    <row r="175" ht="15" customHeight="1">
      <c r="A175" s="716" t="inlineStr">
        <is>
          <t>C320</t>
        </is>
      </c>
      <c r="B175" s="717" t="n">
        <v>45121.17430555556</v>
      </c>
      <c r="C175" s="718" t="n">
        <v>45121.22638888889</v>
      </c>
      <c r="D175" s="719" t="inlineStr">
        <is>
          <t>BYBIT</t>
        </is>
      </c>
      <c r="E175" s="719" t="inlineStr">
        <is>
          <t>BTCUSDT</t>
        </is>
      </c>
      <c r="F175" s="719" t="inlineStr">
        <is>
          <t>SELL</t>
        </is>
      </c>
      <c r="G175" s="757" t="n">
        <v>0.007</v>
      </c>
      <c r="H175" s="720" t="n">
        <v>31353.1</v>
      </c>
      <c r="I175" s="720" t="n">
        <v>31699</v>
      </c>
      <c r="J175" s="721" t="n">
        <v>31697</v>
      </c>
      <c r="K175" s="722" t="n">
        <v>0.01096861235412133</v>
      </c>
      <c r="L175" s="721" t="n">
        <v>30493.3</v>
      </c>
      <c r="M175" s="722" t="n">
        <v>0.02742312562394147</v>
      </c>
      <c r="N175" s="758" t="n">
        <v>0.15508297</v>
      </c>
      <c r="O175" s="724" t="n">
        <v>-2.57724962</v>
      </c>
      <c r="P175" s="725" t="n">
        <v>-0.01078537064577201</v>
      </c>
      <c r="Q175" s="726" t="n">
        <v>-1.005815644082582</v>
      </c>
      <c r="R175" s="727" t="n">
        <v>236.3806596299999</v>
      </c>
      <c r="S175" s="719" t="inlineStr">
        <is>
          <t>1H 15M 0S</t>
        </is>
      </c>
      <c r="T175" s="728" t="n"/>
      <c r="U175" s="729" t="n"/>
      <c r="V175" s="730" t="n"/>
      <c r="W175" s="731" t="n"/>
      <c r="X175" s="732" t="n"/>
      <c r="Y175" s="728" t="n"/>
      <c r="Z175" s="729" t="n"/>
      <c r="AA175" s="730" t="n"/>
      <c r="AB175" s="731" t="n"/>
      <c r="AC175" s="732" t="n"/>
      <c r="AD175" s="719" t="inlineStr">
        <is>
          <t>No</t>
        </is>
      </c>
      <c r="AE175" s="733" t="n"/>
      <c r="AF175" s="733" t="n"/>
      <c r="AG175" s="733" t="n"/>
      <c r="AH175" s="733" t="n"/>
      <c r="AI175" s="719" t="inlineStr">
        <is>
          <t>Limit</t>
        </is>
      </c>
      <c r="AJ175" s="733" t="n"/>
      <c r="AK175" s="719" t="n"/>
      <c r="AL175" s="733" t="n"/>
      <c r="AM175" s="733" t="n"/>
      <c r="AN175" s="733" t="n"/>
      <c r="AO175" s="733" t="n"/>
      <c r="AP175" s="719" t="inlineStr">
        <is>
          <t>Pullback</t>
        </is>
      </c>
      <c r="AQ175" s="719" t="inlineStr">
        <is>
          <t>4H</t>
        </is>
      </c>
      <c r="AR175" s="719" t="inlineStr">
        <is>
          <t>No</t>
        </is>
      </c>
      <c r="AS175" s="733" t="n"/>
      <c r="AT175" s="733" t="n"/>
      <c r="AU175" s="733" t="n"/>
      <c r="AV175" s="733" t="n"/>
      <c r="AW175" s="719" t="inlineStr">
        <is>
          <t>trade</t>
        </is>
      </c>
      <c r="AX175" s="734" t="inlineStr">
        <is>
          <t>sig:ec51633b5406f62e74abc8c6</t>
        </is>
      </c>
    </row>
    <row r="176" ht="15" customHeight="1">
      <c r="A176" s="716" t="inlineStr">
        <is>
          <t>C318</t>
        </is>
      </c>
      <c r="B176" s="717" t="n">
        <v>45121.06388888889</v>
      </c>
      <c r="C176" s="718" t="n">
        <v>45121.12708333333</v>
      </c>
      <c r="D176" s="719" t="inlineStr">
        <is>
          <t>BYBIT</t>
        </is>
      </c>
      <c r="E176" s="719" t="inlineStr">
        <is>
          <t>SOLUSDT</t>
        </is>
      </c>
      <c r="F176" s="719" t="inlineStr">
        <is>
          <t>SELL</t>
        </is>
      </c>
      <c r="G176" s="720" t="n">
        <v>1.3</v>
      </c>
      <c r="H176" s="720" t="n">
        <v>24.06</v>
      </c>
      <c r="I176" s="720" t="n">
        <v>25.898</v>
      </c>
      <c r="J176" s="721" t="n">
        <v>25.94</v>
      </c>
      <c r="K176" s="722" t="n">
        <v>0.07813798836242737</v>
      </c>
      <c r="L176" s="721" t="n">
        <v>20.3</v>
      </c>
      <c r="M176" s="722" t="n">
        <v>0.1562759767248545</v>
      </c>
      <c r="N176" s="723" t="n">
        <v>0.02020317</v>
      </c>
      <c r="O176" s="724" t="n">
        <v>-2.41046982</v>
      </c>
      <c r="P176" s="725" t="n">
        <v>-0.009986684375507751</v>
      </c>
      <c r="Q176" s="726" t="n">
        <v>-0.9776595744680843</v>
      </c>
      <c r="R176" s="727" t="n">
        <v>238.9579092499999</v>
      </c>
      <c r="S176" s="719" t="inlineStr">
        <is>
          <t>1H 31M 0S</t>
        </is>
      </c>
      <c r="T176" s="728" t="n"/>
      <c r="U176" s="729" t="n"/>
      <c r="V176" s="730" t="n"/>
      <c r="W176" s="731" t="n"/>
      <c r="X176" s="732" t="n"/>
      <c r="Y176" s="728" t="n"/>
      <c r="Z176" s="729" t="n"/>
      <c r="AA176" s="730" t="n"/>
      <c r="AB176" s="731" t="n"/>
      <c r="AC176" s="732" t="n"/>
      <c r="AD176" s="719" t="inlineStr">
        <is>
          <t>No</t>
        </is>
      </c>
      <c r="AE176" s="733" t="n"/>
      <c r="AF176" s="733" t="n"/>
      <c r="AG176" s="733" t="n"/>
      <c r="AH176" s="733" t="n"/>
      <c r="AI176" s="719" t="inlineStr">
        <is>
          <t>Limit</t>
        </is>
      </c>
      <c r="AJ176" s="733" t="n"/>
      <c r="AK176" s="719" t="n"/>
      <c r="AL176" s="733" t="n"/>
      <c r="AM176" s="733" t="n"/>
      <c r="AN176" s="733" t="n"/>
      <c r="AO176" s="733" t="n"/>
      <c r="AP176" s="719" t="inlineStr">
        <is>
          <t>Pullback</t>
        </is>
      </c>
      <c r="AQ176" s="719" t="inlineStr">
        <is>
          <t>WEEKLY</t>
        </is>
      </c>
      <c r="AR176" s="719" t="inlineStr">
        <is>
          <t>No</t>
        </is>
      </c>
      <c r="AS176" s="733" t="n"/>
      <c r="AT176" s="733" t="n"/>
      <c r="AU176" s="733" t="n"/>
      <c r="AV176" s="733" t="n"/>
      <c r="AW176" s="719" t="inlineStr">
        <is>
          <t>trade</t>
        </is>
      </c>
      <c r="AX176" s="734" t="inlineStr">
        <is>
          <t>sig:570e48c85b620a0bfc3d9048</t>
        </is>
      </c>
    </row>
    <row r="177" ht="15" customHeight="1">
      <c r="A177" s="716" t="inlineStr">
        <is>
          <t>C319</t>
        </is>
      </c>
      <c r="B177" s="717" t="n">
        <v>45121.07222222222</v>
      </c>
      <c r="C177" s="718" t="n">
        <v>45121.07291666666</v>
      </c>
      <c r="D177" s="719" t="inlineStr">
        <is>
          <t>BYBIT</t>
        </is>
      </c>
      <c r="E177" s="719" t="inlineStr">
        <is>
          <t>BTCUSDT</t>
        </is>
      </c>
      <c r="F177" s="719" t="inlineStr">
        <is>
          <t>SELL</t>
        </is>
      </c>
      <c r="G177" s="735" t="n">
        <v>0.018</v>
      </c>
      <c r="H177" s="720" t="n">
        <v>30949.7</v>
      </c>
      <c r="I177" s="720" t="n">
        <v>31080.4</v>
      </c>
      <c r="J177" s="721" t="n">
        <v>31061.58</v>
      </c>
      <c r="K177" s="722" t="n">
        <v>0.00361489772114111</v>
      </c>
      <c r="L177" s="721" t="n">
        <v>30725.94</v>
      </c>
      <c r="M177" s="722" t="n">
        <v>0.00722979544228222</v>
      </c>
      <c r="N177" s="758" t="n">
        <v>0.39137778</v>
      </c>
      <c r="O177" s="724" t="n">
        <v>-2.74484443</v>
      </c>
      <c r="P177" s="725" t="n">
        <v>-0.01124414478923138</v>
      </c>
      <c r="Q177" s="726" t="n">
        <v>-1.168215945656056</v>
      </c>
      <c r="R177" s="727" t="n">
        <v>241.3683790699999</v>
      </c>
      <c r="S177" s="719" t="inlineStr">
        <is>
          <t>1M 0S</t>
        </is>
      </c>
      <c r="T177" s="728" t="n"/>
      <c r="U177" s="729" t="n"/>
      <c r="V177" s="730" t="n"/>
      <c r="W177" s="731" t="n"/>
      <c r="X177" s="732" t="n"/>
      <c r="Y177" s="728" t="n"/>
      <c r="Z177" s="729" t="n"/>
      <c r="AA177" s="730" t="n"/>
      <c r="AB177" s="731" t="n"/>
      <c r="AC177" s="732" t="n"/>
      <c r="AD177" s="719" t="inlineStr">
        <is>
          <t>No</t>
        </is>
      </c>
      <c r="AE177" s="733" t="n"/>
      <c r="AF177" s="733" t="n"/>
      <c r="AG177" s="733" t="n"/>
      <c r="AH177" s="733" t="n"/>
      <c r="AI177" s="719" t="inlineStr">
        <is>
          <t>Limit</t>
        </is>
      </c>
      <c r="AJ177" s="733" t="n"/>
      <c r="AK177" s="719" t="inlineStr">
        <is>
          <t>Yes</t>
        </is>
      </c>
      <c r="AL177" s="733" t="n"/>
      <c r="AM177" s="733" t="n"/>
      <c r="AN177" s="733" t="n"/>
      <c r="AO177" s="733" t="n"/>
      <c r="AP177" s="719" t="inlineStr">
        <is>
          <t>Pullback</t>
        </is>
      </c>
      <c r="AQ177" s="719" t="inlineStr">
        <is>
          <t>1H</t>
        </is>
      </c>
      <c r="AR177" s="719" t="inlineStr">
        <is>
          <t>No</t>
        </is>
      </c>
      <c r="AS177" s="733" t="n"/>
      <c r="AT177" s="733" t="n"/>
      <c r="AU177" s="733" t="n"/>
      <c r="AV177" s="733" t="n"/>
      <c r="AW177" s="719" t="inlineStr">
        <is>
          <t>trade</t>
        </is>
      </c>
      <c r="AX177" s="734" t="inlineStr">
        <is>
          <t>sig:a417aa1136b7f05fe3315702</t>
        </is>
      </c>
    </row>
    <row r="178" ht="15" customHeight="1">
      <c r="A178" s="716" t="inlineStr">
        <is>
          <t>F982</t>
        </is>
      </c>
      <c r="B178" s="717" t="n">
        <v>45120.06920138889</v>
      </c>
      <c r="C178" s="718" t="n">
        <v>45120.50760416667</v>
      </c>
      <c r="D178" s="719" t="inlineStr">
        <is>
          <t>OANDA LIVE</t>
        </is>
      </c>
      <c r="E178" s="719" t="inlineStr">
        <is>
          <t>NZDUSD</t>
        </is>
      </c>
      <c r="F178" s="719" t="inlineStr">
        <is>
          <t>SELL</t>
        </is>
      </c>
      <c r="G178" s="735" t="n">
        <v>0.01118</v>
      </c>
      <c r="H178" s="720" t="n">
        <v>0.62896</v>
      </c>
      <c r="I178" s="720" t="n">
        <v>0.632</v>
      </c>
      <c r="J178" s="721" t="n"/>
      <c r="K178" s="722" t="n"/>
      <c r="L178" s="721" t="n"/>
      <c r="M178" s="722" t="n"/>
      <c r="N178" s="761" t="n"/>
      <c r="O178" s="762" t="n">
        <v>-5.065600000000001</v>
      </c>
      <c r="P178" s="725" t="n">
        <v>-0.01008108491069197</v>
      </c>
      <c r="Q178" s="726" t="n"/>
      <c r="R178" s="764" t="n">
        <v>497.42</v>
      </c>
      <c r="S178" s="719" t="inlineStr">
        <is>
          <t>10H 31M 18S</t>
        </is>
      </c>
      <c r="T178" s="728" t="n"/>
      <c r="U178" s="729" t="n"/>
      <c r="V178" s="730" t="n"/>
      <c r="W178" s="731" t="n"/>
      <c r="X178" s="732" t="n"/>
      <c r="Y178" s="728" t="n"/>
      <c r="Z178" s="729" t="n"/>
      <c r="AA178" s="730" t="n"/>
      <c r="AB178" s="731" t="n"/>
      <c r="AC178" s="732" t="n"/>
      <c r="AD178" s="719" t="inlineStr">
        <is>
          <t>No</t>
        </is>
      </c>
      <c r="AE178" s="733" t="n"/>
      <c r="AF178" s="733" t="n"/>
      <c r="AG178" s="733" t="n"/>
      <c r="AH178" s="733" t="n"/>
      <c r="AI178" s="719" t="inlineStr">
        <is>
          <t>Market</t>
        </is>
      </c>
      <c r="AJ178" s="733" t="n"/>
      <c r="AK178" s="733" t="n"/>
      <c r="AL178" s="733" t="n"/>
      <c r="AM178" s="733" t="n"/>
      <c r="AN178" s="733" t="n"/>
      <c r="AO178" s="733" t="n"/>
      <c r="AP178" s="719" t="inlineStr">
        <is>
          <t>Pullback</t>
        </is>
      </c>
      <c r="AQ178" s="719" t="inlineStr">
        <is>
          <t>DAILY</t>
        </is>
      </c>
      <c r="AR178" s="719" t="inlineStr">
        <is>
          <t>No</t>
        </is>
      </c>
      <c r="AS178" s="733" t="n"/>
      <c r="AT178" s="733" t="n"/>
      <c r="AU178" s="733" t="n"/>
      <c r="AV178" s="733" t="n"/>
      <c r="AW178" s="719" t="inlineStr">
        <is>
          <t>trade</t>
        </is>
      </c>
      <c r="AX178" s="734" t="inlineStr">
        <is>
          <t>oanda_export:live:188:193</t>
        </is>
      </c>
    </row>
    <row r="179" ht="15" customHeight="1">
      <c r="A179" s="737" t="inlineStr">
        <is>
          <t>F981</t>
        </is>
      </c>
      <c r="B179" s="738" t="n">
        <v>45114.67481481482</v>
      </c>
      <c r="C179" s="739" t="n">
        <v>45114.68587962963</v>
      </c>
      <c r="D179" s="740" t="inlineStr">
        <is>
          <t>OANDA LIVE</t>
        </is>
      </c>
      <c r="E179" s="740" t="inlineStr">
        <is>
          <t>EURUSD</t>
        </is>
      </c>
      <c r="F179" s="740" t="inlineStr">
        <is>
          <t>SELL</t>
        </is>
      </c>
      <c r="G179" s="775" t="n">
        <v>0.07915</v>
      </c>
      <c r="H179" s="742" t="n">
        <v>1.08996</v>
      </c>
      <c r="I179" s="742" t="n">
        <v>1.0891</v>
      </c>
      <c r="J179" s="743" t="n">
        <v>1.09034</v>
      </c>
      <c r="K179" s="765" t="n">
        <v>0.0003486366472164547</v>
      </c>
      <c r="L179" s="743" t="n">
        <v>1.08911</v>
      </c>
      <c r="M179" s="765" t="n">
        <v>0.000779845131931463</v>
      </c>
      <c r="N179" s="796" t="n"/>
      <c r="O179" s="767" t="n">
        <v>10.2132</v>
      </c>
      <c r="P179" s="747" t="n">
        <v>0.02074686436573896</v>
      </c>
      <c r="Q179" s="748" t="n">
        <v>2.263157894736781</v>
      </c>
      <c r="R179" s="769" t="n">
        <v>502.49</v>
      </c>
      <c r="S179" s="740" t="inlineStr">
        <is>
          <t>15M 56S</t>
        </is>
      </c>
      <c r="T179" s="750" t="n"/>
      <c r="U179" s="751" t="n"/>
      <c r="V179" s="752" t="n"/>
      <c r="W179" s="753" t="n"/>
      <c r="X179" s="754" t="n"/>
      <c r="Y179" s="750" t="n"/>
      <c r="Z179" s="751" t="n"/>
      <c r="AA179" s="752" t="n"/>
      <c r="AB179" s="753" t="n"/>
      <c r="AC179" s="754" t="n"/>
      <c r="AD179" s="740" t="inlineStr">
        <is>
          <t>No</t>
        </is>
      </c>
      <c r="AE179" s="755" t="n"/>
      <c r="AF179" s="755" t="n"/>
      <c r="AG179" s="755" t="n"/>
      <c r="AH179" s="755" t="n"/>
      <c r="AI179" s="740" t="inlineStr">
        <is>
          <t>Limit</t>
        </is>
      </c>
      <c r="AJ179" s="755" t="n"/>
      <c r="AK179" s="755" t="n"/>
      <c r="AL179" s="755" t="n"/>
      <c r="AM179" s="740" t="inlineStr">
        <is>
          <t>Yes</t>
        </is>
      </c>
      <c r="AN179" s="755" t="n"/>
      <c r="AO179" s="740" t="n"/>
      <c r="AP179" s="740" t="inlineStr">
        <is>
          <t>Pullback</t>
        </is>
      </c>
      <c r="AQ179" s="740" t="inlineStr">
        <is>
          <t>15MIN</t>
        </is>
      </c>
      <c r="AR179" s="740" t="inlineStr">
        <is>
          <t>No</t>
        </is>
      </c>
      <c r="AS179" s="755" t="n"/>
      <c r="AT179" s="755" t="n"/>
      <c r="AU179" s="755" t="n"/>
      <c r="AV179" s="755" t="n"/>
      <c r="AW179" s="740" t="inlineStr">
        <is>
          <t>trade</t>
        </is>
      </c>
      <c r="AX179" s="756" t="inlineStr">
        <is>
          <t>oanda_export:live:181:184</t>
        </is>
      </c>
    </row>
    <row r="180" ht="15" customHeight="1">
      <c r="A180" s="737" t="inlineStr">
        <is>
          <t>F979</t>
        </is>
      </c>
      <c r="B180" s="738" t="n">
        <v>45112.81434027778</v>
      </c>
      <c r="C180" s="739" t="n">
        <v>45112.89420138889</v>
      </c>
      <c r="D180" s="740" t="inlineStr">
        <is>
          <t>OANDA LIVE</t>
        </is>
      </c>
      <c r="E180" s="740" t="inlineStr">
        <is>
          <t>CHFJPY</t>
        </is>
      </c>
      <c r="F180" s="740" t="inlineStr">
        <is>
          <t>BUY</t>
        </is>
      </c>
      <c r="G180" s="775" t="n">
        <v>0.03991</v>
      </c>
      <c r="H180" s="742" t="n">
        <v>160.479</v>
      </c>
      <c r="I180" s="742" t="n">
        <v>160.716</v>
      </c>
      <c r="J180" s="743" t="n">
        <v>160.362</v>
      </c>
      <c r="K180" s="765" t="n">
        <v>0.000729067354607261</v>
      </c>
      <c r="L180" s="743" t="n">
        <v>160.713</v>
      </c>
      <c r="M180" s="744" t="n">
        <v>0.001458134709214168</v>
      </c>
      <c r="N180" s="796" t="n"/>
      <c r="O180" s="767" t="n">
        <v>9.7826</v>
      </c>
      <c r="P180" s="747" t="n">
        <v>0.02027534812308052</v>
      </c>
      <c r="Q180" s="748" t="n">
        <v>2.025641025640658</v>
      </c>
      <c r="R180" s="769" t="n">
        <v>492.27</v>
      </c>
      <c r="S180" s="740" t="inlineStr">
        <is>
          <t>1H 55M 0S</t>
        </is>
      </c>
      <c r="T180" s="750" t="n"/>
      <c r="U180" s="751" t="n"/>
      <c r="V180" s="752" t="n"/>
      <c r="W180" s="753" t="n"/>
      <c r="X180" s="754" t="n"/>
      <c r="Y180" s="750" t="n"/>
      <c r="Z180" s="751" t="n"/>
      <c r="AA180" s="752" t="n"/>
      <c r="AB180" s="753" t="n"/>
      <c r="AC180" s="754" t="n"/>
      <c r="AD180" s="740" t="inlineStr">
        <is>
          <t>No</t>
        </is>
      </c>
      <c r="AE180" s="755" t="n"/>
      <c r="AF180" s="755" t="n"/>
      <c r="AG180" s="755" t="n"/>
      <c r="AH180" s="755" t="n"/>
      <c r="AI180" s="740" t="inlineStr">
        <is>
          <t>Limit</t>
        </is>
      </c>
      <c r="AJ180" s="755" t="n"/>
      <c r="AK180" s="755" t="n"/>
      <c r="AL180" s="755" t="n"/>
      <c r="AM180" s="740" t="inlineStr">
        <is>
          <t>Yes</t>
        </is>
      </c>
      <c r="AN180" s="755" t="n"/>
      <c r="AO180" s="740" t="n"/>
      <c r="AP180" s="740" t="inlineStr">
        <is>
          <t>Pullback</t>
        </is>
      </c>
      <c r="AQ180" s="740" t="inlineStr">
        <is>
          <t>1H</t>
        </is>
      </c>
      <c r="AR180" s="740" t="inlineStr">
        <is>
          <t>No</t>
        </is>
      </c>
      <c r="AS180" s="755" t="n"/>
      <c r="AT180" s="755" t="n"/>
      <c r="AU180" s="755" t="n"/>
      <c r="AV180" s="755" t="n"/>
      <c r="AW180" s="740" t="inlineStr">
        <is>
          <t>trade</t>
        </is>
      </c>
      <c r="AX180" s="756" t="inlineStr">
        <is>
          <t>oanda_export:live:166:175</t>
        </is>
      </c>
    </row>
    <row r="181" ht="15" customHeight="1">
      <c r="A181" s="716" t="inlineStr">
        <is>
          <t>F980</t>
        </is>
      </c>
      <c r="B181" s="717" t="n">
        <v>45112.84931712963</v>
      </c>
      <c r="C181" s="718" t="n">
        <v>45112.85938657408</v>
      </c>
      <c r="D181" s="719" t="inlineStr">
        <is>
          <t>OANDA LIVE</t>
        </is>
      </c>
      <c r="E181" s="719" t="inlineStr">
        <is>
          <t>USDCAD</t>
        </is>
      </c>
      <c r="F181" s="719" t="inlineStr">
        <is>
          <t>SELL</t>
        </is>
      </c>
      <c r="G181" s="735" t="n">
        <v>0.0541</v>
      </c>
      <c r="H181" s="720" t="n">
        <v>1.32814</v>
      </c>
      <c r="I181" s="720" t="n">
        <v>1.32891</v>
      </c>
      <c r="J181" s="721" t="n">
        <v>1.3289</v>
      </c>
      <c r="K181" s="760" t="n">
        <v>0.0005722288312978088</v>
      </c>
      <c r="L181" s="721" t="n">
        <v>1.32653</v>
      </c>
      <c r="M181" s="722" t="n">
        <v>0.001212221603144331</v>
      </c>
      <c r="N181" s="761" t="n"/>
      <c r="O181" s="762" t="n">
        <v>-4.7276</v>
      </c>
      <c r="P181" s="725" t="n">
        <v>-0.009703261951128202</v>
      </c>
      <c r="Q181" s="726" t="n">
        <v>-1.013157894736931</v>
      </c>
      <c r="R181" s="764" t="n">
        <v>482.49</v>
      </c>
      <c r="S181" s="719" t="inlineStr">
        <is>
          <t>14M 30S</t>
        </is>
      </c>
      <c r="T181" s="728" t="n"/>
      <c r="U181" s="729" t="n"/>
      <c r="V181" s="730" t="n"/>
      <c r="W181" s="731" t="n"/>
      <c r="X181" s="732" t="n"/>
      <c r="Y181" s="728" t="n"/>
      <c r="Z181" s="729" t="n"/>
      <c r="AA181" s="730" t="n"/>
      <c r="AB181" s="731" t="n"/>
      <c r="AC181" s="732" t="n"/>
      <c r="AD181" s="719" t="inlineStr">
        <is>
          <t>No</t>
        </is>
      </c>
      <c r="AE181" s="733" t="n"/>
      <c r="AF181" s="733" t="n"/>
      <c r="AG181" s="733" t="n"/>
      <c r="AH181" s="733" t="n"/>
      <c r="AI181" s="719" t="inlineStr">
        <is>
          <t>Limit</t>
        </is>
      </c>
      <c r="AJ181" s="733" t="n"/>
      <c r="AK181" s="719" t="inlineStr">
        <is>
          <t>Yes</t>
        </is>
      </c>
      <c r="AL181" s="733" t="n"/>
      <c r="AM181" s="733" t="n"/>
      <c r="AN181" s="733" t="n"/>
      <c r="AO181" s="733" t="n"/>
      <c r="AP181" s="719" t="inlineStr">
        <is>
          <t>Pullback</t>
        </is>
      </c>
      <c r="AQ181" s="719" t="inlineStr">
        <is>
          <t>1H</t>
        </is>
      </c>
      <c r="AR181" s="719" t="inlineStr">
        <is>
          <t>No</t>
        </is>
      </c>
      <c r="AS181" s="733" t="n"/>
      <c r="AT181" s="733" t="n"/>
      <c r="AU181" s="733" t="n"/>
      <c r="AV181" s="733" t="n"/>
      <c r="AW181" s="719" t="inlineStr">
        <is>
          <t>trade</t>
        </is>
      </c>
      <c r="AX181" s="734" t="inlineStr">
        <is>
          <t>oanda_export:live:169:173</t>
        </is>
      </c>
    </row>
    <row r="182" ht="15" customHeight="1">
      <c r="A182" s="716" t="inlineStr">
        <is>
          <t>C317</t>
        </is>
      </c>
      <c r="B182" s="717" t="n">
        <v>45111.0625</v>
      </c>
      <c r="C182" s="718" t="n">
        <v>45111.20138888889</v>
      </c>
      <c r="D182" s="719" t="inlineStr">
        <is>
          <t>BYBIT</t>
        </is>
      </c>
      <c r="E182" s="719" t="inlineStr">
        <is>
          <t>BTCUSDT</t>
        </is>
      </c>
      <c r="F182" s="719" t="inlineStr">
        <is>
          <t>SELL</t>
        </is>
      </c>
      <c r="G182" s="757" t="n">
        <v>0.007</v>
      </c>
      <c r="H182" s="720" t="n">
        <v>30982</v>
      </c>
      <c r="I182" s="720" t="n">
        <v>31350</v>
      </c>
      <c r="J182" s="721" t="n">
        <v>31325.9</v>
      </c>
      <c r="K182" s="722" t="n">
        <v>0.01109999354463887</v>
      </c>
      <c r="L182" s="721" t="n">
        <v>30294.2</v>
      </c>
      <c r="M182" s="722" t="n">
        <v>0.02219998708927762</v>
      </c>
      <c r="N182" s="758" t="n">
        <v>0.1327459</v>
      </c>
      <c r="O182" s="724" t="n">
        <v>-2.70961255</v>
      </c>
      <c r="P182" s="725" t="n">
        <v>-0.01097796538344249</v>
      </c>
      <c r="Q182" s="726" t="n">
        <v>-1.07007851119511</v>
      </c>
      <c r="R182" s="727" t="n">
        <v>244.1132234999999</v>
      </c>
      <c r="S182" s="719" t="inlineStr">
        <is>
          <t>3H 20M 0S</t>
        </is>
      </c>
      <c r="T182" s="728" t="n"/>
      <c r="U182" s="729" t="n"/>
      <c r="V182" s="730" t="n"/>
      <c r="W182" s="731" t="n"/>
      <c r="X182" s="732" t="n"/>
      <c r="Y182" s="728" t="n"/>
      <c r="Z182" s="729" t="n"/>
      <c r="AA182" s="730" t="n"/>
      <c r="AB182" s="731" t="n"/>
      <c r="AC182" s="732" t="n"/>
      <c r="AD182" s="719" t="inlineStr">
        <is>
          <t>No</t>
        </is>
      </c>
      <c r="AE182" s="733" t="n"/>
      <c r="AF182" s="733" t="n"/>
      <c r="AG182" s="733" t="n"/>
      <c r="AH182" s="733" t="n"/>
      <c r="AI182" s="719" t="inlineStr">
        <is>
          <t>Limit</t>
        </is>
      </c>
      <c r="AJ182" s="733" t="n"/>
      <c r="AK182" s="733" t="n"/>
      <c r="AL182" s="719" t="n"/>
      <c r="AM182" s="733" t="n"/>
      <c r="AN182" s="733" t="n"/>
      <c r="AO182" s="733" t="n"/>
      <c r="AP182" s="719" t="inlineStr">
        <is>
          <t>Pullback</t>
        </is>
      </c>
      <c r="AQ182" s="719" t="inlineStr">
        <is>
          <t>1H</t>
        </is>
      </c>
      <c r="AR182" s="719" t="inlineStr">
        <is>
          <t>No</t>
        </is>
      </c>
      <c r="AS182" s="733" t="n"/>
      <c r="AT182" s="733" t="n"/>
      <c r="AU182" s="733" t="n"/>
      <c r="AV182" s="733" t="n"/>
      <c r="AW182" s="719" t="inlineStr">
        <is>
          <t>trade</t>
        </is>
      </c>
      <c r="AX182" s="734" t="inlineStr">
        <is>
          <t>sig:48ecd985b05f930bc8d06d5a</t>
        </is>
      </c>
    </row>
    <row r="183" ht="15" customHeight="1">
      <c r="A183" s="716" t="inlineStr">
        <is>
          <t>C316</t>
        </is>
      </c>
      <c r="B183" s="717" t="n">
        <v>45108.13888888889</v>
      </c>
      <c r="C183" s="718" t="n">
        <v>45108.15347222222</v>
      </c>
      <c r="D183" s="719" t="inlineStr">
        <is>
          <t>BYBIT</t>
        </is>
      </c>
      <c r="E183" s="719" t="inlineStr">
        <is>
          <t>ETHUSDT</t>
        </is>
      </c>
      <c r="F183" s="719" t="inlineStr">
        <is>
          <t>SELL</t>
        </is>
      </c>
      <c r="G183" s="720" t="n">
        <v>0.17</v>
      </c>
      <c r="H183" s="720" t="n">
        <v>1928.32</v>
      </c>
      <c r="I183" s="720" t="n">
        <v>1943.2</v>
      </c>
      <c r="J183" s="721" t="n">
        <v>1942.84</v>
      </c>
      <c r="K183" s="722" t="n">
        <v>0.007529870560902745</v>
      </c>
      <c r="L183" s="721" t="n">
        <v>1899.28</v>
      </c>
      <c r="M183" s="722" t="n">
        <v>0.01505974112180549</v>
      </c>
      <c r="N183" s="758" t="n">
        <v>0.23098784</v>
      </c>
      <c r="O183" s="724" t="n">
        <v>-2.76145449</v>
      </c>
      <c r="P183" s="725" t="n">
        <v>-0.01106421595696317</v>
      </c>
      <c r="Q183" s="726" t="n">
        <v>-1.024793388429761</v>
      </c>
      <c r="R183" s="727" t="n">
        <v>246.8228360499999</v>
      </c>
      <c r="S183" s="719" t="inlineStr">
        <is>
          <t>21M 0S</t>
        </is>
      </c>
      <c r="T183" s="728" t="n"/>
      <c r="U183" s="729" t="n"/>
      <c r="V183" s="730" t="n"/>
      <c r="W183" s="731" t="n"/>
      <c r="X183" s="732" t="n"/>
      <c r="Y183" s="728" t="n"/>
      <c r="Z183" s="729" t="n"/>
      <c r="AA183" s="730" t="n"/>
      <c r="AB183" s="731" t="n"/>
      <c r="AC183" s="732" t="n"/>
      <c r="AD183" s="719" t="inlineStr">
        <is>
          <t>No</t>
        </is>
      </c>
      <c r="AE183" s="733" t="n"/>
      <c r="AF183" s="733" t="n"/>
      <c r="AG183" s="733" t="n"/>
      <c r="AH183" s="733" t="n"/>
      <c r="AI183" s="719" t="inlineStr">
        <is>
          <t>Limit</t>
        </is>
      </c>
      <c r="AJ183" s="733" t="n"/>
      <c r="AK183" s="719" t="inlineStr">
        <is>
          <t>Yes</t>
        </is>
      </c>
      <c r="AL183" s="733" t="n"/>
      <c r="AM183" s="733" t="n"/>
      <c r="AN183" s="733" t="n"/>
      <c r="AO183" s="733" t="n"/>
      <c r="AP183" s="719" t="inlineStr">
        <is>
          <t>Pullback</t>
        </is>
      </c>
      <c r="AQ183" s="719" t="inlineStr">
        <is>
          <t>4H</t>
        </is>
      </c>
      <c r="AR183" s="719" t="inlineStr">
        <is>
          <t>No</t>
        </is>
      </c>
      <c r="AS183" s="733" t="n"/>
      <c r="AT183" s="733" t="n"/>
      <c r="AU183" s="733" t="n"/>
      <c r="AV183" s="733" t="n"/>
      <c r="AW183" s="719" t="inlineStr">
        <is>
          <t>trade</t>
        </is>
      </c>
      <c r="AX183" s="734" t="inlineStr">
        <is>
          <t>sig:e4009a8df15ca74e5bb457a8</t>
        </is>
      </c>
    </row>
    <row r="184" ht="15" customHeight="1">
      <c r="A184" s="716" t="inlineStr">
        <is>
          <t>C315</t>
        </is>
      </c>
      <c r="B184" s="717" t="n">
        <v>45107.60833333333</v>
      </c>
      <c r="C184" s="718" t="n">
        <v>45107.61111111111</v>
      </c>
      <c r="D184" s="719" t="inlineStr">
        <is>
          <t>BYBIT</t>
        </is>
      </c>
      <c r="E184" s="719" t="inlineStr">
        <is>
          <t>BTCUSDT</t>
        </is>
      </c>
      <c r="F184" s="719" t="inlineStr">
        <is>
          <t>SELL</t>
        </is>
      </c>
      <c r="G184" s="735" t="n">
        <v>0.017</v>
      </c>
      <c r="H184" s="720" t="n">
        <v>30948.3</v>
      </c>
      <c r="I184" s="720" t="n">
        <v>31100</v>
      </c>
      <c r="J184" s="721" t="n">
        <v>31099.3</v>
      </c>
      <c r="K184" s="722" t="n">
        <v>0.004879104829667543</v>
      </c>
      <c r="L184" s="721" t="n">
        <v>30646.3</v>
      </c>
      <c r="M184" s="722" t="n">
        <v>0.009758209659335085</v>
      </c>
      <c r="N184" s="758" t="n">
        <v>0.36983211</v>
      </c>
      <c r="O184" s="724" t="n">
        <v>-2.94959876</v>
      </c>
      <c r="P184" s="725" t="n">
        <v>-0.01168001161418774</v>
      </c>
      <c r="Q184" s="726" t="n">
        <v>-1.004635761589409</v>
      </c>
      <c r="R184" s="727" t="n">
        <v>249.5842905399999</v>
      </c>
      <c r="S184" s="719" t="inlineStr">
        <is>
          <t>4M 0S</t>
        </is>
      </c>
      <c r="T184" s="728" t="n"/>
      <c r="U184" s="729" t="n"/>
      <c r="V184" s="730" t="n"/>
      <c r="W184" s="731" t="n"/>
      <c r="X184" s="732" t="n"/>
      <c r="Y184" s="728" t="n"/>
      <c r="Z184" s="729" t="n"/>
      <c r="AA184" s="730" t="n"/>
      <c r="AB184" s="731" t="n"/>
      <c r="AC184" s="732" t="n"/>
      <c r="AD184" s="719" t="inlineStr">
        <is>
          <t>No</t>
        </is>
      </c>
      <c r="AE184" s="733" t="n"/>
      <c r="AF184" s="733" t="n"/>
      <c r="AG184" s="733" t="n"/>
      <c r="AH184" s="733" t="n"/>
      <c r="AI184" s="719" t="inlineStr">
        <is>
          <t>Limit</t>
        </is>
      </c>
      <c r="AJ184" s="733" t="n"/>
      <c r="AK184" s="719" t="inlineStr">
        <is>
          <t>Yes</t>
        </is>
      </c>
      <c r="AL184" s="733" t="n"/>
      <c r="AM184" s="733" t="n"/>
      <c r="AN184" s="733" t="n"/>
      <c r="AO184" s="733" t="n"/>
      <c r="AP184" s="719" t="inlineStr">
        <is>
          <t>Pullback</t>
        </is>
      </c>
      <c r="AQ184" s="719" t="inlineStr">
        <is>
          <t>1H</t>
        </is>
      </c>
      <c r="AR184" s="719" t="inlineStr">
        <is>
          <t>No</t>
        </is>
      </c>
      <c r="AS184" s="733" t="n"/>
      <c r="AT184" s="733" t="n"/>
      <c r="AU184" s="733" t="n"/>
      <c r="AV184" s="733" t="n"/>
      <c r="AW184" s="719" t="inlineStr">
        <is>
          <t>trade</t>
        </is>
      </c>
      <c r="AX184" s="734" t="inlineStr">
        <is>
          <t>sig:d9175869b43b03d1426898b9</t>
        </is>
      </c>
    </row>
    <row r="185" ht="15" customHeight="1">
      <c r="A185" s="716" t="inlineStr">
        <is>
          <t>C314</t>
        </is>
      </c>
      <c r="B185" s="717" t="n">
        <v>45098.46111111111</v>
      </c>
      <c r="C185" s="718" t="n">
        <v>45098.4625</v>
      </c>
      <c r="D185" s="719" t="inlineStr">
        <is>
          <t>BYBIT</t>
        </is>
      </c>
      <c r="E185" s="719" t="inlineStr">
        <is>
          <t>XRPUSDT</t>
        </is>
      </c>
      <c r="F185" s="719" t="inlineStr">
        <is>
          <t>SELL</t>
        </is>
      </c>
      <c r="G185" s="720" t="n">
        <v>797</v>
      </c>
      <c r="H185" s="720" t="n">
        <v>0.4957</v>
      </c>
      <c r="I185" s="720" t="n">
        <v>0.4993</v>
      </c>
      <c r="J185" s="721" t="n">
        <v>0.4989</v>
      </c>
      <c r="K185" s="722" t="n">
        <v>0.00645551745007068</v>
      </c>
      <c r="L185" s="721" t="n">
        <v>0.4893</v>
      </c>
      <c r="M185" s="722" t="n">
        <v>0.01291103490014114</v>
      </c>
      <c r="N185" s="758" t="n">
        <v>0.27827255</v>
      </c>
      <c r="O185" s="724" t="n">
        <v>-3.1483392</v>
      </c>
      <c r="P185" s="725" t="n">
        <v>-0.01231348466598648</v>
      </c>
      <c r="Q185" s="726" t="n">
        <v>-1.125000000000002</v>
      </c>
      <c r="R185" s="727" t="n">
        <v>252.5338892999999</v>
      </c>
      <c r="S185" s="719" t="inlineStr">
        <is>
          <t>2M 0S</t>
        </is>
      </c>
      <c r="T185" s="728" t="n"/>
      <c r="U185" s="729" t="n"/>
      <c r="V185" s="730" t="n"/>
      <c r="W185" s="731" t="n"/>
      <c r="X185" s="732" t="n"/>
      <c r="Y185" s="728" t="n"/>
      <c r="Z185" s="729" t="n"/>
      <c r="AA185" s="730" t="n"/>
      <c r="AB185" s="731" t="n"/>
      <c r="AC185" s="732" t="n"/>
      <c r="AD185" s="719" t="inlineStr">
        <is>
          <t>No</t>
        </is>
      </c>
      <c r="AE185" s="733" t="n"/>
      <c r="AF185" s="733" t="n"/>
      <c r="AG185" s="733" t="n"/>
      <c r="AH185" s="733" t="n"/>
      <c r="AI185" s="719" t="inlineStr">
        <is>
          <t>Limit</t>
        </is>
      </c>
      <c r="AJ185" s="733" t="n"/>
      <c r="AK185" s="733" t="n"/>
      <c r="AL185" s="733" t="n"/>
      <c r="AM185" s="733" t="n"/>
      <c r="AN185" s="733" t="n"/>
      <c r="AO185" s="733" t="n"/>
      <c r="AP185" s="719" t="inlineStr">
        <is>
          <t>Pullback</t>
        </is>
      </c>
      <c r="AQ185" s="719" t="inlineStr">
        <is>
          <t>1H</t>
        </is>
      </c>
      <c r="AR185" s="719" t="inlineStr">
        <is>
          <t>No</t>
        </is>
      </c>
      <c r="AS185" s="782" t="n"/>
      <c r="AT185" s="733" t="n"/>
      <c r="AU185" s="719" t="n"/>
      <c r="AV185" s="719" t="n"/>
      <c r="AW185" s="719" t="inlineStr">
        <is>
          <t>trade</t>
        </is>
      </c>
      <c r="AX185" s="734" t="inlineStr">
        <is>
          <t>sig:a9232dbd560b2fd935e9c70c</t>
        </is>
      </c>
    </row>
    <row r="186" ht="15" customHeight="1">
      <c r="A186" s="737" t="inlineStr">
        <is>
          <t>C313</t>
        </is>
      </c>
      <c r="B186" s="738" t="n">
        <v>45092.97361111111</v>
      </c>
      <c r="C186" s="739" t="n">
        <v>45093.07430555556</v>
      </c>
      <c r="D186" s="740" t="inlineStr">
        <is>
          <t>BYBIT</t>
        </is>
      </c>
      <c r="E186" s="740" t="inlineStr">
        <is>
          <t>XRPUSDT</t>
        </is>
      </c>
      <c r="F186" s="740" t="inlineStr">
        <is>
          <t>SELL</t>
        </is>
      </c>
      <c r="G186" s="742" t="n">
        <v>660</v>
      </c>
      <c r="H186" s="742" t="n">
        <v>0.4816</v>
      </c>
      <c r="I186" s="742" t="n">
        <v>0.4741</v>
      </c>
      <c r="J186" s="743" t="n">
        <v>0.4854</v>
      </c>
      <c r="K186" s="744" t="n">
        <v>0.007890365448505037</v>
      </c>
      <c r="L186" s="743" t="n">
        <v>0.474</v>
      </c>
      <c r="M186" s="744" t="n">
        <v>0.01578073089700996</v>
      </c>
      <c r="N186" s="745" t="n">
        <v>0.2195292</v>
      </c>
      <c r="O186" s="746" t="n">
        <v>4.72960415</v>
      </c>
      <c r="P186" s="747" t="n">
        <v>0.01884660167332497</v>
      </c>
      <c r="Q186" s="748" t="n">
        <v>1.97368421052629</v>
      </c>
      <c r="R186" s="749" t="n">
        <v>255.6822284999999</v>
      </c>
      <c r="S186" s="740" t="inlineStr">
        <is>
          <t>2H 25M 0S</t>
        </is>
      </c>
      <c r="T186" s="750" t="n"/>
      <c r="U186" s="751" t="n"/>
      <c r="V186" s="752" t="n"/>
      <c r="W186" s="753" t="n"/>
      <c r="X186" s="754" t="n"/>
      <c r="Y186" s="750" t="n"/>
      <c r="Z186" s="751" t="n"/>
      <c r="AA186" s="752" t="n"/>
      <c r="AB186" s="753" t="n"/>
      <c r="AC186" s="754" t="n"/>
      <c r="AD186" s="740" t="inlineStr">
        <is>
          <t>No</t>
        </is>
      </c>
      <c r="AE186" s="755" t="n"/>
      <c r="AF186" s="755" t="n"/>
      <c r="AG186" s="755" t="n"/>
      <c r="AH186" s="755" t="n"/>
      <c r="AI186" s="740" t="inlineStr">
        <is>
          <t>Limit</t>
        </is>
      </c>
      <c r="AJ186" s="755" t="n"/>
      <c r="AK186" s="755" t="n"/>
      <c r="AL186" s="755" t="n"/>
      <c r="AM186" s="755" t="n"/>
      <c r="AN186" s="755" t="n"/>
      <c r="AO186" s="755" t="n"/>
      <c r="AP186" s="740" t="inlineStr">
        <is>
          <t>Pullback</t>
        </is>
      </c>
      <c r="AQ186" s="740" t="inlineStr">
        <is>
          <t>1H</t>
        </is>
      </c>
      <c r="AR186" s="740" t="inlineStr">
        <is>
          <t>No</t>
        </is>
      </c>
      <c r="AS186" s="755" t="n"/>
      <c r="AT186" s="755" t="n"/>
      <c r="AU186" s="755" t="n"/>
      <c r="AV186" s="755" t="n"/>
      <c r="AW186" s="740" t="inlineStr">
        <is>
          <t>trade</t>
        </is>
      </c>
      <c r="AX186" s="756" t="inlineStr">
        <is>
          <t>sig:35973d7937395aad2f99bb62</t>
        </is>
      </c>
    </row>
    <row r="187" ht="15" customHeight="1">
      <c r="A187" s="716" t="inlineStr">
        <is>
          <t>F978</t>
        </is>
      </c>
      <c r="B187" s="717" t="n">
        <v>45091.9403587963</v>
      </c>
      <c r="C187" s="718" t="n">
        <v>45091.9574537037</v>
      </c>
      <c r="D187" s="719" t="inlineStr">
        <is>
          <t>OANDA LIVE</t>
        </is>
      </c>
      <c r="E187" s="719" t="inlineStr">
        <is>
          <t>GBPUSD</t>
        </is>
      </c>
      <c r="F187" s="719" t="inlineStr">
        <is>
          <t>SELL</t>
        </is>
      </c>
      <c r="G187" s="757" t="n">
        <v>0.00728</v>
      </c>
      <c r="H187" s="720" t="n">
        <v>1.2664</v>
      </c>
      <c r="I187" s="720" t="n">
        <v>1.26792</v>
      </c>
      <c r="J187" s="721" t="n">
        <v>1.27082</v>
      </c>
      <c r="K187" s="722" t="n">
        <v>0.003490208464940059</v>
      </c>
      <c r="L187" s="721" t="n">
        <v>1.25756</v>
      </c>
      <c r="M187" s="722" t="n">
        <v>0.006980416929879943</v>
      </c>
      <c r="N187" s="788" t="n"/>
      <c r="O187" s="762" t="n">
        <v>-1.6343</v>
      </c>
      <c r="P187" s="725" t="n">
        <v>-0.003343122889580801</v>
      </c>
      <c r="Q187" s="726" t="n">
        <v>-0.3438914027149174</v>
      </c>
      <c r="R187" s="764" t="n">
        <v>487.22</v>
      </c>
      <c r="S187" s="719" t="inlineStr">
        <is>
          <t>24M 37S</t>
        </is>
      </c>
      <c r="T187" s="728" t="n"/>
      <c r="U187" s="729" t="n"/>
      <c r="V187" s="730" t="n"/>
      <c r="W187" s="731" t="n"/>
      <c r="X187" s="732" t="n"/>
      <c r="Y187" s="728" t="n"/>
      <c r="Z187" s="729" t="n"/>
      <c r="AA187" s="730" t="n"/>
      <c r="AB187" s="731" t="n"/>
      <c r="AC187" s="732" t="n"/>
      <c r="AD187" s="719" t="inlineStr">
        <is>
          <t>No</t>
        </is>
      </c>
      <c r="AE187" s="733" t="n"/>
      <c r="AF187" s="733" t="n"/>
      <c r="AG187" s="733" t="n"/>
      <c r="AH187" s="733" t="n"/>
      <c r="AI187" s="719" t="inlineStr">
        <is>
          <t>Limit</t>
        </is>
      </c>
      <c r="AJ187" s="733" t="n"/>
      <c r="AK187" s="733" t="n"/>
      <c r="AL187" s="733" t="n"/>
      <c r="AM187" s="719" t="n"/>
      <c r="AN187" s="733" t="n"/>
      <c r="AO187" s="719" t="inlineStr">
        <is>
          <t>Yes</t>
        </is>
      </c>
      <c r="AP187" s="719" t="inlineStr">
        <is>
          <t>Pullback</t>
        </is>
      </c>
      <c r="AQ187" s="719" t="inlineStr">
        <is>
          <t>WEEKLY</t>
        </is>
      </c>
      <c r="AR187" s="719" t="inlineStr">
        <is>
          <t>No</t>
        </is>
      </c>
      <c r="AS187" s="733" t="n"/>
      <c r="AT187" s="733" t="n"/>
      <c r="AU187" s="733" t="n"/>
      <c r="AV187" s="733" t="n"/>
      <c r="AW187" s="719" t="inlineStr">
        <is>
          <t>trade</t>
        </is>
      </c>
      <c r="AX187" s="734" t="inlineStr">
        <is>
          <t>oanda_export:live:152:160</t>
        </is>
      </c>
    </row>
    <row r="188" ht="15" customHeight="1">
      <c r="A188" s="716" t="inlineStr">
        <is>
          <t>F977</t>
        </is>
      </c>
      <c r="B188" s="717" t="n">
        <v>45090.93778935185</v>
      </c>
      <c r="C188" s="718" t="n">
        <v>45091.95435185185</v>
      </c>
      <c r="D188" s="719" t="inlineStr">
        <is>
          <t>OANDA LIVE</t>
        </is>
      </c>
      <c r="E188" s="719" t="inlineStr">
        <is>
          <t>AUDUSD</t>
        </is>
      </c>
      <c r="F188" s="719" t="inlineStr">
        <is>
          <t>SELL</t>
        </is>
      </c>
      <c r="G188" s="757" t="n">
        <v>0.00741</v>
      </c>
      <c r="H188" s="720" t="n">
        <v>0.67926</v>
      </c>
      <c r="I188" s="720" t="n">
        <v>0.68033</v>
      </c>
      <c r="J188" s="721" t="n">
        <v>0.68359</v>
      </c>
      <c r="K188" s="722" t="n">
        <v>0.006374584106233336</v>
      </c>
      <c r="L188" s="721" t="n">
        <v>0.67057</v>
      </c>
      <c r="M188" s="722" t="n">
        <v>0.01279333392220943</v>
      </c>
      <c r="N188" s="761" t="n"/>
      <c r="O188" s="762" t="n">
        <v>-1.1745</v>
      </c>
      <c r="P188" s="725" t="n">
        <v>-0.002396818934563476</v>
      </c>
      <c r="Q188" s="726" t="n">
        <v>-0.2471131639722867</v>
      </c>
      <c r="R188" s="764" t="n">
        <v>488.85</v>
      </c>
      <c r="S188" s="719" t="inlineStr">
        <is>
          <t>1D 0H 23M 51S</t>
        </is>
      </c>
      <c r="T188" s="728" t="n"/>
      <c r="U188" s="729" t="n"/>
      <c r="V188" s="730" t="n"/>
      <c r="W188" s="731" t="n"/>
      <c r="X188" s="732" t="n"/>
      <c r="Y188" s="728" t="n"/>
      <c r="Z188" s="729" t="n"/>
      <c r="AA188" s="730" t="n"/>
      <c r="AB188" s="731" t="n"/>
      <c r="AC188" s="732" t="n"/>
      <c r="AD188" s="719" t="inlineStr">
        <is>
          <t>No</t>
        </is>
      </c>
      <c r="AE188" s="733" t="n"/>
      <c r="AF188" s="733" t="n"/>
      <c r="AG188" s="733" t="n"/>
      <c r="AH188" s="733" t="n"/>
      <c r="AI188" s="719" t="inlineStr">
        <is>
          <t>Limit</t>
        </is>
      </c>
      <c r="AJ188" s="733" t="n"/>
      <c r="AK188" s="733" t="n"/>
      <c r="AL188" s="733" t="n"/>
      <c r="AM188" s="733" t="n"/>
      <c r="AN188" s="733" t="n"/>
      <c r="AO188" s="719" t="inlineStr">
        <is>
          <t>Yes</t>
        </is>
      </c>
      <c r="AP188" s="719" t="inlineStr">
        <is>
          <t>Pullback</t>
        </is>
      </c>
      <c r="AQ188" s="719" t="inlineStr">
        <is>
          <t>DAILY</t>
        </is>
      </c>
      <c r="AR188" s="719" t="inlineStr">
        <is>
          <t>No</t>
        </is>
      </c>
      <c r="AS188" s="733" t="n"/>
      <c r="AT188" s="733" t="n"/>
      <c r="AU188" s="733" t="n"/>
      <c r="AV188" s="733" t="n"/>
      <c r="AW188" s="719" t="inlineStr">
        <is>
          <t>trade</t>
        </is>
      </c>
      <c r="AX188" s="734" t="inlineStr">
        <is>
          <t>oanda_export:live:148:156</t>
        </is>
      </c>
    </row>
    <row r="189" ht="15" customHeight="1">
      <c r="A189" s="716" t="inlineStr">
        <is>
          <t>C312</t>
        </is>
      </c>
      <c r="B189" s="717" t="n">
        <v>45090.87708333333</v>
      </c>
      <c r="C189" s="718" t="n">
        <v>45090.87847222222</v>
      </c>
      <c r="D189" s="719" t="inlineStr">
        <is>
          <t>BYBIT</t>
        </is>
      </c>
      <c r="E189" s="719" t="inlineStr">
        <is>
          <t>XRPUSDT</t>
        </is>
      </c>
      <c r="F189" s="719" t="inlineStr">
        <is>
          <t>SELL</t>
        </is>
      </c>
      <c r="G189" s="720" t="n">
        <v>213</v>
      </c>
      <c r="H189" s="720" t="n">
        <v>0.5376</v>
      </c>
      <c r="I189" s="720" t="n">
        <v>0.5493</v>
      </c>
      <c r="J189" s="721" t="n">
        <v>0.5495</v>
      </c>
      <c r="K189" s="722" t="n">
        <v>0.02213541666666671</v>
      </c>
      <c r="L189" s="721" t="n">
        <v>0.5138</v>
      </c>
      <c r="M189" s="722" t="n">
        <v>0.04427083333333321</v>
      </c>
      <c r="N189" s="723" t="n">
        <v>0.08165142</v>
      </c>
      <c r="O189" s="724" t="n">
        <v>-2.57461807</v>
      </c>
      <c r="P189" s="725" t="n">
        <v>-0.01015519297028767</v>
      </c>
      <c r="Q189" s="726" t="n">
        <v>-0.9831932773109262</v>
      </c>
      <c r="R189" s="727" t="n">
        <v>250.9526243499999</v>
      </c>
      <c r="S189" s="719" t="inlineStr">
        <is>
          <t>2M 0S</t>
        </is>
      </c>
      <c r="T189" s="728" t="n"/>
      <c r="U189" s="729" t="n"/>
      <c r="V189" s="730" t="n"/>
      <c r="W189" s="731" t="n"/>
      <c r="X189" s="732" t="n"/>
      <c r="Y189" s="728" t="n"/>
      <c r="Z189" s="729" t="n"/>
      <c r="AA189" s="730" t="n"/>
      <c r="AB189" s="731" t="n"/>
      <c r="AC189" s="732" t="n"/>
      <c r="AD189" s="719" t="inlineStr">
        <is>
          <t>No</t>
        </is>
      </c>
      <c r="AE189" s="733" t="n"/>
      <c r="AF189" s="733" t="n"/>
      <c r="AG189" s="733" t="n"/>
      <c r="AH189" s="733" t="n"/>
      <c r="AI189" s="719" t="inlineStr">
        <is>
          <t>Limit</t>
        </is>
      </c>
      <c r="AJ189" s="733" t="n"/>
      <c r="AK189" s="719" t="inlineStr">
        <is>
          <t>Yes</t>
        </is>
      </c>
      <c r="AL189" s="733" t="n"/>
      <c r="AM189" s="733" t="n"/>
      <c r="AN189" s="733" t="n"/>
      <c r="AO189" s="733" t="n"/>
      <c r="AP189" s="719" t="inlineStr">
        <is>
          <t>Pullback</t>
        </is>
      </c>
      <c r="AQ189" s="719" t="inlineStr">
        <is>
          <t>4H</t>
        </is>
      </c>
      <c r="AR189" s="719" t="inlineStr">
        <is>
          <t>No</t>
        </is>
      </c>
      <c r="AS189" s="733" t="n"/>
      <c r="AT189" s="733" t="n"/>
      <c r="AU189" s="733" t="n"/>
      <c r="AV189" s="733" t="n"/>
      <c r="AW189" s="719" t="inlineStr">
        <is>
          <t>trade</t>
        </is>
      </c>
      <c r="AX189" s="734" t="inlineStr">
        <is>
          <t>sig:dfeebf08b655f95ab5d2231e</t>
        </is>
      </c>
    </row>
    <row r="190" ht="15" customHeight="1">
      <c r="A190" s="737" t="inlineStr">
        <is>
          <t>F976</t>
        </is>
      </c>
      <c r="B190" s="738" t="n">
        <v>45090.10759259259</v>
      </c>
      <c r="C190" s="739" t="n">
        <v>45090.70900462963</v>
      </c>
      <c r="D190" s="740" t="inlineStr">
        <is>
          <t>OANDA LIVE</t>
        </is>
      </c>
      <c r="E190" s="740" t="inlineStr">
        <is>
          <t>CADCHF</t>
        </is>
      </c>
      <c r="F190" s="740" t="inlineStr">
        <is>
          <t>SELL</t>
        </is>
      </c>
      <c r="G190" s="775" t="n">
        <v>0.01613</v>
      </c>
      <c r="H190" s="742" t="n">
        <v>0.68075</v>
      </c>
      <c r="I190" s="742" t="n">
        <v>0.67711</v>
      </c>
      <c r="J190" s="743" t="n">
        <v>0.68255</v>
      </c>
      <c r="K190" s="744" t="n">
        <v>0.00264414248990088</v>
      </c>
      <c r="L190" s="743" t="n">
        <v>0.67715</v>
      </c>
      <c r="M190" s="744" t="n">
        <v>0.005288284979801596</v>
      </c>
      <c r="N190" s="766" t="n"/>
      <c r="O190" s="767" t="n">
        <v>9.318899999999999</v>
      </c>
      <c r="P190" s="747" t="n">
        <v>0.01938565595843324</v>
      </c>
      <c r="Q190" s="748" t="n">
        <v>2.022222222222183</v>
      </c>
      <c r="R190" s="769" t="n">
        <v>490.03</v>
      </c>
      <c r="S190" s="740" t="inlineStr">
        <is>
          <t>14H 26M 2S</t>
        </is>
      </c>
      <c r="T190" s="750" t="n"/>
      <c r="U190" s="751" t="n"/>
      <c r="V190" s="752" t="n"/>
      <c r="W190" s="753" t="n"/>
      <c r="X190" s="754" t="n"/>
      <c r="Y190" s="750" t="n"/>
      <c r="Z190" s="751" t="n"/>
      <c r="AA190" s="752" t="n"/>
      <c r="AB190" s="753" t="n"/>
      <c r="AC190" s="754" t="n"/>
      <c r="AD190" s="740" t="inlineStr">
        <is>
          <t>No</t>
        </is>
      </c>
      <c r="AE190" s="755" t="n"/>
      <c r="AF190" s="755" t="n"/>
      <c r="AG190" s="755" t="n"/>
      <c r="AH190" s="755" t="n"/>
      <c r="AI190" s="740" t="inlineStr">
        <is>
          <t>Limit</t>
        </is>
      </c>
      <c r="AJ190" s="755" t="n"/>
      <c r="AK190" s="755" t="n"/>
      <c r="AL190" s="740" t="inlineStr">
        <is>
          <t>Yes</t>
        </is>
      </c>
      <c r="AM190" s="755" t="n"/>
      <c r="AN190" s="755" t="n"/>
      <c r="AO190" s="755" t="n"/>
      <c r="AP190" s="740" t="inlineStr">
        <is>
          <t>Pullback</t>
        </is>
      </c>
      <c r="AQ190" s="740" t="inlineStr">
        <is>
          <t>DAILY</t>
        </is>
      </c>
      <c r="AR190" s="740" t="inlineStr">
        <is>
          <t>No</t>
        </is>
      </c>
      <c r="AS190" s="755" t="n"/>
      <c r="AT190" s="755" t="n"/>
      <c r="AU190" s="755" t="n"/>
      <c r="AV190" s="755" t="n"/>
      <c r="AW190" s="740" t="inlineStr">
        <is>
          <t>trade</t>
        </is>
      </c>
      <c r="AX190" s="756" t="inlineStr">
        <is>
          <t>oanda_export:live:142:146</t>
        </is>
      </c>
    </row>
    <row r="191" ht="15" customHeight="1">
      <c r="A191" s="716" t="inlineStr">
        <is>
          <t>F975</t>
        </is>
      </c>
      <c r="B191" s="717" t="n">
        <v>45085.06421296296</v>
      </c>
      <c r="C191" s="718" t="n">
        <v>45085.70922453704</v>
      </c>
      <c r="D191" s="719" t="inlineStr">
        <is>
          <t>OANDA LIVE</t>
        </is>
      </c>
      <c r="E191" s="719" t="inlineStr">
        <is>
          <t>CADCHF</t>
        </is>
      </c>
      <c r="F191" s="719" t="inlineStr">
        <is>
          <t>SELL</t>
        </is>
      </c>
      <c r="G191" s="735" t="n">
        <v>0.01946</v>
      </c>
      <c r="H191" s="720" t="n">
        <v>0.6804</v>
      </c>
      <c r="I191" s="720" t="n">
        <v>0.68188</v>
      </c>
      <c r="J191" s="721" t="n">
        <v>0.68188</v>
      </c>
      <c r="K191" s="722" t="n">
        <v>0.002175191064080007</v>
      </c>
      <c r="L191" s="721" t="n">
        <v>0.67741</v>
      </c>
      <c r="M191" s="722" t="n">
        <v>0.004394473838918354</v>
      </c>
      <c r="N191" s="788" t="n"/>
      <c r="O191" s="762" t="n">
        <v>-5.5472</v>
      </c>
      <c r="P191" s="725" t="n">
        <v>-0.01140795447347618</v>
      </c>
      <c r="Q191" s="726" t="n">
        <v>-1</v>
      </c>
      <c r="R191" s="764" t="n">
        <v>480.71</v>
      </c>
      <c r="S191" s="719" t="inlineStr">
        <is>
          <t>15H 28M 49S</t>
        </is>
      </c>
      <c r="T191" s="728" t="n"/>
      <c r="U191" s="729" t="n"/>
      <c r="V191" s="730" t="n"/>
      <c r="W191" s="731" t="n"/>
      <c r="X191" s="732" t="n"/>
      <c r="Y191" s="728" t="n"/>
      <c r="Z191" s="729" t="n"/>
      <c r="AA191" s="730" t="n"/>
      <c r="AB191" s="731" t="n"/>
      <c r="AC191" s="732" t="n"/>
      <c r="AD191" s="719" t="inlineStr">
        <is>
          <t>No</t>
        </is>
      </c>
      <c r="AE191" s="733" t="n"/>
      <c r="AF191" s="733" t="n"/>
      <c r="AG191" s="733" t="n"/>
      <c r="AH191" s="733" t="n"/>
      <c r="AI191" s="719" t="inlineStr">
        <is>
          <t>Limit</t>
        </is>
      </c>
      <c r="AJ191" s="733" t="n"/>
      <c r="AK191" s="719" t="inlineStr">
        <is>
          <t>Yes</t>
        </is>
      </c>
      <c r="AL191" s="733" t="n"/>
      <c r="AM191" s="733" t="n"/>
      <c r="AN191" s="733" t="n"/>
      <c r="AO191" s="733" t="n"/>
      <c r="AP191" s="719" t="inlineStr">
        <is>
          <t>Pullback</t>
        </is>
      </c>
      <c r="AQ191" s="719" t="inlineStr">
        <is>
          <t>DAILY</t>
        </is>
      </c>
      <c r="AR191" s="719" t="inlineStr">
        <is>
          <t>No</t>
        </is>
      </c>
      <c r="AS191" s="782" t="n"/>
      <c r="AT191" s="733" t="n"/>
      <c r="AU191" s="719" t="n"/>
      <c r="AV191" s="719" t="n"/>
      <c r="AW191" s="719" t="inlineStr">
        <is>
          <t>trade</t>
        </is>
      </c>
      <c r="AX191" s="734" t="inlineStr">
        <is>
          <t>oanda_export:live:133:137</t>
        </is>
      </c>
    </row>
    <row r="192" ht="15" customHeight="1">
      <c r="A192" s="716" t="inlineStr">
        <is>
          <t>C311</t>
        </is>
      </c>
      <c r="B192" s="717" t="n">
        <v>45083.08333333334</v>
      </c>
      <c r="C192" s="718" t="n">
        <v>45083.08472222222</v>
      </c>
      <c r="D192" s="719" t="inlineStr">
        <is>
          <t>BYBIT</t>
        </is>
      </c>
      <c r="E192" s="719" t="inlineStr">
        <is>
          <t>BTCUSDT</t>
        </is>
      </c>
      <c r="F192" s="719" t="inlineStr">
        <is>
          <t>BUY</t>
        </is>
      </c>
      <c r="G192" s="735" t="n">
        <v>0.01</v>
      </c>
      <c r="H192" s="720" t="n">
        <v>25901.5</v>
      </c>
      <c r="I192" s="720" t="n">
        <v>25630</v>
      </c>
      <c r="J192" s="721" t="n">
        <v>25637.7</v>
      </c>
      <c r="K192" s="722" t="n">
        <v>0.0101847383356176</v>
      </c>
      <c r="L192" s="721" t="n">
        <v>26429.1</v>
      </c>
      <c r="M192" s="722" t="n">
        <v>0.0203694766712352</v>
      </c>
      <c r="N192" s="758" t="n">
        <v>0.1796815</v>
      </c>
      <c r="O192" s="724" t="n">
        <v>-2.89554815</v>
      </c>
      <c r="P192" s="725" t="n">
        <v>-0.01129208579145213</v>
      </c>
      <c r="Q192" s="726" t="n">
        <v>-1.02918877937832</v>
      </c>
      <c r="R192" s="727" t="n">
        <v>253.5272424199999</v>
      </c>
      <c r="S192" s="719" t="inlineStr">
        <is>
          <t>2M 0S</t>
        </is>
      </c>
      <c r="T192" s="728" t="n"/>
      <c r="U192" s="729" t="n"/>
      <c r="V192" s="730" t="n"/>
      <c r="W192" s="731" t="n"/>
      <c r="X192" s="732" t="n"/>
      <c r="Y192" s="728" t="n"/>
      <c r="Z192" s="729" t="n"/>
      <c r="AA192" s="730" t="n"/>
      <c r="AB192" s="731" t="n"/>
      <c r="AC192" s="732" t="n"/>
      <c r="AD192" s="719" t="inlineStr">
        <is>
          <t>No</t>
        </is>
      </c>
      <c r="AE192" s="733" t="n"/>
      <c r="AF192" s="733" t="n"/>
      <c r="AG192" s="733" t="n"/>
      <c r="AH192" s="733" t="n"/>
      <c r="AI192" s="719" t="inlineStr">
        <is>
          <t>Limit</t>
        </is>
      </c>
      <c r="AJ192" s="733" t="n"/>
      <c r="AK192" s="719" t="inlineStr">
        <is>
          <t>Yes</t>
        </is>
      </c>
      <c r="AL192" s="733" t="n"/>
      <c r="AM192" s="733" t="n"/>
      <c r="AN192" s="733" t="n"/>
      <c r="AO192" s="719" t="n"/>
      <c r="AP192" s="719" t="inlineStr">
        <is>
          <t>Pullback</t>
        </is>
      </c>
      <c r="AQ192" s="719" t="inlineStr">
        <is>
          <t>DAILY</t>
        </is>
      </c>
      <c r="AR192" s="719" t="inlineStr">
        <is>
          <t>No</t>
        </is>
      </c>
      <c r="AS192" s="733" t="n"/>
      <c r="AT192" s="733" t="n"/>
      <c r="AU192" s="733" t="n"/>
      <c r="AV192" s="733" t="n"/>
      <c r="AW192" s="719" t="inlineStr">
        <is>
          <t>trade</t>
        </is>
      </c>
      <c r="AX192" s="734" t="inlineStr">
        <is>
          <t>sig:0201665355524387fe49416a</t>
        </is>
      </c>
    </row>
    <row r="193" ht="15" customHeight="1">
      <c r="A193" s="41" t="n"/>
      <c r="B193" s="770" t="n">
        <v>45078</v>
      </c>
      <c r="C193" s="771" t="n">
        <v>45078</v>
      </c>
      <c r="D193" s="12" t="inlineStr">
        <is>
          <t>PEPPERSTONE LIVE</t>
        </is>
      </c>
      <c r="E193" s="12" t="inlineStr">
        <is>
          <t>CASHFLOW</t>
        </is>
      </c>
      <c r="F193" s="12" t="inlineStr">
        <is>
          <t>DEPOSIT</t>
        </is>
      </c>
      <c r="G193" s="262" t="n"/>
      <c r="H193" s="262" t="n"/>
      <c r="I193" s="262" t="n"/>
      <c r="J193" s="263" t="n"/>
      <c r="K193" s="36" t="n"/>
      <c r="L193" s="263" t="n"/>
      <c r="M193" s="36" t="n"/>
      <c r="N193" s="779" t="n"/>
      <c r="O193" s="773" t="n"/>
      <c r="P193" s="3" t="n"/>
      <c r="Q193" s="51" t="n"/>
      <c r="R193" s="54" t="n">
        <v>1000</v>
      </c>
      <c r="S193" s="12" t="n"/>
      <c r="T193" s="774" t="n"/>
      <c r="U193" s="6" t="n"/>
      <c r="V193" s="264" t="n"/>
      <c r="W193" s="9" t="n"/>
      <c r="X193" s="46" t="n"/>
      <c r="Y193" s="774" t="n"/>
      <c r="Z193" s="6" t="n"/>
      <c r="AA193" s="264" t="n"/>
      <c r="AB193" s="9" t="n"/>
      <c r="AC193" s="46" t="n"/>
      <c r="AD193" s="12" t="inlineStr">
        <is>
          <t>No</t>
        </is>
      </c>
      <c r="AE193" s="45" t="n"/>
      <c r="AF193" s="45" t="n"/>
      <c r="AG193" s="45" t="n"/>
      <c r="AH193" s="45" t="n"/>
      <c r="AI193" s="45" t="n"/>
      <c r="AJ193" s="45" t="n"/>
      <c r="AK193" s="45" t="n"/>
      <c r="AL193" s="45" t="n"/>
      <c r="AM193" s="45" t="n"/>
      <c r="AN193" s="45" t="n"/>
      <c r="AO193" s="45" t="n"/>
      <c r="AP193" s="45" t="n"/>
      <c r="AQ193" s="45" t="n"/>
      <c r="AR193" s="45" t="n"/>
      <c r="AS193" s="56" t="inlineStr">
        <is>
          <t>Deposit 500.0 AUD. Source: screenshot_ocr. Imported from account_cashflows.xlsx row 92.</t>
        </is>
      </c>
      <c r="AT193" s="45" t="n"/>
      <c r="AU193" s="12" t="n">
        <v>1000</v>
      </c>
      <c r="AV193" s="12" t="inlineStr">
        <is>
          <t>AUD</t>
        </is>
      </c>
      <c r="AW193" s="12" t="inlineStr">
        <is>
          <t>cashflow</t>
        </is>
      </c>
      <c r="AX193" s="57" t="inlineStr">
        <is>
          <t>cashflow:PEPPERSTONE LIVE:2023-06-01T00:00:00:13</t>
        </is>
      </c>
    </row>
    <row r="194" ht="15" customHeight="1">
      <c r="A194" s="716" t="inlineStr">
        <is>
          <t>F974</t>
        </is>
      </c>
      <c r="B194" s="717" t="n">
        <v>45076.84930555556</v>
      </c>
      <c r="C194" s="718" t="n">
        <v>45077.47971064815</v>
      </c>
      <c r="D194" s="719" t="inlineStr">
        <is>
          <t>OANDA LIVE</t>
        </is>
      </c>
      <c r="E194" s="719" t="inlineStr">
        <is>
          <t>GBPNZD</t>
        </is>
      </c>
      <c r="F194" s="719" t="inlineStr">
        <is>
          <t>SELL</t>
        </is>
      </c>
      <c r="G194" s="757" t="n">
        <v>0.00852</v>
      </c>
      <c r="H194" s="720" t="n">
        <v>2.05221</v>
      </c>
      <c r="I194" s="720" t="n">
        <v>2.05833</v>
      </c>
      <c r="J194" s="721" t="n">
        <v>2.0583</v>
      </c>
      <c r="K194" s="722" t="n">
        <v>0.002967532562457024</v>
      </c>
      <c r="L194" s="721" t="n">
        <v>2.03976</v>
      </c>
      <c r="M194" s="722" t="n">
        <v>0.006066630607978859</v>
      </c>
      <c r="N194" s="788" t="n"/>
      <c r="O194" s="762" t="n">
        <v>-4.8582</v>
      </c>
      <c r="P194" s="725" t="n">
        <v>-0.009892321081179259</v>
      </c>
      <c r="Q194" s="726" t="n">
        <v>-1.004926108374417</v>
      </c>
      <c r="R194" s="764" t="n">
        <v>486.25</v>
      </c>
      <c r="S194" s="719" t="inlineStr">
        <is>
          <t>15H 7M 47S</t>
        </is>
      </c>
      <c r="T194" s="728" t="n"/>
      <c r="U194" s="729" t="n"/>
      <c r="V194" s="730" t="n"/>
      <c r="W194" s="731" t="n"/>
      <c r="X194" s="732" t="n"/>
      <c r="Y194" s="728" t="n"/>
      <c r="Z194" s="729" t="n"/>
      <c r="AA194" s="730" t="n"/>
      <c r="AB194" s="731" t="n"/>
      <c r="AC194" s="732" t="n"/>
      <c r="AD194" s="719" t="inlineStr">
        <is>
          <t>No</t>
        </is>
      </c>
      <c r="AE194" s="733" t="n"/>
      <c r="AF194" s="733" t="n"/>
      <c r="AG194" s="733" t="n"/>
      <c r="AH194" s="733" t="n"/>
      <c r="AI194" s="719" t="inlineStr">
        <is>
          <t>Limit</t>
        </is>
      </c>
      <c r="AJ194" s="733" t="n"/>
      <c r="AK194" s="719" t="n"/>
      <c r="AL194" s="733" t="n"/>
      <c r="AM194" s="733" t="n"/>
      <c r="AN194" s="733" t="n"/>
      <c r="AO194" s="733" t="n"/>
      <c r="AP194" s="719" t="inlineStr">
        <is>
          <t>Pullback</t>
        </is>
      </c>
      <c r="AQ194" s="719" t="inlineStr">
        <is>
          <t>WEEKLY</t>
        </is>
      </c>
      <c r="AR194" s="719" t="inlineStr">
        <is>
          <t>No</t>
        </is>
      </c>
      <c r="AS194" s="733" t="n"/>
      <c r="AT194" s="733" t="n"/>
      <c r="AU194" s="733" t="n"/>
      <c r="AV194" s="733" t="n"/>
      <c r="AW194" s="719" t="inlineStr">
        <is>
          <t>trade</t>
        </is>
      </c>
      <c r="AX194" s="734" t="inlineStr">
        <is>
          <t>oanda_export:live:126:130</t>
        </is>
      </c>
    </row>
    <row r="195" ht="15" customHeight="1">
      <c r="A195" s="737" t="inlineStr">
        <is>
          <t>F973</t>
        </is>
      </c>
      <c r="B195" s="738" t="n">
        <v>45056.95155092593</v>
      </c>
      <c r="C195" s="739" t="n">
        <v>45057.70684027778</v>
      </c>
      <c r="D195" s="740" t="inlineStr">
        <is>
          <t>OANDA LIVE</t>
        </is>
      </c>
      <c r="E195" s="740" t="inlineStr">
        <is>
          <t>GBPUSD</t>
        </is>
      </c>
      <c r="F195" s="740" t="inlineStr">
        <is>
          <t>SELL</t>
        </is>
      </c>
      <c r="G195" s="741" t="n">
        <v>0.00788</v>
      </c>
      <c r="H195" s="742" t="n">
        <v>1.2674</v>
      </c>
      <c r="I195" s="742" t="n">
        <v>1.25907</v>
      </c>
      <c r="J195" s="743" t="n">
        <v>1.27143</v>
      </c>
      <c r="K195" s="744" t="n">
        <v>0.003179738046394175</v>
      </c>
      <c r="L195" s="743" t="n">
        <v>1.25907</v>
      </c>
      <c r="M195" s="744" t="n">
        <v>0.006572510651728081</v>
      </c>
      <c r="N195" s="796" t="n"/>
      <c r="O195" s="767" t="n">
        <v>9.6561</v>
      </c>
      <c r="P195" s="747" t="n">
        <v>0.02005612583053123</v>
      </c>
      <c r="Q195" s="748" t="n">
        <v>2.066997518610476</v>
      </c>
      <c r="R195" s="769" t="n">
        <v>491.11</v>
      </c>
      <c r="S195" s="740" t="inlineStr">
        <is>
          <t>18H 7M 37S</t>
        </is>
      </c>
      <c r="T195" s="750" t="n"/>
      <c r="U195" s="751" t="n"/>
      <c r="V195" s="752" t="n"/>
      <c r="W195" s="753" t="n"/>
      <c r="X195" s="754" t="n"/>
      <c r="Y195" s="750" t="n"/>
      <c r="Z195" s="751" t="n"/>
      <c r="AA195" s="752" t="n"/>
      <c r="AB195" s="753" t="n"/>
      <c r="AC195" s="754" t="n"/>
      <c r="AD195" s="740" t="inlineStr">
        <is>
          <t>No</t>
        </is>
      </c>
      <c r="AE195" s="755" t="n"/>
      <c r="AF195" s="755" t="n"/>
      <c r="AG195" s="755" t="n"/>
      <c r="AH195" s="755" t="n"/>
      <c r="AI195" s="740" t="inlineStr">
        <is>
          <t>Limit</t>
        </is>
      </c>
      <c r="AJ195" s="755" t="n"/>
      <c r="AK195" s="755" t="n"/>
      <c r="AL195" s="755" t="n"/>
      <c r="AM195" s="740" t="inlineStr">
        <is>
          <t>Yes</t>
        </is>
      </c>
      <c r="AN195" s="755" t="n"/>
      <c r="AO195" s="755" t="n"/>
      <c r="AP195" s="740" t="inlineStr">
        <is>
          <t>Pullback</t>
        </is>
      </c>
      <c r="AQ195" s="740" t="inlineStr">
        <is>
          <t>WEEKLY</t>
        </is>
      </c>
      <c r="AR195" s="740" t="inlineStr">
        <is>
          <t>No</t>
        </is>
      </c>
      <c r="AS195" s="755" t="n"/>
      <c r="AT195" s="755" t="n"/>
      <c r="AU195" s="755" t="n"/>
      <c r="AV195" s="755" t="n"/>
      <c r="AW195" s="740" t="inlineStr">
        <is>
          <t>trade</t>
        </is>
      </c>
      <c r="AX195" s="756" t="inlineStr">
        <is>
          <t>oanda_export:live:117:121</t>
        </is>
      </c>
    </row>
    <row r="196" ht="15" customHeight="1">
      <c r="A196" s="737" t="inlineStr">
        <is>
          <t>C310</t>
        </is>
      </c>
      <c r="B196" s="738" t="n">
        <v>45044.64097222222</v>
      </c>
      <c r="C196" s="739" t="n">
        <v>45044.98680555556</v>
      </c>
      <c r="D196" s="740" t="inlineStr">
        <is>
          <t>BYBIT</t>
        </is>
      </c>
      <c r="E196" s="740" t="inlineStr">
        <is>
          <t>XRPUSDT</t>
        </is>
      </c>
      <c r="F196" s="740" t="inlineStr">
        <is>
          <t>SELL</t>
        </is>
      </c>
      <c r="G196" s="742" t="n">
        <v>322</v>
      </c>
      <c r="H196" s="742" t="n">
        <v>0.4817</v>
      </c>
      <c r="I196" s="742" t="n">
        <v>0.4661</v>
      </c>
      <c r="J196" s="743" t="n">
        <v>0.4895</v>
      </c>
      <c r="K196" s="744" t="n">
        <v>0.01619265102761049</v>
      </c>
      <c r="L196" s="743" t="n">
        <v>0.4661</v>
      </c>
      <c r="M196" s="744" t="n">
        <v>0.0323853020552211</v>
      </c>
      <c r="N196" s="802" t="n">
        <v>0.09968788000000001</v>
      </c>
      <c r="O196" s="746" t="n">
        <v>4.92264547</v>
      </c>
      <c r="P196" s="747" t="n">
        <v>0.01957313172937808</v>
      </c>
      <c r="Q196" s="748" t="n">
        <v>2.000000000000007</v>
      </c>
      <c r="R196" s="749" t="n">
        <v>256.4227905699999</v>
      </c>
      <c r="S196" s="740" t="inlineStr">
        <is>
          <t>8H 18M 0S</t>
        </is>
      </c>
      <c r="T196" s="750" t="n"/>
      <c r="U196" s="751" t="n"/>
      <c r="V196" s="752" t="n"/>
      <c r="W196" s="753" t="n"/>
      <c r="X196" s="754" t="n"/>
      <c r="Y196" s="750" t="n"/>
      <c r="Z196" s="751" t="n"/>
      <c r="AA196" s="752" t="n"/>
      <c r="AB196" s="753" t="n"/>
      <c r="AC196" s="754" t="n"/>
      <c r="AD196" s="740" t="inlineStr">
        <is>
          <t>No</t>
        </is>
      </c>
      <c r="AE196" s="755" t="n"/>
      <c r="AF196" s="755" t="n"/>
      <c r="AG196" s="755" t="n"/>
      <c r="AH196" s="755" t="n"/>
      <c r="AI196" s="740" t="inlineStr">
        <is>
          <t>Limit</t>
        </is>
      </c>
      <c r="AJ196" s="755" t="n"/>
      <c r="AK196" s="755" t="n"/>
      <c r="AL196" s="755" t="n"/>
      <c r="AM196" s="755" t="n"/>
      <c r="AN196" s="755" t="n"/>
      <c r="AO196" s="755" t="n"/>
      <c r="AP196" s="740" t="inlineStr">
        <is>
          <t>Pullback</t>
        </is>
      </c>
      <c r="AQ196" s="740" t="inlineStr">
        <is>
          <t>4H</t>
        </is>
      </c>
      <c r="AR196" s="740" t="inlineStr">
        <is>
          <t>No</t>
        </is>
      </c>
      <c r="AS196" s="755" t="n"/>
      <c r="AT196" s="755" t="n"/>
      <c r="AU196" s="755" t="n"/>
      <c r="AV196" s="755" t="n"/>
      <c r="AW196" s="740" t="inlineStr">
        <is>
          <t>trade</t>
        </is>
      </c>
      <c r="AX196" s="756" t="inlineStr">
        <is>
          <t>sig:abd84b477b446a8bbf1a255e</t>
        </is>
      </c>
    </row>
    <row r="197" ht="15" customHeight="1">
      <c r="A197" s="716" t="inlineStr">
        <is>
          <t>F972</t>
        </is>
      </c>
      <c r="B197" s="717" t="n">
        <v>45044.69173611111</v>
      </c>
      <c r="C197" s="718" t="n">
        <v>45044.83290509259</v>
      </c>
      <c r="D197" s="719" t="inlineStr">
        <is>
          <t>OANDA LIVE</t>
        </is>
      </c>
      <c r="E197" s="719" t="inlineStr">
        <is>
          <t>GBPJPY</t>
        </is>
      </c>
      <c r="F197" s="719" t="inlineStr">
        <is>
          <t>SELL</t>
        </is>
      </c>
      <c r="G197" s="757" t="n">
        <v>0.00613</v>
      </c>
      <c r="H197" s="720" t="n">
        <v>168.778</v>
      </c>
      <c r="I197" s="720" t="n">
        <v>169.488</v>
      </c>
      <c r="J197" s="721" t="n">
        <v>169.486</v>
      </c>
      <c r="K197" s="722" t="n">
        <v>0.004194859519605626</v>
      </c>
      <c r="L197" s="721" t="n">
        <v>167.409</v>
      </c>
      <c r="M197" s="722" t="n">
        <v>0.008111246726469089</v>
      </c>
      <c r="N197" s="788" t="n"/>
      <c r="O197" s="762" t="n">
        <v>-4.8805</v>
      </c>
      <c r="P197" s="725" t="n">
        <v>-0.01003515027023248</v>
      </c>
      <c r="Q197" s="726" t="n">
        <v>-1.002824858757076</v>
      </c>
      <c r="R197" s="764" t="n">
        <v>481.46</v>
      </c>
      <c r="S197" s="719" t="inlineStr">
        <is>
          <t>3H 23M 17S</t>
        </is>
      </c>
      <c r="T197" s="728" t="n"/>
      <c r="U197" s="729" t="n"/>
      <c r="V197" s="730" t="n"/>
      <c r="W197" s="731" t="n"/>
      <c r="X197" s="732" t="n"/>
      <c r="Y197" s="728" t="n"/>
      <c r="Z197" s="729" t="n"/>
      <c r="AA197" s="730" t="n"/>
      <c r="AB197" s="731" t="n"/>
      <c r="AC197" s="732" t="n"/>
      <c r="AD197" s="719" t="inlineStr">
        <is>
          <t>No</t>
        </is>
      </c>
      <c r="AE197" s="733" t="n"/>
      <c r="AF197" s="733" t="n"/>
      <c r="AG197" s="733" t="n"/>
      <c r="AH197" s="733" t="n"/>
      <c r="AI197" s="719" t="inlineStr">
        <is>
          <t>Limit</t>
        </is>
      </c>
      <c r="AJ197" s="733" t="n"/>
      <c r="AK197" s="733" t="n"/>
      <c r="AL197" s="733" t="n"/>
      <c r="AM197" s="733" t="n"/>
      <c r="AN197" s="733" t="n"/>
      <c r="AO197" s="733" t="n"/>
      <c r="AP197" s="719" t="inlineStr">
        <is>
          <t>Pullback</t>
        </is>
      </c>
      <c r="AQ197" s="719" t="inlineStr">
        <is>
          <t>DAILY</t>
        </is>
      </c>
      <c r="AR197" s="719" t="inlineStr">
        <is>
          <t>No</t>
        </is>
      </c>
      <c r="AS197" s="733" t="n"/>
      <c r="AT197" s="733" t="n"/>
      <c r="AU197" s="733" t="n"/>
      <c r="AV197" s="733" t="n"/>
      <c r="AW197" s="719" t="inlineStr">
        <is>
          <t>trade</t>
        </is>
      </c>
      <c r="AX197" s="734" t="inlineStr">
        <is>
          <t>oanda_export:live:111:114</t>
        </is>
      </c>
    </row>
    <row r="198" ht="15" customHeight="1">
      <c r="A198" s="716" t="inlineStr">
        <is>
          <t>C309</t>
        </is>
      </c>
      <c r="B198" s="717" t="n">
        <v>45042.25486111111</v>
      </c>
      <c r="C198" s="718" t="n">
        <v>45042.29305555556</v>
      </c>
      <c r="D198" s="719" t="inlineStr">
        <is>
          <t>BYBIT</t>
        </is>
      </c>
      <c r="E198" s="719" t="inlineStr">
        <is>
          <t>BTCUSDT</t>
        </is>
      </c>
      <c r="F198" s="719" t="inlineStr">
        <is>
          <t>SELL</t>
        </is>
      </c>
      <c r="G198" s="735" t="n">
        <v>0.012</v>
      </c>
      <c r="H198" s="720" t="n">
        <v>27871.5</v>
      </c>
      <c r="I198" s="720" t="n">
        <v>28079</v>
      </c>
      <c r="J198" s="721" t="n">
        <v>28078.8</v>
      </c>
      <c r="K198" s="722" t="n">
        <v>0.007437705182713498</v>
      </c>
      <c r="L198" s="721" t="n">
        <v>27456.9</v>
      </c>
      <c r="M198" s="722" t="n">
        <v>0.014875410365427</v>
      </c>
      <c r="N198" s="758" t="n">
        <v>0.2356146</v>
      </c>
      <c r="O198" s="724" t="n">
        <v>-2.72648125</v>
      </c>
      <c r="P198" s="725" t="n">
        <v>-0.01072460933437549</v>
      </c>
      <c r="Q198" s="726" t="n">
        <v>-1.000964785335266</v>
      </c>
      <c r="R198" s="727" t="n">
        <v>251.5001450999999</v>
      </c>
      <c r="S198" s="719" t="inlineStr">
        <is>
          <t>55M 0S</t>
        </is>
      </c>
      <c r="T198" s="728" t="n"/>
      <c r="U198" s="729" t="n"/>
      <c r="V198" s="730" t="n"/>
      <c r="W198" s="731" t="n"/>
      <c r="X198" s="732" t="n"/>
      <c r="Y198" s="728" t="n"/>
      <c r="Z198" s="729" t="n"/>
      <c r="AA198" s="730" t="n"/>
      <c r="AB198" s="731" t="n"/>
      <c r="AC198" s="732" t="n"/>
      <c r="AD198" s="719" t="inlineStr">
        <is>
          <t>No</t>
        </is>
      </c>
      <c r="AE198" s="733" t="n"/>
      <c r="AF198" s="733" t="n"/>
      <c r="AG198" s="733" t="n"/>
      <c r="AH198" s="733" t="n"/>
      <c r="AI198" s="719" t="inlineStr">
        <is>
          <t>Limit</t>
        </is>
      </c>
      <c r="AJ198" s="733" t="n"/>
      <c r="AK198" s="733" t="n"/>
      <c r="AL198" s="733" t="n"/>
      <c r="AM198" s="733" t="n"/>
      <c r="AN198" s="733" t="n"/>
      <c r="AO198" s="733" t="n"/>
      <c r="AP198" s="719" t="inlineStr">
        <is>
          <t>Pullback</t>
        </is>
      </c>
      <c r="AQ198" s="719" t="inlineStr">
        <is>
          <t>1H</t>
        </is>
      </c>
      <c r="AR198" s="719" t="inlineStr">
        <is>
          <t>No</t>
        </is>
      </c>
      <c r="AS198" s="733" t="n"/>
      <c r="AT198" s="733" t="n"/>
      <c r="AU198" s="733" t="n"/>
      <c r="AV198" s="733" t="n"/>
      <c r="AW198" s="719" t="inlineStr">
        <is>
          <t>trade</t>
        </is>
      </c>
      <c r="AX198" s="734" t="inlineStr">
        <is>
          <t>sig:12b191086e5ec0c38792f2f4</t>
        </is>
      </c>
    </row>
    <row r="199" ht="15" customHeight="1">
      <c r="A199" s="42" t="n"/>
      <c r="B199" s="770" t="n">
        <v>45035</v>
      </c>
      <c r="C199" s="771" t="n">
        <v>45035</v>
      </c>
      <c r="D199" s="12" t="inlineStr">
        <is>
          <t>PEPPERSTONE LIVE</t>
        </is>
      </c>
      <c r="E199" s="12" t="inlineStr">
        <is>
          <t>CASHFLOW</t>
        </is>
      </c>
      <c r="F199" s="12" t="inlineStr">
        <is>
          <t>DEPOSIT</t>
        </is>
      </c>
      <c r="G199" s="262" t="n"/>
      <c r="H199" s="262" t="n"/>
      <c r="I199" s="262" t="n"/>
      <c r="J199" s="263" t="n"/>
      <c r="K199" s="36" t="n"/>
      <c r="L199" s="263" t="n"/>
      <c r="M199" s="36" t="n"/>
      <c r="N199" s="772" t="n"/>
      <c r="O199" s="773" t="n"/>
      <c r="P199" s="3" t="n"/>
      <c r="Q199" s="51" t="n"/>
      <c r="R199" s="54" t="n">
        <v>500</v>
      </c>
      <c r="S199" s="12" t="n"/>
      <c r="T199" s="774" t="n"/>
      <c r="U199" s="6" t="n"/>
      <c r="V199" s="264" t="n"/>
      <c r="W199" s="9" t="n"/>
      <c r="X199" s="46" t="n"/>
      <c r="Y199" s="774" t="n"/>
      <c r="Z199" s="6" t="n"/>
      <c r="AA199" s="264" t="n"/>
      <c r="AB199" s="9" t="n"/>
      <c r="AC199" s="46" t="n"/>
      <c r="AD199" s="12" t="inlineStr">
        <is>
          <t>No</t>
        </is>
      </c>
      <c r="AE199" s="45" t="n"/>
      <c r="AF199" s="45" t="n"/>
      <c r="AG199" s="45" t="n"/>
      <c r="AH199" s="45" t="n"/>
      <c r="AI199" s="12" t="n"/>
      <c r="AJ199" s="45" t="n"/>
      <c r="AK199" s="45" t="n"/>
      <c r="AL199" s="45" t="n"/>
      <c r="AM199" s="45" t="n"/>
      <c r="AN199" s="45" t="n"/>
      <c r="AO199" s="45" t="n"/>
      <c r="AP199" s="12" t="n"/>
      <c r="AQ199" s="12" t="n"/>
      <c r="AR199" s="12" t="n"/>
      <c r="AS199" s="56" t="inlineStr">
        <is>
          <t>Deposit 500.0 AUD. Source: screenshot_ocr. Imported from account_cashflows.xlsx row 91.</t>
        </is>
      </c>
      <c r="AT199" s="45" t="n"/>
      <c r="AU199" s="12" t="n">
        <v>500</v>
      </c>
      <c r="AV199" s="12" t="inlineStr">
        <is>
          <t>AUD</t>
        </is>
      </c>
      <c r="AW199" s="12" t="inlineStr">
        <is>
          <t>cashflow</t>
        </is>
      </c>
      <c r="AX199" s="57" t="inlineStr">
        <is>
          <t>cashflow:PEPPERSTONE LIVE:2023-04-19T00:00:00:12</t>
        </is>
      </c>
    </row>
    <row r="200" ht="15" customHeight="1">
      <c r="A200" s="716" t="inlineStr">
        <is>
          <t>F970</t>
        </is>
      </c>
      <c r="B200" s="717" t="n">
        <v>45027.00054398148</v>
      </c>
      <c r="C200" s="718" t="n">
        <v>45028.13809027777</v>
      </c>
      <c r="D200" s="719" t="inlineStr">
        <is>
          <t>OANDA LIVE</t>
        </is>
      </c>
      <c r="E200" s="719" t="inlineStr">
        <is>
          <t>USDJPY</t>
        </is>
      </c>
      <c r="F200" s="719" t="inlineStr">
        <is>
          <t>SELL</t>
        </is>
      </c>
      <c r="G200" s="735" t="n">
        <v>0.01018</v>
      </c>
      <c r="H200" s="720" t="n">
        <v>133.581</v>
      </c>
      <c r="I200" s="720" t="n">
        <v>133.76</v>
      </c>
      <c r="J200" s="721" t="n">
        <v>134.003</v>
      </c>
      <c r="K200" s="722" t="n">
        <v>0.00315913191247256</v>
      </c>
      <c r="L200" s="721" t="n">
        <v>132.722</v>
      </c>
      <c r="M200" s="722" t="n">
        <v>0.006430555243634803</v>
      </c>
      <c r="N200" s="788" t="n"/>
      <c r="O200" s="762" t="n">
        <v>-2.337</v>
      </c>
      <c r="P200" s="725" t="n">
        <v>-0.004782299965007562</v>
      </c>
      <c r="Q200" s="726" t="n">
        <v>-0.4241706161137519</v>
      </c>
      <c r="R200" s="764" t="n">
        <v>486.34</v>
      </c>
      <c r="S200" s="719" t="inlineStr">
        <is>
          <t>1D 3H 18M 4S</t>
        </is>
      </c>
      <c r="T200" s="728" t="n"/>
      <c r="U200" s="729" t="n"/>
      <c r="V200" s="730" t="n"/>
      <c r="W200" s="731" t="n"/>
      <c r="X200" s="732" t="n"/>
      <c r="Y200" s="728" t="n"/>
      <c r="Z200" s="729" t="n"/>
      <c r="AA200" s="730" t="n"/>
      <c r="AB200" s="731" t="n"/>
      <c r="AC200" s="732" t="n"/>
      <c r="AD200" s="719" t="inlineStr">
        <is>
          <t>No</t>
        </is>
      </c>
      <c r="AE200" s="733" t="n"/>
      <c r="AF200" s="733" t="n"/>
      <c r="AG200" s="733" t="n"/>
      <c r="AH200" s="733" t="n"/>
      <c r="AI200" s="719" t="inlineStr">
        <is>
          <t>Limit</t>
        </is>
      </c>
      <c r="AJ200" s="733" t="n"/>
      <c r="AK200" s="733" t="n"/>
      <c r="AL200" s="733" t="n"/>
      <c r="AM200" s="733" t="n"/>
      <c r="AN200" s="733" t="n"/>
      <c r="AO200" s="719" t="inlineStr">
        <is>
          <t>Yes</t>
        </is>
      </c>
      <c r="AP200" s="719" t="inlineStr">
        <is>
          <t>Pullback</t>
        </is>
      </c>
      <c r="AQ200" s="719" t="inlineStr">
        <is>
          <t>4H</t>
        </is>
      </c>
      <c r="AR200" s="719" t="inlineStr">
        <is>
          <t>No</t>
        </is>
      </c>
      <c r="AS200" s="733" t="n"/>
      <c r="AT200" s="733" t="n"/>
      <c r="AU200" s="733" t="n"/>
      <c r="AV200" s="733" t="n"/>
      <c r="AW200" s="719" t="inlineStr">
        <is>
          <t>trade</t>
        </is>
      </c>
      <c r="AX200" s="734" t="inlineStr">
        <is>
          <t>oanda_export:live:97:107</t>
        </is>
      </c>
    </row>
    <row r="201" ht="15" customHeight="1">
      <c r="A201" s="716" t="inlineStr">
        <is>
          <t>F1153</t>
        </is>
      </c>
      <c r="B201" s="717" t="n">
        <v>45027.50618055555</v>
      </c>
      <c r="C201" s="718" t="n">
        <v>45027.50717592592</v>
      </c>
      <c r="D201" s="719" t="inlineStr">
        <is>
          <t>OANDA LIVE</t>
        </is>
      </c>
      <c r="E201" s="719" t="inlineStr">
        <is>
          <t>AUDCHF</t>
        </is>
      </c>
      <c r="F201" s="719" t="inlineStr">
        <is>
          <t>SELL</t>
        </is>
      </c>
      <c r="G201" s="735" t="n">
        <v>0.07231</v>
      </c>
      <c r="H201" s="720" t="n">
        <v>0.6051299999999999</v>
      </c>
      <c r="I201" s="720" t="n">
        <v>0.60556</v>
      </c>
      <c r="J201" s="721" t="n">
        <v>0.60554</v>
      </c>
      <c r="K201" s="760" t="n">
        <v>0.0006775403632277717</v>
      </c>
      <c r="L201" s="721" t="n">
        <v>0.60431</v>
      </c>
      <c r="M201" s="722" t="n">
        <v>0.00135508072645536</v>
      </c>
      <c r="N201" s="788" t="n"/>
      <c r="O201" s="762" t="n">
        <v>-5.1606</v>
      </c>
      <c r="P201" s="725" t="n">
        <v>-0.01045585891580487</v>
      </c>
      <c r="Q201" s="726" t="n">
        <v>-1.048780487804924</v>
      </c>
      <c r="R201" s="764" t="n">
        <v>488.4</v>
      </c>
      <c r="S201" s="719" t="inlineStr">
        <is>
          <t>1M 26S</t>
        </is>
      </c>
      <c r="T201" s="728" t="n"/>
      <c r="U201" s="729" t="n"/>
      <c r="V201" s="730" t="n"/>
      <c r="W201" s="731" t="n"/>
      <c r="X201" s="732" t="n"/>
      <c r="Y201" s="728" t="n"/>
      <c r="Z201" s="729" t="n"/>
      <c r="AA201" s="730" t="n"/>
      <c r="AB201" s="731" t="n"/>
      <c r="AC201" s="732" t="n"/>
      <c r="AD201" s="719" t="inlineStr">
        <is>
          <t>No</t>
        </is>
      </c>
      <c r="AE201" s="733" t="n"/>
      <c r="AF201" s="733" t="n"/>
      <c r="AG201" s="733" t="n"/>
      <c r="AH201" s="733" t="n"/>
      <c r="AI201" s="719" t="n"/>
      <c r="AJ201" s="733" t="n"/>
      <c r="AK201" s="719" t="n"/>
      <c r="AL201" s="733" t="n"/>
      <c r="AM201" s="733" t="n"/>
      <c r="AN201" s="733" t="n"/>
      <c r="AO201" s="733" t="n"/>
      <c r="AP201" s="719" t="n"/>
      <c r="AQ201" s="719" t="n"/>
      <c r="AR201" s="719" t="n"/>
      <c r="AS201" s="733" t="n"/>
      <c r="AT201" s="733" t="n"/>
      <c r="AU201" s="733" t="n"/>
      <c r="AV201" s="733" t="n"/>
      <c r="AW201" s="719" t="inlineStr">
        <is>
          <t>trade</t>
        </is>
      </c>
      <c r="AX201" s="734" t="inlineStr">
        <is>
          <t>oanda_export:live:101:104</t>
        </is>
      </c>
    </row>
    <row r="202" ht="15" customHeight="1">
      <c r="A202" s="716" t="inlineStr">
        <is>
          <t>F971</t>
        </is>
      </c>
      <c r="B202" s="717" t="n">
        <v>45027.50555555556</v>
      </c>
      <c r="C202" s="718" t="n">
        <v>45027.50694444445</v>
      </c>
      <c r="D202" s="719" t="inlineStr">
        <is>
          <t>OANDA LIVE</t>
        </is>
      </c>
      <c r="E202" s="719" t="inlineStr">
        <is>
          <t>AUDCHF</t>
        </is>
      </c>
      <c r="F202" s="719" t="inlineStr">
        <is>
          <t>SELL</t>
        </is>
      </c>
      <c r="G202" s="735" t="n">
        <v>0.07231</v>
      </c>
      <c r="H202" s="720" t="n">
        <v>0.6051</v>
      </c>
      <c r="I202" s="720" t="n">
        <v>0.6056</v>
      </c>
      <c r="J202" s="721" t="n">
        <v>0.60554</v>
      </c>
      <c r="K202" s="760" t="n">
        <v>0.0007271525367707751</v>
      </c>
      <c r="L202" s="721" t="n">
        <v>0.60431</v>
      </c>
      <c r="M202" s="722" t="n">
        <v>0.001305569327383833</v>
      </c>
      <c r="N202" s="788" t="n"/>
      <c r="O202" s="762" t="n">
        <v>-5.16</v>
      </c>
      <c r="P202" s="725" t="n">
        <v>-0.01044893991859547</v>
      </c>
      <c r="Q202" s="726" t="n">
        <v>-1.136363636363774</v>
      </c>
      <c r="R202" s="764" t="n">
        <v>488.67</v>
      </c>
      <c r="S202" s="719" t="inlineStr">
        <is>
          <t>2M 0S</t>
        </is>
      </c>
      <c r="T202" s="728" t="n"/>
      <c r="U202" s="729" t="n"/>
      <c r="V202" s="730" t="n"/>
      <c r="W202" s="731" t="n"/>
      <c r="X202" s="732" t="n"/>
      <c r="Y202" s="728" t="n"/>
      <c r="Z202" s="729" t="n"/>
      <c r="AA202" s="730" t="n"/>
      <c r="AB202" s="731" t="n"/>
      <c r="AC202" s="732" t="n"/>
      <c r="AD202" s="719" t="inlineStr">
        <is>
          <t>No</t>
        </is>
      </c>
      <c r="AE202" s="733" t="n"/>
      <c r="AF202" s="733" t="n"/>
      <c r="AG202" s="733" t="n"/>
      <c r="AH202" s="733" t="n"/>
      <c r="AI202" s="719" t="inlineStr">
        <is>
          <t>Limit</t>
        </is>
      </c>
      <c r="AJ202" s="733" t="n"/>
      <c r="AK202" s="719" t="inlineStr">
        <is>
          <t>Yes</t>
        </is>
      </c>
      <c r="AL202" s="719" t="n"/>
      <c r="AM202" s="733" t="n"/>
      <c r="AN202" s="733" t="n"/>
      <c r="AO202" s="733" t="n"/>
      <c r="AP202" s="719" t="inlineStr">
        <is>
          <t>Pullback</t>
        </is>
      </c>
      <c r="AQ202" s="719" t="inlineStr">
        <is>
          <t>1H</t>
        </is>
      </c>
      <c r="AR202" s="719" t="inlineStr">
        <is>
          <t>No</t>
        </is>
      </c>
      <c r="AS202" s="733" t="n"/>
      <c r="AT202" s="733" t="n"/>
      <c r="AU202" s="733" t="n"/>
      <c r="AV202" s="733" t="n"/>
      <c r="AW202" s="719" t="inlineStr">
        <is>
          <t>trade</t>
        </is>
      </c>
      <c r="AX202" s="734" t="inlineStr">
        <is>
          <t>sig:1294a400f92d08c650535ae1</t>
        </is>
      </c>
    </row>
    <row r="203" ht="15" customHeight="1">
      <c r="A203" s="716" t="inlineStr">
        <is>
          <t>F969</t>
        </is>
      </c>
      <c r="B203" s="717" t="n">
        <v>45020.71880787037</v>
      </c>
      <c r="C203" s="718" t="n">
        <v>45020.76157407407</v>
      </c>
      <c r="D203" s="719" t="inlineStr">
        <is>
          <t>OANDA LIVE</t>
        </is>
      </c>
      <c r="E203" s="719" t="inlineStr">
        <is>
          <t>GBPUSD</t>
        </is>
      </c>
      <c r="F203" s="719" t="inlineStr">
        <is>
          <t>SELL</t>
        </is>
      </c>
      <c r="G203" s="757" t="n">
        <v>0.007</v>
      </c>
      <c r="H203" s="720" t="n">
        <v>1.24334</v>
      </c>
      <c r="I203" s="720" t="n">
        <v>1.24793</v>
      </c>
      <c r="J203" s="721" t="n">
        <v>1.24793</v>
      </c>
      <c r="K203" s="722" t="n">
        <v>0.003691669213569976</v>
      </c>
      <c r="L203" s="721" t="n">
        <v>1.23353</v>
      </c>
      <c r="M203" s="722" t="n">
        <v>0.007890038123119883</v>
      </c>
      <c r="N203" s="761" t="n"/>
      <c r="O203" s="762" t="n">
        <v>-4.7775</v>
      </c>
      <c r="P203" s="725" t="n">
        <v>-0.009581684992704682</v>
      </c>
      <c r="Q203" s="726" t="n">
        <v>-1</v>
      </c>
      <c r="R203" s="764" t="n">
        <v>493.83</v>
      </c>
      <c r="S203" s="719" t="inlineStr">
        <is>
          <t>1H 1M 35S</t>
        </is>
      </c>
      <c r="T203" s="728" t="n"/>
      <c r="U203" s="729" t="n"/>
      <c r="V203" s="730" t="n"/>
      <c r="W203" s="731" t="n"/>
      <c r="X203" s="732" t="n"/>
      <c r="Y203" s="728" t="n"/>
      <c r="Z203" s="729" t="n"/>
      <c r="AA203" s="730" t="n"/>
      <c r="AB203" s="731" t="n"/>
      <c r="AC203" s="732" t="n"/>
      <c r="AD203" s="719" t="inlineStr">
        <is>
          <t>No</t>
        </is>
      </c>
      <c r="AE203" s="733" t="n"/>
      <c r="AF203" s="733" t="n"/>
      <c r="AG203" s="733" t="n"/>
      <c r="AH203" s="733" t="n"/>
      <c r="AI203" s="719" t="inlineStr">
        <is>
          <t>Limit</t>
        </is>
      </c>
      <c r="AJ203" s="733" t="n"/>
      <c r="AK203" s="733" t="n"/>
      <c r="AL203" s="733" t="n"/>
      <c r="AM203" s="733" t="n"/>
      <c r="AN203" s="733" t="n"/>
      <c r="AO203" s="733" t="n"/>
      <c r="AP203" s="719" t="inlineStr">
        <is>
          <t>Pullback</t>
        </is>
      </c>
      <c r="AQ203" s="719" t="inlineStr">
        <is>
          <t>DAILY</t>
        </is>
      </c>
      <c r="AR203" s="719" t="inlineStr">
        <is>
          <t>No</t>
        </is>
      </c>
      <c r="AS203" s="733" t="n"/>
      <c r="AT203" s="733" t="n"/>
      <c r="AU203" s="733" t="n"/>
      <c r="AV203" s="733" t="n"/>
      <c r="AW203" s="719" t="inlineStr">
        <is>
          <t>trade</t>
        </is>
      </c>
      <c r="AX203" s="734" t="inlineStr">
        <is>
          <t>oanda_export:live:90:93</t>
        </is>
      </c>
    </row>
    <row r="204" ht="15" customHeight="1">
      <c r="A204" s="737" t="inlineStr">
        <is>
          <t>C308</t>
        </is>
      </c>
      <c r="B204" s="738" t="n">
        <v>45017.01597222222</v>
      </c>
      <c r="C204" s="739" t="n">
        <v>45019.05277777778</v>
      </c>
      <c r="D204" s="740" t="inlineStr">
        <is>
          <t>BYBIT</t>
        </is>
      </c>
      <c r="E204" s="740" t="inlineStr">
        <is>
          <t>ETHUSDT</t>
        </is>
      </c>
      <c r="F204" s="740" t="inlineStr">
        <is>
          <t>SELL</t>
        </is>
      </c>
      <c r="G204" s="775" t="n">
        <v>0.09</v>
      </c>
      <c r="H204" s="742" t="n">
        <v>1840.66</v>
      </c>
      <c r="I204" s="742" t="n">
        <v>1789.25</v>
      </c>
      <c r="J204" s="743" t="n">
        <v>1866.38</v>
      </c>
      <c r="K204" s="744" t="n">
        <v>0.01397324872600047</v>
      </c>
      <c r="L204" s="743" t="n">
        <v>1789.22</v>
      </c>
      <c r="M204" s="744" t="n">
        <v>0.02794649745200094</v>
      </c>
      <c r="N204" s="802" t="n">
        <v>0.04504793</v>
      </c>
      <c r="O204" s="746" t="n">
        <v>4.58098542</v>
      </c>
      <c r="P204" s="747" t="n">
        <v>0.01834995156708744</v>
      </c>
      <c r="Q204" s="748" t="n">
        <v>1.998833592534993</v>
      </c>
      <c r="R204" s="749" t="n">
        <v>254.2266263499999</v>
      </c>
      <c r="S204" s="740" t="inlineStr">
        <is>
          <t>2D 0H 53M 0S</t>
        </is>
      </c>
      <c r="T204" s="750" t="n"/>
      <c r="U204" s="751" t="n"/>
      <c r="V204" s="752" t="n"/>
      <c r="W204" s="753" t="n"/>
      <c r="X204" s="754" t="n"/>
      <c r="Y204" s="750" t="n"/>
      <c r="Z204" s="751" t="n"/>
      <c r="AA204" s="752" t="n"/>
      <c r="AB204" s="753" t="n"/>
      <c r="AC204" s="754" t="n"/>
      <c r="AD204" s="740" t="inlineStr">
        <is>
          <t>No</t>
        </is>
      </c>
      <c r="AE204" s="755" t="n"/>
      <c r="AF204" s="755" t="n"/>
      <c r="AG204" s="755" t="n"/>
      <c r="AH204" s="755" t="n"/>
      <c r="AI204" s="740" t="inlineStr">
        <is>
          <t>Limit</t>
        </is>
      </c>
      <c r="AJ204" s="755" t="n"/>
      <c r="AK204" s="755" t="n"/>
      <c r="AL204" s="755" t="n"/>
      <c r="AM204" s="755" t="n"/>
      <c r="AN204" s="755" t="n"/>
      <c r="AO204" s="755" t="n"/>
      <c r="AP204" s="740" t="inlineStr">
        <is>
          <t>Pullback</t>
        </is>
      </c>
      <c r="AQ204" s="740" t="inlineStr">
        <is>
          <t>4H</t>
        </is>
      </c>
      <c r="AR204" s="740" t="inlineStr">
        <is>
          <t>No</t>
        </is>
      </c>
      <c r="AS204" s="787" t="n"/>
      <c r="AT204" s="755" t="n"/>
      <c r="AU204" s="740" t="n"/>
      <c r="AV204" s="740" t="n"/>
      <c r="AW204" s="740" t="inlineStr">
        <is>
          <t>trade</t>
        </is>
      </c>
      <c r="AX204" s="756" t="inlineStr">
        <is>
          <t>sig:bdfaef76d655f643c4cb489c</t>
        </is>
      </c>
    </row>
    <row r="205" ht="15" customHeight="1">
      <c r="A205" s="716" t="inlineStr">
        <is>
          <t>F968</t>
        </is>
      </c>
      <c r="B205" s="717" t="n">
        <v>45015.9409837963</v>
      </c>
      <c r="C205" s="718" t="n">
        <v>45015.95836805556</v>
      </c>
      <c r="D205" s="719" t="inlineStr">
        <is>
          <t>OANDA LIVE</t>
        </is>
      </c>
      <c r="E205" s="719" t="inlineStr">
        <is>
          <t>GBPJPY</t>
        </is>
      </c>
      <c r="F205" s="719" t="inlineStr">
        <is>
          <t>SELL</t>
        </is>
      </c>
      <c r="G205" s="735" t="n">
        <v>0.01431</v>
      </c>
      <c r="H205" s="720" t="n">
        <v>164.071</v>
      </c>
      <c r="I205" s="720" t="n">
        <v>164.381</v>
      </c>
      <c r="J205" s="721" t="n">
        <v>164.381</v>
      </c>
      <c r="K205" s="722" t="n">
        <v>0.001889425919266673</v>
      </c>
      <c r="L205" s="721" t="n">
        <v>163.451</v>
      </c>
      <c r="M205" s="722" t="n">
        <v>0.003778851838533346</v>
      </c>
      <c r="N205" s="788" t="n"/>
      <c r="O205" s="762" t="n">
        <v>-5.0132</v>
      </c>
      <c r="P205" s="725" t="n">
        <v>-0.009954267396736291</v>
      </c>
      <c r="Q205" s="726" t="n">
        <v>-1</v>
      </c>
      <c r="R205" s="764" t="n">
        <v>498.61</v>
      </c>
      <c r="S205" s="719" t="inlineStr">
        <is>
          <t>25M 2S</t>
        </is>
      </c>
      <c r="T205" s="728" t="n"/>
      <c r="U205" s="729" t="n"/>
      <c r="V205" s="730" t="n"/>
      <c r="W205" s="731" t="n"/>
      <c r="X205" s="732" t="n"/>
      <c r="Y205" s="728" t="n"/>
      <c r="Z205" s="729" t="n"/>
      <c r="AA205" s="730" t="n"/>
      <c r="AB205" s="731" t="n"/>
      <c r="AC205" s="732" t="n"/>
      <c r="AD205" s="719" t="inlineStr">
        <is>
          <t>No</t>
        </is>
      </c>
      <c r="AE205" s="733" t="n"/>
      <c r="AF205" s="733" t="n"/>
      <c r="AG205" s="733" t="n"/>
      <c r="AH205" s="733" t="n"/>
      <c r="AI205" s="719" t="inlineStr">
        <is>
          <t>Limit</t>
        </is>
      </c>
      <c r="AJ205" s="733" t="n"/>
      <c r="AK205" s="719" t="n"/>
      <c r="AL205" s="733" t="n"/>
      <c r="AM205" s="733" t="n"/>
      <c r="AN205" s="733" t="n"/>
      <c r="AO205" s="733" t="n"/>
      <c r="AP205" s="719" t="inlineStr">
        <is>
          <t>Pullback</t>
        </is>
      </c>
      <c r="AQ205" s="719" t="inlineStr">
        <is>
          <t>4H</t>
        </is>
      </c>
      <c r="AR205" s="719" t="inlineStr">
        <is>
          <t>No</t>
        </is>
      </c>
      <c r="AS205" s="733" t="n"/>
      <c r="AT205" s="733" t="n"/>
      <c r="AU205" s="733" t="n"/>
      <c r="AV205" s="733" t="n"/>
      <c r="AW205" s="719" t="inlineStr">
        <is>
          <t>trade</t>
        </is>
      </c>
      <c r="AX205" s="734" t="inlineStr">
        <is>
          <t>oanda_export:live:85:88</t>
        </is>
      </c>
    </row>
    <row r="206" ht="15" customHeight="1">
      <c r="A206" s="737" t="inlineStr">
        <is>
          <t>C307</t>
        </is>
      </c>
      <c r="B206" s="738" t="n">
        <v>45013.04791666667</v>
      </c>
      <c r="C206" s="739" t="n">
        <v>45013.08611111111</v>
      </c>
      <c r="D206" s="740" t="inlineStr">
        <is>
          <t>BYBIT</t>
        </is>
      </c>
      <c r="E206" s="740" t="inlineStr">
        <is>
          <t>BTCUSDT</t>
        </is>
      </c>
      <c r="F206" s="740" t="inlineStr">
        <is>
          <t>BUY</t>
        </is>
      </c>
      <c r="G206" s="775" t="n">
        <v>0.011</v>
      </c>
      <c r="H206" s="742" t="n">
        <v>26630.8</v>
      </c>
      <c r="I206" s="742" t="n">
        <v>27072</v>
      </c>
      <c r="J206" s="743" t="n">
        <v>26409.6</v>
      </c>
      <c r="K206" s="744" t="n">
        <v>0.00830617180107247</v>
      </c>
      <c r="L206" s="743" t="n">
        <v>27073.3</v>
      </c>
      <c r="M206" s="744" t="n">
        <v>0.01661609865268786</v>
      </c>
      <c r="N206" s="745" t="n">
        <v>0.22117308</v>
      </c>
      <c r="O206" s="746" t="n">
        <v>4.63116027</v>
      </c>
      <c r="P206" s="747" t="n">
        <v>0.01890157780685027</v>
      </c>
      <c r="Q206" s="748" t="n">
        <v>1.994575045207953</v>
      </c>
      <c r="R206" s="749" t="n">
        <v>249.6456409299999</v>
      </c>
      <c r="S206" s="740" t="inlineStr">
        <is>
          <t>55M 0S</t>
        </is>
      </c>
      <c r="T206" s="750" t="n"/>
      <c r="U206" s="751" t="n"/>
      <c r="V206" s="752" t="n"/>
      <c r="W206" s="753" t="n"/>
      <c r="X206" s="754" t="n"/>
      <c r="Y206" s="750" t="n"/>
      <c r="Z206" s="751" t="n"/>
      <c r="AA206" s="752" t="n"/>
      <c r="AB206" s="753" t="n"/>
      <c r="AC206" s="754" t="n"/>
      <c r="AD206" s="740" t="inlineStr">
        <is>
          <t>No</t>
        </is>
      </c>
      <c r="AE206" s="755" t="n"/>
      <c r="AF206" s="755" t="n"/>
      <c r="AG206" s="755" t="n"/>
      <c r="AH206" s="755" t="n"/>
      <c r="AI206" s="740" t="inlineStr">
        <is>
          <t>Limit</t>
        </is>
      </c>
      <c r="AJ206" s="755" t="n"/>
      <c r="AK206" s="755" t="n"/>
      <c r="AL206" s="755" t="n"/>
      <c r="AM206" s="755" t="n"/>
      <c r="AN206" s="755" t="n"/>
      <c r="AO206" s="755" t="n"/>
      <c r="AP206" s="740" t="inlineStr">
        <is>
          <t>Pullback</t>
        </is>
      </c>
      <c r="AQ206" s="740" t="inlineStr">
        <is>
          <t>4H</t>
        </is>
      </c>
      <c r="AR206" s="740" t="inlineStr">
        <is>
          <t>No</t>
        </is>
      </c>
      <c r="AS206" s="787" t="n"/>
      <c r="AT206" s="755" t="n"/>
      <c r="AU206" s="740" t="n"/>
      <c r="AV206" s="740" t="n"/>
      <c r="AW206" s="740" t="inlineStr">
        <is>
          <t>trade</t>
        </is>
      </c>
      <c r="AX206" s="756" t="inlineStr">
        <is>
          <t>sig:e14f10d28e74e63d52c4e251</t>
        </is>
      </c>
    </row>
    <row r="207" ht="15" customHeight="1">
      <c r="A207" s="737" t="inlineStr">
        <is>
          <t>C306</t>
        </is>
      </c>
      <c r="B207" s="738" t="n">
        <v>45008.24097222222</v>
      </c>
      <c r="C207" s="739" t="n">
        <v>45008.64861111111</v>
      </c>
      <c r="D207" s="740" t="inlineStr">
        <is>
          <t>BYBIT</t>
        </is>
      </c>
      <c r="E207" s="740" t="inlineStr">
        <is>
          <t>BTCUSDT</t>
        </is>
      </c>
      <c r="F207" s="740" t="inlineStr">
        <is>
          <t>BUY</t>
        </is>
      </c>
      <c r="G207" s="741" t="n">
        <v>0.007</v>
      </c>
      <c r="H207" s="742" t="n">
        <v>26859.1</v>
      </c>
      <c r="I207" s="742" t="n">
        <v>27513.9</v>
      </c>
      <c r="J207" s="743" t="n">
        <v>26533.5</v>
      </c>
      <c r="K207" s="744" t="n">
        <v>0.01212252085885225</v>
      </c>
      <c r="L207" s="743" t="n">
        <v>27510.3</v>
      </c>
      <c r="M207" s="744" t="n">
        <v>0.02424504171770464</v>
      </c>
      <c r="N207" s="745" t="n">
        <v>0.13265347</v>
      </c>
      <c r="O207" s="746" t="n">
        <v>4.45007988</v>
      </c>
      <c r="P207" s="747" t="n">
        <v>0.01849849714077051</v>
      </c>
      <c r="Q207" s="748" t="n">
        <v>2.011056511056529</v>
      </c>
      <c r="R207" s="749" t="n">
        <v>245.0144806599999</v>
      </c>
      <c r="S207" s="740" t="inlineStr">
        <is>
          <t>9H 47M 0S</t>
        </is>
      </c>
      <c r="T207" s="750" t="n"/>
      <c r="U207" s="751" t="n"/>
      <c r="V207" s="752" t="n"/>
      <c r="W207" s="753" t="n"/>
      <c r="X207" s="754" t="n"/>
      <c r="Y207" s="750" t="n"/>
      <c r="Z207" s="751" t="n"/>
      <c r="AA207" s="752" t="n"/>
      <c r="AB207" s="753" t="n"/>
      <c r="AC207" s="754" t="n"/>
      <c r="AD207" s="740" t="inlineStr">
        <is>
          <t>No</t>
        </is>
      </c>
      <c r="AE207" s="755" t="n"/>
      <c r="AF207" s="755" t="n"/>
      <c r="AG207" s="755" t="n"/>
      <c r="AH207" s="755" t="n"/>
      <c r="AI207" s="740" t="inlineStr">
        <is>
          <t>Limit</t>
        </is>
      </c>
      <c r="AJ207" s="755" t="n"/>
      <c r="AK207" s="755" t="n"/>
      <c r="AL207" s="740" t="n"/>
      <c r="AM207" s="755" t="n"/>
      <c r="AN207" s="755" t="n"/>
      <c r="AO207" s="755" t="n"/>
      <c r="AP207" s="740" t="inlineStr">
        <is>
          <t>Pullback</t>
        </is>
      </c>
      <c r="AQ207" s="740" t="inlineStr">
        <is>
          <t>1H</t>
        </is>
      </c>
      <c r="AR207" s="740" t="inlineStr">
        <is>
          <t>No</t>
        </is>
      </c>
      <c r="AS207" s="755" t="n"/>
      <c r="AT207" s="755" t="n"/>
      <c r="AU207" s="755" t="n"/>
      <c r="AV207" s="755" t="n"/>
      <c r="AW207" s="740" t="inlineStr">
        <is>
          <t>trade</t>
        </is>
      </c>
      <c r="AX207" s="756" t="inlineStr">
        <is>
          <t>sig:cddd34963abcd0b64e6fd420</t>
        </is>
      </c>
    </row>
    <row r="208" ht="15" customHeight="1">
      <c r="A208" s="716" t="inlineStr">
        <is>
          <t>F967</t>
        </is>
      </c>
      <c r="B208" s="717" t="n">
        <v>45006.83158564815</v>
      </c>
      <c r="C208" s="718" t="n">
        <v>45006.87567129629</v>
      </c>
      <c r="D208" s="719" t="inlineStr">
        <is>
          <t>OANDA LIVE</t>
        </is>
      </c>
      <c r="E208" s="719" t="inlineStr">
        <is>
          <t>EURUSD</t>
        </is>
      </c>
      <c r="F208" s="719" t="inlineStr">
        <is>
          <t>SELL</t>
        </is>
      </c>
      <c r="G208" s="735" t="n">
        <v>0.01803</v>
      </c>
      <c r="H208" s="720" t="n">
        <v>1.07489</v>
      </c>
      <c r="I208" s="720" t="n">
        <v>1.07677</v>
      </c>
      <c r="J208" s="721" t="n">
        <v>1.07675</v>
      </c>
      <c r="K208" s="722" t="n">
        <v>0.001730409623310474</v>
      </c>
      <c r="L208" s="721" t="n">
        <v>1.07111</v>
      </c>
      <c r="M208" s="722" t="n">
        <v>0.003516638911888561</v>
      </c>
      <c r="N208" s="788" t="n"/>
      <c r="O208" s="762" t="n">
        <v>-5.0984</v>
      </c>
      <c r="P208" s="725" t="n">
        <v>-0.01002185055915887</v>
      </c>
      <c r="Q208" s="726" t="n">
        <v>-1.010752688171993</v>
      </c>
      <c r="R208" s="764" t="n">
        <v>503.63</v>
      </c>
      <c r="S208" s="719" t="inlineStr">
        <is>
          <t>1H 3M 29S</t>
        </is>
      </c>
      <c r="T208" s="728" t="n"/>
      <c r="U208" s="729" t="n"/>
      <c r="V208" s="730" t="n"/>
      <c r="W208" s="731" t="n"/>
      <c r="X208" s="732" t="n"/>
      <c r="Y208" s="728" t="n"/>
      <c r="Z208" s="729" t="n"/>
      <c r="AA208" s="730" t="n"/>
      <c r="AB208" s="731" t="n"/>
      <c r="AC208" s="732" t="n"/>
      <c r="AD208" s="719" t="inlineStr">
        <is>
          <t>No</t>
        </is>
      </c>
      <c r="AE208" s="733" t="n"/>
      <c r="AF208" s="733" t="n"/>
      <c r="AG208" s="733" t="n"/>
      <c r="AH208" s="733" t="n"/>
      <c r="AI208" s="719" t="inlineStr">
        <is>
          <t>Limit</t>
        </is>
      </c>
      <c r="AJ208" s="733" t="n"/>
      <c r="AK208" s="733" t="n"/>
      <c r="AL208" s="733" t="n"/>
      <c r="AM208" s="733" t="n"/>
      <c r="AN208" s="733" t="n"/>
      <c r="AO208" s="733" t="n"/>
      <c r="AP208" s="719" t="inlineStr">
        <is>
          <t>Pullback</t>
        </is>
      </c>
      <c r="AQ208" s="719" t="inlineStr">
        <is>
          <t>4H</t>
        </is>
      </c>
      <c r="AR208" s="719" t="inlineStr">
        <is>
          <t>No</t>
        </is>
      </c>
      <c r="AS208" s="733" t="n"/>
      <c r="AT208" s="733" t="n"/>
      <c r="AU208" s="733" t="n"/>
      <c r="AV208" s="733" t="n"/>
      <c r="AW208" s="719" t="inlineStr">
        <is>
          <t>trade</t>
        </is>
      </c>
      <c r="AX208" s="734" t="inlineStr">
        <is>
          <t>oanda_export:live:78:81</t>
        </is>
      </c>
    </row>
    <row r="209" ht="15" customHeight="1">
      <c r="A209" s="716" t="inlineStr">
        <is>
          <t>F966</t>
        </is>
      </c>
      <c r="B209" s="717" t="n">
        <v>44998.38173611111</v>
      </c>
      <c r="C209" s="718" t="n">
        <v>44998.39115740741</v>
      </c>
      <c r="D209" s="719" t="inlineStr">
        <is>
          <t>OANDA LIVE</t>
        </is>
      </c>
      <c r="E209" s="719" t="inlineStr">
        <is>
          <t>AUDUSD</t>
        </is>
      </c>
      <c r="F209" s="719" t="inlineStr">
        <is>
          <t>SELL</t>
        </is>
      </c>
      <c r="G209" s="735" t="n">
        <v>0.02835</v>
      </c>
      <c r="H209" s="720" t="n">
        <v>0.66329</v>
      </c>
      <c r="I209" s="720" t="n">
        <v>0.66454</v>
      </c>
      <c r="J209" s="721" t="n">
        <v>0.66447</v>
      </c>
      <c r="K209" s="722" t="n">
        <v>0.001779010689140435</v>
      </c>
      <c r="L209" s="721" t="n">
        <v>0.6609</v>
      </c>
      <c r="M209" s="722" t="n">
        <v>0.003603250463598129</v>
      </c>
      <c r="N209" s="788" t="n"/>
      <c r="O209" s="762" t="n">
        <v>-5.3599</v>
      </c>
      <c r="P209" s="725" t="n">
        <v>-0.01042620028520858</v>
      </c>
      <c r="Q209" s="726" t="n">
        <v>-1.059322033898319</v>
      </c>
      <c r="R209" s="764" t="n">
        <v>508.72</v>
      </c>
      <c r="S209" s="719" t="inlineStr">
        <is>
          <t>13M 34S</t>
        </is>
      </c>
      <c r="T209" s="728" t="n"/>
      <c r="U209" s="729" t="n"/>
      <c r="V209" s="730" t="n"/>
      <c r="W209" s="731" t="n"/>
      <c r="X209" s="732" t="n"/>
      <c r="Y209" s="728" t="n"/>
      <c r="Z209" s="729" t="n"/>
      <c r="AA209" s="730" t="n"/>
      <c r="AB209" s="731" t="n"/>
      <c r="AC209" s="732" t="n"/>
      <c r="AD209" s="719" t="inlineStr">
        <is>
          <t>No</t>
        </is>
      </c>
      <c r="AE209" s="733" t="n"/>
      <c r="AF209" s="733" t="n"/>
      <c r="AG209" s="733" t="n"/>
      <c r="AH209" s="733" t="n"/>
      <c r="AI209" s="719" t="inlineStr">
        <is>
          <t>Limit</t>
        </is>
      </c>
      <c r="AJ209" s="733" t="n"/>
      <c r="AK209" s="719" t="inlineStr">
        <is>
          <t>Yes</t>
        </is>
      </c>
      <c r="AL209" s="733" t="n"/>
      <c r="AM209" s="733" t="n"/>
      <c r="AN209" s="733" t="n"/>
      <c r="AO209" s="733" t="n"/>
      <c r="AP209" s="719" t="inlineStr">
        <is>
          <t>Pullback</t>
        </is>
      </c>
      <c r="AQ209" s="719" t="inlineStr">
        <is>
          <t>4H</t>
        </is>
      </c>
      <c r="AR209" s="719" t="inlineStr">
        <is>
          <t>No</t>
        </is>
      </c>
      <c r="AS209" s="733" t="n"/>
      <c r="AT209" s="733" t="n"/>
      <c r="AU209" s="733" t="n"/>
      <c r="AV209" s="733" t="n"/>
      <c r="AW209" s="719" t="inlineStr">
        <is>
          <t>trade</t>
        </is>
      </c>
      <c r="AX209" s="734" t="inlineStr">
        <is>
          <t>oanda_export:live:72:75</t>
        </is>
      </c>
    </row>
    <row r="210" ht="15" customHeight="1">
      <c r="A210" s="737" t="inlineStr">
        <is>
          <t>F965</t>
        </is>
      </c>
      <c r="B210" s="738" t="n">
        <v>44995.5725</v>
      </c>
      <c r="C210" s="739" t="n">
        <v>44995.66467592592</v>
      </c>
      <c r="D210" s="740" t="inlineStr">
        <is>
          <t>OANDA LIVE</t>
        </is>
      </c>
      <c r="E210" s="740" t="inlineStr">
        <is>
          <t>USDCHF</t>
        </is>
      </c>
      <c r="F210" s="740" t="inlineStr">
        <is>
          <t>BUY</t>
        </is>
      </c>
      <c r="G210" s="775" t="n">
        <v>0.03614</v>
      </c>
      <c r="H210" s="742" t="n">
        <v>0.92882</v>
      </c>
      <c r="I210" s="742" t="n">
        <v>0.9305</v>
      </c>
      <c r="J210" s="743" t="n">
        <v>0.92801</v>
      </c>
      <c r="K210" s="765" t="n">
        <v>0.0008720742447406143</v>
      </c>
      <c r="L210" s="743" t="n">
        <v>0.9305</v>
      </c>
      <c r="M210" s="744" t="n">
        <v>0.001808746581684304</v>
      </c>
      <c r="N210" s="796" t="n"/>
      <c r="O210" s="767" t="n">
        <v>9.853999999999999</v>
      </c>
      <c r="P210" s="747" t="n">
        <v>0.01954282405111993</v>
      </c>
      <c r="Q210" s="748" t="n">
        <v>2.07407407407415</v>
      </c>
      <c r="R210" s="769" t="n">
        <v>514.08</v>
      </c>
      <c r="S210" s="740" t="inlineStr">
        <is>
          <t>2H 12M 44S</t>
        </is>
      </c>
      <c r="T210" s="750" t="n"/>
      <c r="U210" s="751" t="n"/>
      <c r="V210" s="752" t="n"/>
      <c r="W210" s="753" t="n"/>
      <c r="X210" s="754" t="n"/>
      <c r="Y210" s="750" t="n"/>
      <c r="Z210" s="751" t="n"/>
      <c r="AA210" s="752" t="n"/>
      <c r="AB210" s="753" t="n"/>
      <c r="AC210" s="754" t="n"/>
      <c r="AD210" s="740" t="inlineStr">
        <is>
          <t>No</t>
        </is>
      </c>
      <c r="AE210" s="755" t="n"/>
      <c r="AF210" s="755" t="n"/>
      <c r="AG210" s="755" t="n"/>
      <c r="AH210" s="755" t="n"/>
      <c r="AI210" s="740" t="inlineStr">
        <is>
          <t>Limit</t>
        </is>
      </c>
      <c r="AJ210" s="755" t="n"/>
      <c r="AK210" s="755" t="n"/>
      <c r="AL210" s="740" t="inlineStr">
        <is>
          <t>Yes</t>
        </is>
      </c>
      <c r="AM210" s="740" t="n"/>
      <c r="AN210" s="755" t="n"/>
      <c r="AO210" s="755" t="n"/>
      <c r="AP210" s="740" t="inlineStr">
        <is>
          <t>Pullback</t>
        </is>
      </c>
      <c r="AQ210" s="740" t="inlineStr">
        <is>
          <t>4H</t>
        </is>
      </c>
      <c r="AR210" s="740" t="inlineStr">
        <is>
          <t>No</t>
        </is>
      </c>
      <c r="AS210" s="755" t="n"/>
      <c r="AT210" s="755" t="n"/>
      <c r="AU210" s="755" t="n"/>
      <c r="AV210" s="755" t="n"/>
      <c r="AW210" s="740" t="inlineStr">
        <is>
          <t>trade</t>
        </is>
      </c>
      <c r="AX210" s="756" t="inlineStr">
        <is>
          <t>oanda_export:live:65:68</t>
        </is>
      </c>
    </row>
    <row r="211" ht="15" customHeight="1">
      <c r="A211" s="716" t="inlineStr">
        <is>
          <t>C305</t>
        </is>
      </c>
      <c r="B211" s="717" t="n">
        <v>44994.38125</v>
      </c>
      <c r="C211" s="718" t="n">
        <v>44995.1875</v>
      </c>
      <c r="D211" s="719" t="inlineStr">
        <is>
          <t>BYBIT</t>
        </is>
      </c>
      <c r="E211" s="719" t="inlineStr">
        <is>
          <t>BTCUSDT</t>
        </is>
      </c>
      <c r="F211" s="719" t="inlineStr">
        <is>
          <t>BUY</t>
        </is>
      </c>
      <c r="G211" s="757" t="n">
        <v>0.007</v>
      </c>
      <c r="H211" s="720" t="n">
        <v>21578.3</v>
      </c>
      <c r="I211" s="720" t="n">
        <v>21224</v>
      </c>
      <c r="J211" s="721" t="n">
        <v>21226.2</v>
      </c>
      <c r="K211" s="722" t="n">
        <v>0.01631731878785625</v>
      </c>
      <c r="L211" s="721" t="n">
        <v>22282.5</v>
      </c>
      <c r="M211" s="722" t="n">
        <v>0.03263463757571267</v>
      </c>
      <c r="N211" s="758" t="n">
        <v>0.14976537</v>
      </c>
      <c r="O211" s="724" t="n">
        <v>-2.63073202</v>
      </c>
      <c r="P211" s="725" t="n">
        <v>-0.01081737117725738</v>
      </c>
      <c r="Q211" s="726" t="n">
        <v>-1.0062482249361</v>
      </c>
      <c r="R211" s="727" t="n">
        <v>240.5644007799999</v>
      </c>
      <c r="S211" s="719" t="inlineStr">
        <is>
          <t>19H 21M 0S</t>
        </is>
      </c>
      <c r="T211" s="728" t="n"/>
      <c r="U211" s="729" t="n"/>
      <c r="V211" s="730" t="n"/>
      <c r="W211" s="731" t="n"/>
      <c r="X211" s="732" t="n"/>
      <c r="Y211" s="728" t="n"/>
      <c r="Z211" s="729" t="n"/>
      <c r="AA211" s="730" t="n"/>
      <c r="AB211" s="731" t="n"/>
      <c r="AC211" s="732" t="n"/>
      <c r="AD211" s="719" t="inlineStr">
        <is>
          <t>No</t>
        </is>
      </c>
      <c r="AE211" s="733" t="n"/>
      <c r="AF211" s="733" t="n"/>
      <c r="AG211" s="733" t="n"/>
      <c r="AH211" s="733" t="n"/>
      <c r="AI211" s="719" t="inlineStr">
        <is>
          <t>Limit</t>
        </is>
      </c>
      <c r="AJ211" s="733" t="n"/>
      <c r="AK211" s="733" t="n"/>
      <c r="AL211" s="733" t="n"/>
      <c r="AM211" s="733" t="n"/>
      <c r="AN211" s="733" t="n"/>
      <c r="AO211" s="719" t="n"/>
      <c r="AP211" s="719" t="inlineStr">
        <is>
          <t>Pullback</t>
        </is>
      </c>
      <c r="AQ211" s="719" t="inlineStr">
        <is>
          <t>DAILY</t>
        </is>
      </c>
      <c r="AR211" s="719" t="inlineStr">
        <is>
          <t>No</t>
        </is>
      </c>
      <c r="AS211" s="733" t="n"/>
      <c r="AT211" s="733" t="n"/>
      <c r="AU211" s="733" t="n"/>
      <c r="AV211" s="733" t="n"/>
      <c r="AW211" s="719" t="inlineStr">
        <is>
          <t>trade</t>
        </is>
      </c>
      <c r="AX211" s="734" t="inlineStr">
        <is>
          <t>sig:f1437068956b91f237a04ca3</t>
        </is>
      </c>
    </row>
    <row r="212" ht="15" customHeight="1">
      <c r="A212" s="42" t="n"/>
      <c r="B212" s="770" t="n">
        <v>44989</v>
      </c>
      <c r="C212" s="771" t="n">
        <v>44989</v>
      </c>
      <c r="D212" s="12" t="inlineStr">
        <is>
          <t>OANDA LIVE</t>
        </is>
      </c>
      <c r="E212" s="12" t="inlineStr">
        <is>
          <t>CASHFLOW</t>
        </is>
      </c>
      <c r="F212" s="12" t="inlineStr">
        <is>
          <t>DEPOSIT</t>
        </is>
      </c>
      <c r="G212" s="262" t="n"/>
      <c r="H212" s="262" t="n"/>
      <c r="I212" s="262" t="n"/>
      <c r="J212" s="263" t="n"/>
      <c r="K212" s="36" t="n"/>
      <c r="L212" s="263" t="n"/>
      <c r="M212" s="36" t="n"/>
      <c r="N212" s="779" t="n"/>
      <c r="O212" s="773" t="n"/>
      <c r="P212" s="3" t="n"/>
      <c r="Q212" s="51" t="n"/>
      <c r="R212" s="54" t="n">
        <v>504.22</v>
      </c>
      <c r="S212" s="12" t="n"/>
      <c r="T212" s="774" t="n"/>
      <c r="U212" s="6" t="n"/>
      <c r="V212" s="264" t="n"/>
      <c r="W212" s="9" t="n"/>
      <c r="X212" s="46" t="n"/>
      <c r="Y212" s="774" t="n"/>
      <c r="Z212" s="6" t="n"/>
      <c r="AA212" s="264" t="n"/>
      <c r="AB212" s="9" t="n"/>
      <c r="AC212" s="46" t="n"/>
      <c r="AD212" s="12" t="inlineStr">
        <is>
          <t>No</t>
        </is>
      </c>
      <c r="AE212" s="45" t="n"/>
      <c r="AF212" s="45" t="n"/>
      <c r="AG212" s="45" t="n"/>
      <c r="AH212" s="45" t="n"/>
      <c r="AI212" s="12" t="n"/>
      <c r="AJ212" s="45" t="n"/>
      <c r="AK212" s="45" t="n"/>
      <c r="AL212" s="45" t="n"/>
      <c r="AM212" s="45" t="n"/>
      <c r="AN212" s="45" t="n"/>
      <c r="AO212" s="45" t="n"/>
      <c r="AP212" s="45" t="n"/>
      <c r="AQ212" s="12" t="n"/>
      <c r="AR212" s="45" t="n"/>
      <c r="AS212" s="56" t="inlineStr">
        <is>
          <t>Deposit 300.0 AUD. Source: screenshot_ocr. Imported from account_cashflows.xlsx row 11.</t>
        </is>
      </c>
      <c r="AT212" s="45" t="n"/>
      <c r="AU212" s="12" t="n">
        <v>504.22</v>
      </c>
      <c r="AV212" s="12" t="inlineStr">
        <is>
          <t>AUD</t>
        </is>
      </c>
      <c r="AW212" s="12" t="inlineStr">
        <is>
          <t>cashflow</t>
        </is>
      </c>
      <c r="AX212" s="57" t="inlineStr">
        <is>
          <t>cashflow:OANDA LIVE:2023-03-04T00:00:00:1</t>
        </is>
      </c>
    </row>
    <row r="213" ht="15" customHeight="1">
      <c r="A213" s="716" t="inlineStr">
        <is>
          <t>F964</t>
        </is>
      </c>
      <c r="B213" s="717" t="n">
        <v>44914.79722222222</v>
      </c>
      <c r="C213" s="718" t="n">
        <v>44914.79930555556</v>
      </c>
      <c r="D213" s="719" t="inlineStr">
        <is>
          <t>OANDA DEMO</t>
        </is>
      </c>
      <c r="E213" s="719" t="inlineStr">
        <is>
          <t>GBPUSD</t>
        </is>
      </c>
      <c r="F213" s="719" t="inlineStr">
        <is>
          <t>SELL</t>
        </is>
      </c>
      <c r="G213" s="735" t="n">
        <v>0.0113</v>
      </c>
      <c r="H213" s="720" t="n">
        <v>1.2217</v>
      </c>
      <c r="I213" s="720" t="n">
        <v>1.2229</v>
      </c>
      <c r="J213" s="721" t="n">
        <v>1.2228</v>
      </c>
      <c r="K213" s="760" t="n">
        <v>0.0009003847098306466</v>
      </c>
      <c r="L213" s="721" t="n">
        <v>1.21938</v>
      </c>
      <c r="M213" s="722" t="n">
        <v>0.00189899320618818</v>
      </c>
      <c r="N213" s="788" t="n"/>
      <c r="O213" s="762" t="n">
        <v>-2.01</v>
      </c>
      <c r="P213" s="725" t="n">
        <v>-0.01026988858448235</v>
      </c>
      <c r="Q213" s="726" t="n">
        <v>-1.090909090909073</v>
      </c>
      <c r="R213" s="764" t="n">
        <v>193.7078</v>
      </c>
      <c r="S213" s="719" t="inlineStr">
        <is>
          <t>3M 0S</t>
        </is>
      </c>
      <c r="T213" s="728" t="n"/>
      <c r="U213" s="729" t="n"/>
      <c r="V213" s="730" t="n"/>
      <c r="W213" s="731" t="n"/>
      <c r="X213" s="732" t="n"/>
      <c r="Y213" s="728" t="n"/>
      <c r="Z213" s="729" t="n"/>
      <c r="AA213" s="730" t="n"/>
      <c r="AB213" s="731" t="n"/>
      <c r="AC213" s="732" t="n"/>
      <c r="AD213" s="719" t="inlineStr">
        <is>
          <t>No</t>
        </is>
      </c>
      <c r="AE213" s="733" t="n"/>
      <c r="AF213" s="733" t="n"/>
      <c r="AG213" s="733" t="n"/>
      <c r="AH213" s="733" t="n"/>
      <c r="AI213" s="719" t="inlineStr">
        <is>
          <t>Limit</t>
        </is>
      </c>
      <c r="AJ213" s="733" t="n"/>
      <c r="AK213" s="719" t="inlineStr">
        <is>
          <t>Yes</t>
        </is>
      </c>
      <c r="AL213" s="733" t="n"/>
      <c r="AM213" s="733" t="n"/>
      <c r="AN213" s="733" t="n"/>
      <c r="AO213" s="733" t="n"/>
      <c r="AP213" s="733" t="n"/>
      <c r="AQ213" s="719" t="inlineStr">
        <is>
          <t>1H</t>
        </is>
      </c>
      <c r="AR213" s="733" t="n"/>
      <c r="AS213" s="733" t="n"/>
      <c r="AT213" s="733" t="n"/>
      <c r="AU213" s="733" t="n"/>
      <c r="AV213" s="733" t="n"/>
      <c r="AW213" s="719" t="inlineStr">
        <is>
          <t>trade</t>
        </is>
      </c>
      <c r="AX213" s="734" t="inlineStr">
        <is>
          <t>sig:5bc450da7a7405a4b727df77</t>
        </is>
      </c>
    </row>
    <row r="214" ht="15" customHeight="1">
      <c r="A214" s="42" t="n"/>
      <c r="B214" s="770" t="n">
        <v>44911</v>
      </c>
      <c r="C214" s="771" t="n">
        <v>44911</v>
      </c>
      <c r="D214" s="12" t="inlineStr">
        <is>
          <t>PEPPERSTONE DEMO</t>
        </is>
      </c>
      <c r="E214" s="12" t="inlineStr">
        <is>
          <t>CASHFLOW</t>
        </is>
      </c>
      <c r="F214" s="12" t="inlineStr">
        <is>
          <t>WITHDRAWAL</t>
        </is>
      </c>
      <c r="G214" s="262" t="n"/>
      <c r="H214" s="262" t="n"/>
      <c r="I214" s="262" t="n"/>
      <c r="J214" s="263" t="n"/>
      <c r="K214" s="36" t="n"/>
      <c r="L214" s="263" t="n"/>
      <c r="M214" s="36" t="n"/>
      <c r="N214" s="779" t="n"/>
      <c r="O214" s="773" t="n"/>
      <c r="P214" s="3" t="n"/>
      <c r="Q214" s="51" t="n"/>
      <c r="R214" s="54" t="n">
        <v>0</v>
      </c>
      <c r="S214" s="12" t="n"/>
      <c r="T214" s="774" t="n"/>
      <c r="U214" s="6" t="n"/>
      <c r="V214" s="264" t="n"/>
      <c r="W214" s="9" t="n"/>
      <c r="X214" s="46" t="n"/>
      <c r="Y214" s="774" t="n"/>
      <c r="Z214" s="6" t="n"/>
      <c r="AA214" s="264" t="n"/>
      <c r="AB214" s="9" t="n"/>
      <c r="AC214" s="46" t="n"/>
      <c r="AD214" s="12" t="inlineStr">
        <is>
          <t>No</t>
        </is>
      </c>
      <c r="AE214" s="45" t="n"/>
      <c r="AF214" s="45" t="n"/>
      <c r="AG214" s="45" t="n"/>
      <c r="AH214" s="45" t="n"/>
      <c r="AI214" s="12" t="n"/>
      <c r="AJ214" s="45" t="n"/>
      <c r="AK214" s="45" t="n"/>
      <c r="AL214" s="45" t="n"/>
      <c r="AM214" s="45" t="n"/>
      <c r="AN214" s="45" t="n"/>
      <c r="AO214" s="45" t="n"/>
      <c r="AP214" s="45" t="n"/>
      <c r="AQ214" s="12" t="n"/>
      <c r="AR214" s="45" t="n"/>
      <c r="AS214" s="56" t="inlineStr">
        <is>
          <t>Withdrawal -4.78 AUD. Source: user_txt. Imported from account_cashflows.xlsx row 78.</t>
        </is>
      </c>
      <c r="AT214" s="45" t="n"/>
      <c r="AU214" s="12" t="n">
        <v>0</v>
      </c>
      <c r="AV214" s="12" t="inlineStr">
        <is>
          <t>AUD</t>
        </is>
      </c>
      <c r="AW214" s="12" t="inlineStr">
        <is>
          <t>cashflow</t>
        </is>
      </c>
      <c r="AX214" s="57" t="inlineStr">
        <is>
          <t>cashflow:PEPPERSTONE DEMO:2022-12-16T00:00:00:64</t>
        </is>
      </c>
    </row>
    <row r="215" ht="15" customHeight="1">
      <c r="A215" s="737" t="inlineStr">
        <is>
          <t>F963</t>
        </is>
      </c>
      <c r="B215" s="738" t="n">
        <v>44909.97483796296</v>
      </c>
      <c r="C215" s="739" t="n">
        <v>44910.00351851852</v>
      </c>
      <c r="D215" s="740" t="inlineStr">
        <is>
          <t>PEPPERSTONE DEMO</t>
        </is>
      </c>
      <c r="E215" s="740" t="inlineStr">
        <is>
          <t>NZDJPY</t>
        </is>
      </c>
      <c r="F215" s="740" t="inlineStr">
        <is>
          <t>SELL</t>
        </is>
      </c>
      <c r="G215" s="775" t="n">
        <v>0.01</v>
      </c>
      <c r="H215" s="742" t="n">
        <v>87.105</v>
      </c>
      <c r="I215" s="742" t="n">
        <v>86.95099999999999</v>
      </c>
      <c r="J215" s="743" t="n">
        <v>87.182</v>
      </c>
      <c r="K215" s="765" t="n">
        <v>0.0008839905860742572</v>
      </c>
      <c r="L215" s="743" t="n">
        <v>86.95099999999999</v>
      </c>
      <c r="M215" s="744" t="n">
        <v>0.001767981172148678</v>
      </c>
      <c r="N215" s="766" t="n">
        <v>0.21</v>
      </c>
      <c r="O215" s="767" t="n">
        <v>4.78</v>
      </c>
      <c r="P215" s="747" t="n"/>
      <c r="Q215" s="748" t="n">
        <v>2.000000000000185</v>
      </c>
      <c r="R215" s="769" t="n">
        <v>4.78</v>
      </c>
      <c r="S215" s="740" t="inlineStr">
        <is>
          <t>41M 18S</t>
        </is>
      </c>
      <c r="T215" s="750" t="n"/>
      <c r="U215" s="751" t="n"/>
      <c r="V215" s="752" t="n"/>
      <c r="W215" s="753" t="n"/>
      <c r="X215" s="754" t="n"/>
      <c r="Y215" s="750" t="n"/>
      <c r="Z215" s="751" t="n"/>
      <c r="AA215" s="752" t="n"/>
      <c r="AB215" s="753" t="n"/>
      <c r="AC215" s="754" t="n"/>
      <c r="AD215" s="740" t="inlineStr">
        <is>
          <t>No</t>
        </is>
      </c>
      <c r="AE215" s="755" t="n"/>
      <c r="AF215" s="755" t="n"/>
      <c r="AG215" s="755" t="n"/>
      <c r="AH215" s="755" t="n"/>
      <c r="AI215" s="740" t="inlineStr">
        <is>
          <t>Limit</t>
        </is>
      </c>
      <c r="AJ215" s="755" t="n"/>
      <c r="AK215" s="755" t="n"/>
      <c r="AL215" s="740" t="inlineStr">
        <is>
          <t>Yes</t>
        </is>
      </c>
      <c r="AM215" s="740" t="n"/>
      <c r="AN215" s="755" t="n"/>
      <c r="AO215" s="755" t="n"/>
      <c r="AP215" s="740" t="inlineStr">
        <is>
          <t>Pullback</t>
        </is>
      </c>
      <c r="AQ215" s="740" t="inlineStr">
        <is>
          <t>1H</t>
        </is>
      </c>
      <c r="AR215" s="740" t="inlineStr">
        <is>
          <t>No</t>
        </is>
      </c>
      <c r="AS215" s="755" t="n"/>
      <c r="AT215" s="755" t="n"/>
      <c r="AU215" s="755" t="n"/>
      <c r="AV215" s="755" t="n"/>
      <c r="AW215" s="740" t="inlineStr">
        <is>
          <t>trade</t>
        </is>
      </c>
      <c r="AX215" s="756" t="inlineStr">
        <is>
          <t>sig:935cabdc398c008e58315a93</t>
        </is>
      </c>
    </row>
    <row r="216" ht="15" customHeight="1">
      <c r="A216" s="716" t="inlineStr">
        <is>
          <t>F962</t>
        </is>
      </c>
      <c r="B216" s="717" t="n">
        <v>44908.24305555555</v>
      </c>
      <c r="C216" s="718" t="n">
        <v>44908.24583333333</v>
      </c>
      <c r="D216" s="719" t="inlineStr">
        <is>
          <t>OANDA DEMO</t>
        </is>
      </c>
      <c r="E216" s="719" t="inlineStr">
        <is>
          <t>AUDJPY</t>
        </is>
      </c>
      <c r="F216" s="719" t="inlineStr">
        <is>
          <t>SELL</t>
        </is>
      </c>
      <c r="G216" s="735" t="n">
        <v>0.03475</v>
      </c>
      <c r="H216" s="720" t="n">
        <v>92.867</v>
      </c>
      <c r="I216" s="720" t="n">
        <v>92.919</v>
      </c>
      <c r="J216" s="721" t="n">
        <v>92.91800000000001</v>
      </c>
      <c r="K216" s="760" t="n">
        <v>0.0005491724724606365</v>
      </c>
      <c r="L216" s="721" t="n">
        <v>92.736</v>
      </c>
      <c r="M216" s="722" t="n">
        <v>0.001410619488085113</v>
      </c>
      <c r="N216" s="788" t="n"/>
      <c r="O216" s="762" t="n">
        <v>-1.95</v>
      </c>
      <c r="P216" s="725" t="n">
        <v>-0.009865036186976331</v>
      </c>
      <c r="Q216" s="726" t="n">
        <v>-1.019607843137069</v>
      </c>
      <c r="R216" s="764" t="n">
        <v>195.7178</v>
      </c>
      <c r="S216" s="719" t="inlineStr">
        <is>
          <t>4M 0S</t>
        </is>
      </c>
      <c r="T216" s="728" t="n"/>
      <c r="U216" s="729" t="n"/>
      <c r="V216" s="730" t="n"/>
      <c r="W216" s="731" t="n"/>
      <c r="X216" s="732" t="n"/>
      <c r="Y216" s="728" t="n"/>
      <c r="Z216" s="729" t="n"/>
      <c r="AA216" s="730" t="n"/>
      <c r="AB216" s="731" t="n"/>
      <c r="AC216" s="732" t="n"/>
      <c r="AD216" s="719" t="inlineStr">
        <is>
          <t>No</t>
        </is>
      </c>
      <c r="AE216" s="733" t="n"/>
      <c r="AF216" s="733" t="n"/>
      <c r="AG216" s="733" t="n"/>
      <c r="AH216" s="733" t="n"/>
      <c r="AI216" s="719" t="inlineStr">
        <is>
          <t>Limit</t>
        </is>
      </c>
      <c r="AJ216" s="733" t="n"/>
      <c r="AK216" s="733" t="n"/>
      <c r="AL216" s="733" t="n"/>
      <c r="AM216" s="719" t="n"/>
      <c r="AN216" s="733" t="n"/>
      <c r="AO216" s="733" t="n"/>
      <c r="AP216" s="733" t="n"/>
      <c r="AQ216" s="719" t="inlineStr">
        <is>
          <t>15MIN</t>
        </is>
      </c>
      <c r="AR216" s="733" t="n"/>
      <c r="AS216" s="733" t="n"/>
      <c r="AT216" s="733" t="n"/>
      <c r="AU216" s="733" t="n"/>
      <c r="AV216" s="733" t="n"/>
      <c r="AW216" s="719" t="inlineStr">
        <is>
          <t>trade</t>
        </is>
      </c>
      <c r="AX216" s="734" t="inlineStr">
        <is>
          <t>sig:9a1c462b4fc921fca5775712</t>
        </is>
      </c>
    </row>
    <row r="217" ht="15" customHeight="1">
      <c r="A217" s="716" t="inlineStr">
        <is>
          <t>F961</t>
        </is>
      </c>
      <c r="B217" s="717" t="n">
        <v>44897.77638888889</v>
      </c>
      <c r="C217" s="718" t="n">
        <v>44897.77777777778</v>
      </c>
      <c r="D217" s="719" t="inlineStr">
        <is>
          <t>OANDA DEMO</t>
        </is>
      </c>
      <c r="E217" s="719" t="inlineStr">
        <is>
          <t>CHFJPY</t>
        </is>
      </c>
      <c r="F217" s="719" t="inlineStr">
        <is>
          <t>BUY</t>
        </is>
      </c>
      <c r="G217" s="757" t="n">
        <v>0.008880000000000001</v>
      </c>
      <c r="H217" s="720" t="n">
        <v>143.666</v>
      </c>
      <c r="I217" s="720" t="n">
        <v>143.462</v>
      </c>
      <c r="J217" s="721" t="n">
        <v>143.462</v>
      </c>
      <c r="K217" s="722" t="n">
        <v>0.001419960185430149</v>
      </c>
      <c r="L217" s="721" t="n">
        <v>144.08</v>
      </c>
      <c r="M217" s="722" t="n">
        <v>0.00288168390572589</v>
      </c>
      <c r="N217" s="788" t="n"/>
      <c r="O217" s="762" t="n">
        <v>-1.99</v>
      </c>
      <c r="P217" s="725" t="n">
        <v>-0.009967053628758805</v>
      </c>
      <c r="Q217" s="726" t="n">
        <v>-1</v>
      </c>
      <c r="R217" s="764" t="n">
        <v>197.6678</v>
      </c>
      <c r="S217" s="719" t="inlineStr">
        <is>
          <t>2M 0S</t>
        </is>
      </c>
      <c r="T217" s="728" t="n"/>
      <c r="U217" s="729" t="n"/>
      <c r="V217" s="730" t="n"/>
      <c r="W217" s="731" t="n"/>
      <c r="X217" s="732" t="n"/>
      <c r="Y217" s="728" t="n"/>
      <c r="Z217" s="729" t="n"/>
      <c r="AA217" s="730" t="n"/>
      <c r="AB217" s="731" t="n"/>
      <c r="AC217" s="732" t="n"/>
      <c r="AD217" s="719" t="inlineStr">
        <is>
          <t>No</t>
        </is>
      </c>
      <c r="AE217" s="733" t="n"/>
      <c r="AF217" s="733" t="n"/>
      <c r="AG217" s="733" t="n"/>
      <c r="AH217" s="733" t="n"/>
      <c r="AI217" s="719" t="inlineStr">
        <is>
          <t>Limit</t>
        </is>
      </c>
      <c r="AJ217" s="733" t="n"/>
      <c r="AK217" s="733" t="n"/>
      <c r="AL217" s="719" t="n"/>
      <c r="AM217" s="733" t="n"/>
      <c r="AN217" s="733" t="n"/>
      <c r="AO217" s="733" t="n"/>
      <c r="AP217" s="733" t="n"/>
      <c r="AQ217" s="719" t="inlineStr">
        <is>
          <t>DAILY</t>
        </is>
      </c>
      <c r="AR217" s="733" t="n"/>
      <c r="AS217" s="733" t="n"/>
      <c r="AT217" s="733" t="n"/>
      <c r="AU217" s="733" t="n"/>
      <c r="AV217" s="733" t="n"/>
      <c r="AW217" s="719" t="inlineStr">
        <is>
          <t>trade</t>
        </is>
      </c>
      <c r="AX217" s="734" t="inlineStr">
        <is>
          <t>sig:2ba459d2a63a4866f149d63f</t>
        </is>
      </c>
    </row>
    <row r="218" ht="15" customHeight="1">
      <c r="A218" s="737" t="inlineStr">
        <is>
          <t>F960</t>
        </is>
      </c>
      <c r="B218" s="738" t="n">
        <v>44894.85138888889</v>
      </c>
      <c r="C218" s="739" t="n">
        <v>44894.875</v>
      </c>
      <c r="D218" s="740" t="inlineStr">
        <is>
          <t>OANDA DEMO</t>
        </is>
      </c>
      <c r="E218" s="740" t="inlineStr">
        <is>
          <t>AUDCHF</t>
        </is>
      </c>
      <c r="F218" s="740" t="inlineStr">
        <is>
          <t>SELL</t>
        </is>
      </c>
      <c r="G218" s="775" t="n">
        <v>0.02417</v>
      </c>
      <c r="H218" s="742" t="n">
        <v>0.64057</v>
      </c>
      <c r="I218" s="742" t="n">
        <v>0.63928</v>
      </c>
      <c r="J218" s="743" t="n">
        <v>0.64108</v>
      </c>
      <c r="K218" s="765" t="n">
        <v>0.000796165914732208</v>
      </c>
      <c r="L218" s="743" t="n">
        <v>0.63929</v>
      </c>
      <c r="M218" s="744" t="n">
        <v>0.001998220335014047</v>
      </c>
      <c r="N218" s="796" t="n"/>
      <c r="O218" s="767" t="n">
        <v>4.85</v>
      </c>
      <c r="P218" s="747" t="n">
        <v>0.02489633371969705</v>
      </c>
      <c r="Q218" s="748" t="n">
        <v>2.529411764705857</v>
      </c>
      <c r="R218" s="769" t="n">
        <v>199.6578</v>
      </c>
      <c r="S218" s="740" t="inlineStr">
        <is>
          <t>34M 0S</t>
        </is>
      </c>
      <c r="T218" s="750" t="n"/>
      <c r="U218" s="751" t="n"/>
      <c r="V218" s="752" t="n"/>
      <c r="W218" s="753" t="n"/>
      <c r="X218" s="754" t="n"/>
      <c r="Y218" s="750" t="n"/>
      <c r="Z218" s="751" t="n"/>
      <c r="AA218" s="752" t="n"/>
      <c r="AB218" s="753" t="n"/>
      <c r="AC218" s="754" t="n"/>
      <c r="AD218" s="740" t="inlineStr">
        <is>
          <t>No</t>
        </is>
      </c>
      <c r="AE218" s="755" t="n"/>
      <c r="AF218" s="755" t="n"/>
      <c r="AG218" s="755" t="n"/>
      <c r="AH218" s="755" t="n"/>
      <c r="AI218" s="740" t="inlineStr">
        <is>
          <t>Limit</t>
        </is>
      </c>
      <c r="AJ218" s="755" t="n"/>
      <c r="AK218" s="740" t="n"/>
      <c r="AL218" s="755" t="n"/>
      <c r="AM218" s="740" t="inlineStr">
        <is>
          <t>Yes</t>
        </is>
      </c>
      <c r="AN218" s="755" t="n"/>
      <c r="AO218" s="755" t="n"/>
      <c r="AP218" s="755" t="n"/>
      <c r="AQ218" s="740" t="inlineStr">
        <is>
          <t>4H</t>
        </is>
      </c>
      <c r="AR218" s="755" t="n"/>
      <c r="AS218" s="755" t="n"/>
      <c r="AT218" s="755" t="n"/>
      <c r="AU218" s="755" t="n"/>
      <c r="AV218" s="755" t="n"/>
      <c r="AW218" s="740" t="inlineStr">
        <is>
          <t>trade</t>
        </is>
      </c>
      <c r="AX218" s="756" t="inlineStr">
        <is>
          <t>sig:8a993b4c96838bda48b8688d</t>
        </is>
      </c>
    </row>
    <row r="219" ht="15" customHeight="1">
      <c r="A219" s="737" t="inlineStr">
        <is>
          <t>F959</t>
        </is>
      </c>
      <c r="B219" s="738" t="n">
        <v>44889.91597222222</v>
      </c>
      <c r="C219" s="739" t="n">
        <v>44890.18125</v>
      </c>
      <c r="D219" s="740" t="inlineStr">
        <is>
          <t>OANDA DEMO</t>
        </is>
      </c>
      <c r="E219" s="740" t="inlineStr">
        <is>
          <t>EURGBP</t>
        </is>
      </c>
      <c r="F219" s="740" t="inlineStr">
        <is>
          <t>BUY</t>
        </is>
      </c>
      <c r="G219" s="741" t="n">
        <v>0.00695</v>
      </c>
      <c r="H219" s="742" t="n">
        <v>0.85792</v>
      </c>
      <c r="I219" s="742" t="n">
        <v>0.85875</v>
      </c>
      <c r="J219" s="743" t="n">
        <v>0.85637</v>
      </c>
      <c r="K219" s="744" t="n">
        <v>0.001806695262961641</v>
      </c>
      <c r="L219" s="743" t="n">
        <v>0.8618</v>
      </c>
      <c r="M219" s="744" t="n">
        <v>0.004522566206639308</v>
      </c>
      <c r="N219" s="796" t="n"/>
      <c r="O219" s="767" t="n">
        <v>1.03</v>
      </c>
      <c r="P219" s="747" t="n">
        <v>0.005315366362916702</v>
      </c>
      <c r="Q219" s="748" t="n">
        <v>0.5354838709677225</v>
      </c>
      <c r="R219" s="769" t="n">
        <v>194.8078</v>
      </c>
      <c r="S219" s="740" t="inlineStr">
        <is>
          <t>6H 22M 0S</t>
        </is>
      </c>
      <c r="T219" s="750" t="n"/>
      <c r="U219" s="751" t="n"/>
      <c r="V219" s="752" t="n"/>
      <c r="W219" s="753" t="n"/>
      <c r="X219" s="754" t="n"/>
      <c r="Y219" s="750" t="n"/>
      <c r="Z219" s="751" t="n"/>
      <c r="AA219" s="752" t="n"/>
      <c r="AB219" s="753" t="n"/>
      <c r="AC219" s="754" t="n"/>
      <c r="AD219" s="740" t="inlineStr">
        <is>
          <t>No</t>
        </is>
      </c>
      <c r="AE219" s="755" t="n"/>
      <c r="AF219" s="755" t="n"/>
      <c r="AG219" s="755" t="n"/>
      <c r="AH219" s="755" t="n"/>
      <c r="AI219" s="740" t="inlineStr">
        <is>
          <t>Limit</t>
        </is>
      </c>
      <c r="AJ219" s="755" t="n"/>
      <c r="AK219" s="755" t="n"/>
      <c r="AL219" s="755" t="n"/>
      <c r="AM219" s="755" t="n"/>
      <c r="AN219" s="755" t="n"/>
      <c r="AO219" s="740" t="inlineStr">
        <is>
          <t>Yes</t>
        </is>
      </c>
      <c r="AP219" s="755" t="n"/>
      <c r="AQ219" s="740" t="inlineStr">
        <is>
          <t>DAILY</t>
        </is>
      </c>
      <c r="AR219" s="755" t="n"/>
      <c r="AS219" s="755" t="n"/>
      <c r="AT219" s="755" t="n"/>
      <c r="AU219" s="755" t="n"/>
      <c r="AV219" s="755" t="n"/>
      <c r="AW219" s="740" t="inlineStr">
        <is>
          <t>trade</t>
        </is>
      </c>
      <c r="AX219" s="756" t="inlineStr">
        <is>
          <t>sig:f5fd90fcd517d31b7a6bae06</t>
        </is>
      </c>
    </row>
    <row r="220" ht="15" customHeight="1">
      <c r="A220" s="716" t="inlineStr">
        <is>
          <t>F958</t>
        </is>
      </c>
      <c r="B220" s="717" t="n">
        <v>44889.07430555556</v>
      </c>
      <c r="C220" s="718" t="n">
        <v>44889.49583333333</v>
      </c>
      <c r="D220" s="719" t="inlineStr">
        <is>
          <t>OANDA DEMO</t>
        </is>
      </c>
      <c r="E220" s="719" t="inlineStr">
        <is>
          <t>CADJPY</t>
        </is>
      </c>
      <c r="F220" s="719" t="inlineStr">
        <is>
          <t>BUY</t>
        </is>
      </c>
      <c r="G220" s="757" t="n">
        <v>0.00435</v>
      </c>
      <c r="H220" s="720" t="n">
        <v>104.425</v>
      </c>
      <c r="I220" s="720" t="n">
        <v>104.007</v>
      </c>
      <c r="J220" s="721" t="n">
        <v>104.008</v>
      </c>
      <c r="K220" s="722" t="n">
        <v>0.003993296624371574</v>
      </c>
      <c r="L220" s="721" t="n">
        <v>105.468</v>
      </c>
      <c r="M220" s="722" t="n">
        <v>0.009988029686377844</v>
      </c>
      <c r="N220" s="788" t="n"/>
      <c r="O220" s="762" t="n">
        <v>-1.92</v>
      </c>
      <c r="P220" s="725" t="n">
        <v>-0.009811045397546625</v>
      </c>
      <c r="Q220" s="726" t="n">
        <v>-1.00239808153475</v>
      </c>
      <c r="R220" s="764" t="n">
        <v>193.7778</v>
      </c>
      <c r="S220" s="719" t="inlineStr">
        <is>
          <t>10H 7M 0S</t>
        </is>
      </c>
      <c r="T220" s="728" t="n"/>
      <c r="U220" s="729" t="n"/>
      <c r="V220" s="730" t="n"/>
      <c r="W220" s="731" t="n"/>
      <c r="X220" s="732" t="n"/>
      <c r="Y220" s="728" t="n"/>
      <c r="Z220" s="729" t="n"/>
      <c r="AA220" s="730" t="n"/>
      <c r="AB220" s="731" t="n"/>
      <c r="AC220" s="732" t="n"/>
      <c r="AD220" s="719" t="inlineStr">
        <is>
          <t>No</t>
        </is>
      </c>
      <c r="AE220" s="733" t="n"/>
      <c r="AF220" s="733" t="n"/>
      <c r="AG220" s="733" t="n"/>
      <c r="AH220" s="733" t="n"/>
      <c r="AI220" s="719" t="inlineStr">
        <is>
          <t>Limit</t>
        </is>
      </c>
      <c r="AJ220" s="733" t="n"/>
      <c r="AK220" s="733" t="n"/>
      <c r="AL220" s="733" t="n"/>
      <c r="AM220" s="733" t="n"/>
      <c r="AN220" s="733" t="n"/>
      <c r="AO220" s="733" t="n"/>
      <c r="AP220" s="733" t="n"/>
      <c r="AQ220" s="719" t="inlineStr">
        <is>
          <t>4H</t>
        </is>
      </c>
      <c r="AR220" s="733" t="n"/>
      <c r="AS220" s="733" t="n"/>
      <c r="AT220" s="733" t="n"/>
      <c r="AU220" s="733" t="n"/>
      <c r="AV220" s="733" t="n"/>
      <c r="AW220" s="719" t="inlineStr">
        <is>
          <t>trade</t>
        </is>
      </c>
      <c r="AX220" s="734" t="inlineStr">
        <is>
          <t>sig:0439a0ec20e6b9e292f8315a</t>
        </is>
      </c>
    </row>
    <row r="221" ht="15" customHeight="1">
      <c r="A221" s="716" t="inlineStr">
        <is>
          <t>F957</t>
        </is>
      </c>
      <c r="B221" s="717" t="n">
        <v>44883.92638888889</v>
      </c>
      <c r="C221" s="718" t="n">
        <v>44883.97569444445</v>
      </c>
      <c r="D221" s="719" t="inlineStr">
        <is>
          <t>OANDA DEMO</t>
        </is>
      </c>
      <c r="E221" s="719" t="inlineStr">
        <is>
          <t>NZDCAD</t>
        </is>
      </c>
      <c r="F221" s="719" t="inlineStr">
        <is>
          <t>SELL</t>
        </is>
      </c>
      <c r="G221" s="757" t="n">
        <v>0.00723</v>
      </c>
      <c r="H221" s="720" t="n">
        <v>0.82499</v>
      </c>
      <c r="I221" s="720" t="n">
        <v>0.82738</v>
      </c>
      <c r="J221" s="721" t="n">
        <v>0.82738</v>
      </c>
      <c r="K221" s="722" t="n">
        <v>0.002897004812179545</v>
      </c>
      <c r="L221" s="721" t="n">
        <v>0.82012</v>
      </c>
      <c r="M221" s="722" t="n">
        <v>0.00590310185578012</v>
      </c>
      <c r="N221" s="788" t="n"/>
      <c r="O221" s="762" t="n">
        <v>-1.93</v>
      </c>
      <c r="P221" s="725" t="n">
        <v>-0.009765832539754021</v>
      </c>
      <c r="Q221" s="726" t="n">
        <v>-1</v>
      </c>
      <c r="R221" s="764" t="n">
        <v>195.6978</v>
      </c>
      <c r="S221" s="719" t="inlineStr">
        <is>
          <t>1H 11M 0S</t>
        </is>
      </c>
      <c r="T221" s="728" t="n"/>
      <c r="U221" s="729" t="n"/>
      <c r="V221" s="730" t="n"/>
      <c r="W221" s="731" t="n"/>
      <c r="X221" s="732" t="n"/>
      <c r="Y221" s="728" t="n"/>
      <c r="Z221" s="729" t="n"/>
      <c r="AA221" s="730" t="n"/>
      <c r="AB221" s="731" t="n"/>
      <c r="AC221" s="732" t="n"/>
      <c r="AD221" s="719" t="inlineStr">
        <is>
          <t>No</t>
        </is>
      </c>
      <c r="AE221" s="733" t="n"/>
      <c r="AF221" s="733" t="n"/>
      <c r="AG221" s="733" t="n"/>
      <c r="AH221" s="733" t="n"/>
      <c r="AI221" s="719" t="inlineStr">
        <is>
          <t>Limit</t>
        </is>
      </c>
      <c r="AJ221" s="733" t="n"/>
      <c r="AK221" s="719" t="inlineStr">
        <is>
          <t>Yes</t>
        </is>
      </c>
      <c r="AL221" s="733" t="n"/>
      <c r="AM221" s="733" t="n"/>
      <c r="AN221" s="733" t="n"/>
      <c r="AO221" s="733" t="n"/>
      <c r="AP221" s="733" t="n"/>
      <c r="AQ221" s="719" t="inlineStr">
        <is>
          <t>WEEKLY</t>
        </is>
      </c>
      <c r="AR221" s="733" t="n"/>
      <c r="AS221" s="733" t="n"/>
      <c r="AT221" s="733" t="n"/>
      <c r="AU221" s="733" t="n"/>
      <c r="AV221" s="733" t="n"/>
      <c r="AW221" s="719" t="inlineStr">
        <is>
          <t>trade</t>
        </is>
      </c>
      <c r="AX221" s="734" t="inlineStr">
        <is>
          <t>sig:6088b2c109543bbb10f44639</t>
        </is>
      </c>
    </row>
    <row r="222" ht="15" customHeight="1">
      <c r="A222" s="737" t="inlineStr">
        <is>
          <t>F956</t>
        </is>
      </c>
      <c r="B222" s="738" t="n">
        <v>44880.98333333333</v>
      </c>
      <c r="C222" s="739" t="n">
        <v>44881.01458333333</v>
      </c>
      <c r="D222" s="740" t="inlineStr">
        <is>
          <t>OANDA DEMO</t>
        </is>
      </c>
      <c r="E222" s="740" t="inlineStr">
        <is>
          <t>USDCHF</t>
        </is>
      </c>
      <c r="F222" s="740" t="inlineStr">
        <is>
          <t>BUY</t>
        </is>
      </c>
      <c r="G222" s="741" t="n">
        <v>0.00319</v>
      </c>
      <c r="H222" s="742" t="n">
        <v>0.93684</v>
      </c>
      <c r="I222" s="742" t="n">
        <v>0.94471</v>
      </c>
      <c r="J222" s="743" t="n">
        <v>0.93306</v>
      </c>
      <c r="K222" s="744" t="n">
        <v>0.004034840527731529</v>
      </c>
      <c r="L222" s="743" t="n">
        <v>0.9447</v>
      </c>
      <c r="M222" s="744" t="n">
        <v>0.008389906494171874</v>
      </c>
      <c r="N222" s="796" t="n"/>
      <c r="O222" s="767" t="n">
        <v>3.93</v>
      </c>
      <c r="P222" s="747" t="n">
        <v>0.02028933730790954</v>
      </c>
      <c r="Q222" s="748" t="n">
        <v>2.08201058201059</v>
      </c>
      <c r="R222" s="769" t="n">
        <v>197.6278</v>
      </c>
      <c r="S222" s="740" t="inlineStr">
        <is>
          <t>45M 0S</t>
        </is>
      </c>
      <c r="T222" s="750" t="n"/>
      <c r="U222" s="751" t="n"/>
      <c r="V222" s="752" t="n"/>
      <c r="W222" s="753" t="n"/>
      <c r="X222" s="754" t="n"/>
      <c r="Y222" s="750" t="n"/>
      <c r="Z222" s="751" t="n"/>
      <c r="AA222" s="752" t="n"/>
      <c r="AB222" s="753" t="n"/>
      <c r="AC222" s="754" t="n"/>
      <c r="AD222" s="740" t="inlineStr">
        <is>
          <t>No</t>
        </is>
      </c>
      <c r="AE222" s="755" t="n"/>
      <c r="AF222" s="755" t="n"/>
      <c r="AG222" s="755" t="n"/>
      <c r="AH222" s="755" t="n"/>
      <c r="AI222" s="740" t="inlineStr">
        <is>
          <t>Limit</t>
        </is>
      </c>
      <c r="AJ222" s="755" t="n"/>
      <c r="AK222" s="755" t="n"/>
      <c r="AL222" s="755" t="n"/>
      <c r="AM222" s="740" t="n"/>
      <c r="AN222" s="755" t="n"/>
      <c r="AO222" s="755" t="n"/>
      <c r="AP222" s="755" t="n"/>
      <c r="AQ222" s="740" t="inlineStr">
        <is>
          <t>WEEKLY</t>
        </is>
      </c>
      <c r="AR222" s="755" t="n"/>
      <c r="AS222" s="755" t="n"/>
      <c r="AT222" s="755" t="n"/>
      <c r="AU222" s="755" t="n"/>
      <c r="AV222" s="755" t="n"/>
      <c r="AW222" s="740" t="inlineStr">
        <is>
          <t>trade</t>
        </is>
      </c>
      <c r="AX222" s="756" t="inlineStr">
        <is>
          <t>sig:eabf258bc7b3802f848e2db2</t>
        </is>
      </c>
    </row>
    <row r="223" ht="15" customHeight="1">
      <c r="A223" s="716" t="inlineStr">
        <is>
          <t>F955</t>
        </is>
      </c>
      <c r="B223" s="717" t="n">
        <v>44880.21388888889</v>
      </c>
      <c r="C223" s="718" t="n">
        <v>44880.84861111111</v>
      </c>
      <c r="D223" s="719" t="inlineStr">
        <is>
          <t>OANDA DEMO</t>
        </is>
      </c>
      <c r="E223" s="719" t="inlineStr">
        <is>
          <t>EURCAD</t>
        </is>
      </c>
      <c r="F223" s="719" t="inlineStr">
        <is>
          <t>SELL</t>
        </is>
      </c>
      <c r="G223" s="757" t="n">
        <v>0.00283</v>
      </c>
      <c r="H223" s="720" t="n">
        <v>1.37612</v>
      </c>
      <c r="I223" s="720" t="n">
        <v>1.38209</v>
      </c>
      <c r="J223" s="721" t="n">
        <v>1.38208</v>
      </c>
      <c r="K223" s="722" t="n">
        <v>0.004331017643810108</v>
      </c>
      <c r="L223" s="721" t="n">
        <v>1.36417</v>
      </c>
      <c r="M223" s="722" t="n">
        <v>0.008683835712001792</v>
      </c>
      <c r="N223" s="788" t="n"/>
      <c r="O223" s="762" t="n">
        <v>-1.9</v>
      </c>
      <c r="P223" s="725" t="n">
        <v>-0.009713810687032266</v>
      </c>
      <c r="Q223" s="726" t="n">
        <v>-1.001677852349004</v>
      </c>
      <c r="R223" s="764" t="n">
        <v>193.6978</v>
      </c>
      <c r="S223" s="719" t="inlineStr">
        <is>
          <t>15H 14M 0S</t>
        </is>
      </c>
      <c r="T223" s="728" t="n"/>
      <c r="U223" s="729" t="n"/>
      <c r="V223" s="730" t="n"/>
      <c r="W223" s="731" t="n"/>
      <c r="X223" s="732" t="n"/>
      <c r="Y223" s="728" t="n"/>
      <c r="Z223" s="729" t="n"/>
      <c r="AA223" s="730" t="n"/>
      <c r="AB223" s="731" t="n"/>
      <c r="AC223" s="732" t="n"/>
      <c r="AD223" s="719" t="inlineStr">
        <is>
          <t>No</t>
        </is>
      </c>
      <c r="AE223" s="733" t="n"/>
      <c r="AF223" s="733" t="n"/>
      <c r="AG223" s="733" t="n"/>
      <c r="AH223" s="733" t="n"/>
      <c r="AI223" s="719" t="inlineStr">
        <is>
          <t>Limit</t>
        </is>
      </c>
      <c r="AJ223" s="733" t="n"/>
      <c r="AK223" s="733" t="n"/>
      <c r="AL223" s="719" t="n"/>
      <c r="AM223" s="719" t="inlineStr">
        <is>
          <t>Yes</t>
        </is>
      </c>
      <c r="AN223" s="733" t="n"/>
      <c r="AO223" s="733" t="n"/>
      <c r="AP223" s="733" t="n"/>
      <c r="AQ223" s="719" t="inlineStr">
        <is>
          <t>DAILY</t>
        </is>
      </c>
      <c r="AR223" s="733" t="n"/>
      <c r="AS223" s="733" t="n"/>
      <c r="AT223" s="733" t="n"/>
      <c r="AU223" s="733" t="n"/>
      <c r="AV223" s="733" t="n"/>
      <c r="AW223" s="719" t="inlineStr">
        <is>
          <t>trade</t>
        </is>
      </c>
      <c r="AX223" s="734" t="inlineStr">
        <is>
          <t>sig:21e172306a07e8921dbb467b</t>
        </is>
      </c>
    </row>
    <row r="224" ht="15" customHeight="1">
      <c r="A224" s="716" t="inlineStr">
        <is>
          <t>F954</t>
        </is>
      </c>
      <c r="B224" s="717" t="n">
        <v>44877.23541666667</v>
      </c>
      <c r="C224" s="718" t="n">
        <v>44880.73055555556</v>
      </c>
      <c r="D224" s="719" t="inlineStr">
        <is>
          <t>OANDA DEMO</t>
        </is>
      </c>
      <c r="E224" s="719" t="inlineStr">
        <is>
          <t>EURUSD</t>
        </is>
      </c>
      <c r="F224" s="719" t="inlineStr">
        <is>
          <t>SELL</t>
        </is>
      </c>
      <c r="G224" s="757" t="n">
        <v>0.00411</v>
      </c>
      <c r="H224" s="720" t="n">
        <v>1.03627</v>
      </c>
      <c r="I224" s="720" t="n">
        <v>1.03946</v>
      </c>
      <c r="J224" s="721" t="n">
        <v>1.03944</v>
      </c>
      <c r="K224" s="722" t="n">
        <v>0.003059048317523324</v>
      </c>
      <c r="L224" s="721" t="n">
        <v>1.02676</v>
      </c>
      <c r="M224" s="722" t="n">
        <v>0.009177144952570401</v>
      </c>
      <c r="N224" s="788" t="n"/>
      <c r="O224" s="762" t="n">
        <v>-1.88</v>
      </c>
      <c r="P224" s="725" t="n">
        <v>-0.009520057444431728</v>
      </c>
      <c r="Q224" s="726" t="n">
        <v>-1.006309148265026</v>
      </c>
      <c r="R224" s="764" t="n">
        <v>195.5978</v>
      </c>
      <c r="S224" s="719" t="inlineStr">
        <is>
          <t>3D 11H 53M 0S</t>
        </is>
      </c>
      <c r="T224" s="728" t="n"/>
      <c r="U224" s="729" t="n"/>
      <c r="V224" s="730" t="n"/>
      <c r="W224" s="731" t="n"/>
      <c r="X224" s="732" t="n"/>
      <c r="Y224" s="728" t="n"/>
      <c r="Z224" s="729" t="n"/>
      <c r="AA224" s="730" t="n"/>
      <c r="AB224" s="731" t="n"/>
      <c r="AC224" s="732" t="n"/>
      <c r="AD224" s="719" t="inlineStr">
        <is>
          <t>No</t>
        </is>
      </c>
      <c r="AE224" s="733" t="n"/>
      <c r="AF224" s="733" t="n"/>
      <c r="AG224" s="733" t="n"/>
      <c r="AH224" s="733" t="n"/>
      <c r="AI224" s="719" t="inlineStr">
        <is>
          <t>Limit</t>
        </is>
      </c>
      <c r="AJ224" s="733" t="n"/>
      <c r="AK224" s="733" t="n"/>
      <c r="AL224" s="733" t="n"/>
      <c r="AM224" s="719" t="inlineStr">
        <is>
          <t>Yes</t>
        </is>
      </c>
      <c r="AN224" s="733" t="n"/>
      <c r="AO224" s="733" t="n"/>
      <c r="AP224" s="733" t="n"/>
      <c r="AQ224" s="719" t="inlineStr">
        <is>
          <t>DAILY</t>
        </is>
      </c>
      <c r="AR224" s="733" t="n"/>
      <c r="AS224" s="733" t="n"/>
      <c r="AT224" s="733" t="n"/>
      <c r="AU224" s="733" t="n"/>
      <c r="AV224" s="733" t="n"/>
      <c r="AW224" s="719" t="inlineStr">
        <is>
          <t>trade</t>
        </is>
      </c>
      <c r="AX224" s="734" t="inlineStr">
        <is>
          <t>sig:5b571b4ef4b1e61ec61b69ef</t>
        </is>
      </c>
    </row>
    <row r="225" ht="15" customHeight="1">
      <c r="A225" s="737" t="inlineStr">
        <is>
          <t>F953</t>
        </is>
      </c>
      <c r="B225" s="738" t="n">
        <v>44875.72708333333</v>
      </c>
      <c r="C225" s="739" t="n">
        <v>44875.77638888889</v>
      </c>
      <c r="D225" s="740" t="inlineStr">
        <is>
          <t>OANDA DEMO</t>
        </is>
      </c>
      <c r="E225" s="740" t="inlineStr">
        <is>
          <t>USDCAD</t>
        </is>
      </c>
      <c r="F225" s="740" t="inlineStr">
        <is>
          <t>SELL</t>
        </is>
      </c>
      <c r="G225" s="775" t="n">
        <v>0.01184</v>
      </c>
      <c r="H225" s="742" t="n">
        <v>1.35495</v>
      </c>
      <c r="I225" s="742" t="n">
        <v>1.35206</v>
      </c>
      <c r="J225" s="743" t="n">
        <v>1.35638</v>
      </c>
      <c r="K225" s="744" t="n">
        <v>0.001055389497767313</v>
      </c>
      <c r="L225" s="743" t="n">
        <v>1.35206</v>
      </c>
      <c r="M225" s="744" t="n">
        <v>0.002132920033949636</v>
      </c>
      <c r="N225" s="796" t="n"/>
      <c r="O225" s="767" t="n">
        <v>3.92</v>
      </c>
      <c r="P225" s="747" t="n">
        <v>0.0202523483941231</v>
      </c>
      <c r="Q225" s="748" t="n">
        <v>2.020979020979316</v>
      </c>
      <c r="R225" s="769" t="n">
        <v>197.4778</v>
      </c>
      <c r="S225" s="740" t="inlineStr">
        <is>
          <t>1H 11M 0S</t>
        </is>
      </c>
      <c r="T225" s="750" t="n"/>
      <c r="U225" s="751" t="n"/>
      <c r="V225" s="752" t="n"/>
      <c r="W225" s="753" t="n"/>
      <c r="X225" s="754" t="n"/>
      <c r="Y225" s="750" t="n"/>
      <c r="Z225" s="751" t="n"/>
      <c r="AA225" s="752" t="n"/>
      <c r="AB225" s="753" t="n"/>
      <c r="AC225" s="754" t="n"/>
      <c r="AD225" s="740" t="inlineStr">
        <is>
          <t>No</t>
        </is>
      </c>
      <c r="AE225" s="755" t="n"/>
      <c r="AF225" s="755" t="n"/>
      <c r="AG225" s="755" t="n"/>
      <c r="AH225" s="755" t="n"/>
      <c r="AI225" s="740" t="inlineStr">
        <is>
          <t>Limit</t>
        </is>
      </c>
      <c r="AJ225" s="755" t="n"/>
      <c r="AK225" s="755" t="n"/>
      <c r="AL225" s="740" t="inlineStr">
        <is>
          <t>Yes</t>
        </is>
      </c>
      <c r="AM225" s="755" t="n"/>
      <c r="AN225" s="755" t="n"/>
      <c r="AO225" s="755" t="n"/>
      <c r="AP225" s="755" t="n"/>
      <c r="AQ225" s="740" t="inlineStr">
        <is>
          <t>1H</t>
        </is>
      </c>
      <c r="AR225" s="755" t="n"/>
      <c r="AS225" s="787" t="n"/>
      <c r="AT225" s="755" t="n"/>
      <c r="AU225" s="740" t="n"/>
      <c r="AV225" s="740" t="n"/>
      <c r="AW225" s="740" t="inlineStr">
        <is>
          <t>trade</t>
        </is>
      </c>
      <c r="AX225" s="756" t="inlineStr">
        <is>
          <t>sig:3f03fe8361f5a8de9a92736a</t>
        </is>
      </c>
    </row>
    <row r="226" ht="15" customHeight="1">
      <c r="A226" s="716" t="inlineStr">
        <is>
          <t>F952</t>
        </is>
      </c>
      <c r="B226" s="717" t="n">
        <v>44875.04791666667</v>
      </c>
      <c r="C226" s="718" t="n">
        <v>44875.04861111111</v>
      </c>
      <c r="D226" s="719" t="inlineStr">
        <is>
          <t>OANDA DEMO</t>
        </is>
      </c>
      <c r="E226" s="719" t="inlineStr">
        <is>
          <t>AUDUSD</t>
        </is>
      </c>
      <c r="F226" s="719" t="inlineStr">
        <is>
          <t>SELL</t>
        </is>
      </c>
      <c r="G226" s="735" t="n">
        <v>0.01734</v>
      </c>
      <c r="H226" s="720" t="n">
        <v>0.64856</v>
      </c>
      <c r="I226" s="720" t="n">
        <v>0.6492599999999999</v>
      </c>
      <c r="J226" s="721" t="n">
        <v>0.64925</v>
      </c>
      <c r="K226" s="722" t="n">
        <v>0.00106389539903782</v>
      </c>
      <c r="L226" s="721" t="n">
        <v>0.6470900000000001</v>
      </c>
      <c r="M226" s="722" t="n">
        <v>0.002266559763167589</v>
      </c>
      <c r="N226" s="788" t="n"/>
      <c r="O226" s="762" t="n">
        <v>-1.88</v>
      </c>
      <c r="P226" s="725" t="n">
        <v>-0.009619428790131694</v>
      </c>
      <c r="Q226" s="726" t="n">
        <v>-1.014492753623123</v>
      </c>
      <c r="R226" s="764" t="n">
        <v>193.5578</v>
      </c>
      <c r="S226" s="719" t="inlineStr">
        <is>
          <t>1M 0S</t>
        </is>
      </c>
      <c r="T226" s="728" t="n"/>
      <c r="U226" s="729" t="n"/>
      <c r="V226" s="730" t="n"/>
      <c r="W226" s="731" t="n"/>
      <c r="X226" s="732" t="n"/>
      <c r="Y226" s="728" t="n"/>
      <c r="Z226" s="729" t="n"/>
      <c r="AA226" s="730" t="n"/>
      <c r="AB226" s="731" t="n"/>
      <c r="AC226" s="732" t="n"/>
      <c r="AD226" s="719" t="inlineStr">
        <is>
          <t>No</t>
        </is>
      </c>
      <c r="AE226" s="733" t="n"/>
      <c r="AF226" s="733" t="n"/>
      <c r="AG226" s="733" t="n"/>
      <c r="AH226" s="733" t="n"/>
      <c r="AI226" s="719" t="inlineStr">
        <is>
          <t>Limit</t>
        </is>
      </c>
      <c r="AJ226" s="733" t="n"/>
      <c r="AK226" s="719" t="inlineStr">
        <is>
          <t>Yes</t>
        </is>
      </c>
      <c r="AL226" s="733" t="n"/>
      <c r="AM226" s="733" t="n"/>
      <c r="AN226" s="733" t="n"/>
      <c r="AO226" s="733" t="n"/>
      <c r="AP226" s="733" t="n"/>
      <c r="AQ226" s="719" t="inlineStr">
        <is>
          <t>15MIN</t>
        </is>
      </c>
      <c r="AR226" s="733" t="n"/>
      <c r="AS226" s="733" t="n"/>
      <c r="AT226" s="733" t="n"/>
      <c r="AU226" s="733" t="n"/>
      <c r="AV226" s="733" t="n"/>
      <c r="AW226" s="719" t="inlineStr">
        <is>
          <t>trade</t>
        </is>
      </c>
      <c r="AX226" s="734" t="inlineStr">
        <is>
          <t>sig:869bb97e31e63116d43d42db</t>
        </is>
      </c>
    </row>
    <row r="227" ht="15" customHeight="1">
      <c r="A227" s="716" t="inlineStr">
        <is>
          <t>F951</t>
        </is>
      </c>
      <c r="B227" s="717" t="n">
        <v>44866.47847222222</v>
      </c>
      <c r="C227" s="718" t="n">
        <v>44874.05138888889</v>
      </c>
      <c r="D227" s="719" t="inlineStr">
        <is>
          <t>OANDA DEMO</t>
        </is>
      </c>
      <c r="E227" s="719" t="inlineStr">
        <is>
          <t>NZDUSD</t>
        </is>
      </c>
      <c r="F227" s="719" t="inlineStr">
        <is>
          <t>SELL</t>
        </is>
      </c>
      <c r="G227" s="791" t="n">
        <v>0.0009300000000000001</v>
      </c>
      <c r="H227" s="720" t="n">
        <v>0.58322</v>
      </c>
      <c r="I227" s="720" t="n">
        <v>0.59666</v>
      </c>
      <c r="J227" s="721" t="n">
        <v>0.59661</v>
      </c>
      <c r="K227" s="722" t="n">
        <v>0.02295874627070404</v>
      </c>
      <c r="L227" s="721" t="n">
        <v>0.55638</v>
      </c>
      <c r="M227" s="722" t="n">
        <v>0.04602036967182192</v>
      </c>
      <c r="N227" s="788" t="n"/>
      <c r="O227" s="762" t="n">
        <v>-1.93</v>
      </c>
      <c r="P227" s="725" t="n">
        <v>-0.009778697436967933</v>
      </c>
      <c r="Q227" s="726" t="n">
        <v>-1.003734129947722</v>
      </c>
      <c r="R227" s="764" t="n">
        <v>195.4378</v>
      </c>
      <c r="S227" s="719" t="inlineStr">
        <is>
          <t>7D 13H 45M 0S</t>
        </is>
      </c>
      <c r="T227" s="728" t="n"/>
      <c r="U227" s="729" t="n"/>
      <c r="V227" s="730" t="n"/>
      <c r="W227" s="731" t="n"/>
      <c r="X227" s="732" t="n"/>
      <c r="Y227" s="728" t="n"/>
      <c r="Z227" s="729" t="n"/>
      <c r="AA227" s="730" t="n"/>
      <c r="AB227" s="731" t="n"/>
      <c r="AC227" s="732" t="n"/>
      <c r="AD227" s="719" t="inlineStr">
        <is>
          <t>No</t>
        </is>
      </c>
      <c r="AE227" s="733" t="n"/>
      <c r="AF227" s="733" t="n"/>
      <c r="AG227" s="733" t="n"/>
      <c r="AH227" s="733" t="n"/>
      <c r="AI227" s="719" t="inlineStr">
        <is>
          <t>Limit</t>
        </is>
      </c>
      <c r="AJ227" s="733" t="n"/>
      <c r="AK227" s="719" t="n"/>
      <c r="AL227" s="733" t="n"/>
      <c r="AM227" s="733" t="n"/>
      <c r="AN227" s="733" t="n"/>
      <c r="AO227" s="733" t="n"/>
      <c r="AP227" s="733" t="n"/>
      <c r="AQ227" s="719" t="inlineStr">
        <is>
          <t>WEEKLY</t>
        </is>
      </c>
      <c r="AR227" s="733" t="n"/>
      <c r="AS227" s="733" t="n"/>
      <c r="AT227" s="733" t="n"/>
      <c r="AU227" s="733" t="n"/>
      <c r="AV227" s="733" t="n"/>
      <c r="AW227" s="719" t="inlineStr">
        <is>
          <t>trade</t>
        </is>
      </c>
      <c r="AX227" s="734" t="inlineStr">
        <is>
          <t>sig:e0cc457b28e32302cd446aca</t>
        </is>
      </c>
    </row>
    <row r="228" ht="15" customHeight="1">
      <c r="A228" s="716" t="inlineStr">
        <is>
          <t>F950</t>
        </is>
      </c>
      <c r="B228" s="717" t="n">
        <v>44855.9375</v>
      </c>
      <c r="C228" s="718" t="n">
        <v>44855.99861111111</v>
      </c>
      <c r="D228" s="719" t="inlineStr">
        <is>
          <t>OANDA DEMO</t>
        </is>
      </c>
      <c r="E228" s="719" t="inlineStr">
        <is>
          <t>GBPAUD</t>
        </is>
      </c>
      <c r="F228" s="719" t="inlineStr">
        <is>
          <t>BUY</t>
        </is>
      </c>
      <c r="G228" s="757" t="n">
        <v>0.00172</v>
      </c>
      <c r="H228" s="720" t="n">
        <v>1.78071</v>
      </c>
      <c r="I228" s="720" t="n">
        <v>1.76921</v>
      </c>
      <c r="J228" s="721" t="n">
        <v>1.76923</v>
      </c>
      <c r="K228" s="722" t="n">
        <v>0.006446866699237908</v>
      </c>
      <c r="L228" s="721" t="n">
        <v>1.8037</v>
      </c>
      <c r="M228" s="722" t="n">
        <v>0.0129105806111046</v>
      </c>
      <c r="N228" s="788" t="n"/>
      <c r="O228" s="762" t="n">
        <v>-1.98</v>
      </c>
      <c r="P228" s="725" t="n">
        <v>-0.009932389522231999</v>
      </c>
      <c r="Q228" s="726" t="n">
        <v>-1.001742160278757</v>
      </c>
      <c r="R228" s="764" t="n">
        <v>197.3678</v>
      </c>
      <c r="S228" s="719" t="inlineStr">
        <is>
          <t>1H 28M 0S</t>
        </is>
      </c>
      <c r="T228" s="728" t="n"/>
      <c r="U228" s="729" t="n"/>
      <c r="V228" s="730" t="n"/>
      <c r="W228" s="731" t="n"/>
      <c r="X228" s="732" t="n"/>
      <c r="Y228" s="728" t="n"/>
      <c r="Z228" s="729" t="n"/>
      <c r="AA228" s="730" t="n"/>
      <c r="AB228" s="731" t="n"/>
      <c r="AC228" s="732" t="n"/>
      <c r="AD228" s="719" t="inlineStr">
        <is>
          <t>No</t>
        </is>
      </c>
      <c r="AE228" s="733" t="n"/>
      <c r="AF228" s="733" t="n"/>
      <c r="AG228" s="733" t="n"/>
      <c r="AH228" s="733" t="n"/>
      <c r="AI228" s="719" t="inlineStr">
        <is>
          <t>Limit</t>
        </is>
      </c>
      <c r="AJ228" s="733" t="n"/>
      <c r="AK228" s="733" t="n"/>
      <c r="AL228" s="733" t="n"/>
      <c r="AM228" s="733" t="n"/>
      <c r="AN228" s="733" t="n"/>
      <c r="AO228" s="733" t="n"/>
      <c r="AP228" s="733" t="n"/>
      <c r="AQ228" s="719" t="inlineStr">
        <is>
          <t>DAILY</t>
        </is>
      </c>
      <c r="AR228" s="733" t="n"/>
      <c r="AS228" s="733" t="n"/>
      <c r="AT228" s="733" t="n"/>
      <c r="AU228" s="733" t="n"/>
      <c r="AV228" s="733" t="n"/>
      <c r="AW228" s="719" t="inlineStr">
        <is>
          <t>trade</t>
        </is>
      </c>
      <c r="AX228" s="734" t="inlineStr">
        <is>
          <t>sig:d124b3b8aa629f1c52c44c96</t>
        </is>
      </c>
    </row>
    <row r="229" ht="15" customHeight="1">
      <c r="A229" s="716" t="inlineStr">
        <is>
          <t>F948</t>
        </is>
      </c>
      <c r="B229" s="717" t="n">
        <v>44847.9375</v>
      </c>
      <c r="C229" s="718" t="n">
        <v>44855.77847222222</v>
      </c>
      <c r="D229" s="719" t="inlineStr">
        <is>
          <t>OANDA DEMO</t>
        </is>
      </c>
      <c r="E229" s="719" t="inlineStr">
        <is>
          <t>USDCHF</t>
        </is>
      </c>
      <c r="F229" s="719" t="inlineStr">
        <is>
          <t>SELL</t>
        </is>
      </c>
      <c r="G229" s="757" t="n">
        <v>0.00179</v>
      </c>
      <c r="H229" s="720" t="n">
        <v>1.00239</v>
      </c>
      <c r="I229" s="720" t="n">
        <v>1.01025</v>
      </c>
      <c r="J229" s="721" t="n">
        <v>1.00973</v>
      </c>
      <c r="K229" s="722" t="n">
        <v>0.007322499226847958</v>
      </c>
      <c r="L229" s="721" t="n">
        <v>0.98768</v>
      </c>
      <c r="M229" s="722" t="n">
        <v>0.01467492692464998</v>
      </c>
      <c r="N229" s="788" t="n"/>
      <c r="O229" s="762" t="n">
        <v>-2.31</v>
      </c>
      <c r="P229" s="725" t="n">
        <v>-0.01145504909802646</v>
      </c>
      <c r="Q229" s="726" t="n">
        <v>-1.07084468664851</v>
      </c>
      <c r="R229" s="764" t="n">
        <v>199.3478</v>
      </c>
      <c r="S229" s="719" t="inlineStr">
        <is>
          <t>7D 20H 11M 0S</t>
        </is>
      </c>
      <c r="T229" s="728" t="n"/>
      <c r="U229" s="729" t="n"/>
      <c r="V229" s="730" t="n"/>
      <c r="W229" s="731" t="n"/>
      <c r="X229" s="732" t="n"/>
      <c r="Y229" s="728" t="n"/>
      <c r="Z229" s="729" t="n"/>
      <c r="AA229" s="730" t="n"/>
      <c r="AB229" s="731" t="n"/>
      <c r="AC229" s="732" t="n"/>
      <c r="AD229" s="719" t="inlineStr">
        <is>
          <t>No</t>
        </is>
      </c>
      <c r="AE229" s="733" t="n"/>
      <c r="AF229" s="733" t="n"/>
      <c r="AG229" s="733" t="n"/>
      <c r="AH229" s="733" t="n"/>
      <c r="AI229" s="719" t="inlineStr">
        <is>
          <t>Limit</t>
        </is>
      </c>
      <c r="AJ229" s="733" t="n"/>
      <c r="AK229" s="733" t="n"/>
      <c r="AL229" s="733" t="n"/>
      <c r="AM229" s="733" t="n"/>
      <c r="AN229" s="733" t="n"/>
      <c r="AO229" s="733" t="n"/>
      <c r="AP229" s="733" t="n"/>
      <c r="AQ229" s="719" t="inlineStr">
        <is>
          <t>DAILY</t>
        </is>
      </c>
      <c r="AR229" s="733" t="n"/>
      <c r="AS229" s="733" t="n"/>
      <c r="AT229" s="733" t="n"/>
      <c r="AU229" s="733" t="n"/>
      <c r="AV229" s="733" t="n"/>
      <c r="AW229" s="719" t="inlineStr">
        <is>
          <t>trade</t>
        </is>
      </c>
      <c r="AX229" s="734" t="inlineStr">
        <is>
          <t>sig:8f22ef55794ae2ccf8fd027c</t>
        </is>
      </c>
    </row>
    <row r="230" ht="15" customHeight="1">
      <c r="A230" s="737" t="inlineStr">
        <is>
          <t>F949</t>
        </is>
      </c>
      <c r="B230" s="738" t="n">
        <v>44852.93819444445</v>
      </c>
      <c r="C230" s="739" t="n">
        <v>44854.08888888889</v>
      </c>
      <c r="D230" s="740" t="inlineStr">
        <is>
          <t>OANDA DEMO</t>
        </is>
      </c>
      <c r="E230" s="740" t="inlineStr">
        <is>
          <t>AUDUSD</t>
        </is>
      </c>
      <c r="F230" s="740" t="inlineStr">
        <is>
          <t>SELL</t>
        </is>
      </c>
      <c r="G230" s="741" t="n">
        <v>0.00353</v>
      </c>
      <c r="H230" s="742" t="n">
        <v>0.63323</v>
      </c>
      <c r="I230" s="742" t="n">
        <v>0.6263300000000001</v>
      </c>
      <c r="J230" s="743" t="n">
        <v>0.63665</v>
      </c>
      <c r="K230" s="744" t="n">
        <v>0.005400881196405871</v>
      </c>
      <c r="L230" s="743" t="n">
        <v>0.6263300000000001</v>
      </c>
      <c r="M230" s="744" t="n">
        <v>0.01089651469450264</v>
      </c>
      <c r="N230" s="796" t="n"/>
      <c r="O230" s="767" t="n">
        <v>3.73</v>
      </c>
      <c r="P230" s="747" t="n">
        <v>0.0188452556942481</v>
      </c>
      <c r="Q230" s="748" t="n">
        <v>2.017543859649042</v>
      </c>
      <c r="R230" s="769" t="n">
        <v>201.6578</v>
      </c>
      <c r="S230" s="740" t="inlineStr">
        <is>
          <t>1D 3H 37M 0S</t>
        </is>
      </c>
      <c r="T230" s="750" t="n"/>
      <c r="U230" s="751" t="n"/>
      <c r="V230" s="752" t="n"/>
      <c r="W230" s="753" t="n"/>
      <c r="X230" s="754" t="n"/>
      <c r="Y230" s="750" t="n"/>
      <c r="Z230" s="751" t="n"/>
      <c r="AA230" s="752" t="n"/>
      <c r="AB230" s="753" t="n"/>
      <c r="AC230" s="754" t="n"/>
      <c r="AD230" s="740" t="inlineStr">
        <is>
          <t>No</t>
        </is>
      </c>
      <c r="AE230" s="755" t="n"/>
      <c r="AF230" s="755" t="n"/>
      <c r="AG230" s="755" t="n"/>
      <c r="AH230" s="755" t="n"/>
      <c r="AI230" s="740" t="inlineStr">
        <is>
          <t>Limit</t>
        </is>
      </c>
      <c r="AJ230" s="755" t="n"/>
      <c r="AK230" s="755" t="n"/>
      <c r="AL230" s="755" t="n"/>
      <c r="AM230" s="740" t="inlineStr">
        <is>
          <t>Yes</t>
        </is>
      </c>
      <c r="AN230" s="755" t="n"/>
      <c r="AO230" s="755" t="n"/>
      <c r="AP230" s="755" t="n"/>
      <c r="AQ230" s="740" t="inlineStr">
        <is>
          <t>4H</t>
        </is>
      </c>
      <c r="AR230" s="755" t="n"/>
      <c r="AS230" s="755" t="n"/>
      <c r="AT230" s="755" t="n"/>
      <c r="AU230" s="755" t="n"/>
      <c r="AV230" s="755" t="n"/>
      <c r="AW230" s="740" t="inlineStr">
        <is>
          <t>trade</t>
        </is>
      </c>
      <c r="AX230" s="756" t="inlineStr">
        <is>
          <t>sig:a392592d20376d4a115ec63a</t>
        </is>
      </c>
    </row>
    <row r="231" ht="15" customHeight="1">
      <c r="A231" s="737" t="inlineStr">
        <is>
          <t>F947</t>
        </is>
      </c>
      <c r="B231" s="738" t="n">
        <v>44845.93472222222</v>
      </c>
      <c r="C231" s="739" t="n">
        <v>44845.95625</v>
      </c>
      <c r="D231" s="740" t="inlineStr">
        <is>
          <t>OANDA DEMO</t>
        </is>
      </c>
      <c r="E231" s="740" t="inlineStr">
        <is>
          <t>GBPUSD</t>
        </is>
      </c>
      <c r="F231" s="740" t="inlineStr">
        <is>
          <t>SELL</t>
        </is>
      </c>
      <c r="G231" s="775" t="n">
        <v>0.01165</v>
      </c>
      <c r="H231" s="742" t="n">
        <v>1.11067</v>
      </c>
      <c r="I231" s="742" t="n">
        <v>1.10849</v>
      </c>
      <c r="J231" s="743" t="n">
        <v>1.1116</v>
      </c>
      <c r="K231" s="765" t="n">
        <v>0.0008373324209710132</v>
      </c>
      <c r="L231" s="743" t="n">
        <v>1.10851</v>
      </c>
      <c r="M231" s="744" t="n">
        <v>0.001944772074513528</v>
      </c>
      <c r="N231" s="796" t="n"/>
      <c r="O231" s="767" t="n">
        <v>4.01</v>
      </c>
      <c r="P231" s="747" t="n">
        <v>0.02067886496237065</v>
      </c>
      <c r="Q231" s="748" t="n">
        <v>2.344086021505766</v>
      </c>
      <c r="R231" s="769" t="n">
        <v>197.9278</v>
      </c>
      <c r="S231" s="740" t="inlineStr">
        <is>
          <t>31M 0S</t>
        </is>
      </c>
      <c r="T231" s="750" t="n"/>
      <c r="U231" s="751" t="n"/>
      <c r="V231" s="752" t="n"/>
      <c r="W231" s="753" t="n"/>
      <c r="X231" s="754" t="n"/>
      <c r="Y231" s="750" t="n"/>
      <c r="Z231" s="751" t="n"/>
      <c r="AA231" s="752" t="n"/>
      <c r="AB231" s="753" t="n"/>
      <c r="AC231" s="754" t="n"/>
      <c r="AD231" s="740" t="inlineStr">
        <is>
          <t>No</t>
        </is>
      </c>
      <c r="AE231" s="755" t="n"/>
      <c r="AF231" s="755" t="n"/>
      <c r="AG231" s="755" t="n"/>
      <c r="AH231" s="755" t="n"/>
      <c r="AI231" s="740" t="inlineStr">
        <is>
          <t>Limit</t>
        </is>
      </c>
      <c r="AJ231" s="755" t="n"/>
      <c r="AK231" s="755" t="n"/>
      <c r="AL231" s="740" t="inlineStr">
        <is>
          <t>Yes</t>
        </is>
      </c>
      <c r="AM231" s="755" t="n"/>
      <c r="AN231" s="755" t="n"/>
      <c r="AO231" s="755" t="n"/>
      <c r="AP231" s="755" t="n"/>
      <c r="AQ231" s="740" t="inlineStr">
        <is>
          <t>15MIN</t>
        </is>
      </c>
      <c r="AR231" s="755" t="n"/>
      <c r="AS231" s="755" t="n"/>
      <c r="AT231" s="755" t="n"/>
      <c r="AU231" s="755" t="n"/>
      <c r="AV231" s="755" t="n"/>
      <c r="AW231" s="740" t="inlineStr">
        <is>
          <t>trade</t>
        </is>
      </c>
      <c r="AX231" s="756" t="inlineStr">
        <is>
          <t>sig:adcf0aa7c07fe850646c0367</t>
        </is>
      </c>
    </row>
    <row r="232" ht="15" customHeight="1">
      <c r="A232" s="716" t="inlineStr">
        <is>
          <t>F946</t>
        </is>
      </c>
      <c r="B232" s="717" t="n">
        <v>44838.93125</v>
      </c>
      <c r="C232" s="718" t="n">
        <v>44845.60486111111</v>
      </c>
      <c r="D232" s="719" t="inlineStr">
        <is>
          <t>OANDA DEMO</t>
        </is>
      </c>
      <c r="E232" s="719" t="inlineStr">
        <is>
          <t>EURAUD</t>
        </is>
      </c>
      <c r="F232" s="719" t="inlineStr">
        <is>
          <t>SELL</t>
        </is>
      </c>
      <c r="G232" s="757" t="n">
        <v>0.00132</v>
      </c>
      <c r="H232" s="720" t="n">
        <v>1.53374</v>
      </c>
      <c r="I232" s="720" t="n">
        <v>1.54872</v>
      </c>
      <c r="J232" s="721" t="n">
        <v>1.54871</v>
      </c>
      <c r="K232" s="722" t="n">
        <v>0.009760454835891302</v>
      </c>
      <c r="L232" s="721" t="n">
        <v>1.5038</v>
      </c>
      <c r="M232" s="722" t="n">
        <v>0.01952090967178275</v>
      </c>
      <c r="N232" s="788" t="n"/>
      <c r="O232" s="762" t="n">
        <v>-1.96</v>
      </c>
      <c r="P232" s="725" t="n">
        <v>-0.01000623858344335</v>
      </c>
      <c r="Q232" s="726" t="n">
        <v>-1.000668002672015</v>
      </c>
      <c r="R232" s="764" t="n">
        <v>193.9178</v>
      </c>
      <c r="S232" s="719" t="inlineStr">
        <is>
          <t>6D 16H 10M 0S</t>
        </is>
      </c>
      <c r="T232" s="728" t="n"/>
      <c r="U232" s="729" t="n"/>
      <c r="V232" s="730" t="n"/>
      <c r="W232" s="731" t="n"/>
      <c r="X232" s="732" t="n"/>
      <c r="Y232" s="728" t="n"/>
      <c r="Z232" s="729" t="n"/>
      <c r="AA232" s="730" t="n"/>
      <c r="AB232" s="731" t="n"/>
      <c r="AC232" s="732" t="n"/>
      <c r="AD232" s="719" t="inlineStr">
        <is>
          <t>No</t>
        </is>
      </c>
      <c r="AE232" s="733" t="n"/>
      <c r="AF232" s="733" t="n"/>
      <c r="AG232" s="733" t="n"/>
      <c r="AH232" s="733" t="n"/>
      <c r="AI232" s="719" t="inlineStr">
        <is>
          <t>Limit</t>
        </is>
      </c>
      <c r="AJ232" s="733" t="n"/>
      <c r="AK232" s="733" t="n"/>
      <c r="AL232" s="733" t="n"/>
      <c r="AM232" s="733" t="n"/>
      <c r="AN232" s="733" t="n"/>
      <c r="AO232" s="733" t="n"/>
      <c r="AP232" s="733" t="n"/>
      <c r="AQ232" s="719" t="inlineStr">
        <is>
          <t>WEEKLY</t>
        </is>
      </c>
      <c r="AR232" s="733" t="n"/>
      <c r="AS232" s="782" t="n"/>
      <c r="AT232" s="733" t="n"/>
      <c r="AU232" s="719" t="n"/>
      <c r="AV232" s="719" t="n"/>
      <c r="AW232" s="719" t="inlineStr">
        <is>
          <t>trade</t>
        </is>
      </c>
      <c r="AX232" s="734" t="inlineStr">
        <is>
          <t>sig:fa669bd1c1b2f4bb03486333</t>
        </is>
      </c>
    </row>
    <row r="233" ht="15" customHeight="1">
      <c r="A233" s="42" t="n"/>
      <c r="B233" s="770" t="n">
        <v>44844</v>
      </c>
      <c r="C233" s="771" t="n">
        <v>44844</v>
      </c>
      <c r="D233" s="12" t="inlineStr">
        <is>
          <t>PEPPERSTONE LIVE</t>
        </is>
      </c>
      <c r="E233" s="12" t="inlineStr">
        <is>
          <t>CASHFLOW</t>
        </is>
      </c>
      <c r="F233" s="12" t="inlineStr">
        <is>
          <t>WITHDRAWAL</t>
        </is>
      </c>
      <c r="G233" s="262" t="n"/>
      <c r="H233" s="262" t="n"/>
      <c r="I233" s="262" t="n"/>
      <c r="J233" s="263" t="n"/>
      <c r="K233" s="36" t="n"/>
      <c r="L233" s="263" t="n"/>
      <c r="M233" s="36" t="n"/>
      <c r="N233" s="779" t="n"/>
      <c r="O233" s="773" t="n"/>
      <c r="P233" s="3" t="n"/>
      <c r="Q233" s="51" t="n"/>
      <c r="R233" s="54" t="n">
        <v>0</v>
      </c>
      <c r="S233" s="12" t="n"/>
      <c r="T233" s="774" t="n"/>
      <c r="U233" s="6" t="n"/>
      <c r="V233" s="264" t="n"/>
      <c r="W233" s="9" t="n"/>
      <c r="X233" s="46" t="n"/>
      <c r="Y233" s="774" t="n"/>
      <c r="Z233" s="6" t="n"/>
      <c r="AA233" s="264" t="n"/>
      <c r="AB233" s="9" t="n"/>
      <c r="AC233" s="46" t="n"/>
      <c r="AD233" s="12" t="inlineStr">
        <is>
          <t>No</t>
        </is>
      </c>
      <c r="AE233" s="45" t="n"/>
      <c r="AF233" s="45" t="n"/>
      <c r="AG233" s="45" t="n"/>
      <c r="AH233" s="45" t="n"/>
      <c r="AI233" s="12" t="n"/>
      <c r="AJ233" s="45" t="n"/>
      <c r="AK233" s="45" t="n"/>
      <c r="AL233" s="45" t="n"/>
      <c r="AM233" s="12" t="n"/>
      <c r="AN233" s="45" t="n"/>
      <c r="AO233" s="45" t="n"/>
      <c r="AP233" s="45" t="n"/>
      <c r="AQ233" s="12" t="n"/>
      <c r="AR233" s="45" t="n"/>
      <c r="AS233" s="56" t="inlineStr">
        <is>
          <t>Withdrawal -421.25 AUD. Source: screenshot_ocr. Imported from account_cashflows.xlsx row 90.</t>
        </is>
      </c>
      <c r="AT233" s="45" t="n"/>
      <c r="AU233" s="12" t="n">
        <v>0</v>
      </c>
      <c r="AV233" s="12" t="inlineStr">
        <is>
          <t>AUD</t>
        </is>
      </c>
      <c r="AW233" s="12" t="inlineStr">
        <is>
          <t>cashflow</t>
        </is>
      </c>
      <c r="AX233" s="57" t="inlineStr">
        <is>
          <t>cashflow:PEPPERSTONE LIVE:2022-10-10T00:00:00:11</t>
        </is>
      </c>
    </row>
    <row r="234" ht="15" customHeight="1">
      <c r="A234" s="716" t="inlineStr">
        <is>
          <t>F945</t>
        </is>
      </c>
      <c r="B234" s="717" t="n">
        <v>44837.66111111111</v>
      </c>
      <c r="C234" s="718" t="n">
        <v>44839.08611111111</v>
      </c>
      <c r="D234" s="719" t="inlineStr">
        <is>
          <t>OANDA DEMO</t>
        </is>
      </c>
      <c r="E234" s="719" t="inlineStr">
        <is>
          <t>GBPUSD</t>
        </is>
      </c>
      <c r="F234" s="719" t="inlineStr">
        <is>
          <t>SELL</t>
        </is>
      </c>
      <c r="G234" s="791" t="n">
        <v>0.00063</v>
      </c>
      <c r="H234" s="720" t="n">
        <v>1.12529</v>
      </c>
      <c r="I234" s="720" t="n">
        <v>1.14493</v>
      </c>
      <c r="J234" s="721" t="n">
        <v>1.14493</v>
      </c>
      <c r="K234" s="722" t="n">
        <v>0.01745327871037697</v>
      </c>
      <c r="L234" s="721" t="n">
        <v>1.08562</v>
      </c>
      <c r="M234" s="722" t="n">
        <v>0.0352531347474872</v>
      </c>
      <c r="N234" s="788" t="n"/>
      <c r="O234" s="762" t="n">
        <v>-1.91</v>
      </c>
      <c r="P234" s="725" t="n">
        <v>-0.009656814019873824</v>
      </c>
      <c r="Q234" s="726" t="n">
        <v>-1</v>
      </c>
      <c r="R234" s="764" t="n">
        <v>195.8778</v>
      </c>
      <c r="S234" s="719" t="inlineStr">
        <is>
          <t>1D 10H 12M 0S</t>
        </is>
      </c>
      <c r="T234" s="728" t="n"/>
      <c r="U234" s="729" t="n"/>
      <c r="V234" s="730" t="n"/>
      <c r="W234" s="731" t="n"/>
      <c r="X234" s="732" t="n"/>
      <c r="Y234" s="728" t="n"/>
      <c r="Z234" s="729" t="n"/>
      <c r="AA234" s="730" t="n"/>
      <c r="AB234" s="731" t="n"/>
      <c r="AC234" s="732" t="n"/>
      <c r="AD234" s="719" t="inlineStr">
        <is>
          <t>No</t>
        </is>
      </c>
      <c r="AE234" s="733" t="n"/>
      <c r="AF234" s="733" t="n"/>
      <c r="AG234" s="733" t="n"/>
      <c r="AH234" s="733" t="n"/>
      <c r="AI234" s="719" t="inlineStr">
        <is>
          <t>Limit</t>
        </is>
      </c>
      <c r="AJ234" s="733" t="n"/>
      <c r="AK234" s="733" t="n"/>
      <c r="AL234" s="733" t="n"/>
      <c r="AM234" s="733" t="n"/>
      <c r="AN234" s="733" t="n"/>
      <c r="AO234" s="733" t="n"/>
      <c r="AP234" s="733" t="n"/>
      <c r="AQ234" s="719" t="inlineStr">
        <is>
          <t>DAILY</t>
        </is>
      </c>
      <c r="AR234" s="733" t="n"/>
      <c r="AS234" s="733" t="n"/>
      <c r="AT234" s="733" t="n"/>
      <c r="AU234" s="733" t="n"/>
      <c r="AV234" s="733" t="n"/>
      <c r="AW234" s="719" t="inlineStr">
        <is>
          <t>trade</t>
        </is>
      </c>
      <c r="AX234" s="734" t="inlineStr">
        <is>
          <t>sig:8b26bf050bd5c20466a20398</t>
        </is>
      </c>
    </row>
    <row r="235" ht="15" customHeight="1">
      <c r="A235" s="716" t="inlineStr">
        <is>
          <t>F944</t>
        </is>
      </c>
      <c r="B235" s="717" t="n">
        <v>44826.77847222222</v>
      </c>
      <c r="C235" s="718" t="n">
        <v>44826.77916666667</v>
      </c>
      <c r="D235" s="719" t="inlineStr">
        <is>
          <t>OANDA DEMO</t>
        </is>
      </c>
      <c r="E235" s="719" t="inlineStr">
        <is>
          <t>USDJPY</t>
        </is>
      </c>
      <c r="F235" s="719" t="inlineStr">
        <is>
          <t>BUY</t>
        </is>
      </c>
      <c r="G235" s="757" t="n">
        <v>0.00374</v>
      </c>
      <c r="H235" s="720" t="n">
        <v>141.799</v>
      </c>
      <c r="I235" s="720" t="n">
        <v>141.251</v>
      </c>
      <c r="J235" s="721" t="n">
        <v>141.309</v>
      </c>
      <c r="K235" s="722" t="n">
        <v>0.003455595596583961</v>
      </c>
      <c r="L235" s="721" t="n">
        <v>142.836</v>
      </c>
      <c r="M235" s="722" t="n">
        <v>0.007313168640117392</v>
      </c>
      <c r="N235" s="761" t="n"/>
      <c r="O235" s="762" t="n">
        <v>-2.19</v>
      </c>
      <c r="P235" s="725" t="n">
        <v>-0.01095121558492993</v>
      </c>
      <c r="Q235" s="726" t="n">
        <v>-1.118367346938758</v>
      </c>
      <c r="R235" s="764" t="n">
        <v>197.7878</v>
      </c>
      <c r="S235" s="719" t="inlineStr">
        <is>
          <t>1M 0S</t>
        </is>
      </c>
      <c r="T235" s="728" t="n"/>
      <c r="U235" s="729" t="n"/>
      <c r="V235" s="730" t="n"/>
      <c r="W235" s="731" t="n"/>
      <c r="X235" s="732" t="n"/>
      <c r="Y235" s="728" t="n"/>
      <c r="Z235" s="729" t="n"/>
      <c r="AA235" s="730" t="n"/>
      <c r="AB235" s="731" t="n"/>
      <c r="AC235" s="732" t="n"/>
      <c r="AD235" s="719" t="inlineStr">
        <is>
          <t>No</t>
        </is>
      </c>
      <c r="AE235" s="733" t="n"/>
      <c r="AF235" s="733" t="n"/>
      <c r="AG235" s="733" t="n"/>
      <c r="AH235" s="733" t="n"/>
      <c r="AI235" s="719" t="inlineStr">
        <is>
          <t>Limit</t>
        </is>
      </c>
      <c r="AJ235" s="733" t="n"/>
      <c r="AK235" s="719" t="inlineStr">
        <is>
          <t>Yes</t>
        </is>
      </c>
      <c r="AL235" s="733" t="n"/>
      <c r="AM235" s="733" t="n"/>
      <c r="AN235" s="733" t="n"/>
      <c r="AO235" s="733" t="n"/>
      <c r="AP235" s="719" t="n"/>
      <c r="AQ235" s="719" t="inlineStr">
        <is>
          <t>4H</t>
        </is>
      </c>
      <c r="AR235" s="719" t="n"/>
      <c r="AS235" s="733" t="n"/>
      <c r="AT235" s="733" t="n"/>
      <c r="AU235" s="733" t="n"/>
      <c r="AV235" s="733" t="n"/>
      <c r="AW235" s="719" t="inlineStr">
        <is>
          <t>trade</t>
        </is>
      </c>
      <c r="AX235" s="734" t="inlineStr">
        <is>
          <t>sig:994a67577b7ed0deb8d8fafc</t>
        </is>
      </c>
    </row>
    <row r="236" ht="15" customHeight="1">
      <c r="A236" s="716" t="inlineStr">
        <is>
          <t>F943</t>
        </is>
      </c>
      <c r="B236" s="717" t="n">
        <v>44812.12847222222</v>
      </c>
      <c r="C236" s="718" t="n">
        <v>44816.70069444444</v>
      </c>
      <c r="D236" s="719" t="inlineStr">
        <is>
          <t>OANDA DEMO</t>
        </is>
      </c>
      <c r="E236" s="719" t="inlineStr">
        <is>
          <t>EURJPY</t>
        </is>
      </c>
      <c r="F236" s="719" t="inlineStr">
        <is>
          <t>SELL</t>
        </is>
      </c>
      <c r="G236" s="757" t="n">
        <v>0.00186</v>
      </c>
      <c r="H236" s="720" t="n">
        <v>144.004</v>
      </c>
      <c r="I236" s="720" t="n">
        <v>145.02</v>
      </c>
      <c r="J236" s="721" t="n">
        <v>145.016</v>
      </c>
      <c r="K236" s="722" t="n">
        <v>0.007027582567150916</v>
      </c>
      <c r="L236" s="721" t="n">
        <v>141.968</v>
      </c>
      <c r="M236" s="722" t="n">
        <v>0.01413849615288465</v>
      </c>
      <c r="N236" s="788" t="n"/>
      <c r="O236" s="762" t="n">
        <v>-1.96</v>
      </c>
      <c r="P236" s="725" t="n">
        <v>-0.009705958963601663</v>
      </c>
      <c r="Q236" s="726" t="n">
        <v>-1.003952569169979</v>
      </c>
      <c r="R236" s="764" t="n">
        <v>199.9778</v>
      </c>
      <c r="S236" s="719" t="inlineStr">
        <is>
          <t>4D 13H 44M 0S</t>
        </is>
      </c>
      <c r="T236" s="728" t="n"/>
      <c r="U236" s="729" t="n"/>
      <c r="V236" s="730" t="n"/>
      <c r="W236" s="731" t="n"/>
      <c r="X236" s="732" t="n"/>
      <c r="Y236" s="728" t="n"/>
      <c r="Z236" s="729" t="n"/>
      <c r="AA236" s="730" t="n"/>
      <c r="AB236" s="731" t="n"/>
      <c r="AC236" s="732" t="n"/>
      <c r="AD236" s="719" t="inlineStr">
        <is>
          <t>No</t>
        </is>
      </c>
      <c r="AE236" s="733" t="n"/>
      <c r="AF236" s="733" t="n"/>
      <c r="AG236" s="733" t="n"/>
      <c r="AH236" s="733" t="n"/>
      <c r="AI236" s="719" t="inlineStr">
        <is>
          <t>Limit</t>
        </is>
      </c>
      <c r="AJ236" s="733" t="n"/>
      <c r="AK236" s="719" t="n"/>
      <c r="AL236" s="733" t="n"/>
      <c r="AM236" s="733" t="n"/>
      <c r="AN236" s="733" t="n"/>
      <c r="AO236" s="733" t="n"/>
      <c r="AP236" s="733" t="n"/>
      <c r="AQ236" s="719" t="inlineStr">
        <is>
          <t>DAILY</t>
        </is>
      </c>
      <c r="AR236" s="733" t="n"/>
      <c r="AS236" s="733" t="n"/>
      <c r="AT236" s="733" t="n"/>
      <c r="AU236" s="733" t="n"/>
      <c r="AV236" s="733" t="n"/>
      <c r="AW236" s="719" t="inlineStr">
        <is>
          <t>trade</t>
        </is>
      </c>
      <c r="AX236" s="734" t="inlineStr">
        <is>
          <t>sig:9a22c6c3548ec733f0fe5ee5</t>
        </is>
      </c>
    </row>
    <row r="237" ht="15" customHeight="1">
      <c r="A237" s="716" t="inlineStr">
        <is>
          <t>F942</t>
        </is>
      </c>
      <c r="B237" s="717" t="n">
        <v>44810.94513888889</v>
      </c>
      <c r="C237" s="718" t="n">
        <v>44811.79513888889</v>
      </c>
      <c r="D237" s="719" t="inlineStr">
        <is>
          <t>OANDA DEMO</t>
        </is>
      </c>
      <c r="E237" s="719" t="inlineStr">
        <is>
          <t>NZDJPY</t>
        </is>
      </c>
      <c r="F237" s="719" t="inlineStr">
        <is>
          <t>SELL</t>
        </is>
      </c>
      <c r="G237" s="757" t="n">
        <v>0.00367</v>
      </c>
      <c r="H237" s="720" t="n">
        <v>86.44199999999999</v>
      </c>
      <c r="I237" s="720" t="n">
        <v>86.961</v>
      </c>
      <c r="J237" s="721" t="n">
        <v>86.95999999999999</v>
      </c>
      <c r="K237" s="722" t="n">
        <v>0.005992457370259835</v>
      </c>
      <c r="L237" s="721" t="n">
        <v>84.88800000000001</v>
      </c>
      <c r="M237" s="722" t="n">
        <v>0.01797737211077934</v>
      </c>
      <c r="N237" s="761" t="n"/>
      <c r="O237" s="762" t="n">
        <v>-2.01</v>
      </c>
      <c r="P237" s="725" t="n">
        <v>-0.009855463015536328</v>
      </c>
      <c r="Q237" s="726" t="n">
        <v>-1.001930501930511</v>
      </c>
      <c r="R237" s="764" t="n">
        <v>201.9378</v>
      </c>
      <c r="S237" s="719" t="inlineStr">
        <is>
          <t>20H 24M 0S</t>
        </is>
      </c>
      <c r="T237" s="728" t="n"/>
      <c r="U237" s="729" t="n"/>
      <c r="V237" s="730" t="n"/>
      <c r="W237" s="731" t="n"/>
      <c r="X237" s="732" t="n"/>
      <c r="Y237" s="728" t="n"/>
      <c r="Z237" s="729" t="n"/>
      <c r="AA237" s="730" t="n"/>
      <c r="AB237" s="731" t="n"/>
      <c r="AC237" s="732" t="n"/>
      <c r="AD237" s="719" t="inlineStr">
        <is>
          <t>No</t>
        </is>
      </c>
      <c r="AE237" s="733" t="n"/>
      <c r="AF237" s="733" t="n"/>
      <c r="AG237" s="733" t="n"/>
      <c r="AH237" s="733" t="n"/>
      <c r="AI237" s="719" t="inlineStr">
        <is>
          <t>Limit</t>
        </is>
      </c>
      <c r="AJ237" s="733" t="n"/>
      <c r="AK237" s="733" t="n"/>
      <c r="AL237" s="733" t="n"/>
      <c r="AM237" s="733" t="n"/>
      <c r="AN237" s="733" t="n"/>
      <c r="AO237" s="733" t="n"/>
      <c r="AP237" s="719" t="n"/>
      <c r="AQ237" s="719" t="inlineStr">
        <is>
          <t>WEEKLY</t>
        </is>
      </c>
      <c r="AR237" s="719" t="n"/>
      <c r="AS237" s="733" t="n"/>
      <c r="AT237" s="733" t="n"/>
      <c r="AU237" s="733" t="n"/>
      <c r="AV237" s="733" t="n"/>
      <c r="AW237" s="719" t="inlineStr">
        <is>
          <t>trade</t>
        </is>
      </c>
      <c r="AX237" s="734" t="inlineStr">
        <is>
          <t>sig:0d82a784be368fbfe5096f62</t>
        </is>
      </c>
    </row>
    <row r="238" ht="15" customHeight="1">
      <c r="A238" s="737" t="inlineStr">
        <is>
          <t>F941</t>
        </is>
      </c>
      <c r="B238" s="738" t="n">
        <v>44774.81944444445</v>
      </c>
      <c r="C238" s="739" t="n">
        <v>44774.89097222222</v>
      </c>
      <c r="D238" s="740" t="inlineStr">
        <is>
          <t>OANDA DEMO</t>
        </is>
      </c>
      <c r="E238" s="740" t="inlineStr">
        <is>
          <t>EURUSD</t>
        </is>
      </c>
      <c r="F238" s="740" t="inlineStr">
        <is>
          <t>SELL</t>
        </is>
      </c>
      <c r="G238" s="741" t="n">
        <v>0.00827</v>
      </c>
      <c r="H238" s="742" t="n">
        <v>1.02692</v>
      </c>
      <c r="I238" s="742" t="n">
        <v>1.0236</v>
      </c>
      <c r="J238" s="743" t="n">
        <v>1.02858</v>
      </c>
      <c r="K238" s="744" t="n">
        <v>0.001616484244147543</v>
      </c>
      <c r="L238" s="743" t="n">
        <v>1.0236</v>
      </c>
      <c r="M238" s="744" t="n">
        <v>0.003232968488295086</v>
      </c>
      <c r="N238" s="796" t="n"/>
      <c r="O238" s="767" t="n">
        <v>3.88</v>
      </c>
      <c r="P238" s="747" t="n">
        <v>0.01939342562871187</v>
      </c>
      <c r="Q238" s="748" t="n">
        <v>2</v>
      </c>
      <c r="R238" s="769" t="n">
        <v>203.9478</v>
      </c>
      <c r="S238" s="740" t="inlineStr">
        <is>
          <t>1H 43M 0S</t>
        </is>
      </c>
      <c r="T238" s="750" t="n"/>
      <c r="U238" s="751" t="n"/>
      <c r="V238" s="752" t="n"/>
      <c r="W238" s="753" t="n"/>
      <c r="X238" s="754" t="n"/>
      <c r="Y238" s="750" t="n"/>
      <c r="Z238" s="751" t="n"/>
      <c r="AA238" s="752" t="n"/>
      <c r="AB238" s="753" t="n"/>
      <c r="AC238" s="754" t="n"/>
      <c r="AD238" s="740" t="inlineStr">
        <is>
          <t>No</t>
        </is>
      </c>
      <c r="AE238" s="755" t="n"/>
      <c r="AF238" s="755" t="n"/>
      <c r="AG238" s="755" t="n"/>
      <c r="AH238" s="755" t="n"/>
      <c r="AI238" s="740" t="inlineStr">
        <is>
          <t>Limit</t>
        </is>
      </c>
      <c r="AJ238" s="755" t="n"/>
      <c r="AK238" s="755" t="n"/>
      <c r="AL238" s="755" t="n"/>
      <c r="AM238" s="740" t="inlineStr">
        <is>
          <t>Yes</t>
        </is>
      </c>
      <c r="AN238" s="755" t="n"/>
      <c r="AO238" s="755" t="n"/>
      <c r="AP238" s="755" t="n"/>
      <c r="AQ238" s="740" t="inlineStr">
        <is>
          <t>1H</t>
        </is>
      </c>
      <c r="AR238" s="755" t="n"/>
      <c r="AS238" s="755" t="n"/>
      <c r="AT238" s="755" t="n"/>
      <c r="AU238" s="755" t="n"/>
      <c r="AV238" s="755" t="n"/>
      <c r="AW238" s="740" t="inlineStr">
        <is>
          <t>trade</t>
        </is>
      </c>
      <c r="AX238" s="756" t="inlineStr">
        <is>
          <t>sig:bb8ef33777d272e83f8f3d78</t>
        </is>
      </c>
    </row>
    <row r="239" ht="15" customHeight="1">
      <c r="A239" s="716" t="inlineStr">
        <is>
          <t>F940</t>
        </is>
      </c>
      <c r="B239" s="717" t="n">
        <v>44770.97083333333</v>
      </c>
      <c r="C239" s="718" t="n">
        <v>44771.57847222222</v>
      </c>
      <c r="D239" s="719" t="inlineStr">
        <is>
          <t>OANDA DEMO</t>
        </is>
      </c>
      <c r="E239" s="719" t="inlineStr">
        <is>
          <t>USDJPY</t>
        </is>
      </c>
      <c r="F239" s="719" t="inlineStr">
        <is>
          <t>BUY</t>
        </is>
      </c>
      <c r="G239" s="757" t="n">
        <v>0.00129</v>
      </c>
      <c r="H239" s="720" t="n">
        <v>134.531</v>
      </c>
      <c r="I239" s="720" t="n">
        <v>133.078</v>
      </c>
      <c r="J239" s="721" t="n">
        <v>133.082</v>
      </c>
      <c r="K239" s="722" t="n">
        <v>0.01077075172265137</v>
      </c>
      <c r="L239" s="721" t="n">
        <v>137.494</v>
      </c>
      <c r="M239" s="722" t="n">
        <v>0.02202466346046631</v>
      </c>
      <c r="N239" s="788" t="n"/>
      <c r="O239" s="762" t="n">
        <v>-2.01</v>
      </c>
      <c r="P239" s="725" t="n">
        <v>-0.009946664106596568</v>
      </c>
      <c r="Q239" s="726" t="n">
        <v>-1.002760524499648</v>
      </c>
      <c r="R239" s="764" t="n">
        <v>200.0678</v>
      </c>
      <c r="S239" s="719" t="inlineStr">
        <is>
          <t>14H 35M 0S</t>
        </is>
      </c>
      <c r="T239" s="728" t="n"/>
      <c r="U239" s="729" t="n"/>
      <c r="V239" s="730" t="n"/>
      <c r="W239" s="731" t="n"/>
      <c r="X239" s="732" t="n"/>
      <c r="Y239" s="728" t="n"/>
      <c r="Z239" s="729" t="n"/>
      <c r="AA239" s="730" t="n"/>
      <c r="AB239" s="731" t="n"/>
      <c r="AC239" s="732" t="n"/>
      <c r="AD239" s="719" t="inlineStr">
        <is>
          <t>No</t>
        </is>
      </c>
      <c r="AE239" s="733" t="n"/>
      <c r="AF239" s="733" t="n"/>
      <c r="AG239" s="733" t="n"/>
      <c r="AH239" s="733" t="n"/>
      <c r="AI239" s="719" t="inlineStr">
        <is>
          <t>Limit</t>
        </is>
      </c>
      <c r="AJ239" s="733" t="n"/>
      <c r="AK239" s="733" t="n"/>
      <c r="AL239" s="733" t="n"/>
      <c r="AM239" s="733" t="n"/>
      <c r="AN239" s="733" t="n"/>
      <c r="AO239" s="719" t="n"/>
      <c r="AP239" s="733" t="n"/>
      <c r="AQ239" s="719" t="inlineStr">
        <is>
          <t>WEEKLY</t>
        </is>
      </c>
      <c r="AR239" s="733" t="n"/>
      <c r="AS239" s="733" t="n"/>
      <c r="AT239" s="733" t="n"/>
      <c r="AU239" s="733" t="n"/>
      <c r="AV239" s="733" t="n"/>
      <c r="AW239" s="719" t="inlineStr">
        <is>
          <t>trade</t>
        </is>
      </c>
      <c r="AX239" s="734" t="inlineStr">
        <is>
          <t>sig:ee77b9e0744a2af4936dd266</t>
        </is>
      </c>
    </row>
    <row r="240" ht="15" customHeight="1">
      <c r="A240" s="42" t="n"/>
      <c r="B240" s="770" t="n">
        <v>44768</v>
      </c>
      <c r="C240" s="771" t="n">
        <v>44768</v>
      </c>
      <c r="D240" s="12" t="inlineStr">
        <is>
          <t>PEPPERSTONE DEMO</t>
        </is>
      </c>
      <c r="E240" s="12" t="inlineStr">
        <is>
          <t>CASHFLOW</t>
        </is>
      </c>
      <c r="F240" s="12" t="inlineStr">
        <is>
          <t>WITHDRAWAL</t>
        </is>
      </c>
      <c r="G240" s="262" t="n"/>
      <c r="H240" s="262" t="n"/>
      <c r="I240" s="262" t="n"/>
      <c r="J240" s="263" t="n"/>
      <c r="K240" s="36" t="n"/>
      <c r="L240" s="263" t="n"/>
      <c r="M240" s="36" t="n"/>
      <c r="N240" s="779" t="n"/>
      <c r="O240" s="773" t="n"/>
      <c r="P240" s="3" t="n"/>
      <c r="Q240" s="51" t="n"/>
      <c r="R240" s="54" t="n">
        <v>0</v>
      </c>
      <c r="S240" s="12" t="n"/>
      <c r="T240" s="774" t="n"/>
      <c r="U240" s="6" t="n"/>
      <c r="V240" s="264" t="n"/>
      <c r="W240" s="9" t="n"/>
      <c r="X240" s="46" t="n"/>
      <c r="Y240" s="774" t="n"/>
      <c r="Z240" s="6" t="n"/>
      <c r="AA240" s="264" t="n"/>
      <c r="AB240" s="9" t="n"/>
      <c r="AC240" s="46" t="n"/>
      <c r="AD240" s="12" t="inlineStr">
        <is>
          <t>No</t>
        </is>
      </c>
      <c r="AE240" s="45" t="n"/>
      <c r="AF240" s="45" t="n"/>
      <c r="AG240" s="45" t="n"/>
      <c r="AH240" s="45" t="n"/>
      <c r="AI240" s="12" t="n"/>
      <c r="AJ240" s="45" t="n"/>
      <c r="AK240" s="45" t="n"/>
      <c r="AL240" s="45" t="n"/>
      <c r="AM240" s="45" t="n"/>
      <c r="AN240" s="45" t="n"/>
      <c r="AO240" s="45" t="n"/>
      <c r="AP240" s="45" t="n"/>
      <c r="AQ240" s="12" t="n"/>
      <c r="AR240" s="45" t="n"/>
      <c r="AS240" s="56" t="inlineStr">
        <is>
          <t>Withdrawal -1004.7 AUD. Source: user_txt. Imported from account_cashflows.xlsx row 77.</t>
        </is>
      </c>
      <c r="AT240" s="45" t="n"/>
      <c r="AU240" s="12" t="n">
        <v>0</v>
      </c>
      <c r="AV240" s="12" t="inlineStr">
        <is>
          <t>AUD</t>
        </is>
      </c>
      <c r="AW240" s="12" t="inlineStr">
        <is>
          <t>cashflow</t>
        </is>
      </c>
      <c r="AX240" s="57" t="inlineStr">
        <is>
          <t>cashflow:PEPPERSTONE DEMO:2022-07-26T00:00:00:63</t>
        </is>
      </c>
    </row>
    <row r="241" ht="15" customHeight="1">
      <c r="A241" s="737" t="inlineStr">
        <is>
          <t>F939</t>
        </is>
      </c>
      <c r="B241" s="738" t="n">
        <v>44762.54652777778</v>
      </c>
      <c r="C241" s="739" t="n">
        <v>44765.12638888889</v>
      </c>
      <c r="D241" s="740" t="inlineStr">
        <is>
          <t>OANDA DEMO</t>
        </is>
      </c>
      <c r="E241" s="740" t="inlineStr">
        <is>
          <t>NZDJPY</t>
        </is>
      </c>
      <c r="F241" s="740" t="inlineStr">
        <is>
          <t>SELL</t>
        </is>
      </c>
      <c r="G241" s="741" t="n">
        <v>0.00314</v>
      </c>
      <c r="H241" s="742" t="n">
        <v>86.44199999999999</v>
      </c>
      <c r="I241" s="742" t="n">
        <v>85.251</v>
      </c>
      <c r="J241" s="743" t="n">
        <v>87.036</v>
      </c>
      <c r="K241" s="744" t="n">
        <v>0.006871659609911945</v>
      </c>
      <c r="L241" s="743" t="n">
        <v>85.254</v>
      </c>
      <c r="M241" s="744" t="n">
        <v>0.01374331921982356</v>
      </c>
      <c r="N241" s="796" t="n"/>
      <c r="O241" s="767" t="n">
        <v>3.88</v>
      </c>
      <c r="P241" s="747" t="n">
        <v>0.01957640296713687</v>
      </c>
      <c r="Q241" s="748" t="n">
        <v>2.005050505050457</v>
      </c>
      <c r="R241" s="769" t="n">
        <v>202.0778</v>
      </c>
      <c r="S241" s="740" t="inlineStr">
        <is>
          <t>2D 13H 55M 0S</t>
        </is>
      </c>
      <c r="T241" s="750" t="n"/>
      <c r="U241" s="751" t="n"/>
      <c r="V241" s="752" t="n"/>
      <c r="W241" s="753" t="n"/>
      <c r="X241" s="754" t="n"/>
      <c r="Y241" s="750" t="n"/>
      <c r="Z241" s="751" t="n"/>
      <c r="AA241" s="752" t="n"/>
      <c r="AB241" s="753" t="n"/>
      <c r="AC241" s="754" t="n"/>
      <c r="AD241" s="740" t="inlineStr">
        <is>
          <t>No</t>
        </is>
      </c>
      <c r="AE241" s="755" t="n"/>
      <c r="AF241" s="755" t="n"/>
      <c r="AG241" s="755" t="n"/>
      <c r="AH241" s="755" t="n"/>
      <c r="AI241" s="740" t="inlineStr">
        <is>
          <t>Limit</t>
        </is>
      </c>
      <c r="AJ241" s="755" t="n"/>
      <c r="AK241" s="755" t="n"/>
      <c r="AL241" s="755" t="n"/>
      <c r="AM241" s="740" t="inlineStr">
        <is>
          <t>Yes</t>
        </is>
      </c>
      <c r="AN241" s="755" t="n"/>
      <c r="AO241" s="755" t="n"/>
      <c r="AP241" s="755" t="n"/>
      <c r="AQ241" s="740" t="inlineStr">
        <is>
          <t>DAILY</t>
        </is>
      </c>
      <c r="AR241" s="755" t="n"/>
      <c r="AS241" s="755" t="n"/>
      <c r="AT241" s="755" t="n"/>
      <c r="AU241" s="755" t="n"/>
      <c r="AV241" s="755" t="n"/>
      <c r="AW241" s="740" t="inlineStr">
        <is>
          <t>trade</t>
        </is>
      </c>
      <c r="AX241" s="756" t="inlineStr">
        <is>
          <t>sig:ef5d4d843d7366537837dc00</t>
        </is>
      </c>
    </row>
    <row r="242" ht="15" customHeight="1">
      <c r="A242" s="716" t="inlineStr">
        <is>
          <t>F938</t>
        </is>
      </c>
      <c r="B242" s="717" t="n">
        <v>44757.93541666667</v>
      </c>
      <c r="C242" s="718" t="n">
        <v>44758.02430555555</v>
      </c>
      <c r="D242" s="719" t="inlineStr">
        <is>
          <t>OANDA DEMO</t>
        </is>
      </c>
      <c r="E242" s="719" t="inlineStr">
        <is>
          <t>NZDUSD</t>
        </is>
      </c>
      <c r="F242" s="719" t="inlineStr">
        <is>
          <t>SELL</t>
        </is>
      </c>
      <c r="G242" s="757" t="n">
        <v>0.00626</v>
      </c>
      <c r="H242" s="720" t="n">
        <v>0.61491</v>
      </c>
      <c r="I242" s="720" t="n">
        <v>0.6170600000000001</v>
      </c>
      <c r="J242" s="721" t="n">
        <v>0.61705</v>
      </c>
      <c r="K242" s="722" t="n">
        <v>0.00348018409198099</v>
      </c>
      <c r="L242" s="721" t="n">
        <v>0.61064</v>
      </c>
      <c r="M242" s="722" t="n">
        <v>0.006944105641475982</v>
      </c>
      <c r="N242" s="788" t="n"/>
      <c r="O242" s="762" t="n">
        <v>-1.99</v>
      </c>
      <c r="P242" s="725" t="n">
        <v>-0.009940665714893715</v>
      </c>
      <c r="Q242" s="726" t="n">
        <v>-1.004672897196292</v>
      </c>
      <c r="R242" s="764" t="n">
        <v>198.1978</v>
      </c>
      <c r="S242" s="719" t="inlineStr">
        <is>
          <t>2H 8M 0S</t>
        </is>
      </c>
      <c r="T242" s="728" t="n"/>
      <c r="U242" s="729" t="n"/>
      <c r="V242" s="730" t="n"/>
      <c r="W242" s="731" t="n"/>
      <c r="X242" s="732" t="n"/>
      <c r="Y242" s="728" t="n"/>
      <c r="Z242" s="729" t="n"/>
      <c r="AA242" s="730" t="n"/>
      <c r="AB242" s="731" t="n"/>
      <c r="AC242" s="732" t="n"/>
      <c r="AD242" s="719" t="inlineStr">
        <is>
          <t>No</t>
        </is>
      </c>
      <c r="AE242" s="733" t="n"/>
      <c r="AF242" s="733" t="n"/>
      <c r="AG242" s="733" t="n"/>
      <c r="AH242" s="733" t="n"/>
      <c r="AI242" s="719" t="inlineStr">
        <is>
          <t>Limit</t>
        </is>
      </c>
      <c r="AJ242" s="733" t="n"/>
      <c r="AK242" s="733" t="n"/>
      <c r="AL242" s="733" t="n"/>
      <c r="AM242" s="733" t="n"/>
      <c r="AN242" s="733" t="n"/>
      <c r="AO242" s="733" t="n"/>
      <c r="AP242" s="733" t="n"/>
      <c r="AQ242" s="719" t="inlineStr">
        <is>
          <t>4H</t>
        </is>
      </c>
      <c r="AR242" s="733" t="n"/>
      <c r="AS242" s="782" t="n"/>
      <c r="AT242" s="733" t="n"/>
      <c r="AU242" s="719" t="n"/>
      <c r="AV242" s="719" t="n"/>
      <c r="AW242" s="719" t="inlineStr">
        <is>
          <t>trade</t>
        </is>
      </c>
      <c r="AX242" s="734" t="inlineStr">
        <is>
          <t>sig:6f1d5116d61423b811074d09</t>
        </is>
      </c>
    </row>
    <row r="243" ht="15" customHeight="1">
      <c r="A243" s="737" t="inlineStr">
        <is>
          <t>F937</t>
        </is>
      </c>
      <c r="B243" s="738" t="n">
        <v>44755.72840277778</v>
      </c>
      <c r="C243" s="739" t="n">
        <v>44755.73178240741</v>
      </c>
      <c r="D243" s="740" t="inlineStr">
        <is>
          <t>PEPPERSTONE DEMO</t>
        </is>
      </c>
      <c r="E243" s="740" t="inlineStr">
        <is>
          <t>EURCHF</t>
        </is>
      </c>
      <c r="F243" s="740" t="inlineStr">
        <is>
          <t>SELL</t>
        </is>
      </c>
      <c r="G243" s="775" t="n">
        <v>0.08</v>
      </c>
      <c r="H243" s="742" t="n">
        <v>0.9827399999999999</v>
      </c>
      <c r="I243" s="742" t="n">
        <v>0.98194</v>
      </c>
      <c r="J243" s="743" t="n">
        <v>0.98314</v>
      </c>
      <c r="K243" s="765" t="n">
        <v>0.0004070252559171978</v>
      </c>
      <c r="L243" s="743" t="n">
        <v>0.98194</v>
      </c>
      <c r="M243" s="765" t="n">
        <v>0.0008140505118341697</v>
      </c>
      <c r="N243" s="766" t="n">
        <v>0.5600000000000001</v>
      </c>
      <c r="O243" s="767" t="n">
        <v>9.09</v>
      </c>
      <c r="P243" s="747" t="n">
        <v>0.009130081055835116</v>
      </c>
      <c r="Q243" s="748" t="n">
        <v>1.999999999999445</v>
      </c>
      <c r="R243" s="769" t="n">
        <v>1004.7</v>
      </c>
      <c r="S243" s="740" t="inlineStr">
        <is>
          <t>4M 52S</t>
        </is>
      </c>
      <c r="T243" s="750" t="n"/>
      <c r="U243" s="751" t="n"/>
      <c r="V243" s="752" t="n"/>
      <c r="W243" s="753" t="n"/>
      <c r="X243" s="754" t="n"/>
      <c r="Y243" s="750" t="n"/>
      <c r="Z243" s="751" t="n"/>
      <c r="AA243" s="752" t="n"/>
      <c r="AB243" s="753" t="n"/>
      <c r="AC243" s="754" t="n"/>
      <c r="AD243" s="740" t="inlineStr">
        <is>
          <t>No</t>
        </is>
      </c>
      <c r="AE243" s="755" t="n"/>
      <c r="AF243" s="755" t="n"/>
      <c r="AG243" s="755" t="n"/>
      <c r="AH243" s="755" t="n"/>
      <c r="AI243" s="740" t="inlineStr">
        <is>
          <t>Limit</t>
        </is>
      </c>
      <c r="AJ243" s="755" t="n"/>
      <c r="AK243" s="755" t="n"/>
      <c r="AL243" s="755" t="n"/>
      <c r="AM243" s="755" t="n"/>
      <c r="AN243" s="755" t="n"/>
      <c r="AO243" s="755" t="n"/>
      <c r="AP243" s="740" t="inlineStr">
        <is>
          <t>Pullback</t>
        </is>
      </c>
      <c r="AQ243" s="740" t="inlineStr">
        <is>
          <t>1MIN</t>
        </is>
      </c>
      <c r="AR243" s="740" t="inlineStr">
        <is>
          <t>No</t>
        </is>
      </c>
      <c r="AS243" s="787" t="n"/>
      <c r="AT243" s="755" t="n"/>
      <c r="AU243" s="740" t="n"/>
      <c r="AV243" s="740" t="n"/>
      <c r="AW243" s="740" t="inlineStr">
        <is>
          <t>trade</t>
        </is>
      </c>
      <c r="AX243" s="756" t="inlineStr">
        <is>
          <t>sig:78a4726206a297450746d9d6</t>
        </is>
      </c>
    </row>
    <row r="244" ht="15" customHeight="1">
      <c r="A244" s="716" t="inlineStr">
        <is>
          <t>F936</t>
        </is>
      </c>
      <c r="B244" s="717" t="n">
        <v>44754.83680555555</v>
      </c>
      <c r="C244" s="718" t="n">
        <v>44754.88333333333</v>
      </c>
      <c r="D244" s="719" t="inlineStr">
        <is>
          <t>OANDA DEMO</t>
        </is>
      </c>
      <c r="E244" s="719" t="inlineStr">
        <is>
          <t>EURCHF</t>
        </is>
      </c>
      <c r="F244" s="719" t="inlineStr">
        <is>
          <t>SELL</t>
        </is>
      </c>
      <c r="G244" s="735" t="n">
        <v>0.01463</v>
      </c>
      <c r="H244" s="720" t="n">
        <v>0.98745</v>
      </c>
      <c r="I244" s="720" t="n">
        <v>0.98839</v>
      </c>
      <c r="J244" s="721" t="n">
        <v>0.98836</v>
      </c>
      <c r="K244" s="760" t="n">
        <v>0.0009215656488935807</v>
      </c>
      <c r="L244" s="721" t="n">
        <v>0.98563</v>
      </c>
      <c r="M244" s="722" t="n">
        <v>0.001843131297787274</v>
      </c>
      <c r="N244" s="788" t="n"/>
      <c r="O244" s="762" t="n">
        <v>-2.08</v>
      </c>
      <c r="P244" s="725" t="n">
        <v>-0.01028339656633433</v>
      </c>
      <c r="Q244" s="726" t="n">
        <v>-1.032967032967006</v>
      </c>
      <c r="R244" s="764" t="n">
        <v>200.1878</v>
      </c>
      <c r="S244" s="719" t="inlineStr">
        <is>
          <t>1H 7M 0S</t>
        </is>
      </c>
      <c r="T244" s="728" t="n"/>
      <c r="U244" s="729" t="n"/>
      <c r="V244" s="730" t="n"/>
      <c r="W244" s="731" t="n"/>
      <c r="X244" s="732" t="n"/>
      <c r="Y244" s="728" t="n"/>
      <c r="Z244" s="729" t="n"/>
      <c r="AA244" s="730" t="n"/>
      <c r="AB244" s="731" t="n"/>
      <c r="AC244" s="732" t="n"/>
      <c r="AD244" s="719" t="inlineStr">
        <is>
          <t>No</t>
        </is>
      </c>
      <c r="AE244" s="733" t="n"/>
      <c r="AF244" s="733" t="n"/>
      <c r="AG244" s="733" t="n"/>
      <c r="AH244" s="733" t="n"/>
      <c r="AI244" s="719" t="inlineStr">
        <is>
          <t>Limit</t>
        </is>
      </c>
      <c r="AJ244" s="733" t="n"/>
      <c r="AK244" s="719" t="inlineStr">
        <is>
          <t>Yes</t>
        </is>
      </c>
      <c r="AL244" s="733" t="n"/>
      <c r="AM244" s="733" t="n"/>
      <c r="AN244" s="733" t="n"/>
      <c r="AO244" s="733" t="n"/>
      <c r="AP244" s="733" t="n"/>
      <c r="AQ244" s="719" t="inlineStr">
        <is>
          <t>30MIN</t>
        </is>
      </c>
      <c r="AR244" s="733" t="n"/>
      <c r="AS244" s="733" t="n"/>
      <c r="AT244" s="733" t="n"/>
      <c r="AU244" s="733" t="n"/>
      <c r="AV244" s="733" t="n"/>
      <c r="AW244" s="719" t="inlineStr">
        <is>
          <t>trade</t>
        </is>
      </c>
      <c r="AX244" s="734" t="inlineStr">
        <is>
          <t>sig:aebf325f6403cb34f2c3769c</t>
        </is>
      </c>
    </row>
    <row r="245" ht="15" customHeight="1">
      <c r="A245" s="716" t="inlineStr">
        <is>
          <t>F935</t>
        </is>
      </c>
      <c r="B245" s="717" t="n">
        <v>44750.7415625</v>
      </c>
      <c r="C245" s="718" t="n">
        <v>44750.74550925926</v>
      </c>
      <c r="D245" s="719" t="inlineStr">
        <is>
          <t>PEPPERSTONE DEMO</t>
        </is>
      </c>
      <c r="E245" s="719" t="inlineStr">
        <is>
          <t>EURUSD</t>
        </is>
      </c>
      <c r="F245" s="719" t="inlineStr">
        <is>
          <t>SELL</t>
        </is>
      </c>
      <c r="G245" s="735" t="n">
        <v>0.04</v>
      </c>
      <c r="H245" s="720" t="n">
        <v>1.00872</v>
      </c>
      <c r="I245" s="720" t="n">
        <v>1.00942</v>
      </c>
      <c r="J245" s="721" t="n">
        <v>1.00942</v>
      </c>
      <c r="K245" s="760" t="n">
        <v>0.0006939487667538295</v>
      </c>
      <c r="L245" s="721" t="n">
        <v>1.00732</v>
      </c>
      <c r="M245" s="722" t="n">
        <v>0.001387897533507879</v>
      </c>
      <c r="N245" s="761" t="n">
        <v>0.28</v>
      </c>
      <c r="O245" s="762" t="n">
        <v>-4.39</v>
      </c>
      <c r="P245" s="725" t="n">
        <v>-0.00439</v>
      </c>
      <c r="Q245" s="726" t="n">
        <v>-1</v>
      </c>
      <c r="R245" s="764" t="n">
        <v>995.61</v>
      </c>
      <c r="S245" s="719" t="inlineStr">
        <is>
          <t>5M 41S</t>
        </is>
      </c>
      <c r="T245" s="728" t="n"/>
      <c r="U245" s="729" t="n"/>
      <c r="V245" s="730" t="n"/>
      <c r="W245" s="731" t="n"/>
      <c r="X245" s="732" t="n"/>
      <c r="Y245" s="728" t="n"/>
      <c r="Z245" s="729" t="n"/>
      <c r="AA245" s="730" t="n"/>
      <c r="AB245" s="731" t="n"/>
      <c r="AC245" s="732" t="n"/>
      <c r="AD245" s="719" t="inlineStr">
        <is>
          <t>No</t>
        </is>
      </c>
      <c r="AE245" s="733" t="n"/>
      <c r="AF245" s="733" t="n"/>
      <c r="AG245" s="733" t="n"/>
      <c r="AH245" s="733" t="n"/>
      <c r="AI245" s="719" t="inlineStr">
        <is>
          <t>Limit</t>
        </is>
      </c>
      <c r="AJ245" s="733" t="n"/>
      <c r="AK245" s="733" t="n"/>
      <c r="AL245" s="733" t="n"/>
      <c r="AM245" s="733" t="n"/>
      <c r="AN245" s="733" t="n"/>
      <c r="AO245" s="733" t="n"/>
      <c r="AP245" s="719" t="inlineStr">
        <is>
          <t>Pullback</t>
        </is>
      </c>
      <c r="AQ245" s="719" t="inlineStr">
        <is>
          <t>1MIN</t>
        </is>
      </c>
      <c r="AR245" s="719" t="inlineStr">
        <is>
          <t>No</t>
        </is>
      </c>
      <c r="AS245" s="733" t="n"/>
      <c r="AT245" s="733" t="n"/>
      <c r="AU245" s="733" t="n"/>
      <c r="AV245" s="733" t="n"/>
      <c r="AW245" s="719" t="inlineStr">
        <is>
          <t>trade</t>
        </is>
      </c>
      <c r="AX245" s="734" t="inlineStr">
        <is>
          <t>sig:dc777048729f3b4dbd292a58</t>
        </is>
      </c>
    </row>
    <row r="246" ht="15" customHeight="1">
      <c r="A246" s="737" t="inlineStr">
        <is>
          <t>F933</t>
        </is>
      </c>
      <c r="B246" s="738" t="n">
        <v>44736.93888888889</v>
      </c>
      <c r="C246" s="739" t="n">
        <v>44748.02430555555</v>
      </c>
      <c r="D246" s="740" t="inlineStr">
        <is>
          <t>OANDA DEMO</t>
        </is>
      </c>
      <c r="E246" s="740" t="inlineStr">
        <is>
          <t>USDCHF</t>
        </is>
      </c>
      <c r="F246" s="740" t="inlineStr">
        <is>
          <t>BUY</t>
        </is>
      </c>
      <c r="G246" s="741" t="n">
        <v>0.00195</v>
      </c>
      <c r="H246" s="742" t="n">
        <v>0.95545</v>
      </c>
      <c r="I246" s="742" t="n">
        <v>0.96945</v>
      </c>
      <c r="J246" s="743" t="n">
        <v>0.94858</v>
      </c>
      <c r="K246" s="744" t="n">
        <v>0.007190329164268191</v>
      </c>
      <c r="L246" s="743" t="n">
        <v>0.96935</v>
      </c>
      <c r="M246" s="744" t="n">
        <v>0.01454811868752946</v>
      </c>
      <c r="N246" s="796" t="n"/>
      <c r="O246" s="767" t="n">
        <v>4.13</v>
      </c>
      <c r="P246" s="747" t="n">
        <v>0.02084407922163262</v>
      </c>
      <c r="Q246" s="748" t="n">
        <v>2.037845705967966</v>
      </c>
      <c r="R246" s="769" t="n">
        <v>202.2678</v>
      </c>
      <c r="S246" s="740" t="inlineStr">
        <is>
          <t>11D 2H 3M 0S</t>
        </is>
      </c>
      <c r="T246" s="750" t="n"/>
      <c r="U246" s="751" t="n"/>
      <c r="V246" s="752" t="n"/>
      <c r="W246" s="753" t="n"/>
      <c r="X246" s="754" t="n"/>
      <c r="Y246" s="750" t="n"/>
      <c r="Z246" s="751" t="n"/>
      <c r="AA246" s="752" t="n"/>
      <c r="AB246" s="753" t="n"/>
      <c r="AC246" s="754" t="n"/>
      <c r="AD246" s="740" t="inlineStr">
        <is>
          <t>No</t>
        </is>
      </c>
      <c r="AE246" s="755" t="n"/>
      <c r="AF246" s="755" t="n"/>
      <c r="AG246" s="755" t="n"/>
      <c r="AH246" s="755" t="n"/>
      <c r="AI246" s="740" t="inlineStr">
        <is>
          <t>Limit</t>
        </is>
      </c>
      <c r="AJ246" s="755" t="n"/>
      <c r="AK246" s="755" t="n"/>
      <c r="AL246" s="755" t="n"/>
      <c r="AM246" s="755" t="n"/>
      <c r="AN246" s="755" t="n"/>
      <c r="AO246" s="755" t="n"/>
      <c r="AP246" s="740" t="n"/>
      <c r="AQ246" s="740" t="inlineStr">
        <is>
          <t>WEEKLY</t>
        </is>
      </c>
      <c r="AR246" s="740" t="n"/>
      <c r="AS246" s="755" t="n"/>
      <c r="AT246" s="755" t="n"/>
      <c r="AU246" s="755" t="n"/>
      <c r="AV246" s="755" t="n"/>
      <c r="AW246" s="740" t="inlineStr">
        <is>
          <t>trade</t>
        </is>
      </c>
      <c r="AX246" s="756" t="inlineStr">
        <is>
          <t>sig:2955618f827b2dba89ea04d8</t>
        </is>
      </c>
    </row>
    <row r="247" ht="15" customHeight="1">
      <c r="A247" s="716" t="inlineStr">
        <is>
          <t>F934</t>
        </is>
      </c>
      <c r="B247" s="717" t="n">
        <v>44746.81527777778</v>
      </c>
      <c r="C247" s="718" t="n">
        <v>44747.50277777778</v>
      </c>
      <c r="D247" s="719" t="inlineStr">
        <is>
          <t>OANDA DEMO</t>
        </is>
      </c>
      <c r="E247" s="719" t="inlineStr">
        <is>
          <t>AUDCAD</t>
        </is>
      </c>
      <c r="F247" s="719" t="inlineStr">
        <is>
          <t>SELL</t>
        </is>
      </c>
      <c r="G247" s="757" t="n">
        <v>0.00703</v>
      </c>
      <c r="H247" s="720" t="n">
        <v>0.88356</v>
      </c>
      <c r="I247" s="720" t="n">
        <v>0.88523</v>
      </c>
      <c r="J247" s="721" t="n">
        <v>0.88607</v>
      </c>
      <c r="K247" s="722" t="n">
        <v>0.002840780478971447</v>
      </c>
      <c r="L247" s="721" t="n">
        <v>0.87852</v>
      </c>
      <c r="M247" s="722" t="n">
        <v>0.005704196658970579</v>
      </c>
      <c r="N247" s="761" t="n"/>
      <c r="O247" s="762" t="n">
        <v>-1.35</v>
      </c>
      <c r="P247" s="725" t="n">
        <v>-0.00676733113503683</v>
      </c>
      <c r="Q247" s="726" t="n">
        <v>-0.6653386454183032</v>
      </c>
      <c r="R247" s="764" t="n">
        <v>198.1378</v>
      </c>
      <c r="S247" s="719" t="inlineStr">
        <is>
          <t>16H 30M 0S</t>
        </is>
      </c>
      <c r="T247" s="728" t="n"/>
      <c r="U247" s="729" t="n"/>
      <c r="V247" s="730" t="n"/>
      <c r="W247" s="731" t="n"/>
      <c r="X247" s="732" t="n"/>
      <c r="Y247" s="728" t="n"/>
      <c r="Z247" s="729" t="n"/>
      <c r="AA247" s="730" t="n"/>
      <c r="AB247" s="731" t="n"/>
      <c r="AC247" s="732" t="n"/>
      <c r="AD247" s="719" t="inlineStr">
        <is>
          <t>No</t>
        </is>
      </c>
      <c r="AE247" s="733" t="n"/>
      <c r="AF247" s="733" t="n"/>
      <c r="AG247" s="733" t="n"/>
      <c r="AH247" s="733" t="n"/>
      <c r="AI247" s="719" t="inlineStr">
        <is>
          <t>Limit</t>
        </is>
      </c>
      <c r="AJ247" s="733" t="n"/>
      <c r="AK247" s="733" t="n"/>
      <c r="AL247" s="733" t="n"/>
      <c r="AM247" s="733" t="n"/>
      <c r="AN247" s="733" t="n"/>
      <c r="AO247" s="719" t="inlineStr">
        <is>
          <t>Yes</t>
        </is>
      </c>
      <c r="AP247" s="719" t="n"/>
      <c r="AQ247" s="719" t="inlineStr">
        <is>
          <t>4H</t>
        </is>
      </c>
      <c r="AR247" s="719" t="n"/>
      <c r="AS247" s="733" t="n"/>
      <c r="AT247" s="733" t="n"/>
      <c r="AU247" s="733" t="n"/>
      <c r="AV247" s="733" t="n"/>
      <c r="AW247" s="719" t="inlineStr">
        <is>
          <t>trade</t>
        </is>
      </c>
      <c r="AX247" s="734" t="inlineStr">
        <is>
          <t>sig:43d42c90930d78f58b235be9</t>
        </is>
      </c>
    </row>
    <row r="248" ht="15" customHeight="1">
      <c r="A248" s="716" t="inlineStr">
        <is>
          <t>F932</t>
        </is>
      </c>
      <c r="B248" s="717" t="n">
        <v>44740.81875</v>
      </c>
      <c r="C248" s="718" t="n">
        <v>44744</v>
      </c>
      <c r="D248" s="719" t="inlineStr">
        <is>
          <t>OANDA DEMO</t>
        </is>
      </c>
      <c r="E248" s="719" t="inlineStr">
        <is>
          <t>GBPCHF</t>
        </is>
      </c>
      <c r="F248" s="719" t="inlineStr">
        <is>
          <t>BUY</t>
        </is>
      </c>
      <c r="G248" s="791" t="n">
        <v>0.00084</v>
      </c>
      <c r="H248" s="720" t="n">
        <v>1.17023</v>
      </c>
      <c r="I248" s="720" t="n">
        <v>1.15371</v>
      </c>
      <c r="J248" s="721" t="n">
        <v>1.15371</v>
      </c>
      <c r="K248" s="722" t="n">
        <v>0.0141168830059049</v>
      </c>
      <c r="L248" s="721" t="n">
        <v>1.20327</v>
      </c>
      <c r="M248" s="722" t="n">
        <v>0.02823376601180961</v>
      </c>
      <c r="N248" s="788" t="n"/>
      <c r="O248" s="762" t="n">
        <v>-2.13</v>
      </c>
      <c r="P248" s="725" t="n">
        <v>-0.0105645434083697</v>
      </c>
      <c r="Q248" s="726" t="n">
        <v>-1</v>
      </c>
      <c r="R248" s="764" t="n">
        <v>199.4878</v>
      </c>
      <c r="S248" s="719" t="inlineStr">
        <is>
          <t>3D 4H 21M 0S</t>
        </is>
      </c>
      <c r="T248" s="728" t="n"/>
      <c r="U248" s="729" t="n"/>
      <c r="V248" s="730" t="n"/>
      <c r="W248" s="731" t="n"/>
      <c r="X248" s="732" t="n"/>
      <c r="Y248" s="728" t="n"/>
      <c r="Z248" s="729" t="n"/>
      <c r="AA248" s="730" t="n"/>
      <c r="AB248" s="731" t="n"/>
      <c r="AC248" s="732" t="n"/>
      <c r="AD248" s="719" t="inlineStr">
        <is>
          <t>No</t>
        </is>
      </c>
      <c r="AE248" s="733" t="n"/>
      <c r="AF248" s="733" t="n"/>
      <c r="AG248" s="733" t="n"/>
      <c r="AH248" s="733" t="n"/>
      <c r="AI248" s="719" t="inlineStr">
        <is>
          <t>Limit</t>
        </is>
      </c>
      <c r="AJ248" s="733" t="n"/>
      <c r="AK248" s="733" t="n"/>
      <c r="AL248" s="733" t="n"/>
      <c r="AM248" s="733" t="n"/>
      <c r="AN248" s="733" t="n"/>
      <c r="AO248" s="733" t="n"/>
      <c r="AP248" s="733" t="n"/>
      <c r="AQ248" s="719" t="inlineStr">
        <is>
          <t>MONTHLY</t>
        </is>
      </c>
      <c r="AR248" s="733" t="n"/>
      <c r="AS248" s="782" t="n"/>
      <c r="AT248" s="733" t="n"/>
      <c r="AU248" s="719" t="n"/>
      <c r="AV248" s="719" t="n"/>
      <c r="AW248" s="719" t="inlineStr">
        <is>
          <t>trade</t>
        </is>
      </c>
      <c r="AX248" s="734" t="inlineStr">
        <is>
          <t>sig:f5dbe2ff197bcaa7b7b335b6</t>
        </is>
      </c>
    </row>
    <row r="249" ht="15" customHeight="1">
      <c r="A249" s="716" t="inlineStr">
        <is>
          <t>F931</t>
        </is>
      </c>
      <c r="B249" s="717" t="n">
        <v>44741.34722222222</v>
      </c>
      <c r="C249" s="718" t="n">
        <v>44741.90625</v>
      </c>
      <c r="D249" s="719" t="inlineStr">
        <is>
          <t>OANDA DEMO</t>
        </is>
      </c>
      <c r="E249" s="719" t="inlineStr">
        <is>
          <t>GBPUSD</t>
        </is>
      </c>
      <c r="F249" s="719" t="inlineStr">
        <is>
          <t>BUY</t>
        </is>
      </c>
      <c r="G249" s="757" t="n">
        <v>0.00491</v>
      </c>
      <c r="H249" s="720" t="n">
        <v>1.21797</v>
      </c>
      <c r="I249" s="720" t="n">
        <v>1.21511</v>
      </c>
      <c r="J249" s="721" t="n">
        <v>1.21511</v>
      </c>
      <c r="K249" s="722" t="n">
        <v>0.002348169495143628</v>
      </c>
      <c r="L249" s="721" t="n">
        <v>1.22372</v>
      </c>
      <c r="M249" s="722" t="n">
        <v>0.00472097013883751</v>
      </c>
      <c r="N249" s="788" t="n"/>
      <c r="O249" s="762" t="n">
        <v>-2.02</v>
      </c>
      <c r="P249" s="725" t="n">
        <v>-0.009919572888726946</v>
      </c>
      <c r="Q249" s="726" t="n">
        <v>-1</v>
      </c>
      <c r="R249" s="764" t="n">
        <v>201.6178</v>
      </c>
      <c r="S249" s="719" t="inlineStr">
        <is>
          <t>13H 25M 0S</t>
        </is>
      </c>
      <c r="T249" s="728" t="n"/>
      <c r="U249" s="729" t="n"/>
      <c r="V249" s="730" t="n"/>
      <c r="W249" s="731" t="n"/>
      <c r="X249" s="732" t="n"/>
      <c r="Y249" s="728" t="n"/>
      <c r="Z249" s="729" t="n"/>
      <c r="AA249" s="730" t="n"/>
      <c r="AB249" s="731" t="n"/>
      <c r="AC249" s="732" t="n"/>
      <c r="AD249" s="719" t="inlineStr">
        <is>
          <t>No</t>
        </is>
      </c>
      <c r="AE249" s="733" t="n"/>
      <c r="AF249" s="733" t="n"/>
      <c r="AG249" s="733" t="n"/>
      <c r="AH249" s="733" t="n"/>
      <c r="AI249" s="719" t="inlineStr">
        <is>
          <t>Limit</t>
        </is>
      </c>
      <c r="AJ249" s="733" t="n"/>
      <c r="AK249" s="733" t="n"/>
      <c r="AL249" s="733" t="n"/>
      <c r="AM249" s="733" t="n"/>
      <c r="AN249" s="733" t="n"/>
      <c r="AO249" s="733" t="n"/>
      <c r="AP249" s="733" t="n"/>
      <c r="AQ249" s="719" t="inlineStr">
        <is>
          <t>4H</t>
        </is>
      </c>
      <c r="AR249" s="733" t="n"/>
      <c r="AS249" s="782" t="n"/>
      <c r="AT249" s="733" t="n"/>
      <c r="AU249" s="719" t="n"/>
      <c r="AV249" s="719" t="n"/>
      <c r="AW249" s="719" t="inlineStr">
        <is>
          <t>trade</t>
        </is>
      </c>
      <c r="AX249" s="734" t="inlineStr">
        <is>
          <t>sig:d78f6e4a4f20b1ffbf2bb3f3</t>
        </is>
      </c>
    </row>
    <row r="250" ht="15" customHeight="1">
      <c r="A250" s="42" t="n"/>
      <c r="B250" s="770" t="n">
        <v>44739</v>
      </c>
      <c r="C250" s="771" t="n">
        <v>44739</v>
      </c>
      <c r="D250" s="12" t="inlineStr">
        <is>
          <t>PEPPERSTONE DEMO</t>
        </is>
      </c>
      <c r="E250" s="12" t="inlineStr">
        <is>
          <t>CASHFLOW</t>
        </is>
      </c>
      <c r="F250" s="12" t="inlineStr">
        <is>
          <t>WITHDRAWAL</t>
        </is>
      </c>
      <c r="G250" s="262" t="n"/>
      <c r="H250" s="262" t="n"/>
      <c r="I250" s="262" t="n"/>
      <c r="J250" s="263" t="n"/>
      <c r="K250" s="36" t="n"/>
      <c r="L250" s="263" t="n"/>
      <c r="M250" s="36" t="n"/>
      <c r="N250" s="779" t="n"/>
      <c r="O250" s="773" t="n"/>
      <c r="P250" s="3" t="n"/>
      <c r="Q250" s="51" t="n"/>
      <c r="R250" s="54" t="n">
        <v>0</v>
      </c>
      <c r="S250" s="12" t="n"/>
      <c r="T250" s="774" t="n"/>
      <c r="U250" s="6" t="n"/>
      <c r="V250" s="264" t="n"/>
      <c r="W250" s="9" t="n"/>
      <c r="X250" s="46" t="n"/>
      <c r="Y250" s="774" t="n"/>
      <c r="Z250" s="6" t="n"/>
      <c r="AA250" s="264" t="n"/>
      <c r="AB250" s="9" t="n"/>
      <c r="AC250" s="46" t="n"/>
      <c r="AD250" s="12" t="inlineStr">
        <is>
          <t>No</t>
        </is>
      </c>
      <c r="AE250" s="45" t="n"/>
      <c r="AF250" s="45" t="n"/>
      <c r="AG250" s="45" t="n"/>
      <c r="AH250" s="45" t="n"/>
      <c r="AI250" s="12" t="n"/>
      <c r="AJ250" s="45" t="n"/>
      <c r="AK250" s="45" t="n"/>
      <c r="AL250" s="45" t="n"/>
      <c r="AM250" s="45" t="n"/>
      <c r="AN250" s="45" t="n"/>
      <c r="AO250" s="45" t="n"/>
      <c r="AP250" s="45" t="n"/>
      <c r="AQ250" s="12" t="n"/>
      <c r="AR250" s="45" t="n"/>
      <c r="AS250" s="56" t="inlineStr">
        <is>
          <t>Withdrawal -994.99 AUD. Source: user_txt. Imported from account_cashflows.xlsx row 75.</t>
        </is>
      </c>
      <c r="AT250" s="45" t="n"/>
      <c r="AU250" s="12" t="n">
        <v>0</v>
      </c>
      <c r="AV250" s="12" t="inlineStr">
        <is>
          <t>AUD</t>
        </is>
      </c>
      <c r="AW250" s="12" t="inlineStr">
        <is>
          <t>cashflow</t>
        </is>
      </c>
      <c r="AX250" s="57" t="inlineStr">
        <is>
          <t>cashflow:PEPPERSTONE DEMO:2022-06-27T00:00:00:61</t>
        </is>
      </c>
    </row>
    <row r="251" ht="15" customHeight="1">
      <c r="A251" s="42" t="n"/>
      <c r="B251" s="770" t="n">
        <v>44739</v>
      </c>
      <c r="C251" s="771" t="n">
        <v>44739</v>
      </c>
      <c r="D251" s="12" t="inlineStr">
        <is>
          <t>PEPPERSTONE DEMO</t>
        </is>
      </c>
      <c r="E251" s="12" t="inlineStr">
        <is>
          <t>CASHFLOW</t>
        </is>
      </c>
      <c r="F251" s="12" t="inlineStr">
        <is>
          <t>DEPOSIT</t>
        </is>
      </c>
      <c r="G251" s="262" t="n"/>
      <c r="H251" s="262" t="n"/>
      <c r="I251" s="262" t="n"/>
      <c r="J251" s="263" t="n"/>
      <c r="K251" s="36" t="n"/>
      <c r="L251" s="263" t="n"/>
      <c r="M251" s="36" t="n"/>
      <c r="N251" s="779" t="n"/>
      <c r="O251" s="773" t="n"/>
      <c r="P251" s="3" t="n"/>
      <c r="Q251" s="51" t="n"/>
      <c r="R251" s="54" t="n">
        <v>1000</v>
      </c>
      <c r="S251" s="12" t="n"/>
      <c r="T251" s="774" t="n"/>
      <c r="U251" s="6" t="n"/>
      <c r="V251" s="264" t="n"/>
      <c r="W251" s="9" t="n"/>
      <c r="X251" s="46" t="n"/>
      <c r="Y251" s="774" t="n"/>
      <c r="Z251" s="6" t="n"/>
      <c r="AA251" s="264" t="n"/>
      <c r="AB251" s="9" t="n"/>
      <c r="AC251" s="46" t="n"/>
      <c r="AD251" s="12" t="inlineStr">
        <is>
          <t>No</t>
        </is>
      </c>
      <c r="AE251" s="45" t="n"/>
      <c r="AF251" s="45" t="n"/>
      <c r="AG251" s="45" t="n"/>
      <c r="AH251" s="45" t="n"/>
      <c r="AI251" s="12" t="n"/>
      <c r="AJ251" s="45" t="n"/>
      <c r="AK251" s="45" t="n"/>
      <c r="AL251" s="45" t="n"/>
      <c r="AM251" s="45" t="n"/>
      <c r="AN251" s="45" t="n"/>
      <c r="AO251" s="45" t="n"/>
      <c r="AP251" s="45" t="n"/>
      <c r="AQ251" s="12" t="n"/>
      <c r="AR251" s="45" t="n"/>
      <c r="AS251" s="56" t="inlineStr">
        <is>
          <t>Deposit 1000.0 AUD. Source: user_txt. Imported from account_cashflows.xlsx row 76.</t>
        </is>
      </c>
      <c r="AT251" s="45" t="n"/>
      <c r="AU251" s="12" t="n">
        <v>1000</v>
      </c>
      <c r="AV251" s="12" t="inlineStr">
        <is>
          <t>AUD</t>
        </is>
      </c>
      <c r="AW251" s="12" t="inlineStr">
        <is>
          <t>cashflow</t>
        </is>
      </c>
      <c r="AX251" s="57" t="inlineStr">
        <is>
          <t>cashflow:PEPPERSTONE DEMO:2022-06-27T00:00:00:62</t>
        </is>
      </c>
    </row>
    <row r="252" ht="15" customHeight="1">
      <c r="A252" s="716" t="inlineStr">
        <is>
          <t>F930</t>
        </is>
      </c>
      <c r="B252" s="717" t="n">
        <v>44734.82222222222</v>
      </c>
      <c r="C252" s="718" t="n">
        <v>44734.96041666667</v>
      </c>
      <c r="D252" s="719" t="inlineStr">
        <is>
          <t>OANDA DEMO</t>
        </is>
      </c>
      <c r="E252" s="719" t="inlineStr">
        <is>
          <t>USDJPY</t>
        </is>
      </c>
      <c r="F252" s="719" t="inlineStr">
        <is>
          <t>BUY</t>
        </is>
      </c>
      <c r="G252" s="757" t="n">
        <v>0.00612</v>
      </c>
      <c r="H252" s="720" t="n">
        <v>135.994</v>
      </c>
      <c r="I252" s="720" t="n">
        <v>135.702</v>
      </c>
      <c r="J252" s="721" t="n">
        <v>135.704</v>
      </c>
      <c r="K252" s="722" t="n">
        <v>0.0021324470197214</v>
      </c>
      <c r="L252" s="721" t="n">
        <v>136.642</v>
      </c>
      <c r="M252" s="722" t="n">
        <v>0.004764916099239644</v>
      </c>
      <c r="N252" s="761" t="n"/>
      <c r="O252" s="762" t="n">
        <v>-1.91</v>
      </c>
      <c r="P252" s="725" t="n">
        <v>-0.00929224248568946</v>
      </c>
      <c r="Q252" s="726" t="n">
        <v>-1.006896551724171</v>
      </c>
      <c r="R252" s="764" t="n">
        <v>203.6378</v>
      </c>
      <c r="S252" s="719" t="inlineStr">
        <is>
          <t>3H 19M 0S</t>
        </is>
      </c>
      <c r="T252" s="728" t="n"/>
      <c r="U252" s="729" t="n"/>
      <c r="V252" s="730" t="n"/>
      <c r="W252" s="731" t="n"/>
      <c r="X252" s="732" t="n"/>
      <c r="Y252" s="728" t="n"/>
      <c r="Z252" s="729" t="n"/>
      <c r="AA252" s="730" t="n"/>
      <c r="AB252" s="731" t="n"/>
      <c r="AC252" s="732" t="n"/>
      <c r="AD252" s="719" t="inlineStr">
        <is>
          <t>No</t>
        </is>
      </c>
      <c r="AE252" s="733" t="n"/>
      <c r="AF252" s="733" t="n"/>
      <c r="AG252" s="733" t="n"/>
      <c r="AH252" s="733" t="n"/>
      <c r="AI252" s="719" t="inlineStr">
        <is>
          <t>Limit</t>
        </is>
      </c>
      <c r="AJ252" s="733" t="n"/>
      <c r="AK252" s="733" t="n"/>
      <c r="AL252" s="733" t="n"/>
      <c r="AM252" s="733" t="n"/>
      <c r="AN252" s="733" t="n"/>
      <c r="AO252" s="733" t="n"/>
      <c r="AP252" s="719" t="n"/>
      <c r="AQ252" s="719" t="inlineStr">
        <is>
          <t>4H</t>
        </is>
      </c>
      <c r="AR252" s="719" t="n"/>
      <c r="AS252" s="733" t="n"/>
      <c r="AT252" s="733" t="n"/>
      <c r="AU252" s="733" t="n"/>
      <c r="AV252" s="733" t="n"/>
      <c r="AW252" s="719" t="inlineStr">
        <is>
          <t>trade</t>
        </is>
      </c>
      <c r="AX252" s="734" t="inlineStr">
        <is>
          <t>sig:dd8a6d71aa3938b95c57e474</t>
        </is>
      </c>
    </row>
    <row r="253" ht="15" customHeight="1">
      <c r="A253" s="737" t="inlineStr">
        <is>
          <t>F929</t>
        </is>
      </c>
      <c r="B253" s="738" t="n">
        <v>44720.45138888889</v>
      </c>
      <c r="C253" s="739" t="n">
        <v>44721.93402777778</v>
      </c>
      <c r="D253" s="740" t="inlineStr">
        <is>
          <t>OANDA DEMO</t>
        </is>
      </c>
      <c r="E253" s="740" t="inlineStr">
        <is>
          <t>EURCAD</t>
        </is>
      </c>
      <c r="F253" s="740" t="inlineStr">
        <is>
          <t>BUY</t>
        </is>
      </c>
      <c r="G253" s="741" t="n">
        <v>0.00322</v>
      </c>
      <c r="H253" s="742" t="n">
        <v>1.34078</v>
      </c>
      <c r="I253" s="742" t="n">
        <v>1.3521</v>
      </c>
      <c r="J253" s="743" t="n">
        <v>1.33516</v>
      </c>
      <c r="K253" s="744" t="n">
        <v>0.004191589970017587</v>
      </c>
      <c r="L253" s="743" t="n">
        <v>1.3521</v>
      </c>
      <c r="M253" s="744" t="n">
        <v>0.00844284670117394</v>
      </c>
      <c r="N253" s="766" t="n"/>
      <c r="O253" s="767" t="n">
        <v>3.98</v>
      </c>
      <c r="P253" s="747" t="n">
        <v>0.01974521724203965</v>
      </c>
      <c r="Q253" s="748" t="n">
        <v>2.014234875444775</v>
      </c>
      <c r="R253" s="769" t="n">
        <v>205.5478</v>
      </c>
      <c r="S253" s="740" t="inlineStr">
        <is>
          <t>1D 11H 35M 0S</t>
        </is>
      </c>
      <c r="T253" s="750" t="n"/>
      <c r="U253" s="751" t="n"/>
      <c r="V253" s="752" t="n"/>
      <c r="W253" s="753" t="n"/>
      <c r="X253" s="754" t="n"/>
      <c r="Y253" s="750" t="n"/>
      <c r="Z253" s="751" t="n"/>
      <c r="AA253" s="752" t="n"/>
      <c r="AB253" s="753" t="n"/>
      <c r="AC253" s="754" t="n"/>
      <c r="AD253" s="740" t="inlineStr">
        <is>
          <t>No</t>
        </is>
      </c>
      <c r="AE253" s="755" t="n"/>
      <c r="AF253" s="755" t="n"/>
      <c r="AG253" s="755" t="n"/>
      <c r="AH253" s="755" t="n"/>
      <c r="AI253" s="740" t="inlineStr">
        <is>
          <t>Limit</t>
        </is>
      </c>
      <c r="AJ253" s="755" t="n"/>
      <c r="AK253" s="755" t="n"/>
      <c r="AL253" s="755" t="n"/>
      <c r="AM253" s="755" t="n"/>
      <c r="AN253" s="755" t="n"/>
      <c r="AO253" s="755" t="n"/>
      <c r="AP253" s="740" t="n"/>
      <c r="AQ253" s="740" t="inlineStr">
        <is>
          <t>DAILY</t>
        </is>
      </c>
      <c r="AR253" s="740" t="n"/>
      <c r="AS253" s="755" t="n"/>
      <c r="AT253" s="755" t="n"/>
      <c r="AU253" s="755" t="n"/>
      <c r="AV253" s="755" t="n"/>
      <c r="AW253" s="740" t="inlineStr">
        <is>
          <t>trade</t>
        </is>
      </c>
      <c r="AX253" s="756" t="inlineStr">
        <is>
          <t>sig:3d2e6cb0c7847cbe8051d7d6</t>
        </is>
      </c>
    </row>
    <row r="254" ht="15" customHeight="1">
      <c r="A254" s="737" t="inlineStr">
        <is>
          <t>F927</t>
        </is>
      </c>
      <c r="B254" s="738" t="n">
        <v>44706.00206018519</v>
      </c>
      <c r="C254" s="739" t="n">
        <v>44713.47098379629</v>
      </c>
      <c r="D254" s="740" t="inlineStr">
        <is>
          <t>OANDA LIVE</t>
        </is>
      </c>
      <c r="E254" s="740" t="inlineStr">
        <is>
          <t>USDJPY</t>
        </is>
      </c>
      <c r="F254" s="740" t="inlineStr">
        <is>
          <t>BUY</t>
        </is>
      </c>
      <c r="G254" s="741" t="n">
        <v>0.00139</v>
      </c>
      <c r="H254" s="742" t="n">
        <v>126.473</v>
      </c>
      <c r="I254" s="742" t="n">
        <v>129.087</v>
      </c>
      <c r="J254" s="743" t="n">
        <v>125.166</v>
      </c>
      <c r="K254" s="744" t="n">
        <v>0.01033422153344984</v>
      </c>
      <c r="L254" s="743" t="n">
        <v>129.087</v>
      </c>
      <c r="M254" s="744" t="n">
        <v>0.02066844306689958</v>
      </c>
      <c r="N254" s="796" t="n"/>
      <c r="O254" s="767" t="n">
        <v>3.8963</v>
      </c>
      <c r="P254" s="747" t="n">
        <v>0.01944904926130751</v>
      </c>
      <c r="Q254" s="748" t="n">
        <v>1.999999999999989</v>
      </c>
      <c r="R254" s="769" t="n">
        <v>204.23</v>
      </c>
      <c r="S254" s="740" t="inlineStr">
        <is>
          <t>7D 11H 15M 15S</t>
        </is>
      </c>
      <c r="T254" s="750" t="n"/>
      <c r="U254" s="751" t="n"/>
      <c r="V254" s="752" t="n"/>
      <c r="W254" s="753" t="n"/>
      <c r="X254" s="754" t="n"/>
      <c r="Y254" s="750" t="n"/>
      <c r="Z254" s="751" t="n"/>
      <c r="AA254" s="752" t="n"/>
      <c r="AB254" s="753" t="n"/>
      <c r="AC254" s="754" t="n"/>
      <c r="AD254" s="740" t="inlineStr">
        <is>
          <t>No</t>
        </is>
      </c>
      <c r="AE254" s="755" t="n"/>
      <c r="AF254" s="755" t="n"/>
      <c r="AG254" s="755" t="n"/>
      <c r="AH254" s="755" t="n"/>
      <c r="AI254" s="740" t="inlineStr">
        <is>
          <t>Limit</t>
        </is>
      </c>
      <c r="AJ254" s="755" t="n"/>
      <c r="AK254" s="755" t="n"/>
      <c r="AL254" s="755" t="n"/>
      <c r="AM254" s="755" t="n"/>
      <c r="AN254" s="755" t="n"/>
      <c r="AO254" s="755" t="n"/>
      <c r="AP254" s="740" t="inlineStr">
        <is>
          <t>Pullback</t>
        </is>
      </c>
      <c r="AQ254" s="740" t="inlineStr">
        <is>
          <t>WEEKLY</t>
        </is>
      </c>
      <c r="AR254" s="740" t="inlineStr">
        <is>
          <t>No</t>
        </is>
      </c>
      <c r="AS254" s="755" t="n"/>
      <c r="AT254" s="755" t="n"/>
      <c r="AU254" s="755" t="n"/>
      <c r="AV254" s="755" t="n"/>
      <c r="AW254" s="740" t="inlineStr">
        <is>
          <t>trade</t>
        </is>
      </c>
      <c r="AX254" s="756" t="inlineStr">
        <is>
          <t>oanda_export:live:47:58</t>
        </is>
      </c>
    </row>
    <row r="255" ht="15" customHeight="1">
      <c r="A255" s="716" t="inlineStr">
        <is>
          <t>F928</t>
        </is>
      </c>
      <c r="B255" s="717" t="n">
        <v>44712.03836805555</v>
      </c>
      <c r="C255" s="718" t="n">
        <v>44712.04070601852</v>
      </c>
      <c r="D255" s="719" t="inlineStr">
        <is>
          <t>PEPPERSTONE DEMO</t>
        </is>
      </c>
      <c r="E255" s="719" t="inlineStr">
        <is>
          <t>NZDUSD</t>
        </is>
      </c>
      <c r="F255" s="719" t="inlineStr">
        <is>
          <t>SELL</t>
        </is>
      </c>
      <c r="G255" s="735" t="n">
        <v>0.04</v>
      </c>
      <c r="H255" s="720" t="n">
        <v>0.65508</v>
      </c>
      <c r="I255" s="720" t="n">
        <v>0.65548</v>
      </c>
      <c r="J255" s="721" t="n">
        <v>0.65548</v>
      </c>
      <c r="K255" s="760" t="n">
        <v>0.0006106124442815472</v>
      </c>
      <c r="L255" s="721" t="n">
        <v>0.65388</v>
      </c>
      <c r="M255" s="722" t="n">
        <v>0.001831837332844811</v>
      </c>
      <c r="N255" s="761" t="n">
        <v>0.5600000000000001</v>
      </c>
      <c r="O255" s="762" t="n">
        <v>-5.01</v>
      </c>
      <c r="P255" s="725" t="n">
        <v>-0.00501</v>
      </c>
      <c r="Q255" s="726" t="n">
        <v>-1</v>
      </c>
      <c r="R255" s="764" t="n">
        <v>994.99</v>
      </c>
      <c r="S255" s="719" t="inlineStr">
        <is>
          <t>3M 22S</t>
        </is>
      </c>
      <c r="T255" s="728" t="n"/>
      <c r="U255" s="729" t="n"/>
      <c r="V255" s="730" t="n"/>
      <c r="W255" s="731" t="n"/>
      <c r="X255" s="732" t="n"/>
      <c r="Y255" s="728" t="n"/>
      <c r="Z255" s="729" t="n"/>
      <c r="AA255" s="730" t="n"/>
      <c r="AB255" s="731" t="n"/>
      <c r="AC255" s="732" t="n"/>
      <c r="AD255" s="719" t="inlineStr">
        <is>
          <t>No</t>
        </is>
      </c>
      <c r="AE255" s="733" t="n"/>
      <c r="AF255" s="733" t="n"/>
      <c r="AG255" s="733" t="n"/>
      <c r="AH255" s="733" t="n"/>
      <c r="AI255" s="719" t="inlineStr">
        <is>
          <t>Limit</t>
        </is>
      </c>
      <c r="AJ255" s="733" t="n"/>
      <c r="AK255" s="733" t="n"/>
      <c r="AL255" s="733" t="n"/>
      <c r="AM255" s="733" t="n"/>
      <c r="AN255" s="733" t="n"/>
      <c r="AO255" s="733" t="n"/>
      <c r="AP255" s="719" t="inlineStr">
        <is>
          <t>Pullback</t>
        </is>
      </c>
      <c r="AQ255" s="719" t="inlineStr">
        <is>
          <t>30MIN</t>
        </is>
      </c>
      <c r="AR255" s="719" t="inlineStr">
        <is>
          <t>No</t>
        </is>
      </c>
      <c r="AS255" s="733" t="n"/>
      <c r="AT255" s="733" t="n"/>
      <c r="AU255" s="733" t="n"/>
      <c r="AV255" s="733" t="n"/>
      <c r="AW255" s="719" t="inlineStr">
        <is>
          <t>trade</t>
        </is>
      </c>
      <c r="AX255" s="734" t="inlineStr">
        <is>
          <t>sig:8f8cc9e158d6856f15d6963b</t>
        </is>
      </c>
    </row>
    <row r="256" ht="15" customHeight="1">
      <c r="A256" s="42" t="n"/>
      <c r="B256" s="770" t="n">
        <v>44706</v>
      </c>
      <c r="C256" s="771" t="n">
        <v>44706</v>
      </c>
      <c r="D256" s="12" t="inlineStr">
        <is>
          <t>PEPPERSTONE DEMO</t>
        </is>
      </c>
      <c r="E256" s="12" t="inlineStr">
        <is>
          <t>CASHFLOW</t>
        </is>
      </c>
      <c r="F256" s="12" t="inlineStr">
        <is>
          <t>DEPOSIT</t>
        </is>
      </c>
      <c r="G256" s="262" t="n"/>
      <c r="H256" s="262" t="n"/>
      <c r="I256" s="262" t="n"/>
      <c r="J256" s="263" t="n"/>
      <c r="K256" s="36" t="n"/>
      <c r="L256" s="263" t="n"/>
      <c r="M256" s="36" t="n"/>
      <c r="N256" s="772" t="n"/>
      <c r="O256" s="773" t="n"/>
      <c r="P256" s="3" t="n"/>
      <c r="Q256" s="51" t="n"/>
      <c r="R256" s="54" t="n">
        <v>1000</v>
      </c>
      <c r="S256" s="12" t="n"/>
      <c r="T256" s="774" t="n"/>
      <c r="U256" s="6" t="n"/>
      <c r="V256" s="264" t="n"/>
      <c r="W256" s="9" t="n"/>
      <c r="X256" s="46" t="n"/>
      <c r="Y256" s="774" t="n"/>
      <c r="Z256" s="6" t="n"/>
      <c r="AA256" s="264" t="n"/>
      <c r="AB256" s="9" t="n"/>
      <c r="AC256" s="46" t="n"/>
      <c r="AD256" s="12" t="inlineStr">
        <is>
          <t>No</t>
        </is>
      </c>
      <c r="AE256" s="45" t="n"/>
      <c r="AF256" s="45" t="n"/>
      <c r="AG256" s="45" t="n"/>
      <c r="AH256" s="45" t="n"/>
      <c r="AI256" s="12" t="n"/>
      <c r="AJ256" s="45" t="n"/>
      <c r="AK256" s="45" t="n"/>
      <c r="AL256" s="45" t="n"/>
      <c r="AM256" s="45" t="n"/>
      <c r="AN256" s="45" t="n"/>
      <c r="AO256" s="45" t="n"/>
      <c r="AP256" s="12" t="n"/>
      <c r="AQ256" s="12" t="n"/>
      <c r="AR256" s="12" t="n"/>
      <c r="AS256" s="56" t="inlineStr">
        <is>
          <t>Deposit 1000.0 AUD. Source: user_txt. Imported from account_cashflows.xlsx row 74.</t>
        </is>
      </c>
      <c r="AT256" s="45" t="n"/>
      <c r="AU256" s="12" t="n">
        <v>1000</v>
      </c>
      <c r="AV256" s="12" t="inlineStr">
        <is>
          <t>AUD</t>
        </is>
      </c>
      <c r="AW256" s="12" t="inlineStr">
        <is>
          <t>cashflow</t>
        </is>
      </c>
      <c r="AX256" s="57" t="inlineStr">
        <is>
          <t>cashflow:PEPPERSTONE DEMO:2022-05-25T00:00:00:60</t>
        </is>
      </c>
    </row>
    <row r="257" ht="15" customHeight="1">
      <c r="A257" s="42" t="n"/>
      <c r="B257" s="770" t="n">
        <v>44705</v>
      </c>
      <c r="C257" s="771" t="n">
        <v>44705</v>
      </c>
      <c r="D257" s="12" t="inlineStr">
        <is>
          <t>PEPPERSTONE DEMO</t>
        </is>
      </c>
      <c r="E257" s="12" t="inlineStr">
        <is>
          <t>CASHFLOW</t>
        </is>
      </c>
      <c r="F257" s="12" t="inlineStr">
        <is>
          <t>WITHDRAWAL</t>
        </is>
      </c>
      <c r="G257" s="262" t="n"/>
      <c r="H257" s="262" t="n"/>
      <c r="I257" s="262" t="n"/>
      <c r="J257" s="263" t="n"/>
      <c r="K257" s="36" t="n"/>
      <c r="L257" s="263" t="n"/>
      <c r="M257" s="36" t="n"/>
      <c r="N257" s="779" t="n"/>
      <c r="O257" s="773" t="n"/>
      <c r="P257" s="3" t="n"/>
      <c r="Q257" s="51" t="n"/>
      <c r="R257" s="54" t="n">
        <v>0</v>
      </c>
      <c r="S257" s="12" t="n"/>
      <c r="T257" s="774" t="n"/>
      <c r="U257" s="6" t="n"/>
      <c r="V257" s="264" t="n"/>
      <c r="W257" s="9" t="n"/>
      <c r="X257" s="46" t="n"/>
      <c r="Y257" s="774" t="n"/>
      <c r="Z257" s="6" t="n"/>
      <c r="AA257" s="264" t="n"/>
      <c r="AB257" s="9" t="n"/>
      <c r="AC257" s="46" t="n"/>
      <c r="AD257" s="12" t="inlineStr">
        <is>
          <t>No</t>
        </is>
      </c>
      <c r="AE257" s="45" t="n"/>
      <c r="AF257" s="45" t="n"/>
      <c r="AG257" s="45" t="n"/>
      <c r="AH257" s="45" t="n"/>
      <c r="AI257" s="12" t="n"/>
      <c r="AJ257" s="45" t="n"/>
      <c r="AK257" s="45" t="n"/>
      <c r="AL257" s="45" t="n"/>
      <c r="AM257" s="45" t="n"/>
      <c r="AN257" s="45" t="n"/>
      <c r="AO257" s="45" t="n"/>
      <c r="AP257" s="45" t="n"/>
      <c r="AQ257" s="12" t="n"/>
      <c r="AR257" s="45" t="n"/>
      <c r="AS257" s="56" t="inlineStr">
        <is>
          <t>Withdrawal -973.67 AUD. Source: user_txt. Imported from account_cashflows.xlsx row 73.</t>
        </is>
      </c>
      <c r="AT257" s="45" t="n"/>
      <c r="AU257" s="12" t="n">
        <v>0</v>
      </c>
      <c r="AV257" s="12" t="inlineStr">
        <is>
          <t>AUD</t>
        </is>
      </c>
      <c r="AW257" s="12" t="inlineStr">
        <is>
          <t>cashflow</t>
        </is>
      </c>
      <c r="AX257" s="57" t="inlineStr">
        <is>
          <t>cashflow:PEPPERSTONE DEMO:2022-05-24T00:00:00:59</t>
        </is>
      </c>
    </row>
    <row r="258" ht="15" customHeight="1">
      <c r="A258" s="737" t="inlineStr">
        <is>
          <t>F926</t>
        </is>
      </c>
      <c r="B258" s="738" t="n">
        <v>44698.8</v>
      </c>
      <c r="C258" s="739" t="n">
        <v>44700.04444444444</v>
      </c>
      <c r="D258" s="740" t="inlineStr">
        <is>
          <t>OANDA DEMO</t>
        </is>
      </c>
      <c r="E258" s="740" t="inlineStr">
        <is>
          <t>GBPCHF</t>
        </is>
      </c>
      <c r="F258" s="740" t="inlineStr">
        <is>
          <t>SELL</t>
        </is>
      </c>
      <c r="G258" s="741" t="n">
        <v>0.00168</v>
      </c>
      <c r="H258" s="742" t="n">
        <v>1.24414</v>
      </c>
      <c r="I258" s="742" t="n">
        <v>1.22764</v>
      </c>
      <c r="J258" s="743" t="n">
        <v>1.25233</v>
      </c>
      <c r="K258" s="744" t="n">
        <v>0.006582860449788544</v>
      </c>
      <c r="L258" s="743" t="n">
        <v>1.22764</v>
      </c>
      <c r="M258" s="744" t="n">
        <v>0.01326217306733966</v>
      </c>
      <c r="N258" s="796" t="n"/>
      <c r="O258" s="767" t="n">
        <v>3.96</v>
      </c>
      <c r="P258" s="747" t="n">
        <v>0.02003969478937572</v>
      </c>
      <c r="Q258" s="748" t="n">
        <v>2.014652014652029</v>
      </c>
      <c r="R258" s="769" t="n">
        <v>201.5678</v>
      </c>
      <c r="S258" s="740" t="inlineStr">
        <is>
          <t>1D 5H 52M 0S</t>
        </is>
      </c>
      <c r="T258" s="750" t="n"/>
      <c r="U258" s="751" t="n"/>
      <c r="V258" s="752" t="n"/>
      <c r="W258" s="753" t="n"/>
      <c r="X258" s="754" t="n"/>
      <c r="Y258" s="750" t="n"/>
      <c r="Z258" s="751" t="n"/>
      <c r="AA258" s="752" t="n"/>
      <c r="AB258" s="753" t="n"/>
      <c r="AC258" s="754" t="n"/>
      <c r="AD258" s="740" t="inlineStr">
        <is>
          <t>No</t>
        </is>
      </c>
      <c r="AE258" s="755" t="n"/>
      <c r="AF258" s="755" t="n"/>
      <c r="AG258" s="755" t="n"/>
      <c r="AH258" s="755" t="n"/>
      <c r="AI258" s="740" t="inlineStr">
        <is>
          <t>Limit</t>
        </is>
      </c>
      <c r="AJ258" s="755" t="n"/>
      <c r="AK258" s="755" t="n"/>
      <c r="AL258" s="755" t="n"/>
      <c r="AM258" s="755" t="n"/>
      <c r="AN258" s="755" t="n"/>
      <c r="AO258" s="755" t="n"/>
      <c r="AP258" s="755" t="n"/>
      <c r="AQ258" s="740" t="inlineStr">
        <is>
          <t>WEEKLY</t>
        </is>
      </c>
      <c r="AR258" s="755" t="n"/>
      <c r="AS258" s="755" t="n"/>
      <c r="AT258" s="755" t="n"/>
      <c r="AU258" s="755" t="n"/>
      <c r="AV258" s="755" t="n"/>
      <c r="AW258" s="740" t="inlineStr">
        <is>
          <t>trade</t>
        </is>
      </c>
      <c r="AX258" s="756" t="inlineStr">
        <is>
          <t>sig:422d7f0fbac81f843291e4d7</t>
        </is>
      </c>
    </row>
    <row r="259" ht="15" customHeight="1">
      <c r="A259" s="737" t="inlineStr">
        <is>
          <t>F925</t>
        </is>
      </c>
      <c r="B259" s="738" t="n">
        <v>44693.98055555556</v>
      </c>
      <c r="C259" s="739" t="n">
        <v>44698.70277777778</v>
      </c>
      <c r="D259" s="740" t="inlineStr">
        <is>
          <t>OANDA DEMO</t>
        </is>
      </c>
      <c r="E259" s="740" t="inlineStr">
        <is>
          <t>GBPJPY</t>
        </is>
      </c>
      <c r="F259" s="740" t="inlineStr">
        <is>
          <t>BUY</t>
        </is>
      </c>
      <c r="G259" s="795" t="n">
        <v>0.0009300000000000001</v>
      </c>
      <c r="H259" s="742" t="n">
        <v>156.415</v>
      </c>
      <c r="I259" s="742" t="n">
        <v>160.213</v>
      </c>
      <c r="J259" s="743" t="n">
        <v>154.517</v>
      </c>
      <c r="K259" s="744" t="n">
        <v>0.01213438608829074</v>
      </c>
      <c r="L259" s="743" t="n">
        <v>160.212</v>
      </c>
      <c r="M259" s="744" t="n">
        <v>0.02427516542531085</v>
      </c>
      <c r="N259" s="796" t="n"/>
      <c r="O259" s="767" t="n">
        <v>3.87</v>
      </c>
      <c r="P259" s="747" t="n">
        <v>0.01997545135745322</v>
      </c>
      <c r="Q259" s="748" t="n">
        <v>2.001053740779773</v>
      </c>
      <c r="R259" s="769" t="n">
        <v>197.6078</v>
      </c>
      <c r="S259" s="740" t="inlineStr">
        <is>
          <t>4D 17H 20M 0S</t>
        </is>
      </c>
      <c r="T259" s="750" t="n"/>
      <c r="U259" s="751" t="n"/>
      <c r="V259" s="752" t="n"/>
      <c r="W259" s="753" t="n"/>
      <c r="X259" s="754" t="n"/>
      <c r="Y259" s="750" t="n"/>
      <c r="Z259" s="751" t="n"/>
      <c r="AA259" s="752" t="n"/>
      <c r="AB259" s="753" t="n"/>
      <c r="AC259" s="754" t="n"/>
      <c r="AD259" s="740" t="inlineStr">
        <is>
          <t>No</t>
        </is>
      </c>
      <c r="AE259" s="755" t="n"/>
      <c r="AF259" s="755" t="n"/>
      <c r="AG259" s="755" t="n"/>
      <c r="AH259" s="755" t="n"/>
      <c r="AI259" s="740" t="inlineStr">
        <is>
          <t>Limit</t>
        </is>
      </c>
      <c r="AJ259" s="755" t="n"/>
      <c r="AK259" s="755" t="n"/>
      <c r="AL259" s="755" t="n"/>
      <c r="AM259" s="755" t="n"/>
      <c r="AN259" s="755" t="n"/>
      <c r="AO259" s="740" t="n"/>
      <c r="AP259" s="740" t="n"/>
      <c r="AQ259" s="740" t="inlineStr">
        <is>
          <t>WEEKLY</t>
        </is>
      </c>
      <c r="AR259" s="740" t="n"/>
      <c r="AS259" s="755" t="n"/>
      <c r="AT259" s="755" t="n"/>
      <c r="AU259" s="755" t="n"/>
      <c r="AV259" s="755" t="n"/>
      <c r="AW259" s="740" t="inlineStr">
        <is>
          <t>trade</t>
        </is>
      </c>
      <c r="AX259" s="756" t="inlineStr">
        <is>
          <t>sig:cb0efd6984cc788a656f34d5</t>
        </is>
      </c>
    </row>
    <row r="260" ht="15" customHeight="1">
      <c r="A260" s="716" t="inlineStr">
        <is>
          <t>F924</t>
        </is>
      </c>
      <c r="B260" s="717" t="n">
        <v>44693.73324074074</v>
      </c>
      <c r="C260" s="718" t="n">
        <v>44693.94231481481</v>
      </c>
      <c r="D260" s="719" t="inlineStr">
        <is>
          <t>PEPPERSTONE DEMO</t>
        </is>
      </c>
      <c r="E260" s="719" t="inlineStr">
        <is>
          <t>USDJPY</t>
        </is>
      </c>
      <c r="F260" s="719" t="inlineStr">
        <is>
          <t>BUY</t>
        </is>
      </c>
      <c r="G260" s="735" t="n">
        <v>0.08</v>
      </c>
      <c r="H260" s="720" t="n">
        <v>128.804</v>
      </c>
      <c r="I260" s="720" t="n">
        <v>128.367</v>
      </c>
      <c r="J260" s="721" t="n">
        <v>128.367</v>
      </c>
      <c r="K260" s="722" t="n">
        <v>0.003392751777895188</v>
      </c>
      <c r="L260" s="721" t="n">
        <v>129.679</v>
      </c>
      <c r="M260" s="722" t="n">
        <v>0.006793267289835719</v>
      </c>
      <c r="N260" s="792" t="n">
        <v>0.07000000000000001</v>
      </c>
      <c r="O260" s="762" t="n">
        <v>-5.02</v>
      </c>
      <c r="P260" s="725" t="n">
        <v>-0.005129305500209463</v>
      </c>
      <c r="Q260" s="726" t="n">
        <v>-1</v>
      </c>
      <c r="R260" s="764" t="n">
        <v>973.6700000000001</v>
      </c>
      <c r="S260" s="719" t="inlineStr">
        <is>
          <t>5H 1M 4S</t>
        </is>
      </c>
      <c r="T260" s="728" t="n"/>
      <c r="U260" s="729" t="n"/>
      <c r="V260" s="730" t="n"/>
      <c r="W260" s="731" t="n"/>
      <c r="X260" s="732" t="n"/>
      <c r="Y260" s="728" t="n"/>
      <c r="Z260" s="729" t="n"/>
      <c r="AA260" s="730" t="n"/>
      <c r="AB260" s="731" t="n"/>
      <c r="AC260" s="732" t="n"/>
      <c r="AD260" s="719" t="inlineStr">
        <is>
          <t>No</t>
        </is>
      </c>
      <c r="AE260" s="733" t="n"/>
      <c r="AF260" s="733" t="n"/>
      <c r="AG260" s="733" t="n"/>
      <c r="AH260" s="733" t="n"/>
      <c r="AI260" s="719" t="inlineStr">
        <is>
          <t>Limit</t>
        </is>
      </c>
      <c r="AJ260" s="733" t="n"/>
      <c r="AK260" s="733" t="n"/>
      <c r="AL260" s="733" t="n"/>
      <c r="AM260" s="733" t="n"/>
      <c r="AN260" s="733" t="n"/>
      <c r="AO260" s="733" t="n"/>
      <c r="AP260" s="719" t="inlineStr">
        <is>
          <t>Pullback</t>
        </is>
      </c>
      <c r="AQ260" s="719" t="inlineStr">
        <is>
          <t>DAILY</t>
        </is>
      </c>
      <c r="AR260" s="719" t="inlineStr">
        <is>
          <t>No</t>
        </is>
      </c>
      <c r="AS260" s="733" t="n"/>
      <c r="AT260" s="733" t="n"/>
      <c r="AU260" s="733" t="n"/>
      <c r="AV260" s="733" t="n"/>
      <c r="AW260" s="719" t="inlineStr">
        <is>
          <t>trade</t>
        </is>
      </c>
      <c r="AX260" s="734" t="inlineStr">
        <is>
          <t>sig:8c199362963e588472dd7d5c</t>
        </is>
      </c>
    </row>
    <row r="261" ht="15" customHeight="1">
      <c r="A261" s="716" t="inlineStr">
        <is>
          <t>C304</t>
        </is>
      </c>
      <c r="B261" s="717" t="n">
        <v>44691.11736111111</v>
      </c>
      <c r="C261" s="718" t="n">
        <v>44692.94444444445</v>
      </c>
      <c r="D261" s="719" t="inlineStr">
        <is>
          <t>BYBIT</t>
        </is>
      </c>
      <c r="E261" s="719" t="inlineStr">
        <is>
          <t>BATUSDT</t>
        </is>
      </c>
      <c r="F261" s="719" t="inlineStr">
        <is>
          <t>BUY</t>
        </is>
      </c>
      <c r="G261" s="720" t="n">
        <v>21</v>
      </c>
      <c r="H261" s="720" t="n">
        <v>0.469</v>
      </c>
      <c r="I261" s="720" t="n">
        <v>0.41</v>
      </c>
      <c r="J261" s="721" t="n">
        <v>0.41</v>
      </c>
      <c r="K261" s="722" t="n">
        <v>0.1257995735607676</v>
      </c>
      <c r="L261" s="721" t="n">
        <v>0.5873</v>
      </c>
      <c r="M261" s="722" t="n">
        <v>0.2522388059701494</v>
      </c>
      <c r="N261" s="723" t="n">
        <v>0.01101681</v>
      </c>
      <c r="O261" s="724" t="n">
        <v>-1.25088346</v>
      </c>
      <c r="P261" s="725" t="n">
        <v>-0.005117217613681721</v>
      </c>
      <c r="Q261" s="726" t="n">
        <v>-1</v>
      </c>
      <c r="R261" s="727" t="n">
        <v>243.1951327999999</v>
      </c>
      <c r="S261" s="719" t="inlineStr">
        <is>
          <t>1D 19H 51M 0S</t>
        </is>
      </c>
      <c r="T261" s="728" t="n"/>
      <c r="U261" s="729" t="n"/>
      <c r="V261" s="730" t="n"/>
      <c r="W261" s="731" t="n"/>
      <c r="X261" s="732" t="n"/>
      <c r="Y261" s="728" t="n"/>
      <c r="Z261" s="729" t="n"/>
      <c r="AA261" s="730" t="n"/>
      <c r="AB261" s="731" t="n"/>
      <c r="AC261" s="732" t="n"/>
      <c r="AD261" s="719" t="inlineStr">
        <is>
          <t>No</t>
        </is>
      </c>
      <c r="AE261" s="733" t="n"/>
      <c r="AF261" s="733" t="n"/>
      <c r="AG261" s="733" t="n"/>
      <c r="AH261" s="733" t="n"/>
      <c r="AI261" s="719" t="inlineStr">
        <is>
          <t>Limit</t>
        </is>
      </c>
      <c r="AJ261" s="733" t="n"/>
      <c r="AK261" s="733" t="n"/>
      <c r="AL261" s="733" t="n"/>
      <c r="AM261" s="733" t="n"/>
      <c r="AN261" s="733" t="n"/>
      <c r="AO261" s="733" t="n"/>
      <c r="AP261" s="719" t="inlineStr">
        <is>
          <t>Pullback</t>
        </is>
      </c>
      <c r="AQ261" s="719" t="inlineStr">
        <is>
          <t>WEEKLY</t>
        </is>
      </c>
      <c r="AR261" s="719" t="inlineStr">
        <is>
          <t>No</t>
        </is>
      </c>
      <c r="AS261" s="733" t="n"/>
      <c r="AT261" s="733" t="n"/>
      <c r="AU261" s="733" t="n"/>
      <c r="AV261" s="733" t="n"/>
      <c r="AW261" s="719" t="inlineStr">
        <is>
          <t>trade</t>
        </is>
      </c>
      <c r="AX261" s="734" t="inlineStr">
        <is>
          <t>sig:9b260c18bdcdcc5d7802a701</t>
        </is>
      </c>
    </row>
    <row r="262" ht="15" customHeight="1">
      <c r="A262" s="716" t="inlineStr">
        <is>
          <t>F922</t>
        </is>
      </c>
      <c r="B262" s="717" t="n">
        <v>44690.64395833333</v>
      </c>
      <c r="C262" s="718" t="n">
        <v>44691.42704861111</v>
      </c>
      <c r="D262" s="719" t="inlineStr">
        <is>
          <t>OANDA LIVE</t>
        </is>
      </c>
      <c r="E262" s="719" t="inlineStr">
        <is>
          <t>AUDUSD</t>
        </is>
      </c>
      <c r="F262" s="719" t="inlineStr">
        <is>
          <t>BUY</t>
        </is>
      </c>
      <c r="G262" s="757" t="n">
        <v>0.00245</v>
      </c>
      <c r="H262" s="720" t="n">
        <v>0.7</v>
      </c>
      <c r="I262" s="720" t="n">
        <v>0.69407</v>
      </c>
      <c r="J262" s="721" t="n">
        <v>0.69407</v>
      </c>
      <c r="K262" s="722" t="n">
        <v>0.008471428571428559</v>
      </c>
      <c r="L262" s="721" t="n">
        <v>0.7118</v>
      </c>
      <c r="M262" s="722" t="n">
        <v>0.0168571428571429</v>
      </c>
      <c r="N262" s="788" t="n"/>
      <c r="O262" s="762" t="n">
        <v>-2.1148</v>
      </c>
      <c r="P262" s="725" t="n">
        <v>-0.01044630437531613</v>
      </c>
      <c r="Q262" s="726" t="n">
        <v>-1</v>
      </c>
      <c r="R262" s="764" t="n">
        <v>200.33</v>
      </c>
      <c r="S262" s="719" t="inlineStr">
        <is>
          <t>18H 47M 39S</t>
        </is>
      </c>
      <c r="T262" s="728" t="n"/>
      <c r="U262" s="729" t="n"/>
      <c r="V262" s="730" t="n"/>
      <c r="W262" s="731" t="n"/>
      <c r="X262" s="732" t="n"/>
      <c r="Y262" s="728" t="n"/>
      <c r="Z262" s="729" t="n"/>
      <c r="AA262" s="730" t="n"/>
      <c r="AB262" s="731" t="n"/>
      <c r="AC262" s="732" t="n"/>
      <c r="AD262" s="719" t="inlineStr">
        <is>
          <t>No</t>
        </is>
      </c>
      <c r="AE262" s="733" t="n"/>
      <c r="AF262" s="733" t="n"/>
      <c r="AG262" s="733" t="n"/>
      <c r="AH262" s="733" t="n"/>
      <c r="AI262" s="719" t="inlineStr">
        <is>
          <t>Limit</t>
        </is>
      </c>
      <c r="AJ262" s="733" t="n"/>
      <c r="AK262" s="733" t="n"/>
      <c r="AL262" s="733" t="n"/>
      <c r="AM262" s="733" t="n"/>
      <c r="AN262" s="733" t="n"/>
      <c r="AO262" s="733" t="n"/>
      <c r="AP262" s="719" t="inlineStr">
        <is>
          <t>Pullback</t>
        </is>
      </c>
      <c r="AQ262" s="719" t="inlineStr">
        <is>
          <t>WEEKLY</t>
        </is>
      </c>
      <c r="AR262" s="719" t="inlineStr">
        <is>
          <t>No</t>
        </is>
      </c>
      <c r="AS262" s="733" t="n"/>
      <c r="AT262" s="733" t="n"/>
      <c r="AU262" s="733" t="n"/>
      <c r="AV262" s="733" t="n"/>
      <c r="AW262" s="719" t="inlineStr">
        <is>
          <t>trade</t>
        </is>
      </c>
      <c r="AX262" s="734" t="inlineStr">
        <is>
          <t>oanda_export:live:35:41</t>
        </is>
      </c>
    </row>
    <row r="263" ht="15" customHeight="1">
      <c r="A263" s="716" t="inlineStr">
        <is>
          <t>F921</t>
        </is>
      </c>
      <c r="B263" s="717" t="n">
        <v>44690.45425925926</v>
      </c>
      <c r="C263" s="718" t="n">
        <v>44691.22782407407</v>
      </c>
      <c r="D263" s="719" t="inlineStr">
        <is>
          <t>OANDA LIVE</t>
        </is>
      </c>
      <c r="E263" s="719" t="inlineStr">
        <is>
          <t>USDCAD</t>
        </is>
      </c>
      <c r="F263" s="719" t="inlineStr">
        <is>
          <t>SELL</t>
        </is>
      </c>
      <c r="G263" s="757" t="n">
        <v>0.00278</v>
      </c>
      <c r="H263" s="720" t="n">
        <v>1.29362</v>
      </c>
      <c r="I263" s="720" t="n">
        <v>1.30027</v>
      </c>
      <c r="J263" s="721" t="n">
        <v>1.30027</v>
      </c>
      <c r="K263" s="722" t="n">
        <v>0.00514061316306183</v>
      </c>
      <c r="L263" s="721" t="n">
        <v>1.28027</v>
      </c>
      <c r="M263" s="722" t="n">
        <v>0.01031987755291351</v>
      </c>
      <c r="N263" s="788" t="n"/>
      <c r="O263" s="762" t="n">
        <v>-2.056</v>
      </c>
      <c r="P263" s="725" t="n">
        <v>-0.01005349476298984</v>
      </c>
      <c r="Q263" s="726" t="n">
        <v>-1</v>
      </c>
      <c r="R263" s="764" t="n">
        <v>202.45</v>
      </c>
      <c r="S263" s="719" t="inlineStr">
        <is>
          <t>18H 33M 56S</t>
        </is>
      </c>
      <c r="T263" s="728" t="n"/>
      <c r="U263" s="729" t="n"/>
      <c r="V263" s="730" t="n"/>
      <c r="W263" s="731" t="n"/>
      <c r="X263" s="732" t="n"/>
      <c r="Y263" s="728" t="n"/>
      <c r="Z263" s="729" t="n"/>
      <c r="AA263" s="730" t="n"/>
      <c r="AB263" s="731" t="n"/>
      <c r="AC263" s="732" t="n"/>
      <c r="AD263" s="719" t="inlineStr">
        <is>
          <t>No</t>
        </is>
      </c>
      <c r="AE263" s="733" t="n"/>
      <c r="AF263" s="733" t="n"/>
      <c r="AG263" s="733" t="n"/>
      <c r="AH263" s="733" t="n"/>
      <c r="AI263" s="719" t="inlineStr">
        <is>
          <t>Limit</t>
        </is>
      </c>
      <c r="AJ263" s="733" t="n"/>
      <c r="AK263" s="733" t="n"/>
      <c r="AL263" s="733" t="n"/>
      <c r="AM263" s="733" t="n"/>
      <c r="AN263" s="733" t="n"/>
      <c r="AO263" s="733" t="n"/>
      <c r="AP263" s="719" t="inlineStr">
        <is>
          <t>Pullback</t>
        </is>
      </c>
      <c r="AQ263" s="719" t="inlineStr">
        <is>
          <t>WEEKLY</t>
        </is>
      </c>
      <c r="AR263" s="719" t="inlineStr">
        <is>
          <t>No</t>
        </is>
      </c>
      <c r="AS263" s="782" t="n"/>
      <c r="AT263" s="733" t="n"/>
      <c r="AU263" s="719" t="n"/>
      <c r="AV263" s="719" t="n"/>
      <c r="AW263" s="719" t="inlineStr">
        <is>
          <t>trade</t>
        </is>
      </c>
      <c r="AX263" s="734" t="inlineStr">
        <is>
          <t>oanda_export:live:32:38</t>
        </is>
      </c>
    </row>
    <row r="264" ht="15" customHeight="1">
      <c r="A264" s="716" t="inlineStr">
        <is>
          <t>F923</t>
        </is>
      </c>
      <c r="B264" s="717" t="n">
        <v>44690.70704861111</v>
      </c>
      <c r="C264" s="718" t="n">
        <v>44690.70918981481</v>
      </c>
      <c r="D264" s="719" t="inlineStr">
        <is>
          <t>PEPPERSTONE DEMO</t>
        </is>
      </c>
      <c r="E264" s="719" t="inlineStr">
        <is>
          <t>USDJPY</t>
        </is>
      </c>
      <c r="F264" s="719" t="inlineStr">
        <is>
          <t>BUY</t>
        </is>
      </c>
      <c r="G264" s="735" t="n">
        <v>0.05</v>
      </c>
      <c r="H264" s="720" t="n">
        <v>131.279</v>
      </c>
      <c r="I264" s="720" t="n">
        <v>131.229</v>
      </c>
      <c r="J264" s="721" t="n">
        <v>131.229</v>
      </c>
      <c r="K264" s="760" t="n">
        <v>0.0003808682272106198</v>
      </c>
      <c r="L264" s="721" t="n">
        <v>131.379</v>
      </c>
      <c r="M264" s="760" t="n">
        <v>0.0007617364544214559</v>
      </c>
      <c r="N264" s="761" t="n">
        <v>0.7</v>
      </c>
      <c r="O264" s="762" t="n">
        <v>-6.14</v>
      </c>
      <c r="P264" s="725" t="n">
        <v>-0.006234578556705218</v>
      </c>
      <c r="Q264" s="726" t="n">
        <v>-1</v>
      </c>
      <c r="R264" s="764" t="n">
        <v>978.6900000000001</v>
      </c>
      <c r="S264" s="719" t="inlineStr">
        <is>
          <t>3M 5S</t>
        </is>
      </c>
      <c r="T264" s="728" t="n"/>
      <c r="U264" s="729" t="n"/>
      <c r="V264" s="730" t="n"/>
      <c r="W264" s="731" t="n"/>
      <c r="X264" s="732" t="n"/>
      <c r="Y264" s="728" t="n"/>
      <c r="Z264" s="729" t="n"/>
      <c r="AA264" s="730" t="n"/>
      <c r="AB264" s="731" t="n"/>
      <c r="AC264" s="732" t="n"/>
      <c r="AD264" s="719" t="inlineStr">
        <is>
          <t>No</t>
        </is>
      </c>
      <c r="AE264" s="733" t="n"/>
      <c r="AF264" s="733" t="n"/>
      <c r="AG264" s="733" t="n"/>
      <c r="AH264" s="733" t="n"/>
      <c r="AI264" s="719" t="inlineStr">
        <is>
          <t>Limit</t>
        </is>
      </c>
      <c r="AJ264" s="733" t="n"/>
      <c r="AK264" s="733" t="n"/>
      <c r="AL264" s="733" t="n"/>
      <c r="AM264" s="733" t="n"/>
      <c r="AN264" s="733" t="n"/>
      <c r="AO264" s="733" t="n"/>
      <c r="AP264" s="719" t="inlineStr">
        <is>
          <t>Pullback</t>
        </is>
      </c>
      <c r="AQ264" s="719" t="inlineStr">
        <is>
          <t>1MIN</t>
        </is>
      </c>
      <c r="AR264" s="719" t="inlineStr">
        <is>
          <t>No</t>
        </is>
      </c>
      <c r="AS264" s="733" t="n"/>
      <c r="AT264" s="733" t="n"/>
      <c r="AU264" s="733" t="n"/>
      <c r="AV264" s="733" t="n"/>
      <c r="AW264" s="719" t="inlineStr">
        <is>
          <t>trade</t>
        </is>
      </c>
      <c r="AX264" s="734" t="inlineStr">
        <is>
          <t>sig:246017fc1970f044747de038</t>
        </is>
      </c>
    </row>
    <row r="265" ht="15" customHeight="1">
      <c r="A265" s="716" t="inlineStr">
        <is>
          <t>F920</t>
        </is>
      </c>
      <c r="B265" s="717" t="n">
        <v>44686.99444444444</v>
      </c>
      <c r="C265" s="718" t="n">
        <v>44687.825</v>
      </c>
      <c r="D265" s="719" t="inlineStr">
        <is>
          <t>OANDA DEMO</t>
        </is>
      </c>
      <c r="E265" s="719" t="inlineStr">
        <is>
          <t>EURCHF</t>
        </is>
      </c>
      <c r="F265" s="719" t="inlineStr">
        <is>
          <t>SELL</t>
        </is>
      </c>
      <c r="G265" s="757" t="n">
        <v>0.00915</v>
      </c>
      <c r="H265" s="720" t="n">
        <v>1.03822</v>
      </c>
      <c r="I265" s="720" t="n">
        <v>1.0414</v>
      </c>
      <c r="J265" s="721" t="n">
        <v>1.04139</v>
      </c>
      <c r="K265" s="722" t="n">
        <v>0.003053302768199531</v>
      </c>
      <c r="L265" s="721" t="n">
        <v>1.03185</v>
      </c>
      <c r="M265" s="722" t="n">
        <v>0.006135501146192509</v>
      </c>
      <c r="N265" s="788" t="n"/>
      <c r="O265" s="762" t="n">
        <v>-4.23</v>
      </c>
      <c r="P265" s="725" t="n">
        <v>-0.02136711121707672</v>
      </c>
      <c r="Q265" s="726" t="n">
        <v>-1.003154574132513</v>
      </c>
      <c r="R265" s="764" t="n">
        <v>193.7378</v>
      </c>
      <c r="S265" s="719" t="inlineStr">
        <is>
          <t>19H 56M 0S</t>
        </is>
      </c>
      <c r="T265" s="728" t="n"/>
      <c r="U265" s="729" t="n"/>
      <c r="V265" s="730" t="n"/>
      <c r="W265" s="731" t="n"/>
      <c r="X265" s="732" t="n"/>
      <c r="Y265" s="728" t="n"/>
      <c r="Z265" s="729" t="n"/>
      <c r="AA265" s="730" t="n"/>
      <c r="AB265" s="731" t="n"/>
      <c r="AC265" s="732" t="n"/>
      <c r="AD265" s="719" t="inlineStr">
        <is>
          <t>No</t>
        </is>
      </c>
      <c r="AE265" s="733" t="n"/>
      <c r="AF265" s="733" t="n"/>
      <c r="AG265" s="733" t="n"/>
      <c r="AH265" s="733" t="n"/>
      <c r="AI265" s="719" t="inlineStr">
        <is>
          <t>Limit</t>
        </is>
      </c>
      <c r="AJ265" s="733" t="n"/>
      <c r="AK265" s="733" t="n"/>
      <c r="AL265" s="733" t="n"/>
      <c r="AM265" s="733" t="n"/>
      <c r="AN265" s="733" t="n"/>
      <c r="AO265" s="733" t="n"/>
      <c r="AP265" s="733" t="n"/>
      <c r="AQ265" s="719" t="inlineStr">
        <is>
          <t>DAILY</t>
        </is>
      </c>
      <c r="AR265" s="733" t="n"/>
      <c r="AS265" s="782" t="n"/>
      <c r="AT265" s="733" t="n"/>
      <c r="AU265" s="719" t="n"/>
      <c r="AV265" s="719" t="n"/>
      <c r="AW265" s="719" t="inlineStr">
        <is>
          <t>trade</t>
        </is>
      </c>
      <c r="AX265" s="734" t="inlineStr">
        <is>
          <t>sig:d756295ec6c6940424d3572d</t>
        </is>
      </c>
    </row>
    <row r="266" ht="15" customHeight="1">
      <c r="A266" s="716" t="inlineStr">
        <is>
          <t>F919</t>
        </is>
      </c>
      <c r="B266" s="717" t="n">
        <v>44686.89375</v>
      </c>
      <c r="C266" s="718" t="n">
        <v>44686.99305555555</v>
      </c>
      <c r="D266" s="719" t="inlineStr">
        <is>
          <t>OANDA DEMO</t>
        </is>
      </c>
      <c r="E266" s="719" t="inlineStr">
        <is>
          <t>EURUSD</t>
        </is>
      </c>
      <c r="F266" s="719" t="inlineStr">
        <is>
          <t>BUY</t>
        </is>
      </c>
      <c r="G266" s="757" t="n">
        <v>0.00708</v>
      </c>
      <c r="H266" s="720" t="n">
        <v>1.05631</v>
      </c>
      <c r="I266" s="720" t="n">
        <v>1.05427</v>
      </c>
      <c r="J266" s="721" t="n">
        <v>1.05428</v>
      </c>
      <c r="K266" s="722" t="n">
        <v>0.001921784324677392</v>
      </c>
      <c r="L266" s="721" t="n">
        <v>1.06042</v>
      </c>
      <c r="M266" s="722" t="n">
        <v>0.003890903238632443</v>
      </c>
      <c r="N266" s="761" t="n"/>
      <c r="O266" s="762" t="n">
        <v>-2.03</v>
      </c>
      <c r="P266" s="725" t="n">
        <v>-0.01015011165122816</v>
      </c>
      <c r="Q266" s="726" t="n">
        <v>-1.004926108374417</v>
      </c>
      <c r="R266" s="764" t="n">
        <v>197.9678</v>
      </c>
      <c r="S266" s="719" t="inlineStr">
        <is>
          <t>2H 23M 0S</t>
        </is>
      </c>
      <c r="T266" s="728" t="n"/>
      <c r="U266" s="729" t="n"/>
      <c r="V266" s="730" t="n"/>
      <c r="W266" s="731" t="n"/>
      <c r="X266" s="732" t="n"/>
      <c r="Y266" s="728" t="n"/>
      <c r="Z266" s="729" t="n"/>
      <c r="AA266" s="730" t="n"/>
      <c r="AB266" s="731" t="n"/>
      <c r="AC266" s="732" t="n"/>
      <c r="AD266" s="719" t="inlineStr">
        <is>
          <t>No</t>
        </is>
      </c>
      <c r="AE266" s="733" t="n"/>
      <c r="AF266" s="733" t="n"/>
      <c r="AG266" s="733" t="n"/>
      <c r="AH266" s="733" t="n"/>
      <c r="AI266" s="719" t="inlineStr">
        <is>
          <t>Limit</t>
        </is>
      </c>
      <c r="AJ266" s="733" t="n"/>
      <c r="AK266" s="733" t="n"/>
      <c r="AL266" s="733" t="n"/>
      <c r="AM266" s="733" t="n"/>
      <c r="AN266" s="733" t="n"/>
      <c r="AO266" s="733" t="n"/>
      <c r="AP266" s="719" t="n"/>
      <c r="AQ266" s="719" t="inlineStr">
        <is>
          <t>4H</t>
        </is>
      </c>
      <c r="AR266" s="719" t="n"/>
      <c r="AS266" s="733" t="n"/>
      <c r="AT266" s="733" t="n"/>
      <c r="AU266" s="733" t="n"/>
      <c r="AV266" s="733" t="n"/>
      <c r="AW266" s="719" t="inlineStr">
        <is>
          <t>trade</t>
        </is>
      </c>
      <c r="AX266" s="734" t="inlineStr">
        <is>
          <t>sig:0acad8bcfa9a892feedd30ae</t>
        </is>
      </c>
    </row>
    <row r="267" ht="15" customHeight="1">
      <c r="A267" s="737" t="inlineStr">
        <is>
          <t>F915</t>
        </is>
      </c>
      <c r="B267" s="738" t="n">
        <v>44680.16105324074</v>
      </c>
      <c r="C267" s="739" t="n">
        <v>44686.75143518519</v>
      </c>
      <c r="D267" s="740" t="inlineStr">
        <is>
          <t>OANDA LIVE</t>
        </is>
      </c>
      <c r="E267" s="740" t="inlineStr">
        <is>
          <t>GBPCAD</t>
        </is>
      </c>
      <c r="F267" s="740" t="inlineStr">
        <is>
          <t>BUY</t>
        </is>
      </c>
      <c r="G267" s="741" t="n">
        <v>0.00121</v>
      </c>
      <c r="H267" s="742" t="n">
        <v>1.59456</v>
      </c>
      <c r="I267" s="742" t="n">
        <v>1.59897</v>
      </c>
      <c r="J267" s="743" t="n"/>
      <c r="K267" s="744" t="n"/>
      <c r="L267" s="743" t="n">
        <v>1.62509</v>
      </c>
      <c r="M267" s="744" t="n">
        <v>0.01914634758177801</v>
      </c>
      <c r="N267" s="766" t="n"/>
      <c r="O267" s="767" t="n">
        <v>0.5479000000000001</v>
      </c>
      <c r="P267" s="747" t="n">
        <v>0.002686415094524646</v>
      </c>
      <c r="Q267" s="748" t="n"/>
      <c r="R267" s="769" t="n">
        <v>204.5</v>
      </c>
      <c r="S267" s="740" t="inlineStr">
        <is>
          <t>6D 14H 10M 9S</t>
        </is>
      </c>
      <c r="T267" s="750" t="n"/>
      <c r="U267" s="751" t="n"/>
      <c r="V267" s="752" t="n"/>
      <c r="W267" s="753" t="n"/>
      <c r="X267" s="754" t="n"/>
      <c r="Y267" s="750" t="n"/>
      <c r="Z267" s="751" t="n"/>
      <c r="AA267" s="752" t="n"/>
      <c r="AB267" s="753" t="n"/>
      <c r="AC267" s="754" t="n"/>
      <c r="AD267" s="740" t="inlineStr">
        <is>
          <t>No</t>
        </is>
      </c>
      <c r="AE267" s="755" t="n"/>
      <c r="AF267" s="755" t="n"/>
      <c r="AG267" s="755" t="n"/>
      <c r="AH267" s="755" t="n"/>
      <c r="AI267" s="740" t="inlineStr">
        <is>
          <t>Limit</t>
        </is>
      </c>
      <c r="AJ267" s="755" t="n"/>
      <c r="AK267" s="755" t="n"/>
      <c r="AL267" s="755" t="n"/>
      <c r="AM267" s="755" t="n"/>
      <c r="AN267" s="755" t="n"/>
      <c r="AO267" s="740" t="inlineStr">
        <is>
          <t>Yes</t>
        </is>
      </c>
      <c r="AP267" s="740" t="inlineStr">
        <is>
          <t>Pullback</t>
        </is>
      </c>
      <c r="AQ267" s="740" t="inlineStr">
        <is>
          <t>MONTHLY</t>
        </is>
      </c>
      <c r="AR267" s="740" t="inlineStr">
        <is>
          <t>No</t>
        </is>
      </c>
      <c r="AS267" s="755" t="n"/>
      <c r="AT267" s="755" t="n"/>
      <c r="AU267" s="755" t="n"/>
      <c r="AV267" s="755" t="n"/>
      <c r="AW267" s="740" t="inlineStr">
        <is>
          <t>trade</t>
        </is>
      </c>
      <c r="AX267" s="756" t="inlineStr">
        <is>
          <t>oanda_export:live:12:28</t>
        </is>
      </c>
    </row>
    <row r="268" ht="15" customHeight="1">
      <c r="A268" s="737" t="inlineStr">
        <is>
          <t>F1152</t>
        </is>
      </c>
      <c r="B268" s="738" t="n">
        <v>44680.16105324074</v>
      </c>
      <c r="C268" s="739" t="n">
        <v>44686.70221064815</v>
      </c>
      <c r="D268" s="740" t="inlineStr">
        <is>
          <t>OANDA DEMO</t>
        </is>
      </c>
      <c r="E268" s="740" t="inlineStr">
        <is>
          <t>GBPCAD</t>
        </is>
      </c>
      <c r="F268" s="740" t="inlineStr">
        <is>
          <t>BUY</t>
        </is>
      </c>
      <c r="G268" s="741" t="n">
        <v>0.00253</v>
      </c>
      <c r="H268" s="742" t="n">
        <v>1.59457</v>
      </c>
      <c r="I268" s="742" t="n">
        <v>1.59701</v>
      </c>
      <c r="J268" s="743" t="n">
        <v>1.57932</v>
      </c>
      <c r="K268" s="744" t="n">
        <v>0.009563706830054489</v>
      </c>
      <c r="L268" s="743" t="n">
        <v>1.62509</v>
      </c>
      <c r="M268" s="744" t="n">
        <v>0.01913995622644342</v>
      </c>
      <c r="N268" s="796" t="n"/>
      <c r="O268" s="767" t="n">
        <v>0.6677999999999999</v>
      </c>
      <c r="P268" s="747" t="n">
        <v>0.003350223247880399</v>
      </c>
      <c r="Q268" s="748" t="n">
        <v>0.16</v>
      </c>
      <c r="R268" s="769" t="n">
        <v>199.9978</v>
      </c>
      <c r="S268" s="740" t="inlineStr">
        <is>
          <t>6D 12H 59M 16S</t>
        </is>
      </c>
      <c r="T268" s="750" t="n"/>
      <c r="U268" s="751" t="n"/>
      <c r="V268" s="752" t="n"/>
      <c r="W268" s="753" t="n"/>
      <c r="X268" s="754" t="n"/>
      <c r="Y268" s="750" t="n"/>
      <c r="Z268" s="751" t="n"/>
      <c r="AA268" s="752" t="n"/>
      <c r="AB268" s="753" t="n"/>
      <c r="AC268" s="754" t="n"/>
      <c r="AD268" s="740" t="inlineStr">
        <is>
          <t>No</t>
        </is>
      </c>
      <c r="AE268" s="755" t="n"/>
      <c r="AF268" s="755" t="n"/>
      <c r="AG268" s="755" t="n"/>
      <c r="AH268" s="755" t="n"/>
      <c r="AI268" s="755" t="n"/>
      <c r="AJ268" s="755" t="n"/>
      <c r="AK268" s="755" t="n"/>
      <c r="AL268" s="755" t="n"/>
      <c r="AM268" s="755" t="n"/>
      <c r="AN268" s="755" t="n"/>
      <c r="AO268" s="755" t="n"/>
      <c r="AP268" s="755" t="n"/>
      <c r="AQ268" s="755" t="n"/>
      <c r="AR268" s="755" t="n"/>
      <c r="AS268" s="787" t="n"/>
      <c r="AT268" s="755" t="n"/>
      <c r="AU268" s="740" t="n"/>
      <c r="AV268" s="740" t="n"/>
      <c r="AW268" s="740" t="inlineStr">
        <is>
          <t>trade</t>
        </is>
      </c>
      <c r="AX268" s="756" t="inlineStr">
        <is>
          <t>sig:165cfdd11e1d787c0f141e7e</t>
        </is>
      </c>
    </row>
    <row r="269" ht="15" customHeight="1">
      <c r="A269" s="716" t="inlineStr">
        <is>
          <t>F918</t>
        </is>
      </c>
      <c r="B269" s="717" t="n">
        <v>44685.668125</v>
      </c>
      <c r="C269" s="718" t="n">
        <v>44686.31597222222</v>
      </c>
      <c r="D269" s="719" t="inlineStr">
        <is>
          <t>OANDA DEMO</t>
        </is>
      </c>
      <c r="E269" s="719" t="inlineStr">
        <is>
          <t>NZDCAD</t>
        </is>
      </c>
      <c r="F269" s="719" t="inlineStr">
        <is>
          <t>BUY</t>
        </is>
      </c>
      <c r="G269" s="757" t="n">
        <v>0.00405</v>
      </c>
      <c r="H269" s="720" t="n">
        <v>0.82509</v>
      </c>
      <c r="I269" s="720" t="n">
        <v>0.81894</v>
      </c>
      <c r="J269" s="721" t="n">
        <v>0.82056</v>
      </c>
      <c r="K269" s="722" t="n">
        <v>0.005490310147983898</v>
      </c>
      <c r="L269" s="721" t="n">
        <v>0.83418</v>
      </c>
      <c r="M269" s="722" t="n">
        <v>0.01101697996582196</v>
      </c>
      <c r="N269" s="788" t="n"/>
      <c r="O269" s="762" t="n">
        <v>-2.79</v>
      </c>
      <c r="P269" s="725" t="n">
        <v>-0.01380368098159509</v>
      </c>
      <c r="Q269" s="726" t="n">
        <v>-1.357615894039722</v>
      </c>
      <c r="R269" s="764" t="n">
        <v>199.33</v>
      </c>
      <c r="S269" s="719" t="inlineStr">
        <is>
          <t>15H 32M 54S</t>
        </is>
      </c>
      <c r="T269" s="728" t="n"/>
      <c r="U269" s="729" t="n"/>
      <c r="V269" s="730" t="n"/>
      <c r="W269" s="731" t="n"/>
      <c r="X269" s="732" t="n"/>
      <c r="Y269" s="728" t="n"/>
      <c r="Z269" s="729" t="n"/>
      <c r="AA269" s="730" t="n"/>
      <c r="AB269" s="731" t="n"/>
      <c r="AC269" s="732" t="n"/>
      <c r="AD269" s="719" t="inlineStr">
        <is>
          <t>No</t>
        </is>
      </c>
      <c r="AE269" s="733" t="n"/>
      <c r="AF269" s="733" t="n"/>
      <c r="AG269" s="733" t="n"/>
      <c r="AH269" s="733" t="n"/>
      <c r="AI269" s="719" t="inlineStr">
        <is>
          <t>Limit</t>
        </is>
      </c>
      <c r="AJ269" s="733" t="n"/>
      <c r="AK269" s="733" t="n"/>
      <c r="AL269" s="733" t="n"/>
      <c r="AM269" s="733" t="n"/>
      <c r="AN269" s="733" t="n"/>
      <c r="AO269" s="733" t="n"/>
      <c r="AP269" s="733" t="n"/>
      <c r="AQ269" s="719" t="inlineStr">
        <is>
          <t>MONTHLY</t>
        </is>
      </c>
      <c r="AR269" s="733" t="n"/>
      <c r="AS269" s="782" t="n"/>
      <c r="AT269" s="733" t="n"/>
      <c r="AU269" s="719" t="n"/>
      <c r="AV269" s="719" t="n"/>
      <c r="AW269" s="719" t="inlineStr">
        <is>
          <t>trade</t>
        </is>
      </c>
      <c r="AX269" s="734" t="inlineStr">
        <is>
          <t>sig:63b2660b1c3a812a6e0cd8a2</t>
        </is>
      </c>
    </row>
    <row r="270" ht="15" customHeight="1">
      <c r="A270" s="737" t="inlineStr">
        <is>
          <t>F916</t>
        </is>
      </c>
      <c r="B270" s="738" t="n">
        <v>44683.94048611111</v>
      </c>
      <c r="C270" s="739" t="n">
        <v>44686.20592592593</v>
      </c>
      <c r="D270" s="740" t="inlineStr">
        <is>
          <t>OANDA LIVE</t>
        </is>
      </c>
      <c r="E270" s="740" t="inlineStr">
        <is>
          <t>USDCAD</t>
        </is>
      </c>
      <c r="F270" s="740" t="inlineStr">
        <is>
          <t>SELL</t>
        </is>
      </c>
      <c r="G270" s="741" t="n">
        <v>0.00227</v>
      </c>
      <c r="H270" s="742" t="n">
        <v>1.28941</v>
      </c>
      <c r="I270" s="742" t="n">
        <v>1.27315</v>
      </c>
      <c r="J270" s="743" t="n">
        <v>1.29754</v>
      </c>
      <c r="K270" s="744" t="n">
        <v>0.006305209359319356</v>
      </c>
      <c r="L270" s="743" t="n">
        <v>1.27315</v>
      </c>
      <c r="M270" s="744" t="n">
        <v>0.01261041871863871</v>
      </c>
      <c r="N270" s="766" t="n"/>
      <c r="O270" s="767" t="n">
        <v>3.9841</v>
      </c>
      <c r="P270" s="747" t="n">
        <v>0.01992389702444267</v>
      </c>
      <c r="Q270" s="748" t="n">
        <v>2</v>
      </c>
      <c r="R270" s="769" t="n">
        <v>203.95</v>
      </c>
      <c r="S270" s="740" t="inlineStr">
        <is>
          <t>2D 6H 22M 14S</t>
        </is>
      </c>
      <c r="T270" s="750" t="n"/>
      <c r="U270" s="751" t="n"/>
      <c r="V270" s="752" t="n"/>
      <c r="W270" s="753" t="n"/>
      <c r="X270" s="754" t="n"/>
      <c r="Y270" s="750" t="n"/>
      <c r="Z270" s="751" t="n"/>
      <c r="AA270" s="752" t="n"/>
      <c r="AB270" s="753" t="n"/>
      <c r="AC270" s="754" t="n"/>
      <c r="AD270" s="740" t="inlineStr">
        <is>
          <t>No</t>
        </is>
      </c>
      <c r="AE270" s="755" t="n"/>
      <c r="AF270" s="755" t="n"/>
      <c r="AG270" s="755" t="n"/>
      <c r="AH270" s="755" t="n"/>
      <c r="AI270" s="740" t="inlineStr">
        <is>
          <t>Limit</t>
        </is>
      </c>
      <c r="AJ270" s="755" t="n"/>
      <c r="AK270" s="755" t="n"/>
      <c r="AL270" s="755" t="n"/>
      <c r="AM270" s="755" t="n"/>
      <c r="AN270" s="755" t="n"/>
      <c r="AO270" s="755" t="n"/>
      <c r="AP270" s="740" t="inlineStr">
        <is>
          <t>Pullback</t>
        </is>
      </c>
      <c r="AQ270" s="740" t="inlineStr">
        <is>
          <t>WEEKLY</t>
        </is>
      </c>
      <c r="AR270" s="740" t="inlineStr">
        <is>
          <t>No</t>
        </is>
      </c>
      <c r="AS270" s="755" t="n"/>
      <c r="AT270" s="755" t="n"/>
      <c r="AU270" s="755" t="n"/>
      <c r="AV270" s="755" t="n"/>
      <c r="AW270" s="740" t="inlineStr">
        <is>
          <t>trade</t>
        </is>
      </c>
      <c r="AX270" s="756" t="inlineStr">
        <is>
          <t>oanda_export:live:19:24</t>
        </is>
      </c>
    </row>
    <row r="271" ht="15" customHeight="1">
      <c r="A271" s="42" t="n"/>
      <c r="B271" s="770" t="n">
        <v>44686</v>
      </c>
      <c r="C271" s="771" t="n">
        <v>44686</v>
      </c>
      <c r="D271" s="12" t="inlineStr">
        <is>
          <t>OANDA DEMO</t>
        </is>
      </c>
      <c r="E271" s="12" t="inlineStr">
        <is>
          <t>CASHFLOW</t>
        </is>
      </c>
      <c r="F271" s="12" t="inlineStr">
        <is>
          <t>WITHDRAWAL</t>
        </is>
      </c>
      <c r="G271" s="262" t="n"/>
      <c r="H271" s="262" t="n"/>
      <c r="I271" s="262" t="n"/>
      <c r="J271" s="263" t="n"/>
      <c r="K271" s="36" t="n"/>
      <c r="L271" s="263" t="n"/>
      <c r="M271" s="36" t="n"/>
      <c r="N271" s="779" t="n"/>
      <c r="O271" s="773" t="n"/>
      <c r="P271" s="3" t="n"/>
      <c r="Q271" s="51" t="n"/>
      <c r="R271" s="54" t="n">
        <v>202.12</v>
      </c>
      <c r="S271" s="12" t="n"/>
      <c r="T271" s="774" t="n"/>
      <c r="U271" s="6" t="n"/>
      <c r="V271" s="264" t="n"/>
      <c r="W271" s="9" t="n"/>
      <c r="X271" s="46" t="n"/>
      <c r="Y271" s="774" t="n"/>
      <c r="Z271" s="6" t="n"/>
      <c r="AA271" s="264" t="n"/>
      <c r="AB271" s="9" t="n"/>
      <c r="AC271" s="46" t="n"/>
      <c r="AD271" s="12" t="inlineStr">
        <is>
          <t>No</t>
        </is>
      </c>
      <c r="AE271" s="45" t="n"/>
      <c r="AF271" s="45" t="n"/>
      <c r="AG271" s="45" t="n"/>
      <c r="AH271" s="45" t="n"/>
      <c r="AI271" s="12" t="n"/>
      <c r="AJ271" s="45" t="n"/>
      <c r="AK271" s="45" t="n"/>
      <c r="AL271" s="45" t="n"/>
      <c r="AM271" s="45" t="n"/>
      <c r="AN271" s="45" t="n"/>
      <c r="AO271" s="45" t="n"/>
      <c r="AP271" s="12" t="n"/>
      <c r="AQ271" s="12" t="n"/>
      <c r="AR271" s="12" t="n"/>
      <c r="AS271" s="56" t="inlineStr">
        <is>
          <t>Withdrawal -219.13 AUD. Source: screenshot_ocr. Imported from account_cashflows.xlsx row 9.</t>
        </is>
      </c>
      <c r="AT271" s="45" t="n"/>
      <c r="AU271" s="12" t="n">
        <v>202.12</v>
      </c>
      <c r="AV271" s="12" t="inlineStr">
        <is>
          <t>AUD</t>
        </is>
      </c>
      <c r="AW271" s="12" t="inlineStr">
        <is>
          <t>cashflow</t>
        </is>
      </c>
      <c r="AX271" s="57" t="inlineStr">
        <is>
          <t>cashflow:OANDA DEMO:2022-05-05T00:00:00:1</t>
        </is>
      </c>
    </row>
    <row r="272" ht="15" customHeight="1">
      <c r="A272" s="716" t="inlineStr">
        <is>
          <t>F917</t>
        </is>
      </c>
      <c r="B272" s="717" t="n">
        <v>44684.86628472222</v>
      </c>
      <c r="C272" s="718" t="n">
        <v>44684.8712037037</v>
      </c>
      <c r="D272" s="719" t="inlineStr">
        <is>
          <t>PEPPERSTONE DEMO</t>
        </is>
      </c>
      <c r="E272" s="719" t="inlineStr">
        <is>
          <t>GBPUSD</t>
        </is>
      </c>
      <c r="F272" s="719" t="inlineStr">
        <is>
          <t>BUY</t>
        </is>
      </c>
      <c r="G272" s="735" t="n">
        <v>0.03</v>
      </c>
      <c r="H272" s="720" t="n">
        <v>1.25073</v>
      </c>
      <c r="I272" s="720" t="n">
        <v>1.25028</v>
      </c>
      <c r="J272" s="721" t="n">
        <v>1.25028</v>
      </c>
      <c r="K272" s="760" t="n">
        <v>0.0003597898827083699</v>
      </c>
      <c r="L272" s="721" t="n">
        <v>1.25208</v>
      </c>
      <c r="M272" s="722" t="n">
        <v>0.001079369648125642</v>
      </c>
      <c r="N272" s="761" t="n">
        <v>0.5600000000000001</v>
      </c>
      <c r="O272" s="762" t="n">
        <v>-5.64</v>
      </c>
      <c r="P272" s="725" t="n">
        <v>-0.005694266358395508</v>
      </c>
      <c r="Q272" s="726" t="n">
        <v>-1</v>
      </c>
      <c r="R272" s="764" t="n">
        <v>984.83</v>
      </c>
      <c r="S272" s="719" t="inlineStr">
        <is>
          <t>7M 5S</t>
        </is>
      </c>
      <c r="T272" s="728" t="n"/>
      <c r="U272" s="729" t="n"/>
      <c r="V272" s="730" t="n"/>
      <c r="W272" s="731" t="n"/>
      <c r="X272" s="732" t="n"/>
      <c r="Y272" s="728" t="n"/>
      <c r="Z272" s="729" t="n"/>
      <c r="AA272" s="730" t="n"/>
      <c r="AB272" s="731" t="n"/>
      <c r="AC272" s="732" t="n"/>
      <c r="AD272" s="719" t="inlineStr">
        <is>
          <t>No</t>
        </is>
      </c>
      <c r="AE272" s="733" t="n"/>
      <c r="AF272" s="733" t="n"/>
      <c r="AG272" s="733" t="n"/>
      <c r="AH272" s="733" t="n"/>
      <c r="AI272" s="719" t="inlineStr">
        <is>
          <t>Limit</t>
        </is>
      </c>
      <c r="AJ272" s="733" t="n"/>
      <c r="AK272" s="733" t="n"/>
      <c r="AL272" s="733" t="n"/>
      <c r="AM272" s="733" t="n"/>
      <c r="AN272" s="733" t="n"/>
      <c r="AO272" s="733" t="n"/>
      <c r="AP272" s="719" t="inlineStr">
        <is>
          <t>Pullback</t>
        </is>
      </c>
      <c r="AQ272" s="719" t="inlineStr">
        <is>
          <t>5MIN</t>
        </is>
      </c>
      <c r="AR272" s="719" t="inlineStr">
        <is>
          <t>No</t>
        </is>
      </c>
      <c r="AS272" s="733" t="n"/>
      <c r="AT272" s="733" t="n"/>
      <c r="AU272" s="733" t="n"/>
      <c r="AV272" s="733" t="n"/>
      <c r="AW272" s="719" t="inlineStr">
        <is>
          <t>trade</t>
        </is>
      </c>
      <c r="AX272" s="734" t="inlineStr">
        <is>
          <t>sig:70b8867d93287f6779bb5080</t>
        </is>
      </c>
    </row>
    <row r="273" ht="15" customHeight="1">
      <c r="A273" s="42" t="n"/>
      <c r="B273" s="770" t="n">
        <v>44680</v>
      </c>
      <c r="C273" s="771" t="n">
        <v>44680</v>
      </c>
      <c r="D273" s="12" t="inlineStr">
        <is>
          <t>OANDA LIVE</t>
        </is>
      </c>
      <c r="E273" s="12" t="inlineStr">
        <is>
          <t>CASHFLOW</t>
        </is>
      </c>
      <c r="F273" s="12" t="inlineStr">
        <is>
          <t>DEPOSIT</t>
        </is>
      </c>
      <c r="G273" s="262" t="n"/>
      <c r="H273" s="262" t="n"/>
      <c r="I273" s="262" t="n"/>
      <c r="J273" s="263" t="n"/>
      <c r="K273" s="36" t="n"/>
      <c r="L273" s="263" t="n"/>
      <c r="M273" s="36" t="n"/>
      <c r="N273" s="779" t="n"/>
      <c r="O273" s="773" t="n"/>
      <c r="P273" s="3" t="n"/>
      <c r="Q273" s="51" t="n"/>
      <c r="R273" s="54" t="n">
        <v>200</v>
      </c>
      <c r="S273" s="12" t="n"/>
      <c r="T273" s="774" t="n"/>
      <c r="U273" s="6" t="n"/>
      <c r="V273" s="264" t="n"/>
      <c r="W273" s="9" t="n"/>
      <c r="X273" s="46" t="n"/>
      <c r="Y273" s="774" t="n"/>
      <c r="Z273" s="6" t="n"/>
      <c r="AA273" s="264" t="n"/>
      <c r="AB273" s="9" t="n"/>
      <c r="AC273" s="46" t="n"/>
      <c r="AD273" s="12" t="inlineStr">
        <is>
          <t>No</t>
        </is>
      </c>
      <c r="AE273" s="45" t="n"/>
      <c r="AF273" s="45" t="n"/>
      <c r="AG273" s="45" t="n"/>
      <c r="AH273" s="45" t="n"/>
      <c r="AI273" s="12" t="n"/>
      <c r="AJ273" s="45" t="n"/>
      <c r="AK273" s="45" t="n"/>
      <c r="AL273" s="45" t="n"/>
      <c r="AM273" s="45" t="n"/>
      <c r="AN273" s="45" t="n"/>
      <c r="AO273" s="45" t="n"/>
      <c r="AP273" s="12" t="n"/>
      <c r="AQ273" s="12" t="n"/>
      <c r="AR273" s="12" t="n"/>
      <c r="AS273" s="56" t="inlineStr">
        <is>
          <t>Deposit 200.0 AUD. Source: screenshot_ocr. Imported from account_cashflows.xlsx row 10.</t>
        </is>
      </c>
      <c r="AT273" s="45" t="n"/>
      <c r="AU273" s="12" t="n">
        <v>200</v>
      </c>
      <c r="AV273" s="12" t="inlineStr">
        <is>
          <t>AUD</t>
        </is>
      </c>
      <c r="AW273" s="12" t="inlineStr">
        <is>
          <t>cashflow</t>
        </is>
      </c>
      <c r="AX273" s="57" t="inlineStr">
        <is>
          <t>cashflow:OANDA LIVE:2022-04-29T00:00:00:0</t>
        </is>
      </c>
    </row>
    <row r="274" ht="15" customHeight="1">
      <c r="A274" s="716" t="inlineStr">
        <is>
          <t>F914</t>
        </is>
      </c>
      <c r="B274" s="717" t="n">
        <v>44679.71622685185</v>
      </c>
      <c r="C274" s="718" t="n">
        <v>44679.72078703704</v>
      </c>
      <c r="D274" s="719" t="inlineStr">
        <is>
          <t>PEPPERSTONE DEMO</t>
        </is>
      </c>
      <c r="E274" s="719" t="inlineStr">
        <is>
          <t>USDJPY</t>
        </is>
      </c>
      <c r="F274" s="719" t="inlineStr">
        <is>
          <t>BUY</t>
        </is>
      </c>
      <c r="G274" s="735" t="n">
        <v>0.04</v>
      </c>
      <c r="H274" s="720" t="n">
        <v>130.33</v>
      </c>
      <c r="I274" s="720" t="n">
        <v>130.246</v>
      </c>
      <c r="J274" s="721" t="n">
        <v>130.246</v>
      </c>
      <c r="K274" s="760" t="n">
        <v>0.0006445177626026485</v>
      </c>
      <c r="L274" s="721" t="n">
        <v>130.547</v>
      </c>
      <c r="M274" s="722" t="n">
        <v>0.00166500422005666</v>
      </c>
      <c r="N274" s="761" t="n">
        <v>0.35</v>
      </c>
      <c r="O274" s="762" t="n">
        <v>-4.87</v>
      </c>
      <c r="P274" s="725" t="n">
        <v>-0.004892800450097454</v>
      </c>
      <c r="Q274" s="726" t="n">
        <v>-1</v>
      </c>
      <c r="R274" s="764" t="n">
        <v>990.47</v>
      </c>
      <c r="S274" s="719" t="inlineStr">
        <is>
          <t>6M 34S</t>
        </is>
      </c>
      <c r="T274" s="728" t="n"/>
      <c r="U274" s="729" t="n"/>
      <c r="V274" s="730" t="n"/>
      <c r="W274" s="731" t="n"/>
      <c r="X274" s="732" t="n"/>
      <c r="Y274" s="728" t="n"/>
      <c r="Z274" s="729" t="n"/>
      <c r="AA274" s="730" t="n"/>
      <c r="AB274" s="731" t="n"/>
      <c r="AC274" s="732" t="n"/>
      <c r="AD274" s="719" t="inlineStr">
        <is>
          <t>No</t>
        </is>
      </c>
      <c r="AE274" s="733" t="n"/>
      <c r="AF274" s="733" t="n"/>
      <c r="AG274" s="733" t="n"/>
      <c r="AH274" s="733" t="n"/>
      <c r="AI274" s="719" t="inlineStr">
        <is>
          <t>Limit</t>
        </is>
      </c>
      <c r="AJ274" s="733" t="n"/>
      <c r="AK274" s="733" t="n"/>
      <c r="AL274" s="733" t="n"/>
      <c r="AM274" s="733" t="n"/>
      <c r="AN274" s="733" t="n"/>
      <c r="AO274" s="733" t="n"/>
      <c r="AP274" s="719" t="inlineStr">
        <is>
          <t>Pullback</t>
        </is>
      </c>
      <c r="AQ274" s="719" t="inlineStr">
        <is>
          <t>5MIN</t>
        </is>
      </c>
      <c r="AR274" s="719" t="inlineStr">
        <is>
          <t>No</t>
        </is>
      </c>
      <c r="AS274" s="733" t="n"/>
      <c r="AT274" s="733" t="n"/>
      <c r="AU274" s="733" t="n"/>
      <c r="AV274" s="733" t="n"/>
      <c r="AW274" s="719" t="inlineStr">
        <is>
          <t>trade</t>
        </is>
      </c>
      <c r="AX274" s="734" t="inlineStr">
        <is>
          <t>sig:f53057a867abb8366de45cfc</t>
        </is>
      </c>
    </row>
    <row r="275" ht="15" customHeight="1">
      <c r="A275" s="716" t="inlineStr">
        <is>
          <t>F913</t>
        </is>
      </c>
      <c r="B275" s="717" t="n">
        <v>44679.71428240741</v>
      </c>
      <c r="C275" s="718" t="n">
        <v>44679.71546296297</v>
      </c>
      <c r="D275" s="719" t="inlineStr">
        <is>
          <t>PEPPERSTONE DEMO</t>
        </is>
      </c>
      <c r="E275" s="719" t="inlineStr">
        <is>
          <t>USDJPY</t>
        </is>
      </c>
      <c r="F275" s="719" t="inlineStr">
        <is>
          <t>BUY</t>
        </is>
      </c>
      <c r="G275" s="735" t="n">
        <v>0.04</v>
      </c>
      <c r="H275" s="720" t="n">
        <v>130.425</v>
      </c>
      <c r="I275" s="720" t="n">
        <v>130.345</v>
      </c>
      <c r="J275" s="721" t="n">
        <v>130.345</v>
      </c>
      <c r="K275" s="760" t="n">
        <v>0.0006133793367836879</v>
      </c>
      <c r="L275" s="721" t="n">
        <v>130.651</v>
      </c>
      <c r="M275" s="722" t="n">
        <v>0.001732796626413641</v>
      </c>
      <c r="N275" s="761" t="n">
        <v>0.35</v>
      </c>
      <c r="O275" s="762" t="n">
        <v>-4.66</v>
      </c>
      <c r="P275" s="725" t="n">
        <v>-0.00466</v>
      </c>
      <c r="Q275" s="726" t="n">
        <v>-1</v>
      </c>
      <c r="R275" s="764" t="n">
        <v>995.34</v>
      </c>
      <c r="S275" s="719" t="inlineStr">
        <is>
          <t>1M 42S</t>
        </is>
      </c>
      <c r="T275" s="728" t="n"/>
      <c r="U275" s="729" t="n"/>
      <c r="V275" s="730" t="n"/>
      <c r="W275" s="731" t="n"/>
      <c r="X275" s="732" t="n"/>
      <c r="Y275" s="728" t="n"/>
      <c r="Z275" s="729" t="n"/>
      <c r="AA275" s="730" t="n"/>
      <c r="AB275" s="731" t="n"/>
      <c r="AC275" s="732" t="n"/>
      <c r="AD275" s="719" t="inlineStr">
        <is>
          <t>No</t>
        </is>
      </c>
      <c r="AE275" s="733" t="n"/>
      <c r="AF275" s="733" t="n"/>
      <c r="AG275" s="733" t="n"/>
      <c r="AH275" s="733" t="n"/>
      <c r="AI275" s="719" t="inlineStr">
        <is>
          <t>Limit</t>
        </is>
      </c>
      <c r="AJ275" s="733" t="n"/>
      <c r="AK275" s="733" t="n"/>
      <c r="AL275" s="733" t="n"/>
      <c r="AM275" s="733" t="n"/>
      <c r="AN275" s="733" t="n"/>
      <c r="AO275" s="733" t="n"/>
      <c r="AP275" s="719" t="inlineStr">
        <is>
          <t>Pullback</t>
        </is>
      </c>
      <c r="AQ275" s="719" t="inlineStr">
        <is>
          <t>1MIN</t>
        </is>
      </c>
      <c r="AR275" s="719" t="inlineStr">
        <is>
          <t>No</t>
        </is>
      </c>
      <c r="AS275" s="733" t="n"/>
      <c r="AT275" s="733" t="n"/>
      <c r="AU275" s="733" t="n"/>
      <c r="AV275" s="733" t="n"/>
      <c r="AW275" s="719" t="inlineStr">
        <is>
          <t>trade</t>
        </is>
      </c>
      <c r="AX275" s="734" t="inlineStr">
        <is>
          <t>sig:841038e3d8d9cb5383d72c66</t>
        </is>
      </c>
    </row>
    <row r="276" ht="15" customHeight="1">
      <c r="A276" s="42" t="n"/>
      <c r="B276" s="770" t="n">
        <v>44676</v>
      </c>
      <c r="C276" s="771" t="n">
        <v>44676</v>
      </c>
      <c r="D276" s="12" t="inlineStr">
        <is>
          <t>PEPPERSTONE DEMO</t>
        </is>
      </c>
      <c r="E276" s="12" t="inlineStr">
        <is>
          <t>CASHFLOW</t>
        </is>
      </c>
      <c r="F276" s="12" t="inlineStr">
        <is>
          <t>DEPOSIT</t>
        </is>
      </c>
      <c r="G276" s="262" t="n"/>
      <c r="H276" s="262" t="n"/>
      <c r="I276" s="262" t="n"/>
      <c r="J276" s="263" t="n"/>
      <c r="K276" s="36" t="n"/>
      <c r="L276" s="263" t="n"/>
      <c r="M276" s="36" t="n"/>
      <c r="N276" s="779" t="n"/>
      <c r="O276" s="773" t="n"/>
      <c r="P276" s="3" t="n"/>
      <c r="Q276" s="51" t="n"/>
      <c r="R276" s="54" t="n">
        <v>1000</v>
      </c>
      <c r="S276" s="12" t="n"/>
      <c r="T276" s="774" t="n"/>
      <c r="U276" s="6" t="n"/>
      <c r="V276" s="264" t="n"/>
      <c r="W276" s="9" t="n"/>
      <c r="X276" s="46" t="n"/>
      <c r="Y276" s="774" t="n"/>
      <c r="Z276" s="6" t="n"/>
      <c r="AA276" s="264" t="n"/>
      <c r="AB276" s="9" t="n"/>
      <c r="AC276" s="46" t="n"/>
      <c r="AD276" s="12" t="inlineStr">
        <is>
          <t>No</t>
        </is>
      </c>
      <c r="AE276" s="45" t="n"/>
      <c r="AF276" s="45" t="n"/>
      <c r="AG276" s="45" t="n"/>
      <c r="AH276" s="45" t="n"/>
      <c r="AI276" s="12" t="n"/>
      <c r="AJ276" s="45" t="n"/>
      <c r="AK276" s="45" t="n"/>
      <c r="AL276" s="45" t="n"/>
      <c r="AM276" s="45" t="n"/>
      <c r="AN276" s="45" t="n"/>
      <c r="AO276" s="45" t="n"/>
      <c r="AP276" s="12" t="n"/>
      <c r="AQ276" s="12" t="n"/>
      <c r="AR276" s="12" t="n"/>
      <c r="AS276" s="56" t="inlineStr">
        <is>
          <t>Deposit 1000.0 AUD. Source: user_txt. Imported from account_cashflows.xlsx row 72.</t>
        </is>
      </c>
      <c r="AT276" s="45" t="n"/>
      <c r="AU276" s="12" t="n">
        <v>1000</v>
      </c>
      <c r="AV276" s="12" t="inlineStr">
        <is>
          <t>AUD</t>
        </is>
      </c>
      <c r="AW276" s="12" t="inlineStr">
        <is>
          <t>cashflow</t>
        </is>
      </c>
      <c r="AX276" s="57" t="inlineStr">
        <is>
          <t>cashflow:PEPPERSTONE DEMO:2022-04-25T00:00:00:58</t>
        </is>
      </c>
    </row>
    <row r="277" ht="15" customHeight="1">
      <c r="A277" s="42" t="n"/>
      <c r="B277" s="770" t="n">
        <v>44676</v>
      </c>
      <c r="C277" s="771" t="n">
        <v>44676</v>
      </c>
      <c r="D277" s="12" t="inlineStr">
        <is>
          <t>OANDA DEMO</t>
        </is>
      </c>
      <c r="E277" s="12" t="inlineStr">
        <is>
          <t>CASHFLOW</t>
        </is>
      </c>
      <c r="F277" s="12" t="inlineStr">
        <is>
          <t>DEPOSIT</t>
        </is>
      </c>
      <c r="G277" s="262" t="n"/>
      <c r="H277" s="262" t="n"/>
      <c r="I277" s="262" t="n"/>
      <c r="J277" s="263" t="n"/>
      <c r="K277" s="36" t="n"/>
      <c r="L277" s="263" t="n"/>
      <c r="M277" s="36" t="n"/>
      <c r="N277" s="772" t="n"/>
      <c r="O277" s="773" t="n"/>
      <c r="P277" s="3" t="n"/>
      <c r="Q277" s="51" t="n"/>
      <c r="R277" s="54" t="n">
        <v>421.25</v>
      </c>
      <c r="S277" s="12" t="n"/>
      <c r="T277" s="774" t="n"/>
      <c r="U277" s="6" t="n"/>
      <c r="V277" s="264" t="n"/>
      <c r="W277" s="9" t="n"/>
      <c r="X277" s="46" t="n"/>
      <c r="Y277" s="774" t="n"/>
      <c r="Z277" s="6" t="n"/>
      <c r="AA277" s="264" t="n"/>
      <c r="AB277" s="9" t="n"/>
      <c r="AC277" s="46" t="n"/>
      <c r="AD277" s="12" t="inlineStr">
        <is>
          <t>No</t>
        </is>
      </c>
      <c r="AE277" s="45" t="n"/>
      <c r="AF277" s="45" t="n"/>
      <c r="AG277" s="45" t="n"/>
      <c r="AH277" s="12" t="n"/>
      <c r="AI277" s="12" t="n"/>
      <c r="AJ277" s="45" t="n"/>
      <c r="AK277" s="45" t="n"/>
      <c r="AL277" s="45" t="n"/>
      <c r="AM277" s="45" t="n"/>
      <c r="AN277" s="45" t="n"/>
      <c r="AO277" s="45" t="n"/>
      <c r="AP277" s="12" t="n"/>
      <c r="AQ277" s="12" t="n"/>
      <c r="AR277" s="12" t="n"/>
      <c r="AS277" s="56" t="inlineStr">
        <is>
          <t>Deposit 421.25 AUD. Source: screenshot_ocr. Imported from account_cashflows.xlsx row 8.</t>
        </is>
      </c>
      <c r="AT277" s="45" t="n"/>
      <c r="AU277" s="12" t="n">
        <v>421.25</v>
      </c>
      <c r="AV277" s="12" t="inlineStr">
        <is>
          <t>AUD</t>
        </is>
      </c>
      <c r="AW277" s="12" t="inlineStr">
        <is>
          <t>cashflow</t>
        </is>
      </c>
      <c r="AX277" s="57" t="inlineStr">
        <is>
          <t>cashflow:OANDA DEMO:2022-04-25T00:00:00:0</t>
        </is>
      </c>
    </row>
    <row r="278" ht="15" customHeight="1">
      <c r="A278" s="716" t="inlineStr">
        <is>
          <t>C303</t>
        </is>
      </c>
      <c r="B278" s="717" t="n">
        <v>44648.27430555555</v>
      </c>
      <c r="C278" s="718" t="n">
        <v>44648.27569444444</v>
      </c>
      <c r="D278" s="719" t="inlineStr">
        <is>
          <t>BYBIT</t>
        </is>
      </c>
      <c r="E278" s="719" t="inlineStr">
        <is>
          <t>BTCUSDT</t>
        </is>
      </c>
      <c r="F278" s="719" t="inlineStr">
        <is>
          <t>SELL</t>
        </is>
      </c>
      <c r="G278" s="757" t="n">
        <v>0.001</v>
      </c>
      <c r="H278" s="720" t="n">
        <v>45189.5</v>
      </c>
      <c r="I278" s="720" t="n">
        <v>46432.5</v>
      </c>
      <c r="J278" s="721" t="n">
        <v>46271</v>
      </c>
      <c r="K278" s="722" t="n">
        <v>0.02393255070315007</v>
      </c>
      <c r="L278" s="721" t="n">
        <v>43026.5</v>
      </c>
      <c r="M278" s="722" t="n">
        <v>0.04786510140630014</v>
      </c>
      <c r="N278" s="723" t="n">
        <v>0.03237845</v>
      </c>
      <c r="O278" s="724" t="n">
        <v>-1.2762451</v>
      </c>
      <c r="P278" s="725" t="n">
        <v>-0.005193852168445632</v>
      </c>
      <c r="Q278" s="726" t="n">
        <v>-1.149329634766528</v>
      </c>
      <c r="R278" s="727" t="n">
        <v>244.4460162599999</v>
      </c>
      <c r="S278" s="719" t="inlineStr">
        <is>
          <t>2M 0S</t>
        </is>
      </c>
      <c r="T278" s="728" t="n"/>
      <c r="U278" s="729" t="n"/>
      <c r="V278" s="730" t="n"/>
      <c r="W278" s="731" t="n"/>
      <c r="X278" s="732" t="n"/>
      <c r="Y278" s="728" t="n"/>
      <c r="Z278" s="729" t="n"/>
      <c r="AA278" s="730" t="n"/>
      <c r="AB278" s="731" t="n"/>
      <c r="AC278" s="732" t="n"/>
      <c r="AD278" s="719" t="inlineStr">
        <is>
          <t>No</t>
        </is>
      </c>
      <c r="AE278" s="733" t="n"/>
      <c r="AF278" s="733" t="n"/>
      <c r="AG278" s="733" t="n"/>
      <c r="AH278" s="733" t="n"/>
      <c r="AI278" s="719" t="inlineStr">
        <is>
          <t>Limit</t>
        </is>
      </c>
      <c r="AJ278" s="733" t="n"/>
      <c r="AK278" s="733" t="n"/>
      <c r="AL278" s="733" t="n"/>
      <c r="AM278" s="733" t="n"/>
      <c r="AN278" s="733" t="n"/>
      <c r="AO278" s="733" t="n"/>
      <c r="AP278" s="719" t="inlineStr">
        <is>
          <t>Pullback</t>
        </is>
      </c>
      <c r="AQ278" s="719" t="inlineStr">
        <is>
          <t>DAILY</t>
        </is>
      </c>
      <c r="AR278" s="719" t="inlineStr">
        <is>
          <t>No</t>
        </is>
      </c>
      <c r="AS278" s="733" t="n"/>
      <c r="AT278" s="733" t="n"/>
      <c r="AU278" s="733" t="n"/>
      <c r="AV278" s="733" t="n"/>
      <c r="AW278" s="719" t="inlineStr">
        <is>
          <t>trade</t>
        </is>
      </c>
      <c r="AX278" s="734" t="inlineStr">
        <is>
          <t>sig:8ff7cb2fca68f885fe9edac0</t>
        </is>
      </c>
    </row>
    <row r="279" ht="15" customHeight="1">
      <c r="A279" s="716" t="inlineStr">
        <is>
          <t>F912</t>
        </is>
      </c>
      <c r="B279" s="717" t="n">
        <v>44635.10047453704</v>
      </c>
      <c r="C279" s="718" t="n">
        <v>44635.20461805556</v>
      </c>
      <c r="D279" s="719" t="inlineStr">
        <is>
          <t>PEPPERSTONE LIVE</t>
        </is>
      </c>
      <c r="E279" s="719" t="inlineStr">
        <is>
          <t>USDCHF</t>
        </is>
      </c>
      <c r="F279" s="719" t="inlineStr">
        <is>
          <t>SELL</t>
        </is>
      </c>
      <c r="G279" s="735" t="n">
        <v>0.02</v>
      </c>
      <c r="H279" s="720" t="n">
        <v>0.93646</v>
      </c>
      <c r="I279" s="720" t="n">
        <v>0.93784</v>
      </c>
      <c r="J279" s="721" t="n">
        <v>0.93784</v>
      </c>
      <c r="K279" s="722" t="n">
        <v>0.001473634752151772</v>
      </c>
      <c r="L279" s="721" t="n">
        <v>0.92752</v>
      </c>
      <c r="M279" s="722" t="n">
        <v>0.009546590350895872</v>
      </c>
      <c r="N279" s="761" t="n"/>
      <c r="O279" s="762" t="n">
        <v>-4.09</v>
      </c>
      <c r="P279" s="725" t="n">
        <v>-0.009615836742370812</v>
      </c>
      <c r="Q279" s="726" t="n">
        <v>-1</v>
      </c>
      <c r="R279" s="764" t="n">
        <v>421.2499999999999</v>
      </c>
      <c r="S279" s="719" t="inlineStr">
        <is>
          <t>2H 29M 58S</t>
        </is>
      </c>
      <c r="T279" s="728" t="n"/>
      <c r="U279" s="729" t="n"/>
      <c r="V279" s="730" t="n"/>
      <c r="W279" s="731" t="n"/>
      <c r="X279" s="732" t="n"/>
      <c r="Y279" s="728" t="n"/>
      <c r="Z279" s="729" t="n"/>
      <c r="AA279" s="730" t="n"/>
      <c r="AB279" s="731" t="n"/>
      <c r="AC279" s="732" t="n"/>
      <c r="AD279" s="719" t="inlineStr">
        <is>
          <t>No</t>
        </is>
      </c>
      <c r="AE279" s="733" t="n"/>
      <c r="AF279" s="733" t="n"/>
      <c r="AG279" s="733" t="n"/>
      <c r="AH279" s="733" t="n"/>
      <c r="AI279" s="719" t="inlineStr">
        <is>
          <t>Limit</t>
        </is>
      </c>
      <c r="AJ279" s="733" t="n"/>
      <c r="AK279" s="733" t="n"/>
      <c r="AL279" s="733" t="n"/>
      <c r="AM279" s="733" t="n"/>
      <c r="AN279" s="733" t="n"/>
      <c r="AO279" s="733" t="n"/>
      <c r="AP279" s="719" t="inlineStr">
        <is>
          <t>Pullback</t>
        </is>
      </c>
      <c r="AQ279" s="719" t="inlineStr">
        <is>
          <t>WEEKLY</t>
        </is>
      </c>
      <c r="AR279" s="719" t="inlineStr">
        <is>
          <t>No</t>
        </is>
      </c>
      <c r="AS279" s="733" t="n"/>
      <c r="AT279" s="733" t="n"/>
      <c r="AU279" s="733" t="n"/>
      <c r="AV279" s="733" t="n"/>
      <c r="AW279" s="719" t="inlineStr">
        <is>
          <t>trade</t>
        </is>
      </c>
      <c r="AX279" s="734" t="inlineStr">
        <is>
          <t>sig:0a7e4e40897991d7af0874ea</t>
        </is>
      </c>
    </row>
    <row r="280" ht="15" customHeight="1">
      <c r="A280" s="737" t="inlineStr">
        <is>
          <t>F911</t>
        </is>
      </c>
      <c r="B280" s="738" t="n">
        <v>44595.91703703703</v>
      </c>
      <c r="C280" s="739" t="n">
        <v>44596.00178240741</v>
      </c>
      <c r="D280" s="740" t="inlineStr">
        <is>
          <t>PEPPERSTONE LIVE</t>
        </is>
      </c>
      <c r="E280" s="740" t="inlineStr">
        <is>
          <t>EURGBP</t>
        </is>
      </c>
      <c r="F280" s="740" t="inlineStr">
        <is>
          <t>BUY</t>
        </is>
      </c>
      <c r="G280" s="775" t="n">
        <v>0.01</v>
      </c>
      <c r="H280" s="742" t="n">
        <v>0.82907</v>
      </c>
      <c r="I280" s="742" t="n">
        <v>0.83771</v>
      </c>
      <c r="J280" s="743" t="n">
        <v>0.82662</v>
      </c>
      <c r="K280" s="744" t="n">
        <v>0.002955118385660985</v>
      </c>
      <c r="L280" s="743" t="n">
        <v>0.83771</v>
      </c>
      <c r="M280" s="744" t="n">
        <v>0.01042131544984137</v>
      </c>
      <c r="N280" s="796" t="n"/>
      <c r="O280" s="767" t="n">
        <v>16.43</v>
      </c>
      <c r="P280" s="747" t="n">
        <v>0.04017999070700155</v>
      </c>
      <c r="Q280" s="748" t="n">
        <v>3.526530612244959</v>
      </c>
      <c r="R280" s="769" t="n">
        <v>425.3399999999999</v>
      </c>
      <c r="S280" s="740" t="inlineStr">
        <is>
          <t>2H 2M 2S</t>
        </is>
      </c>
      <c r="T280" s="750" t="n"/>
      <c r="U280" s="751" t="n"/>
      <c r="V280" s="752" t="n"/>
      <c r="W280" s="753" t="n"/>
      <c r="X280" s="754" t="n"/>
      <c r="Y280" s="750" t="n"/>
      <c r="Z280" s="751" t="n"/>
      <c r="AA280" s="752" t="n"/>
      <c r="AB280" s="753" t="n"/>
      <c r="AC280" s="754" t="n"/>
      <c r="AD280" s="740" t="inlineStr">
        <is>
          <t>No</t>
        </is>
      </c>
      <c r="AE280" s="755" t="n"/>
      <c r="AF280" s="755" t="n"/>
      <c r="AG280" s="755" t="n"/>
      <c r="AH280" s="755" t="n"/>
      <c r="AI280" s="740" t="inlineStr">
        <is>
          <t>Limit</t>
        </is>
      </c>
      <c r="AJ280" s="755" t="n"/>
      <c r="AK280" s="755" t="n"/>
      <c r="AL280" s="755" t="n"/>
      <c r="AM280" s="755" t="n"/>
      <c r="AN280" s="755" t="n"/>
      <c r="AO280" s="755" t="n"/>
      <c r="AP280" s="740" t="inlineStr">
        <is>
          <t>Pullback</t>
        </is>
      </c>
      <c r="AQ280" s="740" t="inlineStr">
        <is>
          <t>WEEKLY</t>
        </is>
      </c>
      <c r="AR280" s="740" t="inlineStr">
        <is>
          <t>No</t>
        </is>
      </c>
      <c r="AS280" s="787" t="n"/>
      <c r="AT280" s="755" t="n"/>
      <c r="AU280" s="740" t="n"/>
      <c r="AV280" s="740" t="n"/>
      <c r="AW280" s="740" t="inlineStr">
        <is>
          <t>trade</t>
        </is>
      </c>
      <c r="AX280" s="756" t="inlineStr">
        <is>
          <t>sig:4c07db0068d531e5394dbde8</t>
        </is>
      </c>
    </row>
    <row r="281" ht="15" customHeight="1">
      <c r="A281" s="716" t="inlineStr">
        <is>
          <t>F910</t>
        </is>
      </c>
      <c r="B281" s="717" t="n">
        <v>44587.07922453704</v>
      </c>
      <c r="C281" s="718" t="n">
        <v>44587.12125</v>
      </c>
      <c r="D281" s="719" t="inlineStr">
        <is>
          <t>PEPPERSTONE LIVE</t>
        </is>
      </c>
      <c r="E281" s="719" t="inlineStr">
        <is>
          <t>GBPUSD</t>
        </is>
      </c>
      <c r="F281" s="719" t="inlineStr">
        <is>
          <t>SELL</t>
        </is>
      </c>
      <c r="G281" s="735" t="n">
        <v>0.04</v>
      </c>
      <c r="H281" s="720" t="n">
        <v>1.34925</v>
      </c>
      <c r="I281" s="720" t="n">
        <v>1.35003</v>
      </c>
      <c r="J281" s="721" t="n">
        <v>1.35002</v>
      </c>
      <c r="K281" s="760" t="n">
        <v>0.0005706874189363997</v>
      </c>
      <c r="L281" s="721" t="n">
        <v>1.34449</v>
      </c>
      <c r="M281" s="722" t="n">
        <v>0.003527885862516285</v>
      </c>
      <c r="N281" s="761" t="n"/>
      <c r="O281" s="762" t="n">
        <v>-4.36</v>
      </c>
      <c r="P281" s="725" t="n">
        <v>-0.01055000362958841</v>
      </c>
      <c r="Q281" s="726" t="n">
        <v>-1.012987012987099</v>
      </c>
      <c r="R281" s="764" t="n">
        <v>408.9099999999999</v>
      </c>
      <c r="S281" s="719" t="inlineStr">
        <is>
          <t>1H 0M 31S</t>
        </is>
      </c>
      <c r="T281" s="728" t="n"/>
      <c r="U281" s="729" t="n"/>
      <c r="V281" s="730" t="n"/>
      <c r="W281" s="731" t="n"/>
      <c r="X281" s="732" t="n"/>
      <c r="Y281" s="728" t="n"/>
      <c r="Z281" s="729" t="n"/>
      <c r="AA281" s="730" t="n"/>
      <c r="AB281" s="731" t="n"/>
      <c r="AC281" s="732" t="n"/>
      <c r="AD281" s="719" t="inlineStr">
        <is>
          <t>No</t>
        </is>
      </c>
      <c r="AE281" s="733" t="n"/>
      <c r="AF281" s="733" t="n"/>
      <c r="AG281" s="733" t="n"/>
      <c r="AH281" s="733" t="n"/>
      <c r="AI281" s="719" t="inlineStr">
        <is>
          <t>Limit</t>
        </is>
      </c>
      <c r="AJ281" s="733" t="n"/>
      <c r="AK281" s="733" t="n"/>
      <c r="AL281" s="733" t="n"/>
      <c r="AM281" s="733" t="n"/>
      <c r="AN281" s="733" t="n"/>
      <c r="AO281" s="719" t="n"/>
      <c r="AP281" s="719" t="inlineStr">
        <is>
          <t>Pullback</t>
        </is>
      </c>
      <c r="AQ281" s="719" t="inlineStr">
        <is>
          <t>1H</t>
        </is>
      </c>
      <c r="AR281" s="719" t="inlineStr">
        <is>
          <t>No</t>
        </is>
      </c>
      <c r="AS281" s="733" t="n"/>
      <c r="AT281" s="733" t="n"/>
      <c r="AU281" s="733" t="n"/>
      <c r="AV281" s="733" t="n"/>
      <c r="AW281" s="719" t="inlineStr">
        <is>
          <t>trade</t>
        </is>
      </c>
      <c r="AX281" s="734" t="inlineStr">
        <is>
          <t>sig:3a025c3cd9c52abc10fdc3d8</t>
        </is>
      </c>
    </row>
    <row r="282" ht="15" customHeight="1">
      <c r="A282" s="716" t="inlineStr">
        <is>
          <t>F904</t>
        </is>
      </c>
      <c r="B282" s="717" t="n">
        <v>44519.94988425926</v>
      </c>
      <c r="C282" s="718" t="n">
        <v>44527.16659722223</v>
      </c>
      <c r="D282" s="719" t="inlineStr">
        <is>
          <t>PEPPERSTONE LIVE</t>
        </is>
      </c>
      <c r="E282" s="719" t="inlineStr">
        <is>
          <t>EURJPY</t>
        </is>
      </c>
      <c r="F282" s="719" t="inlineStr">
        <is>
          <t>BUY</t>
        </is>
      </c>
      <c r="G282" s="735" t="n">
        <v>0.01</v>
      </c>
      <c r="H282" s="720" t="n">
        <v>128.191</v>
      </c>
      <c r="I282" s="720" t="n">
        <v>127.813</v>
      </c>
      <c r="J282" s="721" t="n">
        <v>127.819</v>
      </c>
      <c r="K282" s="722" t="n">
        <v>0.002901919791561029</v>
      </c>
      <c r="L282" s="721" t="n">
        <v>130.212</v>
      </c>
      <c r="M282" s="722" t="n">
        <v>0.01576553736221721</v>
      </c>
      <c r="N282" s="761" t="n">
        <v>0.55</v>
      </c>
      <c r="O282" s="762" t="n">
        <v>-5.25</v>
      </c>
      <c r="P282" s="725" t="n">
        <v>-0.01254420338335086</v>
      </c>
      <c r="Q282" s="726" t="n">
        <v>-1.016129032258065</v>
      </c>
      <c r="R282" s="764" t="n">
        <v>413.2699999999999</v>
      </c>
      <c r="S282" s="719" t="inlineStr">
        <is>
          <t>7D 5H 12M 4S</t>
        </is>
      </c>
      <c r="T282" s="728" t="n"/>
      <c r="U282" s="729" t="n"/>
      <c r="V282" s="730" t="n"/>
      <c r="W282" s="731" t="n"/>
      <c r="X282" s="732" t="n"/>
      <c r="Y282" s="728" t="n"/>
      <c r="Z282" s="729" t="n"/>
      <c r="AA282" s="730" t="n"/>
      <c r="AB282" s="731" t="n"/>
      <c r="AC282" s="732" t="n"/>
      <c r="AD282" s="719" t="inlineStr">
        <is>
          <t>No</t>
        </is>
      </c>
      <c r="AE282" s="733" t="n"/>
      <c r="AF282" s="733" t="n"/>
      <c r="AG282" s="733" t="n"/>
      <c r="AH282" s="719" t="n"/>
      <c r="AI282" s="719" t="inlineStr">
        <is>
          <t>Limit</t>
        </is>
      </c>
      <c r="AJ282" s="733" t="n"/>
      <c r="AK282" s="733" t="n"/>
      <c r="AL282" s="733" t="n"/>
      <c r="AM282" s="733" t="n"/>
      <c r="AN282" s="733" t="n"/>
      <c r="AO282" s="733" t="n"/>
      <c r="AP282" s="719" t="inlineStr">
        <is>
          <t>Pullback</t>
        </is>
      </c>
      <c r="AQ282" s="719" t="inlineStr">
        <is>
          <t>DAILY</t>
        </is>
      </c>
      <c r="AR282" s="719" t="inlineStr">
        <is>
          <t>No</t>
        </is>
      </c>
      <c r="AS282" s="733" t="n"/>
      <c r="AT282" s="733" t="n"/>
      <c r="AU282" s="733" t="n"/>
      <c r="AV282" s="733" t="n"/>
      <c r="AW282" s="719" t="inlineStr">
        <is>
          <t>trade</t>
        </is>
      </c>
      <c r="AX282" s="734" t="inlineStr">
        <is>
          <t>sig:fbcb7034cbdfced33763ed39</t>
        </is>
      </c>
    </row>
    <row r="283" ht="15" customHeight="1">
      <c r="A283" s="716" t="inlineStr">
        <is>
          <t>F907</t>
        </is>
      </c>
      <c r="B283" s="717" t="n">
        <v>44526.76346064815</v>
      </c>
      <c r="C283" s="718" t="n">
        <v>44526.76574074074</v>
      </c>
      <c r="D283" s="719" t="inlineStr">
        <is>
          <t>PEPPERSTONE LIVE</t>
        </is>
      </c>
      <c r="E283" s="719" t="inlineStr">
        <is>
          <t>EURCAD</t>
        </is>
      </c>
      <c r="F283" s="719" t="inlineStr">
        <is>
          <t>SELL</t>
        </is>
      </c>
      <c r="G283" s="735" t="n">
        <v>0.02</v>
      </c>
      <c r="H283" s="720" t="n">
        <v>1.43487</v>
      </c>
      <c r="I283" s="720" t="n">
        <v>1.4368</v>
      </c>
      <c r="J283" s="721" t="n">
        <v>1.4368</v>
      </c>
      <c r="K283" s="722" t="n">
        <v>0.00134506958818568</v>
      </c>
      <c r="L283" s="721" t="n">
        <v>1.42499</v>
      </c>
      <c r="M283" s="722" t="n">
        <v>0.006885641207914382</v>
      </c>
      <c r="N283" s="788" t="n"/>
      <c r="O283" s="762" t="n">
        <v>-4.25</v>
      </c>
      <c r="P283" s="725" t="n">
        <v>-0.01005274735671879</v>
      </c>
      <c r="Q283" s="726" t="n">
        <v>-1</v>
      </c>
      <c r="R283" s="764" t="n">
        <v>418.5199999999999</v>
      </c>
      <c r="S283" s="719" t="inlineStr">
        <is>
          <t>3M 17S</t>
        </is>
      </c>
      <c r="T283" s="728" t="n"/>
      <c r="U283" s="729" t="n"/>
      <c r="V283" s="730" t="n"/>
      <c r="W283" s="731" t="n"/>
      <c r="X283" s="732" t="n"/>
      <c r="Y283" s="728" t="n"/>
      <c r="Z283" s="729" t="n"/>
      <c r="AA283" s="730" t="n"/>
      <c r="AB283" s="731" t="n"/>
      <c r="AC283" s="732" t="n"/>
      <c r="AD283" s="719" t="inlineStr">
        <is>
          <t>No</t>
        </is>
      </c>
      <c r="AE283" s="733" t="n"/>
      <c r="AF283" s="733" t="n"/>
      <c r="AG283" s="733" t="n"/>
      <c r="AH283" s="733" t="n"/>
      <c r="AI283" s="719" t="inlineStr">
        <is>
          <t>Limit</t>
        </is>
      </c>
      <c r="AJ283" s="733" t="n"/>
      <c r="AK283" s="733" t="n"/>
      <c r="AL283" s="733" t="n"/>
      <c r="AM283" s="733" t="n"/>
      <c r="AN283" s="733" t="n"/>
      <c r="AO283" s="733" t="n"/>
      <c r="AP283" s="719" t="inlineStr">
        <is>
          <t>Pullback</t>
        </is>
      </c>
      <c r="AQ283" s="719" t="inlineStr">
        <is>
          <t>4H</t>
        </is>
      </c>
      <c r="AR283" s="719" t="inlineStr">
        <is>
          <t>No</t>
        </is>
      </c>
      <c r="AS283" s="733" t="n"/>
      <c r="AT283" s="733" t="n"/>
      <c r="AU283" s="733" t="n"/>
      <c r="AV283" s="733" t="n"/>
      <c r="AW283" s="719" t="inlineStr">
        <is>
          <t>trade</t>
        </is>
      </c>
      <c r="AX283" s="734" t="inlineStr">
        <is>
          <t>sig:dffd68f57b417e9f77ff9265</t>
        </is>
      </c>
    </row>
    <row r="284" ht="15" customHeight="1">
      <c r="A284" s="716" t="inlineStr">
        <is>
          <t>C302</t>
        </is>
      </c>
      <c r="B284" s="717" t="n">
        <v>44526.17638888889</v>
      </c>
      <c r="C284" s="718" t="n">
        <v>44526.2</v>
      </c>
      <c r="D284" s="719" t="inlineStr">
        <is>
          <t>BYBIT</t>
        </is>
      </c>
      <c r="E284" s="719" t="inlineStr">
        <is>
          <t>ENSUSDT</t>
        </is>
      </c>
      <c r="F284" s="719" t="inlineStr">
        <is>
          <t>BUY</t>
        </is>
      </c>
      <c r="G284" s="720" t="n">
        <v>0.7</v>
      </c>
      <c r="H284" s="720" t="n">
        <v>66.02</v>
      </c>
      <c r="I284" s="720" t="n">
        <v>64.03</v>
      </c>
      <c r="J284" s="721" t="n">
        <v>64.20999999999999</v>
      </c>
      <c r="K284" s="722" t="n">
        <v>0.02741593456528328</v>
      </c>
      <c r="L284" s="721" t="n">
        <v>72.40000000000001</v>
      </c>
      <c r="M284" s="722" t="n">
        <v>0.09663738261133005</v>
      </c>
      <c r="N284" s="723" t="n">
        <v>0.02206225</v>
      </c>
      <c r="O284" s="724" t="n">
        <v>-1.4159289</v>
      </c>
      <c r="P284" s="725" t="n">
        <v>-0.005729300269255765</v>
      </c>
      <c r="Q284" s="726" t="n">
        <v>-1.09944751381215</v>
      </c>
      <c r="R284" s="727" t="n">
        <v>245.7222613599999</v>
      </c>
      <c r="S284" s="719" t="inlineStr">
        <is>
          <t>34M 0S</t>
        </is>
      </c>
      <c r="T284" s="717" t="n"/>
      <c r="U284" s="806" t="n"/>
      <c r="V284" s="730" t="n"/>
      <c r="W284" s="731" t="n"/>
      <c r="X284" s="732" t="n"/>
      <c r="Y284" s="728" t="n"/>
      <c r="Z284" s="729" t="n"/>
      <c r="AA284" s="730" t="n"/>
      <c r="AB284" s="731" t="n"/>
      <c r="AC284" s="732" t="n"/>
      <c r="AD284" s="719" t="inlineStr">
        <is>
          <t>No</t>
        </is>
      </c>
      <c r="AE284" s="733" t="n"/>
      <c r="AF284" s="733" t="n"/>
      <c r="AG284" s="733" t="n"/>
      <c r="AH284" s="719" t="inlineStr">
        <is>
          <t>All-Time High</t>
        </is>
      </c>
      <c r="AI284" s="719" t="inlineStr">
        <is>
          <t>Limit</t>
        </is>
      </c>
      <c r="AJ284" s="733" t="n"/>
      <c r="AK284" s="733" t="n"/>
      <c r="AL284" s="733" t="n"/>
      <c r="AM284" s="733" t="n"/>
      <c r="AN284" s="733" t="n"/>
      <c r="AO284" s="733" t="n"/>
      <c r="AP284" s="719" t="inlineStr">
        <is>
          <t>Pullback</t>
        </is>
      </c>
      <c r="AQ284" s="719" t="inlineStr">
        <is>
          <t>1H</t>
        </is>
      </c>
      <c r="AR284" s="719" t="inlineStr">
        <is>
          <t>No</t>
        </is>
      </c>
      <c r="AS284" s="733" t="n"/>
      <c r="AT284" s="733" t="n"/>
      <c r="AU284" s="733" t="n"/>
      <c r="AV284" s="733" t="n"/>
      <c r="AW284" s="719" t="inlineStr">
        <is>
          <t>trade</t>
        </is>
      </c>
      <c r="AX284" s="734" t="inlineStr">
        <is>
          <t>sig:cb91aa6252b1b0c1bb3a5f6b</t>
        </is>
      </c>
    </row>
    <row r="285" ht="15" customHeight="1">
      <c r="A285" s="716" t="inlineStr">
        <is>
          <t>F906</t>
        </is>
      </c>
      <c r="B285" s="717" t="n">
        <v>44525.87490740741</v>
      </c>
      <c r="C285" s="718" t="n">
        <v>44525.93890046296</v>
      </c>
      <c r="D285" s="719" t="inlineStr">
        <is>
          <t>PEPPERSTONE LIVE</t>
        </is>
      </c>
      <c r="E285" s="719" t="inlineStr">
        <is>
          <t>EURGBP</t>
        </is>
      </c>
      <c r="F285" s="719" t="inlineStr">
        <is>
          <t>SELL</t>
        </is>
      </c>
      <c r="G285" s="735" t="n">
        <v>0.04</v>
      </c>
      <c r="H285" s="720" t="n">
        <v>0.84255</v>
      </c>
      <c r="I285" s="720" t="n">
        <v>0.8432500000000001</v>
      </c>
      <c r="J285" s="721" t="n">
        <v>0.8432500000000001</v>
      </c>
      <c r="K285" s="760" t="n">
        <v>0.0008308112278203476</v>
      </c>
      <c r="L285" s="721" t="n">
        <v>0.83909</v>
      </c>
      <c r="M285" s="722" t="n">
        <v>0.004106581211797541</v>
      </c>
      <c r="N285" s="761" t="n"/>
      <c r="O285" s="762" t="n">
        <v>-5.19</v>
      </c>
      <c r="P285" s="725" t="n">
        <v>-0.01212730161697355</v>
      </c>
      <c r="Q285" s="726" t="n">
        <v>-1</v>
      </c>
      <c r="R285" s="764" t="n">
        <v>422.7699999999999</v>
      </c>
      <c r="S285" s="719" t="inlineStr">
        <is>
          <t>1H 32M 9S</t>
        </is>
      </c>
      <c r="T285" s="728" t="n"/>
      <c r="U285" s="729" t="n"/>
      <c r="V285" s="730" t="n"/>
      <c r="W285" s="731" t="n"/>
      <c r="X285" s="732" t="n"/>
      <c r="Y285" s="728" t="n"/>
      <c r="Z285" s="729" t="n"/>
      <c r="AA285" s="730" t="n"/>
      <c r="AB285" s="731" t="n"/>
      <c r="AC285" s="732" t="n"/>
      <c r="AD285" s="719" t="inlineStr">
        <is>
          <t>No</t>
        </is>
      </c>
      <c r="AE285" s="733" t="n"/>
      <c r="AF285" s="733" t="n"/>
      <c r="AG285" s="733" t="n"/>
      <c r="AH285" s="733" t="n"/>
      <c r="AI285" s="719" t="inlineStr">
        <is>
          <t>Limit</t>
        </is>
      </c>
      <c r="AJ285" s="733" t="n"/>
      <c r="AK285" s="733" t="n"/>
      <c r="AL285" s="733" t="n"/>
      <c r="AM285" s="733" t="n"/>
      <c r="AN285" s="733" t="n"/>
      <c r="AO285" s="733" t="n"/>
      <c r="AP285" s="719" t="inlineStr">
        <is>
          <t>Pullback</t>
        </is>
      </c>
      <c r="AQ285" s="719" t="inlineStr">
        <is>
          <t>4H</t>
        </is>
      </c>
      <c r="AR285" s="719" t="inlineStr">
        <is>
          <t>No</t>
        </is>
      </c>
      <c r="AS285" s="733" t="n"/>
      <c r="AT285" s="733" t="n"/>
      <c r="AU285" s="733" t="n"/>
      <c r="AV285" s="733" t="n"/>
      <c r="AW285" s="719" t="inlineStr">
        <is>
          <t>trade</t>
        </is>
      </c>
      <c r="AX285" s="734" t="inlineStr">
        <is>
          <t>sig:c8232347700273e53b3627d6</t>
        </is>
      </c>
    </row>
    <row r="286" ht="15" customHeight="1">
      <c r="A286" s="716" t="inlineStr">
        <is>
          <t>F905</t>
        </is>
      </c>
      <c r="B286" s="717" t="n">
        <v>44525.12225694444</v>
      </c>
      <c r="C286" s="718" t="n">
        <v>44525.78984953704</v>
      </c>
      <c r="D286" s="719" t="inlineStr">
        <is>
          <t>PEPPERSTONE LIVE</t>
        </is>
      </c>
      <c r="E286" s="719" t="inlineStr">
        <is>
          <t>AUDCAD</t>
        </is>
      </c>
      <c r="F286" s="719" t="inlineStr">
        <is>
          <t>BUY</t>
        </is>
      </c>
      <c r="G286" s="735" t="n">
        <v>0.04</v>
      </c>
      <c r="H286" s="720" t="n">
        <v>0.91094</v>
      </c>
      <c r="I286" s="720" t="n">
        <v>0.90978</v>
      </c>
      <c r="J286" s="721" t="n">
        <v>0.90978</v>
      </c>
      <c r="K286" s="722" t="n">
        <v>0.001273409884295276</v>
      </c>
      <c r="L286" s="721" t="n">
        <v>0.91717</v>
      </c>
      <c r="M286" s="722" t="n">
        <v>0.006839089292379376</v>
      </c>
      <c r="N286" s="761" t="n">
        <v>0.26</v>
      </c>
      <c r="O286" s="762" t="n">
        <v>-5.36</v>
      </c>
      <c r="P286" s="725" t="n">
        <v>-0.01236961137265762</v>
      </c>
      <c r="Q286" s="726" t="n">
        <v>-1</v>
      </c>
      <c r="R286" s="764" t="n">
        <v>427.9599999999999</v>
      </c>
      <c r="S286" s="719" t="inlineStr">
        <is>
          <t>16H 1M 20S</t>
        </is>
      </c>
      <c r="T286" s="728" t="n"/>
      <c r="U286" s="729" t="n"/>
      <c r="V286" s="730" t="n"/>
      <c r="W286" s="731" t="n"/>
      <c r="X286" s="732" t="n"/>
      <c r="Y286" s="728" t="n"/>
      <c r="Z286" s="729" t="n"/>
      <c r="AA286" s="730" t="n"/>
      <c r="AB286" s="731" t="n"/>
      <c r="AC286" s="732" t="n"/>
      <c r="AD286" s="719" t="inlineStr">
        <is>
          <t>No</t>
        </is>
      </c>
      <c r="AE286" s="733" t="n"/>
      <c r="AF286" s="733" t="n"/>
      <c r="AG286" s="733" t="n"/>
      <c r="AH286" s="733" t="n"/>
      <c r="AI286" s="719" t="inlineStr">
        <is>
          <t>Limit</t>
        </is>
      </c>
      <c r="AJ286" s="733" t="n"/>
      <c r="AK286" s="733" t="n"/>
      <c r="AL286" s="733" t="n"/>
      <c r="AM286" s="733" t="n"/>
      <c r="AN286" s="733" t="n"/>
      <c r="AO286" s="733" t="n"/>
      <c r="AP286" s="719" t="inlineStr">
        <is>
          <t>Pullback</t>
        </is>
      </c>
      <c r="AQ286" s="719" t="inlineStr">
        <is>
          <t>DAILY</t>
        </is>
      </c>
      <c r="AR286" s="719" t="inlineStr">
        <is>
          <t>No</t>
        </is>
      </c>
      <c r="AS286" s="733" t="n"/>
      <c r="AT286" s="733" t="n"/>
      <c r="AU286" s="733" t="n"/>
      <c r="AV286" s="733" t="n"/>
      <c r="AW286" s="719" t="inlineStr">
        <is>
          <t>trade</t>
        </is>
      </c>
      <c r="AX286" s="734" t="inlineStr">
        <is>
          <t>sig:45549822852d2f7077414b20</t>
        </is>
      </c>
    </row>
    <row r="287" ht="15" customHeight="1">
      <c r="A287" s="716" t="inlineStr">
        <is>
          <t>C300</t>
        </is>
      </c>
      <c r="B287" s="717" t="n">
        <v>44521.02013888889</v>
      </c>
      <c r="C287" s="718" t="n">
        <v>44524.67083333333</v>
      </c>
      <c r="D287" s="719" t="inlineStr">
        <is>
          <t>BYBIT</t>
        </is>
      </c>
      <c r="E287" s="719" t="inlineStr">
        <is>
          <t>SHIB1000USDT</t>
        </is>
      </c>
      <c r="F287" s="719" t="inlineStr">
        <is>
          <t>BUY</t>
        </is>
      </c>
      <c r="G287" s="720" t="n">
        <v>170</v>
      </c>
      <c r="H287" s="735" t="n">
        <v>0.04664</v>
      </c>
      <c r="I287" s="735" t="n">
        <v>0.039135</v>
      </c>
      <c r="J287" s="736" t="n">
        <v>0.0392</v>
      </c>
      <c r="K287" s="722" t="n">
        <v>0.1595197255574614</v>
      </c>
      <c r="L287" s="736" t="n">
        <v>0.08146</v>
      </c>
      <c r="M287" s="722" t="n">
        <v>0.7465694682675815</v>
      </c>
      <c r="N287" s="723" t="n">
        <v>0.06019812</v>
      </c>
      <c r="O287" s="724" t="n">
        <v>-1.33691477</v>
      </c>
      <c r="P287" s="725" t="n">
        <v>-0.005380477733729446</v>
      </c>
      <c r="Q287" s="726" t="n">
        <v>-1.008736559139784</v>
      </c>
      <c r="R287" s="727" t="n">
        <v>247.1381902599999</v>
      </c>
      <c r="S287" s="719" t="inlineStr">
        <is>
          <t>3D 15H 37M 0S</t>
        </is>
      </c>
      <c r="T287" s="717" t="n"/>
      <c r="U287" s="806" t="n"/>
      <c r="V287" s="807" t="n"/>
      <c r="W287" s="725" t="n"/>
      <c r="X287" s="722" t="n"/>
      <c r="Y287" s="728" t="n"/>
      <c r="Z287" s="729" t="n"/>
      <c r="AA287" s="730" t="n"/>
      <c r="AB287" s="731" t="n"/>
      <c r="AC287" s="732" t="n"/>
      <c r="AD287" s="719" t="inlineStr">
        <is>
          <t>No</t>
        </is>
      </c>
      <c r="AE287" s="733" t="n"/>
      <c r="AF287" s="733" t="n"/>
      <c r="AG287" s="733" t="n"/>
      <c r="AH287" s="733" t="n"/>
      <c r="AI287" s="719" t="inlineStr">
        <is>
          <t>Limit</t>
        </is>
      </c>
      <c r="AJ287" s="733" t="n"/>
      <c r="AK287" s="733" t="n"/>
      <c r="AL287" s="733" t="n"/>
      <c r="AM287" s="733" t="n"/>
      <c r="AN287" s="733" t="n"/>
      <c r="AO287" s="733" t="n"/>
      <c r="AP287" s="719" t="inlineStr">
        <is>
          <t>Pullback</t>
        </is>
      </c>
      <c r="AQ287" s="719" t="inlineStr">
        <is>
          <t>WEEKLY</t>
        </is>
      </c>
      <c r="AR287" s="719" t="inlineStr">
        <is>
          <t>No</t>
        </is>
      </c>
      <c r="AS287" s="733" t="n"/>
      <c r="AT287" s="733" t="n"/>
      <c r="AU287" s="733" t="n"/>
      <c r="AV287" s="733" t="n"/>
      <c r="AW287" s="719" t="inlineStr">
        <is>
          <t>trade</t>
        </is>
      </c>
      <c r="AX287" s="734" t="inlineStr">
        <is>
          <t>sig:f3f342e287a682270f0c6415</t>
        </is>
      </c>
    </row>
    <row r="288" ht="15" customHeight="1">
      <c r="A288" s="42" t="n"/>
      <c r="B288" s="770" t="n">
        <v>44524</v>
      </c>
      <c r="C288" s="771" t="n">
        <v>44524</v>
      </c>
      <c r="D288" s="12" t="inlineStr">
        <is>
          <t>PEPPERSTONE DEMO</t>
        </is>
      </c>
      <c r="E288" s="12" t="inlineStr">
        <is>
          <t>CASHFLOW</t>
        </is>
      </c>
      <c r="F288" s="12" t="inlineStr">
        <is>
          <t>WITHDRAWAL</t>
        </is>
      </c>
      <c r="G288" s="262" t="n"/>
      <c r="H288" s="262" t="n"/>
      <c r="I288" s="262" t="n"/>
      <c r="J288" s="263" t="n"/>
      <c r="K288" s="36" t="n"/>
      <c r="L288" s="263" t="n"/>
      <c r="M288" s="36" t="n"/>
      <c r="N288" s="772" t="n"/>
      <c r="O288" s="773" t="n"/>
      <c r="P288" s="3" t="n"/>
      <c r="Q288" s="51" t="n"/>
      <c r="R288" s="54" t="n">
        <v>0</v>
      </c>
      <c r="S288" s="12" t="n"/>
      <c r="T288" s="774" t="n"/>
      <c r="U288" s="6" t="n"/>
      <c r="V288" s="264" t="n"/>
      <c r="W288" s="9" t="n"/>
      <c r="X288" s="46" t="n"/>
      <c r="Y288" s="774" t="n"/>
      <c r="Z288" s="6" t="n"/>
      <c r="AA288" s="264" t="n"/>
      <c r="AB288" s="9" t="n"/>
      <c r="AC288" s="46" t="n"/>
      <c r="AD288" s="12" t="inlineStr">
        <is>
          <t>No</t>
        </is>
      </c>
      <c r="AE288" s="45" t="n"/>
      <c r="AF288" s="45" t="n"/>
      <c r="AG288" s="45" t="n"/>
      <c r="AH288" s="45" t="n"/>
      <c r="AI288" s="12" t="n"/>
      <c r="AJ288" s="45" t="n"/>
      <c r="AK288" s="45" t="n"/>
      <c r="AL288" s="45" t="n"/>
      <c r="AM288" s="45" t="n"/>
      <c r="AN288" s="45" t="n"/>
      <c r="AO288" s="45" t="n"/>
      <c r="AP288" s="12" t="n"/>
      <c r="AQ288" s="12" t="n"/>
      <c r="AR288" s="12" t="n"/>
      <c r="AS288" s="56" t="inlineStr">
        <is>
          <t>Withdrawal -988.76 AUD. Source: user_txt. Imported from account_cashflows.xlsx row 71.</t>
        </is>
      </c>
      <c r="AT288" s="45" t="n"/>
      <c r="AU288" s="12" t="n">
        <v>0</v>
      </c>
      <c r="AV288" s="12" t="inlineStr">
        <is>
          <t>AUD</t>
        </is>
      </c>
      <c r="AW288" s="12" t="inlineStr">
        <is>
          <t>cashflow</t>
        </is>
      </c>
      <c r="AX288" s="57" t="inlineStr">
        <is>
          <t>cashflow:PEPPERSTONE DEMO:2021-11-24T00:00:00:57</t>
        </is>
      </c>
    </row>
    <row r="289" ht="15" customHeight="1">
      <c r="A289" s="716" t="inlineStr">
        <is>
          <t>C301</t>
        </is>
      </c>
      <c r="B289" s="717" t="n">
        <v>44523.31527777778</v>
      </c>
      <c r="C289" s="718" t="n">
        <v>44523.31944444445</v>
      </c>
      <c r="D289" s="719" t="inlineStr">
        <is>
          <t>BYBIT</t>
        </is>
      </c>
      <c r="E289" s="719" t="inlineStr">
        <is>
          <t>WOOUSDT</t>
        </is>
      </c>
      <c r="F289" s="719" t="inlineStr">
        <is>
          <t>SELL</t>
        </is>
      </c>
      <c r="G289" s="720" t="n">
        <v>3.2</v>
      </c>
      <c r="H289" s="720" t="n">
        <v>1.2361</v>
      </c>
      <c r="I289" s="720" t="n">
        <v>1.245</v>
      </c>
      <c r="J289" s="721" t="n">
        <v>1.2449</v>
      </c>
      <c r="K289" s="722" t="n">
        <v>0.007119165116090865</v>
      </c>
      <c r="L289" s="721" t="n">
        <v>1.2079</v>
      </c>
      <c r="M289" s="722" t="n">
        <v>0.02281368821292776</v>
      </c>
      <c r="N289" s="723" t="n">
        <v>0.08802377</v>
      </c>
      <c r="O289" s="724" t="n">
        <v>-1.34290042</v>
      </c>
      <c r="P289" s="725" t="n">
        <v>-0.005375514937688414</v>
      </c>
      <c r="Q289" s="726" t="n">
        <v>-1.01136363636366</v>
      </c>
      <c r="R289" s="727" t="n">
        <v>248.4751050299999</v>
      </c>
      <c r="S289" s="719" t="inlineStr">
        <is>
          <t>6M 0S</t>
        </is>
      </c>
      <c r="T289" s="728" t="n"/>
      <c r="U289" s="729" t="n"/>
      <c r="V289" s="730" t="n"/>
      <c r="W289" s="731" t="n"/>
      <c r="X289" s="732" t="n"/>
      <c r="Y289" s="728" t="n"/>
      <c r="Z289" s="729" t="n"/>
      <c r="AA289" s="730" t="n"/>
      <c r="AB289" s="731" t="n"/>
      <c r="AC289" s="732" t="n"/>
      <c r="AD289" s="719" t="inlineStr">
        <is>
          <t>No</t>
        </is>
      </c>
      <c r="AE289" s="733" t="n"/>
      <c r="AF289" s="733" t="n"/>
      <c r="AG289" s="733" t="n"/>
      <c r="AH289" s="733" t="n"/>
      <c r="AI289" s="719" t="inlineStr">
        <is>
          <t>Limit</t>
        </is>
      </c>
      <c r="AJ289" s="733" t="n"/>
      <c r="AK289" s="733" t="n"/>
      <c r="AL289" s="733" t="n"/>
      <c r="AM289" s="733" t="n"/>
      <c r="AN289" s="733" t="n"/>
      <c r="AO289" s="719" t="inlineStr">
        <is>
          <t>Yes</t>
        </is>
      </c>
      <c r="AP289" s="719" t="inlineStr">
        <is>
          <t>Pullback</t>
        </is>
      </c>
      <c r="AQ289" s="719" t="inlineStr">
        <is>
          <t>5MIN</t>
        </is>
      </c>
      <c r="AR289" s="719" t="inlineStr">
        <is>
          <t>No</t>
        </is>
      </c>
      <c r="AS289" s="733" t="n"/>
      <c r="AT289" s="733" t="n"/>
      <c r="AU289" s="733" t="n"/>
      <c r="AV289" s="733" t="n"/>
      <c r="AW289" s="719" t="inlineStr">
        <is>
          <t>trade</t>
        </is>
      </c>
      <c r="AX289" s="734" t="inlineStr">
        <is>
          <t>sig:497330c226ed4ebfcfae9659</t>
        </is>
      </c>
    </row>
    <row r="290" ht="15" customHeight="1">
      <c r="A290" s="716" t="inlineStr">
        <is>
          <t>C299</t>
        </is>
      </c>
      <c r="B290" s="717" t="n">
        <v>44519.15555555555</v>
      </c>
      <c r="C290" s="718" t="n">
        <v>44519.15625</v>
      </c>
      <c r="D290" s="719" t="inlineStr">
        <is>
          <t>BYBIT</t>
        </is>
      </c>
      <c r="E290" s="719" t="inlineStr">
        <is>
          <t>GALAUSDT</t>
        </is>
      </c>
      <c r="F290" s="719" t="inlineStr">
        <is>
          <t>BUY</t>
        </is>
      </c>
      <c r="G290" s="720" t="n">
        <v>130</v>
      </c>
      <c r="H290" s="720" t="n">
        <v>0.21834</v>
      </c>
      <c r="I290" s="720" t="n">
        <v>0.20807</v>
      </c>
      <c r="J290" s="721" t="n">
        <v>0.20872</v>
      </c>
      <c r="K290" s="722" t="n">
        <v>0.04405972336722551</v>
      </c>
      <c r="L290" s="721" t="n">
        <v>0.26851</v>
      </c>
      <c r="M290" s="722" t="n">
        <v>0.2297792433818815</v>
      </c>
      <c r="N290" s="723" t="n">
        <v>0.01319078</v>
      </c>
      <c r="O290" s="724" t="n">
        <v>-1.34915743</v>
      </c>
      <c r="P290" s="725" t="n">
        <v>-0.005371551816447387</v>
      </c>
      <c r="Q290" s="726" t="n">
        <v>-1.067567567567566</v>
      </c>
      <c r="R290" s="727" t="n">
        <v>249.8180054499999</v>
      </c>
      <c r="S290" s="719" t="inlineStr">
        <is>
          <t>1M 0S</t>
        </is>
      </c>
      <c r="T290" s="728" t="n"/>
      <c r="U290" s="729" t="n"/>
      <c r="V290" s="730" t="n"/>
      <c r="W290" s="731" t="n"/>
      <c r="X290" s="732" t="n"/>
      <c r="Y290" s="728" t="n"/>
      <c r="Z290" s="729" t="n"/>
      <c r="AA290" s="730" t="n"/>
      <c r="AB290" s="731" t="n"/>
      <c r="AC290" s="732" t="n"/>
      <c r="AD290" s="719" t="inlineStr">
        <is>
          <t>No</t>
        </is>
      </c>
      <c r="AE290" s="733" t="n"/>
      <c r="AF290" s="733" t="n"/>
      <c r="AG290" s="733" t="n"/>
      <c r="AH290" s="719" t="inlineStr">
        <is>
          <t>All-Time High</t>
        </is>
      </c>
      <c r="AI290" s="719" t="inlineStr">
        <is>
          <t>Limit</t>
        </is>
      </c>
      <c r="AJ290" s="733" t="n"/>
      <c r="AK290" s="733" t="n"/>
      <c r="AL290" s="733" t="n"/>
      <c r="AM290" s="733" t="n"/>
      <c r="AN290" s="733" t="n"/>
      <c r="AO290" s="733" t="n"/>
      <c r="AP290" s="719" t="inlineStr">
        <is>
          <t>Pullback</t>
        </is>
      </c>
      <c r="AQ290" s="719" t="inlineStr">
        <is>
          <t>4H</t>
        </is>
      </c>
      <c r="AR290" s="719" t="inlineStr">
        <is>
          <t>No</t>
        </is>
      </c>
      <c r="AS290" s="733" t="n"/>
      <c r="AT290" s="733" t="n"/>
      <c r="AU290" s="733" t="n"/>
      <c r="AV290" s="733" t="n"/>
      <c r="AW290" s="719" t="inlineStr">
        <is>
          <t>trade</t>
        </is>
      </c>
      <c r="AX290" s="734" t="inlineStr">
        <is>
          <t>sig:9ae4dc501f8e563834509482</t>
        </is>
      </c>
    </row>
    <row r="291" ht="15" customHeight="1">
      <c r="A291" s="716" t="inlineStr">
        <is>
          <t>F903</t>
        </is>
      </c>
      <c r="B291" s="717" t="n">
        <v>44518.88077546296</v>
      </c>
      <c r="C291" s="718" t="n">
        <v>44518.94060185185</v>
      </c>
      <c r="D291" s="719" t="inlineStr">
        <is>
          <t>PEPPERSTONE LIVE</t>
        </is>
      </c>
      <c r="E291" s="719" t="inlineStr">
        <is>
          <t>EURGBP</t>
        </is>
      </c>
      <c r="F291" s="719" t="inlineStr">
        <is>
          <t>SELL</t>
        </is>
      </c>
      <c r="G291" s="735" t="n">
        <v>0.03</v>
      </c>
      <c r="H291" s="720" t="n">
        <v>0.84055</v>
      </c>
      <c r="I291" s="720" t="n">
        <v>0.8415</v>
      </c>
      <c r="J291" s="721" t="n">
        <v>0.8415</v>
      </c>
      <c r="K291" s="722" t="n">
        <v>0.001130212360954145</v>
      </c>
      <c r="L291" s="721" t="n">
        <v>0.83606</v>
      </c>
      <c r="M291" s="722" t="n">
        <v>0.005341740527035862</v>
      </c>
      <c r="N291" s="788" t="n"/>
      <c r="O291" s="762" t="n">
        <v>-5.27</v>
      </c>
      <c r="P291" s="725" t="n">
        <v>-0.01201577783351194</v>
      </c>
      <c r="Q291" s="726" t="n">
        <v>-1</v>
      </c>
      <c r="R291" s="764" t="n">
        <v>433.3199999999999</v>
      </c>
      <c r="S291" s="719" t="inlineStr">
        <is>
          <t>1H 26M 9S</t>
        </is>
      </c>
      <c r="T291" s="728" t="n"/>
      <c r="U291" s="729" t="n"/>
      <c r="V291" s="730" t="n"/>
      <c r="W291" s="731" t="n"/>
      <c r="X291" s="732" t="n"/>
      <c r="Y291" s="728" t="n"/>
      <c r="Z291" s="729" t="n"/>
      <c r="AA291" s="730" t="n"/>
      <c r="AB291" s="731" t="n"/>
      <c r="AC291" s="732" t="n"/>
      <c r="AD291" s="719" t="inlineStr">
        <is>
          <t>No</t>
        </is>
      </c>
      <c r="AE291" s="733" t="n"/>
      <c r="AF291" s="733" t="n"/>
      <c r="AG291" s="733" t="n"/>
      <c r="AH291" s="733" t="n"/>
      <c r="AI291" s="719" t="inlineStr">
        <is>
          <t>Limit</t>
        </is>
      </c>
      <c r="AJ291" s="733" t="n"/>
      <c r="AK291" s="733" t="n"/>
      <c r="AL291" s="733" t="n"/>
      <c r="AM291" s="733" t="n"/>
      <c r="AN291" s="733" t="n"/>
      <c r="AO291" s="733" t="n"/>
      <c r="AP291" s="719" t="inlineStr">
        <is>
          <t>Pullback</t>
        </is>
      </c>
      <c r="AQ291" s="719" t="inlineStr">
        <is>
          <t>4H</t>
        </is>
      </c>
      <c r="AR291" s="719" t="inlineStr">
        <is>
          <t>No</t>
        </is>
      </c>
      <c r="AS291" s="733" t="n"/>
      <c r="AT291" s="733" t="n"/>
      <c r="AU291" s="733" t="n"/>
      <c r="AV291" s="733" t="n"/>
      <c r="AW291" s="719" t="inlineStr">
        <is>
          <t>trade</t>
        </is>
      </c>
      <c r="AX291" s="734" t="inlineStr">
        <is>
          <t>sig:163d3a15065867322c1542e9</t>
        </is>
      </c>
    </row>
    <row r="292" ht="15" customHeight="1">
      <c r="A292" s="716" t="inlineStr">
        <is>
          <t>C296</t>
        </is>
      </c>
      <c r="B292" s="717" t="n">
        <v>44511.30763888889</v>
      </c>
      <c r="C292" s="718" t="n">
        <v>44516.83958333333</v>
      </c>
      <c r="D292" s="719" t="inlineStr">
        <is>
          <t>BYBIT</t>
        </is>
      </c>
      <c r="E292" s="719" t="inlineStr">
        <is>
          <t>SOLUSDT</t>
        </is>
      </c>
      <c r="F292" s="719" t="inlineStr">
        <is>
          <t>BUY</t>
        </is>
      </c>
      <c r="G292" s="720" t="n">
        <v>0.2</v>
      </c>
      <c r="H292" s="720" t="n">
        <v>219.58</v>
      </c>
      <c r="I292" s="720" t="n">
        <v>219.555</v>
      </c>
      <c r="J292" s="721" t="n">
        <v>211.56</v>
      </c>
      <c r="K292" s="722" t="n">
        <v>0.03652427361326173</v>
      </c>
      <c r="L292" s="721" t="n">
        <v>251.65</v>
      </c>
      <c r="M292" s="722" t="n">
        <v>0.1460515529647508</v>
      </c>
      <c r="N292" s="758" t="n">
        <v>0.39655302</v>
      </c>
      <c r="O292" s="724" t="n">
        <v>-0.40241967</v>
      </c>
      <c r="P292" s="725" t="n">
        <v>-0.001599635639257057</v>
      </c>
      <c r="Q292" s="759" t="n">
        <v>-0.003117206982544346</v>
      </c>
      <c r="R292" s="727" t="n">
        <v>251.1671628799999</v>
      </c>
      <c r="S292" s="719" t="inlineStr">
        <is>
          <t>5D 12H 46M 0S</t>
        </is>
      </c>
      <c r="T292" s="717" t="n">
        <v>44511.30347222222</v>
      </c>
      <c r="U292" s="806" t="inlineStr">
        <is>
          <t>9H 54M 0S</t>
        </is>
      </c>
      <c r="V292" s="730" t="n"/>
      <c r="W292" s="731" t="n"/>
      <c r="X292" s="732" t="n"/>
      <c r="Y292" s="728" t="n"/>
      <c r="Z292" s="729" t="n"/>
      <c r="AA292" s="730" t="n"/>
      <c r="AB292" s="731" t="n"/>
      <c r="AC292" s="732" t="n"/>
      <c r="AD292" s="719" t="inlineStr">
        <is>
          <t>No</t>
        </is>
      </c>
      <c r="AE292" s="733" t="n"/>
      <c r="AF292" s="733" t="n"/>
      <c r="AG292" s="733" t="n"/>
      <c r="AH292" s="733" t="n"/>
      <c r="AI292" s="719" t="inlineStr">
        <is>
          <t>Limit</t>
        </is>
      </c>
      <c r="AJ292" s="733" t="n"/>
      <c r="AK292" s="733" t="n"/>
      <c r="AL292" s="733" t="n"/>
      <c r="AM292" s="733" t="n"/>
      <c r="AN292" s="733" t="n"/>
      <c r="AO292" s="733" t="n"/>
      <c r="AP292" s="719" t="inlineStr">
        <is>
          <t>Pullback</t>
        </is>
      </c>
      <c r="AQ292" s="719" t="inlineStr">
        <is>
          <t>DAILY</t>
        </is>
      </c>
      <c r="AR292" s="719" t="inlineStr">
        <is>
          <t>No</t>
        </is>
      </c>
      <c r="AS292" s="733" t="n"/>
      <c r="AT292" s="733" t="n"/>
      <c r="AU292" s="733" t="n"/>
      <c r="AV292" s="733" t="n"/>
      <c r="AW292" s="719" t="inlineStr">
        <is>
          <t>trade</t>
        </is>
      </c>
      <c r="AX292" s="734" t="inlineStr">
        <is>
          <t>sig:5d3f5ff041a263878b321d50</t>
        </is>
      </c>
    </row>
    <row r="293" ht="15" customHeight="1">
      <c r="A293" s="716" t="inlineStr">
        <is>
          <t>C298</t>
        </is>
      </c>
      <c r="B293" s="717" t="n">
        <v>44516.83472222222</v>
      </c>
      <c r="C293" s="718" t="n">
        <v>44516.83888888889</v>
      </c>
      <c r="D293" s="719" t="inlineStr">
        <is>
          <t>BYBIT</t>
        </is>
      </c>
      <c r="E293" s="719" t="inlineStr">
        <is>
          <t>NEARUSDT</t>
        </is>
      </c>
      <c r="F293" s="719" t="inlineStr">
        <is>
          <t>BUY</t>
        </is>
      </c>
      <c r="G293" s="720" t="n">
        <v>3.1</v>
      </c>
      <c r="H293" s="720" t="n">
        <v>10</v>
      </c>
      <c r="I293" s="720" t="n">
        <v>9.587999999999999</v>
      </c>
      <c r="J293" s="721" t="n">
        <v>9.59</v>
      </c>
      <c r="K293" s="722" t="n">
        <v>0.04100000000000002</v>
      </c>
      <c r="L293" s="721" t="n">
        <v>11.781</v>
      </c>
      <c r="M293" s="722" t="n">
        <v>0.1781000000000001</v>
      </c>
      <c r="N293" s="723" t="n">
        <v>0.0145421</v>
      </c>
      <c r="O293" s="724" t="n">
        <v>-1.29260875</v>
      </c>
      <c r="P293" s="725" t="n">
        <v>-0.005111909943335212</v>
      </c>
      <c r="Q293" s="726" t="n">
        <v>-1.004878048780489</v>
      </c>
      <c r="R293" s="727" t="n">
        <v>251.5695825499999</v>
      </c>
      <c r="S293" s="719" t="inlineStr">
        <is>
          <t>6M 0S</t>
        </is>
      </c>
      <c r="T293" s="728" t="n"/>
      <c r="U293" s="729" t="n"/>
      <c r="V293" s="730" t="n"/>
      <c r="W293" s="731" t="n"/>
      <c r="X293" s="732" t="n"/>
      <c r="Y293" s="728" t="n"/>
      <c r="Z293" s="729" t="n"/>
      <c r="AA293" s="730" t="n"/>
      <c r="AB293" s="731" t="n"/>
      <c r="AC293" s="732" t="n"/>
      <c r="AD293" s="719" t="inlineStr">
        <is>
          <t>No</t>
        </is>
      </c>
      <c r="AE293" s="733" t="n"/>
      <c r="AF293" s="733" t="n"/>
      <c r="AG293" s="733" t="n"/>
      <c r="AH293" s="733" t="n"/>
      <c r="AI293" s="719" t="inlineStr">
        <is>
          <t>Limit</t>
        </is>
      </c>
      <c r="AJ293" s="733" t="n"/>
      <c r="AK293" s="733" t="n"/>
      <c r="AL293" s="733" t="n"/>
      <c r="AM293" s="733" t="n"/>
      <c r="AN293" s="733" t="n"/>
      <c r="AO293" s="733" t="n"/>
      <c r="AP293" s="719" t="inlineStr">
        <is>
          <t>Pullback</t>
        </is>
      </c>
      <c r="AQ293" s="719" t="inlineStr">
        <is>
          <t>DAILY</t>
        </is>
      </c>
      <c r="AR293" s="719" t="inlineStr">
        <is>
          <t>No</t>
        </is>
      </c>
      <c r="AS293" s="733" t="n"/>
      <c r="AT293" s="733" t="n"/>
      <c r="AU293" s="733" t="n"/>
      <c r="AV293" s="733" t="n"/>
      <c r="AW293" s="719" t="inlineStr">
        <is>
          <t>trade</t>
        </is>
      </c>
      <c r="AX293" s="734" t="inlineStr">
        <is>
          <t>sig:b4968b9b63c03ae1e06c0904</t>
        </is>
      </c>
    </row>
    <row r="294" ht="15" customHeight="1">
      <c r="A294" s="716" t="inlineStr">
        <is>
          <t>C297</t>
        </is>
      </c>
      <c r="B294" s="717" t="n">
        <v>44516.42222222222</v>
      </c>
      <c r="C294" s="718" t="n">
        <v>44516.45694444444</v>
      </c>
      <c r="D294" s="719" t="inlineStr">
        <is>
          <t>BYBIT</t>
        </is>
      </c>
      <c r="E294" s="719" t="inlineStr">
        <is>
          <t>ETHUSDT</t>
        </is>
      </c>
      <c r="F294" s="719" t="inlineStr">
        <is>
          <t>BUY</t>
        </is>
      </c>
      <c r="G294" s="735" t="n">
        <v>0.02</v>
      </c>
      <c r="H294" s="720" t="n">
        <v>4503.1</v>
      </c>
      <c r="I294" s="720" t="n">
        <v>4431.6</v>
      </c>
      <c r="J294" s="721" t="n">
        <v>4434.5</v>
      </c>
      <c r="K294" s="722" t="n">
        <v>0.01523394994559312</v>
      </c>
      <c r="L294" s="721" t="n">
        <v>4811.7</v>
      </c>
      <c r="M294" s="722" t="n">
        <v>0.06853056783104959</v>
      </c>
      <c r="N294" s="723" t="n">
        <v>0.0439585</v>
      </c>
      <c r="O294" s="724" t="n">
        <v>-1.47482515</v>
      </c>
      <c r="P294" s="725" t="n">
        <v>-0.005798704296312826</v>
      </c>
      <c r="Q294" s="726" t="n">
        <v>-1.042274052478129</v>
      </c>
      <c r="R294" s="727" t="n">
        <v>252.8621912999999</v>
      </c>
      <c r="S294" s="719" t="inlineStr">
        <is>
          <t>50M 0S</t>
        </is>
      </c>
      <c r="T294" s="728" t="n"/>
      <c r="U294" s="729" t="n"/>
      <c r="V294" s="730" t="n"/>
      <c r="W294" s="731" t="n"/>
      <c r="X294" s="732" t="n"/>
      <c r="Y294" s="728" t="n"/>
      <c r="Z294" s="729" t="n"/>
      <c r="AA294" s="730" t="n"/>
      <c r="AB294" s="731" t="n"/>
      <c r="AC294" s="732" t="n"/>
      <c r="AD294" s="719" t="inlineStr">
        <is>
          <t>No</t>
        </is>
      </c>
      <c r="AE294" s="733" t="n"/>
      <c r="AF294" s="733" t="n"/>
      <c r="AG294" s="733" t="n"/>
      <c r="AH294" s="733" t="n"/>
      <c r="AI294" s="719" t="inlineStr">
        <is>
          <t>Limit</t>
        </is>
      </c>
      <c r="AJ294" s="733" t="n"/>
      <c r="AK294" s="733" t="n"/>
      <c r="AL294" s="733" t="n"/>
      <c r="AM294" s="733" t="n"/>
      <c r="AN294" s="733" t="n"/>
      <c r="AO294" s="733" t="n"/>
      <c r="AP294" s="719" t="inlineStr">
        <is>
          <t>Pullback</t>
        </is>
      </c>
      <c r="AQ294" s="719" t="inlineStr">
        <is>
          <t>DAILY</t>
        </is>
      </c>
      <c r="AR294" s="719" t="inlineStr">
        <is>
          <t>No</t>
        </is>
      </c>
      <c r="AS294" s="733" t="n"/>
      <c r="AT294" s="733" t="n"/>
      <c r="AU294" s="733" t="n"/>
      <c r="AV294" s="733" t="n"/>
      <c r="AW294" s="719" t="inlineStr">
        <is>
          <t>trade</t>
        </is>
      </c>
      <c r="AX294" s="734" t="inlineStr">
        <is>
          <t>sig:3f39c33b29b86e4692b39197</t>
        </is>
      </c>
    </row>
    <row r="295" ht="15" customHeight="1">
      <c r="A295" s="737" t="inlineStr">
        <is>
          <t>F902</t>
        </is>
      </c>
      <c r="B295" s="738" t="n">
        <v>44512.03840277778</v>
      </c>
      <c r="C295" s="739" t="n">
        <v>44513.22302083333</v>
      </c>
      <c r="D295" s="740" t="inlineStr">
        <is>
          <t>PEPPERSTONE LIVE</t>
        </is>
      </c>
      <c r="E295" s="740" t="inlineStr">
        <is>
          <t>EURCAD</t>
        </is>
      </c>
      <c r="F295" s="740" t="inlineStr">
        <is>
          <t>SELL</t>
        </is>
      </c>
      <c r="G295" s="775" t="n">
        <v>0.03</v>
      </c>
      <c r="H295" s="742" t="n">
        <v>1.44354</v>
      </c>
      <c r="I295" s="742" t="n">
        <v>1.4369</v>
      </c>
      <c r="J295" s="743" t="n">
        <v>1.44489</v>
      </c>
      <c r="K295" s="765" t="n">
        <v>0.0009352009642960793</v>
      </c>
      <c r="L295" s="743" t="n">
        <v>1.43691</v>
      </c>
      <c r="M295" s="744" t="n">
        <v>0.004592875846876523</v>
      </c>
      <c r="N295" s="808" t="n">
        <v>0.01</v>
      </c>
      <c r="O295" s="767" t="n">
        <v>21.65</v>
      </c>
      <c r="P295" s="747" t="n">
        <v>0.05192593658559986</v>
      </c>
      <c r="Q295" s="748" t="n">
        <v>4.91851851851864</v>
      </c>
      <c r="R295" s="769" t="n">
        <v>438.5899999999999</v>
      </c>
      <c r="S295" s="740" t="inlineStr">
        <is>
          <t>1D 4H 25M 51S</t>
        </is>
      </c>
      <c r="T295" s="738" t="n">
        <v>44513.05069444444</v>
      </c>
      <c r="U295" s="809" t="inlineStr">
        <is>
          <t>1D 0H 17M 42S</t>
        </is>
      </c>
      <c r="V295" s="810" t="n">
        <v>1.43829</v>
      </c>
      <c r="W295" s="747" t="n">
        <v>0.005249999999999977</v>
      </c>
      <c r="X295" s="744" t="n">
        <v>-0.001380000000000159</v>
      </c>
      <c r="Y295" s="750" t="n"/>
      <c r="Z295" s="751" t="n"/>
      <c r="AA295" s="752" t="n"/>
      <c r="AB295" s="753" t="n"/>
      <c r="AC295" s="754" t="n"/>
      <c r="AD295" s="740" t="inlineStr">
        <is>
          <t>No</t>
        </is>
      </c>
      <c r="AE295" s="755" t="n"/>
      <c r="AF295" s="755" t="n"/>
      <c r="AG295" s="755" t="n"/>
      <c r="AH295" s="755" t="n"/>
      <c r="AI295" s="740" t="inlineStr">
        <is>
          <t>Limit</t>
        </is>
      </c>
      <c r="AJ295" s="755" t="n"/>
      <c r="AK295" s="755" t="n"/>
      <c r="AL295" s="755" t="n"/>
      <c r="AM295" s="755" t="n"/>
      <c r="AN295" s="755" t="n"/>
      <c r="AO295" s="755" t="n"/>
      <c r="AP295" s="740" t="inlineStr">
        <is>
          <t>Pullback</t>
        </is>
      </c>
      <c r="AQ295" s="740" t="inlineStr">
        <is>
          <t>4H</t>
        </is>
      </c>
      <c r="AR295" s="740" t="inlineStr">
        <is>
          <t>No</t>
        </is>
      </c>
      <c r="AS295" s="755" t="n"/>
      <c r="AT295" s="755" t="n"/>
      <c r="AU295" s="755" t="n"/>
      <c r="AV295" s="755" t="n"/>
      <c r="AW295" s="740" t="inlineStr">
        <is>
          <t>trade</t>
        </is>
      </c>
      <c r="AX295" s="756" t="inlineStr">
        <is>
          <t>sig:e9157c50af970c68a39b8996</t>
        </is>
      </c>
    </row>
    <row r="296" ht="15" customHeight="1">
      <c r="A296" s="716" t="inlineStr">
        <is>
          <t>F901</t>
        </is>
      </c>
      <c r="B296" s="717" t="n">
        <v>44510.64005787037</v>
      </c>
      <c r="C296" s="718" t="n">
        <v>44511.77649305556</v>
      </c>
      <c r="D296" s="719" t="inlineStr">
        <is>
          <t>PEPPERSTONE LIVE</t>
        </is>
      </c>
      <c r="E296" s="719" t="inlineStr">
        <is>
          <t>EURNZD</t>
        </is>
      </c>
      <c r="F296" s="719" t="inlineStr">
        <is>
          <t>SELL</t>
        </is>
      </c>
      <c r="G296" s="735" t="n">
        <v>0.02</v>
      </c>
      <c r="H296" s="720" t="n">
        <v>1.63044</v>
      </c>
      <c r="I296" s="720" t="n">
        <v>1.63315</v>
      </c>
      <c r="J296" s="721" t="n">
        <v>1.63315</v>
      </c>
      <c r="K296" s="722" t="n">
        <v>0.001662128014523817</v>
      </c>
      <c r="L296" s="721" t="n">
        <v>1.61882</v>
      </c>
      <c r="M296" s="722" t="n">
        <v>0.007126910527219624</v>
      </c>
      <c r="N296" s="792" t="n">
        <v>0.08</v>
      </c>
      <c r="O296" s="762" t="n">
        <v>-5.14</v>
      </c>
      <c r="P296" s="725" t="n">
        <v>-0.01217778620166793</v>
      </c>
      <c r="Q296" s="726" t="n">
        <v>-1</v>
      </c>
      <c r="R296" s="764" t="n">
        <v>416.9399999999999</v>
      </c>
      <c r="S296" s="719" t="inlineStr">
        <is>
          <t>1D 3H 16M 28S</t>
        </is>
      </c>
      <c r="T296" s="728" t="n"/>
      <c r="U296" s="729" t="n"/>
      <c r="V296" s="730" t="n"/>
      <c r="W296" s="731" t="n"/>
      <c r="X296" s="732" t="n"/>
      <c r="Y296" s="728" t="n"/>
      <c r="Z296" s="729" t="n"/>
      <c r="AA296" s="730" t="n"/>
      <c r="AB296" s="731" t="n"/>
      <c r="AC296" s="732" t="n"/>
      <c r="AD296" s="719" t="inlineStr">
        <is>
          <t>No</t>
        </is>
      </c>
      <c r="AE296" s="733" t="n"/>
      <c r="AF296" s="733" t="n"/>
      <c r="AG296" s="733" t="n"/>
      <c r="AH296" s="733" t="n"/>
      <c r="AI296" s="719" t="inlineStr">
        <is>
          <t>Limit</t>
        </is>
      </c>
      <c r="AJ296" s="733" t="n"/>
      <c r="AK296" s="733" t="n"/>
      <c r="AL296" s="733" t="n"/>
      <c r="AM296" s="733" t="n"/>
      <c r="AN296" s="733" t="n"/>
      <c r="AO296" s="733" t="n"/>
      <c r="AP296" s="719" t="inlineStr">
        <is>
          <t>Pullback</t>
        </is>
      </c>
      <c r="AQ296" s="719" t="inlineStr">
        <is>
          <t>4H</t>
        </is>
      </c>
      <c r="AR296" s="719" t="inlineStr">
        <is>
          <t>No</t>
        </is>
      </c>
      <c r="AS296" s="733" t="n"/>
      <c r="AT296" s="733" t="n"/>
      <c r="AU296" s="733" t="n"/>
      <c r="AV296" s="733" t="n"/>
      <c r="AW296" s="719" t="inlineStr">
        <is>
          <t>trade</t>
        </is>
      </c>
      <c r="AX296" s="734" t="inlineStr">
        <is>
          <t>sig:c16b04442a945d37eced4cd7</t>
        </is>
      </c>
    </row>
    <row r="297" ht="15" customHeight="1">
      <c r="A297" s="716" t="inlineStr">
        <is>
          <t>F899</t>
        </is>
      </c>
      <c r="B297" s="717" t="n">
        <v>44505.78125</v>
      </c>
      <c r="C297" s="718" t="n">
        <v>44511.34574074074</v>
      </c>
      <c r="D297" s="719" t="inlineStr">
        <is>
          <t>PEPPERSTONE LIVE</t>
        </is>
      </c>
      <c r="E297" s="719" t="inlineStr">
        <is>
          <t>GBPCAD</t>
        </is>
      </c>
      <c r="F297" s="719" t="inlineStr">
        <is>
          <t>BUY</t>
        </is>
      </c>
      <c r="G297" s="735" t="n">
        <v>0.01</v>
      </c>
      <c r="H297" s="720" t="n">
        <v>1.6775</v>
      </c>
      <c r="I297" s="720" t="n">
        <v>1.67212</v>
      </c>
      <c r="J297" s="721" t="n">
        <v>1.67286</v>
      </c>
      <c r="K297" s="722" t="n">
        <v>0.002766020864381507</v>
      </c>
      <c r="L297" s="721" t="n">
        <v>1.70073</v>
      </c>
      <c r="M297" s="722" t="n">
        <v>0.01384798807749632</v>
      </c>
      <c r="N297" s="761" t="n">
        <v>0.31</v>
      </c>
      <c r="O297" s="762" t="n">
        <v>-6.2</v>
      </c>
      <c r="P297" s="725" t="n">
        <v>-0.01447651069393855</v>
      </c>
      <c r="Q297" s="726" t="n">
        <v>-1.159482758620682</v>
      </c>
      <c r="R297" s="764" t="n">
        <v>422.0799999999999</v>
      </c>
      <c r="S297" s="719" t="inlineStr">
        <is>
          <t>5D 13H 32M 52S</t>
        </is>
      </c>
      <c r="T297" s="728" t="n"/>
      <c r="U297" s="729" t="n"/>
      <c r="V297" s="730" t="n"/>
      <c r="W297" s="731" t="n"/>
      <c r="X297" s="732" t="n"/>
      <c r="Y297" s="728" t="n"/>
      <c r="Z297" s="729" t="n"/>
      <c r="AA297" s="730" t="n"/>
      <c r="AB297" s="731" t="n"/>
      <c r="AC297" s="732" t="n"/>
      <c r="AD297" s="719" t="inlineStr">
        <is>
          <t>No</t>
        </is>
      </c>
      <c r="AE297" s="733" t="n"/>
      <c r="AF297" s="733" t="n"/>
      <c r="AG297" s="733" t="n"/>
      <c r="AH297" s="733" t="n"/>
      <c r="AI297" s="719" t="inlineStr">
        <is>
          <t>Limit</t>
        </is>
      </c>
      <c r="AJ297" s="733" t="n"/>
      <c r="AK297" s="733" t="n"/>
      <c r="AL297" s="733" t="n"/>
      <c r="AM297" s="733" t="n"/>
      <c r="AN297" s="733" t="n"/>
      <c r="AO297" s="733" t="n"/>
      <c r="AP297" s="719" t="inlineStr">
        <is>
          <t>Pullback</t>
        </is>
      </c>
      <c r="AQ297" s="719" t="inlineStr">
        <is>
          <t>WEEKLY</t>
        </is>
      </c>
      <c r="AR297" s="719" t="inlineStr">
        <is>
          <t>No</t>
        </is>
      </c>
      <c r="AS297" s="733" t="n"/>
      <c r="AT297" s="733" t="n"/>
      <c r="AU297" s="733" t="n"/>
      <c r="AV297" s="733" t="n"/>
      <c r="AW297" s="719" t="inlineStr">
        <is>
          <t>trade</t>
        </is>
      </c>
      <c r="AX297" s="734" t="inlineStr">
        <is>
          <t>sig:f87547ed1e9bdfb9872243c5</t>
        </is>
      </c>
    </row>
    <row r="298" ht="15" customHeight="1">
      <c r="A298" s="716" t="inlineStr">
        <is>
          <t>F1151</t>
        </is>
      </c>
      <c r="B298" s="717" t="n">
        <v>44510.01769675926</v>
      </c>
      <c r="C298" s="718" t="n">
        <v>44510.03888888889</v>
      </c>
      <c r="D298" s="719" t="inlineStr">
        <is>
          <t>PEPPERSTONE LIVE</t>
        </is>
      </c>
      <c r="E298" s="719" t="inlineStr">
        <is>
          <t>EURCAD</t>
        </is>
      </c>
      <c r="F298" s="719" t="inlineStr">
        <is>
          <t>SELL</t>
        </is>
      </c>
      <c r="G298" s="735" t="n">
        <v>0.03</v>
      </c>
      <c r="H298" s="720" t="n">
        <v>1.44372</v>
      </c>
      <c r="I298" s="720" t="n">
        <v>1.44518</v>
      </c>
      <c r="J298" s="721" t="n">
        <v>1.4452</v>
      </c>
      <c r="K298" s="722" t="n">
        <v>0.001025129526501086</v>
      </c>
      <c r="L298" s="721" t="n">
        <v>1.43447</v>
      </c>
      <c r="M298" s="722" t="n">
        <v>0.006407059540631134</v>
      </c>
      <c r="N298" s="788" t="n"/>
      <c r="O298" s="762" t="n">
        <v>-4.76</v>
      </c>
      <c r="P298" s="725" t="n">
        <v>-0.01099205616109366</v>
      </c>
      <c r="Q298" s="726" t="n">
        <v>-0.9864864864863994</v>
      </c>
      <c r="R298" s="764" t="n">
        <v>428.2799999999999</v>
      </c>
      <c r="S298" s="719" t="inlineStr">
        <is>
          <t>30M 31S</t>
        </is>
      </c>
      <c r="T298" s="728" t="n"/>
      <c r="U298" s="729" t="n"/>
      <c r="V298" s="730" t="n"/>
      <c r="W298" s="731" t="n"/>
      <c r="X298" s="732" t="n"/>
      <c r="Y298" s="728" t="n"/>
      <c r="Z298" s="729" t="n"/>
      <c r="AA298" s="730" t="n"/>
      <c r="AB298" s="731" t="n"/>
      <c r="AC298" s="732" t="n"/>
      <c r="AD298" s="719" t="inlineStr">
        <is>
          <t>No</t>
        </is>
      </c>
      <c r="AE298" s="733" t="n"/>
      <c r="AF298" s="733" t="n"/>
      <c r="AG298" s="733" t="n"/>
      <c r="AH298" s="733" t="n"/>
      <c r="AI298" s="719" t="n"/>
      <c r="AJ298" s="733" t="n"/>
      <c r="AK298" s="733" t="n"/>
      <c r="AL298" s="733" t="n"/>
      <c r="AM298" s="733" t="n"/>
      <c r="AN298" s="733" t="n"/>
      <c r="AO298" s="733" t="n"/>
      <c r="AP298" s="719" t="inlineStr">
        <is>
          <t>Pullback</t>
        </is>
      </c>
      <c r="AQ298" s="719" t="n"/>
      <c r="AR298" s="719" t="inlineStr">
        <is>
          <t>No</t>
        </is>
      </c>
      <c r="AS298" s="733" t="n"/>
      <c r="AT298" s="733" t="n"/>
      <c r="AU298" s="733" t="n"/>
      <c r="AV298" s="733" t="n"/>
      <c r="AW298" s="719" t="inlineStr">
        <is>
          <t>trade</t>
        </is>
      </c>
      <c r="AX298" s="734" t="inlineStr">
        <is>
          <t>sig:12ba19971d7fb61dfb200f3a</t>
        </is>
      </c>
    </row>
    <row r="299" ht="15" customHeight="1">
      <c r="A299" s="716" t="inlineStr">
        <is>
          <t>F898</t>
        </is>
      </c>
      <c r="B299" s="717" t="n">
        <v>44502.78814814815</v>
      </c>
      <c r="C299" s="718" t="n">
        <v>44502.85337962963</v>
      </c>
      <c r="D299" s="719" t="inlineStr">
        <is>
          <t>PEPPERSTONE LIVE</t>
        </is>
      </c>
      <c r="E299" s="719" t="inlineStr">
        <is>
          <t>USDCAD</t>
        </is>
      </c>
      <c r="F299" s="719" t="inlineStr">
        <is>
          <t>SELL</t>
        </is>
      </c>
      <c r="G299" s="735" t="n">
        <v>0.04</v>
      </c>
      <c r="H299" s="720" t="n">
        <v>1.24031</v>
      </c>
      <c r="I299" s="720" t="n">
        <v>1.24139</v>
      </c>
      <c r="J299" s="721" t="n">
        <v>1.24137</v>
      </c>
      <c r="K299" s="760" t="n">
        <v>0.000854625053414115</v>
      </c>
      <c r="L299" s="721" t="n">
        <v>1.23592</v>
      </c>
      <c r="M299" s="722" t="n">
        <v>0.003539437721214951</v>
      </c>
      <c r="N299" s="788" t="n"/>
      <c r="O299" s="762" t="n">
        <v>-4.66</v>
      </c>
      <c r="P299" s="725" t="n">
        <v>-0.01064656157185287</v>
      </c>
      <c r="Q299" s="726" t="n">
        <v>-1.018867924528215</v>
      </c>
      <c r="R299" s="764" t="n">
        <v>433.0399999999999</v>
      </c>
      <c r="S299" s="719" t="inlineStr">
        <is>
          <t>1H 33M 56S</t>
        </is>
      </c>
      <c r="T299" s="728" t="n"/>
      <c r="U299" s="729" t="n"/>
      <c r="V299" s="730" t="n"/>
      <c r="W299" s="731" t="n"/>
      <c r="X299" s="732" t="n"/>
      <c r="Y299" s="728" t="n"/>
      <c r="Z299" s="729" t="n"/>
      <c r="AA299" s="730" t="n"/>
      <c r="AB299" s="731" t="n"/>
      <c r="AC299" s="732" t="n"/>
      <c r="AD299" s="719" t="inlineStr">
        <is>
          <t>No</t>
        </is>
      </c>
      <c r="AE299" s="733" t="n"/>
      <c r="AF299" s="733" t="n"/>
      <c r="AG299" s="733" t="n"/>
      <c r="AH299" s="733" t="n"/>
      <c r="AI299" s="719" t="inlineStr">
        <is>
          <t>Limit</t>
        </is>
      </c>
      <c r="AJ299" s="733" t="n"/>
      <c r="AK299" s="733" t="n"/>
      <c r="AL299" s="733" t="n"/>
      <c r="AM299" s="733" t="n"/>
      <c r="AN299" s="733" t="n"/>
      <c r="AO299" s="733" t="n"/>
      <c r="AP299" s="719" t="inlineStr">
        <is>
          <t>Pullback</t>
        </is>
      </c>
      <c r="AQ299" s="719" t="inlineStr">
        <is>
          <t>4H</t>
        </is>
      </c>
      <c r="AR299" s="719" t="inlineStr">
        <is>
          <t>No</t>
        </is>
      </c>
      <c r="AS299" s="782" t="n"/>
      <c r="AT299" s="733" t="n"/>
      <c r="AU299" s="719" t="n"/>
      <c r="AV299" s="719" t="n"/>
      <c r="AW299" s="719" t="inlineStr">
        <is>
          <t>trade</t>
        </is>
      </c>
      <c r="AX299" s="734" t="inlineStr">
        <is>
          <t>sig:67289f4a8752e26a1ba0cf1b</t>
        </is>
      </c>
    </row>
    <row r="300" ht="15" customHeight="1">
      <c r="A300" s="737" t="inlineStr">
        <is>
          <t>F909</t>
        </is>
      </c>
      <c r="B300" s="738" t="n">
        <v>44499.01770833333</v>
      </c>
      <c r="C300" s="739" t="n">
        <v>44501.35295138889</v>
      </c>
      <c r="D300" s="740" t="inlineStr">
        <is>
          <t>PEPPERSTONE LIVE</t>
        </is>
      </c>
      <c r="E300" s="740" t="inlineStr">
        <is>
          <t>NZDUSD</t>
        </is>
      </c>
      <c r="F300" s="740" t="inlineStr">
        <is>
          <t>BUY</t>
        </is>
      </c>
      <c r="G300" s="775" t="n">
        <v>0.04</v>
      </c>
      <c r="H300" s="742" t="n">
        <v>0.7137</v>
      </c>
      <c r="I300" s="742" t="n">
        <v>0.71706</v>
      </c>
      <c r="J300" s="743" t="n">
        <v>0.71274</v>
      </c>
      <c r="K300" s="744" t="n">
        <v>0.001345102984447192</v>
      </c>
      <c r="L300" s="743" t="n">
        <v>0.71705</v>
      </c>
      <c r="M300" s="744" t="n">
        <v>0.004693848956143988</v>
      </c>
      <c r="N300" s="808" t="n">
        <v>0.06</v>
      </c>
      <c r="O300" s="767" t="n">
        <v>17.81</v>
      </c>
      <c r="P300" s="747" t="n">
        <v>0.04241587082331088</v>
      </c>
      <c r="Q300" s="748" t="n">
        <v>3.500000000000174</v>
      </c>
      <c r="R300" s="769" t="n">
        <v>437.6999999999999</v>
      </c>
      <c r="S300" s="740" t="inlineStr">
        <is>
          <t>2D 8H 2M 45S</t>
        </is>
      </c>
      <c r="T300" s="750" t="n"/>
      <c r="U300" s="751" t="n"/>
      <c r="V300" s="752" t="n"/>
      <c r="W300" s="753" t="n"/>
      <c r="X300" s="754" t="n"/>
      <c r="Y300" s="750" t="n"/>
      <c r="Z300" s="751" t="n"/>
      <c r="AA300" s="752" t="n"/>
      <c r="AB300" s="753" t="n"/>
      <c r="AC300" s="754" t="n"/>
      <c r="AD300" s="740" t="inlineStr">
        <is>
          <t>No</t>
        </is>
      </c>
      <c r="AE300" s="755" t="n"/>
      <c r="AF300" s="755" t="n"/>
      <c r="AG300" s="755" t="n"/>
      <c r="AH300" s="755" t="n"/>
      <c r="AI300" s="740" t="inlineStr">
        <is>
          <t>Limit</t>
        </is>
      </c>
      <c r="AJ300" s="755" t="n"/>
      <c r="AK300" s="755" t="n"/>
      <c r="AL300" s="755" t="n"/>
      <c r="AM300" s="755" t="n"/>
      <c r="AN300" s="755" t="n"/>
      <c r="AO300" s="755" t="n"/>
      <c r="AP300" s="740" t="inlineStr">
        <is>
          <t>Pullback</t>
        </is>
      </c>
      <c r="AQ300" s="740" t="inlineStr">
        <is>
          <t>4H</t>
        </is>
      </c>
      <c r="AR300" s="740" t="inlineStr">
        <is>
          <t>No</t>
        </is>
      </c>
      <c r="AS300" s="787" t="n"/>
      <c r="AT300" s="755" t="n"/>
      <c r="AU300" s="740" t="n"/>
      <c r="AV300" s="740" t="n"/>
      <c r="AW300" s="740" t="inlineStr">
        <is>
          <t>trade</t>
        </is>
      </c>
      <c r="AX300" s="756" t="inlineStr">
        <is>
          <t>sig:229d9757fe10704edbcff335</t>
        </is>
      </c>
    </row>
    <row r="301" ht="15" customHeight="1">
      <c r="A301" s="716" t="inlineStr">
        <is>
          <t>F908</t>
        </is>
      </c>
      <c r="B301" s="717" t="n">
        <v>44498.03733796296</v>
      </c>
      <c r="C301" s="718" t="n">
        <v>44498.12347222222</v>
      </c>
      <c r="D301" s="719" t="inlineStr">
        <is>
          <t>PEPPERSTONE LIVE</t>
        </is>
      </c>
      <c r="E301" s="719" t="inlineStr">
        <is>
          <t>EURGBP</t>
        </is>
      </c>
      <c r="F301" s="719" t="inlineStr">
        <is>
          <t>SELL</t>
        </is>
      </c>
      <c r="G301" s="735" t="n">
        <v>0.04</v>
      </c>
      <c r="H301" s="720" t="n">
        <v>0.84632</v>
      </c>
      <c r="I301" s="720" t="n">
        <v>0.847</v>
      </c>
      <c r="J301" s="721" t="n">
        <v>0.847</v>
      </c>
      <c r="K301" s="760" t="n">
        <v>0.0008034785896587744</v>
      </c>
      <c r="L301" s="721" t="n">
        <v>0.8426</v>
      </c>
      <c r="M301" s="722" t="n">
        <v>0.004395500519897847</v>
      </c>
      <c r="N301" s="761" t="n"/>
      <c r="O301" s="762" t="n">
        <v>-4.97</v>
      </c>
      <c r="P301" s="725" t="n">
        <v>-0.01169797109636116</v>
      </c>
      <c r="Q301" s="726" t="n">
        <v>-1</v>
      </c>
      <c r="R301" s="764" t="n">
        <v>419.8899999999999</v>
      </c>
      <c r="S301" s="719" t="inlineStr">
        <is>
          <t>2H 4M 2S</t>
        </is>
      </c>
      <c r="T301" s="728" t="n"/>
      <c r="U301" s="729" t="n"/>
      <c r="V301" s="730" t="n"/>
      <c r="W301" s="731" t="n"/>
      <c r="X301" s="732" t="n"/>
      <c r="Y301" s="728" t="n"/>
      <c r="Z301" s="729" t="n"/>
      <c r="AA301" s="730" t="n"/>
      <c r="AB301" s="731" t="n"/>
      <c r="AC301" s="732" t="n"/>
      <c r="AD301" s="719" t="inlineStr">
        <is>
          <t>No</t>
        </is>
      </c>
      <c r="AE301" s="733" t="n"/>
      <c r="AF301" s="733" t="n"/>
      <c r="AG301" s="733" t="n"/>
      <c r="AH301" s="733" t="n"/>
      <c r="AI301" s="719" t="inlineStr">
        <is>
          <t>Limit</t>
        </is>
      </c>
      <c r="AJ301" s="733" t="n"/>
      <c r="AK301" s="733" t="n"/>
      <c r="AL301" s="733" t="n"/>
      <c r="AM301" s="733" t="n"/>
      <c r="AN301" s="733" t="n"/>
      <c r="AO301" s="733" t="n"/>
      <c r="AP301" s="719" t="inlineStr">
        <is>
          <t>Pullback</t>
        </is>
      </c>
      <c r="AQ301" s="719" t="inlineStr">
        <is>
          <t>4H</t>
        </is>
      </c>
      <c r="AR301" s="719" t="inlineStr">
        <is>
          <t>No</t>
        </is>
      </c>
      <c r="AS301" s="733" t="n"/>
      <c r="AT301" s="733" t="n"/>
      <c r="AU301" s="733" t="n"/>
      <c r="AV301" s="733" t="n"/>
      <c r="AW301" s="719" t="inlineStr">
        <is>
          <t>trade</t>
        </is>
      </c>
      <c r="AX301" s="734" t="inlineStr">
        <is>
          <t>sig:86e5ad4a61547e56c058b246</t>
        </is>
      </c>
    </row>
    <row r="302" ht="15" customHeight="1">
      <c r="A302" s="716" t="inlineStr">
        <is>
          <t>F897</t>
        </is>
      </c>
      <c r="B302" s="717" t="n">
        <v>44497.9475</v>
      </c>
      <c r="C302" s="718" t="n">
        <v>44497.94820601852</v>
      </c>
      <c r="D302" s="719" t="inlineStr">
        <is>
          <t>PEPPERSTONE LIVE</t>
        </is>
      </c>
      <c r="E302" s="719" t="inlineStr">
        <is>
          <t>EURUSD</t>
        </is>
      </c>
      <c r="F302" s="719" t="inlineStr">
        <is>
          <t>SELL</t>
        </is>
      </c>
      <c r="G302" s="735" t="n">
        <v>0.06</v>
      </c>
      <c r="H302" s="720" t="n">
        <v>1.16228</v>
      </c>
      <c r="I302" s="720" t="n">
        <v>1.16283</v>
      </c>
      <c r="J302" s="721" t="n">
        <v>1.1628</v>
      </c>
      <c r="K302" s="760" t="n">
        <v>0.0004473964965413463</v>
      </c>
      <c r="L302" s="721" t="n">
        <v>1.15949</v>
      </c>
      <c r="M302" s="722" t="n">
        <v>0.002400454279519626</v>
      </c>
      <c r="N302" s="761" t="n"/>
      <c r="O302" s="762" t="n">
        <v>-4.39</v>
      </c>
      <c r="P302" s="725" t="n">
        <v>-0.01022714036109493</v>
      </c>
      <c r="Q302" s="726" t="n">
        <v>-1.05769230769225</v>
      </c>
      <c r="R302" s="764" t="n">
        <v>424.86</v>
      </c>
      <c r="S302" s="719" t="inlineStr">
        <is>
          <t>1M 1S</t>
        </is>
      </c>
      <c r="T302" s="717" t="n"/>
      <c r="U302" s="806" t="n"/>
      <c r="V302" s="807" t="n"/>
      <c r="W302" s="725" t="n"/>
      <c r="X302" s="722" t="n"/>
      <c r="Y302" s="728" t="n"/>
      <c r="Z302" s="729" t="n"/>
      <c r="AA302" s="730" t="n"/>
      <c r="AB302" s="731" t="n"/>
      <c r="AC302" s="732" t="n"/>
      <c r="AD302" s="719" t="inlineStr">
        <is>
          <t>No</t>
        </is>
      </c>
      <c r="AE302" s="733" t="n"/>
      <c r="AF302" s="733" t="n"/>
      <c r="AG302" s="733" t="n"/>
      <c r="AH302" s="719" t="n"/>
      <c r="AI302" s="719" t="inlineStr">
        <is>
          <t>Limit</t>
        </is>
      </c>
      <c r="AJ302" s="733" t="n"/>
      <c r="AK302" s="733" t="n"/>
      <c r="AL302" s="733" t="n"/>
      <c r="AM302" s="733" t="n"/>
      <c r="AN302" s="733" t="n"/>
      <c r="AO302" s="733" t="n"/>
      <c r="AP302" s="719" t="inlineStr">
        <is>
          <t>Pullback</t>
        </is>
      </c>
      <c r="AQ302" s="719" t="inlineStr">
        <is>
          <t>4H</t>
        </is>
      </c>
      <c r="AR302" s="719" t="inlineStr">
        <is>
          <t>No</t>
        </is>
      </c>
      <c r="AS302" s="733" t="n"/>
      <c r="AT302" s="733" t="n"/>
      <c r="AU302" s="733" t="n"/>
      <c r="AV302" s="733" t="n"/>
      <c r="AW302" s="719" t="inlineStr">
        <is>
          <t>trade</t>
        </is>
      </c>
      <c r="AX302" s="734" t="inlineStr">
        <is>
          <t>sig:f02416ee96db4c92a2509100</t>
        </is>
      </c>
    </row>
    <row r="303" ht="15" customHeight="1">
      <c r="A303" s="737" t="inlineStr">
        <is>
          <t>F896</t>
        </is>
      </c>
      <c r="B303" s="738" t="n">
        <v>44496.93822916667</v>
      </c>
      <c r="C303" s="739" t="n">
        <v>44497.05196759259</v>
      </c>
      <c r="D303" s="740" t="inlineStr">
        <is>
          <t>PEPPERSTONE LIVE</t>
        </is>
      </c>
      <c r="E303" s="740" t="inlineStr">
        <is>
          <t>EURUSD</t>
        </is>
      </c>
      <c r="F303" s="740" t="inlineStr">
        <is>
          <t>SELL</t>
        </is>
      </c>
      <c r="G303" s="775" t="n">
        <v>0.05</v>
      </c>
      <c r="H303" s="742" t="n">
        <v>1.1622</v>
      </c>
      <c r="I303" s="742" t="n">
        <v>1.15936</v>
      </c>
      <c r="J303" s="743" t="n">
        <v>1.16285</v>
      </c>
      <c r="K303" s="765" t="n">
        <v>0.0005592841163311302</v>
      </c>
      <c r="L303" s="743" t="n">
        <v>1.15936</v>
      </c>
      <c r="M303" s="744" t="n">
        <v>0.002443641369815827</v>
      </c>
      <c r="N303" s="766" t="n"/>
      <c r="O303" s="767" t="n">
        <v>18.9</v>
      </c>
      <c r="P303" s="747" t="n">
        <v>0.046058242963324</v>
      </c>
      <c r="Q303" s="748" t="n">
        <v>4.369230769230433</v>
      </c>
      <c r="R303" s="769" t="n">
        <v>429.2499999999999</v>
      </c>
      <c r="S303" s="740" t="inlineStr">
        <is>
          <t>2H 43M 47S</t>
        </is>
      </c>
      <c r="T303" s="738" t="n"/>
      <c r="U303" s="809" t="n"/>
      <c r="V303" s="810" t="n"/>
      <c r="W303" s="747" t="n"/>
      <c r="X303" s="744" t="n"/>
      <c r="Y303" s="738" t="n"/>
      <c r="Z303" s="809" t="n"/>
      <c r="AA303" s="810" t="n"/>
      <c r="AB303" s="747" t="n"/>
      <c r="AC303" s="744" t="n"/>
      <c r="AD303" s="740" t="inlineStr">
        <is>
          <t>No</t>
        </is>
      </c>
      <c r="AE303" s="755" t="n"/>
      <c r="AF303" s="755" t="n"/>
      <c r="AG303" s="755" t="n"/>
      <c r="AH303" s="755" t="n"/>
      <c r="AI303" s="740" t="inlineStr">
        <is>
          <t>Limit</t>
        </is>
      </c>
      <c r="AJ303" s="755" t="n"/>
      <c r="AK303" s="755" t="n"/>
      <c r="AL303" s="755" t="n"/>
      <c r="AM303" s="755" t="n"/>
      <c r="AN303" s="755" t="n"/>
      <c r="AO303" s="755" t="n"/>
      <c r="AP303" s="740" t="inlineStr">
        <is>
          <t>Pullback</t>
        </is>
      </c>
      <c r="AQ303" s="740" t="inlineStr">
        <is>
          <t>4H</t>
        </is>
      </c>
      <c r="AR303" s="740" t="inlineStr">
        <is>
          <t>No</t>
        </is>
      </c>
      <c r="AS303" s="755" t="n"/>
      <c r="AT303" s="755" t="n"/>
      <c r="AU303" s="755" t="n"/>
      <c r="AV303" s="755" t="n"/>
      <c r="AW303" s="740" t="inlineStr">
        <is>
          <t>trade</t>
        </is>
      </c>
      <c r="AX303" s="756" t="inlineStr">
        <is>
          <t>sig:83d92473ea0775a35fae2393</t>
        </is>
      </c>
    </row>
    <row r="304" ht="15" customHeight="1">
      <c r="A304" s="716" t="inlineStr">
        <is>
          <t>F895</t>
        </is>
      </c>
      <c r="B304" s="717" t="n">
        <v>44496.18877314815</v>
      </c>
      <c r="C304" s="718" t="n">
        <v>44496.29267361111</v>
      </c>
      <c r="D304" s="719" t="inlineStr">
        <is>
          <t>PEPPERSTONE DEMO</t>
        </is>
      </c>
      <c r="E304" s="719" t="inlineStr">
        <is>
          <t>EURGBP</t>
        </is>
      </c>
      <c r="F304" s="719" t="inlineStr">
        <is>
          <t>SELL</t>
        </is>
      </c>
      <c r="G304" s="735" t="n">
        <v>0.05</v>
      </c>
      <c r="H304" s="720" t="n">
        <v>0.84243</v>
      </c>
      <c r="I304" s="720" t="n">
        <v>0.84299</v>
      </c>
      <c r="J304" s="721" t="n">
        <v>0.84299</v>
      </c>
      <c r="K304" s="760" t="n">
        <v>0.0006647436582268021</v>
      </c>
      <c r="L304" s="721" t="n">
        <v>0.84051</v>
      </c>
      <c r="M304" s="722" t="n">
        <v>0.002279121113920483</v>
      </c>
      <c r="N304" s="761" t="n">
        <v>0.44</v>
      </c>
      <c r="O304" s="762" t="n">
        <v>-5.58</v>
      </c>
      <c r="P304" s="725" t="n">
        <v>-0.005611762576181185</v>
      </c>
      <c r="Q304" s="726" t="n">
        <v>-1</v>
      </c>
      <c r="R304" s="764" t="n">
        <v>988.76</v>
      </c>
      <c r="S304" s="719" t="inlineStr">
        <is>
          <t>2H 29M 37S</t>
        </is>
      </c>
      <c r="T304" s="728" t="n"/>
      <c r="U304" s="729" t="n"/>
      <c r="V304" s="730" t="n"/>
      <c r="W304" s="731" t="n"/>
      <c r="X304" s="732" t="n"/>
      <c r="Y304" s="728" t="n"/>
      <c r="Z304" s="729" t="n"/>
      <c r="AA304" s="730" t="n"/>
      <c r="AB304" s="731" t="n"/>
      <c r="AC304" s="732" t="n"/>
      <c r="AD304" s="719" t="inlineStr">
        <is>
          <t>No</t>
        </is>
      </c>
      <c r="AE304" s="733" t="n"/>
      <c r="AF304" s="733" t="n"/>
      <c r="AG304" s="733" t="n"/>
      <c r="AH304" s="719" t="n"/>
      <c r="AI304" s="719" t="inlineStr">
        <is>
          <t>Limit</t>
        </is>
      </c>
      <c r="AJ304" s="733" t="n"/>
      <c r="AK304" s="733" t="n"/>
      <c r="AL304" s="733" t="n"/>
      <c r="AM304" s="733" t="n"/>
      <c r="AN304" s="733" t="n"/>
      <c r="AO304" s="733" t="n"/>
      <c r="AP304" s="719" t="inlineStr">
        <is>
          <t>Pullback</t>
        </is>
      </c>
      <c r="AQ304" s="719" t="inlineStr">
        <is>
          <t>1H</t>
        </is>
      </c>
      <c r="AR304" s="719" t="inlineStr">
        <is>
          <t>No</t>
        </is>
      </c>
      <c r="AS304" s="733" t="n"/>
      <c r="AT304" s="733" t="n"/>
      <c r="AU304" s="733" t="n"/>
      <c r="AV304" s="733" t="n"/>
      <c r="AW304" s="719" t="inlineStr">
        <is>
          <t>trade</t>
        </is>
      </c>
      <c r="AX304" s="734" t="inlineStr">
        <is>
          <t>sig:79cd0544905a6ca2ac41a4a8</t>
        </is>
      </c>
    </row>
    <row r="305" ht="15" customHeight="1">
      <c r="A305" s="716" t="inlineStr">
        <is>
          <t>F894</t>
        </is>
      </c>
      <c r="B305" s="717" t="n">
        <v>44495.72666666667</v>
      </c>
      <c r="C305" s="718" t="n">
        <v>44495.75653935185</v>
      </c>
      <c r="D305" s="719" t="inlineStr">
        <is>
          <t>PEPPERSTONE DEMO</t>
        </is>
      </c>
      <c r="E305" s="719" t="inlineStr">
        <is>
          <t>EURGBP</t>
        </is>
      </c>
      <c r="F305" s="719" t="inlineStr">
        <is>
          <t>SELL</t>
        </is>
      </c>
      <c r="G305" s="720" t="n">
        <v>0.1</v>
      </c>
      <c r="H305" s="720" t="n">
        <v>0.84258</v>
      </c>
      <c r="I305" s="720" t="n">
        <v>0.84285</v>
      </c>
      <c r="J305" s="721" t="n">
        <v>0.84285</v>
      </c>
      <c r="K305" s="760" t="n">
        <v>0.0003204443494979616</v>
      </c>
      <c r="L305" s="721" t="n">
        <v>0.84135</v>
      </c>
      <c r="M305" s="722" t="n">
        <v>0.00145980203660181</v>
      </c>
      <c r="N305" s="761" t="n">
        <v>0.7</v>
      </c>
      <c r="O305" s="762" t="n">
        <v>-5.66</v>
      </c>
      <c r="P305" s="725" t="n">
        <v>-0.005660000000000001</v>
      </c>
      <c r="Q305" s="726" t="n">
        <v>-1</v>
      </c>
      <c r="R305" s="764" t="n">
        <v>994.34</v>
      </c>
      <c r="S305" s="719" t="inlineStr">
        <is>
          <t>43M 1S</t>
        </is>
      </c>
      <c r="T305" s="728" t="n"/>
      <c r="U305" s="729" t="n"/>
      <c r="V305" s="730" t="n"/>
      <c r="W305" s="731" t="n"/>
      <c r="X305" s="732" t="n"/>
      <c r="Y305" s="728" t="n"/>
      <c r="Z305" s="729" t="n"/>
      <c r="AA305" s="730" t="n"/>
      <c r="AB305" s="731" t="n"/>
      <c r="AC305" s="732" t="n"/>
      <c r="AD305" s="719" t="inlineStr">
        <is>
          <t>No</t>
        </is>
      </c>
      <c r="AE305" s="733" t="n"/>
      <c r="AF305" s="733" t="n"/>
      <c r="AG305" s="733" t="n"/>
      <c r="AH305" s="733" t="n"/>
      <c r="AI305" s="719" t="inlineStr">
        <is>
          <t>Limit</t>
        </is>
      </c>
      <c r="AJ305" s="733" t="n"/>
      <c r="AK305" s="733" t="n"/>
      <c r="AL305" s="733" t="n"/>
      <c r="AM305" s="733" t="n"/>
      <c r="AN305" s="733" t="n"/>
      <c r="AO305" s="733" t="n"/>
      <c r="AP305" s="719" t="inlineStr">
        <is>
          <t>Pullback</t>
        </is>
      </c>
      <c r="AQ305" s="719" t="inlineStr">
        <is>
          <t>5MIN</t>
        </is>
      </c>
      <c r="AR305" s="719" t="inlineStr">
        <is>
          <t>No</t>
        </is>
      </c>
      <c r="AS305" s="733" t="n"/>
      <c r="AT305" s="733" t="n"/>
      <c r="AU305" s="733" t="n"/>
      <c r="AV305" s="733" t="n"/>
      <c r="AW305" s="719" t="inlineStr">
        <is>
          <t>trade</t>
        </is>
      </c>
      <c r="AX305" s="734" t="inlineStr">
        <is>
          <t>sig:ed62f0d34e93187a4bc37a88</t>
        </is>
      </c>
    </row>
    <row r="306" ht="15" customHeight="1">
      <c r="A306" s="716" t="inlineStr">
        <is>
          <t>F893</t>
        </is>
      </c>
      <c r="B306" s="717" t="n">
        <v>44495.70751157407</v>
      </c>
      <c r="C306" s="718" t="n">
        <v>44495.70929398148</v>
      </c>
      <c r="D306" s="719" t="inlineStr">
        <is>
          <t>PEPPERSTONE LIVE</t>
        </is>
      </c>
      <c r="E306" s="719" t="inlineStr">
        <is>
          <t>EURGBP</t>
        </is>
      </c>
      <c r="F306" s="719" t="inlineStr">
        <is>
          <t>BUY</t>
        </is>
      </c>
      <c r="G306" s="735" t="n">
        <v>0.06</v>
      </c>
      <c r="H306" s="720" t="n">
        <v>0.84233</v>
      </c>
      <c r="I306" s="720" t="n">
        <v>0.84176</v>
      </c>
      <c r="J306" s="721" t="n">
        <v>0.84194</v>
      </c>
      <c r="K306" s="760" t="n">
        <v>0.000463001436491638</v>
      </c>
      <c r="L306" s="721" t="n">
        <v>0.8441</v>
      </c>
      <c r="M306" s="722" t="n">
        <v>0.002101314211769661</v>
      </c>
      <c r="N306" s="761" t="n"/>
      <c r="O306" s="762" t="n">
        <v>-6.28</v>
      </c>
      <c r="P306" s="725" t="n">
        <v>-0.01507332645272784</v>
      </c>
      <c r="Q306" s="726" t="n">
        <v>-1.461538461538637</v>
      </c>
      <c r="R306" s="764" t="n">
        <v>410.35</v>
      </c>
      <c r="S306" s="719" t="inlineStr">
        <is>
          <t>2M 34S</t>
        </is>
      </c>
      <c r="T306" s="728" t="n"/>
      <c r="U306" s="729" t="n"/>
      <c r="V306" s="730" t="n"/>
      <c r="W306" s="731" t="n"/>
      <c r="X306" s="732" t="n"/>
      <c r="Y306" s="728" t="n"/>
      <c r="Z306" s="729" t="n"/>
      <c r="AA306" s="730" t="n"/>
      <c r="AB306" s="731" t="n"/>
      <c r="AC306" s="732" t="n"/>
      <c r="AD306" s="719" t="inlineStr">
        <is>
          <t>No</t>
        </is>
      </c>
      <c r="AE306" s="733" t="n"/>
      <c r="AF306" s="733" t="n"/>
      <c r="AG306" s="733" t="n"/>
      <c r="AH306" s="733" t="n"/>
      <c r="AI306" s="719" t="inlineStr">
        <is>
          <t>Limit</t>
        </is>
      </c>
      <c r="AJ306" s="733" t="n"/>
      <c r="AK306" s="733" t="n"/>
      <c r="AL306" s="733" t="n"/>
      <c r="AM306" s="733" t="n"/>
      <c r="AN306" s="733" t="n"/>
      <c r="AO306" s="733" t="n"/>
      <c r="AP306" s="719" t="inlineStr">
        <is>
          <t>Pullback</t>
        </is>
      </c>
      <c r="AQ306" s="719" t="inlineStr">
        <is>
          <t>1H</t>
        </is>
      </c>
      <c r="AR306" s="719" t="inlineStr">
        <is>
          <t>No</t>
        </is>
      </c>
      <c r="AS306" s="733" t="n"/>
      <c r="AT306" s="733" t="n"/>
      <c r="AU306" s="733" t="n"/>
      <c r="AV306" s="733" t="n"/>
      <c r="AW306" s="719" t="inlineStr">
        <is>
          <t>trade</t>
        </is>
      </c>
      <c r="AX306" s="734" t="inlineStr">
        <is>
          <t>sig:7a666cef5b9dd302c5f77bdd</t>
        </is>
      </c>
    </row>
    <row r="307" ht="15" customHeight="1">
      <c r="A307" s="42" t="n"/>
      <c r="B307" s="770" t="n">
        <v>44493</v>
      </c>
      <c r="C307" s="771" t="n">
        <v>44493</v>
      </c>
      <c r="D307" s="12" t="inlineStr">
        <is>
          <t>PEPPERSTONE DEMO</t>
        </is>
      </c>
      <c r="E307" s="12" t="inlineStr">
        <is>
          <t>CASHFLOW</t>
        </is>
      </c>
      <c r="F307" s="12" t="inlineStr">
        <is>
          <t>WITHDRAWAL</t>
        </is>
      </c>
      <c r="G307" s="262" t="n"/>
      <c r="H307" s="262" t="n"/>
      <c r="I307" s="262" t="n"/>
      <c r="J307" s="263" t="n"/>
      <c r="K307" s="36" t="n"/>
      <c r="L307" s="263" t="n"/>
      <c r="M307" s="36" t="n"/>
      <c r="N307" s="772" t="n"/>
      <c r="O307" s="773" t="n"/>
      <c r="P307" s="3" t="n"/>
      <c r="Q307" s="51" t="n"/>
      <c r="R307" s="54" t="n">
        <v>0</v>
      </c>
      <c r="S307" s="12" t="n"/>
      <c r="T307" s="770" t="n"/>
      <c r="U307" s="4" t="n"/>
      <c r="V307" s="264" t="n"/>
      <c r="W307" s="9" t="n"/>
      <c r="X307" s="46" t="n"/>
      <c r="Y307" s="774" t="n"/>
      <c r="Z307" s="6" t="n"/>
      <c r="AA307" s="264" t="n"/>
      <c r="AB307" s="9" t="n"/>
      <c r="AC307" s="46" t="n"/>
      <c r="AD307" s="12" t="inlineStr">
        <is>
          <t>No</t>
        </is>
      </c>
      <c r="AE307" s="45" t="n"/>
      <c r="AF307" s="45" t="n"/>
      <c r="AG307" s="45" t="n"/>
      <c r="AH307" s="45" t="n"/>
      <c r="AI307" s="12" t="n"/>
      <c r="AJ307" s="45" t="n"/>
      <c r="AK307" s="45" t="n"/>
      <c r="AL307" s="45" t="n"/>
      <c r="AM307" s="45" t="n"/>
      <c r="AN307" s="45" t="n"/>
      <c r="AO307" s="45" t="n"/>
      <c r="AP307" s="12" t="n"/>
      <c r="AQ307" s="12" t="n"/>
      <c r="AR307" s="12" t="n"/>
      <c r="AS307" s="56" t="inlineStr">
        <is>
          <t>Withdrawal -941.29 AUD. Source: user_txt. Imported from account_cashflows.xlsx row 69.</t>
        </is>
      </c>
      <c r="AT307" s="45" t="n"/>
      <c r="AU307" s="12" t="n">
        <v>0</v>
      </c>
      <c r="AV307" s="12" t="inlineStr">
        <is>
          <t>AUD</t>
        </is>
      </c>
      <c r="AW307" s="12" t="inlineStr">
        <is>
          <t>cashflow</t>
        </is>
      </c>
      <c r="AX307" s="57" t="inlineStr">
        <is>
          <t>cashflow:PEPPERSTONE DEMO:2021-10-24T00:00:00:55</t>
        </is>
      </c>
    </row>
    <row r="308" ht="15" customHeight="1">
      <c r="A308" s="42" t="n"/>
      <c r="B308" s="770" t="n">
        <v>44493</v>
      </c>
      <c r="C308" s="771" t="n">
        <v>44493</v>
      </c>
      <c r="D308" s="12" t="inlineStr">
        <is>
          <t>PEPPERSTONE DEMO</t>
        </is>
      </c>
      <c r="E308" s="12" t="inlineStr">
        <is>
          <t>CASHFLOW</t>
        </is>
      </c>
      <c r="F308" s="12" t="inlineStr">
        <is>
          <t>DEPOSIT</t>
        </is>
      </c>
      <c r="G308" s="262" t="n"/>
      <c r="H308" s="262" t="n"/>
      <c r="I308" s="262" t="n"/>
      <c r="J308" s="263" t="n"/>
      <c r="K308" s="36" t="n"/>
      <c r="L308" s="263" t="n"/>
      <c r="M308" s="36" t="n"/>
      <c r="N308" s="772" t="n"/>
      <c r="O308" s="773" t="n"/>
      <c r="P308" s="3" t="n"/>
      <c r="Q308" s="51" t="n"/>
      <c r="R308" s="54" t="n">
        <v>1000</v>
      </c>
      <c r="S308" s="12" t="n"/>
      <c r="T308" s="774" t="n"/>
      <c r="U308" s="6" t="n"/>
      <c r="V308" s="264" t="n"/>
      <c r="W308" s="9" t="n"/>
      <c r="X308" s="46" t="n"/>
      <c r="Y308" s="774" t="n"/>
      <c r="Z308" s="6" t="n"/>
      <c r="AA308" s="264" t="n"/>
      <c r="AB308" s="9" t="n"/>
      <c r="AC308" s="46" t="n"/>
      <c r="AD308" s="12" t="inlineStr">
        <is>
          <t>No</t>
        </is>
      </c>
      <c r="AE308" s="45" t="n"/>
      <c r="AF308" s="45" t="n"/>
      <c r="AG308" s="45" t="n"/>
      <c r="AH308" s="45" t="n"/>
      <c r="AI308" s="12" t="n"/>
      <c r="AJ308" s="45" t="n"/>
      <c r="AK308" s="45" t="n"/>
      <c r="AL308" s="45" t="n"/>
      <c r="AM308" s="45" t="n"/>
      <c r="AN308" s="45" t="n"/>
      <c r="AO308" s="45" t="n"/>
      <c r="AP308" s="12" t="n"/>
      <c r="AQ308" s="12" t="n"/>
      <c r="AR308" s="12" t="n"/>
      <c r="AS308" s="56" t="inlineStr">
        <is>
          <t>Deposit 1000.0 AUD. Source: user_txt. Imported from account_cashflows.xlsx row 70.</t>
        </is>
      </c>
      <c r="AT308" s="45" t="n"/>
      <c r="AU308" s="12" t="n">
        <v>1000</v>
      </c>
      <c r="AV308" s="12" t="inlineStr">
        <is>
          <t>AUD</t>
        </is>
      </c>
      <c r="AW308" s="12" t="inlineStr">
        <is>
          <t>cashflow</t>
        </is>
      </c>
      <c r="AX308" s="57" t="inlineStr">
        <is>
          <t>cashflow:PEPPERSTONE DEMO:2021-10-24T00:00:00:56</t>
        </is>
      </c>
    </row>
    <row r="309" ht="15" customHeight="1">
      <c r="A309" s="716" t="inlineStr">
        <is>
          <t>F892</t>
        </is>
      </c>
      <c r="B309" s="717" t="n">
        <v>44492.08125</v>
      </c>
      <c r="C309" s="718" t="n">
        <v>44492.08194444444</v>
      </c>
      <c r="D309" s="719" t="inlineStr">
        <is>
          <t>PEPPERSTONE DEMO</t>
        </is>
      </c>
      <c r="E309" s="719" t="inlineStr">
        <is>
          <t>EURGBP</t>
        </is>
      </c>
      <c r="F309" s="719" t="inlineStr">
        <is>
          <t>SELL</t>
        </is>
      </c>
      <c r="G309" s="735" t="n">
        <v>0.06</v>
      </c>
      <c r="H309" s="720" t="n">
        <v>0.846</v>
      </c>
      <c r="I309" s="720" t="n">
        <v>0.84649</v>
      </c>
      <c r="J309" s="721" t="n">
        <v>0.8464</v>
      </c>
      <c r="K309" s="760" t="n">
        <v>0.0004728132387707648</v>
      </c>
      <c r="L309" s="721" t="n">
        <v>0.8442</v>
      </c>
      <c r="M309" s="722" t="n">
        <v>0.002127659574468113</v>
      </c>
      <c r="N309" s="761" t="n">
        <v>0.42</v>
      </c>
      <c r="O309" s="762" t="n">
        <v>-5.06</v>
      </c>
      <c r="P309" s="725" t="n">
        <v>-0.005346858984519471</v>
      </c>
      <c r="Q309" s="726" t="n">
        <v>-1.224999999999771</v>
      </c>
      <c r="R309" s="764" t="n">
        <v>941.2899999999998</v>
      </c>
      <c r="S309" s="719" t="inlineStr">
        <is>
          <t>1M 0S</t>
        </is>
      </c>
      <c r="T309" s="728" t="n"/>
      <c r="U309" s="729" t="n"/>
      <c r="V309" s="730" t="n"/>
      <c r="W309" s="731" t="n"/>
      <c r="X309" s="732" t="n"/>
      <c r="Y309" s="728" t="n"/>
      <c r="Z309" s="729" t="n"/>
      <c r="AA309" s="730" t="n"/>
      <c r="AB309" s="731" t="n"/>
      <c r="AC309" s="732" t="n"/>
      <c r="AD309" s="719" t="inlineStr">
        <is>
          <t>No</t>
        </is>
      </c>
      <c r="AE309" s="733" t="n"/>
      <c r="AF309" s="733" t="n"/>
      <c r="AG309" s="733" t="n"/>
      <c r="AH309" s="733" t="n"/>
      <c r="AI309" s="719" t="inlineStr">
        <is>
          <t>Limit</t>
        </is>
      </c>
      <c r="AJ309" s="733" t="n"/>
      <c r="AK309" s="733" t="n"/>
      <c r="AL309" s="733" t="n"/>
      <c r="AM309" s="733" t="n"/>
      <c r="AN309" s="733" t="n"/>
      <c r="AO309" s="733" t="n"/>
      <c r="AP309" s="719" t="inlineStr">
        <is>
          <t>Pullback</t>
        </is>
      </c>
      <c r="AQ309" s="719" t="inlineStr">
        <is>
          <t>1H</t>
        </is>
      </c>
      <c r="AR309" s="719" t="inlineStr">
        <is>
          <t>No</t>
        </is>
      </c>
      <c r="AS309" s="733" t="n"/>
      <c r="AT309" s="733" t="n"/>
      <c r="AU309" s="733" t="n"/>
      <c r="AV309" s="733" t="n"/>
      <c r="AW309" s="719" t="inlineStr">
        <is>
          <t>trade</t>
        </is>
      </c>
      <c r="AX309" s="734" t="inlineStr">
        <is>
          <t>sig:7e4b41545ae6798c218c6533</t>
        </is>
      </c>
    </row>
    <row r="310" ht="15" customHeight="1">
      <c r="A310" s="716" t="inlineStr">
        <is>
          <t>C295</t>
        </is>
      </c>
      <c r="B310" s="717" t="n">
        <v>44490.66666666666</v>
      </c>
      <c r="C310" s="718" t="n">
        <v>44490.89861111111</v>
      </c>
      <c r="D310" s="719" t="inlineStr">
        <is>
          <t>BYBIT</t>
        </is>
      </c>
      <c r="E310" s="719" t="inlineStr">
        <is>
          <t>BTCUSDT</t>
        </is>
      </c>
      <c r="F310" s="719" t="inlineStr">
        <is>
          <t>BUY</t>
        </is>
      </c>
      <c r="G310" s="757" t="n">
        <v>0.002</v>
      </c>
      <c r="H310" s="720" t="n">
        <v>64915.5</v>
      </c>
      <c r="I310" s="720" t="n">
        <v>64750</v>
      </c>
      <c r="J310" s="721" t="n">
        <v>64061</v>
      </c>
      <c r="K310" s="722" t="n">
        <v>0.01316326609207354</v>
      </c>
      <c r="L310" s="721" t="n">
        <v>67088.5</v>
      </c>
      <c r="M310" s="722" t="n">
        <v>0.03347428580231224</v>
      </c>
      <c r="N310" s="758" t="n">
        <v>0.246567</v>
      </c>
      <c r="O310" s="724" t="n">
        <v>-0.57843365</v>
      </c>
      <c r="P310" s="725" t="n">
        <v>-0.002269119622890995</v>
      </c>
      <c r="Q310" s="726" t="n">
        <v>-0.1936805149210064</v>
      </c>
      <c r="R310" s="727" t="n">
        <v>254.3370164499999</v>
      </c>
      <c r="S310" s="719" t="inlineStr">
        <is>
          <t>5H 34M 0S</t>
        </is>
      </c>
      <c r="T310" s="717" t="n">
        <v>44490.42222222222</v>
      </c>
      <c r="U310" s="806" t="inlineStr">
        <is>
          <t>4H 7M 55S</t>
        </is>
      </c>
      <c r="V310" s="807" t="n">
        <v>66609.5</v>
      </c>
      <c r="W310" s="725" t="n">
        <v>0.02609546256287019</v>
      </c>
      <c r="X310" s="722" t="n">
        <v>0.007139822771413879</v>
      </c>
      <c r="Y310" s="728" t="n"/>
      <c r="Z310" s="729" t="n"/>
      <c r="AA310" s="730" t="n"/>
      <c r="AB310" s="731" t="n"/>
      <c r="AC310" s="732" t="n"/>
      <c r="AD310" s="719" t="inlineStr">
        <is>
          <t>No</t>
        </is>
      </c>
      <c r="AE310" s="733" t="n"/>
      <c r="AF310" s="733" t="n"/>
      <c r="AG310" s="733" t="n"/>
      <c r="AH310" s="719" t="inlineStr">
        <is>
          <t>All-Time High</t>
        </is>
      </c>
      <c r="AI310" s="719" t="inlineStr">
        <is>
          <t>Limit</t>
        </is>
      </c>
      <c r="AJ310" s="733" t="n"/>
      <c r="AK310" s="733" t="n"/>
      <c r="AL310" s="733" t="n"/>
      <c r="AM310" s="733" t="n"/>
      <c r="AN310" s="733" t="n"/>
      <c r="AO310" s="733" t="n"/>
      <c r="AP310" s="719" t="inlineStr">
        <is>
          <t>Pullback</t>
        </is>
      </c>
      <c r="AQ310" s="719" t="inlineStr">
        <is>
          <t>4H</t>
        </is>
      </c>
      <c r="AR310" s="719" t="inlineStr">
        <is>
          <t>No</t>
        </is>
      </c>
      <c r="AS310" s="733" t="n"/>
      <c r="AT310" s="733" t="n"/>
      <c r="AU310" s="733" t="n"/>
      <c r="AV310" s="733" t="n"/>
      <c r="AW310" s="719" t="inlineStr">
        <is>
          <t>trade</t>
        </is>
      </c>
      <c r="AX310" s="734" t="inlineStr">
        <is>
          <t>sig:ed578611a8297aba7f3caec5</t>
        </is>
      </c>
    </row>
    <row r="311" ht="15" customHeight="1">
      <c r="A311" s="737" t="inlineStr">
        <is>
          <t>F891</t>
        </is>
      </c>
      <c r="B311" s="738" t="n">
        <v>44488.00694444445</v>
      </c>
      <c r="C311" s="739" t="n">
        <v>44490.69652777778</v>
      </c>
      <c r="D311" s="740" t="inlineStr">
        <is>
          <t>PEPPERSTONE DEMO</t>
        </is>
      </c>
      <c r="E311" s="740" t="inlineStr">
        <is>
          <t>GBPJPY</t>
        </is>
      </c>
      <c r="F311" s="740" t="inlineStr">
        <is>
          <t>BUY</t>
        </is>
      </c>
      <c r="G311" s="775" t="n">
        <v>0.01</v>
      </c>
      <c r="H311" s="742" t="n">
        <v>156.76</v>
      </c>
      <c r="I311" s="742" t="n">
        <v>157.265</v>
      </c>
      <c r="J311" s="743" t="n">
        <v>156.435</v>
      </c>
      <c r="K311" s="744" t="n">
        <v>0.002073232967593702</v>
      </c>
      <c r="L311" s="743" t="n">
        <v>158.34</v>
      </c>
      <c r="M311" s="744" t="n">
        <v>0.01007910181168674</v>
      </c>
      <c r="N311" s="766" t="n">
        <v>0.26</v>
      </c>
      <c r="O311" s="767" t="n">
        <v>5.59</v>
      </c>
      <c r="P311" s="747" t="n">
        <v>0.005942004336919088</v>
      </c>
      <c r="Q311" s="748" t="n">
        <v>1.553846153846194</v>
      </c>
      <c r="R311" s="769" t="n">
        <v>946.3499999999998</v>
      </c>
      <c r="S311" s="740" t="inlineStr">
        <is>
          <t>2D 16H 33M 0S</t>
        </is>
      </c>
      <c r="T311" s="738" t="n">
        <v>44488.92430555556</v>
      </c>
      <c r="U311" s="809" t="inlineStr">
        <is>
          <t>22H 1M 0S</t>
        </is>
      </c>
      <c r="V311" s="810" t="n">
        <v>157.988</v>
      </c>
      <c r="W311" s="747" t="n">
        <v>-0.01228000000000009</v>
      </c>
      <c r="X311" s="744" t="n">
        <v>0.3520000000000039</v>
      </c>
      <c r="Y311" s="738" t="n">
        <v>44490.51111111111</v>
      </c>
      <c r="Z311" s="809" t="inlineStr">
        <is>
          <t>2D 12H 6M 0S</t>
        </is>
      </c>
      <c r="AA311" s="810" t="n">
        <v>157.26</v>
      </c>
      <c r="AB311" s="747" t="n">
        <v>0.5</v>
      </c>
      <c r="AC311" s="744" t="n">
        <v>-0.01080000000000013</v>
      </c>
      <c r="AD311" s="740" t="inlineStr">
        <is>
          <t>No</t>
        </is>
      </c>
      <c r="AE311" s="755" t="n"/>
      <c r="AF311" s="755" t="n"/>
      <c r="AG311" s="755" t="n"/>
      <c r="AH311" s="755" t="n"/>
      <c r="AI311" s="740" t="inlineStr">
        <is>
          <t>Limit</t>
        </is>
      </c>
      <c r="AJ311" s="755" t="n"/>
      <c r="AK311" s="755" t="n"/>
      <c r="AL311" s="755" t="n"/>
      <c r="AM311" s="755" t="n"/>
      <c r="AN311" s="755" t="n"/>
      <c r="AO311" s="755" t="n"/>
      <c r="AP311" s="740" t="inlineStr">
        <is>
          <t>Pullback</t>
        </is>
      </c>
      <c r="AQ311" s="740" t="inlineStr">
        <is>
          <t>4H</t>
        </is>
      </c>
      <c r="AR311" s="740" t="inlineStr">
        <is>
          <t>No</t>
        </is>
      </c>
      <c r="AS311" s="755" t="n"/>
      <c r="AT311" s="755" t="n"/>
      <c r="AU311" s="755" t="n"/>
      <c r="AV311" s="755" t="n"/>
      <c r="AW311" s="740" t="inlineStr">
        <is>
          <t>trade</t>
        </is>
      </c>
      <c r="AX311" s="756" t="inlineStr">
        <is>
          <t>sig:81ecdcdc44d852a719e51b86</t>
        </is>
      </c>
    </row>
    <row r="312" ht="15" customHeight="1">
      <c r="A312" s="716" t="inlineStr">
        <is>
          <t>C294</t>
        </is>
      </c>
      <c r="B312" s="717" t="n">
        <v>44490.48541666667</v>
      </c>
      <c r="C312" s="718" t="n">
        <v>44490.49791666667</v>
      </c>
      <c r="D312" s="719" t="inlineStr">
        <is>
          <t>BYBIT</t>
        </is>
      </c>
      <c r="E312" s="719" t="inlineStr">
        <is>
          <t>BTCUSDT</t>
        </is>
      </c>
      <c r="F312" s="719" t="inlineStr">
        <is>
          <t>BUY</t>
        </is>
      </c>
      <c r="G312" s="757" t="n">
        <v>0.002</v>
      </c>
      <c r="H312" s="720" t="n">
        <v>65500</v>
      </c>
      <c r="I312" s="720" t="n">
        <v>64800</v>
      </c>
      <c r="J312" s="721" t="n">
        <v>64843.5</v>
      </c>
      <c r="K312" s="722" t="n">
        <v>0.01002290076335878</v>
      </c>
      <c r="L312" s="721" t="n">
        <v>67149.5</v>
      </c>
      <c r="M312" s="722" t="n">
        <v>0.02518320610687023</v>
      </c>
      <c r="N312" s="723" t="n">
        <v>0.06444999999999999</v>
      </c>
      <c r="O312" s="724" t="n">
        <v>-1.46531665</v>
      </c>
      <c r="P312" s="725" t="n">
        <v>-0.00571539226040637</v>
      </c>
      <c r="Q312" s="726" t="n">
        <v>-1.066260472201066</v>
      </c>
      <c r="R312" s="727" t="n">
        <v>254.9154500999999</v>
      </c>
      <c r="S312" s="719" t="inlineStr">
        <is>
          <t>18M 0S</t>
        </is>
      </c>
      <c r="T312" s="728" t="n"/>
      <c r="U312" s="729" t="n"/>
      <c r="V312" s="730" t="n"/>
      <c r="W312" s="731" t="n"/>
      <c r="X312" s="732" t="n"/>
      <c r="Y312" s="728" t="n"/>
      <c r="Z312" s="729" t="n"/>
      <c r="AA312" s="730" t="n"/>
      <c r="AB312" s="731" t="n"/>
      <c r="AC312" s="732" t="n"/>
      <c r="AD312" s="719" t="inlineStr">
        <is>
          <t>No</t>
        </is>
      </c>
      <c r="AE312" s="733" t="n"/>
      <c r="AF312" s="733" t="n"/>
      <c r="AG312" s="733" t="n"/>
      <c r="AH312" s="719" t="inlineStr">
        <is>
          <t>All-Time High</t>
        </is>
      </c>
      <c r="AI312" s="719" t="inlineStr">
        <is>
          <t>Limit</t>
        </is>
      </c>
      <c r="AJ312" s="733" t="n"/>
      <c r="AK312" s="733" t="n"/>
      <c r="AL312" s="733" t="n"/>
      <c r="AM312" s="733" t="n"/>
      <c r="AN312" s="733" t="n"/>
      <c r="AO312" s="733" t="n"/>
      <c r="AP312" s="719" t="inlineStr">
        <is>
          <t>Pullback</t>
        </is>
      </c>
      <c r="AQ312" s="719" t="inlineStr">
        <is>
          <t>4H</t>
        </is>
      </c>
      <c r="AR312" s="719" t="inlineStr">
        <is>
          <t>No</t>
        </is>
      </c>
      <c r="AS312" s="733" t="n"/>
      <c r="AT312" s="733" t="n"/>
      <c r="AU312" s="733" t="n"/>
      <c r="AV312" s="733" t="n"/>
      <c r="AW312" s="719" t="inlineStr">
        <is>
          <t>trade</t>
        </is>
      </c>
      <c r="AX312" s="734" t="inlineStr">
        <is>
          <t>sig:deb48a82100d9cfac4e078c7</t>
        </is>
      </c>
    </row>
    <row r="313" ht="15" customHeight="1">
      <c r="A313" s="716" t="inlineStr">
        <is>
          <t>C293</t>
        </is>
      </c>
      <c r="B313" s="717" t="n">
        <v>44489.98958333334</v>
      </c>
      <c r="C313" s="718" t="n">
        <v>44490.02361111111</v>
      </c>
      <c r="D313" s="719" t="inlineStr">
        <is>
          <t>BYBIT</t>
        </is>
      </c>
      <c r="E313" s="719" t="inlineStr">
        <is>
          <t>ETHUSDT</t>
        </is>
      </c>
      <c r="F313" s="719" t="inlineStr">
        <is>
          <t>SELL</t>
        </is>
      </c>
      <c r="G313" s="735" t="n">
        <v>0.03</v>
      </c>
      <c r="H313" s="720" t="n">
        <v>3997.9</v>
      </c>
      <c r="I313" s="720" t="n">
        <v>4055.75</v>
      </c>
      <c r="J313" s="721" t="n">
        <v>4054.9</v>
      </c>
      <c r="K313" s="722" t="n">
        <v>0.01425748517971935</v>
      </c>
      <c r="L313" s="721" t="n">
        <v>3771.2</v>
      </c>
      <c r="M313" s="722" t="n">
        <v>0.0567047700042523</v>
      </c>
      <c r="N313" s="723" t="n">
        <v>0.06127</v>
      </c>
      <c r="O313" s="724" t="n">
        <v>-1.79763665</v>
      </c>
      <c r="P313" s="725" t="n">
        <v>-0.00696276925694243</v>
      </c>
      <c r="Q313" s="726" t="n">
        <v>-1.014912280701753</v>
      </c>
      <c r="R313" s="727" t="n">
        <v>256.3807667499999</v>
      </c>
      <c r="S313" s="719" t="inlineStr">
        <is>
          <t>49M 0S</t>
        </is>
      </c>
      <c r="T313" s="728" t="n"/>
      <c r="U313" s="729" t="n"/>
      <c r="V313" s="730" t="n"/>
      <c r="W313" s="731" t="n"/>
      <c r="X313" s="732" t="n"/>
      <c r="Y313" s="728" t="n"/>
      <c r="Z313" s="729" t="n"/>
      <c r="AA313" s="730" t="n"/>
      <c r="AB313" s="731" t="n"/>
      <c r="AC313" s="732" t="n"/>
      <c r="AD313" s="719" t="inlineStr">
        <is>
          <t>No</t>
        </is>
      </c>
      <c r="AE313" s="733" t="n"/>
      <c r="AF313" s="733" t="n"/>
      <c r="AG313" s="733" t="n"/>
      <c r="AH313" s="733" t="n"/>
      <c r="AI313" s="719" t="inlineStr">
        <is>
          <t>Limit</t>
        </is>
      </c>
      <c r="AJ313" s="733" t="n"/>
      <c r="AK313" s="733" t="n"/>
      <c r="AL313" s="733" t="n"/>
      <c r="AM313" s="733" t="n"/>
      <c r="AN313" s="733" t="n"/>
      <c r="AO313" s="733" t="n"/>
      <c r="AP313" s="719" t="inlineStr">
        <is>
          <t>Pullback</t>
        </is>
      </c>
      <c r="AQ313" s="719" t="inlineStr">
        <is>
          <t>DAILY</t>
        </is>
      </c>
      <c r="AR313" s="719" t="inlineStr">
        <is>
          <t>No</t>
        </is>
      </c>
      <c r="AS313" s="733" t="n"/>
      <c r="AT313" s="733" t="n"/>
      <c r="AU313" s="733" t="n"/>
      <c r="AV313" s="733" t="n"/>
      <c r="AW313" s="719" t="inlineStr">
        <is>
          <t>trade</t>
        </is>
      </c>
      <c r="AX313" s="734" t="inlineStr">
        <is>
          <t>sig:25a49ecb79be133efd033c03</t>
        </is>
      </c>
    </row>
    <row r="314" ht="15" customHeight="1">
      <c r="A314" s="716" t="inlineStr">
        <is>
          <t>C292</t>
        </is>
      </c>
      <c r="B314" s="717" t="n">
        <v>44486.89097222222</v>
      </c>
      <c r="C314" s="718" t="n">
        <v>44486.89722222222</v>
      </c>
      <c r="D314" s="719" t="inlineStr">
        <is>
          <t>BYBIT</t>
        </is>
      </c>
      <c r="E314" s="719" t="inlineStr">
        <is>
          <t>SOLUSDT</t>
        </is>
      </c>
      <c r="F314" s="719" t="inlineStr">
        <is>
          <t>BUY</t>
        </is>
      </c>
      <c r="G314" s="720" t="n">
        <v>1.4</v>
      </c>
      <c r="H314" s="720" t="n">
        <v>165.01</v>
      </c>
      <c r="I314" s="720" t="n">
        <v>164.035</v>
      </c>
      <c r="J314" s="721" t="n">
        <v>164.03</v>
      </c>
      <c r="K314" s="722" t="n">
        <v>0.005939033997939457</v>
      </c>
      <c r="L314" s="721" t="n">
        <v>168.66</v>
      </c>
      <c r="M314" s="722" t="n">
        <v>0.02211987152293804</v>
      </c>
      <c r="N314" s="758" t="n">
        <v>0.114483</v>
      </c>
      <c r="O314" s="724" t="n">
        <v>-1.48034965</v>
      </c>
      <c r="P314" s="725" t="n">
        <v>-0.005701135173035911</v>
      </c>
      <c r="Q314" s="726" t="n">
        <v>-0.9948979591836781</v>
      </c>
      <c r="R314" s="727" t="n">
        <v>258.1784033999999</v>
      </c>
      <c r="S314" s="719" t="inlineStr">
        <is>
          <t>9M 0S</t>
        </is>
      </c>
      <c r="T314" s="728" t="n"/>
      <c r="U314" s="729" t="n"/>
      <c r="V314" s="730" t="n"/>
      <c r="W314" s="731" t="n"/>
      <c r="X314" s="732" t="n"/>
      <c r="Y314" s="728" t="n"/>
      <c r="Z314" s="729" t="n"/>
      <c r="AA314" s="730" t="n"/>
      <c r="AB314" s="731" t="n"/>
      <c r="AC314" s="732" t="n"/>
      <c r="AD314" s="719" t="inlineStr">
        <is>
          <t>No</t>
        </is>
      </c>
      <c r="AE314" s="733" t="n"/>
      <c r="AF314" s="733" t="n"/>
      <c r="AG314" s="733" t="n"/>
      <c r="AH314" s="733" t="n"/>
      <c r="AI314" s="719" t="inlineStr">
        <is>
          <t>Limit</t>
        </is>
      </c>
      <c r="AJ314" s="733" t="n"/>
      <c r="AK314" s="733" t="n"/>
      <c r="AL314" s="733" t="n"/>
      <c r="AM314" s="733" t="n"/>
      <c r="AN314" s="733" t="n"/>
      <c r="AO314" s="733" t="n"/>
      <c r="AP314" s="719" t="inlineStr">
        <is>
          <t>Pullback</t>
        </is>
      </c>
      <c r="AQ314" s="719" t="inlineStr">
        <is>
          <t>15MIN</t>
        </is>
      </c>
      <c r="AR314" s="719" t="inlineStr">
        <is>
          <t>No</t>
        </is>
      </c>
      <c r="AS314" s="733" t="n"/>
      <c r="AT314" s="733" t="n"/>
      <c r="AU314" s="733" t="n"/>
      <c r="AV314" s="733" t="n"/>
      <c r="AW314" s="719" t="inlineStr">
        <is>
          <t>trade</t>
        </is>
      </c>
      <c r="AX314" s="734" t="inlineStr">
        <is>
          <t>sig:315fbe0f452fe59dae65f3dc</t>
        </is>
      </c>
    </row>
    <row r="315" ht="15" customHeight="1">
      <c r="A315" s="737" t="inlineStr">
        <is>
          <t>C291</t>
        </is>
      </c>
      <c r="B315" s="738" t="n">
        <v>44484.21875</v>
      </c>
      <c r="C315" s="739" t="n">
        <v>44485.76875</v>
      </c>
      <c r="D315" s="740" t="inlineStr">
        <is>
          <t>BYBIT</t>
        </is>
      </c>
      <c r="E315" s="740" t="inlineStr">
        <is>
          <t>ETHUSDT</t>
        </is>
      </c>
      <c r="F315" s="740" t="inlineStr">
        <is>
          <t>BUY</t>
        </is>
      </c>
      <c r="G315" s="775" t="n">
        <v>0.04</v>
      </c>
      <c r="H315" s="742" t="n">
        <v>3762.5</v>
      </c>
      <c r="I315" s="742" t="n">
        <v>3930</v>
      </c>
      <c r="J315" s="743" t="n">
        <v>3728.05</v>
      </c>
      <c r="K315" s="744" t="n">
        <v>0.009156146179401945</v>
      </c>
      <c r="L315" s="743" t="n">
        <v>3928.2</v>
      </c>
      <c r="M315" s="744" t="n">
        <v>0.04403986710963451</v>
      </c>
      <c r="N315" s="745" t="n">
        <v>0.338183</v>
      </c>
      <c r="O315" s="746" t="n">
        <v>6.36095035</v>
      </c>
      <c r="P315" s="747" t="n">
        <v>0.02511253663551817</v>
      </c>
      <c r="Q315" s="748" t="n">
        <v>4.862119013062435</v>
      </c>
      <c r="R315" s="749" t="n">
        <v>259.6587530499999</v>
      </c>
      <c r="S315" s="740" t="inlineStr">
        <is>
          <t>1D 13H 12M 0S</t>
        </is>
      </c>
      <c r="T315" s="738" t="n">
        <v>44484.98819444444</v>
      </c>
      <c r="U315" s="809" t="inlineStr">
        <is>
          <t>18H 28M 0S</t>
        </is>
      </c>
      <c r="V315" s="752" t="n"/>
      <c r="W315" s="753" t="n"/>
      <c r="X315" s="754" t="n"/>
      <c r="Y315" s="750" t="n"/>
      <c r="Z315" s="751" t="n"/>
      <c r="AA315" s="752" t="n"/>
      <c r="AB315" s="753" t="n"/>
      <c r="AC315" s="754" t="n"/>
      <c r="AD315" s="740" t="inlineStr">
        <is>
          <t>No</t>
        </is>
      </c>
      <c r="AE315" s="755" t="n"/>
      <c r="AF315" s="755" t="n"/>
      <c r="AG315" s="755" t="n"/>
      <c r="AH315" s="755" t="n"/>
      <c r="AI315" s="740" t="inlineStr">
        <is>
          <t>Limit</t>
        </is>
      </c>
      <c r="AJ315" s="755" t="n"/>
      <c r="AK315" s="755" t="n"/>
      <c r="AL315" s="755" t="n"/>
      <c r="AM315" s="755" t="n"/>
      <c r="AN315" s="755" t="n"/>
      <c r="AO315" s="755" t="n"/>
      <c r="AP315" s="740" t="inlineStr">
        <is>
          <t>Pullback</t>
        </is>
      </c>
      <c r="AQ315" s="740" t="inlineStr">
        <is>
          <t>1H</t>
        </is>
      </c>
      <c r="AR315" s="740" t="inlineStr">
        <is>
          <t>No</t>
        </is>
      </c>
      <c r="AS315" s="755" t="n"/>
      <c r="AT315" s="755" t="n"/>
      <c r="AU315" s="755" t="n"/>
      <c r="AV315" s="755" t="n"/>
      <c r="AW315" s="740" t="inlineStr">
        <is>
          <t>trade</t>
        </is>
      </c>
      <c r="AX315" s="756" t="inlineStr">
        <is>
          <t>sig:131651542752a8ff76616b34</t>
        </is>
      </c>
    </row>
    <row r="316" ht="15" customHeight="1">
      <c r="A316" s="716" t="inlineStr">
        <is>
          <t>F890</t>
        </is>
      </c>
      <c r="B316" s="717" t="n">
        <v>44484.38958333333</v>
      </c>
      <c r="C316" s="718" t="n">
        <v>44484.4</v>
      </c>
      <c r="D316" s="719" t="inlineStr">
        <is>
          <t>PEPPERSTONE DEMO</t>
        </is>
      </c>
      <c r="E316" s="719" t="inlineStr">
        <is>
          <t>USDJPY</t>
        </is>
      </c>
      <c r="F316" s="719" t="inlineStr">
        <is>
          <t>SELL</t>
        </is>
      </c>
      <c r="G316" s="735" t="n">
        <v>0.06</v>
      </c>
      <c r="H316" s="720" t="n">
        <v>113.78</v>
      </c>
      <c r="I316" s="720" t="n">
        <v>113.845</v>
      </c>
      <c r="J316" s="721" t="n">
        <v>113.84</v>
      </c>
      <c r="K316" s="760" t="n">
        <v>0.0005273334505185646</v>
      </c>
      <c r="L316" s="721" t="n">
        <v>113.42</v>
      </c>
      <c r="M316" s="722" t="n">
        <v>0.003164000703111263</v>
      </c>
      <c r="N316" s="761" t="n">
        <v>0.42</v>
      </c>
      <c r="O316" s="762" t="n">
        <v>-4.69</v>
      </c>
      <c r="P316" s="725" t="n">
        <v>-0.004960600772119098</v>
      </c>
      <c r="Q316" s="726" t="n">
        <v>-1.083333333333254</v>
      </c>
      <c r="R316" s="764" t="n">
        <v>940.7599999999998</v>
      </c>
      <c r="S316" s="719" t="inlineStr">
        <is>
          <t>15M 0S</t>
        </is>
      </c>
      <c r="T316" s="728" t="n"/>
      <c r="U316" s="729" t="n"/>
      <c r="V316" s="730" t="n"/>
      <c r="W316" s="731" t="n"/>
      <c r="X316" s="732" t="n"/>
      <c r="Y316" s="728" t="n"/>
      <c r="Z316" s="729" t="n"/>
      <c r="AA316" s="730" t="n"/>
      <c r="AB316" s="731" t="n"/>
      <c r="AC316" s="732" t="n"/>
      <c r="AD316" s="719" t="inlineStr">
        <is>
          <t>No</t>
        </is>
      </c>
      <c r="AE316" s="733" t="n"/>
      <c r="AF316" s="733" t="n"/>
      <c r="AG316" s="733" t="n"/>
      <c r="AH316" s="733" t="n"/>
      <c r="AI316" s="719" t="inlineStr">
        <is>
          <t>Limit</t>
        </is>
      </c>
      <c r="AJ316" s="733" t="n"/>
      <c r="AK316" s="733" t="n"/>
      <c r="AL316" s="733" t="n"/>
      <c r="AM316" s="733" t="n"/>
      <c r="AN316" s="733" t="n"/>
      <c r="AO316" s="733" t="n"/>
      <c r="AP316" s="719" t="inlineStr">
        <is>
          <t>Pullback</t>
        </is>
      </c>
      <c r="AQ316" s="719" t="inlineStr">
        <is>
          <t>1H</t>
        </is>
      </c>
      <c r="AR316" s="719" t="inlineStr">
        <is>
          <t>No</t>
        </is>
      </c>
      <c r="AS316" s="733" t="n"/>
      <c r="AT316" s="733" t="n"/>
      <c r="AU316" s="733" t="n"/>
      <c r="AV316" s="733" t="n"/>
      <c r="AW316" s="719" t="inlineStr">
        <is>
          <t>trade</t>
        </is>
      </c>
      <c r="AX316" s="734" t="inlineStr">
        <is>
          <t>sig:e97f11bdc3b80e99f7c73fab</t>
        </is>
      </c>
    </row>
    <row r="317" ht="15" customHeight="1">
      <c r="A317" s="716" t="inlineStr">
        <is>
          <t>F889</t>
        </is>
      </c>
      <c r="B317" s="717" t="n">
        <v>44482.75208333333</v>
      </c>
      <c r="C317" s="718" t="n">
        <v>44482.75625</v>
      </c>
      <c r="D317" s="719" t="inlineStr">
        <is>
          <t>PEPPERSTONE DEMO</t>
        </is>
      </c>
      <c r="E317" s="719" t="inlineStr">
        <is>
          <t>NZDUSD</t>
        </is>
      </c>
      <c r="F317" s="719" t="inlineStr">
        <is>
          <t>SELL</t>
        </is>
      </c>
      <c r="G317" s="720" t="n">
        <v>0.16</v>
      </c>
      <c r="H317" s="720" t="n">
        <v>0.6946</v>
      </c>
      <c r="I317" s="720" t="n">
        <v>0.6949</v>
      </c>
      <c r="J317" s="721" t="n">
        <v>0.6949</v>
      </c>
      <c r="K317" s="760" t="n">
        <v>0.0004319032536711301</v>
      </c>
      <c r="L317" s="721" t="n">
        <v>0.6936</v>
      </c>
      <c r="M317" s="722" t="n">
        <v>0.00143967751223726</v>
      </c>
      <c r="N317" s="761" t="n">
        <v>1.12</v>
      </c>
      <c r="O317" s="762" t="n">
        <v>-5.69</v>
      </c>
      <c r="P317" s="725" t="n">
        <v>-0.005982294930294174</v>
      </c>
      <c r="Q317" s="726" t="n">
        <v>-1</v>
      </c>
      <c r="R317" s="764" t="n">
        <v>945.4499999999998</v>
      </c>
      <c r="S317" s="719" t="inlineStr">
        <is>
          <t>6M 0S</t>
        </is>
      </c>
      <c r="T317" s="728" t="n"/>
      <c r="U317" s="729" t="n"/>
      <c r="V317" s="730" t="n"/>
      <c r="W317" s="731" t="n"/>
      <c r="X317" s="732" t="n"/>
      <c r="Y317" s="728" t="n"/>
      <c r="Z317" s="729" t="n"/>
      <c r="AA317" s="730" t="n"/>
      <c r="AB317" s="731" t="n"/>
      <c r="AC317" s="732" t="n"/>
      <c r="AD317" s="719" t="inlineStr">
        <is>
          <t>No</t>
        </is>
      </c>
      <c r="AE317" s="733" t="n"/>
      <c r="AF317" s="733" t="n"/>
      <c r="AG317" s="733" t="n"/>
      <c r="AH317" s="719" t="n"/>
      <c r="AI317" s="719" t="inlineStr">
        <is>
          <t>Limit</t>
        </is>
      </c>
      <c r="AJ317" s="733" t="n"/>
      <c r="AK317" s="733" t="n"/>
      <c r="AL317" s="733" t="n"/>
      <c r="AM317" s="733" t="n"/>
      <c r="AN317" s="733" t="n"/>
      <c r="AO317" s="733" t="n"/>
      <c r="AP317" s="719" t="inlineStr">
        <is>
          <t>Pullback</t>
        </is>
      </c>
      <c r="AQ317" s="719" t="inlineStr">
        <is>
          <t>5MIN</t>
        </is>
      </c>
      <c r="AR317" s="719" t="inlineStr">
        <is>
          <t>No</t>
        </is>
      </c>
      <c r="AS317" s="733" t="n"/>
      <c r="AT317" s="733" t="n"/>
      <c r="AU317" s="733" t="n"/>
      <c r="AV317" s="733" t="n"/>
      <c r="AW317" s="719" t="inlineStr">
        <is>
          <t>trade</t>
        </is>
      </c>
      <c r="AX317" s="734" t="inlineStr">
        <is>
          <t>sig:c4f9a6949d00a765bd5ebfe0</t>
        </is>
      </c>
    </row>
    <row r="318" ht="15" customHeight="1">
      <c r="A318" s="716" t="inlineStr">
        <is>
          <t>F888</t>
        </is>
      </c>
      <c r="B318" s="717" t="n">
        <v>44482.73125</v>
      </c>
      <c r="C318" s="718" t="n">
        <v>44482.73194444444</v>
      </c>
      <c r="D318" s="719" t="inlineStr">
        <is>
          <t>PEPPERSTONE DEMO</t>
        </is>
      </c>
      <c r="E318" s="719" t="inlineStr">
        <is>
          <t>GBPUSD</t>
        </is>
      </c>
      <c r="F318" s="719" t="inlineStr">
        <is>
          <t>SELL</t>
        </is>
      </c>
      <c r="G318" s="720" t="n">
        <v>0.13</v>
      </c>
      <c r="H318" s="720" t="n">
        <v>1.3618</v>
      </c>
      <c r="I318" s="720" t="n">
        <v>1.36204</v>
      </c>
      <c r="J318" s="721" t="n">
        <v>1.362</v>
      </c>
      <c r="K318" s="760" t="n">
        <v>0.0001468644441182259</v>
      </c>
      <c r="L318" s="721" t="n">
        <v>1.3607</v>
      </c>
      <c r="M318" s="760" t="n">
        <v>0.0008077544426493457</v>
      </c>
      <c r="N318" s="761" t="n">
        <v>0.91</v>
      </c>
      <c r="O318" s="762" t="n">
        <v>-5.16</v>
      </c>
      <c r="P318" s="725" t="n">
        <v>-0.005395796298232773</v>
      </c>
      <c r="Q318" s="726" t="n">
        <v>-1.19999999999889</v>
      </c>
      <c r="R318" s="764" t="n">
        <v>951.1399999999999</v>
      </c>
      <c r="S318" s="719" t="inlineStr">
        <is>
          <t>1M 0S</t>
        </is>
      </c>
      <c r="T318" s="728" t="n"/>
      <c r="U318" s="729" t="n"/>
      <c r="V318" s="730" t="n"/>
      <c r="W318" s="731" t="n"/>
      <c r="X318" s="732" t="n"/>
      <c r="Y318" s="728" t="n"/>
      <c r="Z318" s="729" t="n"/>
      <c r="AA318" s="730" t="n"/>
      <c r="AB318" s="731" t="n"/>
      <c r="AC318" s="732" t="n"/>
      <c r="AD318" s="719" t="inlineStr">
        <is>
          <t>No</t>
        </is>
      </c>
      <c r="AE318" s="733" t="n"/>
      <c r="AF318" s="733" t="n"/>
      <c r="AG318" s="733" t="n"/>
      <c r="AH318" s="733" t="n"/>
      <c r="AI318" s="719" t="inlineStr">
        <is>
          <t>Limit</t>
        </is>
      </c>
      <c r="AJ318" s="733" t="n"/>
      <c r="AK318" s="733" t="n"/>
      <c r="AL318" s="733" t="n"/>
      <c r="AM318" s="733" t="n"/>
      <c r="AN318" s="733" t="n"/>
      <c r="AO318" s="733" t="n"/>
      <c r="AP318" s="719" t="inlineStr">
        <is>
          <t>Pullback</t>
        </is>
      </c>
      <c r="AQ318" s="719" t="inlineStr">
        <is>
          <t>5MIN</t>
        </is>
      </c>
      <c r="AR318" s="719" t="inlineStr">
        <is>
          <t>No</t>
        </is>
      </c>
      <c r="AS318" s="733" t="n"/>
      <c r="AT318" s="733" t="n"/>
      <c r="AU318" s="733" t="n"/>
      <c r="AV318" s="733" t="n"/>
      <c r="AW318" s="719" t="inlineStr">
        <is>
          <t>trade</t>
        </is>
      </c>
      <c r="AX318" s="734" t="inlineStr">
        <is>
          <t>sig:e9665646e52d439468cc8443</t>
        </is>
      </c>
    </row>
    <row r="319" ht="15" customHeight="1">
      <c r="A319" s="716" t="inlineStr">
        <is>
          <t>F887</t>
        </is>
      </c>
      <c r="B319" s="717" t="n">
        <v>44480.70763888889</v>
      </c>
      <c r="C319" s="718" t="n">
        <v>44480.70972222222</v>
      </c>
      <c r="D319" s="719" t="inlineStr">
        <is>
          <t>PEPPERSTONE DEMO</t>
        </is>
      </c>
      <c r="E319" s="719" t="inlineStr">
        <is>
          <t>GBPUSD</t>
        </is>
      </c>
      <c r="F319" s="719" t="inlineStr">
        <is>
          <t>BUY</t>
        </is>
      </c>
      <c r="G319" s="735" t="n">
        <v>0.08</v>
      </c>
      <c r="H319" s="720" t="n">
        <v>1.3665</v>
      </c>
      <c r="I319" s="720" t="n">
        <v>1.36614</v>
      </c>
      <c r="J319" s="721" t="n">
        <v>1.3661</v>
      </c>
      <c r="K319" s="760" t="n">
        <v>0.0002927186242224339</v>
      </c>
      <c r="L319" s="721" t="n">
        <v>1.3679</v>
      </c>
      <c r="M319" s="722" t="n">
        <v>0.001024515184778519</v>
      </c>
      <c r="N319" s="761" t="n">
        <v>0.5600000000000001</v>
      </c>
      <c r="O319" s="762" t="n">
        <v>-5.36</v>
      </c>
      <c r="P319" s="725" t="n">
        <v>-0.005573695484890711</v>
      </c>
      <c r="Q319" s="726" t="n">
        <v>-0.9000000000004441</v>
      </c>
      <c r="R319" s="764" t="n">
        <v>956.2999999999998</v>
      </c>
      <c r="S319" s="719" t="inlineStr">
        <is>
          <t>3M 0S</t>
        </is>
      </c>
      <c r="T319" s="728" t="n"/>
      <c r="U319" s="729" t="n"/>
      <c r="V319" s="730" t="n"/>
      <c r="W319" s="731" t="n"/>
      <c r="X319" s="732" t="n"/>
      <c r="Y319" s="728" t="n"/>
      <c r="Z319" s="729" t="n"/>
      <c r="AA319" s="730" t="n"/>
      <c r="AB319" s="731" t="n"/>
      <c r="AC319" s="732" t="n"/>
      <c r="AD319" s="719" t="inlineStr">
        <is>
          <t>No</t>
        </is>
      </c>
      <c r="AE319" s="733" t="n"/>
      <c r="AF319" s="733" t="n"/>
      <c r="AG319" s="733" t="n"/>
      <c r="AH319" s="719" t="n"/>
      <c r="AI319" s="719" t="inlineStr">
        <is>
          <t>Limit</t>
        </is>
      </c>
      <c r="AJ319" s="733" t="n"/>
      <c r="AK319" s="733" t="n"/>
      <c r="AL319" s="733" t="n"/>
      <c r="AM319" s="733" t="n"/>
      <c r="AN319" s="733" t="n"/>
      <c r="AO319" s="733" t="n"/>
      <c r="AP319" s="719" t="inlineStr">
        <is>
          <t>Pullback</t>
        </is>
      </c>
      <c r="AQ319" s="719" t="inlineStr">
        <is>
          <t>5MIN</t>
        </is>
      </c>
      <c r="AR319" s="719" t="inlineStr">
        <is>
          <t>No</t>
        </is>
      </c>
      <c r="AS319" s="733" t="n"/>
      <c r="AT319" s="733" t="n"/>
      <c r="AU319" s="733" t="n"/>
      <c r="AV319" s="733" t="n"/>
      <c r="AW319" s="719" t="inlineStr">
        <is>
          <t>trade</t>
        </is>
      </c>
      <c r="AX319" s="734" t="inlineStr">
        <is>
          <t>sig:dc217df8fff01b4f939cc6a2</t>
        </is>
      </c>
    </row>
    <row r="320" ht="15" customHeight="1">
      <c r="A320" s="716" t="inlineStr">
        <is>
          <t>F886</t>
        </is>
      </c>
      <c r="B320" s="717" t="n">
        <v>44478.01805555556</v>
      </c>
      <c r="C320" s="718" t="n">
        <v>44478.02013888889</v>
      </c>
      <c r="D320" s="719" t="inlineStr">
        <is>
          <t>PEPPERSTONE DEMO</t>
        </is>
      </c>
      <c r="E320" s="719" t="inlineStr">
        <is>
          <t>USDCAD</t>
        </is>
      </c>
      <c r="F320" s="719" t="inlineStr">
        <is>
          <t>BUY</t>
        </is>
      </c>
      <c r="G320" s="735" t="n">
        <v>0.09</v>
      </c>
      <c r="H320" s="720" t="n">
        <v>1.249</v>
      </c>
      <c r="I320" s="720" t="n">
        <v>1.24852</v>
      </c>
      <c r="J320" s="721" t="n">
        <v>1.2485</v>
      </c>
      <c r="K320" s="760" t="n">
        <v>0.0004003202562050976</v>
      </c>
      <c r="L320" s="721" t="n">
        <v>1.251</v>
      </c>
      <c r="M320" s="722" t="n">
        <v>0.001601281024819679</v>
      </c>
      <c r="N320" s="761" t="n">
        <v>0.63</v>
      </c>
      <c r="O320" s="762" t="n">
        <v>-5.47</v>
      </c>
      <c r="P320" s="725" t="n">
        <v>-0.00565590975360086</v>
      </c>
      <c r="Q320" s="726" t="n">
        <v>-0.9599999999997513</v>
      </c>
      <c r="R320" s="764" t="n">
        <v>961.6599999999999</v>
      </c>
      <c r="S320" s="719" t="inlineStr">
        <is>
          <t>3M 0S</t>
        </is>
      </c>
      <c r="T320" s="728" t="n"/>
      <c r="U320" s="729" t="n"/>
      <c r="V320" s="730" t="n"/>
      <c r="W320" s="731" t="n"/>
      <c r="X320" s="732" t="n"/>
      <c r="Y320" s="728" t="n"/>
      <c r="Z320" s="729" t="n"/>
      <c r="AA320" s="730" t="n"/>
      <c r="AB320" s="731" t="n"/>
      <c r="AC320" s="732" t="n"/>
      <c r="AD320" s="719" t="inlineStr">
        <is>
          <t>No</t>
        </is>
      </c>
      <c r="AE320" s="733" t="n"/>
      <c r="AF320" s="733" t="n"/>
      <c r="AG320" s="733" t="n"/>
      <c r="AH320" s="733" t="n"/>
      <c r="AI320" s="719" t="inlineStr">
        <is>
          <t>Limit</t>
        </is>
      </c>
      <c r="AJ320" s="733" t="n"/>
      <c r="AK320" s="733" t="n"/>
      <c r="AL320" s="733" t="n"/>
      <c r="AM320" s="733" t="n"/>
      <c r="AN320" s="733" t="n"/>
      <c r="AO320" s="733" t="n"/>
      <c r="AP320" s="719" t="inlineStr">
        <is>
          <t>Pullback</t>
        </is>
      </c>
      <c r="AQ320" s="719" t="inlineStr">
        <is>
          <t>5MIN</t>
        </is>
      </c>
      <c r="AR320" s="719" t="inlineStr">
        <is>
          <t>No</t>
        </is>
      </c>
      <c r="AS320" s="733" t="n"/>
      <c r="AT320" s="733" t="n"/>
      <c r="AU320" s="733" t="n"/>
      <c r="AV320" s="733" t="n"/>
      <c r="AW320" s="719" t="inlineStr">
        <is>
          <t>trade</t>
        </is>
      </c>
      <c r="AX320" s="734" t="inlineStr">
        <is>
          <t>sig:c64c19d4e524a8c3395dbbe0</t>
        </is>
      </c>
    </row>
    <row r="321" ht="15" customHeight="1">
      <c r="A321" s="716" t="inlineStr">
        <is>
          <t>F885</t>
        </is>
      </c>
      <c r="B321" s="717" t="n">
        <v>44477.71597222222</v>
      </c>
      <c r="C321" s="718" t="n">
        <v>44477.77847222222</v>
      </c>
      <c r="D321" s="719" t="inlineStr">
        <is>
          <t>PEPPERSTONE DEMO</t>
        </is>
      </c>
      <c r="E321" s="719" t="inlineStr">
        <is>
          <t>EURUSD</t>
        </is>
      </c>
      <c r="F321" s="719" t="inlineStr">
        <is>
          <t>SELL</t>
        </is>
      </c>
      <c r="G321" s="720" t="n">
        <v>0.17</v>
      </c>
      <c r="H321" s="720" t="n">
        <v>1.155</v>
      </c>
      <c r="I321" s="720" t="n">
        <v>1.15522</v>
      </c>
      <c r="J321" s="721" t="n">
        <v>1.1552</v>
      </c>
      <c r="K321" s="760" t="n">
        <v>0.0001731601731601541</v>
      </c>
      <c r="L321" s="721" t="n">
        <v>1.1541</v>
      </c>
      <c r="M321" s="760" t="n">
        <v>0.0007792207792208856</v>
      </c>
      <c r="N321" s="761" t="n">
        <v>1.19</v>
      </c>
      <c r="O321" s="762" t="n">
        <v>-6.08</v>
      </c>
      <c r="P321" s="725" t="n">
        <v>-0.00624736696088203</v>
      </c>
      <c r="Q321" s="726" t="n">
        <v>-1.099999999999556</v>
      </c>
      <c r="R321" s="764" t="n">
        <v>967.1299999999999</v>
      </c>
      <c r="S321" s="719" t="inlineStr">
        <is>
          <t>1H 30M 0S</t>
        </is>
      </c>
      <c r="T321" s="728" t="n"/>
      <c r="U321" s="729" t="n"/>
      <c r="V321" s="730" t="n"/>
      <c r="W321" s="731" t="n"/>
      <c r="X321" s="732" t="n"/>
      <c r="Y321" s="728" t="n"/>
      <c r="Z321" s="729" t="n"/>
      <c r="AA321" s="730" t="n"/>
      <c r="AB321" s="731" t="n"/>
      <c r="AC321" s="732" t="n"/>
      <c r="AD321" s="719" t="inlineStr">
        <is>
          <t>No</t>
        </is>
      </c>
      <c r="AE321" s="733" t="n"/>
      <c r="AF321" s="733" t="n"/>
      <c r="AG321" s="733" t="n"/>
      <c r="AH321" s="719" t="n"/>
      <c r="AI321" s="719" t="inlineStr">
        <is>
          <t>Limit</t>
        </is>
      </c>
      <c r="AJ321" s="733" t="n"/>
      <c r="AK321" s="733" t="n"/>
      <c r="AL321" s="733" t="n"/>
      <c r="AM321" s="733" t="n"/>
      <c r="AN321" s="733" t="n"/>
      <c r="AO321" s="733" t="n"/>
      <c r="AP321" s="719" t="inlineStr">
        <is>
          <t>Pullback</t>
        </is>
      </c>
      <c r="AQ321" s="719" t="inlineStr">
        <is>
          <t>5MIN</t>
        </is>
      </c>
      <c r="AR321" s="719" t="inlineStr">
        <is>
          <t>No</t>
        </is>
      </c>
      <c r="AS321" s="733" t="n"/>
      <c r="AT321" s="733" t="n"/>
      <c r="AU321" s="733" t="n"/>
      <c r="AV321" s="733" t="n"/>
      <c r="AW321" s="719" t="inlineStr">
        <is>
          <t>trade</t>
        </is>
      </c>
      <c r="AX321" s="734" t="inlineStr">
        <is>
          <t>sig:311106685af755c3c8c1f415</t>
        </is>
      </c>
    </row>
    <row r="322" ht="15" customHeight="1">
      <c r="A322" s="716" t="inlineStr">
        <is>
          <t>F884</t>
        </is>
      </c>
      <c r="B322" s="717" t="n">
        <v>44476.73194444444</v>
      </c>
      <c r="C322" s="718" t="n">
        <v>44476.89236111111</v>
      </c>
      <c r="D322" s="719" t="inlineStr">
        <is>
          <t>PEPPERSTONE DEMO</t>
        </is>
      </c>
      <c r="E322" s="719" t="inlineStr">
        <is>
          <t>AUDUSD</t>
        </is>
      </c>
      <c r="F322" s="719" t="inlineStr">
        <is>
          <t>SELL</t>
        </is>
      </c>
      <c r="G322" s="735" t="n">
        <v>0.05</v>
      </c>
      <c r="H322" s="720" t="n">
        <v>0.7299</v>
      </c>
      <c r="I322" s="720" t="n">
        <v>0.73068</v>
      </c>
      <c r="J322" s="721" t="n">
        <v>0.7306</v>
      </c>
      <c r="K322" s="760" t="n">
        <v>0.000959035484312966</v>
      </c>
      <c r="L322" s="721" t="n">
        <v>0.7255</v>
      </c>
      <c r="M322" s="722" t="n">
        <v>0.006028223044252582</v>
      </c>
      <c r="N322" s="761" t="n">
        <v>0.35</v>
      </c>
      <c r="O322" s="762" t="n">
        <v>-5.21</v>
      </c>
      <c r="P322" s="725" t="n">
        <v>-0.005324911592158787</v>
      </c>
      <c r="Q322" s="726" t="n">
        <v>-1.114285714285664</v>
      </c>
      <c r="R322" s="764" t="n">
        <v>973.2099999999999</v>
      </c>
      <c r="S322" s="719" t="inlineStr">
        <is>
          <t>3H 51M 0S</t>
        </is>
      </c>
      <c r="T322" s="728" t="n"/>
      <c r="U322" s="729" t="n"/>
      <c r="V322" s="730" t="n"/>
      <c r="W322" s="731" t="n"/>
      <c r="X322" s="732" t="n"/>
      <c r="Y322" s="728" t="n"/>
      <c r="Z322" s="729" t="n"/>
      <c r="AA322" s="730" t="n"/>
      <c r="AB322" s="731" t="n"/>
      <c r="AC322" s="732" t="n"/>
      <c r="AD322" s="719" t="inlineStr">
        <is>
          <t>No</t>
        </is>
      </c>
      <c r="AE322" s="733" t="n"/>
      <c r="AF322" s="733" t="n"/>
      <c r="AG322" s="733" t="n"/>
      <c r="AH322" s="719" t="n"/>
      <c r="AI322" s="719" t="inlineStr">
        <is>
          <t>Limit</t>
        </is>
      </c>
      <c r="AJ322" s="733" t="n"/>
      <c r="AK322" s="733" t="n"/>
      <c r="AL322" s="733" t="n"/>
      <c r="AM322" s="733" t="n"/>
      <c r="AN322" s="733" t="n"/>
      <c r="AO322" s="733" t="n"/>
      <c r="AP322" s="719" t="inlineStr">
        <is>
          <t>Pullback</t>
        </is>
      </c>
      <c r="AQ322" s="719" t="inlineStr">
        <is>
          <t>1H</t>
        </is>
      </c>
      <c r="AR322" s="719" t="inlineStr">
        <is>
          <t>No</t>
        </is>
      </c>
      <c r="AS322" s="733" t="n"/>
      <c r="AT322" s="733" t="n"/>
      <c r="AU322" s="733" t="n"/>
      <c r="AV322" s="733" t="n"/>
      <c r="AW322" s="719" t="inlineStr">
        <is>
          <t>trade</t>
        </is>
      </c>
      <c r="AX322" s="734" t="inlineStr">
        <is>
          <t>sig:97dcb2af38e8d1bc9ff33337</t>
        </is>
      </c>
    </row>
    <row r="323" ht="15" customHeight="1">
      <c r="A323" s="716" t="inlineStr">
        <is>
          <t>F883</t>
        </is>
      </c>
      <c r="B323" s="717" t="n">
        <v>44476.15694444445</v>
      </c>
      <c r="C323" s="718" t="n">
        <v>44476.15833333333</v>
      </c>
      <c r="D323" s="719" t="inlineStr">
        <is>
          <t>PEPPERSTONE DEMO</t>
        </is>
      </c>
      <c r="E323" s="719" t="inlineStr">
        <is>
          <t>EURUSD</t>
        </is>
      </c>
      <c r="F323" s="719" t="inlineStr">
        <is>
          <t>SELL</t>
        </is>
      </c>
      <c r="G323" s="735" t="n">
        <v>0.09</v>
      </c>
      <c r="H323" s="720" t="n">
        <v>1.1552</v>
      </c>
      <c r="I323" s="720" t="n">
        <v>1.1556</v>
      </c>
      <c r="J323" s="721" t="n">
        <v>1.1556</v>
      </c>
      <c r="K323" s="760" t="n">
        <v>0.0003462603878115962</v>
      </c>
      <c r="L323" s="721" t="n">
        <v>1.1537</v>
      </c>
      <c r="M323" s="722" t="n">
        <v>0.001298476454293678</v>
      </c>
      <c r="N323" s="761" t="n">
        <v>0.63</v>
      </c>
      <c r="O323" s="762" t="n">
        <v>-5.47</v>
      </c>
      <c r="P323" s="725" t="n">
        <v>-0.005559564585471953</v>
      </c>
      <c r="Q323" s="726" t="n">
        <v>-1</v>
      </c>
      <c r="R323" s="764" t="n">
        <v>978.42</v>
      </c>
      <c r="S323" s="719" t="inlineStr">
        <is>
          <t>2M 0S</t>
        </is>
      </c>
      <c r="T323" s="728" t="n"/>
      <c r="U323" s="729" t="n"/>
      <c r="V323" s="730" t="n"/>
      <c r="W323" s="731" t="n"/>
      <c r="X323" s="732" t="n"/>
      <c r="Y323" s="728" t="n"/>
      <c r="Z323" s="729" t="n"/>
      <c r="AA323" s="730" t="n"/>
      <c r="AB323" s="731" t="n"/>
      <c r="AC323" s="732" t="n"/>
      <c r="AD323" s="719" t="inlineStr">
        <is>
          <t>No</t>
        </is>
      </c>
      <c r="AE323" s="733" t="n"/>
      <c r="AF323" s="733" t="n"/>
      <c r="AG323" s="733" t="n"/>
      <c r="AH323" s="719" t="n"/>
      <c r="AI323" s="719" t="inlineStr">
        <is>
          <t>Limit</t>
        </is>
      </c>
      <c r="AJ323" s="733" t="n"/>
      <c r="AK323" s="733" t="n"/>
      <c r="AL323" s="733" t="n"/>
      <c r="AM323" s="733" t="n"/>
      <c r="AN323" s="733" t="n"/>
      <c r="AO323" s="733" t="n"/>
      <c r="AP323" s="719" t="inlineStr">
        <is>
          <t>Pullback</t>
        </is>
      </c>
      <c r="AQ323" s="719" t="inlineStr">
        <is>
          <t>5MIN</t>
        </is>
      </c>
      <c r="AR323" s="719" t="inlineStr">
        <is>
          <t>No</t>
        </is>
      </c>
      <c r="AS323" s="733" t="n"/>
      <c r="AT323" s="733" t="n"/>
      <c r="AU323" s="733" t="n"/>
      <c r="AV323" s="733" t="n"/>
      <c r="AW323" s="719" t="inlineStr">
        <is>
          <t>trade</t>
        </is>
      </c>
      <c r="AX323" s="734" t="inlineStr">
        <is>
          <t>sig:9e808998572975ec10996459</t>
        </is>
      </c>
    </row>
    <row r="324" ht="15" customHeight="1">
      <c r="A324" s="716" t="inlineStr">
        <is>
          <t>F882</t>
        </is>
      </c>
      <c r="B324" s="717" t="n">
        <v>44475.05</v>
      </c>
      <c r="C324" s="718" t="n">
        <v>44475.05069444444</v>
      </c>
      <c r="D324" s="719" t="inlineStr">
        <is>
          <t>PEPPERSTONE DEMO</t>
        </is>
      </c>
      <c r="E324" s="719" t="inlineStr">
        <is>
          <t>EURUSD</t>
        </is>
      </c>
      <c r="F324" s="719" t="inlineStr">
        <is>
          <t>SELL</t>
        </is>
      </c>
      <c r="G324" s="720" t="n">
        <v>0.16</v>
      </c>
      <c r="H324" s="720" t="n">
        <v>1.1603</v>
      </c>
      <c r="I324" s="720" t="n">
        <v>1.16056</v>
      </c>
      <c r="J324" s="721" t="n">
        <v>1.1605</v>
      </c>
      <c r="K324" s="760" t="n">
        <v>0.0001723692148582073</v>
      </c>
      <c r="L324" s="721" t="n">
        <v>1.1597</v>
      </c>
      <c r="M324" s="760" t="n">
        <v>0.0005171076445748133</v>
      </c>
      <c r="N324" s="761" t="n">
        <v>1.12</v>
      </c>
      <c r="O324" s="762" t="n">
        <v>-6.16</v>
      </c>
      <c r="P324" s="725" t="n">
        <v>-0.006221907984445231</v>
      </c>
      <c r="Q324" s="726" t="n">
        <v>-1.299999999999778</v>
      </c>
      <c r="R324" s="764" t="n">
        <v>983.89</v>
      </c>
      <c r="S324" s="719" t="inlineStr">
        <is>
          <t>1M 0S</t>
        </is>
      </c>
      <c r="T324" s="728" t="n"/>
      <c r="U324" s="729" t="n"/>
      <c r="V324" s="730" t="n"/>
      <c r="W324" s="731" t="n"/>
      <c r="X324" s="732" t="n"/>
      <c r="Y324" s="728" t="n"/>
      <c r="Z324" s="729" t="n"/>
      <c r="AA324" s="730" t="n"/>
      <c r="AB324" s="731" t="n"/>
      <c r="AC324" s="732" t="n"/>
      <c r="AD324" s="719" t="inlineStr">
        <is>
          <t>No</t>
        </is>
      </c>
      <c r="AE324" s="733" t="n"/>
      <c r="AF324" s="733" t="n"/>
      <c r="AG324" s="733" t="n"/>
      <c r="AH324" s="733" t="n"/>
      <c r="AI324" s="719" t="inlineStr">
        <is>
          <t>Limit</t>
        </is>
      </c>
      <c r="AJ324" s="733" t="n"/>
      <c r="AK324" s="733" t="n"/>
      <c r="AL324" s="733" t="n"/>
      <c r="AM324" s="733" t="n"/>
      <c r="AN324" s="733" t="n"/>
      <c r="AO324" s="733" t="n"/>
      <c r="AP324" s="719" t="inlineStr">
        <is>
          <t>Pullback</t>
        </is>
      </c>
      <c r="AQ324" s="719" t="inlineStr">
        <is>
          <t>5MIN</t>
        </is>
      </c>
      <c r="AR324" s="719" t="inlineStr">
        <is>
          <t>No</t>
        </is>
      </c>
      <c r="AS324" s="733" t="n"/>
      <c r="AT324" s="733" t="n"/>
      <c r="AU324" s="733" t="n"/>
      <c r="AV324" s="733" t="n"/>
      <c r="AW324" s="719" t="inlineStr">
        <is>
          <t>trade</t>
        </is>
      </c>
      <c r="AX324" s="734" t="inlineStr">
        <is>
          <t>sig:6073de4750a0f3fdea7b335c</t>
        </is>
      </c>
    </row>
    <row r="325" ht="15" customHeight="1">
      <c r="A325" s="716" t="inlineStr">
        <is>
          <t>C290</t>
        </is>
      </c>
      <c r="B325" s="717" t="n">
        <v>44474.35625</v>
      </c>
      <c r="C325" s="718" t="n">
        <v>44475.01180555556</v>
      </c>
      <c r="D325" s="719" t="inlineStr">
        <is>
          <t>BYBIT</t>
        </is>
      </c>
      <c r="E325" s="719" t="inlineStr">
        <is>
          <t>AXSUSDT</t>
        </is>
      </c>
      <c r="F325" s="719" t="inlineStr">
        <is>
          <t>BUY</t>
        </is>
      </c>
      <c r="G325" s="720" t="n">
        <v>0.2</v>
      </c>
      <c r="H325" s="720" t="n">
        <v>135.23</v>
      </c>
      <c r="I325" s="720" t="n">
        <v>129.44</v>
      </c>
      <c r="J325" s="721" t="n">
        <v>129.22</v>
      </c>
      <c r="K325" s="722" t="n">
        <v>0.04444280115359012</v>
      </c>
      <c r="L325" s="721" t="n">
        <v>154.46</v>
      </c>
      <c r="M325" s="722" t="n">
        <v>0.1422021740738003</v>
      </c>
      <c r="N325" s="723" t="n">
        <v>0.057112</v>
      </c>
      <c r="O325" s="724" t="n">
        <v>-1.10175465</v>
      </c>
      <c r="P325" s="725" t="n">
        <v>-0.0043308041156857</v>
      </c>
      <c r="Q325" s="726" t="n">
        <v>-0.9633943427620634</v>
      </c>
      <c r="R325" s="727" t="n">
        <v>253.2978026999999</v>
      </c>
      <c r="S325" s="719" t="inlineStr">
        <is>
          <t>15H 44M 0S</t>
        </is>
      </c>
      <c r="T325" s="728" t="n"/>
      <c r="U325" s="729" t="n"/>
      <c r="V325" s="730" t="n"/>
      <c r="W325" s="731" t="n"/>
      <c r="X325" s="732" t="n"/>
      <c r="Y325" s="728" t="n"/>
      <c r="Z325" s="729" t="n"/>
      <c r="AA325" s="730" t="n"/>
      <c r="AB325" s="731" t="n"/>
      <c r="AC325" s="732" t="n"/>
      <c r="AD325" s="719" t="inlineStr">
        <is>
          <t>No</t>
        </is>
      </c>
      <c r="AE325" s="733" t="n"/>
      <c r="AF325" s="733" t="n"/>
      <c r="AG325" s="733" t="n"/>
      <c r="AH325" s="719" t="inlineStr">
        <is>
          <t>All-Time High</t>
        </is>
      </c>
      <c r="AI325" s="719" t="inlineStr">
        <is>
          <t>Limit</t>
        </is>
      </c>
      <c r="AJ325" s="733" t="n"/>
      <c r="AK325" s="733" t="n"/>
      <c r="AL325" s="733" t="n"/>
      <c r="AM325" s="733" t="n"/>
      <c r="AN325" s="733" t="n"/>
      <c r="AO325" s="733" t="n"/>
      <c r="AP325" s="719" t="inlineStr">
        <is>
          <t>Pullback</t>
        </is>
      </c>
      <c r="AQ325" s="719" t="inlineStr">
        <is>
          <t>4H</t>
        </is>
      </c>
      <c r="AR325" s="719" t="inlineStr">
        <is>
          <t>No</t>
        </is>
      </c>
      <c r="AS325" s="733" t="n"/>
      <c r="AT325" s="733" t="n"/>
      <c r="AU325" s="733" t="n"/>
      <c r="AV325" s="733" t="n"/>
      <c r="AW325" s="719" t="inlineStr">
        <is>
          <t>trade</t>
        </is>
      </c>
      <c r="AX325" s="734" t="inlineStr">
        <is>
          <t>sig:2675cffcf5da1d578c30ccd2</t>
        </is>
      </c>
    </row>
    <row r="326" ht="15" customHeight="1">
      <c r="A326" s="716" t="inlineStr">
        <is>
          <t>F881</t>
        </is>
      </c>
      <c r="B326" s="717" t="n">
        <v>44474.88819444444</v>
      </c>
      <c r="C326" s="718" t="n">
        <v>44474.96319444444</v>
      </c>
      <c r="D326" s="719" t="inlineStr">
        <is>
          <t>PEPPERSTONE DEMO</t>
        </is>
      </c>
      <c r="E326" s="719" t="inlineStr">
        <is>
          <t>USDJPY</t>
        </is>
      </c>
      <c r="F326" s="719" t="inlineStr">
        <is>
          <t>SELL</t>
        </is>
      </c>
      <c r="G326" s="735" t="n">
        <v>0.06</v>
      </c>
      <c r="H326" s="720" t="n">
        <v>111.26</v>
      </c>
      <c r="I326" s="720" t="n">
        <v>111.325</v>
      </c>
      <c r="J326" s="721" t="n">
        <v>111.32</v>
      </c>
      <c r="K326" s="760" t="n">
        <v>0.0005392773683263353</v>
      </c>
      <c r="L326" s="721" t="n">
        <v>110.93</v>
      </c>
      <c r="M326" s="722" t="n">
        <v>0.002966025525795419</v>
      </c>
      <c r="N326" s="761" t="n">
        <v>0.42</v>
      </c>
      <c r="O326" s="762" t="n">
        <v>-5.23</v>
      </c>
      <c r="P326" s="725" t="n">
        <v>-0.005254802668595773</v>
      </c>
      <c r="Q326" s="726" t="n">
        <v>-1.083333333333511</v>
      </c>
      <c r="R326" s="764" t="n">
        <v>990.05</v>
      </c>
      <c r="S326" s="719" t="inlineStr">
        <is>
          <t>1H 48M 0S</t>
        </is>
      </c>
      <c r="T326" s="728" t="n"/>
      <c r="U326" s="729" t="n"/>
      <c r="V326" s="730" t="n"/>
      <c r="W326" s="731" t="n"/>
      <c r="X326" s="732" t="n"/>
      <c r="Y326" s="728" t="n"/>
      <c r="Z326" s="729" t="n"/>
      <c r="AA326" s="730" t="n"/>
      <c r="AB326" s="731" t="n"/>
      <c r="AC326" s="732" t="n"/>
      <c r="AD326" s="719" t="inlineStr">
        <is>
          <t>No</t>
        </is>
      </c>
      <c r="AE326" s="733" t="n"/>
      <c r="AF326" s="733" t="n"/>
      <c r="AG326" s="733" t="n"/>
      <c r="AH326" s="733" t="n"/>
      <c r="AI326" s="719" t="inlineStr">
        <is>
          <t>Limit</t>
        </is>
      </c>
      <c r="AJ326" s="733" t="n"/>
      <c r="AK326" s="733" t="n"/>
      <c r="AL326" s="733" t="n"/>
      <c r="AM326" s="733" t="n"/>
      <c r="AN326" s="733" t="n"/>
      <c r="AO326" s="733" t="n"/>
      <c r="AP326" s="719" t="inlineStr">
        <is>
          <t>Pullback</t>
        </is>
      </c>
      <c r="AQ326" s="719" t="inlineStr">
        <is>
          <t>1H</t>
        </is>
      </c>
      <c r="AR326" s="719" t="inlineStr">
        <is>
          <t>No</t>
        </is>
      </c>
      <c r="AS326" s="733" t="n"/>
      <c r="AT326" s="733" t="n"/>
      <c r="AU326" s="733" t="n"/>
      <c r="AV326" s="733" t="n"/>
      <c r="AW326" s="719" t="inlineStr">
        <is>
          <t>trade</t>
        </is>
      </c>
      <c r="AX326" s="734" t="inlineStr">
        <is>
          <t>sig:01e78a8a81e5d5e088da3de7</t>
        </is>
      </c>
    </row>
    <row r="327" ht="15" customHeight="1">
      <c r="A327" s="716" t="inlineStr">
        <is>
          <t>C289</t>
        </is>
      </c>
      <c r="B327" s="717" t="n">
        <v>44473.91736111111</v>
      </c>
      <c r="C327" s="718" t="n">
        <v>44473.94861111111</v>
      </c>
      <c r="D327" s="719" t="inlineStr">
        <is>
          <t>BYBIT</t>
        </is>
      </c>
      <c r="E327" s="719" t="inlineStr">
        <is>
          <t>AXSUSDT</t>
        </is>
      </c>
      <c r="F327" s="719" t="inlineStr">
        <is>
          <t>BUY</t>
        </is>
      </c>
      <c r="G327" s="720" t="n">
        <v>0.7</v>
      </c>
      <c r="H327" s="720" t="n">
        <v>148.76</v>
      </c>
      <c r="I327" s="720" t="n">
        <v>146.7</v>
      </c>
      <c r="J327" s="721" t="n">
        <v>146.79</v>
      </c>
      <c r="K327" s="722" t="n">
        <v>0.01324280720623823</v>
      </c>
      <c r="L327" s="721" t="n">
        <v>153.935</v>
      </c>
      <c r="M327" s="722" t="n">
        <v>0.03478757730572742</v>
      </c>
      <c r="N327" s="723" t="n">
        <v>0.050985</v>
      </c>
      <c r="O327" s="724" t="n">
        <v>-1.49385165</v>
      </c>
      <c r="P327" s="725" t="n">
        <v>-0.00583778869427622</v>
      </c>
      <c r="Q327" s="726" t="n">
        <v>-1.045685279187819</v>
      </c>
      <c r="R327" s="727" t="n">
        <v>254.3995573499999</v>
      </c>
      <c r="S327" s="719" t="inlineStr">
        <is>
          <t>45M 0S</t>
        </is>
      </c>
      <c r="T327" s="728" t="n"/>
      <c r="U327" s="729" t="n"/>
      <c r="V327" s="730" t="n"/>
      <c r="W327" s="731" t="n"/>
      <c r="X327" s="732" t="n"/>
      <c r="Y327" s="728" t="n"/>
      <c r="Z327" s="729" t="n"/>
      <c r="AA327" s="730" t="n"/>
      <c r="AB327" s="731" t="n"/>
      <c r="AC327" s="732" t="n"/>
      <c r="AD327" s="719" t="inlineStr">
        <is>
          <t>No</t>
        </is>
      </c>
      <c r="AE327" s="733" t="n"/>
      <c r="AF327" s="733" t="n"/>
      <c r="AG327" s="733" t="n"/>
      <c r="AH327" s="719" t="inlineStr">
        <is>
          <t>All-Time High</t>
        </is>
      </c>
      <c r="AI327" s="719" t="inlineStr">
        <is>
          <t>Limit</t>
        </is>
      </c>
      <c r="AJ327" s="733" t="n"/>
      <c r="AK327" s="733" t="n"/>
      <c r="AL327" s="733" t="n"/>
      <c r="AM327" s="733" t="n"/>
      <c r="AN327" s="733" t="n"/>
      <c r="AO327" s="733" t="n"/>
      <c r="AP327" s="719" t="inlineStr">
        <is>
          <t>Pullback</t>
        </is>
      </c>
      <c r="AQ327" s="719" t="inlineStr">
        <is>
          <t>15MIN</t>
        </is>
      </c>
      <c r="AR327" s="719" t="inlineStr">
        <is>
          <t>No</t>
        </is>
      </c>
      <c r="AS327" s="733" t="n"/>
      <c r="AT327" s="733" t="n"/>
      <c r="AU327" s="733" t="n"/>
      <c r="AV327" s="733" t="n"/>
      <c r="AW327" s="719" t="inlineStr">
        <is>
          <t>trade</t>
        </is>
      </c>
      <c r="AX327" s="734" t="inlineStr">
        <is>
          <t>sig:3f89662eb8a5302fb4a3fc87</t>
        </is>
      </c>
    </row>
    <row r="328" ht="15" customHeight="1">
      <c r="A328" s="716" t="inlineStr">
        <is>
          <t>F880</t>
        </is>
      </c>
      <c r="B328" s="717" t="n">
        <v>44473.79930555556</v>
      </c>
      <c r="C328" s="718" t="n">
        <v>44473.82569444444</v>
      </c>
      <c r="D328" s="719" t="inlineStr">
        <is>
          <t>PEPPERSTONE DEMO</t>
        </is>
      </c>
      <c r="E328" s="719" t="inlineStr">
        <is>
          <t>GBPUSD</t>
        </is>
      </c>
      <c r="F328" s="719" t="inlineStr">
        <is>
          <t>SELL</t>
        </is>
      </c>
      <c r="G328" s="735" t="n">
        <v>0.04</v>
      </c>
      <c r="H328" s="720" t="n">
        <v>1.3574</v>
      </c>
      <c r="I328" s="720" t="n">
        <v>1.35838</v>
      </c>
      <c r="J328" s="721" t="n">
        <v>1.3583</v>
      </c>
      <c r="K328" s="760" t="n">
        <v>0.0006630322675704456</v>
      </c>
      <c r="L328" s="721" t="n">
        <v>1.3539</v>
      </c>
      <c r="M328" s="722" t="n">
        <v>0.002578458818329038</v>
      </c>
      <c r="N328" s="761" t="n">
        <v>0.28</v>
      </c>
      <c r="O328" s="762" t="n">
        <v>-5.23</v>
      </c>
      <c r="P328" s="725" t="n">
        <v>-0.00522733405962959</v>
      </c>
      <c r="Q328" s="726" t="n">
        <v>-1.088888888888719</v>
      </c>
      <c r="R328" s="764" t="n">
        <v>995.28</v>
      </c>
      <c r="S328" s="719" t="inlineStr">
        <is>
          <t>38M 0S</t>
        </is>
      </c>
      <c r="T328" s="728" t="n"/>
      <c r="U328" s="729" t="n"/>
      <c r="V328" s="730" t="n"/>
      <c r="W328" s="731" t="n"/>
      <c r="X328" s="732" t="n"/>
      <c r="Y328" s="728" t="n"/>
      <c r="Z328" s="729" t="n"/>
      <c r="AA328" s="730" t="n"/>
      <c r="AB328" s="731" t="n"/>
      <c r="AC328" s="732" t="n"/>
      <c r="AD328" s="719" t="inlineStr">
        <is>
          <t>No</t>
        </is>
      </c>
      <c r="AE328" s="733" t="n"/>
      <c r="AF328" s="733" t="n"/>
      <c r="AG328" s="733" t="n"/>
      <c r="AH328" s="733" t="n"/>
      <c r="AI328" s="719" t="inlineStr">
        <is>
          <t>Limit</t>
        </is>
      </c>
      <c r="AJ328" s="733" t="n"/>
      <c r="AK328" s="733" t="n"/>
      <c r="AL328" s="733" t="n"/>
      <c r="AM328" s="733" t="n"/>
      <c r="AN328" s="733" t="n"/>
      <c r="AO328" s="733" t="n"/>
      <c r="AP328" s="719" t="inlineStr">
        <is>
          <t>Pullback</t>
        </is>
      </c>
      <c r="AQ328" s="719" t="inlineStr">
        <is>
          <t>1H</t>
        </is>
      </c>
      <c r="AR328" s="719" t="inlineStr">
        <is>
          <t>No</t>
        </is>
      </c>
      <c r="AS328" s="733" t="n"/>
      <c r="AT328" s="733" t="n"/>
      <c r="AU328" s="733" t="n"/>
      <c r="AV328" s="733" t="n"/>
      <c r="AW328" s="719" t="inlineStr">
        <is>
          <t>trade</t>
        </is>
      </c>
      <c r="AX328" s="734" t="inlineStr">
        <is>
          <t>sig:e37a6b67aec9e798a49f6755</t>
        </is>
      </c>
    </row>
    <row r="329" ht="15" customHeight="1">
      <c r="A329" s="716" t="inlineStr">
        <is>
          <t>C288</t>
        </is>
      </c>
      <c r="B329" s="717" t="n">
        <v>44473.07916666667</v>
      </c>
      <c r="C329" s="718" t="n">
        <v>44473.07986111111</v>
      </c>
      <c r="D329" s="719" t="inlineStr">
        <is>
          <t>BYBIT</t>
        </is>
      </c>
      <c r="E329" s="719" t="inlineStr">
        <is>
          <t>XTZUSDT</t>
        </is>
      </c>
      <c r="F329" s="719" t="inlineStr">
        <is>
          <t>BUY</t>
        </is>
      </c>
      <c r="G329" s="720" t="n">
        <v>33</v>
      </c>
      <c r="H329" s="720" t="n">
        <v>8.449999999999999</v>
      </c>
      <c r="I329" s="720" t="n">
        <v>8.412000000000001</v>
      </c>
      <c r="J329" s="721" t="n">
        <v>8.411</v>
      </c>
      <c r="K329" s="722" t="n">
        <v>0.00461538461538458</v>
      </c>
      <c r="L329" s="721" t="n">
        <v>8.647</v>
      </c>
      <c r="M329" s="722" t="n">
        <v>0.02331360946745574</v>
      </c>
      <c r="N329" s="758" t="n">
        <v>0.138484</v>
      </c>
      <c r="O329" s="724" t="n">
        <v>-1.39335065</v>
      </c>
      <c r="P329" s="725" t="n">
        <v>-0.005415555203444766</v>
      </c>
      <c r="Q329" s="726" t="n">
        <v>-0.9743589743589428</v>
      </c>
      <c r="R329" s="727" t="n">
        <v>255.8934089999999</v>
      </c>
      <c r="S329" s="719" t="inlineStr">
        <is>
          <t>1M 0S</t>
        </is>
      </c>
      <c r="T329" s="717" t="n"/>
      <c r="U329" s="806" t="n"/>
      <c r="V329" s="807" t="n"/>
      <c r="W329" s="725" t="n"/>
      <c r="X329" s="722" t="n"/>
      <c r="Y329" s="728" t="n"/>
      <c r="Z329" s="729" t="n"/>
      <c r="AA329" s="730" t="n"/>
      <c r="AB329" s="731" t="n"/>
      <c r="AC329" s="732" t="n"/>
      <c r="AD329" s="719" t="inlineStr">
        <is>
          <t>No</t>
        </is>
      </c>
      <c r="AE329" s="733" t="n"/>
      <c r="AF329" s="733" t="n"/>
      <c r="AG329" s="733" t="n"/>
      <c r="AH329" s="719" t="inlineStr">
        <is>
          <t>All-Time High</t>
        </is>
      </c>
      <c r="AI329" s="719" t="inlineStr">
        <is>
          <t>Limit</t>
        </is>
      </c>
      <c r="AJ329" s="733" t="n"/>
      <c r="AK329" s="733" t="n"/>
      <c r="AL329" s="733" t="n"/>
      <c r="AM329" s="733" t="n"/>
      <c r="AN329" s="733" t="n"/>
      <c r="AO329" s="733" t="n"/>
      <c r="AP329" s="719" t="inlineStr">
        <is>
          <t>Pullback</t>
        </is>
      </c>
      <c r="AQ329" s="719" t="inlineStr">
        <is>
          <t>5MIN</t>
        </is>
      </c>
      <c r="AR329" s="719" t="inlineStr">
        <is>
          <t>No</t>
        </is>
      </c>
      <c r="AS329" s="733" t="n"/>
      <c r="AT329" s="733" t="n"/>
      <c r="AU329" s="733" t="n"/>
      <c r="AV329" s="733" t="n"/>
      <c r="AW329" s="719" t="inlineStr">
        <is>
          <t>trade</t>
        </is>
      </c>
      <c r="AX329" s="734" t="inlineStr">
        <is>
          <t>sig:c29d6c7d7061e2c44e400784</t>
        </is>
      </c>
    </row>
    <row r="330" ht="15" customHeight="1">
      <c r="A330" s="716" t="inlineStr">
        <is>
          <t>C287</t>
        </is>
      </c>
      <c r="B330" s="717" t="n">
        <v>44473.05902777778</v>
      </c>
      <c r="C330" s="718" t="n">
        <v>44473.06111111111</v>
      </c>
      <c r="D330" s="719" t="inlineStr">
        <is>
          <t>BYBIT</t>
        </is>
      </c>
      <c r="E330" s="719" t="inlineStr">
        <is>
          <t>XTZUSDT</t>
        </is>
      </c>
      <c r="F330" s="719" t="inlineStr">
        <is>
          <t>BUY</t>
        </is>
      </c>
      <c r="G330" s="720" t="n">
        <v>26</v>
      </c>
      <c r="H330" s="720" t="n">
        <v>8.765000000000001</v>
      </c>
      <c r="I330" s="720" t="n">
        <v>8.710000000000001</v>
      </c>
      <c r="J330" s="721" t="n">
        <v>8.715</v>
      </c>
      <c r="K330" s="722" t="n">
        <v>0.005704506560182625</v>
      </c>
      <c r="L330" s="721" t="n">
        <v>8.917</v>
      </c>
      <c r="M330" s="722" t="n">
        <v>0.01734169994295485</v>
      </c>
      <c r="N330" s="758" t="n">
        <v>0.112872</v>
      </c>
      <c r="O330" s="724" t="n">
        <v>-1.54373865</v>
      </c>
      <c r="P330" s="725" t="n">
        <v>-0.00596428419424791</v>
      </c>
      <c r="Q330" s="726" t="n">
        <v>-1.099999999999979</v>
      </c>
      <c r="R330" s="727" t="n">
        <v>257.2867596499999</v>
      </c>
      <c r="S330" s="719" t="inlineStr">
        <is>
          <t>3M 0S</t>
        </is>
      </c>
      <c r="T330" s="717" t="n"/>
      <c r="U330" s="806" t="n"/>
      <c r="V330" s="807" t="n"/>
      <c r="W330" s="725" t="n"/>
      <c r="X330" s="722" t="n"/>
      <c r="Y330" s="728" t="n"/>
      <c r="Z330" s="729" t="n"/>
      <c r="AA330" s="730" t="n"/>
      <c r="AB330" s="731" t="n"/>
      <c r="AC330" s="732" t="n"/>
      <c r="AD330" s="719" t="inlineStr">
        <is>
          <t>No</t>
        </is>
      </c>
      <c r="AE330" s="733" t="n"/>
      <c r="AF330" s="733" t="n"/>
      <c r="AG330" s="733" t="n"/>
      <c r="AH330" s="719" t="inlineStr">
        <is>
          <t>All-Time High</t>
        </is>
      </c>
      <c r="AI330" s="719" t="inlineStr">
        <is>
          <t>Limit</t>
        </is>
      </c>
      <c r="AJ330" s="733" t="n"/>
      <c r="AK330" s="733" t="n"/>
      <c r="AL330" s="733" t="n"/>
      <c r="AM330" s="733" t="n"/>
      <c r="AN330" s="733" t="n"/>
      <c r="AO330" s="733" t="n"/>
      <c r="AP330" s="719" t="inlineStr">
        <is>
          <t>Pullback</t>
        </is>
      </c>
      <c r="AQ330" s="719" t="inlineStr">
        <is>
          <t>5MIN</t>
        </is>
      </c>
      <c r="AR330" s="719" t="inlineStr">
        <is>
          <t>No</t>
        </is>
      </c>
      <c r="AS330" s="733" t="n"/>
      <c r="AT330" s="733" t="n"/>
      <c r="AU330" s="733" t="n"/>
      <c r="AV330" s="733" t="n"/>
      <c r="AW330" s="719" t="inlineStr">
        <is>
          <t>trade</t>
        </is>
      </c>
      <c r="AX330" s="734" t="inlineStr">
        <is>
          <t>sig:ba23d980263324c7395d2ceb</t>
        </is>
      </c>
    </row>
    <row r="331" ht="15" customHeight="1">
      <c r="A331" s="716" t="inlineStr">
        <is>
          <t>C286</t>
        </is>
      </c>
      <c r="B331" s="717" t="n">
        <v>44472.08958333333</v>
      </c>
      <c r="C331" s="718" t="n">
        <v>44472.09097222222</v>
      </c>
      <c r="D331" s="719" t="inlineStr">
        <is>
          <t>BYBIT</t>
        </is>
      </c>
      <c r="E331" s="719" t="inlineStr">
        <is>
          <t>ETHUSDT</t>
        </is>
      </c>
      <c r="F331" s="719" t="inlineStr">
        <is>
          <t>BUY</t>
        </is>
      </c>
      <c r="G331" s="720" t="n">
        <v>0.2</v>
      </c>
      <c r="H331" s="720" t="n">
        <v>3381.9</v>
      </c>
      <c r="I331" s="720" t="n">
        <v>3375</v>
      </c>
      <c r="J331" s="721" t="n">
        <v>3375.15</v>
      </c>
      <c r="K331" s="722" t="n">
        <v>0.001995919453561607</v>
      </c>
      <c r="L331" s="721" t="n">
        <v>3396</v>
      </c>
      <c r="M331" s="722" t="n">
        <v>0.004169253969661997</v>
      </c>
      <c r="N331" s="758" t="n">
        <v>0.337155</v>
      </c>
      <c r="O331" s="724" t="n">
        <v>-1.71802165</v>
      </c>
      <c r="P331" s="725" t="n">
        <v>-0.006593864552865984</v>
      </c>
      <c r="Q331" s="726" t="n">
        <v>-1.022222222222236</v>
      </c>
      <c r="R331" s="727" t="n">
        <v>258.8304982999999</v>
      </c>
      <c r="S331" s="719" t="inlineStr">
        <is>
          <t>2M 0S</t>
        </is>
      </c>
      <c r="T331" s="728" t="n"/>
      <c r="U331" s="729" t="n"/>
      <c r="V331" s="730" t="n"/>
      <c r="W331" s="731" t="n"/>
      <c r="X331" s="732" t="n"/>
      <c r="Y331" s="728" t="n"/>
      <c r="Z331" s="729" t="n"/>
      <c r="AA331" s="730" t="n"/>
      <c r="AB331" s="731" t="n"/>
      <c r="AC331" s="732" t="n"/>
      <c r="AD331" s="719" t="inlineStr">
        <is>
          <t>No</t>
        </is>
      </c>
      <c r="AE331" s="733" t="n"/>
      <c r="AF331" s="733" t="n"/>
      <c r="AG331" s="733" t="n"/>
      <c r="AH331" s="719" t="inlineStr">
        <is>
          <t>All-Time High</t>
        </is>
      </c>
      <c r="AI331" s="719" t="inlineStr">
        <is>
          <t>Limit</t>
        </is>
      </c>
      <c r="AJ331" s="733" t="n"/>
      <c r="AK331" s="733" t="n"/>
      <c r="AL331" s="733" t="n"/>
      <c r="AM331" s="733" t="n"/>
      <c r="AN331" s="733" t="n"/>
      <c r="AO331" s="733" t="n"/>
      <c r="AP331" s="719" t="inlineStr">
        <is>
          <t>Pullback</t>
        </is>
      </c>
      <c r="AQ331" s="719" t="inlineStr">
        <is>
          <t>5MIN</t>
        </is>
      </c>
      <c r="AR331" s="719" t="inlineStr">
        <is>
          <t>No</t>
        </is>
      </c>
      <c r="AS331" s="733" t="n"/>
      <c r="AT331" s="733" t="n"/>
      <c r="AU331" s="733" t="n"/>
      <c r="AV331" s="733" t="n"/>
      <c r="AW331" s="719" t="inlineStr">
        <is>
          <t>trade</t>
        </is>
      </c>
      <c r="AX331" s="734" t="inlineStr">
        <is>
          <t>sig:f2065e2097ef0308f1d0d055</t>
        </is>
      </c>
    </row>
    <row r="332" ht="15" customHeight="1">
      <c r="A332" s="716" t="inlineStr">
        <is>
          <t>C285</t>
        </is>
      </c>
      <c r="B332" s="717" t="n">
        <v>44470.94097222222</v>
      </c>
      <c r="C332" s="718" t="n">
        <v>44470.94236111111</v>
      </c>
      <c r="D332" s="719" t="inlineStr">
        <is>
          <t>BYBIT</t>
        </is>
      </c>
      <c r="E332" s="719" t="inlineStr">
        <is>
          <t>AXSUSDT</t>
        </is>
      </c>
      <c r="F332" s="719" t="inlineStr">
        <is>
          <t>BUY</t>
        </is>
      </c>
      <c r="G332" s="720" t="n">
        <v>2.1</v>
      </c>
      <c r="H332" s="720" t="n">
        <v>85.72</v>
      </c>
      <c r="I332" s="720" t="n">
        <v>85.06</v>
      </c>
      <c r="J332" s="721" t="n">
        <v>85.08</v>
      </c>
      <c r="K332" s="722" t="n">
        <v>0.007466168922071869</v>
      </c>
      <c r="L332" s="721" t="n">
        <v>87.28</v>
      </c>
      <c r="M332" s="722" t="n">
        <v>0.01819878674755019</v>
      </c>
      <c r="N332" s="723" t="n">
        <v>0.0889665</v>
      </c>
      <c r="O332" s="724" t="n">
        <v>-1.47583315</v>
      </c>
      <c r="P332" s="725" t="n">
        <v>-0.005632427415770613</v>
      </c>
      <c r="Q332" s="726" t="n">
        <v>-1.031249999999994</v>
      </c>
      <c r="R332" s="727" t="n">
        <v>260.54851995</v>
      </c>
      <c r="S332" s="719" t="inlineStr">
        <is>
          <t>2M 0S</t>
        </is>
      </c>
      <c r="T332" s="728" t="n"/>
      <c r="U332" s="729" t="n"/>
      <c r="V332" s="730" t="n"/>
      <c r="W332" s="731" t="n"/>
      <c r="X332" s="732" t="n"/>
      <c r="Y332" s="728" t="n"/>
      <c r="Z332" s="729" t="n"/>
      <c r="AA332" s="730" t="n"/>
      <c r="AB332" s="731" t="n"/>
      <c r="AC332" s="732" t="n"/>
      <c r="AD332" s="719" t="inlineStr">
        <is>
          <t>No</t>
        </is>
      </c>
      <c r="AE332" s="733" t="n"/>
      <c r="AF332" s="733" t="n"/>
      <c r="AG332" s="733" t="n"/>
      <c r="AH332" s="733" t="n"/>
      <c r="AI332" s="719" t="inlineStr">
        <is>
          <t>Limit</t>
        </is>
      </c>
      <c r="AJ332" s="733" t="n"/>
      <c r="AK332" s="733" t="n"/>
      <c r="AL332" s="733" t="n"/>
      <c r="AM332" s="733" t="n"/>
      <c r="AN332" s="733" t="n"/>
      <c r="AO332" s="733" t="n"/>
      <c r="AP332" s="719" t="inlineStr">
        <is>
          <t>Pullback</t>
        </is>
      </c>
      <c r="AQ332" s="719" t="inlineStr">
        <is>
          <t>5MIN</t>
        </is>
      </c>
      <c r="AR332" s="719" t="inlineStr">
        <is>
          <t>No</t>
        </is>
      </c>
      <c r="AS332" s="782" t="n"/>
      <c r="AT332" s="733" t="n"/>
      <c r="AU332" s="719" t="n"/>
      <c r="AV332" s="719" t="n"/>
      <c r="AW332" s="719" t="inlineStr">
        <is>
          <t>trade</t>
        </is>
      </c>
      <c r="AX332" s="734" t="inlineStr">
        <is>
          <t>sig:9eb3ac2584d015309126456f</t>
        </is>
      </c>
    </row>
    <row r="333" ht="15" customHeight="1">
      <c r="A333" s="716" t="inlineStr">
        <is>
          <t>F879</t>
        </is>
      </c>
      <c r="B333" s="717" t="n">
        <v>44470.88263888889</v>
      </c>
      <c r="C333" s="718" t="n">
        <v>44470.88888888889</v>
      </c>
      <c r="D333" s="719" t="inlineStr">
        <is>
          <t>PEPPERSTONE DEMO</t>
        </is>
      </c>
      <c r="E333" s="719" t="inlineStr">
        <is>
          <t>EURUSD</t>
        </is>
      </c>
      <c r="F333" s="719" t="inlineStr">
        <is>
          <t>SELL</t>
        </is>
      </c>
      <c r="G333" s="720" t="n">
        <v>0.18</v>
      </c>
      <c r="H333" s="720" t="n">
        <v>1.1589</v>
      </c>
      <c r="I333" s="720" t="n">
        <v>1.15919</v>
      </c>
      <c r="J333" s="721" t="n">
        <v>1.1591</v>
      </c>
      <c r="K333" s="760" t="n">
        <v>0.0001725774441280335</v>
      </c>
      <c r="L333" s="721" t="n">
        <v>1.1581</v>
      </c>
      <c r="M333" s="760" t="n">
        <v>0.0006903097765123254</v>
      </c>
      <c r="N333" s="761" t="n">
        <v>1.26</v>
      </c>
      <c r="O333" s="762" t="n">
        <v>-6.23</v>
      </c>
      <c r="P333" s="725" t="n">
        <v>-0.006188290919204561</v>
      </c>
      <c r="Q333" s="726" t="n">
        <v>-1.449999999999667</v>
      </c>
      <c r="R333" s="764" t="n">
        <v>1000.51</v>
      </c>
      <c r="S333" s="719" t="inlineStr">
        <is>
          <t>9M 0S</t>
        </is>
      </c>
      <c r="T333" s="717" t="n"/>
      <c r="U333" s="806" t="n"/>
      <c r="V333" s="730" t="n"/>
      <c r="W333" s="731" t="n"/>
      <c r="X333" s="732" t="n"/>
      <c r="Y333" s="717" t="n"/>
      <c r="Z333" s="806" t="n"/>
      <c r="AA333" s="730" t="n"/>
      <c r="AB333" s="731" t="n"/>
      <c r="AC333" s="732" t="n"/>
      <c r="AD333" s="719" t="inlineStr">
        <is>
          <t>No</t>
        </is>
      </c>
      <c r="AE333" s="733" t="n"/>
      <c r="AF333" s="733" t="n"/>
      <c r="AG333" s="733" t="n"/>
      <c r="AH333" s="733" t="n"/>
      <c r="AI333" s="719" t="inlineStr">
        <is>
          <t>Limit</t>
        </is>
      </c>
      <c r="AJ333" s="733" t="n"/>
      <c r="AK333" s="733" t="n"/>
      <c r="AL333" s="733" t="n"/>
      <c r="AM333" s="733" t="n"/>
      <c r="AN333" s="733" t="n"/>
      <c r="AO333" s="733" t="n"/>
      <c r="AP333" s="719" t="inlineStr">
        <is>
          <t>Pullback</t>
        </is>
      </c>
      <c r="AQ333" s="719" t="inlineStr">
        <is>
          <t>5MIN</t>
        </is>
      </c>
      <c r="AR333" s="719" t="inlineStr">
        <is>
          <t>No</t>
        </is>
      </c>
      <c r="AS333" s="733" t="n"/>
      <c r="AT333" s="733" t="n"/>
      <c r="AU333" s="733" t="n"/>
      <c r="AV333" s="733" t="n"/>
      <c r="AW333" s="719" t="inlineStr">
        <is>
          <t>trade</t>
        </is>
      </c>
      <c r="AX333" s="734" t="inlineStr">
        <is>
          <t>sig:c48fd28fb5a3de21474cf326</t>
        </is>
      </c>
    </row>
    <row r="334" ht="15" customHeight="1">
      <c r="A334" s="716" t="inlineStr">
        <is>
          <t>C284</t>
        </is>
      </c>
      <c r="B334" s="717" t="n">
        <v>44470.85277777778</v>
      </c>
      <c r="C334" s="718" t="n">
        <v>44470.85416666666</v>
      </c>
      <c r="D334" s="719" t="inlineStr">
        <is>
          <t>BYBIT</t>
        </is>
      </c>
      <c r="E334" s="719" t="inlineStr">
        <is>
          <t>ETHUSDT</t>
        </is>
      </c>
      <c r="F334" s="719" t="inlineStr">
        <is>
          <t>SELL</t>
        </is>
      </c>
      <c r="G334" s="735" t="n">
        <v>0.04</v>
      </c>
      <c r="H334" s="720" t="n">
        <v>3147.6</v>
      </c>
      <c r="I334" s="720" t="n">
        <v>3189.15</v>
      </c>
      <c r="J334" s="721" t="n">
        <v>3181.75</v>
      </c>
      <c r="K334" s="722" t="n">
        <v>0.01084953615453046</v>
      </c>
      <c r="L334" s="721" t="n">
        <v>2997.05</v>
      </c>
      <c r="M334" s="722" t="n">
        <v>0.04783009276909383</v>
      </c>
      <c r="N334" s="723" t="n">
        <v>0.06419850000000001</v>
      </c>
      <c r="O334" s="724" t="n">
        <v>-1.72706515</v>
      </c>
      <c r="P334" s="725" t="n">
        <v>-0.006548079102130099</v>
      </c>
      <c r="Q334" s="726" t="n">
        <v>-1.216691068814058</v>
      </c>
      <c r="R334" s="727" t="n">
        <v>262.0243531</v>
      </c>
      <c r="S334" s="719" t="inlineStr">
        <is>
          <t>2M 0S</t>
        </is>
      </c>
      <c r="T334" s="728" t="n"/>
      <c r="U334" s="729" t="n"/>
      <c r="V334" s="730" t="n"/>
      <c r="W334" s="731" t="n"/>
      <c r="X334" s="732" t="n"/>
      <c r="Y334" s="728" t="n"/>
      <c r="Z334" s="729" t="n"/>
      <c r="AA334" s="730" t="n"/>
      <c r="AB334" s="731" t="n"/>
      <c r="AC334" s="732" t="n"/>
      <c r="AD334" s="719" t="inlineStr">
        <is>
          <t>No</t>
        </is>
      </c>
      <c r="AE334" s="733" t="n"/>
      <c r="AF334" s="733" t="n"/>
      <c r="AG334" s="733" t="n"/>
      <c r="AH334" s="733" t="n"/>
      <c r="AI334" s="719" t="inlineStr">
        <is>
          <t>Limit</t>
        </is>
      </c>
      <c r="AJ334" s="733" t="n"/>
      <c r="AK334" s="733" t="n"/>
      <c r="AL334" s="733" t="n"/>
      <c r="AM334" s="733" t="n"/>
      <c r="AN334" s="733" t="n"/>
      <c r="AO334" s="733" t="n"/>
      <c r="AP334" s="719" t="inlineStr">
        <is>
          <t>Pullback</t>
        </is>
      </c>
      <c r="AQ334" s="719" t="inlineStr">
        <is>
          <t>4H</t>
        </is>
      </c>
      <c r="AR334" s="719" t="inlineStr">
        <is>
          <t>No</t>
        </is>
      </c>
      <c r="AS334" s="733" t="n"/>
      <c r="AT334" s="733" t="n"/>
      <c r="AU334" s="733" t="n"/>
      <c r="AV334" s="733" t="n"/>
      <c r="AW334" s="719" t="inlineStr">
        <is>
          <t>trade</t>
        </is>
      </c>
      <c r="AX334" s="734" t="inlineStr">
        <is>
          <t>sig:8835985c21b22102daa5b661</t>
        </is>
      </c>
    </row>
    <row r="335" ht="15" customHeight="1">
      <c r="A335" s="716" t="inlineStr">
        <is>
          <t>F878</t>
        </is>
      </c>
      <c r="B335" s="717" t="n">
        <v>44469.81597222222</v>
      </c>
      <c r="C335" s="718" t="n">
        <v>44469.81736111111</v>
      </c>
      <c r="D335" s="719" t="inlineStr">
        <is>
          <t>PEPPERSTONE DEMO</t>
        </is>
      </c>
      <c r="E335" s="719" t="inlineStr">
        <is>
          <t>EURGBP</t>
        </is>
      </c>
      <c r="F335" s="719" t="inlineStr">
        <is>
          <t>BUY</t>
        </is>
      </c>
      <c r="G335" s="735" t="n">
        <v>0.09</v>
      </c>
      <c r="H335" s="720" t="n">
        <v>0.8622</v>
      </c>
      <c r="I335" s="720" t="n">
        <v>0.8619599999999999</v>
      </c>
      <c r="J335" s="721" t="n">
        <v>0.8619</v>
      </c>
      <c r="K335" s="760" t="n">
        <v>0.0003479471120389318</v>
      </c>
      <c r="L335" s="721" t="n">
        <v>0.8631</v>
      </c>
      <c r="M335" s="722" t="n">
        <v>0.001043841336116924</v>
      </c>
      <c r="N335" s="761" t="n">
        <v>0.63</v>
      </c>
      <c r="O335" s="762" t="n">
        <v>-5.68</v>
      </c>
      <c r="P335" s="725" t="n">
        <v>-0.005610319827739476</v>
      </c>
      <c r="Q335" s="726" t="n">
        <v>-0.800000000000148</v>
      </c>
      <c r="R335" s="764" t="n">
        <v>1006.74</v>
      </c>
      <c r="S335" s="719" t="inlineStr">
        <is>
          <t>2M 0S</t>
        </is>
      </c>
      <c r="T335" s="728" t="n"/>
      <c r="U335" s="729" t="n"/>
      <c r="V335" s="730" t="n"/>
      <c r="W335" s="731" t="n"/>
      <c r="X335" s="732" t="n"/>
      <c r="Y335" s="728" t="n"/>
      <c r="Z335" s="729" t="n"/>
      <c r="AA335" s="730" t="n"/>
      <c r="AB335" s="731" t="n"/>
      <c r="AC335" s="732" t="n"/>
      <c r="AD335" s="719" t="inlineStr">
        <is>
          <t>No</t>
        </is>
      </c>
      <c r="AE335" s="733" t="n"/>
      <c r="AF335" s="733" t="n"/>
      <c r="AG335" s="733" t="n"/>
      <c r="AH335" s="733" t="n"/>
      <c r="AI335" s="719" t="inlineStr">
        <is>
          <t>Limit</t>
        </is>
      </c>
      <c r="AJ335" s="733" t="n"/>
      <c r="AK335" s="733" t="n"/>
      <c r="AL335" s="733" t="n"/>
      <c r="AM335" s="733" t="n"/>
      <c r="AN335" s="733" t="n"/>
      <c r="AO335" s="733" t="n"/>
      <c r="AP335" s="719" t="inlineStr">
        <is>
          <t>Pullback</t>
        </is>
      </c>
      <c r="AQ335" s="719" t="inlineStr">
        <is>
          <t>5MIN</t>
        </is>
      </c>
      <c r="AR335" s="719" t="inlineStr">
        <is>
          <t>No</t>
        </is>
      </c>
      <c r="AS335" s="733" t="n"/>
      <c r="AT335" s="733" t="n"/>
      <c r="AU335" s="733" t="n"/>
      <c r="AV335" s="733" t="n"/>
      <c r="AW335" s="719" t="inlineStr">
        <is>
          <t>trade</t>
        </is>
      </c>
      <c r="AX335" s="734" t="inlineStr">
        <is>
          <t>sig:58c58d080de128e30fd3ea4c</t>
        </is>
      </c>
    </row>
    <row r="336" ht="15" customHeight="1">
      <c r="A336" s="716" t="inlineStr">
        <is>
          <t>C283</t>
        </is>
      </c>
      <c r="B336" s="717" t="n">
        <v>44469.45416666667</v>
      </c>
      <c r="C336" s="718" t="n">
        <v>44469.46527777778</v>
      </c>
      <c r="D336" s="719" t="inlineStr">
        <is>
          <t>BYBIT</t>
        </is>
      </c>
      <c r="E336" s="719" t="inlineStr">
        <is>
          <t>BTCUSDT</t>
        </is>
      </c>
      <c r="F336" s="719" t="inlineStr">
        <is>
          <t>SELL</t>
        </is>
      </c>
      <c r="G336" s="757" t="n">
        <v>0.008</v>
      </c>
      <c r="H336" s="720" t="n">
        <v>42330.5</v>
      </c>
      <c r="I336" s="720" t="n">
        <v>42510</v>
      </c>
      <c r="J336" s="721" t="n">
        <v>42508.5</v>
      </c>
      <c r="K336" s="722" t="n">
        <v>0.004205005846848017</v>
      </c>
      <c r="L336" s="721" t="n">
        <v>41784.5</v>
      </c>
      <c r="M336" s="722" t="n">
        <v>0.012898501080781</v>
      </c>
      <c r="N336" s="758" t="n">
        <v>0.170399</v>
      </c>
      <c r="O336" s="724" t="n">
        <v>-1.60726565</v>
      </c>
      <c r="P336" s="725" t="n">
        <v>-0.006056955161134639</v>
      </c>
      <c r="Q336" s="726" t="n">
        <v>-1.008426966292135</v>
      </c>
      <c r="R336" s="727" t="n">
        <v>263.75141825</v>
      </c>
      <c r="S336" s="719" t="inlineStr">
        <is>
          <t>16M 0S</t>
        </is>
      </c>
      <c r="T336" s="728" t="n"/>
      <c r="U336" s="729" t="n"/>
      <c r="V336" s="730" t="n"/>
      <c r="W336" s="731" t="n"/>
      <c r="X336" s="732" t="n"/>
      <c r="Y336" s="728" t="n"/>
      <c r="Z336" s="729" t="n"/>
      <c r="AA336" s="730" t="n"/>
      <c r="AB336" s="731" t="n"/>
      <c r="AC336" s="732" t="n"/>
      <c r="AD336" s="719" t="inlineStr">
        <is>
          <t>No</t>
        </is>
      </c>
      <c r="AE336" s="733" t="n"/>
      <c r="AF336" s="733" t="n"/>
      <c r="AG336" s="733" t="n"/>
      <c r="AH336" s="733" t="n"/>
      <c r="AI336" s="719" t="inlineStr">
        <is>
          <t>Limit</t>
        </is>
      </c>
      <c r="AJ336" s="733" t="n"/>
      <c r="AK336" s="733" t="n"/>
      <c r="AL336" s="733" t="n"/>
      <c r="AM336" s="733" t="n"/>
      <c r="AN336" s="733" t="n"/>
      <c r="AO336" s="733" t="n"/>
      <c r="AP336" s="719" t="inlineStr">
        <is>
          <t>Pullback</t>
        </is>
      </c>
      <c r="AQ336" s="719" t="inlineStr">
        <is>
          <t>1H</t>
        </is>
      </c>
      <c r="AR336" s="719" t="inlineStr">
        <is>
          <t>No</t>
        </is>
      </c>
      <c r="AS336" s="733" t="n"/>
      <c r="AT336" s="733" t="n"/>
      <c r="AU336" s="733" t="n"/>
      <c r="AV336" s="733" t="n"/>
      <c r="AW336" s="719" t="inlineStr">
        <is>
          <t>trade</t>
        </is>
      </c>
      <c r="AX336" s="734" t="inlineStr">
        <is>
          <t>sig:cba870a215b1e31e76c00af3</t>
        </is>
      </c>
    </row>
    <row r="337" ht="15" customHeight="1">
      <c r="A337" s="716" t="inlineStr">
        <is>
          <t>F877</t>
        </is>
      </c>
      <c r="B337" s="717" t="n">
        <v>44469.05833333333</v>
      </c>
      <c r="C337" s="718" t="n">
        <v>44469.08333333334</v>
      </c>
      <c r="D337" s="719" t="inlineStr">
        <is>
          <t>PEPPERSTONE DEMO</t>
        </is>
      </c>
      <c r="E337" s="719" t="inlineStr">
        <is>
          <t>AUDUSD</t>
        </is>
      </c>
      <c r="F337" s="719" t="inlineStr">
        <is>
          <t>SELL</t>
        </is>
      </c>
      <c r="G337" s="735" t="n">
        <v>0.09</v>
      </c>
      <c r="H337" s="720" t="n">
        <v>0.7192</v>
      </c>
      <c r="I337" s="720" t="n">
        <v>0.71922</v>
      </c>
      <c r="J337" s="721" t="n">
        <v>0.7196399999999999</v>
      </c>
      <c r="K337" s="760" t="n">
        <v>0.0006117908787541658</v>
      </c>
      <c r="L337" s="721" t="n">
        <v>0.7181999999999999</v>
      </c>
      <c r="M337" s="722" t="n">
        <v>0.001390433815350391</v>
      </c>
      <c r="N337" s="761" t="n">
        <v>0.63</v>
      </c>
      <c r="O337" s="762" t="n">
        <v>-0.63</v>
      </c>
      <c r="P337" s="763" t="n">
        <v>-0.0006218844084694734</v>
      </c>
      <c r="Q337" s="781" t="n">
        <v>-0.04545454545459133</v>
      </c>
      <c r="R337" s="764" t="n">
        <v>1012.42</v>
      </c>
      <c r="S337" s="719" t="inlineStr">
        <is>
          <t>36M 0S</t>
        </is>
      </c>
      <c r="T337" s="717" t="n">
        <v>44469.07013888889</v>
      </c>
      <c r="U337" s="806" t="inlineStr">
        <is>
          <t>17M 0S</t>
        </is>
      </c>
      <c r="V337" s="807" t="n">
        <v>0.7185</v>
      </c>
      <c r="W337" s="763" t="n">
        <v>0.0006999999999999229</v>
      </c>
      <c r="X337" s="760" t="n">
        <v>-0.000300000000000078</v>
      </c>
      <c r="Y337" s="728" t="n"/>
      <c r="Z337" s="729" t="n"/>
      <c r="AA337" s="730" t="n"/>
      <c r="AB337" s="731" t="n"/>
      <c r="AC337" s="732" t="n"/>
      <c r="AD337" s="719" t="inlineStr">
        <is>
          <t>No</t>
        </is>
      </c>
      <c r="AE337" s="733" t="n"/>
      <c r="AF337" s="733" t="n"/>
      <c r="AG337" s="733" t="n"/>
      <c r="AH337" s="719" t="n"/>
      <c r="AI337" s="719" t="inlineStr">
        <is>
          <t>Limit</t>
        </is>
      </c>
      <c r="AJ337" s="733" t="n"/>
      <c r="AK337" s="733" t="n"/>
      <c r="AL337" s="733" t="n"/>
      <c r="AM337" s="733" t="n"/>
      <c r="AN337" s="733" t="n"/>
      <c r="AO337" s="733" t="n"/>
      <c r="AP337" s="719" t="inlineStr">
        <is>
          <t>Pullback</t>
        </is>
      </c>
      <c r="AQ337" s="719" t="inlineStr">
        <is>
          <t>5MIN</t>
        </is>
      </c>
      <c r="AR337" s="719" t="inlineStr">
        <is>
          <t>No</t>
        </is>
      </c>
      <c r="AS337" s="733" t="n"/>
      <c r="AT337" s="733" t="n"/>
      <c r="AU337" s="733" t="n"/>
      <c r="AV337" s="733" t="n"/>
      <c r="AW337" s="719" t="inlineStr">
        <is>
          <t>trade</t>
        </is>
      </c>
      <c r="AX337" s="734" t="inlineStr">
        <is>
          <t>sig:73366d44d663c5b6394200f6</t>
        </is>
      </c>
    </row>
    <row r="338" ht="15" customHeight="1">
      <c r="A338" s="737" t="inlineStr">
        <is>
          <t>F876</t>
        </is>
      </c>
      <c r="B338" s="738" t="n">
        <v>44469</v>
      </c>
      <c r="C338" s="739" t="n">
        <v>44469.00763888889</v>
      </c>
      <c r="D338" s="740" t="inlineStr">
        <is>
          <t>PEPPERSTONE DEMO</t>
        </is>
      </c>
      <c r="E338" s="740" t="inlineStr">
        <is>
          <t>AUDUSD</t>
        </is>
      </c>
      <c r="F338" s="740" t="inlineStr">
        <is>
          <t>SELL</t>
        </is>
      </c>
      <c r="G338" s="775" t="n">
        <v>0.09</v>
      </c>
      <c r="H338" s="742" t="n">
        <v>0.7206</v>
      </c>
      <c r="I338" s="742" t="n">
        <v>0.71916</v>
      </c>
      <c r="J338" s="743" t="n">
        <v>0.7210800000000001</v>
      </c>
      <c r="K338" s="765" t="n">
        <v>0.0006661115736886428</v>
      </c>
      <c r="L338" s="743" t="n">
        <v>0.7191</v>
      </c>
      <c r="M338" s="744" t="n">
        <v>0.002081598667776931</v>
      </c>
      <c r="N338" s="766" t="n">
        <v>0.63</v>
      </c>
      <c r="O338" s="767" t="n">
        <v>18.52</v>
      </c>
      <c r="P338" s="747" t="n">
        <v>0.01862186158285823</v>
      </c>
      <c r="Q338" s="748" t="n">
        <v>2.999999999999769</v>
      </c>
      <c r="R338" s="769" t="n">
        <v>1013.05</v>
      </c>
      <c r="S338" s="740" t="inlineStr">
        <is>
          <t>11M 0S</t>
        </is>
      </c>
      <c r="T338" s="738" t="n">
        <v>44469.00347222222</v>
      </c>
      <c r="U338" s="809" t="inlineStr">
        <is>
          <t>5M 0S</t>
        </is>
      </c>
      <c r="V338" s="810" t="n">
        <v>0.71943</v>
      </c>
      <c r="W338" s="747" t="n">
        <v>0.001170000000000004</v>
      </c>
      <c r="X338" s="765" t="n">
        <v>-0.0003300000000000525</v>
      </c>
      <c r="Y338" s="750" t="n"/>
      <c r="Z338" s="751" t="n"/>
      <c r="AA338" s="752" t="n"/>
      <c r="AB338" s="753" t="n"/>
      <c r="AC338" s="754" t="n"/>
      <c r="AD338" s="740" t="inlineStr">
        <is>
          <t>No</t>
        </is>
      </c>
      <c r="AE338" s="755" t="n"/>
      <c r="AF338" s="755" t="n"/>
      <c r="AG338" s="755" t="n"/>
      <c r="AH338" s="755" t="n"/>
      <c r="AI338" s="740" t="inlineStr">
        <is>
          <t>Limit</t>
        </is>
      </c>
      <c r="AJ338" s="755" t="n"/>
      <c r="AK338" s="755" t="n"/>
      <c r="AL338" s="755" t="n"/>
      <c r="AM338" s="755" t="n"/>
      <c r="AN338" s="755" t="n"/>
      <c r="AO338" s="755" t="n"/>
      <c r="AP338" s="740" t="inlineStr">
        <is>
          <t>Pullback</t>
        </is>
      </c>
      <c r="AQ338" s="740" t="inlineStr">
        <is>
          <t>5MIN</t>
        </is>
      </c>
      <c r="AR338" s="740" t="inlineStr">
        <is>
          <t>No</t>
        </is>
      </c>
      <c r="AS338" s="755" t="n"/>
      <c r="AT338" s="755" t="n"/>
      <c r="AU338" s="755" t="n"/>
      <c r="AV338" s="755" t="n"/>
      <c r="AW338" s="740" t="inlineStr">
        <is>
          <t>trade</t>
        </is>
      </c>
      <c r="AX338" s="756" t="inlineStr">
        <is>
          <t>sig:63b43cea88bef9136e2a0d02</t>
        </is>
      </c>
    </row>
    <row r="339" ht="15" customHeight="1">
      <c r="A339" s="716" t="inlineStr">
        <is>
          <t>F875</t>
        </is>
      </c>
      <c r="B339" s="717" t="n">
        <v>44468.72569444445</v>
      </c>
      <c r="C339" s="718" t="n">
        <v>44468.72708333333</v>
      </c>
      <c r="D339" s="719" t="inlineStr">
        <is>
          <t>PEPPERSTONE DEMO</t>
        </is>
      </c>
      <c r="E339" s="719" t="inlineStr">
        <is>
          <t>GBPUSD</t>
        </is>
      </c>
      <c r="F339" s="719" t="inlineStr">
        <is>
          <t>SELL</t>
        </is>
      </c>
      <c r="G339" s="735" t="n">
        <v>0.06</v>
      </c>
      <c r="H339" s="720" t="n">
        <v>1.3524</v>
      </c>
      <c r="I339" s="720" t="n">
        <v>1.35301</v>
      </c>
      <c r="J339" s="721" t="n">
        <v>1.353</v>
      </c>
      <c r="K339" s="760" t="n">
        <v>0.0004436557231587799</v>
      </c>
      <c r="L339" s="721" t="n">
        <v>1.3507</v>
      </c>
      <c r="M339" s="722" t="n">
        <v>0.00125702454895004</v>
      </c>
      <c r="N339" s="761" t="n">
        <v>0.42</v>
      </c>
      <c r="O339" s="762" t="n">
        <v>-5.47</v>
      </c>
      <c r="P339" s="725" t="n">
        <v>-0.00547</v>
      </c>
      <c r="Q339" s="726" t="n">
        <v>-1.016666666666778</v>
      </c>
      <c r="R339" s="764" t="n">
        <v>994.53</v>
      </c>
      <c r="S339" s="719" t="inlineStr">
        <is>
          <t>2M 0S</t>
        </is>
      </c>
      <c r="T339" s="728" t="n"/>
      <c r="U339" s="729" t="n"/>
      <c r="V339" s="730" t="n"/>
      <c r="W339" s="731" t="n"/>
      <c r="X339" s="732" t="n"/>
      <c r="Y339" s="728" t="n"/>
      <c r="Z339" s="729" t="n"/>
      <c r="AA339" s="730" t="n"/>
      <c r="AB339" s="731" t="n"/>
      <c r="AC339" s="732" t="n"/>
      <c r="AD339" s="719" t="inlineStr">
        <is>
          <t>No</t>
        </is>
      </c>
      <c r="AE339" s="733" t="n"/>
      <c r="AF339" s="733" t="n"/>
      <c r="AG339" s="733" t="n"/>
      <c r="AH339" s="733" t="n"/>
      <c r="AI339" s="719" t="inlineStr">
        <is>
          <t>Limit</t>
        </is>
      </c>
      <c r="AJ339" s="733" t="n"/>
      <c r="AK339" s="733" t="n"/>
      <c r="AL339" s="733" t="n"/>
      <c r="AM339" s="733" t="n"/>
      <c r="AN339" s="733" t="n"/>
      <c r="AO339" s="733" t="n"/>
      <c r="AP339" s="719" t="inlineStr">
        <is>
          <t>Pullback</t>
        </is>
      </c>
      <c r="AQ339" s="719" t="inlineStr">
        <is>
          <t>5MIN</t>
        </is>
      </c>
      <c r="AR339" s="719" t="inlineStr">
        <is>
          <t>No</t>
        </is>
      </c>
      <c r="AS339" s="733" t="n"/>
      <c r="AT339" s="733" t="n"/>
      <c r="AU339" s="733" t="n"/>
      <c r="AV339" s="733" t="n"/>
      <c r="AW339" s="719" t="inlineStr">
        <is>
          <t>trade</t>
        </is>
      </c>
      <c r="AX339" s="734" t="inlineStr">
        <is>
          <t>sig:22ff40294a18ed32dd6364e2</t>
        </is>
      </c>
    </row>
    <row r="340" ht="15" customHeight="1">
      <c r="A340" s="42" t="n"/>
      <c r="B340" s="770" t="n">
        <v>44467</v>
      </c>
      <c r="C340" s="771" t="n">
        <v>44467</v>
      </c>
      <c r="D340" s="12" t="inlineStr">
        <is>
          <t>PEPPERSTONE DEMO</t>
        </is>
      </c>
      <c r="E340" s="12" t="inlineStr">
        <is>
          <t>CASHFLOW</t>
        </is>
      </c>
      <c r="F340" s="12" t="inlineStr">
        <is>
          <t>DEPOSIT</t>
        </is>
      </c>
      <c r="G340" s="262" t="n"/>
      <c r="H340" s="262" t="n"/>
      <c r="I340" s="262" t="n"/>
      <c r="J340" s="263" t="n"/>
      <c r="K340" s="36" t="n"/>
      <c r="L340" s="263" t="n"/>
      <c r="M340" s="36" t="n"/>
      <c r="N340" s="772" t="n"/>
      <c r="O340" s="773" t="n"/>
      <c r="P340" s="3" t="n"/>
      <c r="Q340" s="51" t="n"/>
      <c r="R340" s="54" t="n">
        <v>1000</v>
      </c>
      <c r="S340" s="12" t="n"/>
      <c r="T340" s="774" t="n"/>
      <c r="U340" s="6" t="n"/>
      <c r="V340" s="264" t="n"/>
      <c r="W340" s="9" t="n"/>
      <c r="X340" s="46" t="n"/>
      <c r="Y340" s="774" t="n"/>
      <c r="Z340" s="6" t="n"/>
      <c r="AA340" s="264" t="n"/>
      <c r="AB340" s="9" t="n"/>
      <c r="AC340" s="46" t="n"/>
      <c r="AD340" s="12" t="inlineStr">
        <is>
          <t>No</t>
        </is>
      </c>
      <c r="AE340" s="45" t="n"/>
      <c r="AF340" s="45" t="n"/>
      <c r="AG340" s="45" t="n"/>
      <c r="AH340" s="45" t="n"/>
      <c r="AI340" s="12" t="n"/>
      <c r="AJ340" s="45" t="n"/>
      <c r="AK340" s="45" t="n"/>
      <c r="AL340" s="45" t="n"/>
      <c r="AM340" s="45" t="n"/>
      <c r="AN340" s="45" t="n"/>
      <c r="AO340" s="45" t="n"/>
      <c r="AP340" s="12" t="n"/>
      <c r="AQ340" s="12" t="n"/>
      <c r="AR340" s="12" t="n"/>
      <c r="AS340" s="56" t="inlineStr">
        <is>
          <t>Deposit 1000.0 AUD. Source: user_txt. Imported from account_cashflows.xlsx row 68.</t>
        </is>
      </c>
      <c r="AT340" s="45" t="n"/>
      <c r="AU340" s="12" t="n">
        <v>1000</v>
      </c>
      <c r="AV340" s="12" t="inlineStr">
        <is>
          <t>AUD</t>
        </is>
      </c>
      <c r="AW340" s="12" t="inlineStr">
        <is>
          <t>cashflow</t>
        </is>
      </c>
      <c r="AX340" s="57" t="inlineStr">
        <is>
          <t>cashflow:PEPPERSTONE DEMO:2021-09-28T00:00:00:54</t>
        </is>
      </c>
    </row>
    <row r="341" ht="15" customHeight="1">
      <c r="A341" s="737" t="inlineStr">
        <is>
          <t>C282</t>
        </is>
      </c>
      <c r="B341" s="738" t="n">
        <v>44465.27638888889</v>
      </c>
      <c r="C341" s="739" t="n">
        <v>44465.49791666667</v>
      </c>
      <c r="D341" s="740" t="inlineStr">
        <is>
          <t>BYBIT</t>
        </is>
      </c>
      <c r="E341" s="740" t="inlineStr">
        <is>
          <t>ETHUSDT</t>
        </is>
      </c>
      <c r="F341" s="740" t="inlineStr">
        <is>
          <t>SELL</t>
        </is>
      </c>
      <c r="G341" s="742" t="n">
        <v>0.11</v>
      </c>
      <c r="H341" s="742" t="n">
        <v>2937.3</v>
      </c>
      <c r="I341" s="742" t="n">
        <v>2864.38</v>
      </c>
      <c r="J341" s="743" t="n">
        <v>2949.55</v>
      </c>
      <c r="K341" s="744" t="n">
        <v>0.004170496714669934</v>
      </c>
      <c r="L341" s="743" t="n">
        <v>2864.2</v>
      </c>
      <c r="M341" s="744" t="n">
        <v>0.02488680080345908</v>
      </c>
      <c r="N341" s="745" t="n">
        <v>0.12340089</v>
      </c>
      <c r="O341" s="746" t="n">
        <v>7.89073246</v>
      </c>
      <c r="P341" s="747" t="n">
        <v>0.03064743559680998</v>
      </c>
      <c r="Q341" s="748" t="n">
        <v>5.952653061224495</v>
      </c>
      <c r="R341" s="749" t="n">
        <v>265.3586839</v>
      </c>
      <c r="S341" s="740" t="inlineStr">
        <is>
          <t>5H 19M 0S</t>
        </is>
      </c>
      <c r="T341" s="738" t="n">
        <v>44465.01388888889</v>
      </c>
      <c r="U341" s="809" t="inlineStr">
        <is>
          <t>3H 41M 52S</t>
        </is>
      </c>
      <c r="V341" s="752" t="n"/>
      <c r="W341" s="753" t="n"/>
      <c r="X341" s="754" t="n"/>
      <c r="Y341" s="738" t="n">
        <v>44465.03819444445</v>
      </c>
      <c r="Z341" s="809" t="inlineStr">
        <is>
          <t>4H 16M 52S</t>
        </is>
      </c>
      <c r="AA341" s="752" t="n"/>
      <c r="AB341" s="753" t="n"/>
      <c r="AC341" s="754" t="n"/>
      <c r="AD341" s="740" t="inlineStr">
        <is>
          <t>No</t>
        </is>
      </c>
      <c r="AE341" s="755" t="n"/>
      <c r="AF341" s="755" t="n"/>
      <c r="AG341" s="755" t="n"/>
      <c r="AH341" s="755" t="n"/>
      <c r="AI341" s="740" t="inlineStr">
        <is>
          <t>Limit</t>
        </is>
      </c>
      <c r="AJ341" s="755" t="n"/>
      <c r="AK341" s="755" t="n"/>
      <c r="AL341" s="755" t="n"/>
      <c r="AM341" s="755" t="n"/>
      <c r="AN341" s="755" t="n"/>
      <c r="AO341" s="755" t="n"/>
      <c r="AP341" s="740" t="inlineStr">
        <is>
          <t>Pullback</t>
        </is>
      </c>
      <c r="AQ341" s="740" t="inlineStr">
        <is>
          <t>5MIN</t>
        </is>
      </c>
      <c r="AR341" s="740" t="inlineStr">
        <is>
          <t>No</t>
        </is>
      </c>
      <c r="AS341" s="755" t="n"/>
      <c r="AT341" s="755" t="n"/>
      <c r="AU341" s="755" t="n"/>
      <c r="AV341" s="755" t="n"/>
      <c r="AW341" s="740" t="inlineStr">
        <is>
          <t>trade</t>
        </is>
      </c>
      <c r="AX341" s="756" t="inlineStr">
        <is>
          <t>sig:f9fffb7f6194675470745618</t>
        </is>
      </c>
    </row>
    <row r="342" ht="15" customHeight="1">
      <c r="A342" s="716" t="inlineStr">
        <is>
          <t>C281</t>
        </is>
      </c>
      <c r="B342" s="717" t="n">
        <v>44459.94305555556</v>
      </c>
      <c r="C342" s="718" t="n">
        <v>44461.30555555555</v>
      </c>
      <c r="D342" s="719" t="inlineStr">
        <is>
          <t>BYBIT</t>
        </is>
      </c>
      <c r="E342" s="719" t="inlineStr">
        <is>
          <t>SUSHIUSDT</t>
        </is>
      </c>
      <c r="F342" s="719" t="inlineStr">
        <is>
          <t>BUY</t>
        </is>
      </c>
      <c r="G342" s="720" t="n">
        <v>1.3</v>
      </c>
      <c r="H342" s="720" t="n">
        <v>10</v>
      </c>
      <c r="I342" s="720" t="n">
        <v>8.929</v>
      </c>
      <c r="J342" s="721" t="n">
        <v>8.941000000000001</v>
      </c>
      <c r="K342" s="722" t="n">
        <v>0.1058999999999999</v>
      </c>
      <c r="L342" s="721" t="n">
        <v>13.573</v>
      </c>
      <c r="M342" s="722" t="n">
        <v>0.3573000000000001</v>
      </c>
      <c r="N342" s="723" t="n">
        <v>0.0109215</v>
      </c>
      <c r="O342" s="724" t="n">
        <v>-1.40408815</v>
      </c>
      <c r="P342" s="725" t="n">
        <v>-0.005423869461621991</v>
      </c>
      <c r="Q342" s="726" t="n">
        <v>-1.011331444759207</v>
      </c>
      <c r="R342" s="727" t="n">
        <v>257.46795144</v>
      </c>
      <c r="S342" s="719" t="inlineStr">
        <is>
          <t>1D 8H 42M 0S</t>
        </is>
      </c>
      <c r="T342" s="728" t="n"/>
      <c r="U342" s="729" t="n"/>
      <c r="V342" s="730" t="n"/>
      <c r="W342" s="731" t="n"/>
      <c r="X342" s="732" t="n"/>
      <c r="Y342" s="728" t="n"/>
      <c r="Z342" s="729" t="n"/>
      <c r="AA342" s="730" t="n"/>
      <c r="AB342" s="731" t="n"/>
      <c r="AC342" s="732" t="n"/>
      <c r="AD342" s="719" t="inlineStr">
        <is>
          <t>No</t>
        </is>
      </c>
      <c r="AE342" s="733" t="n"/>
      <c r="AF342" s="733" t="n"/>
      <c r="AG342" s="733" t="n"/>
      <c r="AH342" s="719" t="n"/>
      <c r="AI342" s="719" t="inlineStr">
        <is>
          <t>Limit</t>
        </is>
      </c>
      <c r="AJ342" s="733" t="n"/>
      <c r="AK342" s="733" t="n"/>
      <c r="AL342" s="733" t="n"/>
      <c r="AM342" s="733" t="n"/>
      <c r="AN342" s="733" t="n"/>
      <c r="AO342" s="733" t="n"/>
      <c r="AP342" s="719" t="inlineStr">
        <is>
          <t>Pullback</t>
        </is>
      </c>
      <c r="AQ342" s="719" t="inlineStr">
        <is>
          <t>DAILY</t>
        </is>
      </c>
      <c r="AR342" s="719" t="inlineStr">
        <is>
          <t>No</t>
        </is>
      </c>
      <c r="AS342" s="733" t="n"/>
      <c r="AT342" s="733" t="n"/>
      <c r="AU342" s="733" t="n"/>
      <c r="AV342" s="733" t="n"/>
      <c r="AW342" s="719" t="inlineStr">
        <is>
          <t>trade</t>
        </is>
      </c>
      <c r="AX342" s="734" t="inlineStr">
        <is>
          <t>sig:38fa9d35afb8418224dbe465</t>
        </is>
      </c>
    </row>
    <row r="343" ht="15" customHeight="1">
      <c r="A343" s="716" t="inlineStr">
        <is>
          <t>C280</t>
        </is>
      </c>
      <c r="B343" s="717" t="n">
        <v>44459.93194444444</v>
      </c>
      <c r="C343" s="718" t="n">
        <v>44459.94305555556</v>
      </c>
      <c r="D343" s="719" t="inlineStr">
        <is>
          <t>BYBIT</t>
        </is>
      </c>
      <c r="E343" s="719" t="inlineStr">
        <is>
          <t>ETHUSDT</t>
        </is>
      </c>
      <c r="F343" s="719" t="inlineStr">
        <is>
          <t>BUY</t>
        </is>
      </c>
      <c r="G343" s="735" t="n">
        <v>0.03</v>
      </c>
      <c r="H343" s="720" t="n">
        <v>3000</v>
      </c>
      <c r="I343" s="720" t="n">
        <v>2943.45</v>
      </c>
      <c r="J343" s="721" t="n">
        <v>2943.65</v>
      </c>
      <c r="K343" s="722" t="n">
        <v>0.0187833333333333</v>
      </c>
      <c r="L343" s="721" t="n">
        <v>3269.3</v>
      </c>
      <c r="M343" s="722" t="n">
        <v>0.08976666666666673</v>
      </c>
      <c r="N343" s="723" t="n">
        <v>0.04372763</v>
      </c>
      <c r="O343" s="724" t="n">
        <v>-1.74109428</v>
      </c>
      <c r="P343" s="725" t="n">
        <v>-0.00668076184091512</v>
      </c>
      <c r="Q343" s="726" t="n">
        <v>-1.003549245785275</v>
      </c>
      <c r="R343" s="727" t="n">
        <v>258.87203959</v>
      </c>
      <c r="S343" s="719" t="inlineStr">
        <is>
          <t>16M 0S</t>
        </is>
      </c>
      <c r="T343" s="728" t="n"/>
      <c r="U343" s="729" t="n"/>
      <c r="V343" s="730" t="n"/>
      <c r="W343" s="731" t="n"/>
      <c r="X343" s="732" t="n"/>
      <c r="Y343" s="728" t="n"/>
      <c r="Z343" s="729" t="n"/>
      <c r="AA343" s="730" t="n"/>
      <c r="AB343" s="731" t="n"/>
      <c r="AC343" s="732" t="n"/>
      <c r="AD343" s="719" t="inlineStr">
        <is>
          <t>No</t>
        </is>
      </c>
      <c r="AE343" s="733" t="n"/>
      <c r="AF343" s="733" t="n"/>
      <c r="AG343" s="733" t="n"/>
      <c r="AH343" s="719" t="n"/>
      <c r="AI343" s="719" t="inlineStr">
        <is>
          <t>Limit</t>
        </is>
      </c>
      <c r="AJ343" s="733" t="n"/>
      <c r="AK343" s="733" t="n"/>
      <c r="AL343" s="733" t="n"/>
      <c r="AM343" s="733" t="n"/>
      <c r="AN343" s="733" t="n"/>
      <c r="AO343" s="733" t="n"/>
      <c r="AP343" s="719" t="inlineStr">
        <is>
          <t>Pullback</t>
        </is>
      </c>
      <c r="AQ343" s="719" t="inlineStr">
        <is>
          <t>DAILY</t>
        </is>
      </c>
      <c r="AR343" s="719" t="inlineStr">
        <is>
          <t>No</t>
        </is>
      </c>
      <c r="AS343" s="733" t="n"/>
      <c r="AT343" s="733" t="n"/>
      <c r="AU343" s="733" t="n"/>
      <c r="AV343" s="733" t="n"/>
      <c r="AW343" s="719" t="inlineStr">
        <is>
          <t>trade</t>
        </is>
      </c>
      <c r="AX343" s="734" t="inlineStr">
        <is>
          <t>sig:b2d6073eb3f5003ee6959666</t>
        </is>
      </c>
    </row>
    <row r="344" ht="15" customHeight="1">
      <c r="A344" s="716" t="inlineStr">
        <is>
          <t>F873</t>
        </is>
      </c>
      <c r="B344" s="717" t="n">
        <v>44453.75138888889</v>
      </c>
      <c r="C344" s="718" t="n">
        <v>44459.29236111111</v>
      </c>
      <c r="D344" s="719" t="inlineStr">
        <is>
          <t>PEPPERSTONE LIVE</t>
        </is>
      </c>
      <c r="E344" s="719" t="inlineStr">
        <is>
          <t>GBPCHF</t>
        </is>
      </c>
      <c r="F344" s="719" t="inlineStr">
        <is>
          <t>SELL</t>
        </is>
      </c>
      <c r="G344" s="735" t="n">
        <v>0.01</v>
      </c>
      <c r="H344" s="720" t="n">
        <v>1.27934</v>
      </c>
      <c r="I344" s="720" t="n">
        <v>1.2836</v>
      </c>
      <c r="J344" s="721" t="n">
        <v>1.28293</v>
      </c>
      <c r="K344" s="722" t="n">
        <v>0.002806134413056719</v>
      </c>
      <c r="L344" s="721" t="n">
        <v>1.26523</v>
      </c>
      <c r="M344" s="722" t="n">
        <v>0.01102912439226464</v>
      </c>
      <c r="N344" s="761" t="n">
        <v>0.58</v>
      </c>
      <c r="O344" s="762" t="n">
        <v>-6.87</v>
      </c>
      <c r="P344" s="725" t="n">
        <v>-0.0162219598583235</v>
      </c>
      <c r="Q344" s="726" t="n">
        <v>-1.186629526462444</v>
      </c>
      <c r="R344" s="764" t="n">
        <v>416.6299999999999</v>
      </c>
      <c r="S344" s="719" t="inlineStr">
        <is>
          <t>5D 12H 59M 0S</t>
        </is>
      </c>
      <c r="T344" s="728" t="n"/>
      <c r="U344" s="729" t="n"/>
      <c r="V344" s="730" t="n"/>
      <c r="W344" s="731" t="n"/>
      <c r="X344" s="732" t="n"/>
      <c r="Y344" s="728" t="n"/>
      <c r="Z344" s="729" t="n"/>
      <c r="AA344" s="730" t="n"/>
      <c r="AB344" s="731" t="n"/>
      <c r="AC344" s="732" t="n"/>
      <c r="AD344" s="719" t="inlineStr">
        <is>
          <t>No</t>
        </is>
      </c>
      <c r="AE344" s="733" t="n"/>
      <c r="AF344" s="733" t="n"/>
      <c r="AG344" s="733" t="n"/>
      <c r="AH344" s="733" t="n"/>
      <c r="AI344" s="719" t="inlineStr">
        <is>
          <t>Limit</t>
        </is>
      </c>
      <c r="AJ344" s="733" t="n"/>
      <c r="AK344" s="733" t="n"/>
      <c r="AL344" s="733" t="n"/>
      <c r="AM344" s="733" t="n"/>
      <c r="AN344" s="733" t="n"/>
      <c r="AO344" s="733" t="n"/>
      <c r="AP344" s="719" t="inlineStr">
        <is>
          <t>Pullback</t>
        </is>
      </c>
      <c r="AQ344" s="719" t="inlineStr">
        <is>
          <t>DAILY</t>
        </is>
      </c>
      <c r="AR344" s="719" t="inlineStr">
        <is>
          <t>No</t>
        </is>
      </c>
      <c r="AS344" s="733" t="n"/>
      <c r="AT344" s="733" t="n"/>
      <c r="AU344" s="733" t="n"/>
      <c r="AV344" s="733" t="n"/>
      <c r="AW344" s="719" t="inlineStr">
        <is>
          <t>trade</t>
        </is>
      </c>
      <c r="AX344" s="734" t="inlineStr">
        <is>
          <t>sig:7e4949f63e523725ccf1abe7</t>
        </is>
      </c>
    </row>
    <row r="345" ht="15" customHeight="1">
      <c r="A345" s="716" t="inlineStr">
        <is>
          <t>C279</t>
        </is>
      </c>
      <c r="B345" s="717" t="n">
        <v>44456.26944444444</v>
      </c>
      <c r="C345" s="718" t="n">
        <v>44456.79930555556</v>
      </c>
      <c r="D345" s="719" t="inlineStr">
        <is>
          <t>BYBIT</t>
        </is>
      </c>
      <c r="E345" s="719" t="inlineStr">
        <is>
          <t>SOLUSDT</t>
        </is>
      </c>
      <c r="F345" s="719" t="inlineStr">
        <is>
          <t>BUY</t>
        </is>
      </c>
      <c r="G345" s="720" t="n">
        <v>0.2</v>
      </c>
      <c r="H345" s="720" t="n">
        <v>148.97</v>
      </c>
      <c r="I345" s="720" t="n">
        <v>141.115</v>
      </c>
      <c r="J345" s="721" t="n">
        <v>141.16</v>
      </c>
      <c r="K345" s="722" t="n">
        <v>0.05242666308652751</v>
      </c>
      <c r="L345" s="721" t="n">
        <v>191.57</v>
      </c>
      <c r="M345" s="722" t="n">
        <v>0.2859636168356045</v>
      </c>
      <c r="N345" s="723" t="n">
        <v>0.06869355000000001</v>
      </c>
      <c r="O345" s="724" t="n">
        <v>-1.6405602</v>
      </c>
      <c r="P345" s="725" t="n">
        <v>-0.006255622845724744</v>
      </c>
      <c r="Q345" s="726" t="n">
        <v>-1.005761843790011</v>
      </c>
      <c r="R345" s="727" t="n">
        <v>260.61313387</v>
      </c>
      <c r="S345" s="719" t="inlineStr">
        <is>
          <t>12H 43M 0S</t>
        </is>
      </c>
      <c r="T345" s="717" t="n"/>
      <c r="U345" s="806" t="n"/>
      <c r="V345" s="730" t="n"/>
      <c r="W345" s="731" t="n"/>
      <c r="X345" s="732" t="n"/>
      <c r="Y345" s="728" t="n"/>
      <c r="Z345" s="729" t="n"/>
      <c r="AA345" s="730" t="n"/>
      <c r="AB345" s="731" t="n"/>
      <c r="AC345" s="732" t="n"/>
      <c r="AD345" s="719" t="inlineStr">
        <is>
          <t>No</t>
        </is>
      </c>
      <c r="AE345" s="733" t="n"/>
      <c r="AF345" s="733" t="n"/>
      <c r="AG345" s="733" t="n"/>
      <c r="AH345" s="719" t="inlineStr">
        <is>
          <t>All-Time High</t>
        </is>
      </c>
      <c r="AI345" s="719" t="inlineStr">
        <is>
          <t>Limit</t>
        </is>
      </c>
      <c r="AJ345" s="733" t="n"/>
      <c r="AK345" s="733" t="n"/>
      <c r="AL345" s="733" t="n"/>
      <c r="AM345" s="733" t="n"/>
      <c r="AN345" s="733" t="n"/>
      <c r="AO345" s="733" t="n"/>
      <c r="AP345" s="719" t="inlineStr">
        <is>
          <t>Pullback</t>
        </is>
      </c>
      <c r="AQ345" s="719" t="inlineStr">
        <is>
          <t>DAILY</t>
        </is>
      </c>
      <c r="AR345" s="719" t="inlineStr">
        <is>
          <t>No</t>
        </is>
      </c>
      <c r="AS345" s="733" t="n"/>
      <c r="AT345" s="733" t="n"/>
      <c r="AU345" s="733" t="n"/>
      <c r="AV345" s="733" t="n"/>
      <c r="AW345" s="719" t="inlineStr">
        <is>
          <t>trade</t>
        </is>
      </c>
      <c r="AX345" s="734" t="inlineStr">
        <is>
          <t>sig:2bf548d551e7e234079e9333</t>
        </is>
      </c>
    </row>
    <row r="346" ht="15" customHeight="1">
      <c r="A346" s="716" t="inlineStr">
        <is>
          <t>C278</t>
        </is>
      </c>
      <c r="B346" s="717" t="n">
        <v>44455.85625</v>
      </c>
      <c r="C346" s="718" t="n">
        <v>44456</v>
      </c>
      <c r="D346" s="719" t="inlineStr">
        <is>
          <t>BYBIT</t>
        </is>
      </c>
      <c r="E346" s="719" t="inlineStr">
        <is>
          <t>ETHUSDT</t>
        </is>
      </c>
      <c r="F346" s="719" t="inlineStr">
        <is>
          <t>BUY</t>
        </is>
      </c>
      <c r="G346" s="735" t="n">
        <v>0.06</v>
      </c>
      <c r="H346" s="720" t="n">
        <v>3572.35</v>
      </c>
      <c r="I346" s="720" t="n">
        <v>3546.55</v>
      </c>
      <c r="J346" s="721" t="n">
        <v>3549.65</v>
      </c>
      <c r="K346" s="722" t="n">
        <v>0.006354360574971607</v>
      </c>
      <c r="L346" s="721" t="n">
        <v>3708.65</v>
      </c>
      <c r="M346" s="722" t="n">
        <v>0.03815415622769331</v>
      </c>
      <c r="N346" s="758" t="n">
        <v>0.1060095</v>
      </c>
      <c r="O346" s="724" t="n">
        <v>-1.65487615</v>
      </c>
      <c r="P346" s="725" t="n">
        <v>-0.006270641944747981</v>
      </c>
      <c r="Q346" s="726" t="n">
        <v>-1.136563876651979</v>
      </c>
      <c r="R346" s="727" t="n">
        <v>262.25369407</v>
      </c>
      <c r="S346" s="719" t="inlineStr">
        <is>
          <t>3H 27M 0S</t>
        </is>
      </c>
      <c r="T346" s="728" t="n"/>
      <c r="U346" s="729" t="n"/>
      <c r="V346" s="730" t="n"/>
      <c r="W346" s="731" t="n"/>
      <c r="X346" s="732" t="n"/>
      <c r="Y346" s="728" t="n"/>
      <c r="Z346" s="729" t="n"/>
      <c r="AA346" s="730" t="n"/>
      <c r="AB346" s="731" t="n"/>
      <c r="AC346" s="732" t="n"/>
      <c r="AD346" s="719" t="inlineStr">
        <is>
          <t>No</t>
        </is>
      </c>
      <c r="AE346" s="733" t="n"/>
      <c r="AF346" s="733" t="n"/>
      <c r="AG346" s="733" t="n"/>
      <c r="AH346" s="733" t="n"/>
      <c r="AI346" s="719" t="inlineStr">
        <is>
          <t>Limit</t>
        </is>
      </c>
      <c r="AJ346" s="733" t="n"/>
      <c r="AK346" s="733" t="n"/>
      <c r="AL346" s="733" t="n"/>
      <c r="AM346" s="733" t="n"/>
      <c r="AN346" s="733" t="n"/>
      <c r="AO346" s="733" t="n"/>
      <c r="AP346" s="719" t="inlineStr">
        <is>
          <t>Pullback</t>
        </is>
      </c>
      <c r="AQ346" s="719" t="inlineStr">
        <is>
          <t>1H</t>
        </is>
      </c>
      <c r="AR346" s="719" t="inlineStr">
        <is>
          <t>No</t>
        </is>
      </c>
      <c r="AS346" s="733" t="n"/>
      <c r="AT346" s="733" t="n"/>
      <c r="AU346" s="733" t="n"/>
      <c r="AV346" s="733" t="n"/>
      <c r="AW346" s="719" t="inlineStr">
        <is>
          <t>trade</t>
        </is>
      </c>
      <c r="AX346" s="734" t="inlineStr">
        <is>
          <t>sig:f6e761f844bc81f5904f7204</t>
        </is>
      </c>
    </row>
    <row r="347" ht="15" customHeight="1">
      <c r="A347" s="716" t="inlineStr">
        <is>
          <t>C277</t>
        </is>
      </c>
      <c r="B347" s="717" t="n">
        <v>44455.66458333333</v>
      </c>
      <c r="C347" s="718" t="n">
        <v>44455.75277777778</v>
      </c>
      <c r="D347" s="719" t="inlineStr">
        <is>
          <t>BYBIT</t>
        </is>
      </c>
      <c r="E347" s="719" t="inlineStr">
        <is>
          <t>ETHUSDT</t>
        </is>
      </c>
      <c r="F347" s="719" t="inlineStr">
        <is>
          <t>BUY</t>
        </is>
      </c>
      <c r="G347" s="735" t="n">
        <v>0.09</v>
      </c>
      <c r="H347" s="720" t="n">
        <v>3631.75</v>
      </c>
      <c r="I347" s="720" t="n">
        <v>3616.5</v>
      </c>
      <c r="J347" s="721" t="n">
        <v>3617</v>
      </c>
      <c r="K347" s="722" t="n">
        <v>0.004061402904935637</v>
      </c>
      <c r="L347" s="721" t="n">
        <v>3710.35</v>
      </c>
      <c r="M347" s="722" t="n">
        <v>0.0216424588696909</v>
      </c>
      <c r="N347" s="758" t="n">
        <v>0.19510673</v>
      </c>
      <c r="O347" s="724" t="n">
        <v>-1.56847338</v>
      </c>
      <c r="P347" s="725" t="n">
        <v>-0.005908131862291086</v>
      </c>
      <c r="Q347" s="726" t="n">
        <v>-1.033898305084746</v>
      </c>
      <c r="R347" s="727" t="n">
        <v>263.90857022</v>
      </c>
      <c r="S347" s="719" t="inlineStr">
        <is>
          <t>2H 7M 0S</t>
        </is>
      </c>
      <c r="T347" s="728" t="n"/>
      <c r="U347" s="729" t="n"/>
      <c r="V347" s="730" t="n"/>
      <c r="W347" s="731" t="n"/>
      <c r="X347" s="732" t="n"/>
      <c r="Y347" s="728" t="n"/>
      <c r="Z347" s="729" t="n"/>
      <c r="AA347" s="730" t="n"/>
      <c r="AB347" s="731" t="n"/>
      <c r="AC347" s="732" t="n"/>
      <c r="AD347" s="719" t="inlineStr">
        <is>
          <t>No</t>
        </is>
      </c>
      <c r="AE347" s="733" t="n"/>
      <c r="AF347" s="733" t="n"/>
      <c r="AG347" s="733" t="n"/>
      <c r="AH347" s="733" t="n"/>
      <c r="AI347" s="719" t="inlineStr">
        <is>
          <t>Limit</t>
        </is>
      </c>
      <c r="AJ347" s="733" t="n"/>
      <c r="AK347" s="733" t="n"/>
      <c r="AL347" s="733" t="n"/>
      <c r="AM347" s="733" t="n"/>
      <c r="AN347" s="733" t="n"/>
      <c r="AO347" s="733" t="n"/>
      <c r="AP347" s="719" t="inlineStr">
        <is>
          <t>Pullback</t>
        </is>
      </c>
      <c r="AQ347" s="719" t="inlineStr">
        <is>
          <t>15MIN</t>
        </is>
      </c>
      <c r="AR347" s="719" t="inlineStr">
        <is>
          <t>No</t>
        </is>
      </c>
      <c r="AS347" s="733" t="n"/>
      <c r="AT347" s="733" t="n"/>
      <c r="AU347" s="733" t="n"/>
      <c r="AV347" s="733" t="n"/>
      <c r="AW347" s="719" t="inlineStr">
        <is>
          <t>trade</t>
        </is>
      </c>
      <c r="AX347" s="734" t="inlineStr">
        <is>
          <t>sig:640df7ffbf2890febfcd1899</t>
        </is>
      </c>
    </row>
    <row r="348" ht="15" customHeight="1">
      <c r="A348" s="716" t="inlineStr">
        <is>
          <t>F874</t>
        </is>
      </c>
      <c r="B348" s="717" t="n">
        <v>44454.78263888889</v>
      </c>
      <c r="C348" s="718" t="n">
        <v>44455.73541666667</v>
      </c>
      <c r="D348" s="719" t="inlineStr">
        <is>
          <t>PEPPERSTONE LIVE</t>
        </is>
      </c>
      <c r="E348" s="719" t="inlineStr">
        <is>
          <t>CHFJPY</t>
        </is>
      </c>
      <c r="F348" s="719" t="inlineStr">
        <is>
          <t>BUY</t>
        </is>
      </c>
      <c r="G348" s="735" t="n">
        <v>0.01</v>
      </c>
      <c r="H348" s="720" t="n">
        <v>118.999</v>
      </c>
      <c r="I348" s="720" t="n">
        <v>118.598</v>
      </c>
      <c r="J348" s="721" t="n">
        <v>118.6</v>
      </c>
      <c r="K348" s="722" t="n">
        <v>0.003352969352683644</v>
      </c>
      <c r="L348" s="721" t="n">
        <v>120.583</v>
      </c>
      <c r="M348" s="722" t="n">
        <v>0.01331103622719521</v>
      </c>
      <c r="N348" s="761" t="n">
        <v>0.15</v>
      </c>
      <c r="O348" s="762" t="n">
        <v>-5.17</v>
      </c>
      <c r="P348" s="725" t="n">
        <v>-0.01206055940467026</v>
      </c>
      <c r="Q348" s="726" t="n">
        <v>-1.005012531328309</v>
      </c>
      <c r="R348" s="764" t="n">
        <v>423.4999999999999</v>
      </c>
      <c r="S348" s="719" t="inlineStr">
        <is>
          <t>22H 52M 0S</t>
        </is>
      </c>
      <c r="T348" s="728" t="n"/>
      <c r="U348" s="729" t="n"/>
      <c r="V348" s="730" t="n"/>
      <c r="W348" s="731" t="n"/>
      <c r="X348" s="732" t="n"/>
      <c r="Y348" s="728" t="n"/>
      <c r="Z348" s="729" t="n"/>
      <c r="AA348" s="730" t="n"/>
      <c r="AB348" s="731" t="n"/>
      <c r="AC348" s="732" t="n"/>
      <c r="AD348" s="719" t="inlineStr">
        <is>
          <t>No</t>
        </is>
      </c>
      <c r="AE348" s="733" t="n"/>
      <c r="AF348" s="733" t="n"/>
      <c r="AG348" s="733" t="n"/>
      <c r="AH348" s="733" t="n"/>
      <c r="AI348" s="719" t="inlineStr">
        <is>
          <t>Limit</t>
        </is>
      </c>
      <c r="AJ348" s="733" t="n"/>
      <c r="AK348" s="733" t="n"/>
      <c r="AL348" s="733" t="n"/>
      <c r="AM348" s="733" t="n"/>
      <c r="AN348" s="733" t="n"/>
      <c r="AO348" s="733" t="n"/>
      <c r="AP348" s="719" t="inlineStr">
        <is>
          <t>Pullback</t>
        </is>
      </c>
      <c r="AQ348" s="719" t="inlineStr">
        <is>
          <t>DAILY</t>
        </is>
      </c>
      <c r="AR348" s="719" t="inlineStr">
        <is>
          <t>No</t>
        </is>
      </c>
      <c r="AS348" s="733" t="n"/>
      <c r="AT348" s="733" t="n"/>
      <c r="AU348" s="733" t="n"/>
      <c r="AV348" s="733" t="n"/>
      <c r="AW348" s="719" t="inlineStr">
        <is>
          <t>trade</t>
        </is>
      </c>
      <c r="AX348" s="734" t="inlineStr">
        <is>
          <t>sig:1b06236fe2d6e8539cc0e7af</t>
        </is>
      </c>
    </row>
    <row r="349" ht="15" customHeight="1">
      <c r="A349" s="716" t="inlineStr">
        <is>
          <t>C276</t>
        </is>
      </c>
      <c r="B349" s="717" t="n">
        <v>44453.87986111111</v>
      </c>
      <c r="C349" s="718" t="n">
        <v>44453.92847222222</v>
      </c>
      <c r="D349" s="719" t="inlineStr">
        <is>
          <t>BYBIT</t>
        </is>
      </c>
      <c r="E349" s="719" t="inlineStr">
        <is>
          <t>SOLUSDT</t>
        </is>
      </c>
      <c r="F349" s="719" t="inlineStr">
        <is>
          <t>BUY</t>
        </is>
      </c>
      <c r="G349" s="720" t="n">
        <v>0.3</v>
      </c>
      <c r="H349" s="720" t="n">
        <v>167.625</v>
      </c>
      <c r="I349" s="720" t="n">
        <v>162.05</v>
      </c>
      <c r="J349" s="721" t="n">
        <v>162.27</v>
      </c>
      <c r="K349" s="722" t="n">
        <v>0.03194630872483215</v>
      </c>
      <c r="L349" s="721" t="n">
        <v>195.625</v>
      </c>
      <c r="M349" s="722" t="n">
        <v>0.1670395227442207</v>
      </c>
      <c r="N349" s="723" t="n">
        <v>0.07417688</v>
      </c>
      <c r="O349" s="724" t="n">
        <v>-1.74754353</v>
      </c>
      <c r="P349" s="725" t="n">
        <v>-0.00653960606233382</v>
      </c>
      <c r="Q349" s="726" t="n">
        <v>-1.041083099906629</v>
      </c>
      <c r="R349" s="727" t="n">
        <v>265.4770436</v>
      </c>
      <c r="S349" s="719" t="inlineStr">
        <is>
          <t>1H 10M 0S</t>
        </is>
      </c>
      <c r="T349" s="728" t="n"/>
      <c r="U349" s="729" t="n"/>
      <c r="V349" s="730" t="n"/>
      <c r="W349" s="731" t="n"/>
      <c r="X349" s="732" t="n"/>
      <c r="Y349" s="728" t="n"/>
      <c r="Z349" s="729" t="n"/>
      <c r="AA349" s="730" t="n"/>
      <c r="AB349" s="731" t="n"/>
      <c r="AC349" s="732" t="n"/>
      <c r="AD349" s="719" t="inlineStr">
        <is>
          <t>No</t>
        </is>
      </c>
      <c r="AE349" s="733" t="n"/>
      <c r="AF349" s="733" t="n"/>
      <c r="AG349" s="733" t="n"/>
      <c r="AH349" s="733" t="n"/>
      <c r="AI349" s="719" t="inlineStr">
        <is>
          <t>Market</t>
        </is>
      </c>
      <c r="AJ349" s="733" t="n"/>
      <c r="AK349" s="733" t="n"/>
      <c r="AL349" s="733" t="n"/>
      <c r="AM349" s="733" t="n"/>
      <c r="AN349" s="733" t="n"/>
      <c r="AO349" s="733" t="n"/>
      <c r="AP349" s="719" t="inlineStr">
        <is>
          <t>Pullback</t>
        </is>
      </c>
      <c r="AQ349" s="719" t="inlineStr">
        <is>
          <t>DAILY</t>
        </is>
      </c>
      <c r="AR349" s="719" t="inlineStr">
        <is>
          <t>No</t>
        </is>
      </c>
      <c r="AS349" s="733" t="n"/>
      <c r="AT349" s="733" t="n"/>
      <c r="AU349" s="733" t="n"/>
      <c r="AV349" s="733" t="n"/>
      <c r="AW349" s="719" t="inlineStr">
        <is>
          <t>trade</t>
        </is>
      </c>
      <c r="AX349" s="734" t="inlineStr">
        <is>
          <t>sig:6c87cfa6666771515a2135ed</t>
        </is>
      </c>
    </row>
    <row r="350" ht="15" customHeight="1">
      <c r="A350" s="716" t="inlineStr">
        <is>
          <t>C275</t>
        </is>
      </c>
      <c r="B350" s="717" t="n">
        <v>44452.44583333333</v>
      </c>
      <c r="C350" s="718" t="n">
        <v>44452.50902777778</v>
      </c>
      <c r="D350" s="719" t="inlineStr">
        <is>
          <t>BYBIT</t>
        </is>
      </c>
      <c r="E350" s="719" t="inlineStr">
        <is>
          <t>SOLUSDT</t>
        </is>
      </c>
      <c r="F350" s="719" t="inlineStr">
        <is>
          <t>BUY</t>
        </is>
      </c>
      <c r="G350" s="720" t="n">
        <v>0.2</v>
      </c>
      <c r="H350" s="720" t="n">
        <v>168.04</v>
      </c>
      <c r="I350" s="720" t="n">
        <v>159.52</v>
      </c>
      <c r="J350" s="721" t="n">
        <v>159.275</v>
      </c>
      <c r="K350" s="722" t="n">
        <v>0.05216019995239221</v>
      </c>
      <c r="L350" s="721" t="n">
        <v>194.185</v>
      </c>
      <c r="M350" s="722" t="n">
        <v>0.1555879552487504</v>
      </c>
      <c r="N350" s="723" t="n">
        <v>0.015526</v>
      </c>
      <c r="O350" s="724" t="n">
        <v>-1.72039265</v>
      </c>
      <c r="P350" s="725" t="n">
        <v>-0.006396820090887365</v>
      </c>
      <c r="Q350" s="726" t="n">
        <v>-0.972047917855105</v>
      </c>
      <c r="R350" s="727" t="n">
        <v>267.22458713</v>
      </c>
      <c r="S350" s="719" t="inlineStr">
        <is>
          <t>1H 31M 0S</t>
        </is>
      </c>
      <c r="T350" s="728" t="n"/>
      <c r="U350" s="729" t="n"/>
      <c r="V350" s="730" t="n"/>
      <c r="W350" s="731" t="n"/>
      <c r="X350" s="732" t="n"/>
      <c r="Y350" s="728" t="n"/>
      <c r="Z350" s="729" t="n"/>
      <c r="AA350" s="730" t="n"/>
      <c r="AB350" s="731" t="n"/>
      <c r="AC350" s="732" t="n"/>
      <c r="AD350" s="719" t="inlineStr">
        <is>
          <t>No</t>
        </is>
      </c>
      <c r="AE350" s="733" t="n"/>
      <c r="AF350" s="733" t="n"/>
      <c r="AG350" s="733" t="n"/>
      <c r="AH350" s="719" t="inlineStr">
        <is>
          <t>All-Time High</t>
        </is>
      </c>
      <c r="AI350" s="719" t="inlineStr">
        <is>
          <t>Limit</t>
        </is>
      </c>
      <c r="AJ350" s="733" t="n"/>
      <c r="AK350" s="733" t="n"/>
      <c r="AL350" s="733" t="n"/>
      <c r="AM350" s="733" t="n"/>
      <c r="AN350" s="733" t="n"/>
      <c r="AO350" s="733" t="n"/>
      <c r="AP350" s="719" t="inlineStr">
        <is>
          <t>Pullback</t>
        </is>
      </c>
      <c r="AQ350" s="719" t="inlineStr">
        <is>
          <t>DAILY</t>
        </is>
      </c>
      <c r="AR350" s="719" t="inlineStr">
        <is>
          <t>No</t>
        </is>
      </c>
      <c r="AS350" s="733" t="n"/>
      <c r="AT350" s="733" t="n"/>
      <c r="AU350" s="733" t="n"/>
      <c r="AV350" s="733" t="n"/>
      <c r="AW350" s="719" t="inlineStr">
        <is>
          <t>trade</t>
        </is>
      </c>
      <c r="AX350" s="734" t="inlineStr">
        <is>
          <t>sig:09d445396ab570b11a405186</t>
        </is>
      </c>
    </row>
    <row r="351" ht="15" customHeight="1">
      <c r="A351" s="716" t="inlineStr">
        <is>
          <t>C274</t>
        </is>
      </c>
      <c r="B351" s="717" t="n">
        <v>44448.93680555555</v>
      </c>
      <c r="C351" s="718" t="n">
        <v>44449.175</v>
      </c>
      <c r="D351" s="719" t="inlineStr">
        <is>
          <t>BYBIT</t>
        </is>
      </c>
      <c r="E351" s="719" t="inlineStr">
        <is>
          <t>SOLUSDT</t>
        </is>
      </c>
      <c r="F351" s="719" t="inlineStr">
        <is>
          <t>BUY</t>
        </is>
      </c>
      <c r="G351" s="720" t="n">
        <v>0.3</v>
      </c>
      <c r="H351" s="720" t="n">
        <v>193.62</v>
      </c>
      <c r="I351" s="720" t="n">
        <v>188.11</v>
      </c>
      <c r="J351" s="721" t="n">
        <v>188.21</v>
      </c>
      <c r="K351" s="722" t="n">
        <v>0.02794132837516784</v>
      </c>
      <c r="L351" s="721" t="n">
        <v>213.39</v>
      </c>
      <c r="M351" s="722" t="n">
        <v>0.1021072203284784</v>
      </c>
      <c r="N351" s="723" t="n">
        <v>0.03431965</v>
      </c>
      <c r="O351" s="724" t="n">
        <v>-1.6881863</v>
      </c>
      <c r="P351" s="725" t="n">
        <v>-0.00623791357302071</v>
      </c>
      <c r="Q351" s="726" t="n">
        <v>-1.018484288354897</v>
      </c>
      <c r="R351" s="727" t="n">
        <v>268.94497978</v>
      </c>
      <c r="S351" s="719" t="inlineStr">
        <is>
          <t>5H 43M 0S</t>
        </is>
      </c>
      <c r="T351" s="728" t="n"/>
      <c r="U351" s="729" t="n"/>
      <c r="V351" s="730" t="n"/>
      <c r="W351" s="731" t="n"/>
      <c r="X351" s="732" t="n"/>
      <c r="Y351" s="728" t="n"/>
      <c r="Z351" s="729" t="n"/>
      <c r="AA351" s="730" t="n"/>
      <c r="AB351" s="731" t="n"/>
      <c r="AC351" s="732" t="n"/>
      <c r="AD351" s="719" t="inlineStr">
        <is>
          <t>No</t>
        </is>
      </c>
      <c r="AE351" s="733" t="n"/>
      <c r="AF351" s="733" t="n"/>
      <c r="AG351" s="733" t="n"/>
      <c r="AH351" s="719" t="inlineStr">
        <is>
          <t>All-Time High</t>
        </is>
      </c>
      <c r="AI351" s="719" t="inlineStr">
        <is>
          <t>Limit</t>
        </is>
      </c>
      <c r="AJ351" s="733" t="n"/>
      <c r="AK351" s="733" t="n"/>
      <c r="AL351" s="733" t="n"/>
      <c r="AM351" s="733" t="n"/>
      <c r="AN351" s="733" t="n"/>
      <c r="AO351" s="733" t="n"/>
      <c r="AP351" s="719" t="inlineStr">
        <is>
          <t>Pullback</t>
        </is>
      </c>
      <c r="AQ351" s="719" t="inlineStr">
        <is>
          <t>4H</t>
        </is>
      </c>
      <c r="AR351" s="719" t="inlineStr">
        <is>
          <t>No</t>
        </is>
      </c>
      <c r="AS351" s="733" t="n"/>
      <c r="AT351" s="733" t="n"/>
      <c r="AU351" s="733" t="n"/>
      <c r="AV351" s="733" t="n"/>
      <c r="AW351" s="719" t="inlineStr">
        <is>
          <t>trade</t>
        </is>
      </c>
      <c r="AX351" s="734" t="inlineStr">
        <is>
          <t>sig:675fc5ffee335bfd89842a89</t>
        </is>
      </c>
    </row>
    <row r="352" ht="15" customHeight="1">
      <c r="A352" s="716" t="inlineStr">
        <is>
          <t>F872</t>
        </is>
      </c>
      <c r="B352" s="717" t="n">
        <v>44448.94305555556</v>
      </c>
      <c r="C352" s="718" t="n">
        <v>44448.94861111111</v>
      </c>
      <c r="D352" s="719" t="inlineStr">
        <is>
          <t>PEPPERSTONE LIVE</t>
        </is>
      </c>
      <c r="E352" s="719" t="inlineStr">
        <is>
          <t>EURGBP</t>
        </is>
      </c>
      <c r="F352" s="719" t="inlineStr">
        <is>
          <t>BUY</t>
        </is>
      </c>
      <c r="G352" s="735" t="n">
        <v>0.02</v>
      </c>
      <c r="H352" s="720" t="n">
        <v>0.85523</v>
      </c>
      <c r="I352" s="720" t="n">
        <v>0.85416</v>
      </c>
      <c r="J352" s="721" t="n">
        <v>0.85416</v>
      </c>
      <c r="K352" s="722" t="n">
        <v>0.00125112542824739</v>
      </c>
      <c r="L352" s="721" t="n">
        <v>0.8587399999999999</v>
      </c>
      <c r="M352" s="722" t="n">
        <v>0.004104159115091732</v>
      </c>
      <c r="N352" s="761" t="n"/>
      <c r="O352" s="762" t="n">
        <v>-4.02</v>
      </c>
      <c r="P352" s="725" t="n">
        <v>-0.009290716217153158</v>
      </c>
      <c r="Q352" s="726" t="n">
        <v>-1</v>
      </c>
      <c r="R352" s="764" t="n">
        <v>428.67</v>
      </c>
      <c r="S352" s="719" t="inlineStr">
        <is>
          <t>8M 0S</t>
        </is>
      </c>
      <c r="T352" s="728" t="n"/>
      <c r="U352" s="729" t="n"/>
      <c r="V352" s="730" t="n"/>
      <c r="W352" s="731" t="n"/>
      <c r="X352" s="732" t="n"/>
      <c r="Y352" s="728" t="n"/>
      <c r="Z352" s="729" t="n"/>
      <c r="AA352" s="730" t="n"/>
      <c r="AB352" s="731" t="n"/>
      <c r="AC352" s="732" t="n"/>
      <c r="AD352" s="719" t="inlineStr">
        <is>
          <t>No</t>
        </is>
      </c>
      <c r="AE352" s="733" t="n"/>
      <c r="AF352" s="733" t="n"/>
      <c r="AG352" s="733" t="n"/>
      <c r="AH352" s="733" t="n"/>
      <c r="AI352" s="719" t="inlineStr">
        <is>
          <t>Limit</t>
        </is>
      </c>
      <c r="AJ352" s="733" t="n"/>
      <c r="AK352" s="733" t="n"/>
      <c r="AL352" s="733" t="n"/>
      <c r="AM352" s="733" t="n"/>
      <c r="AN352" s="733" t="n"/>
      <c r="AO352" s="733" t="n"/>
      <c r="AP352" s="719" t="inlineStr">
        <is>
          <t>Pullback</t>
        </is>
      </c>
      <c r="AQ352" s="719" t="inlineStr">
        <is>
          <t>4H</t>
        </is>
      </c>
      <c r="AR352" s="719" t="inlineStr">
        <is>
          <t>No</t>
        </is>
      </c>
      <c r="AS352" s="733" t="n"/>
      <c r="AT352" s="733" t="n"/>
      <c r="AU352" s="733" t="n"/>
      <c r="AV352" s="733" t="n"/>
      <c r="AW352" s="719" t="inlineStr">
        <is>
          <t>trade</t>
        </is>
      </c>
      <c r="AX352" s="734" t="inlineStr">
        <is>
          <t>sig:34a6fb982284126595dec6e0</t>
        </is>
      </c>
    </row>
    <row r="353" ht="15" customHeight="1">
      <c r="A353" s="737" t="inlineStr">
        <is>
          <t>C273</t>
        </is>
      </c>
      <c r="B353" s="738" t="n">
        <v>44447.04791666667</v>
      </c>
      <c r="C353" s="739" t="n">
        <v>44447.07013888889</v>
      </c>
      <c r="D353" s="740" t="inlineStr">
        <is>
          <t>BYBIT</t>
        </is>
      </c>
      <c r="E353" s="740" t="inlineStr">
        <is>
          <t>LINKUSDT</t>
        </is>
      </c>
      <c r="F353" s="740" t="inlineStr">
        <is>
          <t>BUY</t>
        </is>
      </c>
      <c r="G353" s="742" t="n">
        <v>1.2</v>
      </c>
      <c r="H353" s="742" t="n">
        <v>25</v>
      </c>
      <c r="I353" s="742" t="n">
        <v>28.673</v>
      </c>
      <c r="J353" s="743" t="n">
        <v>23.816</v>
      </c>
      <c r="K353" s="744" t="n">
        <v>0.04736000000000004</v>
      </c>
      <c r="L353" s="743" t="n">
        <v>28.66</v>
      </c>
      <c r="M353" s="744" t="n">
        <v>0.1464</v>
      </c>
      <c r="N353" s="802" t="n">
        <v>0.0183057</v>
      </c>
      <c r="O353" s="746" t="n">
        <v>4.38842765</v>
      </c>
      <c r="P353" s="747" t="n">
        <v>0.01648268309780622</v>
      </c>
      <c r="Q353" s="748" t="n">
        <v>3.102195945945942</v>
      </c>
      <c r="R353" s="749" t="n">
        <v>270.63316608</v>
      </c>
      <c r="S353" s="740" t="inlineStr">
        <is>
          <t>32M 0S</t>
        </is>
      </c>
      <c r="T353" s="738" t="n">
        <v>44446.65277777778</v>
      </c>
      <c r="U353" s="809" t="inlineStr">
        <is>
          <t>30M 50S</t>
        </is>
      </c>
      <c r="V353" s="752" t="n"/>
      <c r="W353" s="753" t="n"/>
      <c r="X353" s="754" t="n"/>
      <c r="Y353" s="750" t="n"/>
      <c r="Z353" s="751" t="n"/>
      <c r="AA353" s="752" t="n"/>
      <c r="AB353" s="753" t="n"/>
      <c r="AC353" s="754" t="n"/>
      <c r="AD353" s="740" t="inlineStr">
        <is>
          <t>No</t>
        </is>
      </c>
      <c r="AE353" s="755" t="n"/>
      <c r="AF353" s="755" t="n"/>
      <c r="AG353" s="755" t="n"/>
      <c r="AH353" s="755" t="n"/>
      <c r="AI353" s="740" t="inlineStr">
        <is>
          <t>Limit</t>
        </is>
      </c>
      <c r="AJ353" s="755" t="n"/>
      <c r="AK353" s="755" t="n"/>
      <c r="AL353" s="755" t="n"/>
      <c r="AM353" s="755" t="n"/>
      <c r="AN353" s="755" t="n"/>
      <c r="AO353" s="755" t="n"/>
      <c r="AP353" s="740" t="inlineStr">
        <is>
          <t>Pullback</t>
        </is>
      </c>
      <c r="AQ353" s="740" t="inlineStr">
        <is>
          <t>DAILY</t>
        </is>
      </c>
      <c r="AR353" s="740" t="inlineStr">
        <is>
          <t>No</t>
        </is>
      </c>
      <c r="AS353" s="755" t="n"/>
      <c r="AT353" s="755" t="n"/>
      <c r="AU353" s="755" t="n"/>
      <c r="AV353" s="755" t="n"/>
      <c r="AW353" s="740" t="inlineStr">
        <is>
          <t>trade</t>
        </is>
      </c>
      <c r="AX353" s="756" t="inlineStr">
        <is>
          <t>sig:dee030d1c33f60a947c1059b</t>
        </is>
      </c>
    </row>
    <row r="354" ht="15" customHeight="1">
      <c r="A354" s="716" t="inlineStr">
        <is>
          <t>C271</t>
        </is>
      </c>
      <c r="B354" s="717" t="n">
        <v>44447.04722222222</v>
      </c>
      <c r="C354" s="718" t="n">
        <v>44447.04791666667</v>
      </c>
      <c r="D354" s="719" t="inlineStr">
        <is>
          <t>BYBIT</t>
        </is>
      </c>
      <c r="E354" s="719" t="inlineStr">
        <is>
          <t>XRPUSDT</t>
        </is>
      </c>
      <c r="F354" s="719" t="inlineStr">
        <is>
          <t>BUY</t>
        </is>
      </c>
      <c r="G354" s="720" t="n">
        <v>21</v>
      </c>
      <c r="H354" s="720" t="n">
        <v>1.0601</v>
      </c>
      <c r="I354" s="720" t="n">
        <v>0.9947</v>
      </c>
      <c r="J354" s="721" t="n">
        <v>0.9948</v>
      </c>
      <c r="K354" s="722" t="n">
        <v>0.06159796245637206</v>
      </c>
      <c r="L354" s="721" t="n">
        <v>1.3083</v>
      </c>
      <c r="M354" s="722" t="n">
        <v>0.2341288557683237</v>
      </c>
      <c r="N354" s="723" t="n">
        <v>0.01010101</v>
      </c>
      <c r="O354" s="724" t="n">
        <v>-1.38436766</v>
      </c>
      <c r="P354" s="725" t="n">
        <v>-0.005146962154770682</v>
      </c>
      <c r="Q354" s="726" t="n">
        <v>-1.001531393568147</v>
      </c>
      <c r="R354" s="727" t="n">
        <v>267.58354358</v>
      </c>
      <c r="S354" s="719" t="inlineStr">
        <is>
          <t>1M 0S</t>
        </is>
      </c>
      <c r="T354" s="728" t="n"/>
      <c r="U354" s="729" t="n"/>
      <c r="V354" s="730" t="n"/>
      <c r="W354" s="731" t="n"/>
      <c r="X354" s="732" t="n"/>
      <c r="Y354" s="728" t="n"/>
      <c r="Z354" s="729" t="n"/>
      <c r="AA354" s="730" t="n"/>
      <c r="AB354" s="731" t="n"/>
      <c r="AC354" s="732" t="n"/>
      <c r="AD354" s="719" t="inlineStr">
        <is>
          <t>No</t>
        </is>
      </c>
      <c r="AE354" s="733" t="n"/>
      <c r="AF354" s="733" t="n"/>
      <c r="AG354" s="733" t="n"/>
      <c r="AH354" s="719" t="n"/>
      <c r="AI354" s="719" t="inlineStr">
        <is>
          <t>Limit</t>
        </is>
      </c>
      <c r="AJ354" s="733" t="n"/>
      <c r="AK354" s="733" t="n"/>
      <c r="AL354" s="733" t="n"/>
      <c r="AM354" s="733" t="n"/>
      <c r="AN354" s="733" t="n"/>
      <c r="AO354" s="733" t="n"/>
      <c r="AP354" s="719" t="inlineStr">
        <is>
          <t>Pullback</t>
        </is>
      </c>
      <c r="AQ354" s="719" t="inlineStr">
        <is>
          <t>DAILY</t>
        </is>
      </c>
      <c r="AR354" s="719" t="inlineStr">
        <is>
          <t>No</t>
        </is>
      </c>
      <c r="AS354" s="733" t="n"/>
      <c r="AT354" s="733" t="n"/>
      <c r="AU354" s="733" t="n"/>
      <c r="AV354" s="733" t="n"/>
      <c r="AW354" s="719" t="inlineStr">
        <is>
          <t>trade</t>
        </is>
      </c>
      <c r="AX354" s="734" t="inlineStr">
        <is>
          <t>sig:588534dd99461403f8fb6a06</t>
        </is>
      </c>
    </row>
    <row r="355" ht="15" customHeight="1">
      <c r="A355" s="716" t="inlineStr">
        <is>
          <t>C272</t>
        </is>
      </c>
      <c r="B355" s="717" t="n">
        <v>44447.04722222222</v>
      </c>
      <c r="C355" s="718" t="n">
        <v>44447.04791666667</v>
      </c>
      <c r="D355" s="719" t="inlineStr">
        <is>
          <t>BYBIT</t>
        </is>
      </c>
      <c r="E355" s="719" t="inlineStr">
        <is>
          <t>LTCUSDT</t>
        </is>
      </c>
      <c r="F355" s="719" t="inlineStr">
        <is>
          <t>BUY</t>
        </is>
      </c>
      <c r="G355" s="720" t="n">
        <v>0.3</v>
      </c>
      <c r="H355" s="720" t="n">
        <v>166.16</v>
      </c>
      <c r="I355" s="720" t="n">
        <v>161.78</v>
      </c>
      <c r="J355" s="721" t="n">
        <v>161.69</v>
      </c>
      <c r="K355" s="722" t="n">
        <v>0.02690178141550312</v>
      </c>
      <c r="L355" s="721" t="n">
        <v>184.86</v>
      </c>
      <c r="M355" s="722" t="n">
        <v>0.1125421280693309</v>
      </c>
      <c r="N355" s="723" t="n">
        <v>0.0239385</v>
      </c>
      <c r="O355" s="724" t="n">
        <v>-1.33880515</v>
      </c>
      <c r="P355" s="725" t="n">
        <v>-0.005003316467403515</v>
      </c>
      <c r="Q355" s="726" t="n">
        <v>-0.9798657718120798</v>
      </c>
      <c r="R355" s="727" t="n">
        <v>266.24473843</v>
      </c>
      <c r="S355" s="719" t="inlineStr">
        <is>
          <t>1M 0S</t>
        </is>
      </c>
      <c r="T355" s="728" t="n"/>
      <c r="U355" s="729" t="n"/>
      <c r="V355" s="730" t="n"/>
      <c r="W355" s="731" t="n"/>
      <c r="X355" s="732" t="n"/>
      <c r="Y355" s="728" t="n"/>
      <c r="Z355" s="729" t="n"/>
      <c r="AA355" s="730" t="n"/>
      <c r="AB355" s="731" t="n"/>
      <c r="AC355" s="732" t="n"/>
      <c r="AD355" s="719" t="inlineStr">
        <is>
          <t>No</t>
        </is>
      </c>
      <c r="AE355" s="733" t="n"/>
      <c r="AF355" s="733" t="n"/>
      <c r="AG355" s="733" t="n"/>
      <c r="AH355" s="719" t="n"/>
      <c r="AI355" s="719" t="inlineStr">
        <is>
          <t>Limit</t>
        </is>
      </c>
      <c r="AJ355" s="733" t="n"/>
      <c r="AK355" s="733" t="n"/>
      <c r="AL355" s="733" t="n"/>
      <c r="AM355" s="733" t="n"/>
      <c r="AN355" s="733" t="n"/>
      <c r="AO355" s="733" t="n"/>
      <c r="AP355" s="719" t="inlineStr">
        <is>
          <t>Pullback</t>
        </is>
      </c>
      <c r="AQ355" s="719" t="inlineStr">
        <is>
          <t>DAILY</t>
        </is>
      </c>
      <c r="AR355" s="719" t="inlineStr">
        <is>
          <t>No</t>
        </is>
      </c>
      <c r="AS355" s="733" t="n"/>
      <c r="AT355" s="733" t="n"/>
      <c r="AU355" s="733" t="n"/>
      <c r="AV355" s="733" t="n"/>
      <c r="AW355" s="719" t="inlineStr">
        <is>
          <t>trade</t>
        </is>
      </c>
      <c r="AX355" s="734" t="inlineStr">
        <is>
          <t>sig:980ff167fbb4a99cd8c95c7b</t>
        </is>
      </c>
    </row>
    <row r="356" ht="15" customHeight="1">
      <c r="A356" s="716" t="inlineStr">
        <is>
          <t>C270</t>
        </is>
      </c>
      <c r="B356" s="717" t="n">
        <v>44447.04583333333</v>
      </c>
      <c r="C356" s="718" t="n">
        <v>44447.04652777778</v>
      </c>
      <c r="D356" s="719" t="inlineStr">
        <is>
          <t>BYBIT</t>
        </is>
      </c>
      <c r="E356" s="719" t="inlineStr">
        <is>
          <t>TRXUSDT</t>
        </is>
      </c>
      <c r="F356" s="719" t="inlineStr">
        <is>
          <t>BUY</t>
        </is>
      </c>
      <c r="G356" s="720" t="n">
        <v>661</v>
      </c>
      <c r="H356" s="735" t="n">
        <v>0.08225</v>
      </c>
      <c r="I356" s="735" t="n">
        <v>0.08036</v>
      </c>
      <c r="J356" s="736" t="n">
        <v>0.08023</v>
      </c>
      <c r="K356" s="722" t="n">
        <v>0.02455927051671742</v>
      </c>
      <c r="L356" s="736" t="n">
        <v>0.08953999999999999</v>
      </c>
      <c r="M356" s="722" t="n">
        <v>0.08863221884498469</v>
      </c>
      <c r="N356" s="723" t="n">
        <v>0.02624666</v>
      </c>
      <c r="O356" s="724" t="n">
        <v>-1.27640331</v>
      </c>
      <c r="P356" s="725" t="n">
        <v>-0.004723145839813193</v>
      </c>
      <c r="Q356" s="726" t="n">
        <v>-0.9356435643564334</v>
      </c>
      <c r="R356" s="727" t="n">
        <v>268.96791124</v>
      </c>
      <c r="S356" s="719" t="inlineStr">
        <is>
          <t>1M 0S</t>
        </is>
      </c>
      <c r="T356" s="717" t="n"/>
      <c r="U356" s="806" t="n"/>
      <c r="V356" s="730" t="n"/>
      <c r="W356" s="731" t="n"/>
      <c r="X356" s="732" t="n"/>
      <c r="Y356" s="728" t="n"/>
      <c r="Z356" s="729" t="n"/>
      <c r="AA356" s="730" t="n"/>
      <c r="AB356" s="731" t="n"/>
      <c r="AC356" s="732" t="n"/>
      <c r="AD356" s="719" t="inlineStr">
        <is>
          <t>No</t>
        </is>
      </c>
      <c r="AE356" s="733" t="n"/>
      <c r="AF356" s="733" t="n"/>
      <c r="AG356" s="733" t="n"/>
      <c r="AH356" s="719" t="n"/>
      <c r="AI356" s="719" t="inlineStr">
        <is>
          <t>Limit</t>
        </is>
      </c>
      <c r="AJ356" s="733" t="n"/>
      <c r="AK356" s="733" t="n"/>
      <c r="AL356" s="733" t="n"/>
      <c r="AM356" s="733" t="n"/>
      <c r="AN356" s="733" t="n"/>
      <c r="AO356" s="733" t="n"/>
      <c r="AP356" s="719" t="inlineStr">
        <is>
          <t>Pullback</t>
        </is>
      </c>
      <c r="AQ356" s="719" t="inlineStr">
        <is>
          <t>4H</t>
        </is>
      </c>
      <c r="AR356" s="719" t="inlineStr">
        <is>
          <t>No</t>
        </is>
      </c>
      <c r="AS356" s="733" t="n"/>
      <c r="AT356" s="733" t="n"/>
      <c r="AU356" s="733" t="n"/>
      <c r="AV356" s="733" t="n"/>
      <c r="AW356" s="719" t="inlineStr">
        <is>
          <t>trade</t>
        </is>
      </c>
      <c r="AX356" s="734" t="inlineStr">
        <is>
          <t>sig:067673c65c1103d22b6c56ef</t>
        </is>
      </c>
    </row>
    <row r="357" ht="15" customHeight="1">
      <c r="A357" s="716" t="inlineStr">
        <is>
          <t>C269</t>
        </is>
      </c>
      <c r="B357" s="717" t="n">
        <v>44447.04097222222</v>
      </c>
      <c r="C357" s="718" t="n">
        <v>44447.04583333333</v>
      </c>
      <c r="D357" s="719" t="inlineStr">
        <is>
          <t>BYBIT</t>
        </is>
      </c>
      <c r="E357" s="719" t="inlineStr">
        <is>
          <t>MATICUSDT</t>
        </is>
      </c>
      <c r="F357" s="719" t="inlineStr">
        <is>
          <t>BUY</t>
        </is>
      </c>
      <c r="G357" s="720" t="n">
        <v>26</v>
      </c>
      <c r="H357" s="720" t="n">
        <v>1.3</v>
      </c>
      <c r="I357" s="720" t="n">
        <v>1.2473</v>
      </c>
      <c r="J357" s="721" t="n">
        <v>1.2479</v>
      </c>
      <c r="K357" s="722" t="n">
        <v>0.0400769230769231</v>
      </c>
      <c r="L357" s="721" t="n">
        <v>1.5233</v>
      </c>
      <c r="M357" s="722" t="n">
        <v>0.1717692307692308</v>
      </c>
      <c r="N357" s="723" t="n">
        <v>0.01587235</v>
      </c>
      <c r="O357" s="724" t="n">
        <v>-1.386939</v>
      </c>
      <c r="P357" s="725" t="n">
        <v>-0.00510596252041631</v>
      </c>
      <c r="Q357" s="726" t="n">
        <v>-1.011516314779269</v>
      </c>
      <c r="R357" s="727" t="n">
        <v>270.24431455</v>
      </c>
      <c r="S357" s="719" t="inlineStr">
        <is>
          <t>7M 0S</t>
        </is>
      </c>
      <c r="T357" s="728" t="n"/>
      <c r="U357" s="729" t="n"/>
      <c r="V357" s="730" t="n"/>
      <c r="W357" s="731" t="n"/>
      <c r="X357" s="732" t="n"/>
      <c r="Y357" s="728" t="n"/>
      <c r="Z357" s="729" t="n"/>
      <c r="AA357" s="730" t="n"/>
      <c r="AB357" s="731" t="n"/>
      <c r="AC357" s="732" t="n"/>
      <c r="AD357" s="719" t="inlineStr">
        <is>
          <t>No</t>
        </is>
      </c>
      <c r="AE357" s="733" t="n"/>
      <c r="AF357" s="733" t="n"/>
      <c r="AG357" s="733" t="n"/>
      <c r="AH357" s="733" t="n"/>
      <c r="AI357" s="719" t="inlineStr">
        <is>
          <t>Limit</t>
        </is>
      </c>
      <c r="AJ357" s="733" t="n"/>
      <c r="AK357" s="733" t="n"/>
      <c r="AL357" s="733" t="n"/>
      <c r="AM357" s="733" t="n"/>
      <c r="AN357" s="733" t="n"/>
      <c r="AO357" s="733" t="n"/>
      <c r="AP357" s="719" t="inlineStr">
        <is>
          <t>Pullback</t>
        </is>
      </c>
      <c r="AQ357" s="719" t="inlineStr">
        <is>
          <t>DAILY</t>
        </is>
      </c>
      <c r="AR357" s="719" t="inlineStr">
        <is>
          <t>No</t>
        </is>
      </c>
      <c r="AS357" s="733" t="n"/>
      <c r="AT357" s="733" t="n"/>
      <c r="AU357" s="733" t="n"/>
      <c r="AV357" s="733" t="n"/>
      <c r="AW357" s="719" t="inlineStr">
        <is>
          <t>trade</t>
        </is>
      </c>
      <c r="AX357" s="734" t="inlineStr">
        <is>
          <t>sig:54698c61c0e113e99007da7f</t>
        </is>
      </c>
    </row>
    <row r="358" ht="15" customHeight="1">
      <c r="A358" s="716" t="inlineStr">
        <is>
          <t>C268</t>
        </is>
      </c>
      <c r="B358" s="717" t="n">
        <v>44447.03263888889</v>
      </c>
      <c r="C358" s="718" t="n">
        <v>44447.04097222222</v>
      </c>
      <c r="D358" s="719" t="inlineStr">
        <is>
          <t>BYBIT</t>
        </is>
      </c>
      <c r="E358" s="719" t="inlineStr">
        <is>
          <t>ETCUSDT</t>
        </is>
      </c>
      <c r="F358" s="719" t="inlineStr">
        <is>
          <t>BUY</t>
        </is>
      </c>
      <c r="G358" s="720" t="n">
        <v>0.6</v>
      </c>
      <c r="H358" s="720" t="n">
        <v>60.5</v>
      </c>
      <c r="I358" s="720" t="n">
        <v>58.07</v>
      </c>
      <c r="J358" s="721" t="n">
        <v>58.15</v>
      </c>
      <c r="K358" s="722" t="n">
        <v>0.03884297520661159</v>
      </c>
      <c r="L358" s="721" t="n">
        <v>69.02</v>
      </c>
      <c r="M358" s="722" t="n">
        <v>0.1408264462809917</v>
      </c>
      <c r="N358" s="723" t="n">
        <v>0.0170565</v>
      </c>
      <c r="O358" s="724" t="n">
        <v>-1.47592315</v>
      </c>
      <c r="P358" s="725" t="n">
        <v>-0.005404190281023841</v>
      </c>
      <c r="Q358" s="726" t="n">
        <v>-1.034042553191489</v>
      </c>
      <c r="R358" s="727" t="n">
        <v>271.6312535499999</v>
      </c>
      <c r="S358" s="719" t="inlineStr">
        <is>
          <t>12M 0S</t>
        </is>
      </c>
      <c r="T358" s="728" t="n"/>
      <c r="U358" s="729" t="n"/>
      <c r="V358" s="730" t="n"/>
      <c r="W358" s="731" t="n"/>
      <c r="X358" s="732" t="n"/>
      <c r="Y358" s="728" t="n"/>
      <c r="Z358" s="729" t="n"/>
      <c r="AA358" s="730" t="n"/>
      <c r="AB358" s="731" t="n"/>
      <c r="AC358" s="732" t="n"/>
      <c r="AD358" s="719" t="inlineStr">
        <is>
          <t>No</t>
        </is>
      </c>
      <c r="AE358" s="733" t="n"/>
      <c r="AF358" s="733" t="n"/>
      <c r="AG358" s="733" t="n"/>
      <c r="AH358" s="733" t="n"/>
      <c r="AI358" s="719" t="inlineStr">
        <is>
          <t>Limit</t>
        </is>
      </c>
      <c r="AJ358" s="733" t="n"/>
      <c r="AK358" s="733" t="n"/>
      <c r="AL358" s="733" t="n"/>
      <c r="AM358" s="733" t="n"/>
      <c r="AN358" s="733" t="n"/>
      <c r="AO358" s="719" t="n"/>
      <c r="AP358" s="719" t="inlineStr">
        <is>
          <t>Pullback</t>
        </is>
      </c>
      <c r="AQ358" s="719" t="inlineStr">
        <is>
          <t>DAILY</t>
        </is>
      </c>
      <c r="AR358" s="719" t="inlineStr">
        <is>
          <t>No</t>
        </is>
      </c>
      <c r="AS358" s="733" t="n"/>
      <c r="AT358" s="733" t="n"/>
      <c r="AU358" s="733" t="n"/>
      <c r="AV358" s="733" t="n"/>
      <c r="AW358" s="719" t="inlineStr">
        <is>
          <t>trade</t>
        </is>
      </c>
      <c r="AX358" s="734" t="inlineStr">
        <is>
          <t>sig:5e52a8ce571ea86e2aff3f0e</t>
        </is>
      </c>
    </row>
    <row r="359" ht="15" customHeight="1">
      <c r="A359" s="716" t="inlineStr">
        <is>
          <t>C267</t>
        </is>
      </c>
      <c r="B359" s="717" t="n">
        <v>44446.82152777778</v>
      </c>
      <c r="C359" s="718" t="n">
        <v>44447.02013888889</v>
      </c>
      <c r="D359" s="719" t="inlineStr">
        <is>
          <t>BYBIT</t>
        </is>
      </c>
      <c r="E359" s="719" t="inlineStr">
        <is>
          <t>BNBUSDT</t>
        </is>
      </c>
      <c r="F359" s="719" t="inlineStr">
        <is>
          <t>BUY</t>
        </is>
      </c>
      <c r="G359" s="720" t="n">
        <v>0.14</v>
      </c>
      <c r="H359" s="720" t="n">
        <v>461.65</v>
      </c>
      <c r="I359" s="720" t="n">
        <v>451.9</v>
      </c>
      <c r="J359" s="721" t="n">
        <v>451.9</v>
      </c>
      <c r="K359" s="722" t="n">
        <v>0.02111989602512726</v>
      </c>
      <c r="L359" s="721" t="n">
        <v>499.15</v>
      </c>
      <c r="M359" s="722" t="n">
        <v>0.08123036932741255</v>
      </c>
      <c r="N359" s="723" t="n">
        <v>0.03129175</v>
      </c>
      <c r="O359" s="724" t="n">
        <v>-1.3971584</v>
      </c>
      <c r="P359" s="725" t="n">
        <v>-0.005089749855830236</v>
      </c>
      <c r="Q359" s="726" t="n">
        <v>-1</v>
      </c>
      <c r="R359" s="727" t="n">
        <v>273.1071767</v>
      </c>
      <c r="S359" s="719" t="inlineStr">
        <is>
          <t>4H 46M 0S</t>
        </is>
      </c>
      <c r="T359" s="728" t="n"/>
      <c r="U359" s="729" t="n"/>
      <c r="V359" s="730" t="n"/>
      <c r="W359" s="731" t="n"/>
      <c r="X359" s="732" t="n"/>
      <c r="Y359" s="728" t="n"/>
      <c r="Z359" s="729" t="n"/>
      <c r="AA359" s="730" t="n"/>
      <c r="AB359" s="731" t="n"/>
      <c r="AC359" s="732" t="n"/>
      <c r="AD359" s="719" t="inlineStr">
        <is>
          <t>No</t>
        </is>
      </c>
      <c r="AE359" s="733" t="n"/>
      <c r="AF359" s="733" t="n"/>
      <c r="AG359" s="733" t="n"/>
      <c r="AH359" s="733" t="n"/>
      <c r="AI359" s="719" t="inlineStr">
        <is>
          <t>Limit</t>
        </is>
      </c>
      <c r="AJ359" s="733" t="n"/>
      <c r="AK359" s="733" t="n"/>
      <c r="AL359" s="733" t="n"/>
      <c r="AM359" s="733" t="n"/>
      <c r="AN359" s="733" t="n"/>
      <c r="AO359" s="733" t="n"/>
      <c r="AP359" s="719" t="inlineStr">
        <is>
          <t>Pullback</t>
        </is>
      </c>
      <c r="AQ359" s="719" t="inlineStr">
        <is>
          <t>4H</t>
        </is>
      </c>
      <c r="AR359" s="719" t="inlineStr">
        <is>
          <t>No</t>
        </is>
      </c>
      <c r="AS359" s="733" t="n"/>
      <c r="AT359" s="733" t="n"/>
      <c r="AU359" s="733" t="n"/>
      <c r="AV359" s="733" t="n"/>
      <c r="AW359" s="719" t="inlineStr">
        <is>
          <t>trade</t>
        </is>
      </c>
      <c r="AX359" s="734" t="inlineStr">
        <is>
          <t>sig:4adb5010644054dceb85da10</t>
        </is>
      </c>
    </row>
    <row r="360" ht="15" customHeight="1">
      <c r="A360" s="716" t="inlineStr">
        <is>
          <t>C264</t>
        </is>
      </c>
      <c r="B360" s="717" t="n">
        <v>44446.08402777778</v>
      </c>
      <c r="C360" s="718" t="n">
        <v>44446.79166666666</v>
      </c>
      <c r="D360" s="719" t="inlineStr">
        <is>
          <t>BYBIT</t>
        </is>
      </c>
      <c r="E360" s="719" t="inlineStr">
        <is>
          <t>FILUSDT</t>
        </is>
      </c>
      <c r="F360" s="719" t="inlineStr">
        <is>
          <t>BUY</t>
        </is>
      </c>
      <c r="G360" s="720" t="n">
        <v>0.3</v>
      </c>
      <c r="H360" s="720" t="n">
        <v>104.89</v>
      </c>
      <c r="I360" s="720" t="n">
        <v>100.52</v>
      </c>
      <c r="J360" s="721" t="n">
        <v>100.63</v>
      </c>
      <c r="K360" s="722" t="n">
        <v>0.04061397654685867</v>
      </c>
      <c r="L360" s="721" t="n">
        <v>119.35</v>
      </c>
      <c r="M360" s="722" t="n">
        <v>0.137858709123844</v>
      </c>
      <c r="N360" s="758" t="n">
        <v>0.11960044</v>
      </c>
      <c r="O360" s="724" t="n">
        <v>-1.43146709</v>
      </c>
      <c r="P360" s="725" t="n">
        <v>-0.005187681622460649</v>
      </c>
      <c r="Q360" s="726" t="n">
        <v>-1.025821596244131</v>
      </c>
      <c r="R360" s="727" t="n">
        <v>274.5043351</v>
      </c>
      <c r="S360" s="719" t="inlineStr">
        <is>
          <t>16H 59M 0S</t>
        </is>
      </c>
      <c r="T360" s="728" t="n"/>
      <c r="U360" s="729" t="n"/>
      <c r="V360" s="730" t="n"/>
      <c r="W360" s="731" t="n"/>
      <c r="X360" s="732" t="n"/>
      <c r="Y360" s="728" t="n"/>
      <c r="Z360" s="729" t="n"/>
      <c r="AA360" s="730" t="n"/>
      <c r="AB360" s="731" t="n"/>
      <c r="AC360" s="732" t="n"/>
      <c r="AD360" s="719" t="inlineStr">
        <is>
          <t>No</t>
        </is>
      </c>
      <c r="AE360" s="733" t="n"/>
      <c r="AF360" s="733" t="n"/>
      <c r="AG360" s="733" t="n"/>
      <c r="AH360" s="733" t="n"/>
      <c r="AI360" s="719" t="inlineStr">
        <is>
          <t>Limit</t>
        </is>
      </c>
      <c r="AJ360" s="733" t="n"/>
      <c r="AK360" s="733" t="n"/>
      <c r="AL360" s="733" t="n"/>
      <c r="AM360" s="733" t="n"/>
      <c r="AN360" s="733" t="n"/>
      <c r="AO360" s="733" t="n"/>
      <c r="AP360" s="719" t="inlineStr">
        <is>
          <t>Pullback</t>
        </is>
      </c>
      <c r="AQ360" s="719" t="inlineStr">
        <is>
          <t>4H</t>
        </is>
      </c>
      <c r="AR360" s="719" t="inlineStr">
        <is>
          <t>No</t>
        </is>
      </c>
      <c r="AS360" s="733" t="n"/>
      <c r="AT360" s="733" t="n"/>
      <c r="AU360" s="733" t="n"/>
      <c r="AV360" s="733" t="n"/>
      <c r="AW360" s="719" t="inlineStr">
        <is>
          <t>trade</t>
        </is>
      </c>
      <c r="AX360" s="734" t="inlineStr">
        <is>
          <t>sig:8741c945de7ac208ad15f87c</t>
        </is>
      </c>
    </row>
    <row r="361" ht="15" customHeight="1">
      <c r="A361" s="737" t="inlineStr">
        <is>
          <t>C263</t>
        </is>
      </c>
      <c r="B361" s="738" t="n">
        <v>44445.88611111111</v>
      </c>
      <c r="C361" s="739" t="n">
        <v>44446.77152777778</v>
      </c>
      <c r="D361" s="740" t="inlineStr">
        <is>
          <t>BYBIT</t>
        </is>
      </c>
      <c r="E361" s="740" t="inlineStr">
        <is>
          <t>COMPUSDT</t>
        </is>
      </c>
      <c r="F361" s="740" t="inlineStr">
        <is>
          <t>SELL</t>
        </is>
      </c>
      <c r="G361" s="775" t="n">
        <v>0.06</v>
      </c>
      <c r="H361" s="742" t="n">
        <v>530.2</v>
      </c>
      <c r="I361" s="742" t="n">
        <v>472.4</v>
      </c>
      <c r="J361" s="743" t="n">
        <v>554.9</v>
      </c>
      <c r="K361" s="744" t="n">
        <v>0.04658619388909832</v>
      </c>
      <c r="L361" s="743" t="n">
        <v>472.2</v>
      </c>
      <c r="M361" s="744" t="n">
        <v>0.10939268200679</v>
      </c>
      <c r="N361" s="745" t="n">
        <v>0.16111566</v>
      </c>
      <c r="O361" s="746" t="n">
        <v>3.62824901</v>
      </c>
      <c r="P361" s="747" t="n">
        <v>0.01332408509286434</v>
      </c>
      <c r="Q361" s="748" t="n">
        <v>2.340080971659928</v>
      </c>
      <c r="R361" s="749" t="n">
        <v>275.93580219</v>
      </c>
      <c r="S361" s="740" t="inlineStr">
        <is>
          <t>21H 15M 0S</t>
        </is>
      </c>
      <c r="T361" s="750" t="n"/>
      <c r="U361" s="751" t="n"/>
      <c r="V361" s="752" t="n"/>
      <c r="W361" s="753" t="n"/>
      <c r="X361" s="754" t="n"/>
      <c r="Y361" s="750" t="n"/>
      <c r="Z361" s="751" t="n"/>
      <c r="AA361" s="752" t="n"/>
      <c r="AB361" s="753" t="n"/>
      <c r="AC361" s="754" t="n"/>
      <c r="AD361" s="740" t="inlineStr">
        <is>
          <t>No</t>
        </is>
      </c>
      <c r="AE361" s="755" t="n"/>
      <c r="AF361" s="755" t="n"/>
      <c r="AG361" s="755" t="n"/>
      <c r="AH361" s="755" t="n"/>
      <c r="AI361" s="740" t="inlineStr">
        <is>
          <t>Limit</t>
        </is>
      </c>
      <c r="AJ361" s="755" t="n"/>
      <c r="AK361" s="755" t="n"/>
      <c r="AL361" s="755" t="n"/>
      <c r="AM361" s="755" t="n"/>
      <c r="AN361" s="755" t="n"/>
      <c r="AO361" s="755" t="n"/>
      <c r="AP361" s="740" t="inlineStr">
        <is>
          <t>Pullback</t>
        </is>
      </c>
      <c r="AQ361" s="740" t="inlineStr">
        <is>
          <t>WEEKLY</t>
        </is>
      </c>
      <c r="AR361" s="740" t="inlineStr">
        <is>
          <t>No</t>
        </is>
      </c>
      <c r="AS361" s="755" t="n"/>
      <c r="AT361" s="755" t="n"/>
      <c r="AU361" s="755" t="n"/>
      <c r="AV361" s="755" t="n"/>
      <c r="AW361" s="740" t="inlineStr">
        <is>
          <t>trade</t>
        </is>
      </c>
      <c r="AX361" s="756" t="inlineStr">
        <is>
          <t>sig:b4ae9c42bfd0ccd32eee2908</t>
        </is>
      </c>
    </row>
    <row r="362" ht="15" customHeight="1">
      <c r="A362" s="716" t="inlineStr">
        <is>
          <t>C266</t>
        </is>
      </c>
      <c r="B362" s="717" t="n">
        <v>44446.65694444445</v>
      </c>
      <c r="C362" s="718" t="n">
        <v>44446.65763888889</v>
      </c>
      <c r="D362" s="719" t="inlineStr">
        <is>
          <t>BYBIT</t>
        </is>
      </c>
      <c r="E362" s="719" t="inlineStr">
        <is>
          <t>SOLUSDT</t>
        </is>
      </c>
      <c r="F362" s="719" t="inlineStr">
        <is>
          <t>BUY</t>
        </is>
      </c>
      <c r="G362" s="720" t="n">
        <v>1.1</v>
      </c>
      <c r="H362" s="720" t="n">
        <v>185.425</v>
      </c>
      <c r="I362" s="720" t="n">
        <v>184.11</v>
      </c>
      <c r="J362" s="721" t="n">
        <v>184.14</v>
      </c>
      <c r="K362" s="722" t="n">
        <v>0.006930025616826345</v>
      </c>
      <c r="L362" s="721" t="n">
        <v>188.58</v>
      </c>
      <c r="M362" s="722" t="n">
        <v>0.01701496561952272</v>
      </c>
      <c r="N362" s="758" t="n">
        <v>0.10089888</v>
      </c>
      <c r="O362" s="724" t="n">
        <v>-1.54826553</v>
      </c>
      <c r="P362" s="725" t="n">
        <v>-0.005653579088781524</v>
      </c>
      <c r="Q362" s="726" t="n">
        <v>-1.023346303501924</v>
      </c>
      <c r="R362" s="727" t="n">
        <v>272.30755318</v>
      </c>
      <c r="S362" s="719" t="inlineStr">
        <is>
          <t>1M 0S</t>
        </is>
      </c>
      <c r="T362" s="728" t="n"/>
      <c r="U362" s="729" t="n"/>
      <c r="V362" s="730" t="n"/>
      <c r="W362" s="731" t="n"/>
      <c r="X362" s="732" t="n"/>
      <c r="Y362" s="728" t="n"/>
      <c r="Z362" s="729" t="n"/>
      <c r="AA362" s="730" t="n"/>
      <c r="AB362" s="731" t="n"/>
      <c r="AC362" s="732" t="n"/>
      <c r="AD362" s="719" t="inlineStr">
        <is>
          <t>No</t>
        </is>
      </c>
      <c r="AE362" s="733" t="n"/>
      <c r="AF362" s="733" t="n"/>
      <c r="AG362" s="733" t="n"/>
      <c r="AH362" s="719" t="inlineStr">
        <is>
          <t>All-Time High</t>
        </is>
      </c>
      <c r="AI362" s="719" t="inlineStr">
        <is>
          <t>Limit</t>
        </is>
      </c>
      <c r="AJ362" s="733" t="n"/>
      <c r="AK362" s="733" t="n"/>
      <c r="AL362" s="733" t="n"/>
      <c r="AM362" s="733" t="n"/>
      <c r="AN362" s="733" t="n"/>
      <c r="AO362" s="733" t="n"/>
      <c r="AP362" s="719" t="inlineStr">
        <is>
          <t>Pullback</t>
        </is>
      </c>
      <c r="AQ362" s="719" t="inlineStr">
        <is>
          <t>5MIN</t>
        </is>
      </c>
      <c r="AR362" s="719" t="inlineStr">
        <is>
          <t>No</t>
        </is>
      </c>
      <c r="AS362" s="733" t="n"/>
      <c r="AT362" s="733" t="n"/>
      <c r="AU362" s="733" t="n"/>
      <c r="AV362" s="733" t="n"/>
      <c r="AW362" s="719" t="inlineStr">
        <is>
          <t>trade</t>
        </is>
      </c>
      <c r="AX362" s="734" t="inlineStr">
        <is>
          <t>sig:3ca6d99a8ca505180899a026</t>
        </is>
      </c>
    </row>
    <row r="363" ht="15" customHeight="1">
      <c r="A363" s="737" t="inlineStr">
        <is>
          <t>C265</t>
        </is>
      </c>
      <c r="B363" s="738" t="n">
        <v>44446.11041666667</v>
      </c>
      <c r="C363" s="739" t="n">
        <v>44446.11597222222</v>
      </c>
      <c r="D363" s="740" t="inlineStr">
        <is>
          <t>BYBIT</t>
        </is>
      </c>
      <c r="E363" s="740" t="inlineStr">
        <is>
          <t>SOLUSDT</t>
        </is>
      </c>
      <c r="F363" s="740" t="inlineStr">
        <is>
          <t>BUY</t>
        </is>
      </c>
      <c r="G363" s="742" t="n">
        <v>1.4</v>
      </c>
      <c r="H363" s="742" t="n">
        <v>154.46</v>
      </c>
      <c r="I363" s="742" t="n">
        <v>157.35</v>
      </c>
      <c r="J363" s="743" t="n">
        <v>153.47</v>
      </c>
      <c r="K363" s="744" t="n">
        <v>0.006409426388709109</v>
      </c>
      <c r="L363" s="743" t="n">
        <v>157.46</v>
      </c>
      <c r="M363" s="744" t="n">
        <v>0.01942250420820925</v>
      </c>
      <c r="N363" s="745" t="n">
        <v>0.1111565</v>
      </c>
      <c r="O363" s="746" t="n">
        <v>3.93397685</v>
      </c>
      <c r="P363" s="747" t="n">
        <v>0.01457450357811515</v>
      </c>
      <c r="Q363" s="748" t="n">
        <v>2.919191919191879</v>
      </c>
      <c r="R363" s="749" t="n">
        <v>273.85581871</v>
      </c>
      <c r="S363" s="740" t="inlineStr">
        <is>
          <t>8M 0S</t>
        </is>
      </c>
      <c r="T363" s="750" t="n"/>
      <c r="U363" s="751" t="n"/>
      <c r="V363" s="752" t="n"/>
      <c r="W363" s="753" t="n"/>
      <c r="X363" s="754" t="n"/>
      <c r="Y363" s="750" t="n"/>
      <c r="Z363" s="751" t="n"/>
      <c r="AA363" s="752" t="n"/>
      <c r="AB363" s="753" t="n"/>
      <c r="AC363" s="754" t="n"/>
      <c r="AD363" s="740" t="inlineStr">
        <is>
          <t>No</t>
        </is>
      </c>
      <c r="AE363" s="755" t="n"/>
      <c r="AF363" s="755" t="n"/>
      <c r="AG363" s="755" t="n"/>
      <c r="AH363" s="740" t="inlineStr">
        <is>
          <t>All-Time High</t>
        </is>
      </c>
      <c r="AI363" s="740" t="inlineStr">
        <is>
          <t>Limit</t>
        </is>
      </c>
      <c r="AJ363" s="755" t="n"/>
      <c r="AK363" s="755" t="n"/>
      <c r="AL363" s="755" t="n"/>
      <c r="AM363" s="755" t="n"/>
      <c r="AN363" s="755" t="n"/>
      <c r="AO363" s="740" t="n"/>
      <c r="AP363" s="740" t="inlineStr">
        <is>
          <t>Pullback</t>
        </is>
      </c>
      <c r="AQ363" s="740" t="inlineStr">
        <is>
          <t>5MIN</t>
        </is>
      </c>
      <c r="AR363" s="740" t="inlineStr">
        <is>
          <t>No</t>
        </is>
      </c>
      <c r="AS363" s="755" t="n"/>
      <c r="AT363" s="755" t="n"/>
      <c r="AU363" s="755" t="n"/>
      <c r="AV363" s="755" t="n"/>
      <c r="AW363" s="740" t="inlineStr">
        <is>
          <t>trade</t>
        </is>
      </c>
      <c r="AX363" s="756" t="inlineStr">
        <is>
          <t>sig:dd4b245341ccac0da95adb25</t>
        </is>
      </c>
    </row>
    <row r="364" ht="15" customHeight="1">
      <c r="A364" s="737" t="inlineStr">
        <is>
          <t>C262</t>
        </is>
      </c>
      <c r="B364" s="738" t="n">
        <v>44445.04930555556</v>
      </c>
      <c r="C364" s="739" t="n">
        <v>44445.70972222222</v>
      </c>
      <c r="D364" s="740" t="inlineStr">
        <is>
          <t>BYBIT</t>
        </is>
      </c>
      <c r="E364" s="740" t="inlineStr">
        <is>
          <t>SOLUSDT</t>
        </is>
      </c>
      <c r="F364" s="740" t="inlineStr">
        <is>
          <t>BUY</t>
        </is>
      </c>
      <c r="G364" s="742" t="n">
        <v>0.4</v>
      </c>
      <c r="H364" s="742" t="n">
        <v>136.52</v>
      </c>
      <c r="I364" s="742" t="n">
        <v>146</v>
      </c>
      <c r="J364" s="743" t="n">
        <v>133.17</v>
      </c>
      <c r="K364" s="744" t="n">
        <v>0.02453852915323779</v>
      </c>
      <c r="L364" s="743" t="n">
        <v>146.085</v>
      </c>
      <c r="M364" s="744" t="n">
        <v>0.07006299443305009</v>
      </c>
      <c r="N364" s="745" t="n">
        <v>0.23282388</v>
      </c>
      <c r="O364" s="746" t="n">
        <v>3.55830947</v>
      </c>
      <c r="P364" s="747" t="n">
        <v>0.01335884622820683</v>
      </c>
      <c r="Q364" s="748" t="n">
        <v>2.829850746268634</v>
      </c>
      <c r="R364" s="749" t="n">
        <v>269.92184186</v>
      </c>
      <c r="S364" s="740" t="inlineStr">
        <is>
          <t>15H 51M 0S</t>
        </is>
      </c>
      <c r="T364" s="738" t="n">
        <v>44445.29027777778</v>
      </c>
      <c r="U364" s="809" t="inlineStr">
        <is>
          <t>15H 46M 23S</t>
        </is>
      </c>
      <c r="V364" s="752" t="n"/>
      <c r="W364" s="753" t="n"/>
      <c r="X364" s="754" t="n"/>
      <c r="Y364" s="750" t="n"/>
      <c r="Z364" s="751" t="n"/>
      <c r="AA364" s="752" t="n"/>
      <c r="AB364" s="753" t="n"/>
      <c r="AC364" s="754" t="n"/>
      <c r="AD364" s="740" t="inlineStr">
        <is>
          <t>No</t>
        </is>
      </c>
      <c r="AE364" s="755" t="n"/>
      <c r="AF364" s="755" t="n"/>
      <c r="AG364" s="755" t="n"/>
      <c r="AH364" s="740" t="inlineStr">
        <is>
          <t>All-Time High</t>
        </is>
      </c>
      <c r="AI364" s="740" t="inlineStr">
        <is>
          <t>Limit</t>
        </is>
      </c>
      <c r="AJ364" s="755" t="n"/>
      <c r="AK364" s="755" t="n"/>
      <c r="AL364" s="755" t="n"/>
      <c r="AM364" s="755" t="n"/>
      <c r="AN364" s="755" t="n"/>
      <c r="AO364" s="755" t="n"/>
      <c r="AP364" s="740" t="inlineStr">
        <is>
          <t>Pullback</t>
        </is>
      </c>
      <c r="AQ364" s="740" t="inlineStr">
        <is>
          <t>4H</t>
        </is>
      </c>
      <c r="AR364" s="740" t="inlineStr">
        <is>
          <t>No</t>
        </is>
      </c>
      <c r="AS364" s="755" t="n"/>
      <c r="AT364" s="755" t="n"/>
      <c r="AU364" s="755" t="n"/>
      <c r="AV364" s="755" t="n"/>
      <c r="AW364" s="740" t="inlineStr">
        <is>
          <t>trade</t>
        </is>
      </c>
      <c r="AX364" s="756" t="inlineStr">
        <is>
          <t>sig:eec87402975e4398266dd2cd</t>
        </is>
      </c>
    </row>
    <row r="365" ht="15" customHeight="1">
      <c r="A365" s="716" t="inlineStr">
        <is>
          <t>C261</t>
        </is>
      </c>
      <c r="B365" s="717" t="n">
        <v>44443.97777777778</v>
      </c>
      <c r="C365" s="718" t="n">
        <v>44443.97847222222</v>
      </c>
      <c r="D365" s="719" t="inlineStr">
        <is>
          <t>BYBIT</t>
        </is>
      </c>
      <c r="E365" s="719" t="inlineStr">
        <is>
          <t>AXSUSDT</t>
        </is>
      </c>
      <c r="F365" s="719" t="inlineStr">
        <is>
          <t>BUY</t>
        </is>
      </c>
      <c r="G365" s="720" t="n">
        <v>1.5</v>
      </c>
      <c r="H365" s="720" t="n">
        <v>88.8</v>
      </c>
      <c r="I365" s="720" t="n">
        <v>87.77500000000001</v>
      </c>
      <c r="J365" s="721" t="n">
        <v>87.86</v>
      </c>
      <c r="K365" s="722" t="n">
        <v>0.01058558558558556</v>
      </c>
      <c r="L365" s="721" t="n">
        <v>92.19</v>
      </c>
      <c r="M365" s="722" t="n">
        <v>0.03817567567567568</v>
      </c>
      <c r="N365" s="723" t="n">
        <v>0.06544688</v>
      </c>
      <c r="O365" s="724" t="n">
        <v>-1.60381353</v>
      </c>
      <c r="P365" s="725" t="n">
        <v>-0.005985108090292496</v>
      </c>
      <c r="Q365" s="726" t="n">
        <v>-1.090425531914887</v>
      </c>
      <c r="R365" s="727" t="n">
        <v>266.36353239</v>
      </c>
      <c r="S365" s="719" t="inlineStr">
        <is>
          <t>1M 0S</t>
        </is>
      </c>
      <c r="T365" s="728" t="n"/>
      <c r="U365" s="729" t="n"/>
      <c r="V365" s="730" t="n"/>
      <c r="W365" s="731" t="n"/>
      <c r="X365" s="732" t="n"/>
      <c r="Y365" s="728" t="n"/>
      <c r="Z365" s="729" t="n"/>
      <c r="AA365" s="730" t="n"/>
      <c r="AB365" s="731" t="n"/>
      <c r="AC365" s="732" t="n"/>
      <c r="AD365" s="719" t="inlineStr">
        <is>
          <t>No</t>
        </is>
      </c>
      <c r="AE365" s="733" t="n"/>
      <c r="AF365" s="733" t="n"/>
      <c r="AG365" s="733" t="n"/>
      <c r="AH365" s="733" t="n"/>
      <c r="AI365" s="719" t="inlineStr">
        <is>
          <t>Limit</t>
        </is>
      </c>
      <c r="AJ365" s="733" t="n"/>
      <c r="AK365" s="733" t="n"/>
      <c r="AL365" s="733" t="n"/>
      <c r="AM365" s="733" t="n"/>
      <c r="AN365" s="733" t="n"/>
      <c r="AO365" s="733" t="n"/>
      <c r="AP365" s="719" t="inlineStr">
        <is>
          <t>Pullback</t>
        </is>
      </c>
      <c r="AQ365" s="719" t="inlineStr">
        <is>
          <t>5MIN</t>
        </is>
      </c>
      <c r="AR365" s="719" t="inlineStr">
        <is>
          <t>No</t>
        </is>
      </c>
      <c r="AS365" s="733" t="n"/>
      <c r="AT365" s="733" t="n"/>
      <c r="AU365" s="733" t="n"/>
      <c r="AV365" s="733" t="n"/>
      <c r="AW365" s="719" t="inlineStr">
        <is>
          <t>trade</t>
        </is>
      </c>
      <c r="AX365" s="734" t="inlineStr">
        <is>
          <t>sig:becaac536cab25ef9823b3fb</t>
        </is>
      </c>
    </row>
    <row r="366" ht="15" customHeight="1">
      <c r="A366" s="716" t="inlineStr">
        <is>
          <t>F871</t>
        </is>
      </c>
      <c r="B366" s="717" t="n">
        <v>44442.78263888889</v>
      </c>
      <c r="C366" s="718" t="n">
        <v>44442.94097222222</v>
      </c>
      <c r="D366" s="719" t="inlineStr">
        <is>
          <t>PEPPERSTONE LIVE</t>
        </is>
      </c>
      <c r="E366" s="719" t="inlineStr">
        <is>
          <t>AUDCHF</t>
        </is>
      </c>
      <c r="F366" s="719" t="inlineStr">
        <is>
          <t>SELL</t>
        </is>
      </c>
      <c r="G366" s="735" t="n">
        <v>0.01</v>
      </c>
      <c r="H366" s="720" t="n">
        <v>0.6795</v>
      </c>
      <c r="I366" s="720" t="n">
        <v>0.68185</v>
      </c>
      <c r="J366" s="721" t="n">
        <v>0.6825</v>
      </c>
      <c r="K366" s="722" t="n">
        <v>0.004415011037527598</v>
      </c>
      <c r="L366" s="721" t="n">
        <v>0.6663</v>
      </c>
      <c r="M366" s="722" t="n">
        <v>0.0194260485651214</v>
      </c>
      <c r="N366" s="761" t="n"/>
      <c r="O366" s="762" t="n">
        <v>-3.33</v>
      </c>
      <c r="P366" s="725" t="n">
        <v>-0.00763726434567222</v>
      </c>
      <c r="Q366" s="726" t="n">
        <v>-0.7833333333333203</v>
      </c>
      <c r="R366" s="764" t="n">
        <v>432.6899999999999</v>
      </c>
      <c r="S366" s="719" t="inlineStr">
        <is>
          <t>3H 48M 0S</t>
        </is>
      </c>
      <c r="T366" s="728" t="n"/>
      <c r="U366" s="729" t="n"/>
      <c r="V366" s="730" t="n"/>
      <c r="W366" s="731" t="n"/>
      <c r="X366" s="732" t="n"/>
      <c r="Y366" s="728" t="n"/>
      <c r="Z366" s="729" t="n"/>
      <c r="AA366" s="730" t="n"/>
      <c r="AB366" s="731" t="n"/>
      <c r="AC366" s="732" t="n"/>
      <c r="AD366" s="719" t="inlineStr">
        <is>
          <t>No</t>
        </is>
      </c>
      <c r="AE366" s="733" t="n"/>
      <c r="AF366" s="733" t="n"/>
      <c r="AG366" s="733" t="n"/>
      <c r="AH366" s="733" t="n"/>
      <c r="AI366" s="719" t="inlineStr">
        <is>
          <t>Limit</t>
        </is>
      </c>
      <c r="AJ366" s="733" t="n"/>
      <c r="AK366" s="733" t="n"/>
      <c r="AL366" s="733" t="n"/>
      <c r="AM366" s="733" t="n"/>
      <c r="AN366" s="733" t="n"/>
      <c r="AO366" s="719" t="inlineStr">
        <is>
          <t>Yes</t>
        </is>
      </c>
      <c r="AP366" s="719" t="inlineStr">
        <is>
          <t>Pullback</t>
        </is>
      </c>
      <c r="AQ366" s="719" t="inlineStr">
        <is>
          <t>DAILY</t>
        </is>
      </c>
      <c r="AR366" s="719" t="inlineStr">
        <is>
          <t>No</t>
        </is>
      </c>
      <c r="AS366" s="733" t="n"/>
      <c r="AT366" s="733" t="n"/>
      <c r="AU366" s="733" t="n"/>
      <c r="AV366" s="733" t="n"/>
      <c r="AW366" s="719" t="inlineStr">
        <is>
          <t>trade</t>
        </is>
      </c>
      <c r="AX366" s="734" t="inlineStr">
        <is>
          <t>sig:17ccb9570305757f465799b5</t>
        </is>
      </c>
    </row>
    <row r="367" ht="15" customHeight="1">
      <c r="A367" s="716" t="inlineStr">
        <is>
          <t>F870</t>
        </is>
      </c>
      <c r="B367" s="717" t="n">
        <v>44442.02916666667</v>
      </c>
      <c r="C367" s="718" t="n">
        <v>44442.93888888889</v>
      </c>
      <c r="D367" s="719" t="inlineStr">
        <is>
          <t>PEPPERSTONE LIVE</t>
        </is>
      </c>
      <c r="E367" s="719" t="inlineStr">
        <is>
          <t>EURNZD</t>
        </is>
      </c>
      <c r="F367" s="719" t="inlineStr">
        <is>
          <t>BUY</t>
        </is>
      </c>
      <c r="G367" s="735" t="n">
        <v>0.01</v>
      </c>
      <c r="H367" s="720" t="n">
        <v>1.6675</v>
      </c>
      <c r="I367" s="720" t="n">
        <v>1.6626</v>
      </c>
      <c r="J367" s="721" t="n">
        <v>1.6627</v>
      </c>
      <c r="K367" s="722" t="n">
        <v>0.002878560719640129</v>
      </c>
      <c r="L367" s="721" t="n">
        <v>1.6915</v>
      </c>
      <c r="M367" s="722" t="n">
        <v>0.01439280359820091</v>
      </c>
      <c r="N367" s="792" t="n">
        <v>0.06</v>
      </c>
      <c r="O367" s="762" t="n">
        <v>-4.79</v>
      </c>
      <c r="P367" s="725" t="n">
        <v>-0.01086635965608766</v>
      </c>
      <c r="Q367" s="726" t="n">
        <v>-1.020833333333331</v>
      </c>
      <c r="R367" s="764" t="n">
        <v>436.0199999999999</v>
      </c>
      <c r="S367" s="719" t="inlineStr">
        <is>
          <t>21H 50M 0S</t>
        </is>
      </c>
      <c r="T367" s="728" t="n"/>
      <c r="U367" s="729" t="n"/>
      <c r="V367" s="730" t="n"/>
      <c r="W367" s="731" t="n"/>
      <c r="X367" s="732" t="n"/>
      <c r="Y367" s="728" t="n"/>
      <c r="Z367" s="729" t="n"/>
      <c r="AA367" s="730" t="n"/>
      <c r="AB367" s="731" t="n"/>
      <c r="AC367" s="732" t="n"/>
      <c r="AD367" s="719" t="inlineStr">
        <is>
          <t>No</t>
        </is>
      </c>
      <c r="AE367" s="733" t="n"/>
      <c r="AF367" s="733" t="n"/>
      <c r="AG367" s="733" t="n"/>
      <c r="AH367" s="733" t="n"/>
      <c r="AI367" s="719" t="inlineStr">
        <is>
          <t>Limit</t>
        </is>
      </c>
      <c r="AJ367" s="733" t="n"/>
      <c r="AK367" s="733" t="n"/>
      <c r="AL367" s="733" t="n"/>
      <c r="AM367" s="733" t="n"/>
      <c r="AN367" s="733" t="n"/>
      <c r="AO367" s="733" t="n"/>
      <c r="AP367" s="719" t="inlineStr">
        <is>
          <t>Pullback</t>
        </is>
      </c>
      <c r="AQ367" s="719" t="inlineStr">
        <is>
          <t>DAILY</t>
        </is>
      </c>
      <c r="AR367" s="719" t="inlineStr">
        <is>
          <t>No</t>
        </is>
      </c>
      <c r="AS367" s="733" t="n"/>
      <c r="AT367" s="733" t="n"/>
      <c r="AU367" s="733" t="n"/>
      <c r="AV367" s="733" t="n"/>
      <c r="AW367" s="719" t="inlineStr">
        <is>
          <t>trade</t>
        </is>
      </c>
      <c r="AX367" s="734" t="inlineStr">
        <is>
          <t>sig:3bd4d4c73e02064352ecbf93</t>
        </is>
      </c>
    </row>
    <row r="368" ht="15" customHeight="1">
      <c r="A368" s="716" t="inlineStr">
        <is>
          <t>F869</t>
        </is>
      </c>
      <c r="B368" s="717" t="n">
        <v>44441.78958333333</v>
      </c>
      <c r="C368" s="718" t="n">
        <v>44442.02638888889</v>
      </c>
      <c r="D368" s="719" t="inlineStr">
        <is>
          <t>PEPPERSTONE LIVE</t>
        </is>
      </c>
      <c r="E368" s="719" t="inlineStr">
        <is>
          <t>NZDUSD</t>
        </is>
      </c>
      <c r="F368" s="719" t="inlineStr">
        <is>
          <t>SELL</t>
        </is>
      </c>
      <c r="G368" s="735" t="n">
        <v>0.01</v>
      </c>
      <c r="H368" s="720" t="n">
        <v>0.7088</v>
      </c>
      <c r="I368" s="720" t="n">
        <v>0.71139</v>
      </c>
      <c r="J368" s="721" t="n">
        <v>0.7113</v>
      </c>
      <c r="K368" s="722" t="n">
        <v>0.003527088036117463</v>
      </c>
      <c r="L368" s="721" t="n">
        <v>0.6957</v>
      </c>
      <c r="M368" s="722" t="n">
        <v>0.01848194130925508</v>
      </c>
      <c r="N368" s="788" t="n"/>
      <c r="O368" s="762" t="n">
        <v>-3.45</v>
      </c>
      <c r="P368" s="725" t="n">
        <v>-0.007765722774951608</v>
      </c>
      <c r="Q368" s="726" t="n">
        <v>-1.035999999999969</v>
      </c>
      <c r="R368" s="764" t="n">
        <v>440.8099999999999</v>
      </c>
      <c r="S368" s="719" t="inlineStr">
        <is>
          <t>5H 41M 0S</t>
        </is>
      </c>
      <c r="T368" s="728" t="n"/>
      <c r="U368" s="729" t="n"/>
      <c r="V368" s="730" t="n"/>
      <c r="W368" s="731" t="n"/>
      <c r="X368" s="732" t="n"/>
      <c r="Y368" s="728" t="n"/>
      <c r="Z368" s="729" t="n"/>
      <c r="AA368" s="730" t="n"/>
      <c r="AB368" s="731" t="n"/>
      <c r="AC368" s="732" t="n"/>
      <c r="AD368" s="719" t="inlineStr">
        <is>
          <t>No</t>
        </is>
      </c>
      <c r="AE368" s="733" t="n"/>
      <c r="AF368" s="733" t="n"/>
      <c r="AG368" s="733" t="n"/>
      <c r="AH368" s="733" t="n"/>
      <c r="AI368" s="719" t="inlineStr">
        <is>
          <t>Limit</t>
        </is>
      </c>
      <c r="AJ368" s="733" t="n"/>
      <c r="AK368" s="733" t="n"/>
      <c r="AL368" s="733" t="n"/>
      <c r="AM368" s="733" t="n"/>
      <c r="AN368" s="733" t="n"/>
      <c r="AO368" s="733" t="n"/>
      <c r="AP368" s="719" t="inlineStr">
        <is>
          <t>Pullback</t>
        </is>
      </c>
      <c r="AQ368" s="719" t="inlineStr">
        <is>
          <t>DAILY</t>
        </is>
      </c>
      <c r="AR368" s="719" t="inlineStr">
        <is>
          <t>No</t>
        </is>
      </c>
      <c r="AS368" s="733" t="n"/>
      <c r="AT368" s="733" t="n"/>
      <c r="AU368" s="733" t="n"/>
      <c r="AV368" s="733" t="n"/>
      <c r="AW368" s="719" t="inlineStr">
        <is>
          <t>trade</t>
        </is>
      </c>
      <c r="AX368" s="734" t="inlineStr">
        <is>
          <t>sig:944de8c23226097a6ca3c902</t>
        </is>
      </c>
    </row>
    <row r="369" ht="15" customHeight="1">
      <c r="A369" s="716" t="inlineStr">
        <is>
          <t>F868</t>
        </is>
      </c>
      <c r="B369" s="717" t="n">
        <v>44439.94236111111</v>
      </c>
      <c r="C369" s="718" t="n">
        <v>44441.01458333333</v>
      </c>
      <c r="D369" s="719" t="inlineStr">
        <is>
          <t>PEPPERSTONE LIVE</t>
        </is>
      </c>
      <c r="E369" s="719" t="inlineStr">
        <is>
          <t>NZDCAD</t>
        </is>
      </c>
      <c r="F369" s="719" t="inlineStr">
        <is>
          <t>SELL</t>
        </is>
      </c>
      <c r="G369" s="735" t="n">
        <v>0.02</v>
      </c>
      <c r="H369" s="720" t="n">
        <v>0.8889</v>
      </c>
      <c r="I369" s="720" t="n">
        <v>0.89156</v>
      </c>
      <c r="J369" s="721" t="n">
        <v>0.8915</v>
      </c>
      <c r="K369" s="722" t="n">
        <v>0.002924963437956953</v>
      </c>
      <c r="L369" s="721" t="n">
        <v>0.8702</v>
      </c>
      <c r="M369" s="722" t="n">
        <v>0.02103723703453712</v>
      </c>
      <c r="N369" s="792" t="n">
        <v>0.03</v>
      </c>
      <c r="O369" s="762" t="n">
        <v>-5.56</v>
      </c>
      <c r="P369" s="725" t="n">
        <v>-0.01236049975545774</v>
      </c>
      <c r="Q369" s="726" t="n">
        <v>-1.023076923076947</v>
      </c>
      <c r="R369" s="764" t="n">
        <v>444.2599999999999</v>
      </c>
      <c r="S369" s="719" t="inlineStr">
        <is>
          <t>1D 1H 44M 0S</t>
        </is>
      </c>
      <c r="T369" s="728" t="n"/>
      <c r="U369" s="729" t="n"/>
      <c r="V369" s="730" t="n"/>
      <c r="W369" s="731" t="n"/>
      <c r="X369" s="732" t="n"/>
      <c r="Y369" s="728" t="n"/>
      <c r="Z369" s="729" t="n"/>
      <c r="AA369" s="730" t="n"/>
      <c r="AB369" s="731" t="n"/>
      <c r="AC369" s="732" t="n"/>
      <c r="AD369" s="719" t="inlineStr">
        <is>
          <t>No</t>
        </is>
      </c>
      <c r="AE369" s="733" t="n"/>
      <c r="AF369" s="733" t="n"/>
      <c r="AG369" s="733" t="n"/>
      <c r="AH369" s="733" t="n"/>
      <c r="AI369" s="719" t="inlineStr">
        <is>
          <t>Limit</t>
        </is>
      </c>
      <c r="AJ369" s="733" t="n"/>
      <c r="AK369" s="733" t="n"/>
      <c r="AL369" s="733" t="n"/>
      <c r="AM369" s="733" t="n"/>
      <c r="AN369" s="733" t="n"/>
      <c r="AO369" s="733" t="n"/>
      <c r="AP369" s="719" t="inlineStr">
        <is>
          <t>Pullback</t>
        </is>
      </c>
      <c r="AQ369" s="719" t="inlineStr">
        <is>
          <t>DAILY</t>
        </is>
      </c>
      <c r="AR369" s="719" t="inlineStr">
        <is>
          <t>No</t>
        </is>
      </c>
      <c r="AS369" s="733" t="n"/>
      <c r="AT369" s="733" t="n"/>
      <c r="AU369" s="733" t="n"/>
      <c r="AV369" s="733" t="n"/>
      <c r="AW369" s="719" t="inlineStr">
        <is>
          <t>trade</t>
        </is>
      </c>
      <c r="AX369" s="734" t="inlineStr">
        <is>
          <t>sig:2f8657107e00fc459cde3b4a</t>
        </is>
      </c>
    </row>
    <row r="370" ht="15" customHeight="1">
      <c r="A370" s="716" t="inlineStr">
        <is>
          <t>F867</t>
        </is>
      </c>
      <c r="B370" s="717" t="n">
        <v>44439.82291666666</v>
      </c>
      <c r="C370" s="718" t="n">
        <v>44440.66805555556</v>
      </c>
      <c r="D370" s="719" t="inlineStr">
        <is>
          <t>PEPPERSTONE LIVE</t>
        </is>
      </c>
      <c r="E370" s="719" t="inlineStr">
        <is>
          <t>GBPAUD</t>
        </is>
      </c>
      <c r="F370" s="719" t="inlineStr">
        <is>
          <t>BUY</t>
        </is>
      </c>
      <c r="G370" s="735" t="n">
        <v>0.01</v>
      </c>
      <c r="H370" s="720" t="n">
        <v>1.8779</v>
      </c>
      <c r="I370" s="720" t="n">
        <v>1.87417</v>
      </c>
      <c r="J370" s="721" t="n">
        <v>1.8742</v>
      </c>
      <c r="K370" s="722" t="n">
        <v>0.00197028595771863</v>
      </c>
      <c r="L370" s="721" t="n">
        <v>1.8908</v>
      </c>
      <c r="M370" s="722" t="n">
        <v>0.006869375366100503</v>
      </c>
      <c r="N370" s="792" t="n">
        <v>0.04</v>
      </c>
      <c r="O370" s="762" t="n">
        <v>-3.83</v>
      </c>
      <c r="P370" s="725" t="n">
        <v>-0.008442631985010473</v>
      </c>
      <c r="Q370" s="726" t="n">
        <v>-1.008108108108162</v>
      </c>
      <c r="R370" s="764" t="n">
        <v>449.8199999999999</v>
      </c>
      <c r="S370" s="719" t="inlineStr">
        <is>
          <t>20H 17M 0S</t>
        </is>
      </c>
      <c r="T370" s="728" t="n"/>
      <c r="U370" s="729" t="n"/>
      <c r="V370" s="730" t="n"/>
      <c r="W370" s="731" t="n"/>
      <c r="X370" s="732" t="n"/>
      <c r="Y370" s="728" t="n"/>
      <c r="Z370" s="729" t="n"/>
      <c r="AA370" s="730" t="n"/>
      <c r="AB370" s="731" t="n"/>
      <c r="AC370" s="732" t="n"/>
      <c r="AD370" s="719" t="inlineStr">
        <is>
          <t>No</t>
        </is>
      </c>
      <c r="AE370" s="733" t="n"/>
      <c r="AF370" s="733" t="n"/>
      <c r="AG370" s="733" t="n"/>
      <c r="AH370" s="733" t="n"/>
      <c r="AI370" s="719" t="inlineStr">
        <is>
          <t>Limit</t>
        </is>
      </c>
      <c r="AJ370" s="733" t="n"/>
      <c r="AK370" s="733" t="n"/>
      <c r="AL370" s="733" t="n"/>
      <c r="AM370" s="733" t="n"/>
      <c r="AN370" s="733" t="n"/>
      <c r="AO370" s="733" t="n"/>
      <c r="AP370" s="719" t="inlineStr">
        <is>
          <t>Pullback</t>
        </is>
      </c>
      <c r="AQ370" s="719" t="inlineStr">
        <is>
          <t>DAILY</t>
        </is>
      </c>
      <c r="AR370" s="719" t="inlineStr">
        <is>
          <t>No</t>
        </is>
      </c>
      <c r="AS370" s="733" t="n"/>
      <c r="AT370" s="733" t="n"/>
      <c r="AU370" s="733" t="n"/>
      <c r="AV370" s="733" t="n"/>
      <c r="AW370" s="719" t="inlineStr">
        <is>
          <t>trade</t>
        </is>
      </c>
      <c r="AX370" s="734" t="inlineStr">
        <is>
          <t>sig:6e67c37901353763244d25da</t>
        </is>
      </c>
    </row>
    <row r="371" ht="15" customHeight="1">
      <c r="A371" s="716" t="inlineStr">
        <is>
          <t>F866</t>
        </is>
      </c>
      <c r="B371" s="717" t="n">
        <v>44436.03888888889</v>
      </c>
      <c r="C371" s="718" t="n">
        <v>44436.28263888889</v>
      </c>
      <c r="D371" s="719" t="inlineStr">
        <is>
          <t>PEPPERSTONE LIVE</t>
        </is>
      </c>
      <c r="E371" s="719" t="inlineStr">
        <is>
          <t>GBPNZD</t>
        </is>
      </c>
      <c r="F371" s="719" t="inlineStr">
        <is>
          <t>BUY</t>
        </is>
      </c>
      <c r="G371" s="735" t="n">
        <v>0.01</v>
      </c>
      <c r="H371" s="720" t="n">
        <v>1.9648</v>
      </c>
      <c r="I371" s="720" t="n">
        <v>1.96122</v>
      </c>
      <c r="J371" s="721" t="n">
        <v>1.959</v>
      </c>
      <c r="K371" s="722" t="n">
        <v>0.002951954397394151</v>
      </c>
      <c r="L371" s="721" t="n">
        <v>1.9917</v>
      </c>
      <c r="M371" s="722" t="n">
        <v>0.01369096091205208</v>
      </c>
      <c r="N371" s="761" t="n"/>
      <c r="O371" s="762" t="n">
        <v>-3.47</v>
      </c>
      <c r="P371" s="725" t="n">
        <v>-0.007591004550227512</v>
      </c>
      <c r="Q371" s="726" t="n">
        <v>-0.6172413793103658</v>
      </c>
      <c r="R371" s="764" t="n">
        <v>453.6499999999999</v>
      </c>
      <c r="S371" s="719" t="inlineStr">
        <is>
          <t>5H 51M 0S</t>
        </is>
      </c>
      <c r="T371" s="728" t="n"/>
      <c r="U371" s="729" t="n"/>
      <c r="V371" s="730" t="n"/>
      <c r="W371" s="731" t="n"/>
      <c r="X371" s="732" t="n"/>
      <c r="Y371" s="728" t="n"/>
      <c r="Z371" s="729" t="n"/>
      <c r="AA371" s="730" t="n"/>
      <c r="AB371" s="731" t="n"/>
      <c r="AC371" s="732" t="n"/>
      <c r="AD371" s="719" t="inlineStr">
        <is>
          <t>No</t>
        </is>
      </c>
      <c r="AE371" s="733" t="n"/>
      <c r="AF371" s="733" t="n"/>
      <c r="AG371" s="733" t="n"/>
      <c r="AH371" s="733" t="n"/>
      <c r="AI371" s="719" t="inlineStr">
        <is>
          <t>Limit</t>
        </is>
      </c>
      <c r="AJ371" s="733" t="n"/>
      <c r="AK371" s="733" t="n"/>
      <c r="AL371" s="733" t="n"/>
      <c r="AM371" s="733" t="n"/>
      <c r="AN371" s="733" t="n"/>
      <c r="AO371" s="719" t="inlineStr">
        <is>
          <t>Yes</t>
        </is>
      </c>
      <c r="AP371" s="719" t="inlineStr">
        <is>
          <t>Pullback</t>
        </is>
      </c>
      <c r="AQ371" s="719" t="inlineStr">
        <is>
          <t>DAILY</t>
        </is>
      </c>
      <c r="AR371" s="719" t="inlineStr">
        <is>
          <t>No</t>
        </is>
      </c>
      <c r="AS371" s="733" t="n"/>
      <c r="AT371" s="733" t="n"/>
      <c r="AU371" s="733" t="n"/>
      <c r="AV371" s="733" t="n"/>
      <c r="AW371" s="719" t="inlineStr">
        <is>
          <t>trade</t>
        </is>
      </c>
      <c r="AX371" s="734" t="inlineStr">
        <is>
          <t>sig:6c2ad1b7d014069b7c7cb927</t>
        </is>
      </c>
    </row>
    <row r="372" ht="15" customHeight="1">
      <c r="A372" s="716" t="inlineStr">
        <is>
          <t>C260</t>
        </is>
      </c>
      <c r="B372" s="717" t="n">
        <v>44431.85208333333</v>
      </c>
      <c r="C372" s="718" t="n">
        <v>44432.14097222222</v>
      </c>
      <c r="D372" s="719" t="inlineStr">
        <is>
          <t>BYBIT</t>
        </is>
      </c>
      <c r="E372" s="719" t="inlineStr">
        <is>
          <t>XTZUSDT</t>
        </is>
      </c>
      <c r="F372" s="719" t="inlineStr">
        <is>
          <t>SELL</t>
        </is>
      </c>
      <c r="G372" s="720" t="n">
        <v>5.8</v>
      </c>
      <c r="H372" s="720" t="n">
        <v>4</v>
      </c>
      <c r="I372" s="720" t="n">
        <v>4.236</v>
      </c>
      <c r="J372" s="721" t="n">
        <v>4.234</v>
      </c>
      <c r="K372" s="722" t="n">
        <v>0.0585</v>
      </c>
      <c r="L372" s="721" t="n">
        <v>3.189</v>
      </c>
      <c r="M372" s="722" t="n">
        <v>0.20275</v>
      </c>
      <c r="N372" s="723" t="n">
        <v>0.01844498</v>
      </c>
      <c r="O372" s="724" t="n">
        <v>-1.35122167</v>
      </c>
      <c r="P372" s="725" t="n">
        <v>-0.005017187199870477</v>
      </c>
      <c r="Q372" s="726" t="n">
        <v>-1.008547008547008</v>
      </c>
      <c r="R372" s="727" t="n">
        <v>267.96734592</v>
      </c>
      <c r="S372" s="719" t="inlineStr">
        <is>
          <t>6H 56M 0S</t>
        </is>
      </c>
      <c r="T372" s="728" t="n"/>
      <c r="U372" s="729" t="n"/>
      <c r="V372" s="730" t="n"/>
      <c r="W372" s="731" t="n"/>
      <c r="X372" s="732" t="n"/>
      <c r="Y372" s="728" t="n"/>
      <c r="Z372" s="729" t="n"/>
      <c r="AA372" s="730" t="n"/>
      <c r="AB372" s="731" t="n"/>
      <c r="AC372" s="732" t="n"/>
      <c r="AD372" s="719" t="inlineStr">
        <is>
          <t>No</t>
        </is>
      </c>
      <c r="AE372" s="733" t="n"/>
      <c r="AF372" s="733" t="n"/>
      <c r="AG372" s="733" t="n"/>
      <c r="AH372" s="733" t="n"/>
      <c r="AI372" s="719" t="inlineStr">
        <is>
          <t>Limit</t>
        </is>
      </c>
      <c r="AJ372" s="733" t="n"/>
      <c r="AK372" s="733" t="n"/>
      <c r="AL372" s="733" t="n"/>
      <c r="AM372" s="733" t="n"/>
      <c r="AN372" s="733" t="n"/>
      <c r="AO372" s="733" t="n"/>
      <c r="AP372" s="719" t="inlineStr">
        <is>
          <t>Pullback</t>
        </is>
      </c>
      <c r="AQ372" s="719" t="inlineStr">
        <is>
          <t>WEEKLY</t>
        </is>
      </c>
      <c r="AR372" s="719" t="inlineStr">
        <is>
          <t>No</t>
        </is>
      </c>
      <c r="AS372" s="733" t="n"/>
      <c r="AT372" s="733" t="n"/>
      <c r="AU372" s="733" t="n"/>
      <c r="AV372" s="733" t="n"/>
      <c r="AW372" s="719" t="inlineStr">
        <is>
          <t>trade</t>
        </is>
      </c>
      <c r="AX372" s="734" t="inlineStr">
        <is>
          <t>sig:b86ae4182a738844e5868188</t>
        </is>
      </c>
    </row>
    <row r="373" ht="15" customHeight="1">
      <c r="A373" s="716" t="inlineStr">
        <is>
          <t>C259</t>
        </is>
      </c>
      <c r="B373" s="717" t="n">
        <v>44429.02708333333</v>
      </c>
      <c r="C373" s="718" t="n">
        <v>44429.02708333333</v>
      </c>
      <c r="D373" s="719" t="inlineStr">
        <is>
          <t>BYBIT</t>
        </is>
      </c>
      <c r="E373" s="719" t="inlineStr">
        <is>
          <t>BTCUSDT</t>
        </is>
      </c>
      <c r="F373" s="719" t="inlineStr">
        <is>
          <t>SELL</t>
        </is>
      </c>
      <c r="G373" s="757" t="n">
        <v>0.003</v>
      </c>
      <c r="H373" s="720" t="n">
        <v>48000</v>
      </c>
      <c r="I373" s="720" t="n">
        <v>48508.5</v>
      </c>
      <c r="J373" s="721" t="n">
        <v>48448</v>
      </c>
      <c r="K373" s="722" t="n">
        <v>0.009333333333333334</v>
      </c>
      <c r="L373" s="721" t="n">
        <v>46456</v>
      </c>
      <c r="M373" s="722" t="n">
        <v>0.03216666666666667</v>
      </c>
      <c r="N373" s="723" t="n">
        <v>0.07314413</v>
      </c>
      <c r="O373" s="724" t="n">
        <v>-1.59951078</v>
      </c>
      <c r="P373" s="725" t="n">
        <v>-0.005904038555210427</v>
      </c>
      <c r="Q373" s="726" t="n">
        <v>-1.135044642857143</v>
      </c>
      <c r="R373" s="727" t="n">
        <v>269.31856759</v>
      </c>
      <c r="S373" s="719" t="inlineStr">
        <is>
          <t>1S</t>
        </is>
      </c>
      <c r="T373" s="728" t="n"/>
      <c r="U373" s="729" t="n"/>
      <c r="V373" s="730" t="n"/>
      <c r="W373" s="731" t="n"/>
      <c r="X373" s="732" t="n"/>
      <c r="Y373" s="728" t="n"/>
      <c r="Z373" s="729" t="n"/>
      <c r="AA373" s="730" t="n"/>
      <c r="AB373" s="731" t="n"/>
      <c r="AC373" s="732" t="n"/>
      <c r="AD373" s="719" t="inlineStr">
        <is>
          <t>No</t>
        </is>
      </c>
      <c r="AE373" s="733" t="n"/>
      <c r="AF373" s="733" t="n"/>
      <c r="AG373" s="733" t="n"/>
      <c r="AH373" s="733" t="n"/>
      <c r="AI373" s="719" t="inlineStr">
        <is>
          <t>Limit</t>
        </is>
      </c>
      <c r="AJ373" s="733" t="n"/>
      <c r="AK373" s="733" t="n"/>
      <c r="AL373" s="733" t="n"/>
      <c r="AM373" s="733" t="n"/>
      <c r="AN373" s="733" t="n"/>
      <c r="AO373" s="719" t="n"/>
      <c r="AP373" s="719" t="inlineStr">
        <is>
          <t>Pullback</t>
        </is>
      </c>
      <c r="AQ373" s="719" t="inlineStr">
        <is>
          <t>4H</t>
        </is>
      </c>
      <c r="AR373" s="719" t="inlineStr">
        <is>
          <t>No</t>
        </is>
      </c>
      <c r="AS373" s="733" t="n"/>
      <c r="AT373" s="733" t="n"/>
      <c r="AU373" s="733" t="n"/>
      <c r="AV373" s="733" t="n"/>
      <c r="AW373" s="719" t="inlineStr">
        <is>
          <t>trade</t>
        </is>
      </c>
      <c r="AX373" s="734" t="inlineStr">
        <is>
          <t>sig:edbeb70466b0ca2657b878d4</t>
        </is>
      </c>
    </row>
    <row r="374" ht="15" customHeight="1">
      <c r="A374" s="716" t="inlineStr">
        <is>
          <t>C258</t>
        </is>
      </c>
      <c r="B374" s="717" t="n">
        <v>44422.86944444444</v>
      </c>
      <c r="C374" s="718" t="n">
        <v>44423.74097222222</v>
      </c>
      <c r="D374" s="719" t="inlineStr">
        <is>
          <t>BYBIT</t>
        </is>
      </c>
      <c r="E374" s="719" t="inlineStr">
        <is>
          <t>BTCUSDT</t>
        </is>
      </c>
      <c r="F374" s="719" t="inlineStr">
        <is>
          <t>BUY</t>
        </is>
      </c>
      <c r="G374" s="757" t="n">
        <v>0.003</v>
      </c>
      <c r="H374" s="720" t="n">
        <v>46459</v>
      </c>
      <c r="I374" s="720" t="n">
        <v>45980.5</v>
      </c>
      <c r="J374" s="721" t="n">
        <v>45978.5</v>
      </c>
      <c r="K374" s="722" t="n">
        <v>0.01034245248498676</v>
      </c>
      <c r="L374" s="721" t="n">
        <v>47856.5</v>
      </c>
      <c r="M374" s="722" t="n">
        <v>0.03008028584343184</v>
      </c>
      <c r="N374" s="758" t="n">
        <v>0.10038807</v>
      </c>
      <c r="O374" s="724" t="n">
        <v>-1.53675472</v>
      </c>
      <c r="P374" s="725" t="n">
        <v>-0.005640401759701447</v>
      </c>
      <c r="Q374" s="726" t="n">
        <v>-0.9958376690946931</v>
      </c>
      <c r="R374" s="727" t="n">
        <v>270.91807837</v>
      </c>
      <c r="S374" s="719" t="inlineStr">
        <is>
          <t>20H 55M 0S</t>
        </is>
      </c>
      <c r="T374" s="728" t="n"/>
      <c r="U374" s="729" t="n"/>
      <c r="V374" s="730" t="n"/>
      <c r="W374" s="731" t="n"/>
      <c r="X374" s="732" t="n"/>
      <c r="Y374" s="728" t="n"/>
      <c r="Z374" s="729" t="n"/>
      <c r="AA374" s="730" t="n"/>
      <c r="AB374" s="731" t="n"/>
      <c r="AC374" s="732" t="n"/>
      <c r="AD374" s="719" t="inlineStr">
        <is>
          <t>No</t>
        </is>
      </c>
      <c r="AE374" s="733" t="n"/>
      <c r="AF374" s="733" t="n"/>
      <c r="AG374" s="733" t="n"/>
      <c r="AH374" s="733" t="n"/>
      <c r="AI374" s="719" t="inlineStr">
        <is>
          <t>Limit</t>
        </is>
      </c>
      <c r="AJ374" s="733" t="n"/>
      <c r="AK374" s="733" t="n"/>
      <c r="AL374" s="733" t="n"/>
      <c r="AM374" s="733" t="n"/>
      <c r="AN374" s="733" t="n"/>
      <c r="AO374" s="733" t="n"/>
      <c r="AP374" s="719" t="inlineStr">
        <is>
          <t>Pullback</t>
        </is>
      </c>
      <c r="AQ374" s="719" t="inlineStr">
        <is>
          <t>4H</t>
        </is>
      </c>
      <c r="AR374" s="719" t="inlineStr">
        <is>
          <t>No</t>
        </is>
      </c>
      <c r="AS374" s="733" t="n"/>
      <c r="AT374" s="733" t="n"/>
      <c r="AU374" s="733" t="n"/>
      <c r="AV374" s="733" t="n"/>
      <c r="AW374" s="719" t="inlineStr">
        <is>
          <t>trade</t>
        </is>
      </c>
      <c r="AX374" s="734" t="inlineStr">
        <is>
          <t>sig:0a8df988f02300b5a577280f</t>
        </is>
      </c>
    </row>
    <row r="375" ht="15" customHeight="1">
      <c r="A375" s="716" t="inlineStr">
        <is>
          <t>C257</t>
        </is>
      </c>
      <c r="B375" s="717" t="n">
        <v>44420.64722222222</v>
      </c>
      <c r="C375" s="718" t="n">
        <v>44420.93541666667</v>
      </c>
      <c r="D375" s="719" t="inlineStr">
        <is>
          <t>BYBIT</t>
        </is>
      </c>
      <c r="E375" s="719" t="inlineStr">
        <is>
          <t>BTCUSDT</t>
        </is>
      </c>
      <c r="F375" s="719" t="inlineStr">
        <is>
          <t>BUY</t>
        </is>
      </c>
      <c r="G375" s="757" t="n">
        <v>0.003</v>
      </c>
      <c r="H375" s="720" t="n">
        <v>45000</v>
      </c>
      <c r="I375" s="720" t="n">
        <v>44507</v>
      </c>
      <c r="J375" s="721" t="n">
        <v>44510</v>
      </c>
      <c r="K375" s="722" t="n">
        <v>0.01088888888888889</v>
      </c>
      <c r="L375" s="721" t="n">
        <v>46360</v>
      </c>
      <c r="M375" s="722" t="n">
        <v>0.03022222222222222</v>
      </c>
      <c r="N375" s="723" t="n">
        <v>0.07996391</v>
      </c>
      <c r="O375" s="724" t="n">
        <v>-1.55983056</v>
      </c>
      <c r="P375" s="725" t="n">
        <v>-0.005692507617009786</v>
      </c>
      <c r="Q375" s="726" t="n">
        <v>-1.006122448979592</v>
      </c>
      <c r="R375" s="727" t="n">
        <v>272.45483309</v>
      </c>
      <c r="S375" s="719" t="inlineStr">
        <is>
          <t>6H 55M 0S</t>
        </is>
      </c>
      <c r="T375" s="728" t="n"/>
      <c r="U375" s="729" t="n"/>
      <c r="V375" s="730" t="n"/>
      <c r="W375" s="731" t="n"/>
      <c r="X375" s="732" t="n"/>
      <c r="Y375" s="728" t="n"/>
      <c r="Z375" s="729" t="n"/>
      <c r="AA375" s="730" t="n"/>
      <c r="AB375" s="731" t="n"/>
      <c r="AC375" s="732" t="n"/>
      <c r="AD375" s="719" t="inlineStr">
        <is>
          <t>No</t>
        </is>
      </c>
      <c r="AE375" s="733" t="n"/>
      <c r="AF375" s="733" t="n"/>
      <c r="AG375" s="733" t="n"/>
      <c r="AH375" s="733" t="n"/>
      <c r="AI375" s="719" t="inlineStr">
        <is>
          <t>Limit</t>
        </is>
      </c>
      <c r="AJ375" s="733" t="n"/>
      <c r="AK375" s="733" t="n"/>
      <c r="AL375" s="733" t="n"/>
      <c r="AM375" s="733" t="n"/>
      <c r="AN375" s="733" t="n"/>
      <c r="AO375" s="733" t="n"/>
      <c r="AP375" s="719" t="inlineStr">
        <is>
          <t>Pullback</t>
        </is>
      </c>
      <c r="AQ375" s="719" t="inlineStr">
        <is>
          <t>4H</t>
        </is>
      </c>
      <c r="AR375" s="719" t="inlineStr">
        <is>
          <t>No</t>
        </is>
      </c>
      <c r="AS375" s="782" t="n"/>
      <c r="AT375" s="733" t="n"/>
      <c r="AU375" s="719" t="n"/>
      <c r="AV375" s="719" t="n"/>
      <c r="AW375" s="719" t="inlineStr">
        <is>
          <t>trade</t>
        </is>
      </c>
      <c r="AX375" s="734" t="inlineStr">
        <is>
          <t>sig:89083b886e760f3d029bd4ca</t>
        </is>
      </c>
    </row>
    <row r="376" ht="15" customHeight="1">
      <c r="A376" s="716" t="inlineStr">
        <is>
          <t>F865</t>
        </is>
      </c>
      <c r="B376" s="717" t="n">
        <v>44419.93888888889</v>
      </c>
      <c r="C376" s="718" t="n">
        <v>44420.03472222222</v>
      </c>
      <c r="D376" s="719" t="inlineStr">
        <is>
          <t>PEPPERSTONE LIVE</t>
        </is>
      </c>
      <c r="E376" s="719" t="inlineStr">
        <is>
          <t>EURNZD</t>
        </is>
      </c>
      <c r="F376" s="719" t="inlineStr">
        <is>
          <t>BUY</t>
        </is>
      </c>
      <c r="G376" s="735" t="n">
        <v>0.01</v>
      </c>
      <c r="H376" s="720" t="n">
        <v>1.6691</v>
      </c>
      <c r="I376" s="720" t="n">
        <v>1.66425</v>
      </c>
      <c r="J376" s="721" t="n">
        <v>1.6642</v>
      </c>
      <c r="K376" s="722" t="n">
        <v>0.002935713857767735</v>
      </c>
      <c r="L376" s="721" t="n">
        <v>1.6844</v>
      </c>
      <c r="M376" s="722" t="n">
        <v>0.009166616739560164</v>
      </c>
      <c r="N376" s="761" t="n"/>
      <c r="O376" s="762" t="n">
        <v>-4.72</v>
      </c>
      <c r="P376" s="725" t="n">
        <v>-0.01021998960679023</v>
      </c>
      <c r="Q376" s="726" t="n">
        <v>-0.9897959183673257</v>
      </c>
      <c r="R376" s="764" t="n">
        <v>457.1199999999999</v>
      </c>
      <c r="S376" s="719" t="inlineStr">
        <is>
          <t>2H 18M 0S</t>
        </is>
      </c>
      <c r="T376" s="728" t="n"/>
      <c r="U376" s="729" t="n"/>
      <c r="V376" s="730" t="n"/>
      <c r="W376" s="731" t="n"/>
      <c r="X376" s="732" t="n"/>
      <c r="Y376" s="728" t="n"/>
      <c r="Z376" s="729" t="n"/>
      <c r="AA376" s="730" t="n"/>
      <c r="AB376" s="731" t="n"/>
      <c r="AC376" s="732" t="n"/>
      <c r="AD376" s="719" t="inlineStr">
        <is>
          <t>No</t>
        </is>
      </c>
      <c r="AE376" s="733" t="n"/>
      <c r="AF376" s="733" t="n"/>
      <c r="AG376" s="733" t="n"/>
      <c r="AH376" s="733" t="n"/>
      <c r="AI376" s="719" t="inlineStr">
        <is>
          <t>Limit</t>
        </is>
      </c>
      <c r="AJ376" s="733" t="n"/>
      <c r="AK376" s="733" t="n"/>
      <c r="AL376" s="733" t="n"/>
      <c r="AM376" s="733" t="n"/>
      <c r="AN376" s="733" t="n"/>
      <c r="AO376" s="733" t="n"/>
      <c r="AP376" s="719" t="inlineStr">
        <is>
          <t>Pullback</t>
        </is>
      </c>
      <c r="AQ376" s="719" t="inlineStr">
        <is>
          <t>DAILY</t>
        </is>
      </c>
      <c r="AR376" s="719" t="inlineStr">
        <is>
          <t>No</t>
        </is>
      </c>
      <c r="AS376" s="733" t="n"/>
      <c r="AT376" s="733" t="n"/>
      <c r="AU376" s="733" t="n"/>
      <c r="AV376" s="733" t="n"/>
      <c r="AW376" s="719" t="inlineStr">
        <is>
          <t>trade</t>
        </is>
      </c>
      <c r="AX376" s="734" t="inlineStr">
        <is>
          <t>sig:0b5f83f5121950cf72fd6d05</t>
        </is>
      </c>
    </row>
    <row r="377" ht="15" customHeight="1">
      <c r="A377" s="716" t="inlineStr">
        <is>
          <t>F864</t>
        </is>
      </c>
      <c r="B377" s="717" t="n">
        <v>44418.98611111111</v>
      </c>
      <c r="C377" s="718" t="n">
        <v>44419.27638888889</v>
      </c>
      <c r="D377" s="719" t="inlineStr">
        <is>
          <t>PEPPERSTONE LIVE</t>
        </is>
      </c>
      <c r="E377" s="719" t="inlineStr">
        <is>
          <t>CADJPY</t>
        </is>
      </c>
      <c r="F377" s="719" t="inlineStr">
        <is>
          <t>SELL</t>
        </is>
      </c>
      <c r="G377" s="735" t="n">
        <v>0.01</v>
      </c>
      <c r="H377" s="720" t="n">
        <v>88</v>
      </c>
      <c r="I377" s="720" t="n">
        <v>88.315</v>
      </c>
      <c r="J377" s="721" t="n">
        <v>88.33</v>
      </c>
      <c r="K377" s="722" t="n">
        <v>0.003749999999999981</v>
      </c>
      <c r="L377" s="721" t="n">
        <v>87.06</v>
      </c>
      <c r="M377" s="722" t="n">
        <v>0.01068181818181816</v>
      </c>
      <c r="N377" s="761" t="n"/>
      <c r="O377" s="762" t="n">
        <v>-3.87</v>
      </c>
      <c r="P377" s="725" t="n">
        <v>-0.008309892422322905</v>
      </c>
      <c r="Q377" s="726" t="n">
        <v>-0.9545454545454526</v>
      </c>
      <c r="R377" s="764" t="n">
        <v>461.84</v>
      </c>
      <c r="S377" s="719" t="inlineStr">
        <is>
          <t>6H 58M 0S</t>
        </is>
      </c>
      <c r="T377" s="728" t="n"/>
      <c r="U377" s="729" t="n"/>
      <c r="V377" s="730" t="n"/>
      <c r="W377" s="731" t="n"/>
      <c r="X377" s="732" t="n"/>
      <c r="Y377" s="728" t="n"/>
      <c r="Z377" s="729" t="n"/>
      <c r="AA377" s="730" t="n"/>
      <c r="AB377" s="731" t="n"/>
      <c r="AC377" s="732" t="n"/>
      <c r="AD377" s="719" t="inlineStr">
        <is>
          <t>No</t>
        </is>
      </c>
      <c r="AE377" s="733" t="n"/>
      <c r="AF377" s="733" t="n"/>
      <c r="AG377" s="733" t="n"/>
      <c r="AH377" s="733" t="n"/>
      <c r="AI377" s="719" t="inlineStr">
        <is>
          <t>Limit</t>
        </is>
      </c>
      <c r="AJ377" s="733" t="n"/>
      <c r="AK377" s="733" t="n"/>
      <c r="AL377" s="733" t="n"/>
      <c r="AM377" s="733" t="n"/>
      <c r="AN377" s="733" t="n"/>
      <c r="AO377" s="733" t="n"/>
      <c r="AP377" s="719" t="inlineStr">
        <is>
          <t>Pullback</t>
        </is>
      </c>
      <c r="AQ377" s="719" t="inlineStr">
        <is>
          <t>DAILY</t>
        </is>
      </c>
      <c r="AR377" s="719" t="inlineStr">
        <is>
          <t>No</t>
        </is>
      </c>
      <c r="AS377" s="733" t="n"/>
      <c r="AT377" s="733" t="n"/>
      <c r="AU377" s="733" t="n"/>
      <c r="AV377" s="733" t="n"/>
      <c r="AW377" s="719" t="inlineStr">
        <is>
          <t>trade</t>
        </is>
      </c>
      <c r="AX377" s="734" t="inlineStr">
        <is>
          <t>sig:f11aa1841ba94162c5734b48</t>
        </is>
      </c>
    </row>
    <row r="378" ht="15" customHeight="1">
      <c r="A378" s="716" t="inlineStr">
        <is>
          <t>C256</t>
        </is>
      </c>
      <c r="B378" s="717" t="n">
        <v>44416.08680555555</v>
      </c>
      <c r="C378" s="718" t="n">
        <v>44416.09652777778</v>
      </c>
      <c r="D378" s="719" t="inlineStr">
        <is>
          <t>BYBIT</t>
        </is>
      </c>
      <c r="E378" s="719" t="inlineStr">
        <is>
          <t>ETHUSDT</t>
        </is>
      </c>
      <c r="F378" s="719" t="inlineStr">
        <is>
          <t>BUY</t>
        </is>
      </c>
      <c r="G378" s="735" t="n">
        <v>0.04</v>
      </c>
      <c r="H378" s="720" t="n">
        <v>3046.85</v>
      </c>
      <c r="I378" s="720" t="n">
        <v>3010.7</v>
      </c>
      <c r="J378" s="721" t="n">
        <v>3011.95</v>
      </c>
      <c r="K378" s="722" t="n">
        <v>0.01145445295961406</v>
      </c>
      <c r="L378" s="721" t="n">
        <v>3186.2</v>
      </c>
      <c r="M378" s="722" t="n">
        <v>0.04573575988315799</v>
      </c>
      <c r="N378" s="723" t="n">
        <v>0.0598525</v>
      </c>
      <c r="O378" s="724" t="n">
        <v>-1.50671915</v>
      </c>
      <c r="P378" s="725" t="n">
        <v>-0.005468610583642874</v>
      </c>
      <c r="Q378" s="726" t="n">
        <v>-1.035816618911175</v>
      </c>
      <c r="R378" s="727" t="n">
        <v>274.01466365</v>
      </c>
      <c r="S378" s="719" t="inlineStr">
        <is>
          <t>14M 0S</t>
        </is>
      </c>
      <c r="T378" s="728" t="n"/>
      <c r="U378" s="729" t="n"/>
      <c r="V378" s="730" t="n"/>
      <c r="W378" s="731" t="n"/>
      <c r="X378" s="732" t="n"/>
      <c r="Y378" s="728" t="n"/>
      <c r="Z378" s="729" t="n"/>
      <c r="AA378" s="730" t="n"/>
      <c r="AB378" s="731" t="n"/>
      <c r="AC378" s="732" t="n"/>
      <c r="AD378" s="719" t="inlineStr">
        <is>
          <t>No</t>
        </is>
      </c>
      <c r="AE378" s="733" t="n"/>
      <c r="AF378" s="733" t="n"/>
      <c r="AG378" s="733" t="n"/>
      <c r="AH378" s="733" t="n"/>
      <c r="AI378" s="719" t="inlineStr">
        <is>
          <t>Limit</t>
        </is>
      </c>
      <c r="AJ378" s="733" t="n"/>
      <c r="AK378" s="733" t="n"/>
      <c r="AL378" s="733" t="n"/>
      <c r="AM378" s="733" t="n"/>
      <c r="AN378" s="733" t="n"/>
      <c r="AO378" s="733" t="n"/>
      <c r="AP378" s="719" t="inlineStr">
        <is>
          <t>Pullback</t>
        </is>
      </c>
      <c r="AQ378" s="719" t="inlineStr">
        <is>
          <t>1H</t>
        </is>
      </c>
      <c r="AR378" s="719" t="inlineStr">
        <is>
          <t>No</t>
        </is>
      </c>
      <c r="AS378" s="733" t="n"/>
      <c r="AT378" s="733" t="n"/>
      <c r="AU378" s="733" t="n"/>
      <c r="AV378" s="733" t="n"/>
      <c r="AW378" s="719" t="inlineStr">
        <is>
          <t>trade</t>
        </is>
      </c>
      <c r="AX378" s="734" t="inlineStr">
        <is>
          <t>sig:1c5c5bf679462769a0bede3b</t>
        </is>
      </c>
    </row>
    <row r="379" ht="15" customHeight="1">
      <c r="A379" s="716" t="inlineStr">
        <is>
          <t>C255</t>
        </is>
      </c>
      <c r="B379" s="717" t="n">
        <v>44415.15555555555</v>
      </c>
      <c r="C379" s="718" t="n">
        <v>44415.81319444445</v>
      </c>
      <c r="D379" s="719" t="inlineStr">
        <is>
          <t>BYBIT</t>
        </is>
      </c>
      <c r="E379" s="719" t="inlineStr">
        <is>
          <t>ETHUSDT</t>
        </is>
      </c>
      <c r="F379" s="719" t="inlineStr">
        <is>
          <t>SELL</t>
        </is>
      </c>
      <c r="G379" s="735" t="n">
        <v>0.01</v>
      </c>
      <c r="H379" s="720" t="n">
        <v>2900</v>
      </c>
      <c r="I379" s="720" t="n">
        <v>3032</v>
      </c>
      <c r="J379" s="721" t="n">
        <v>3030.15</v>
      </c>
      <c r="K379" s="722" t="n">
        <v>0.04487931034482762</v>
      </c>
      <c r="L379" s="721" t="n">
        <v>2327.5</v>
      </c>
      <c r="M379" s="722" t="n">
        <v>0.1974137931034483</v>
      </c>
      <c r="N379" s="811" t="n">
        <v>0.00964311</v>
      </c>
      <c r="O379" s="724" t="n">
        <v>-1.33050976</v>
      </c>
      <c r="P379" s="725" t="n">
        <v>-0.004805853944854824</v>
      </c>
      <c r="Q379" s="726" t="n">
        <v>-1.01421436803688</v>
      </c>
      <c r="R379" s="727" t="n">
        <v>275.5213828</v>
      </c>
      <c r="S379" s="719" t="inlineStr">
        <is>
          <t>15H 47M 0S</t>
        </is>
      </c>
      <c r="T379" s="728" t="n"/>
      <c r="U379" s="729" t="n"/>
      <c r="V379" s="730" t="n"/>
      <c r="W379" s="731" t="n"/>
      <c r="X379" s="732" t="n"/>
      <c r="Y379" s="728" t="n"/>
      <c r="Z379" s="729" t="n"/>
      <c r="AA379" s="730" t="n"/>
      <c r="AB379" s="731" t="n"/>
      <c r="AC379" s="732" t="n"/>
      <c r="AD379" s="719" t="inlineStr">
        <is>
          <t>No</t>
        </is>
      </c>
      <c r="AE379" s="733" t="n"/>
      <c r="AF379" s="733" t="n"/>
      <c r="AG379" s="733" t="n"/>
      <c r="AH379" s="733" t="n"/>
      <c r="AI379" s="719" t="inlineStr">
        <is>
          <t>Limit</t>
        </is>
      </c>
      <c r="AJ379" s="733" t="n"/>
      <c r="AK379" s="733" t="n"/>
      <c r="AL379" s="733" t="n"/>
      <c r="AM379" s="733" t="n"/>
      <c r="AN379" s="733" t="n"/>
      <c r="AO379" s="733" t="n"/>
      <c r="AP379" s="719" t="inlineStr">
        <is>
          <t>Pullback</t>
        </is>
      </c>
      <c r="AQ379" s="719" t="inlineStr">
        <is>
          <t>DAILY</t>
        </is>
      </c>
      <c r="AR379" s="719" t="inlineStr">
        <is>
          <t>No</t>
        </is>
      </c>
      <c r="AS379" s="733" t="n"/>
      <c r="AT379" s="733" t="n"/>
      <c r="AU379" s="733" t="n"/>
      <c r="AV379" s="733" t="n"/>
      <c r="AW379" s="719" t="inlineStr">
        <is>
          <t>trade</t>
        </is>
      </c>
      <c r="AX379" s="734" t="inlineStr">
        <is>
          <t>sig:47cda3a4499dbc0d9694000b</t>
        </is>
      </c>
    </row>
    <row r="380" ht="15" customHeight="1">
      <c r="A380" s="716" t="inlineStr">
        <is>
          <t>F863</t>
        </is>
      </c>
      <c r="B380" s="717" t="n">
        <v>44411.60416666666</v>
      </c>
      <c r="C380" s="718" t="n">
        <v>44411.60972222222</v>
      </c>
      <c r="D380" s="719" t="inlineStr">
        <is>
          <t>PEPPERSTONE LIVE</t>
        </is>
      </c>
      <c r="E380" s="719" t="inlineStr">
        <is>
          <t>GBPAUD</t>
        </is>
      </c>
      <c r="F380" s="719" t="inlineStr">
        <is>
          <t>BUY</t>
        </is>
      </c>
      <c r="G380" s="735" t="n">
        <v>0.02</v>
      </c>
      <c r="H380" s="720" t="n">
        <v>1.8802</v>
      </c>
      <c r="I380" s="720" t="n">
        <v>1.87754</v>
      </c>
      <c r="J380" s="721" t="n">
        <v>1.8775</v>
      </c>
      <c r="K380" s="722" t="n">
        <v>0.001436017444952743</v>
      </c>
      <c r="L380" s="721" t="n">
        <v>1.8951</v>
      </c>
      <c r="M380" s="722" t="n">
        <v>0.007924688862886881</v>
      </c>
      <c r="N380" s="761" t="n"/>
      <c r="O380" s="762" t="n">
        <v>-5.4</v>
      </c>
      <c r="P380" s="725" t="n">
        <v>-0.01146229118464902</v>
      </c>
      <c r="Q380" s="726" t="n">
        <v>-0.9851851851851712</v>
      </c>
      <c r="R380" s="764" t="n">
        <v>465.71</v>
      </c>
      <c r="S380" s="719" t="inlineStr">
        <is>
          <t>8M 0S</t>
        </is>
      </c>
      <c r="T380" s="728" t="n"/>
      <c r="U380" s="729" t="n"/>
      <c r="V380" s="730" t="n"/>
      <c r="W380" s="731" t="n"/>
      <c r="X380" s="732" t="n"/>
      <c r="Y380" s="728" t="n"/>
      <c r="Z380" s="729" t="n"/>
      <c r="AA380" s="730" t="n"/>
      <c r="AB380" s="731" t="n"/>
      <c r="AC380" s="732" t="n"/>
      <c r="AD380" s="719" t="inlineStr">
        <is>
          <t>No</t>
        </is>
      </c>
      <c r="AE380" s="733" t="n"/>
      <c r="AF380" s="733" t="n"/>
      <c r="AG380" s="733" t="n"/>
      <c r="AH380" s="733" t="n"/>
      <c r="AI380" s="719" t="inlineStr">
        <is>
          <t>Limit</t>
        </is>
      </c>
      <c r="AJ380" s="733" t="n"/>
      <c r="AK380" s="733" t="n"/>
      <c r="AL380" s="733" t="n"/>
      <c r="AM380" s="733" t="n"/>
      <c r="AN380" s="733" t="n"/>
      <c r="AO380" s="733" t="n"/>
      <c r="AP380" s="719" t="inlineStr">
        <is>
          <t>Pullback</t>
        </is>
      </c>
      <c r="AQ380" s="719" t="inlineStr">
        <is>
          <t>DAILY</t>
        </is>
      </c>
      <c r="AR380" s="719" t="inlineStr">
        <is>
          <t>No</t>
        </is>
      </c>
      <c r="AS380" s="733" t="n"/>
      <c r="AT380" s="733" t="n"/>
      <c r="AU380" s="733" t="n"/>
      <c r="AV380" s="733" t="n"/>
      <c r="AW380" s="719" t="inlineStr">
        <is>
          <t>trade</t>
        </is>
      </c>
      <c r="AX380" s="734" t="inlineStr">
        <is>
          <t>sig:ebe01407bc7561c5fb93e236</t>
        </is>
      </c>
    </row>
    <row r="381" ht="15" customHeight="1">
      <c r="A381" s="716" t="inlineStr">
        <is>
          <t>C254</t>
        </is>
      </c>
      <c r="B381" s="717" t="n">
        <v>44404.20069444444</v>
      </c>
      <c r="C381" s="718" t="n">
        <v>44408.27847222222</v>
      </c>
      <c r="D381" s="719" t="inlineStr">
        <is>
          <t>BYBIT</t>
        </is>
      </c>
      <c r="E381" s="719" t="inlineStr">
        <is>
          <t>BTCUSDT</t>
        </is>
      </c>
      <c r="F381" s="719" t="inlineStr">
        <is>
          <t>SELL</t>
        </is>
      </c>
      <c r="G381" s="757" t="n">
        <v>0.001</v>
      </c>
      <c r="H381" s="720" t="n">
        <v>40000</v>
      </c>
      <c r="I381" s="720" t="n">
        <v>40221.5</v>
      </c>
      <c r="J381" s="721" t="n">
        <v>41426</v>
      </c>
      <c r="K381" s="722" t="n">
        <v>0.03565</v>
      </c>
      <c r="L381" s="721" t="n">
        <v>32871</v>
      </c>
      <c r="M381" s="722" t="n">
        <v>0.178225</v>
      </c>
      <c r="N381" s="723" t="n">
        <v>0.02438726</v>
      </c>
      <c r="O381" s="724" t="n">
        <v>-0.19797939</v>
      </c>
      <c r="P381" s="763" t="n">
        <v>-0.0007145983811742382</v>
      </c>
      <c r="Q381" s="726" t="n">
        <v>-0.1553295932678822</v>
      </c>
      <c r="R381" s="727" t="n">
        <v>276.85189256</v>
      </c>
      <c r="S381" s="719" t="inlineStr">
        <is>
          <t>4D 1H 52M 0S</t>
        </is>
      </c>
      <c r="T381" s="728" t="n"/>
      <c r="U381" s="729" t="n"/>
      <c r="V381" s="730" t="n"/>
      <c r="W381" s="731" t="n"/>
      <c r="X381" s="732" t="n"/>
      <c r="Y381" s="728" t="n"/>
      <c r="Z381" s="729" t="n"/>
      <c r="AA381" s="730" t="n"/>
      <c r="AB381" s="731" t="n"/>
      <c r="AC381" s="732" t="n"/>
      <c r="AD381" s="719" t="inlineStr">
        <is>
          <t>No</t>
        </is>
      </c>
      <c r="AE381" s="733" t="n"/>
      <c r="AF381" s="733" t="n"/>
      <c r="AG381" s="733" t="n"/>
      <c r="AH381" s="733" t="n"/>
      <c r="AI381" s="719" t="inlineStr">
        <is>
          <t>Limit</t>
        </is>
      </c>
      <c r="AJ381" s="733" t="n"/>
      <c r="AK381" s="733" t="n"/>
      <c r="AL381" s="733" t="n"/>
      <c r="AM381" s="733" t="n"/>
      <c r="AN381" s="733" t="n"/>
      <c r="AO381" s="719" t="inlineStr">
        <is>
          <t>Yes</t>
        </is>
      </c>
      <c r="AP381" s="719" t="inlineStr">
        <is>
          <t>Pullback</t>
        </is>
      </c>
      <c r="AQ381" s="719" t="inlineStr">
        <is>
          <t>DAILY</t>
        </is>
      </c>
      <c r="AR381" s="719" t="inlineStr">
        <is>
          <t>No</t>
        </is>
      </c>
      <c r="AS381" s="733" t="n"/>
      <c r="AT381" s="733" t="n"/>
      <c r="AU381" s="733" t="n"/>
      <c r="AV381" s="733" t="n"/>
      <c r="AW381" s="719" t="inlineStr">
        <is>
          <t>trade</t>
        </is>
      </c>
      <c r="AX381" s="734" t="inlineStr">
        <is>
          <t>sig:ecd6dece5942732b4506eea0</t>
        </is>
      </c>
    </row>
    <row r="382" ht="15" customHeight="1">
      <c r="A382" s="716" t="inlineStr">
        <is>
          <t>C253</t>
        </is>
      </c>
      <c r="B382" s="717" t="n">
        <v>44403.45902777778</v>
      </c>
      <c r="C382" s="718" t="n">
        <v>44407.49027777778</v>
      </c>
      <c r="D382" s="719" t="inlineStr">
        <is>
          <t>BYBIT</t>
        </is>
      </c>
      <c r="E382" s="719" t="inlineStr">
        <is>
          <t>ETHUSDT</t>
        </is>
      </c>
      <c r="F382" s="719" t="inlineStr">
        <is>
          <t>SELL</t>
        </is>
      </c>
      <c r="G382" s="735" t="n">
        <v>0.01</v>
      </c>
      <c r="H382" s="720" t="n">
        <v>2318.8</v>
      </c>
      <c r="I382" s="720" t="n">
        <v>2435.8</v>
      </c>
      <c r="J382" s="721" t="n">
        <v>2433.5</v>
      </c>
      <c r="K382" s="722" t="n">
        <v>0.04946524064171115</v>
      </c>
      <c r="L382" s="721" t="n">
        <v>1800.4</v>
      </c>
      <c r="M382" s="722" t="n">
        <v>0.2235639123684665</v>
      </c>
      <c r="N382" s="723" t="n">
        <v>0.01275069</v>
      </c>
      <c r="O382" s="724" t="n">
        <v>-1.15811596</v>
      </c>
      <c r="P382" s="725" t="n">
        <v>-0.004162770338480178</v>
      </c>
      <c r="Q382" s="726" t="n">
        <v>-1.020052310374893</v>
      </c>
      <c r="R382" s="727" t="n">
        <v>277.04987195</v>
      </c>
      <c r="S382" s="719" t="inlineStr">
        <is>
          <t>4D 0H 45M 0S</t>
        </is>
      </c>
      <c r="T382" s="728" t="n"/>
      <c r="U382" s="729" t="n"/>
      <c r="V382" s="730" t="n"/>
      <c r="W382" s="731" t="n"/>
      <c r="X382" s="732" t="n"/>
      <c r="Y382" s="728" t="n"/>
      <c r="Z382" s="729" t="n"/>
      <c r="AA382" s="730" t="n"/>
      <c r="AB382" s="731" t="n"/>
      <c r="AC382" s="732" t="n"/>
      <c r="AD382" s="719" t="inlineStr">
        <is>
          <t>No</t>
        </is>
      </c>
      <c r="AE382" s="733" t="n"/>
      <c r="AF382" s="733" t="n"/>
      <c r="AG382" s="733" t="n"/>
      <c r="AH382" s="733" t="n"/>
      <c r="AI382" s="719" t="inlineStr">
        <is>
          <t>Limit</t>
        </is>
      </c>
      <c r="AJ382" s="733" t="n"/>
      <c r="AK382" s="733" t="n"/>
      <c r="AL382" s="733" t="n"/>
      <c r="AM382" s="733" t="n"/>
      <c r="AN382" s="733" t="n"/>
      <c r="AO382" s="733" t="n"/>
      <c r="AP382" s="719" t="inlineStr">
        <is>
          <t>Pullback</t>
        </is>
      </c>
      <c r="AQ382" s="719" t="inlineStr">
        <is>
          <t>DAILY</t>
        </is>
      </c>
      <c r="AR382" s="719" t="inlineStr">
        <is>
          <t>No</t>
        </is>
      </c>
      <c r="AS382" s="733" t="n"/>
      <c r="AT382" s="733" t="n"/>
      <c r="AU382" s="733" t="n"/>
      <c r="AV382" s="733" t="n"/>
      <c r="AW382" s="719" t="inlineStr">
        <is>
          <t>trade</t>
        </is>
      </c>
      <c r="AX382" s="734" t="inlineStr">
        <is>
          <t>sig:1992c8905b907aa2a1d5eeba</t>
        </is>
      </c>
    </row>
    <row r="383" ht="15" customHeight="1">
      <c r="A383" s="42" t="n"/>
      <c r="B383" s="770" t="n">
        <v>44404</v>
      </c>
      <c r="C383" s="771" t="n">
        <v>44404</v>
      </c>
      <c r="D383" s="12" t="inlineStr">
        <is>
          <t>PEPPERSTONE DEMO</t>
        </is>
      </c>
      <c r="E383" s="12" t="inlineStr">
        <is>
          <t>CASHFLOW</t>
        </is>
      </c>
      <c r="F383" s="12" t="inlineStr">
        <is>
          <t>WITHDRAWAL</t>
        </is>
      </c>
      <c r="G383" s="262" t="n"/>
      <c r="H383" s="262" t="n"/>
      <c r="I383" s="262" t="n"/>
      <c r="J383" s="263" t="n"/>
      <c r="K383" s="36" t="n"/>
      <c r="L383" s="263" t="n"/>
      <c r="M383" s="36" t="n"/>
      <c r="N383" s="772" t="n"/>
      <c r="O383" s="773" t="n"/>
      <c r="P383" s="3" t="n"/>
      <c r="Q383" s="51" t="n"/>
      <c r="R383" s="54" t="n">
        <v>0</v>
      </c>
      <c r="S383" s="12" t="n"/>
      <c r="T383" s="774" t="n"/>
      <c r="U383" s="6" t="n"/>
      <c r="V383" s="264" t="n"/>
      <c r="W383" s="9" t="n"/>
      <c r="X383" s="46" t="n"/>
      <c r="Y383" s="774" t="n"/>
      <c r="Z383" s="6" t="n"/>
      <c r="AA383" s="264" t="n"/>
      <c r="AB383" s="9" t="n"/>
      <c r="AC383" s="46" t="n"/>
      <c r="AD383" s="12" t="inlineStr">
        <is>
          <t>No</t>
        </is>
      </c>
      <c r="AE383" s="45" t="n"/>
      <c r="AF383" s="45" t="n"/>
      <c r="AG383" s="45" t="n"/>
      <c r="AH383" s="45" t="n"/>
      <c r="AI383" s="12" t="n"/>
      <c r="AJ383" s="45" t="n"/>
      <c r="AK383" s="45" t="n"/>
      <c r="AL383" s="45" t="n"/>
      <c r="AM383" s="45" t="n"/>
      <c r="AN383" s="45" t="n"/>
      <c r="AO383" s="45" t="n"/>
      <c r="AP383" s="12" t="n"/>
      <c r="AQ383" s="12" t="n"/>
      <c r="AR383" s="12" t="n"/>
      <c r="AS383" s="56" t="inlineStr">
        <is>
          <t>Withdrawal -1072.21 AUD. Source: user_txt. Imported from account_cashflows.xlsx row 67.</t>
        </is>
      </c>
      <c r="AT383" s="45" t="n"/>
      <c r="AU383" s="12" t="n">
        <v>0</v>
      </c>
      <c r="AV383" s="12" t="inlineStr">
        <is>
          <t>AUD</t>
        </is>
      </c>
      <c r="AW383" s="12" t="inlineStr">
        <is>
          <t>cashflow</t>
        </is>
      </c>
      <c r="AX383" s="57" t="inlineStr">
        <is>
          <t>cashflow:PEPPERSTONE DEMO:2021-07-27T00:00:00:53</t>
        </is>
      </c>
    </row>
    <row r="384" ht="15" customHeight="1">
      <c r="A384" s="716" t="inlineStr">
        <is>
          <t>C252</t>
        </is>
      </c>
      <c r="B384" s="717" t="n">
        <v>44402.16805555556</v>
      </c>
      <c r="C384" s="718" t="n">
        <v>44403.61458333334</v>
      </c>
      <c r="D384" s="719" t="inlineStr">
        <is>
          <t>BYBIT</t>
        </is>
      </c>
      <c r="E384" s="719" t="inlineStr">
        <is>
          <t>DOTUSDT</t>
        </is>
      </c>
      <c r="F384" s="719" t="inlineStr">
        <is>
          <t>SELL</t>
        </is>
      </c>
      <c r="G384" s="720" t="n">
        <v>1.3</v>
      </c>
      <c r="H384" s="720" t="n">
        <v>13.94</v>
      </c>
      <c r="I384" s="720" t="n">
        <v>15.03</v>
      </c>
      <c r="J384" s="721" t="n">
        <v>15.01</v>
      </c>
      <c r="K384" s="722" t="n">
        <v>0.07675753228120519</v>
      </c>
      <c r="L384" s="721" t="n">
        <v>11.01</v>
      </c>
      <c r="M384" s="722" t="n">
        <v>0.2101865136298422</v>
      </c>
      <c r="N384" s="723" t="n">
        <v>0.02115594</v>
      </c>
      <c r="O384" s="724" t="n">
        <v>-1.43902259</v>
      </c>
      <c r="P384" s="725" t="n">
        <v>-0.005145853651097767</v>
      </c>
      <c r="Q384" s="726" t="n">
        <v>-1.018691588785046</v>
      </c>
      <c r="R384" s="727" t="n">
        <v>278.2079879099999</v>
      </c>
      <c r="S384" s="719" t="inlineStr">
        <is>
          <t>1D 10H 43M 0S</t>
        </is>
      </c>
      <c r="T384" s="728" t="n"/>
      <c r="U384" s="729" t="n"/>
      <c r="V384" s="730" t="n"/>
      <c r="W384" s="731" t="n"/>
      <c r="X384" s="732" t="n"/>
      <c r="Y384" s="728" t="n"/>
      <c r="Z384" s="729" t="n"/>
      <c r="AA384" s="730" t="n"/>
      <c r="AB384" s="731" t="n"/>
      <c r="AC384" s="732" t="n"/>
      <c r="AD384" s="719" t="inlineStr">
        <is>
          <t>No</t>
        </is>
      </c>
      <c r="AE384" s="733" t="n"/>
      <c r="AF384" s="733" t="n"/>
      <c r="AG384" s="733" t="n"/>
      <c r="AH384" s="733" t="n"/>
      <c r="AI384" s="719" t="inlineStr">
        <is>
          <t>Limit</t>
        </is>
      </c>
      <c r="AJ384" s="733" t="n"/>
      <c r="AK384" s="733" t="n"/>
      <c r="AL384" s="733" t="n"/>
      <c r="AM384" s="733" t="n"/>
      <c r="AN384" s="733" t="n"/>
      <c r="AO384" s="733" t="n"/>
      <c r="AP384" s="719" t="inlineStr">
        <is>
          <t>Pullback</t>
        </is>
      </c>
      <c r="AQ384" s="719" t="inlineStr">
        <is>
          <t>DAILY</t>
        </is>
      </c>
      <c r="AR384" s="719" t="inlineStr">
        <is>
          <t>No</t>
        </is>
      </c>
      <c r="AS384" s="733" t="n"/>
      <c r="AT384" s="733" t="n"/>
      <c r="AU384" s="733" t="n"/>
      <c r="AV384" s="733" t="n"/>
      <c r="AW384" s="719" t="inlineStr">
        <is>
          <t>trade</t>
        </is>
      </c>
      <c r="AX384" s="734" t="inlineStr">
        <is>
          <t>sig:a70f0423a6fc64dce3d73f13</t>
        </is>
      </c>
    </row>
    <row r="385" ht="15" customHeight="1">
      <c r="A385" s="716" t="inlineStr">
        <is>
          <t>F862</t>
        </is>
      </c>
      <c r="B385" s="717" t="n">
        <v>44398.98333333333</v>
      </c>
      <c r="C385" s="718" t="n">
        <v>44398.99305555555</v>
      </c>
      <c r="D385" s="719" t="inlineStr">
        <is>
          <t>PEPPERSTONE DEMO</t>
        </is>
      </c>
      <c r="E385" s="719" t="inlineStr">
        <is>
          <t>AUDUSD</t>
        </is>
      </c>
      <c r="F385" s="719" t="inlineStr">
        <is>
          <t>SELL</t>
        </is>
      </c>
      <c r="G385" s="735" t="n">
        <v>0.04</v>
      </c>
      <c r="H385" s="720" t="n">
        <v>0.7327</v>
      </c>
      <c r="I385" s="720" t="n">
        <v>0.7338</v>
      </c>
      <c r="J385" s="721" t="n">
        <v>0.7338</v>
      </c>
      <c r="K385" s="722" t="n">
        <v>0.001501296574314167</v>
      </c>
      <c r="L385" s="721" t="n">
        <v>0.7299</v>
      </c>
      <c r="M385" s="722" t="n">
        <v>0.003821482189163402</v>
      </c>
      <c r="N385" s="761" t="n">
        <v>0.28</v>
      </c>
      <c r="O385" s="762" t="n">
        <v>-6.28</v>
      </c>
      <c r="P385" s="725" t="n">
        <v>-0.00582295617020093</v>
      </c>
      <c r="Q385" s="726" t="n">
        <v>-1</v>
      </c>
      <c r="R385" s="764" t="n">
        <v>1072.21</v>
      </c>
      <c r="S385" s="719" t="inlineStr">
        <is>
          <t>14M 0S</t>
        </is>
      </c>
      <c r="T385" s="728" t="n"/>
      <c r="U385" s="729" t="n"/>
      <c r="V385" s="730" t="n"/>
      <c r="W385" s="731" t="n"/>
      <c r="X385" s="732" t="n"/>
      <c r="Y385" s="728" t="n"/>
      <c r="Z385" s="729" t="n"/>
      <c r="AA385" s="730" t="n"/>
      <c r="AB385" s="731" t="n"/>
      <c r="AC385" s="732" t="n"/>
      <c r="AD385" s="719" t="inlineStr">
        <is>
          <t>No</t>
        </is>
      </c>
      <c r="AE385" s="733" t="n"/>
      <c r="AF385" s="733" t="n"/>
      <c r="AG385" s="733" t="n"/>
      <c r="AH385" s="733" t="n"/>
      <c r="AI385" s="719" t="inlineStr">
        <is>
          <t>Limit</t>
        </is>
      </c>
      <c r="AJ385" s="733" t="n"/>
      <c r="AK385" s="733" t="n"/>
      <c r="AL385" s="733" t="n"/>
      <c r="AM385" s="733" t="n"/>
      <c r="AN385" s="733" t="n"/>
      <c r="AO385" s="733" t="n"/>
      <c r="AP385" s="719" t="inlineStr">
        <is>
          <t>Pullback</t>
        </is>
      </c>
      <c r="AQ385" s="719" t="inlineStr">
        <is>
          <t>4H</t>
        </is>
      </c>
      <c r="AR385" s="719" t="inlineStr">
        <is>
          <t>No</t>
        </is>
      </c>
      <c r="AS385" s="733" t="n"/>
      <c r="AT385" s="733" t="n"/>
      <c r="AU385" s="733" t="n"/>
      <c r="AV385" s="733" t="n"/>
      <c r="AW385" s="719" t="inlineStr">
        <is>
          <t>trade</t>
        </is>
      </c>
      <c r="AX385" s="734" t="inlineStr">
        <is>
          <t>sig:e45a5a0dd434df6fd934de5e</t>
        </is>
      </c>
    </row>
    <row r="386" ht="15" customHeight="1">
      <c r="A386" s="716" t="inlineStr">
        <is>
          <t>F861</t>
        </is>
      </c>
      <c r="B386" s="717" t="n">
        <v>44397.93263888889</v>
      </c>
      <c r="C386" s="718" t="n">
        <v>44398.02986111111</v>
      </c>
      <c r="D386" s="719" t="inlineStr">
        <is>
          <t>PEPPERSTONE DEMO</t>
        </is>
      </c>
      <c r="E386" s="719" t="inlineStr">
        <is>
          <t>EURCAD</t>
        </is>
      </c>
      <c r="F386" s="719" t="inlineStr">
        <is>
          <t>BUY</t>
        </is>
      </c>
      <c r="G386" s="735" t="n">
        <v>0.03</v>
      </c>
      <c r="H386" s="720" t="n">
        <v>1.5008</v>
      </c>
      <c r="I386" s="720" t="n">
        <v>1.49909</v>
      </c>
      <c r="J386" s="721" t="n">
        <v>1.499</v>
      </c>
      <c r="K386" s="722" t="n">
        <v>0.001199360341151254</v>
      </c>
      <c r="L386" s="721" t="n">
        <v>1.5078</v>
      </c>
      <c r="M386" s="722" t="n">
        <v>0.00466417910447769</v>
      </c>
      <c r="N386" s="761" t="n">
        <v>0.21</v>
      </c>
      <c r="O386" s="762" t="n">
        <v>-6</v>
      </c>
      <c r="P386" s="725" t="n">
        <v>-0.005532554472609245</v>
      </c>
      <c r="Q386" s="726" t="n">
        <v>-0.950000000000037</v>
      </c>
      <c r="R386" s="764" t="n">
        <v>1078.49</v>
      </c>
      <c r="S386" s="719" t="inlineStr">
        <is>
          <t>2H 20M 0S</t>
        </is>
      </c>
      <c r="T386" s="728" t="n"/>
      <c r="U386" s="729" t="n"/>
      <c r="V386" s="730" t="n"/>
      <c r="W386" s="731" t="n"/>
      <c r="X386" s="732" t="n"/>
      <c r="Y386" s="728" t="n"/>
      <c r="Z386" s="729" t="n"/>
      <c r="AA386" s="730" t="n"/>
      <c r="AB386" s="731" t="n"/>
      <c r="AC386" s="732" t="n"/>
      <c r="AD386" s="719" t="inlineStr">
        <is>
          <t>No</t>
        </is>
      </c>
      <c r="AE386" s="733" t="n"/>
      <c r="AF386" s="733" t="n"/>
      <c r="AG386" s="733" t="n"/>
      <c r="AH386" s="733" t="n"/>
      <c r="AI386" s="719" t="inlineStr">
        <is>
          <t>Limit</t>
        </is>
      </c>
      <c r="AJ386" s="733" t="n"/>
      <c r="AK386" s="733" t="n"/>
      <c r="AL386" s="733" t="n"/>
      <c r="AM386" s="733" t="n"/>
      <c r="AN386" s="733" t="n"/>
      <c r="AO386" s="733" t="n"/>
      <c r="AP386" s="719" t="inlineStr">
        <is>
          <t>Pullback</t>
        </is>
      </c>
      <c r="AQ386" s="719" t="inlineStr">
        <is>
          <t>4H</t>
        </is>
      </c>
      <c r="AR386" s="719" t="inlineStr">
        <is>
          <t>No</t>
        </is>
      </c>
      <c r="AS386" s="733" t="n"/>
      <c r="AT386" s="733" t="n"/>
      <c r="AU386" s="733" t="n"/>
      <c r="AV386" s="733" t="n"/>
      <c r="AW386" s="719" t="inlineStr">
        <is>
          <t>trade</t>
        </is>
      </c>
      <c r="AX386" s="734" t="inlineStr">
        <is>
          <t>sig:51b834afd702827f8eed0643</t>
        </is>
      </c>
    </row>
    <row r="387" ht="15" customHeight="1">
      <c r="A387" s="716" t="inlineStr">
        <is>
          <t>C251</t>
        </is>
      </c>
      <c r="B387" s="717" t="n">
        <v>44397.9125</v>
      </c>
      <c r="C387" s="718" t="n">
        <v>44397.92291666667</v>
      </c>
      <c r="D387" s="719" t="inlineStr">
        <is>
          <t>BYBIT</t>
        </is>
      </c>
      <c r="E387" s="719" t="inlineStr">
        <is>
          <t>MATICUSDT</t>
        </is>
      </c>
      <c r="F387" s="719" t="inlineStr">
        <is>
          <t>SELL</t>
        </is>
      </c>
      <c r="G387" s="720" t="n">
        <v>112</v>
      </c>
      <c r="H387" s="720" t="n">
        <v>0.6579</v>
      </c>
      <c r="I387" s="720" t="n">
        <v>0.6713</v>
      </c>
      <c r="J387" s="721" t="n">
        <v>0.6704</v>
      </c>
      <c r="K387" s="722" t="n">
        <v>0.01899984800121592</v>
      </c>
      <c r="L387" s="721" t="n">
        <v>0.6238</v>
      </c>
      <c r="M387" s="722" t="n">
        <v>0.05183158534731725</v>
      </c>
      <c r="N387" s="723" t="n">
        <v>0.037968</v>
      </c>
      <c r="O387" s="724" t="n">
        <v>-1.53963465</v>
      </c>
      <c r="P387" s="725" t="n">
        <v>-0.005475489951447293</v>
      </c>
      <c r="Q387" s="726" t="n">
        <v>-1.072000000000001</v>
      </c>
      <c r="R387" s="727" t="n">
        <v>279.6470104999999</v>
      </c>
      <c r="S387" s="719" t="inlineStr">
        <is>
          <t>15M 0S</t>
        </is>
      </c>
      <c r="T387" s="728" t="n"/>
      <c r="U387" s="729" t="n"/>
      <c r="V387" s="730" t="n"/>
      <c r="W387" s="731" t="n"/>
      <c r="X387" s="732" t="n"/>
      <c r="Y387" s="728" t="n"/>
      <c r="Z387" s="729" t="n"/>
      <c r="AA387" s="730" t="n"/>
      <c r="AB387" s="731" t="n"/>
      <c r="AC387" s="732" t="n"/>
      <c r="AD387" s="719" t="inlineStr">
        <is>
          <t>No</t>
        </is>
      </c>
      <c r="AE387" s="733" t="n"/>
      <c r="AF387" s="733" t="n"/>
      <c r="AG387" s="733" t="n"/>
      <c r="AH387" s="733" t="n"/>
      <c r="AI387" s="719" t="inlineStr">
        <is>
          <t>Limit</t>
        </is>
      </c>
      <c r="AJ387" s="733" t="n"/>
      <c r="AK387" s="733" t="n"/>
      <c r="AL387" s="733" t="n"/>
      <c r="AM387" s="733" t="n"/>
      <c r="AN387" s="733" t="n"/>
      <c r="AO387" s="733" t="n"/>
      <c r="AP387" s="719" t="inlineStr">
        <is>
          <t>Pullback</t>
        </is>
      </c>
      <c r="AQ387" s="719" t="inlineStr">
        <is>
          <t>1H</t>
        </is>
      </c>
      <c r="AR387" s="719" t="inlineStr">
        <is>
          <t>No</t>
        </is>
      </c>
      <c r="AS387" s="733" t="n"/>
      <c r="AT387" s="733" t="n"/>
      <c r="AU387" s="733" t="n"/>
      <c r="AV387" s="733" t="n"/>
      <c r="AW387" s="719" t="inlineStr">
        <is>
          <t>trade</t>
        </is>
      </c>
      <c r="AX387" s="734" t="inlineStr">
        <is>
          <t>sig:031bf32f8a5782a55e0a27c2</t>
        </is>
      </c>
    </row>
    <row r="388" ht="15" customHeight="1">
      <c r="A388" s="737" t="inlineStr">
        <is>
          <t>F860</t>
        </is>
      </c>
      <c r="B388" s="738" t="n">
        <v>44396.98055555556</v>
      </c>
      <c r="C388" s="739" t="n">
        <v>44397.00208333333</v>
      </c>
      <c r="D388" s="740" t="inlineStr">
        <is>
          <t>PEPPERSTONE DEMO</t>
        </is>
      </c>
      <c r="E388" s="740" t="inlineStr">
        <is>
          <t>AUDUSD</t>
        </is>
      </c>
      <c r="F388" s="740" t="inlineStr">
        <is>
          <t>SELL</t>
        </is>
      </c>
      <c r="G388" s="775" t="n">
        <v>0.05</v>
      </c>
      <c r="H388" s="742" t="n">
        <v>0.7361</v>
      </c>
      <c r="I388" s="742" t="n">
        <v>0.7334000000000001</v>
      </c>
      <c r="J388" s="743" t="n">
        <v>0.7369</v>
      </c>
      <c r="K388" s="744" t="n">
        <v>0.00108680885749222</v>
      </c>
      <c r="L388" s="743" t="n">
        <v>0.7334000000000001</v>
      </c>
      <c r="M388" s="744" t="n">
        <v>0.003667979894036034</v>
      </c>
      <c r="N388" s="766" t="n">
        <v>0.35</v>
      </c>
      <c r="O388" s="767" t="n">
        <v>18.33</v>
      </c>
      <c r="P388" s="747" t="n">
        <v>0.01719254145719216</v>
      </c>
      <c r="Q388" s="748" t="n">
        <v>3.374999999999809</v>
      </c>
      <c r="R388" s="769" t="n">
        <v>1084.49</v>
      </c>
      <c r="S388" s="740" t="inlineStr">
        <is>
          <t>31M 0S</t>
        </is>
      </c>
      <c r="T388" s="750" t="n"/>
      <c r="U388" s="751" t="n"/>
      <c r="V388" s="752" t="n"/>
      <c r="W388" s="753" t="n"/>
      <c r="X388" s="754" t="n"/>
      <c r="Y388" s="750" t="n"/>
      <c r="Z388" s="751" t="n"/>
      <c r="AA388" s="752" t="n"/>
      <c r="AB388" s="753" t="n"/>
      <c r="AC388" s="754" t="n"/>
      <c r="AD388" s="740" t="inlineStr">
        <is>
          <t>No</t>
        </is>
      </c>
      <c r="AE388" s="755" t="n"/>
      <c r="AF388" s="755" t="n"/>
      <c r="AG388" s="755" t="n"/>
      <c r="AH388" s="755" t="n"/>
      <c r="AI388" s="740" t="inlineStr">
        <is>
          <t>Limit</t>
        </is>
      </c>
      <c r="AJ388" s="755" t="n"/>
      <c r="AK388" s="755" t="n"/>
      <c r="AL388" s="755" t="n"/>
      <c r="AM388" s="755" t="n"/>
      <c r="AN388" s="755" t="n"/>
      <c r="AO388" s="755" t="n"/>
      <c r="AP388" s="740" t="inlineStr">
        <is>
          <t>Pullback</t>
        </is>
      </c>
      <c r="AQ388" s="740" t="inlineStr">
        <is>
          <t>1H</t>
        </is>
      </c>
      <c r="AR388" s="740" t="inlineStr">
        <is>
          <t>No</t>
        </is>
      </c>
      <c r="AS388" s="755" t="n"/>
      <c r="AT388" s="755" t="n"/>
      <c r="AU388" s="755" t="n"/>
      <c r="AV388" s="755" t="n"/>
      <c r="AW388" s="740" t="inlineStr">
        <is>
          <t>trade</t>
        </is>
      </c>
      <c r="AX388" s="756" t="inlineStr">
        <is>
          <t>sig:0b61f26472f56a6e2aaeec34</t>
        </is>
      </c>
    </row>
    <row r="389" ht="15" customHeight="1">
      <c r="A389" s="716" t="inlineStr">
        <is>
          <t>C250</t>
        </is>
      </c>
      <c r="B389" s="717" t="n">
        <v>44396.92013888889</v>
      </c>
      <c r="C389" s="718" t="n">
        <v>44396.95972222222</v>
      </c>
      <c r="D389" s="719" t="inlineStr">
        <is>
          <t>BYBIT</t>
        </is>
      </c>
      <c r="E389" s="719" t="inlineStr">
        <is>
          <t>XEMUSDT</t>
        </is>
      </c>
      <c r="F389" s="719" t="inlineStr">
        <is>
          <t>BUY</t>
        </is>
      </c>
      <c r="G389" s="720" t="n">
        <v>171</v>
      </c>
      <c r="H389" s="720" t="n">
        <v>0.136</v>
      </c>
      <c r="I389" s="720" t="n">
        <v>0.1277</v>
      </c>
      <c r="J389" s="721" t="n">
        <v>0.1278</v>
      </c>
      <c r="K389" s="722" t="n">
        <v>0.06029411764705891</v>
      </c>
      <c r="L389" s="721" t="n">
        <v>0.1627</v>
      </c>
      <c r="M389" s="722" t="n">
        <v>0.1963235294117647</v>
      </c>
      <c r="N389" s="723" t="n">
        <v>0.01056353</v>
      </c>
      <c r="O389" s="724" t="n">
        <v>-1.43073018</v>
      </c>
      <c r="P389" s="725" t="n">
        <v>-0.005062428232975411</v>
      </c>
      <c r="Q389" s="726" t="n">
        <v>-1.012195121951218</v>
      </c>
      <c r="R389" s="727" t="n">
        <v>281.1866451499999</v>
      </c>
      <c r="S389" s="719" t="inlineStr">
        <is>
          <t>57M 0S</t>
        </is>
      </c>
      <c r="T389" s="728" t="n"/>
      <c r="U389" s="729" t="n"/>
      <c r="V389" s="730" t="n"/>
      <c r="W389" s="731" t="n"/>
      <c r="X389" s="732" t="n"/>
      <c r="Y389" s="728" t="n"/>
      <c r="Z389" s="729" t="n"/>
      <c r="AA389" s="730" t="n"/>
      <c r="AB389" s="731" t="n"/>
      <c r="AC389" s="732" t="n"/>
      <c r="AD389" s="719" t="inlineStr">
        <is>
          <t>No</t>
        </is>
      </c>
      <c r="AE389" s="733" t="n"/>
      <c r="AF389" s="733" t="n"/>
      <c r="AG389" s="733" t="n"/>
      <c r="AH389" s="733" t="n"/>
      <c r="AI389" s="719" t="inlineStr">
        <is>
          <t>Limit</t>
        </is>
      </c>
      <c r="AJ389" s="733" t="n"/>
      <c r="AK389" s="733" t="n"/>
      <c r="AL389" s="733" t="n"/>
      <c r="AM389" s="733" t="n"/>
      <c r="AN389" s="733" t="n"/>
      <c r="AO389" s="733" t="n"/>
      <c r="AP389" s="719" t="inlineStr">
        <is>
          <t>Pullback</t>
        </is>
      </c>
      <c r="AQ389" s="719" t="inlineStr">
        <is>
          <t>DAILY</t>
        </is>
      </c>
      <c r="AR389" s="719" t="inlineStr">
        <is>
          <t>No</t>
        </is>
      </c>
      <c r="AS389" s="733" t="n"/>
      <c r="AT389" s="733" t="n"/>
      <c r="AU389" s="733" t="n"/>
      <c r="AV389" s="733" t="n"/>
      <c r="AW389" s="719" t="inlineStr">
        <is>
          <t>trade</t>
        </is>
      </c>
      <c r="AX389" s="734" t="inlineStr">
        <is>
          <t>sig:d0aea23b95132e79c866caa5</t>
        </is>
      </c>
    </row>
    <row r="390" ht="15" customHeight="1">
      <c r="A390" s="716" t="inlineStr">
        <is>
          <t>F859</t>
        </is>
      </c>
      <c r="B390" s="717" t="n">
        <v>44396.9375</v>
      </c>
      <c r="C390" s="718" t="n">
        <v>44396.94166666667</v>
      </c>
      <c r="D390" s="719" t="inlineStr">
        <is>
          <t>PEPPERSTONE DEMO</t>
        </is>
      </c>
      <c r="E390" s="719" t="inlineStr">
        <is>
          <t>AUDUSD</t>
        </is>
      </c>
      <c r="F390" s="719" t="inlineStr">
        <is>
          <t>SELL</t>
        </is>
      </c>
      <c r="G390" s="720" t="n">
        <v>0.13</v>
      </c>
      <c r="H390" s="720" t="n">
        <v>0.7337</v>
      </c>
      <c r="I390" s="720" t="n">
        <v>0.73402</v>
      </c>
      <c r="J390" s="721" t="n">
        <v>0.734</v>
      </c>
      <c r="K390" s="760" t="n">
        <v>0.000408886465857935</v>
      </c>
      <c r="L390" s="721" t="n">
        <v>0.7329</v>
      </c>
      <c r="M390" s="722" t="n">
        <v>0.001090363908954645</v>
      </c>
      <c r="N390" s="761" t="n">
        <v>0.91</v>
      </c>
      <c r="O390" s="762" t="n">
        <v>-6.22</v>
      </c>
      <c r="P390" s="725" t="n">
        <v>-0.005800182771032656</v>
      </c>
      <c r="Q390" s="726" t="n">
        <v>-1.066666666666741</v>
      </c>
      <c r="R390" s="764" t="n">
        <v>1066.16</v>
      </c>
      <c r="S390" s="719" t="inlineStr">
        <is>
          <t>6M 0S</t>
        </is>
      </c>
      <c r="T390" s="728" t="n"/>
      <c r="U390" s="729" t="n"/>
      <c r="V390" s="730" t="n"/>
      <c r="W390" s="731" t="n"/>
      <c r="X390" s="732" t="n"/>
      <c r="Y390" s="728" t="n"/>
      <c r="Z390" s="729" t="n"/>
      <c r="AA390" s="730" t="n"/>
      <c r="AB390" s="731" t="n"/>
      <c r="AC390" s="732" t="n"/>
      <c r="AD390" s="719" t="inlineStr">
        <is>
          <t>No</t>
        </is>
      </c>
      <c r="AE390" s="733" t="n"/>
      <c r="AF390" s="733" t="n"/>
      <c r="AG390" s="733" t="n"/>
      <c r="AH390" s="733" t="n"/>
      <c r="AI390" s="719" t="inlineStr">
        <is>
          <t>Limit</t>
        </is>
      </c>
      <c r="AJ390" s="733" t="n"/>
      <c r="AK390" s="733" t="n"/>
      <c r="AL390" s="733" t="n"/>
      <c r="AM390" s="733" t="n"/>
      <c r="AN390" s="733" t="n"/>
      <c r="AO390" s="733" t="n"/>
      <c r="AP390" s="719" t="inlineStr">
        <is>
          <t>Pullback</t>
        </is>
      </c>
      <c r="AQ390" s="719" t="inlineStr">
        <is>
          <t>5MIN</t>
        </is>
      </c>
      <c r="AR390" s="719" t="inlineStr">
        <is>
          <t>No</t>
        </is>
      </c>
      <c r="AS390" s="733" t="n"/>
      <c r="AT390" s="733" t="n"/>
      <c r="AU390" s="733" t="n"/>
      <c r="AV390" s="733" t="n"/>
      <c r="AW390" s="719" t="inlineStr">
        <is>
          <t>trade</t>
        </is>
      </c>
      <c r="AX390" s="734" t="inlineStr">
        <is>
          <t>sig:b1617c4ee64381f552c0b4b6</t>
        </is>
      </c>
    </row>
    <row r="391" ht="15" customHeight="1">
      <c r="A391" s="716" t="inlineStr">
        <is>
          <t>C249</t>
        </is>
      </c>
      <c r="B391" s="717" t="n">
        <v>44395.26875</v>
      </c>
      <c r="C391" s="718" t="n">
        <v>44395.29236111111</v>
      </c>
      <c r="D391" s="719" t="inlineStr">
        <is>
          <t>BYBIT</t>
        </is>
      </c>
      <c r="E391" s="719" t="inlineStr">
        <is>
          <t>DOGEUSDT</t>
        </is>
      </c>
      <c r="F391" s="719" t="inlineStr">
        <is>
          <t>BUY</t>
        </is>
      </c>
      <c r="G391" s="720" t="n">
        <v>389</v>
      </c>
      <c r="H391" s="720" t="n">
        <v>0.1916</v>
      </c>
      <c r="I391" s="720" t="n">
        <v>0.188</v>
      </c>
      <c r="J391" s="721" t="n">
        <v>0.188</v>
      </c>
      <c r="K391" s="722" t="n">
        <v>0.01878914405010434</v>
      </c>
      <c r="L391" s="721" t="n">
        <v>0.2128</v>
      </c>
      <c r="M391" s="722" t="n">
        <v>0.1106471816283925</v>
      </c>
      <c r="N391" s="723" t="n">
        <v>0.0362159</v>
      </c>
      <c r="O391" s="724" t="n">
        <v>-1.43748255</v>
      </c>
      <c r="P391" s="725" t="n">
        <v>-0.00506058076502698</v>
      </c>
      <c r="Q391" s="726" t="n">
        <v>-1</v>
      </c>
      <c r="R391" s="727" t="n">
        <v>282.6173753299999</v>
      </c>
      <c r="S391" s="719" t="inlineStr">
        <is>
          <t>34M 0S</t>
        </is>
      </c>
      <c r="T391" s="728" t="n"/>
      <c r="U391" s="729" t="n"/>
      <c r="V391" s="730" t="n"/>
      <c r="W391" s="731" t="n"/>
      <c r="X391" s="732" t="n"/>
      <c r="Y391" s="728" t="n"/>
      <c r="Z391" s="729" t="n"/>
      <c r="AA391" s="730" t="n"/>
      <c r="AB391" s="731" t="n"/>
      <c r="AC391" s="732" t="n"/>
      <c r="AD391" s="719" t="inlineStr">
        <is>
          <t>No</t>
        </is>
      </c>
      <c r="AE391" s="733" t="n"/>
      <c r="AF391" s="733" t="n"/>
      <c r="AG391" s="733" t="n"/>
      <c r="AH391" s="733" t="n"/>
      <c r="AI391" s="719" t="inlineStr">
        <is>
          <t>Limit</t>
        </is>
      </c>
      <c r="AJ391" s="733" t="n"/>
      <c r="AK391" s="733" t="n"/>
      <c r="AL391" s="733" t="n"/>
      <c r="AM391" s="733" t="n"/>
      <c r="AN391" s="733" t="n"/>
      <c r="AO391" s="733" t="n"/>
      <c r="AP391" s="719" t="inlineStr">
        <is>
          <t>Pullback</t>
        </is>
      </c>
      <c r="AQ391" s="719" t="inlineStr">
        <is>
          <t>15MIN</t>
        </is>
      </c>
      <c r="AR391" s="719" t="inlineStr">
        <is>
          <t>No</t>
        </is>
      </c>
      <c r="AS391" s="733" t="n"/>
      <c r="AT391" s="733" t="n"/>
      <c r="AU391" s="733" t="n"/>
      <c r="AV391" s="733" t="n"/>
      <c r="AW391" s="719" t="inlineStr">
        <is>
          <t>trade</t>
        </is>
      </c>
      <c r="AX391" s="734" t="inlineStr">
        <is>
          <t>sig:e45b91748592b9153ad0fbe4</t>
        </is>
      </c>
    </row>
    <row r="392" ht="15" customHeight="1">
      <c r="A392" s="716" t="inlineStr">
        <is>
          <t>F858</t>
        </is>
      </c>
      <c r="B392" s="717" t="n">
        <v>44391.90694444445</v>
      </c>
      <c r="C392" s="718" t="n">
        <v>44391.90902777778</v>
      </c>
      <c r="D392" s="719" t="inlineStr">
        <is>
          <t>PEPPERSTONE DEMO</t>
        </is>
      </c>
      <c r="E392" s="719" t="inlineStr">
        <is>
          <t>EURGBP</t>
        </is>
      </c>
      <c r="F392" s="719" t="inlineStr">
        <is>
          <t>SELL</t>
        </is>
      </c>
      <c r="G392" s="720" t="n">
        <v>0.13</v>
      </c>
      <c r="H392" s="720" t="n">
        <v>0.8516</v>
      </c>
      <c r="I392" s="720" t="n">
        <v>0.8519099999999999</v>
      </c>
      <c r="J392" s="721" t="n">
        <v>0.8519</v>
      </c>
      <c r="K392" s="760" t="n">
        <v>0.0003522780648191251</v>
      </c>
      <c r="L392" s="721" t="n">
        <v>0.8508</v>
      </c>
      <c r="M392" s="760" t="n">
        <v>0.0009394081728511307</v>
      </c>
      <c r="N392" s="761" t="n">
        <v>0.91</v>
      </c>
      <c r="O392" s="762" t="n">
        <v>-6.22</v>
      </c>
      <c r="P392" s="725" t="n">
        <v>-0.0057667346560356</v>
      </c>
      <c r="Q392" s="726" t="n">
        <v>-1.033333333333185</v>
      </c>
      <c r="R392" s="764" t="n">
        <v>1072.38</v>
      </c>
      <c r="S392" s="719" t="inlineStr">
        <is>
          <t>3M 0S</t>
        </is>
      </c>
      <c r="T392" s="728" t="n"/>
      <c r="U392" s="729" t="n"/>
      <c r="V392" s="730" t="n"/>
      <c r="W392" s="731" t="n"/>
      <c r="X392" s="732" t="n"/>
      <c r="Y392" s="728" t="n"/>
      <c r="Z392" s="729" t="n"/>
      <c r="AA392" s="730" t="n"/>
      <c r="AB392" s="731" t="n"/>
      <c r="AC392" s="732" t="n"/>
      <c r="AD392" s="719" t="inlineStr">
        <is>
          <t>No</t>
        </is>
      </c>
      <c r="AE392" s="733" t="n"/>
      <c r="AF392" s="733" t="n"/>
      <c r="AG392" s="733" t="n"/>
      <c r="AH392" s="733" t="n"/>
      <c r="AI392" s="719" t="inlineStr">
        <is>
          <t>Limit</t>
        </is>
      </c>
      <c r="AJ392" s="733" t="n"/>
      <c r="AK392" s="733" t="n"/>
      <c r="AL392" s="733" t="n"/>
      <c r="AM392" s="733" t="n"/>
      <c r="AN392" s="733" t="n"/>
      <c r="AO392" s="733" t="n"/>
      <c r="AP392" s="719" t="inlineStr">
        <is>
          <t>Pullback</t>
        </is>
      </c>
      <c r="AQ392" s="719" t="inlineStr">
        <is>
          <t>5MIN</t>
        </is>
      </c>
      <c r="AR392" s="719" t="inlineStr">
        <is>
          <t>No</t>
        </is>
      </c>
      <c r="AS392" s="733" t="n"/>
      <c r="AT392" s="733" t="n"/>
      <c r="AU392" s="733" t="n"/>
      <c r="AV392" s="733" t="n"/>
      <c r="AW392" s="719" t="inlineStr">
        <is>
          <t>trade</t>
        </is>
      </c>
      <c r="AX392" s="734" t="inlineStr">
        <is>
          <t>sig:e44a490be1f81583dffbeb5e</t>
        </is>
      </c>
    </row>
    <row r="393" ht="15" customHeight="1">
      <c r="A393" s="737" t="inlineStr">
        <is>
          <t>F857</t>
        </is>
      </c>
      <c r="B393" s="738" t="n">
        <v>44391.51388888889</v>
      </c>
      <c r="C393" s="739" t="n">
        <v>44391.76736111111</v>
      </c>
      <c r="D393" s="740" t="inlineStr">
        <is>
          <t>PEPPERSTONE DEMO</t>
        </is>
      </c>
      <c r="E393" s="740" t="inlineStr">
        <is>
          <t>AUDCHF</t>
        </is>
      </c>
      <c r="F393" s="740" t="inlineStr">
        <is>
          <t>SELL</t>
        </is>
      </c>
      <c r="G393" s="775" t="n">
        <v>0.07000000000000001</v>
      </c>
      <c r="H393" s="742" t="n">
        <v>0.6857</v>
      </c>
      <c r="I393" s="742" t="n">
        <v>0.68354</v>
      </c>
      <c r="J393" s="743" t="n">
        <v>0.6862</v>
      </c>
      <c r="K393" s="765" t="n">
        <v>0.0007291818579554557</v>
      </c>
      <c r="L393" s="743" t="n">
        <v>0.6835</v>
      </c>
      <c r="M393" s="744" t="n">
        <v>0.003208400175003616</v>
      </c>
      <c r="N393" s="766" t="n">
        <v>0.49</v>
      </c>
      <c r="O393" s="767" t="n">
        <v>22.14</v>
      </c>
      <c r="P393" s="747" t="n">
        <v>0.02095678019044735</v>
      </c>
      <c r="Q393" s="748" t="n">
        <v>4.319999999999396</v>
      </c>
      <c r="R393" s="769" t="n">
        <v>1078.6</v>
      </c>
      <c r="S393" s="740" t="inlineStr">
        <is>
          <t>6H 5M 0S</t>
        </is>
      </c>
      <c r="T393" s="750" t="n"/>
      <c r="U393" s="751" t="n"/>
      <c r="V393" s="752" t="n"/>
      <c r="W393" s="753" t="n"/>
      <c r="X393" s="754" t="n"/>
      <c r="Y393" s="750" t="n"/>
      <c r="Z393" s="751" t="n"/>
      <c r="AA393" s="752" t="n"/>
      <c r="AB393" s="753" t="n"/>
      <c r="AC393" s="754" t="n"/>
      <c r="AD393" s="740" t="inlineStr">
        <is>
          <t>No</t>
        </is>
      </c>
      <c r="AE393" s="755" t="n"/>
      <c r="AF393" s="755" t="n"/>
      <c r="AG393" s="755" t="n"/>
      <c r="AH393" s="755" t="n"/>
      <c r="AI393" s="740" t="inlineStr">
        <is>
          <t>Limit</t>
        </is>
      </c>
      <c r="AJ393" s="755" t="n"/>
      <c r="AK393" s="755" t="n"/>
      <c r="AL393" s="755" t="n"/>
      <c r="AM393" s="755" t="n"/>
      <c r="AN393" s="755" t="n"/>
      <c r="AO393" s="755" t="n"/>
      <c r="AP393" s="740" t="inlineStr">
        <is>
          <t>Pullback</t>
        </is>
      </c>
      <c r="AQ393" s="740" t="inlineStr">
        <is>
          <t>1H</t>
        </is>
      </c>
      <c r="AR393" s="740" t="inlineStr">
        <is>
          <t>No</t>
        </is>
      </c>
      <c r="AS393" s="755" t="n"/>
      <c r="AT393" s="755" t="n"/>
      <c r="AU393" s="755" t="n"/>
      <c r="AV393" s="755" t="n"/>
      <c r="AW393" s="740" t="inlineStr">
        <is>
          <t>trade</t>
        </is>
      </c>
      <c r="AX393" s="756" t="inlineStr">
        <is>
          <t>sig:3f37de4a4c59307dd851d867</t>
        </is>
      </c>
    </row>
    <row r="394" ht="15" customHeight="1">
      <c r="A394" s="716" t="inlineStr">
        <is>
          <t>F856</t>
        </is>
      </c>
      <c r="B394" s="717" t="n">
        <v>44391.06458333333</v>
      </c>
      <c r="C394" s="718" t="n">
        <v>44391.08888888889</v>
      </c>
      <c r="D394" s="719" t="inlineStr">
        <is>
          <t>PEPPERSTONE DEMO</t>
        </is>
      </c>
      <c r="E394" s="719" t="inlineStr">
        <is>
          <t>USDCAD</t>
        </is>
      </c>
      <c r="F394" s="719" t="inlineStr">
        <is>
          <t>BUY</t>
        </is>
      </c>
      <c r="G394" s="735" t="n">
        <v>0.07000000000000001</v>
      </c>
      <c r="H394" s="720" t="n">
        <v>1.251</v>
      </c>
      <c r="I394" s="720" t="n">
        <v>1.25024</v>
      </c>
      <c r="J394" s="721" t="n">
        <v>1.2502</v>
      </c>
      <c r="K394" s="760" t="n">
        <v>0.0006394884092725115</v>
      </c>
      <c r="L394" s="721" t="n">
        <v>1.2532</v>
      </c>
      <c r="M394" s="722" t="n">
        <v>0.001758593125499762</v>
      </c>
      <c r="N394" s="761" t="n">
        <v>0.49</v>
      </c>
      <c r="O394" s="762" t="n">
        <v>-6.18</v>
      </c>
      <c r="P394" s="725" t="n">
        <v>-0.005815704283670856</v>
      </c>
      <c r="Q394" s="726" t="n">
        <v>-0.9499999999999444</v>
      </c>
      <c r="R394" s="764" t="n">
        <v>1056.46</v>
      </c>
      <c r="S394" s="719" t="inlineStr">
        <is>
          <t>35M 0S</t>
        </is>
      </c>
      <c r="T394" s="728" t="n"/>
      <c r="U394" s="729" t="n"/>
      <c r="V394" s="730" t="n"/>
      <c r="W394" s="731" t="n"/>
      <c r="X394" s="732" t="n"/>
      <c r="Y394" s="728" t="n"/>
      <c r="Z394" s="729" t="n"/>
      <c r="AA394" s="730" t="n"/>
      <c r="AB394" s="731" t="n"/>
      <c r="AC394" s="732" t="n"/>
      <c r="AD394" s="719" t="inlineStr">
        <is>
          <t>No</t>
        </is>
      </c>
      <c r="AE394" s="733" t="n"/>
      <c r="AF394" s="733" t="n"/>
      <c r="AG394" s="733" t="n"/>
      <c r="AH394" s="733" t="n"/>
      <c r="AI394" s="719" t="inlineStr">
        <is>
          <t>Limit</t>
        </is>
      </c>
      <c r="AJ394" s="733" t="n"/>
      <c r="AK394" s="733" t="n"/>
      <c r="AL394" s="733" t="n"/>
      <c r="AM394" s="733" t="n"/>
      <c r="AN394" s="733" t="n"/>
      <c r="AO394" s="733" t="n"/>
      <c r="AP394" s="719" t="inlineStr">
        <is>
          <t>Pullback</t>
        </is>
      </c>
      <c r="AQ394" s="719" t="inlineStr">
        <is>
          <t>5MIN</t>
        </is>
      </c>
      <c r="AR394" s="719" t="inlineStr">
        <is>
          <t>No</t>
        </is>
      </c>
      <c r="AS394" s="733" t="n"/>
      <c r="AT394" s="733" t="n"/>
      <c r="AU394" s="733" t="n"/>
      <c r="AV394" s="733" t="n"/>
      <c r="AW394" s="719" t="inlineStr">
        <is>
          <t>trade</t>
        </is>
      </c>
      <c r="AX394" s="734" t="inlineStr">
        <is>
          <t>sig:17b13b64ee99986d993ffe3a</t>
        </is>
      </c>
    </row>
    <row r="395" ht="15" customHeight="1">
      <c r="A395" s="737" t="inlineStr">
        <is>
          <t>F855</t>
        </is>
      </c>
      <c r="B395" s="738" t="n">
        <v>44385.88958333333</v>
      </c>
      <c r="C395" s="739" t="n">
        <v>44385.91944444444</v>
      </c>
      <c r="D395" s="740" t="inlineStr">
        <is>
          <t>PEPPERSTONE DEMO</t>
        </is>
      </c>
      <c r="E395" s="740" t="inlineStr">
        <is>
          <t>USDCAD</t>
        </is>
      </c>
      <c r="F395" s="740" t="inlineStr">
        <is>
          <t>BUY</t>
        </is>
      </c>
      <c r="G395" s="742" t="n">
        <v>0.12</v>
      </c>
      <c r="H395" s="742" t="n">
        <v>1.2542</v>
      </c>
      <c r="I395" s="742" t="n">
        <v>1.25723</v>
      </c>
      <c r="J395" s="743" t="n"/>
      <c r="K395" s="744" t="n"/>
      <c r="L395" s="743" t="n">
        <v>1.2572</v>
      </c>
      <c r="M395" s="744" t="n">
        <v>0.002391963004305624</v>
      </c>
      <c r="N395" s="766" t="n">
        <v>0.84</v>
      </c>
      <c r="O395" s="767" t="n">
        <v>37.23</v>
      </c>
      <c r="P395" s="747" t="n">
        <v>0.0363074282482129</v>
      </c>
      <c r="Q395" s="748" t="n"/>
      <c r="R395" s="769" t="n">
        <v>1062.64</v>
      </c>
      <c r="S395" s="740" t="inlineStr">
        <is>
          <t>43M 0S</t>
        </is>
      </c>
      <c r="T395" s="750" t="n"/>
      <c r="U395" s="751" t="n"/>
      <c r="V395" s="752" t="n"/>
      <c r="W395" s="753" t="n"/>
      <c r="X395" s="754" t="n"/>
      <c r="Y395" s="750" t="n"/>
      <c r="Z395" s="751" t="n"/>
      <c r="AA395" s="752" t="n"/>
      <c r="AB395" s="753" t="n"/>
      <c r="AC395" s="754" t="n"/>
      <c r="AD395" s="740" t="inlineStr">
        <is>
          <t>No</t>
        </is>
      </c>
      <c r="AE395" s="755" t="n"/>
      <c r="AF395" s="755" t="n"/>
      <c r="AG395" s="755" t="n"/>
      <c r="AH395" s="755" t="n"/>
      <c r="AI395" s="740" t="inlineStr">
        <is>
          <t>Limit</t>
        </is>
      </c>
      <c r="AJ395" s="755" t="n"/>
      <c r="AK395" s="755" t="n"/>
      <c r="AL395" s="755" t="n"/>
      <c r="AM395" s="755" t="n"/>
      <c r="AN395" s="755" t="n"/>
      <c r="AO395" s="755" t="n"/>
      <c r="AP395" s="740" t="inlineStr">
        <is>
          <t>Pullback</t>
        </is>
      </c>
      <c r="AQ395" s="740" t="inlineStr">
        <is>
          <t>1H</t>
        </is>
      </c>
      <c r="AR395" s="740" t="inlineStr">
        <is>
          <t>No</t>
        </is>
      </c>
      <c r="AS395" s="755" t="n"/>
      <c r="AT395" s="755" t="n"/>
      <c r="AU395" s="755" t="n"/>
      <c r="AV395" s="755" t="n"/>
      <c r="AW395" s="740" t="inlineStr">
        <is>
          <t>trade</t>
        </is>
      </c>
      <c r="AX395" s="756" t="inlineStr">
        <is>
          <t>sig:ba80779024a41e384c9bd000</t>
        </is>
      </c>
    </row>
    <row r="396" ht="15" customHeight="1">
      <c r="A396" s="716" t="inlineStr">
        <is>
          <t>F854</t>
        </is>
      </c>
      <c r="B396" s="717" t="n">
        <v>44384.92013888889</v>
      </c>
      <c r="C396" s="718" t="n">
        <v>44384.92777777778</v>
      </c>
      <c r="D396" s="719" t="inlineStr">
        <is>
          <t>PEPPERSTONE DEMO</t>
        </is>
      </c>
      <c r="E396" s="719" t="inlineStr">
        <is>
          <t>EURUSD</t>
        </is>
      </c>
      <c r="F396" s="719" t="inlineStr">
        <is>
          <t>SELL</t>
        </is>
      </c>
      <c r="G396" s="720" t="n">
        <v>0.13</v>
      </c>
      <c r="H396" s="720" t="n">
        <v>1.183</v>
      </c>
      <c r="I396" s="720" t="n">
        <v>1.1833</v>
      </c>
      <c r="J396" s="721" t="n">
        <v>1.1833</v>
      </c>
      <c r="K396" s="760" t="n">
        <v>0.0002535925612848411</v>
      </c>
      <c r="L396" s="721" t="n">
        <v>1.1819</v>
      </c>
      <c r="M396" s="760" t="n">
        <v>0.0009298393913779382</v>
      </c>
      <c r="N396" s="761" t="n">
        <v>0.91</v>
      </c>
      <c r="O396" s="762" t="n">
        <v>-6.09</v>
      </c>
      <c r="P396" s="725" t="n">
        <v>-0.005904023267086766</v>
      </c>
      <c r="Q396" s="726" t="n">
        <v>-1</v>
      </c>
      <c r="R396" s="764" t="n">
        <v>1025.41</v>
      </c>
      <c r="S396" s="719" t="inlineStr">
        <is>
          <t>11M 0S</t>
        </is>
      </c>
      <c r="T396" s="728" t="n"/>
      <c r="U396" s="729" t="n"/>
      <c r="V396" s="730" t="n"/>
      <c r="W396" s="731" t="n"/>
      <c r="X396" s="732" t="n"/>
      <c r="Y396" s="728" t="n"/>
      <c r="Z396" s="729" t="n"/>
      <c r="AA396" s="730" t="n"/>
      <c r="AB396" s="731" t="n"/>
      <c r="AC396" s="732" t="n"/>
      <c r="AD396" s="719" t="inlineStr">
        <is>
          <t>No</t>
        </is>
      </c>
      <c r="AE396" s="733" t="n"/>
      <c r="AF396" s="733" t="n"/>
      <c r="AG396" s="733" t="n"/>
      <c r="AH396" s="733" t="n"/>
      <c r="AI396" s="719" t="inlineStr">
        <is>
          <t>Limit</t>
        </is>
      </c>
      <c r="AJ396" s="733" t="n"/>
      <c r="AK396" s="733" t="n"/>
      <c r="AL396" s="733" t="n"/>
      <c r="AM396" s="733" t="n"/>
      <c r="AN396" s="733" t="n"/>
      <c r="AO396" s="733" t="n"/>
      <c r="AP396" s="719" t="inlineStr">
        <is>
          <t>Pullback</t>
        </is>
      </c>
      <c r="AQ396" s="719" t="inlineStr">
        <is>
          <t>5MIN</t>
        </is>
      </c>
      <c r="AR396" s="719" t="inlineStr">
        <is>
          <t>No</t>
        </is>
      </c>
      <c r="AS396" s="733" t="n"/>
      <c r="AT396" s="733" t="n"/>
      <c r="AU396" s="733" t="n"/>
      <c r="AV396" s="733" t="n"/>
      <c r="AW396" s="719" t="inlineStr">
        <is>
          <t>trade</t>
        </is>
      </c>
      <c r="AX396" s="734" t="inlineStr">
        <is>
          <t>sig:d368037dfdd9236c82ef4493</t>
        </is>
      </c>
    </row>
    <row r="397" ht="15" customHeight="1">
      <c r="A397" s="716" t="inlineStr">
        <is>
          <t>F853</t>
        </is>
      </c>
      <c r="B397" s="717" t="n">
        <v>44384.88888888889</v>
      </c>
      <c r="C397" s="718" t="n">
        <v>44384.88958333333</v>
      </c>
      <c r="D397" s="719" t="inlineStr">
        <is>
          <t>PEPPERSTONE DEMO</t>
        </is>
      </c>
      <c r="E397" s="719" t="inlineStr">
        <is>
          <t>EURGBP</t>
        </is>
      </c>
      <c r="F397" s="719" t="inlineStr">
        <is>
          <t>SELL</t>
        </is>
      </c>
      <c r="G397" s="720" t="n">
        <v>0.13</v>
      </c>
      <c r="H397" s="720" t="n">
        <v>0.8551</v>
      </c>
      <c r="I397" s="720" t="n">
        <v>0.85526</v>
      </c>
      <c r="J397" s="721" t="n">
        <v>0.8552</v>
      </c>
      <c r="K397" s="760" t="n">
        <v>0.0001169453865044895</v>
      </c>
      <c r="L397" s="721" t="n">
        <v>0.854</v>
      </c>
      <c r="M397" s="722" t="n">
        <v>0.001286399251549515</v>
      </c>
      <c r="N397" s="761" t="n">
        <v>0.91</v>
      </c>
      <c r="O397" s="762" t="n">
        <v>-4.5</v>
      </c>
      <c r="P397" s="725" t="n">
        <v>-0.004343629343629344</v>
      </c>
      <c r="Q397" s="726" t="n">
        <v>-1.600000000000666</v>
      </c>
      <c r="R397" s="764" t="n">
        <v>1031.5</v>
      </c>
      <c r="S397" s="719" t="inlineStr">
        <is>
          <t>1M 0S</t>
        </is>
      </c>
      <c r="T397" s="728" t="n"/>
      <c r="U397" s="729" t="n"/>
      <c r="V397" s="730" t="n"/>
      <c r="W397" s="731" t="n"/>
      <c r="X397" s="732" t="n"/>
      <c r="Y397" s="728" t="n"/>
      <c r="Z397" s="729" t="n"/>
      <c r="AA397" s="730" t="n"/>
      <c r="AB397" s="731" t="n"/>
      <c r="AC397" s="732" t="n"/>
      <c r="AD397" s="719" t="inlineStr">
        <is>
          <t>No</t>
        </is>
      </c>
      <c r="AE397" s="733" t="n"/>
      <c r="AF397" s="733" t="n"/>
      <c r="AG397" s="733" t="n"/>
      <c r="AH397" s="733" t="n"/>
      <c r="AI397" s="719" t="inlineStr">
        <is>
          <t>Limit</t>
        </is>
      </c>
      <c r="AJ397" s="733" t="n"/>
      <c r="AK397" s="733" t="n"/>
      <c r="AL397" s="733" t="n"/>
      <c r="AM397" s="733" t="n"/>
      <c r="AN397" s="733" t="n"/>
      <c r="AO397" s="733" t="n"/>
      <c r="AP397" s="719" t="inlineStr">
        <is>
          <t>Pullback</t>
        </is>
      </c>
      <c r="AQ397" s="719" t="inlineStr">
        <is>
          <t>5MIN</t>
        </is>
      </c>
      <c r="AR397" s="719" t="inlineStr">
        <is>
          <t>No</t>
        </is>
      </c>
      <c r="AS397" s="733" t="n"/>
      <c r="AT397" s="733" t="n"/>
      <c r="AU397" s="733" t="n"/>
      <c r="AV397" s="733" t="n"/>
      <c r="AW397" s="719" t="inlineStr">
        <is>
          <t>trade</t>
        </is>
      </c>
      <c r="AX397" s="734" t="inlineStr">
        <is>
          <t>sig:b689fcd81818c4dcefdad043</t>
        </is>
      </c>
    </row>
    <row r="398" ht="15" customHeight="1">
      <c r="A398" s="716" t="inlineStr">
        <is>
          <t>F852</t>
        </is>
      </c>
      <c r="B398" s="717" t="n">
        <v>44383.92013888889</v>
      </c>
      <c r="C398" s="718" t="n">
        <v>44383.92222222222</v>
      </c>
      <c r="D398" s="719" t="inlineStr">
        <is>
          <t>PEPPERSTONE DEMO</t>
        </is>
      </c>
      <c r="E398" s="719" t="inlineStr">
        <is>
          <t>USDCAD</t>
        </is>
      </c>
      <c r="F398" s="719" t="inlineStr">
        <is>
          <t>SELL</t>
        </is>
      </c>
      <c r="G398" s="720" t="n">
        <v>0.18</v>
      </c>
      <c r="H398" s="720" t="n">
        <v>1.2363</v>
      </c>
      <c r="I398" s="720" t="n">
        <v>1.23651</v>
      </c>
      <c r="J398" s="721" t="n">
        <v>1.2365</v>
      </c>
      <c r="K398" s="760" t="n">
        <v>0.0001617730324354752</v>
      </c>
      <c r="L398" s="721" t="n">
        <v>1.2349</v>
      </c>
      <c r="M398" s="722" t="n">
        <v>0.001132411227048326</v>
      </c>
      <c r="N398" s="761" t="n">
        <v>1.26</v>
      </c>
      <c r="O398" s="762" t="n">
        <v>-5.1</v>
      </c>
      <c r="P398" s="725" t="n">
        <v>-0.004898664873691288</v>
      </c>
      <c r="Q398" s="726" t="n">
        <v>-1.050000000000333</v>
      </c>
      <c r="R398" s="764" t="n">
        <v>1036</v>
      </c>
      <c r="S398" s="719" t="inlineStr">
        <is>
          <t>3M 0S</t>
        </is>
      </c>
      <c r="T398" s="728" t="n"/>
      <c r="U398" s="729" t="n"/>
      <c r="V398" s="730" t="n"/>
      <c r="W398" s="731" t="n"/>
      <c r="X398" s="732" t="n"/>
      <c r="Y398" s="728" t="n"/>
      <c r="Z398" s="729" t="n"/>
      <c r="AA398" s="730" t="n"/>
      <c r="AB398" s="731" t="n"/>
      <c r="AC398" s="732" t="n"/>
      <c r="AD398" s="719" t="inlineStr">
        <is>
          <t>No</t>
        </is>
      </c>
      <c r="AE398" s="733" t="n"/>
      <c r="AF398" s="733" t="n"/>
      <c r="AG398" s="733" t="n"/>
      <c r="AH398" s="733" t="n"/>
      <c r="AI398" s="719" t="inlineStr">
        <is>
          <t>Limit</t>
        </is>
      </c>
      <c r="AJ398" s="733" t="n"/>
      <c r="AK398" s="733" t="n"/>
      <c r="AL398" s="733" t="n"/>
      <c r="AM398" s="733" t="n"/>
      <c r="AN398" s="733" t="n"/>
      <c r="AO398" s="733" t="n"/>
      <c r="AP398" s="719" t="inlineStr">
        <is>
          <t>Pullback</t>
        </is>
      </c>
      <c r="AQ398" s="719" t="inlineStr">
        <is>
          <t>5MIN</t>
        </is>
      </c>
      <c r="AR398" s="719" t="inlineStr">
        <is>
          <t>No</t>
        </is>
      </c>
      <c r="AS398" s="733" t="n"/>
      <c r="AT398" s="733" t="n"/>
      <c r="AU398" s="733" t="n"/>
      <c r="AV398" s="733" t="n"/>
      <c r="AW398" s="719" t="inlineStr">
        <is>
          <t>trade</t>
        </is>
      </c>
      <c r="AX398" s="734" t="inlineStr">
        <is>
          <t>sig:b5d1a94113e2f3f5f99be4e6</t>
        </is>
      </c>
    </row>
    <row r="399" ht="15" customHeight="1">
      <c r="A399" s="716" t="inlineStr">
        <is>
          <t>C248</t>
        </is>
      </c>
      <c r="B399" s="717" t="n">
        <v>44383.16666666666</v>
      </c>
      <c r="C399" s="718" t="n">
        <v>44383.16666666666</v>
      </c>
      <c r="D399" s="719" t="inlineStr">
        <is>
          <t>BYBIT</t>
        </is>
      </c>
      <c r="E399" s="719" t="inlineStr">
        <is>
          <t>BTCUSDT</t>
        </is>
      </c>
      <c r="F399" s="719" t="inlineStr">
        <is>
          <t>SELL</t>
        </is>
      </c>
      <c r="G399" s="757" t="n">
        <v>0.008</v>
      </c>
      <c r="H399" s="720" t="n">
        <v>33737</v>
      </c>
      <c r="I399" s="720" t="n">
        <v>33913.5</v>
      </c>
      <c r="J399" s="721" t="n">
        <v>33907</v>
      </c>
      <c r="K399" s="722" t="n">
        <v>0.005038977976702137</v>
      </c>
      <c r="L399" s="721" t="n">
        <v>33145.5</v>
      </c>
      <c r="M399" s="722" t="n">
        <v>0.01753267925423126</v>
      </c>
      <c r="N399" s="758" t="n">
        <v>0.136007</v>
      </c>
      <c r="O399" s="724" t="n">
        <v>-1.54887365</v>
      </c>
      <c r="P399" s="725" t="n">
        <v>-0.005423156209138346</v>
      </c>
      <c r="Q399" s="726" t="n">
        <v>-1.038235294117647</v>
      </c>
      <c r="R399" s="727" t="n">
        <v>284.0548578799999</v>
      </c>
      <c r="S399" s="719" t="inlineStr">
        <is>
          <t>1S</t>
        </is>
      </c>
      <c r="T399" s="728" t="n"/>
      <c r="U399" s="729" t="n"/>
      <c r="V399" s="730" t="n"/>
      <c r="W399" s="731" t="n"/>
      <c r="X399" s="732" t="n"/>
      <c r="Y399" s="728" t="n"/>
      <c r="Z399" s="729" t="n"/>
      <c r="AA399" s="730" t="n"/>
      <c r="AB399" s="731" t="n"/>
      <c r="AC399" s="732" t="n"/>
      <c r="AD399" s="719" t="inlineStr">
        <is>
          <t>No</t>
        </is>
      </c>
      <c r="AE399" s="733" t="n"/>
      <c r="AF399" s="733" t="n"/>
      <c r="AG399" s="733" t="n"/>
      <c r="AH399" s="733" t="n"/>
      <c r="AI399" s="719" t="inlineStr">
        <is>
          <t>Limit</t>
        </is>
      </c>
      <c r="AJ399" s="733" t="n"/>
      <c r="AK399" s="733" t="n"/>
      <c r="AL399" s="733" t="n"/>
      <c r="AM399" s="733" t="n"/>
      <c r="AN399" s="733" t="n"/>
      <c r="AO399" s="733" t="n"/>
      <c r="AP399" s="719" t="inlineStr">
        <is>
          <t>Pullback</t>
        </is>
      </c>
      <c r="AQ399" s="719" t="inlineStr">
        <is>
          <t>!H</t>
        </is>
      </c>
      <c r="AR399" s="719" t="inlineStr">
        <is>
          <t>No</t>
        </is>
      </c>
      <c r="AS399" s="733" t="n"/>
      <c r="AT399" s="733" t="n"/>
      <c r="AU399" s="733" t="n"/>
      <c r="AV399" s="733" t="n"/>
      <c r="AW399" s="719" t="inlineStr">
        <is>
          <t>trade</t>
        </is>
      </c>
      <c r="AX399" s="734" t="inlineStr">
        <is>
          <t>sig:e2dc33ac15234ef4160b7441</t>
        </is>
      </c>
    </row>
    <row r="400" ht="15" customHeight="1">
      <c r="A400" s="716" t="inlineStr">
        <is>
          <t>F851</t>
        </is>
      </c>
      <c r="B400" s="717" t="n">
        <v>44379.18263888889</v>
      </c>
      <c r="C400" s="718" t="n">
        <v>44379.22777777778</v>
      </c>
      <c r="D400" s="719" t="inlineStr">
        <is>
          <t>PEPPERSTONE DEMO</t>
        </is>
      </c>
      <c r="E400" s="719" t="inlineStr">
        <is>
          <t>AUDCAD</t>
        </is>
      </c>
      <c r="F400" s="719" t="inlineStr">
        <is>
          <t>SELL</t>
        </is>
      </c>
      <c r="G400" s="720" t="n">
        <v>0.19</v>
      </c>
      <c r="H400" s="720" t="n">
        <v>0.9284</v>
      </c>
      <c r="I400" s="720" t="n">
        <v>0.92893</v>
      </c>
      <c r="J400" s="721" t="n">
        <v>0.9288999999999999</v>
      </c>
      <c r="K400" s="760" t="n">
        <v>0.0005385609651011901</v>
      </c>
      <c r="L400" s="721" t="n">
        <v>0.9265</v>
      </c>
      <c r="M400" s="722" t="n">
        <v>0.002046531667384762</v>
      </c>
      <c r="N400" s="761" t="n">
        <v>1.33</v>
      </c>
      <c r="O400" s="762" t="n">
        <v>-11.56</v>
      </c>
      <c r="P400" s="725" t="n">
        <v>-0.01098170349400566</v>
      </c>
      <c r="Q400" s="726" t="n">
        <v>-1.060000000000178</v>
      </c>
      <c r="R400" s="764" t="n">
        <v>1041.1</v>
      </c>
      <c r="S400" s="719" t="inlineStr">
        <is>
          <t>1H 5M 0S</t>
        </is>
      </c>
      <c r="T400" s="728" t="n"/>
      <c r="U400" s="729" t="n"/>
      <c r="V400" s="730" t="n"/>
      <c r="W400" s="731" t="n"/>
      <c r="X400" s="732" t="n"/>
      <c r="Y400" s="728" t="n"/>
      <c r="Z400" s="729" t="n"/>
      <c r="AA400" s="730" t="n"/>
      <c r="AB400" s="731" t="n"/>
      <c r="AC400" s="732" t="n"/>
      <c r="AD400" s="719" t="inlineStr">
        <is>
          <t>No</t>
        </is>
      </c>
      <c r="AE400" s="733" t="n"/>
      <c r="AF400" s="733" t="n"/>
      <c r="AG400" s="733" t="n"/>
      <c r="AH400" s="733" t="n"/>
      <c r="AI400" s="719" t="inlineStr">
        <is>
          <t>Limit</t>
        </is>
      </c>
      <c r="AJ400" s="733" t="n"/>
      <c r="AK400" s="733" t="n"/>
      <c r="AL400" s="733" t="n"/>
      <c r="AM400" s="733" t="n"/>
      <c r="AN400" s="733" t="n"/>
      <c r="AO400" s="719" t="n"/>
      <c r="AP400" s="719" t="inlineStr">
        <is>
          <t>Pullback</t>
        </is>
      </c>
      <c r="AQ400" s="719" t="inlineStr">
        <is>
          <t>1H</t>
        </is>
      </c>
      <c r="AR400" s="719" t="inlineStr">
        <is>
          <t>No</t>
        </is>
      </c>
      <c r="AS400" s="733" t="n"/>
      <c r="AT400" s="733" t="n"/>
      <c r="AU400" s="733" t="n"/>
      <c r="AV400" s="733" t="n"/>
      <c r="AW400" s="719" t="inlineStr">
        <is>
          <t>trade</t>
        </is>
      </c>
      <c r="AX400" s="734" t="inlineStr">
        <is>
          <t>sig:94a19cd638bab7f36136e576</t>
        </is>
      </c>
    </row>
    <row r="401" ht="15" customHeight="1">
      <c r="A401" s="737" t="inlineStr">
        <is>
          <t>F850</t>
        </is>
      </c>
      <c r="B401" s="738" t="n">
        <v>44379.00138888889</v>
      </c>
      <c r="C401" s="739" t="n">
        <v>44379.02638888889</v>
      </c>
      <c r="D401" s="740" t="inlineStr">
        <is>
          <t>PEPPERSTONE DEMO</t>
        </is>
      </c>
      <c r="E401" s="740" t="inlineStr">
        <is>
          <t>USDJPY</t>
        </is>
      </c>
      <c r="F401" s="740" t="inlineStr">
        <is>
          <t>BUY</t>
        </is>
      </c>
      <c r="G401" s="742" t="n">
        <v>0.2</v>
      </c>
      <c r="H401" s="742" t="n">
        <v>111.36</v>
      </c>
      <c r="I401" s="742" t="n">
        <v>111.596</v>
      </c>
      <c r="J401" s="743" t="n">
        <v>111.32</v>
      </c>
      <c r="K401" s="765" t="n">
        <v>0.0003591954022989067</v>
      </c>
      <c r="L401" s="743" t="n">
        <v>111.59</v>
      </c>
      <c r="M401" s="744" t="n">
        <v>0.002065373563218426</v>
      </c>
      <c r="N401" s="766" t="n">
        <v>1.4</v>
      </c>
      <c r="O401" s="767" t="n">
        <v>54.66</v>
      </c>
      <c r="P401" s="747" t="n">
        <v>0.0547695390781563</v>
      </c>
      <c r="Q401" s="748" t="n">
        <v>5.899999999999183</v>
      </c>
      <c r="R401" s="769" t="n">
        <v>1052.66</v>
      </c>
      <c r="S401" s="740" t="inlineStr">
        <is>
          <t>36M 0S</t>
        </is>
      </c>
      <c r="T401" s="750" t="n"/>
      <c r="U401" s="751" t="n"/>
      <c r="V401" s="752" t="n"/>
      <c r="W401" s="753" t="n"/>
      <c r="X401" s="754" t="n"/>
      <c r="Y401" s="750" t="n"/>
      <c r="Z401" s="751" t="n"/>
      <c r="AA401" s="752" t="n"/>
      <c r="AB401" s="753" t="n"/>
      <c r="AC401" s="754" t="n"/>
      <c r="AD401" s="740" t="inlineStr">
        <is>
          <t>No</t>
        </is>
      </c>
      <c r="AE401" s="755" t="n"/>
      <c r="AF401" s="755" t="n"/>
      <c r="AG401" s="755" t="n"/>
      <c r="AH401" s="755" t="n"/>
      <c r="AI401" s="740" t="inlineStr">
        <is>
          <t>Limit</t>
        </is>
      </c>
      <c r="AJ401" s="755" t="n"/>
      <c r="AK401" s="755" t="n"/>
      <c r="AL401" s="755" t="n"/>
      <c r="AM401" s="755" t="n"/>
      <c r="AN401" s="755" t="n"/>
      <c r="AO401" s="755" t="n"/>
      <c r="AP401" s="740" t="inlineStr">
        <is>
          <t>Pullback</t>
        </is>
      </c>
      <c r="AQ401" s="740" t="inlineStr">
        <is>
          <t>1H</t>
        </is>
      </c>
      <c r="AR401" s="740" t="inlineStr">
        <is>
          <t>No</t>
        </is>
      </c>
      <c r="AS401" s="755" t="n"/>
      <c r="AT401" s="755" t="n"/>
      <c r="AU401" s="755" t="n"/>
      <c r="AV401" s="755" t="n"/>
      <c r="AW401" s="740" t="inlineStr">
        <is>
          <t>trade</t>
        </is>
      </c>
      <c r="AX401" s="756" t="inlineStr">
        <is>
          <t>sig:1e44f4a8d84d47f1df3734ad</t>
        </is>
      </c>
    </row>
    <row r="402" ht="15" customHeight="1">
      <c r="A402" s="716" t="inlineStr">
        <is>
          <t>F849</t>
        </is>
      </c>
      <c r="B402" s="717" t="n">
        <v>44377.91388888889</v>
      </c>
      <c r="C402" s="718" t="n">
        <v>44377.91597222222</v>
      </c>
      <c r="D402" s="719" t="inlineStr">
        <is>
          <t>PEPPERSTONE DEMO</t>
        </is>
      </c>
      <c r="E402" s="719" t="inlineStr">
        <is>
          <t>EURJPY</t>
        </is>
      </c>
      <c r="F402" s="719" t="inlineStr">
        <is>
          <t>SELL</t>
        </is>
      </c>
      <c r="G402" s="720" t="n">
        <v>0.12</v>
      </c>
      <c r="H402" s="720" t="n">
        <v>131.44</v>
      </c>
      <c r="I402" s="720" t="n">
        <v>131.465</v>
      </c>
      <c r="J402" s="721" t="n">
        <v>131.465</v>
      </c>
      <c r="K402" s="760" t="n">
        <v>0.0001902008520998607</v>
      </c>
      <c r="L402" s="721" t="n">
        <v>131.3</v>
      </c>
      <c r="M402" s="722" t="n">
        <v>0.001065124771758874</v>
      </c>
      <c r="N402" s="761" t="n">
        <v>0.84</v>
      </c>
      <c r="O402" s="762" t="n">
        <v>-3.74</v>
      </c>
      <c r="P402" s="725" t="n">
        <v>-0.003733503703555813</v>
      </c>
      <c r="Q402" s="726" t="n">
        <v>-1</v>
      </c>
      <c r="R402" s="764" t="n">
        <v>998</v>
      </c>
      <c r="S402" s="719" t="inlineStr">
        <is>
          <t>3M 0S</t>
        </is>
      </c>
      <c r="T402" s="728" t="n"/>
      <c r="U402" s="729" t="n"/>
      <c r="V402" s="730" t="n"/>
      <c r="W402" s="731" t="n"/>
      <c r="X402" s="732" t="n"/>
      <c r="Y402" s="728" t="n"/>
      <c r="Z402" s="729" t="n"/>
      <c r="AA402" s="730" t="n"/>
      <c r="AB402" s="731" t="n"/>
      <c r="AC402" s="732" t="n"/>
      <c r="AD402" s="719" t="inlineStr">
        <is>
          <t>No</t>
        </is>
      </c>
      <c r="AE402" s="733" t="n"/>
      <c r="AF402" s="733" t="n"/>
      <c r="AG402" s="733" t="n"/>
      <c r="AH402" s="733" t="n"/>
      <c r="AI402" s="719" t="inlineStr">
        <is>
          <t>Limit</t>
        </is>
      </c>
      <c r="AJ402" s="733" t="n"/>
      <c r="AK402" s="733" t="n"/>
      <c r="AL402" s="733" t="n"/>
      <c r="AM402" s="733" t="n"/>
      <c r="AN402" s="733" t="n"/>
      <c r="AO402" s="733" t="n"/>
      <c r="AP402" s="719" t="inlineStr">
        <is>
          <t>Pullback</t>
        </is>
      </c>
      <c r="AQ402" s="719" t="inlineStr">
        <is>
          <t>5MIN</t>
        </is>
      </c>
      <c r="AR402" s="719" t="inlineStr">
        <is>
          <t>No</t>
        </is>
      </c>
      <c r="AS402" s="782" t="n"/>
      <c r="AT402" s="733" t="n"/>
      <c r="AU402" s="719" t="n"/>
      <c r="AV402" s="719" t="n"/>
      <c r="AW402" s="719" t="inlineStr">
        <is>
          <t>trade</t>
        </is>
      </c>
      <c r="AX402" s="734" t="inlineStr">
        <is>
          <t>sig:7e4eaa0eb93d717f6086344c</t>
        </is>
      </c>
    </row>
    <row r="403" ht="15" customHeight="1">
      <c r="A403" s="716" t="inlineStr">
        <is>
          <t>F848</t>
        </is>
      </c>
      <c r="B403" s="717" t="n">
        <v>44377.88263888889</v>
      </c>
      <c r="C403" s="718" t="n">
        <v>44377.8875</v>
      </c>
      <c r="D403" s="719" t="inlineStr">
        <is>
          <t>PEPPERSTONE DEMO</t>
        </is>
      </c>
      <c r="E403" s="719" t="inlineStr">
        <is>
          <t>USDCAD</t>
        </is>
      </c>
      <c r="F403" s="719" t="inlineStr">
        <is>
          <t>BUY</t>
        </is>
      </c>
      <c r="G403" s="720" t="n">
        <v>0.18</v>
      </c>
      <c r="H403" s="720" t="n">
        <v>1.2392</v>
      </c>
      <c r="I403" s="720" t="n">
        <v>1.23875</v>
      </c>
      <c r="J403" s="721" t="n">
        <v>1.2387</v>
      </c>
      <c r="K403" s="760" t="n">
        <v>0.000403486120077604</v>
      </c>
      <c r="L403" s="721" t="n">
        <v>1.242</v>
      </c>
      <c r="M403" s="722" t="n">
        <v>0.002259522272433759</v>
      </c>
      <c r="N403" s="761" t="n">
        <v>1.26</v>
      </c>
      <c r="O403" s="762" t="n">
        <v>-10.93</v>
      </c>
      <c r="P403" s="725" t="n">
        <v>-0.01079324952847423</v>
      </c>
      <c r="Q403" s="726" t="n">
        <v>-0.8999999999998224</v>
      </c>
      <c r="R403" s="764" t="n">
        <v>1001.74</v>
      </c>
      <c r="S403" s="719" t="inlineStr">
        <is>
          <t>7M 0S</t>
        </is>
      </c>
      <c r="T403" s="717" t="n"/>
      <c r="U403" s="806" t="n"/>
      <c r="V403" s="730" t="n"/>
      <c r="W403" s="731" t="n"/>
      <c r="X403" s="732" t="n"/>
      <c r="Y403" s="728" t="n"/>
      <c r="Z403" s="729" t="n"/>
      <c r="AA403" s="730" t="n"/>
      <c r="AB403" s="731" t="n"/>
      <c r="AC403" s="732" t="n"/>
      <c r="AD403" s="719" t="inlineStr">
        <is>
          <t>No</t>
        </is>
      </c>
      <c r="AE403" s="733" t="n"/>
      <c r="AF403" s="733" t="n"/>
      <c r="AG403" s="733" t="n"/>
      <c r="AH403" s="733" t="n"/>
      <c r="AI403" s="719" t="inlineStr">
        <is>
          <t>Limit</t>
        </is>
      </c>
      <c r="AJ403" s="733" t="n"/>
      <c r="AK403" s="733" t="n"/>
      <c r="AL403" s="733" t="n"/>
      <c r="AM403" s="733" t="n"/>
      <c r="AN403" s="733" t="n"/>
      <c r="AO403" s="733" t="n"/>
      <c r="AP403" s="719" t="inlineStr">
        <is>
          <t>Pullback</t>
        </is>
      </c>
      <c r="AQ403" s="719" t="inlineStr">
        <is>
          <t>1H</t>
        </is>
      </c>
      <c r="AR403" s="719" t="inlineStr">
        <is>
          <t>No</t>
        </is>
      </c>
      <c r="AS403" s="733" t="n"/>
      <c r="AT403" s="733" t="n"/>
      <c r="AU403" s="733" t="n"/>
      <c r="AV403" s="733" t="n"/>
      <c r="AW403" s="719" t="inlineStr">
        <is>
          <t>trade</t>
        </is>
      </c>
      <c r="AX403" s="734" t="inlineStr">
        <is>
          <t>sig:2d6a32d62a67afd552321cd3</t>
        </is>
      </c>
    </row>
    <row r="404" ht="15" customHeight="1">
      <c r="A404" s="716" t="inlineStr">
        <is>
          <t>F847</t>
        </is>
      </c>
      <c r="B404" s="717" t="n">
        <v>44377.87613425926</v>
      </c>
      <c r="C404" s="718" t="n">
        <v>44377.87621527778</v>
      </c>
      <c r="D404" s="719" t="inlineStr">
        <is>
          <t>PEPPERSTONE DEMO</t>
        </is>
      </c>
      <c r="E404" s="719" t="inlineStr">
        <is>
          <t>GBPUSD</t>
        </is>
      </c>
      <c r="F404" s="719" t="inlineStr">
        <is>
          <t>BUY</t>
        </is>
      </c>
      <c r="G404" s="720" t="n">
        <v>0.15</v>
      </c>
      <c r="H404" s="720" t="n">
        <v>1.386</v>
      </c>
      <c r="I404" s="720" t="n">
        <v>1.3858</v>
      </c>
      <c r="J404" s="721" t="n">
        <v>1.3858</v>
      </c>
      <c r="K404" s="760" t="n">
        <v>0.0001443001443001284</v>
      </c>
      <c r="L404" s="721" t="n">
        <v>1.3868</v>
      </c>
      <c r="M404" s="760" t="n">
        <v>0.0005772005772006739</v>
      </c>
      <c r="N404" s="761" t="n">
        <v>1.05</v>
      </c>
      <c r="O404" s="762" t="n">
        <v>-5.04</v>
      </c>
      <c r="P404" s="725" t="n">
        <v>-0.004952294858063692</v>
      </c>
      <c r="Q404" s="726" t="n">
        <v>-1</v>
      </c>
      <c r="R404" s="764" t="n">
        <v>1012.67</v>
      </c>
      <c r="S404" s="719" t="inlineStr">
        <is>
          <t>7S</t>
        </is>
      </c>
      <c r="T404" s="728" t="n"/>
      <c r="U404" s="729" t="n"/>
      <c r="V404" s="730" t="n"/>
      <c r="W404" s="731" t="n"/>
      <c r="X404" s="732" t="n"/>
      <c r="Y404" s="728" t="n"/>
      <c r="Z404" s="729" t="n"/>
      <c r="AA404" s="730" t="n"/>
      <c r="AB404" s="731" t="n"/>
      <c r="AC404" s="732" t="n"/>
      <c r="AD404" s="719" t="inlineStr">
        <is>
          <t>No</t>
        </is>
      </c>
      <c r="AE404" s="733" t="n"/>
      <c r="AF404" s="733" t="n"/>
      <c r="AG404" s="733" t="n"/>
      <c r="AH404" s="733" t="n"/>
      <c r="AI404" s="719" t="inlineStr">
        <is>
          <t>Limit</t>
        </is>
      </c>
      <c r="AJ404" s="733" t="n"/>
      <c r="AK404" s="733" t="n"/>
      <c r="AL404" s="733" t="n"/>
      <c r="AM404" s="733" t="n"/>
      <c r="AN404" s="733" t="n"/>
      <c r="AO404" s="733" t="n"/>
      <c r="AP404" s="719" t="inlineStr">
        <is>
          <t>Pullback</t>
        </is>
      </c>
      <c r="AQ404" s="719" t="inlineStr">
        <is>
          <t>5MIN</t>
        </is>
      </c>
      <c r="AR404" s="719" t="inlineStr">
        <is>
          <t>No</t>
        </is>
      </c>
      <c r="AS404" s="733" t="n"/>
      <c r="AT404" s="733" t="n"/>
      <c r="AU404" s="733" t="n"/>
      <c r="AV404" s="733" t="n"/>
      <c r="AW404" s="719" t="inlineStr">
        <is>
          <t>trade</t>
        </is>
      </c>
      <c r="AX404" s="734" t="inlineStr">
        <is>
          <t>sig:38746ae86533dce7b401d654</t>
        </is>
      </c>
    </row>
    <row r="405" ht="15" customHeight="1">
      <c r="A405" s="737" t="inlineStr">
        <is>
          <t>F846</t>
        </is>
      </c>
      <c r="B405" s="738" t="n">
        <v>44376.71597222222</v>
      </c>
      <c r="C405" s="739" t="n">
        <v>44376.78958333333</v>
      </c>
      <c r="D405" s="740" t="inlineStr">
        <is>
          <t>PEPPERSTONE DEMO</t>
        </is>
      </c>
      <c r="E405" s="740" t="inlineStr">
        <is>
          <t>EURJPY</t>
        </is>
      </c>
      <c r="F405" s="740" t="inlineStr">
        <is>
          <t>SELL</t>
        </is>
      </c>
      <c r="G405" s="742" t="n">
        <v>0.1</v>
      </c>
      <c r="H405" s="742" t="n">
        <v>131.84</v>
      </c>
      <c r="I405" s="742" t="n">
        <v>131.637</v>
      </c>
      <c r="J405" s="743" t="n">
        <v>131.89</v>
      </c>
      <c r="K405" s="765" t="n">
        <v>0.0003792475728154046</v>
      </c>
      <c r="L405" s="743" t="n">
        <v>131.63</v>
      </c>
      <c r="M405" s="744" t="n">
        <v>0.001592839805825303</v>
      </c>
      <c r="N405" s="766" t="n">
        <v>0.7</v>
      </c>
      <c r="O405" s="767" t="n">
        <v>24.75</v>
      </c>
      <c r="P405" s="747" t="n">
        <v>0.02492547534643893</v>
      </c>
      <c r="Q405" s="748" t="n">
        <v>4.060000000001444</v>
      </c>
      <c r="R405" s="769" t="n">
        <v>1017.71</v>
      </c>
      <c r="S405" s="740" t="inlineStr">
        <is>
          <t>1H 46M 0S</t>
        </is>
      </c>
      <c r="T405" s="738" t="n"/>
      <c r="U405" s="809" t="n"/>
      <c r="V405" s="752" t="n"/>
      <c r="W405" s="753" t="n"/>
      <c r="X405" s="754" t="n"/>
      <c r="Y405" s="750" t="n"/>
      <c r="Z405" s="751" t="n"/>
      <c r="AA405" s="752" t="n"/>
      <c r="AB405" s="753" t="n"/>
      <c r="AC405" s="754" t="n"/>
      <c r="AD405" s="740" t="inlineStr">
        <is>
          <t>No</t>
        </is>
      </c>
      <c r="AE405" s="755" t="n"/>
      <c r="AF405" s="755" t="n"/>
      <c r="AG405" s="755" t="n"/>
      <c r="AH405" s="755" t="n"/>
      <c r="AI405" s="740" t="inlineStr">
        <is>
          <t>Limit</t>
        </is>
      </c>
      <c r="AJ405" s="755" t="n"/>
      <c r="AK405" s="755" t="n"/>
      <c r="AL405" s="755" t="n"/>
      <c r="AM405" s="755" t="n"/>
      <c r="AN405" s="755" t="n"/>
      <c r="AO405" s="755" t="n"/>
      <c r="AP405" s="740" t="inlineStr">
        <is>
          <t>Pullback</t>
        </is>
      </c>
      <c r="AQ405" s="740" t="inlineStr">
        <is>
          <t>1H</t>
        </is>
      </c>
      <c r="AR405" s="740" t="inlineStr">
        <is>
          <t>No</t>
        </is>
      </c>
      <c r="AS405" s="755" t="n"/>
      <c r="AT405" s="755" t="n"/>
      <c r="AU405" s="755" t="n"/>
      <c r="AV405" s="755" t="n"/>
      <c r="AW405" s="740" t="inlineStr">
        <is>
          <t>trade</t>
        </is>
      </c>
      <c r="AX405" s="756" t="inlineStr">
        <is>
          <t>sig:c8a091057755049214dc74e2</t>
        </is>
      </c>
    </row>
    <row r="406" ht="15" customHeight="1">
      <c r="A406" s="716" t="inlineStr">
        <is>
          <t>C247</t>
        </is>
      </c>
      <c r="B406" s="717" t="n">
        <v>44376.0125</v>
      </c>
      <c r="C406" s="718" t="n">
        <v>44376.08125</v>
      </c>
      <c r="D406" s="719" t="inlineStr">
        <is>
          <t>BYBIT</t>
        </is>
      </c>
      <c r="E406" s="719" t="inlineStr">
        <is>
          <t>AAVEUSDT</t>
        </is>
      </c>
      <c r="F406" s="719" t="inlineStr">
        <is>
          <t>SELL</t>
        </is>
      </c>
      <c r="G406" s="720" t="n">
        <v>0.18</v>
      </c>
      <c r="H406" s="720" t="n">
        <v>217</v>
      </c>
      <c r="I406" s="720" t="n">
        <v>225.45</v>
      </c>
      <c r="J406" s="721" t="n">
        <v>225.4</v>
      </c>
      <c r="K406" s="722" t="n">
        <v>0.03870967741935487</v>
      </c>
      <c r="L406" s="721" t="n">
        <v>187.1</v>
      </c>
      <c r="M406" s="722" t="n">
        <v>0.1377880184331798</v>
      </c>
      <c r="N406" s="723" t="n">
        <v>0.02067075</v>
      </c>
      <c r="O406" s="724" t="n">
        <v>-1.5425374</v>
      </c>
      <c r="P406" s="725" t="n">
        <v>-0.005371956967255728</v>
      </c>
      <c r="Q406" s="726" t="n">
        <v>-1.005952380952379</v>
      </c>
      <c r="R406" s="727" t="n">
        <v>285.6037315299999</v>
      </c>
      <c r="S406" s="719" t="inlineStr">
        <is>
          <t>1H 39M 0S</t>
        </is>
      </c>
      <c r="T406" s="728" t="n"/>
      <c r="U406" s="729" t="n"/>
      <c r="V406" s="730" t="n"/>
      <c r="W406" s="731" t="n"/>
      <c r="X406" s="732" t="n"/>
      <c r="Y406" s="728" t="n"/>
      <c r="Z406" s="729" t="n"/>
      <c r="AA406" s="730" t="n"/>
      <c r="AB406" s="731" t="n"/>
      <c r="AC406" s="732" t="n"/>
      <c r="AD406" s="719" t="inlineStr">
        <is>
          <t>No</t>
        </is>
      </c>
      <c r="AE406" s="733" t="n"/>
      <c r="AF406" s="733" t="n"/>
      <c r="AG406" s="733" t="n"/>
      <c r="AH406" s="733" t="n"/>
      <c r="AI406" s="719" t="inlineStr">
        <is>
          <t>Limit</t>
        </is>
      </c>
      <c r="AJ406" s="733" t="n"/>
      <c r="AK406" s="733" t="n"/>
      <c r="AL406" s="733" t="n"/>
      <c r="AM406" s="733" t="n"/>
      <c r="AN406" s="733" t="n"/>
      <c r="AO406" s="733" t="n"/>
      <c r="AP406" s="719" t="inlineStr">
        <is>
          <t>Pullback</t>
        </is>
      </c>
      <c r="AQ406" s="719" t="inlineStr">
        <is>
          <t>DAILY</t>
        </is>
      </c>
      <c r="AR406" s="719" t="inlineStr">
        <is>
          <t>No</t>
        </is>
      </c>
      <c r="AS406" s="733" t="n"/>
      <c r="AT406" s="733" t="n"/>
      <c r="AU406" s="733" t="n"/>
      <c r="AV406" s="733" t="n"/>
      <c r="AW406" s="719" t="inlineStr">
        <is>
          <t>trade</t>
        </is>
      </c>
      <c r="AX406" s="734" t="inlineStr">
        <is>
          <t>sig:7e909a53801f2dbd2a7e505a</t>
        </is>
      </c>
    </row>
    <row r="407" ht="15" customHeight="1">
      <c r="A407" s="716" t="inlineStr">
        <is>
          <t>C246</t>
        </is>
      </c>
      <c r="B407" s="717" t="n">
        <v>44374.37222222222</v>
      </c>
      <c r="C407" s="718" t="n">
        <v>44374.42430555556</v>
      </c>
      <c r="D407" s="719" t="inlineStr">
        <is>
          <t>BYBIT</t>
        </is>
      </c>
      <c r="E407" s="719" t="inlineStr">
        <is>
          <t>SUSHIUSDT</t>
        </is>
      </c>
      <c r="F407" s="719" t="inlineStr">
        <is>
          <t>SELL</t>
        </is>
      </c>
      <c r="G407" s="720" t="n">
        <v>9.4</v>
      </c>
      <c r="H407" s="720" t="n">
        <v>6.7</v>
      </c>
      <c r="I407" s="720" t="n">
        <v>6.875</v>
      </c>
      <c r="J407" s="721" t="n">
        <v>6.855</v>
      </c>
      <c r="K407" s="722" t="n">
        <v>0.02313432835820899</v>
      </c>
      <c r="L407" s="721" t="n">
        <v>6.204</v>
      </c>
      <c r="M407" s="722" t="n">
        <v>0.07402985074626872</v>
      </c>
      <c r="N407" s="723" t="n">
        <v>0.02994561</v>
      </c>
      <c r="O407" s="724" t="n">
        <v>-1.67581226</v>
      </c>
      <c r="P407" s="725" t="n">
        <v>-0.005802230401136041</v>
      </c>
      <c r="Q407" s="726" t="n">
        <v>-1.129032258064513</v>
      </c>
      <c r="R407" s="727" t="n">
        <v>287.14626893</v>
      </c>
      <c r="S407" s="719" t="inlineStr">
        <is>
          <t>1H 15M 0S</t>
        </is>
      </c>
      <c r="T407" s="728" t="n"/>
      <c r="U407" s="729" t="n"/>
      <c r="V407" s="730" t="n"/>
      <c r="W407" s="731" t="n"/>
      <c r="X407" s="732" t="n"/>
      <c r="Y407" s="728" t="n"/>
      <c r="Z407" s="729" t="n"/>
      <c r="AA407" s="730" t="n"/>
      <c r="AB407" s="731" t="n"/>
      <c r="AC407" s="732" t="n"/>
      <c r="AD407" s="719" t="inlineStr">
        <is>
          <t>No</t>
        </is>
      </c>
      <c r="AE407" s="733" t="n"/>
      <c r="AF407" s="733" t="n"/>
      <c r="AG407" s="733" t="n"/>
      <c r="AH407" s="733" t="n"/>
      <c r="AI407" s="719" t="inlineStr">
        <is>
          <t>Limit</t>
        </is>
      </c>
      <c r="AJ407" s="733" t="n"/>
      <c r="AK407" s="733" t="n"/>
      <c r="AL407" s="733" t="n"/>
      <c r="AM407" s="733" t="n"/>
      <c r="AN407" s="733" t="n"/>
      <c r="AO407" s="733" t="n"/>
      <c r="AP407" s="719" t="inlineStr">
        <is>
          <t>Pullback</t>
        </is>
      </c>
      <c r="AQ407" s="719" t="inlineStr">
        <is>
          <t>1H</t>
        </is>
      </c>
      <c r="AR407" s="719" t="inlineStr">
        <is>
          <t>No</t>
        </is>
      </c>
      <c r="AS407" s="733" t="n"/>
      <c r="AT407" s="733" t="n"/>
      <c r="AU407" s="733" t="n"/>
      <c r="AV407" s="733" t="n"/>
      <c r="AW407" s="719" t="inlineStr">
        <is>
          <t>trade</t>
        </is>
      </c>
      <c r="AX407" s="734" t="inlineStr">
        <is>
          <t>sig:d333adbd65daea9e2eb1da88</t>
        </is>
      </c>
    </row>
    <row r="408" ht="15" customHeight="1">
      <c r="A408" s="716" t="inlineStr">
        <is>
          <t>F845</t>
        </is>
      </c>
      <c r="B408" s="717" t="n">
        <v>44371.9375</v>
      </c>
      <c r="C408" s="718" t="n">
        <v>44371.95972222222</v>
      </c>
      <c r="D408" s="719" t="inlineStr">
        <is>
          <t>PEPPERSTONE DEMO</t>
        </is>
      </c>
      <c r="E408" s="719" t="inlineStr">
        <is>
          <t>EURGBP</t>
        </is>
      </c>
      <c r="F408" s="719" t="inlineStr">
        <is>
          <t>BUY</t>
        </is>
      </c>
      <c r="G408" s="735" t="n">
        <v>0.06</v>
      </c>
      <c r="H408" s="720" t="n">
        <v>0.8585</v>
      </c>
      <c r="I408" s="720" t="n">
        <v>0.8585</v>
      </c>
      <c r="J408" s="721" t="n">
        <v>0.8581</v>
      </c>
      <c r="K408" s="760" t="n">
        <v>0.000465928945835838</v>
      </c>
      <c r="L408" s="721" t="n">
        <v>0.8598</v>
      </c>
      <c r="M408" s="722" t="n">
        <v>0.001514269073966183</v>
      </c>
      <c r="N408" s="761" t="n">
        <v>0.42</v>
      </c>
      <c r="O408" s="762" t="n">
        <v>-0.97</v>
      </c>
      <c r="P408" s="763" t="n">
        <v>-0.0009759238578169489</v>
      </c>
      <c r="Q408" s="726" t="n">
        <v>0</v>
      </c>
      <c r="R408" s="764" t="n">
        <v>992.9599999999999</v>
      </c>
      <c r="S408" s="719" t="inlineStr">
        <is>
          <t>32M 0S</t>
        </is>
      </c>
      <c r="T408" s="728" t="n"/>
      <c r="U408" s="729" t="n"/>
      <c r="V408" s="730" t="n"/>
      <c r="W408" s="731" t="n"/>
      <c r="X408" s="732" t="n"/>
      <c r="Y408" s="728" t="n"/>
      <c r="Z408" s="729" t="n"/>
      <c r="AA408" s="730" t="n"/>
      <c r="AB408" s="731" t="n"/>
      <c r="AC408" s="732" t="n"/>
      <c r="AD408" s="719" t="inlineStr">
        <is>
          <t>No</t>
        </is>
      </c>
      <c r="AE408" s="733" t="n"/>
      <c r="AF408" s="733" t="n"/>
      <c r="AG408" s="733" t="n"/>
      <c r="AH408" s="733" t="n"/>
      <c r="AI408" s="719" t="inlineStr">
        <is>
          <t>Limit</t>
        </is>
      </c>
      <c r="AJ408" s="733" t="n"/>
      <c r="AK408" s="733" t="n"/>
      <c r="AL408" s="733" t="n"/>
      <c r="AM408" s="733" t="n"/>
      <c r="AN408" s="733" t="n"/>
      <c r="AO408" s="719" t="inlineStr">
        <is>
          <t>Yes</t>
        </is>
      </c>
      <c r="AP408" s="719" t="inlineStr">
        <is>
          <t>Pullback</t>
        </is>
      </c>
      <c r="AQ408" s="719" t="inlineStr">
        <is>
          <t>5MIN</t>
        </is>
      </c>
      <c r="AR408" s="719" t="inlineStr">
        <is>
          <t>No</t>
        </is>
      </c>
      <c r="AS408" s="733" t="n"/>
      <c r="AT408" s="733" t="n"/>
      <c r="AU408" s="733" t="n"/>
      <c r="AV408" s="733" t="n"/>
      <c r="AW408" s="719" t="inlineStr">
        <is>
          <t>trade</t>
        </is>
      </c>
      <c r="AX408" s="734" t="inlineStr">
        <is>
          <t>sig:99979f7d4685794c7ee0510b</t>
        </is>
      </c>
    </row>
    <row r="409" ht="15" customHeight="1">
      <c r="A409" s="716" t="inlineStr">
        <is>
          <t>F844</t>
        </is>
      </c>
      <c r="B409" s="717" t="n">
        <v>44371.90069444444</v>
      </c>
      <c r="C409" s="718" t="n">
        <v>44371.90138888889</v>
      </c>
      <c r="D409" s="719" t="inlineStr">
        <is>
          <t>PEPPERSTONE DEMO</t>
        </is>
      </c>
      <c r="E409" s="719" t="inlineStr">
        <is>
          <t>EURCHF</t>
        </is>
      </c>
      <c r="F409" s="719" t="inlineStr">
        <is>
          <t>BUY</t>
        </is>
      </c>
      <c r="G409" s="720" t="n">
        <v>0.17</v>
      </c>
      <c r="H409" s="720" t="n">
        <v>1.0966</v>
      </c>
      <c r="I409" s="720" t="n">
        <v>1.09649</v>
      </c>
      <c r="J409" s="721" t="n">
        <v>1.0964</v>
      </c>
      <c r="K409" s="760" t="n">
        <v>0.0001823819077147346</v>
      </c>
      <c r="L409" s="721" t="n">
        <v>1.0973</v>
      </c>
      <c r="M409" s="760" t="n">
        <v>0.0006383366770015711</v>
      </c>
      <c r="N409" s="761" t="n">
        <v>1.19</v>
      </c>
      <c r="O409" s="762" t="n">
        <v>-6.07</v>
      </c>
      <c r="P409" s="725" t="n">
        <v>-0.00607</v>
      </c>
      <c r="Q409" s="726" t="n">
        <v>-0.5500000000003331</v>
      </c>
      <c r="R409" s="764" t="n">
        <v>993.9299999999999</v>
      </c>
      <c r="S409" s="719" t="inlineStr">
        <is>
          <t>1M 0S</t>
        </is>
      </c>
      <c r="T409" s="728" t="n"/>
      <c r="U409" s="729" t="n"/>
      <c r="V409" s="730" t="n"/>
      <c r="W409" s="731" t="n"/>
      <c r="X409" s="732" t="n"/>
      <c r="Y409" s="728" t="n"/>
      <c r="Z409" s="729" t="n"/>
      <c r="AA409" s="730" t="n"/>
      <c r="AB409" s="731" t="n"/>
      <c r="AC409" s="732" t="n"/>
      <c r="AD409" s="719" t="inlineStr">
        <is>
          <t>No</t>
        </is>
      </c>
      <c r="AE409" s="733" t="n"/>
      <c r="AF409" s="733" t="n"/>
      <c r="AG409" s="733" t="n"/>
      <c r="AH409" s="733" t="n"/>
      <c r="AI409" s="719" t="inlineStr">
        <is>
          <t>Limit</t>
        </is>
      </c>
      <c r="AJ409" s="733" t="n"/>
      <c r="AK409" s="733" t="n"/>
      <c r="AL409" s="733" t="n"/>
      <c r="AM409" s="733" t="n"/>
      <c r="AN409" s="733" t="n"/>
      <c r="AO409" s="733" t="n"/>
      <c r="AP409" s="719" t="inlineStr">
        <is>
          <t>Pullback</t>
        </is>
      </c>
      <c r="AQ409" s="719" t="inlineStr">
        <is>
          <t>5MIN</t>
        </is>
      </c>
      <c r="AR409" s="719" t="inlineStr">
        <is>
          <t>No</t>
        </is>
      </c>
      <c r="AS409" s="733" t="n"/>
      <c r="AT409" s="733" t="n"/>
      <c r="AU409" s="733" t="n"/>
      <c r="AV409" s="733" t="n"/>
      <c r="AW409" s="719" t="inlineStr">
        <is>
          <t>trade</t>
        </is>
      </c>
      <c r="AX409" s="734" t="inlineStr">
        <is>
          <t>sig:5c582c401a1bca23dfed9157</t>
        </is>
      </c>
    </row>
    <row r="410" ht="15" customHeight="1">
      <c r="A410" s="41" t="n"/>
      <c r="B410" s="770" t="n">
        <v>44370</v>
      </c>
      <c r="C410" s="771" t="n">
        <v>44370</v>
      </c>
      <c r="D410" s="12" t="inlineStr">
        <is>
          <t>PEPPERSTONE DEMO</t>
        </is>
      </c>
      <c r="E410" s="12" t="inlineStr">
        <is>
          <t>CASHFLOW</t>
        </is>
      </c>
      <c r="F410" s="12" t="inlineStr">
        <is>
          <t>DEPOSIT</t>
        </is>
      </c>
      <c r="G410" s="262" t="n"/>
      <c r="H410" s="262" t="n"/>
      <c r="I410" s="262" t="n"/>
      <c r="J410" s="263" t="n"/>
      <c r="K410" s="36" t="n"/>
      <c r="L410" s="263" t="n"/>
      <c r="M410" s="36" t="n"/>
      <c r="N410" s="779" t="n"/>
      <c r="O410" s="773" t="n"/>
      <c r="P410" s="3" t="n"/>
      <c r="Q410" s="51" t="n"/>
      <c r="R410" s="54" t="n">
        <v>1000</v>
      </c>
      <c r="S410" s="12" t="n"/>
      <c r="T410" s="774" t="n"/>
      <c r="U410" s="6" t="n"/>
      <c r="V410" s="264" t="n"/>
      <c r="W410" s="9" t="n"/>
      <c r="X410" s="46" t="n"/>
      <c r="Y410" s="774" t="n"/>
      <c r="Z410" s="6" t="n"/>
      <c r="AA410" s="264" t="n"/>
      <c r="AB410" s="9" t="n"/>
      <c r="AC410" s="46" t="n"/>
      <c r="AD410" s="12" t="inlineStr">
        <is>
          <t>No</t>
        </is>
      </c>
      <c r="AE410" s="45" t="n"/>
      <c r="AF410" s="45" t="n"/>
      <c r="AG410" s="45" t="n"/>
      <c r="AH410" s="45" t="n"/>
      <c r="AI410" s="45" t="n"/>
      <c r="AJ410" s="45" t="n"/>
      <c r="AK410" s="45" t="n"/>
      <c r="AL410" s="45" t="n"/>
      <c r="AM410" s="45" t="n"/>
      <c r="AN410" s="45" t="n"/>
      <c r="AO410" s="45" t="n"/>
      <c r="AP410" s="12" t="n"/>
      <c r="AQ410" s="45" t="n"/>
      <c r="AR410" s="12" t="n"/>
      <c r="AS410" s="56" t="inlineStr">
        <is>
          <t>Deposit 1000.0 AUD. Source: user_txt. Imported from account_cashflows.xlsx row 66.</t>
        </is>
      </c>
      <c r="AT410" s="45" t="n"/>
      <c r="AU410" s="12" t="n">
        <v>1000</v>
      </c>
      <c r="AV410" s="12" t="inlineStr">
        <is>
          <t>AUD</t>
        </is>
      </c>
      <c r="AW410" s="12" t="inlineStr">
        <is>
          <t>cashflow</t>
        </is>
      </c>
      <c r="AX410" s="57" t="inlineStr">
        <is>
          <t>cashflow:PEPPERSTONE DEMO:2021-06-23T00:00:00:52</t>
        </is>
      </c>
    </row>
    <row r="411" ht="15" customHeight="1">
      <c r="A411" s="737" t="inlineStr">
        <is>
          <t>C242</t>
        </is>
      </c>
      <c r="B411" s="738" t="n">
        <v>44350.56944444445</v>
      </c>
      <c r="C411" s="739" t="n">
        <v>44368.6875</v>
      </c>
      <c r="D411" s="740" t="inlineStr">
        <is>
          <t>BYBIT</t>
        </is>
      </c>
      <c r="E411" s="740" t="inlineStr">
        <is>
          <t>DOTUSDT</t>
        </is>
      </c>
      <c r="F411" s="740" t="inlineStr">
        <is>
          <t>SELL</t>
        </is>
      </c>
      <c r="G411" s="742" t="n">
        <v>0.4</v>
      </c>
      <c r="H411" s="742" t="n">
        <v>27.48</v>
      </c>
      <c r="I411" s="742" t="n">
        <v>18.635</v>
      </c>
      <c r="J411" s="743" t="n">
        <v>31.67</v>
      </c>
      <c r="K411" s="744" t="n">
        <v>0.1524745269286754</v>
      </c>
      <c r="L411" s="743" t="n">
        <v>18.635</v>
      </c>
      <c r="M411" s="744" t="n">
        <v>0.3218704512372634</v>
      </c>
      <c r="N411" s="802" t="n">
        <v>0.04058069</v>
      </c>
      <c r="O411" s="746" t="n">
        <v>3.57771404</v>
      </c>
      <c r="P411" s="747" t="n">
        <v>0.01254262818840733</v>
      </c>
      <c r="Q411" s="748" t="n">
        <v>2.110978520286395</v>
      </c>
      <c r="R411" s="749" t="n">
        <v>288.8220811899999</v>
      </c>
      <c r="S411" s="740" t="inlineStr">
        <is>
          <t>18D 2H 50M 0S</t>
        </is>
      </c>
      <c r="T411" s="738" t="n">
        <v>44363.22361111111</v>
      </c>
      <c r="U411" s="809" t="inlineStr">
        <is>
          <t>12D 15H 42M 0S</t>
        </is>
      </c>
      <c r="V411" s="752" t="n"/>
      <c r="W411" s="753" t="n"/>
      <c r="X411" s="754" t="n"/>
      <c r="Y411" s="750" t="n"/>
      <c r="Z411" s="751" t="n"/>
      <c r="AA411" s="752" t="n"/>
      <c r="AB411" s="753" t="n"/>
      <c r="AC411" s="754" t="n"/>
      <c r="AD411" s="740" t="inlineStr">
        <is>
          <t>No</t>
        </is>
      </c>
      <c r="AE411" s="755" t="n"/>
      <c r="AF411" s="755" t="n"/>
      <c r="AG411" s="755" t="n"/>
      <c r="AH411" s="755" t="n"/>
      <c r="AI411" s="740" t="inlineStr">
        <is>
          <t>Limit</t>
        </is>
      </c>
      <c r="AJ411" s="755" t="n"/>
      <c r="AK411" s="755" t="n"/>
      <c r="AL411" s="755" t="n"/>
      <c r="AM411" s="755" t="n"/>
      <c r="AN411" s="755" t="n"/>
      <c r="AO411" s="755" t="n"/>
      <c r="AP411" s="740" t="inlineStr">
        <is>
          <t>Pullback</t>
        </is>
      </c>
      <c r="AQ411" s="740" t="inlineStr">
        <is>
          <t>DAILY</t>
        </is>
      </c>
      <c r="AR411" s="740" t="inlineStr">
        <is>
          <t>No</t>
        </is>
      </c>
      <c r="AS411" s="755" t="n"/>
      <c r="AT411" s="755" t="n"/>
      <c r="AU411" s="755" t="n"/>
      <c r="AV411" s="755" t="n"/>
      <c r="AW411" s="740" t="inlineStr">
        <is>
          <t>trade</t>
        </is>
      </c>
      <c r="AX411" s="756" t="inlineStr">
        <is>
          <t>sig:4a6efe191a32dfff01e42b4b</t>
        </is>
      </c>
    </row>
    <row r="412" ht="15" customHeight="1">
      <c r="A412" s="716" t="inlineStr">
        <is>
          <t>C245</t>
        </is>
      </c>
      <c r="B412" s="717" t="n">
        <v>44368.57847222222</v>
      </c>
      <c r="C412" s="718" t="n">
        <v>44368.60625</v>
      </c>
      <c r="D412" s="719" t="inlineStr">
        <is>
          <t>BYBIT</t>
        </is>
      </c>
      <c r="E412" s="719" t="inlineStr">
        <is>
          <t>SUSHIUSDT</t>
        </is>
      </c>
      <c r="F412" s="719" t="inlineStr">
        <is>
          <t>BUY</t>
        </is>
      </c>
      <c r="G412" s="720" t="n">
        <v>7</v>
      </c>
      <c r="H412" s="720" t="n">
        <v>7.8</v>
      </c>
      <c r="I412" s="720" t="n">
        <v>7.588</v>
      </c>
      <c r="J412" s="721" t="n">
        <v>7.592</v>
      </c>
      <c r="K412" s="722" t="n">
        <v>0.02666666666666669</v>
      </c>
      <c r="L412" s="721" t="n">
        <v>8.352</v>
      </c>
      <c r="M412" s="722" t="n">
        <v>0.07076923076923083</v>
      </c>
      <c r="N412" s="723" t="n">
        <v>0.026187</v>
      </c>
      <c r="O412" s="724" t="n">
        <v>-1.51105365</v>
      </c>
      <c r="P412" s="725" t="n">
        <v>-0.005269485911667898</v>
      </c>
      <c r="Q412" s="726" t="n">
        <v>-1.019230769230767</v>
      </c>
      <c r="R412" s="727" t="n">
        <v>285.24436715</v>
      </c>
      <c r="S412" s="719" t="inlineStr">
        <is>
          <t>40M 0S</t>
        </is>
      </c>
      <c r="T412" s="728" t="n"/>
      <c r="U412" s="729" t="n"/>
      <c r="V412" s="730" t="n"/>
      <c r="W412" s="731" t="n"/>
      <c r="X412" s="732" t="n"/>
      <c r="Y412" s="728" t="n"/>
      <c r="Z412" s="729" t="n"/>
      <c r="AA412" s="730" t="n"/>
      <c r="AB412" s="731" t="n"/>
      <c r="AC412" s="732" t="n"/>
      <c r="AD412" s="719" t="inlineStr">
        <is>
          <t>No</t>
        </is>
      </c>
      <c r="AE412" s="733" t="n"/>
      <c r="AF412" s="733" t="n"/>
      <c r="AG412" s="733" t="n"/>
      <c r="AH412" s="733" t="n"/>
      <c r="AI412" s="719" t="inlineStr">
        <is>
          <t>Limit</t>
        </is>
      </c>
      <c r="AJ412" s="733" t="n"/>
      <c r="AK412" s="733" t="n"/>
      <c r="AL412" s="733" t="n"/>
      <c r="AM412" s="733" t="n"/>
      <c r="AN412" s="733" t="n"/>
      <c r="AO412" s="733" t="n"/>
      <c r="AP412" s="719" t="inlineStr">
        <is>
          <t>Pullback</t>
        </is>
      </c>
      <c r="AQ412" s="719" t="inlineStr">
        <is>
          <t>1H</t>
        </is>
      </c>
      <c r="AR412" s="719" t="inlineStr">
        <is>
          <t>No</t>
        </is>
      </c>
      <c r="AS412" s="733" t="n"/>
      <c r="AT412" s="733" t="n"/>
      <c r="AU412" s="733" t="n"/>
      <c r="AV412" s="733" t="n"/>
      <c r="AW412" s="719" t="inlineStr">
        <is>
          <t>trade</t>
        </is>
      </c>
      <c r="AX412" s="734" t="inlineStr">
        <is>
          <t>sig:89dcc8a6d75e0cd3f4ce80de</t>
        </is>
      </c>
    </row>
    <row r="413" ht="15" customHeight="1">
      <c r="A413" s="737" t="inlineStr">
        <is>
          <t>C244</t>
        </is>
      </c>
      <c r="B413" s="738" t="n">
        <v>44368.05833333333</v>
      </c>
      <c r="C413" s="739" t="n">
        <v>44368.06527777778</v>
      </c>
      <c r="D413" s="740" t="inlineStr">
        <is>
          <t>BYBIT</t>
        </is>
      </c>
      <c r="E413" s="740" t="inlineStr">
        <is>
          <t>SUSHIUSDT</t>
        </is>
      </c>
      <c r="F413" s="740" t="inlineStr">
        <is>
          <t>BUY</t>
        </is>
      </c>
      <c r="G413" s="742" t="n">
        <v>30</v>
      </c>
      <c r="H413" s="742" t="n">
        <v>8.182</v>
      </c>
      <c r="I413" s="742" t="n">
        <v>8.305</v>
      </c>
      <c r="J413" s="743" t="n">
        <v>8.134</v>
      </c>
      <c r="K413" s="744" t="n">
        <v>0.005866536299193356</v>
      </c>
      <c r="L413" s="743" t="n">
        <v>8.324999999999999</v>
      </c>
      <c r="M413" s="744" t="n">
        <v>0.01747738939134673</v>
      </c>
      <c r="N413" s="745" t="n">
        <v>0.1254975</v>
      </c>
      <c r="O413" s="746" t="n">
        <v>3.56363585</v>
      </c>
      <c r="P413" s="747" t="n">
        <v>0.01258382495321745</v>
      </c>
      <c r="Q413" s="748" t="n">
        <v>2.562499999999984</v>
      </c>
      <c r="R413" s="749" t="n">
        <v>286.7554208</v>
      </c>
      <c r="S413" s="740" t="inlineStr">
        <is>
          <t>10M 0S</t>
        </is>
      </c>
      <c r="T413" s="738" t="n">
        <v>44367.64722222222</v>
      </c>
      <c r="U413" s="809" t="inlineStr">
        <is>
          <t>7M 12S</t>
        </is>
      </c>
      <c r="V413" s="752" t="n"/>
      <c r="W413" s="753" t="n"/>
      <c r="X413" s="754" t="n"/>
      <c r="Y413" s="750" t="n"/>
      <c r="Z413" s="751" t="n"/>
      <c r="AA413" s="752" t="n"/>
      <c r="AB413" s="753" t="n"/>
      <c r="AC413" s="754" t="n"/>
      <c r="AD413" s="740" t="inlineStr">
        <is>
          <t>No</t>
        </is>
      </c>
      <c r="AE413" s="755" t="n"/>
      <c r="AF413" s="755" t="n"/>
      <c r="AG413" s="755" t="n"/>
      <c r="AH413" s="755" t="n"/>
      <c r="AI413" s="740" t="inlineStr">
        <is>
          <t>Limit</t>
        </is>
      </c>
      <c r="AJ413" s="755" t="n"/>
      <c r="AK413" s="755" t="n"/>
      <c r="AL413" s="755" t="n"/>
      <c r="AM413" s="755" t="n"/>
      <c r="AN413" s="755" t="n"/>
      <c r="AO413" s="755" t="n"/>
      <c r="AP413" s="740" t="inlineStr">
        <is>
          <t>Pullback</t>
        </is>
      </c>
      <c r="AQ413" s="740" t="inlineStr">
        <is>
          <t>5MIN</t>
        </is>
      </c>
      <c r="AR413" s="740" t="inlineStr">
        <is>
          <t>No</t>
        </is>
      </c>
      <c r="AS413" s="755" t="n"/>
      <c r="AT413" s="755" t="n"/>
      <c r="AU413" s="755" t="n"/>
      <c r="AV413" s="755" t="n"/>
      <c r="AW413" s="740" t="inlineStr">
        <is>
          <t>trade</t>
        </is>
      </c>
      <c r="AX413" s="756" t="inlineStr">
        <is>
          <t>sig:62e041440ff5e335093e3f29</t>
        </is>
      </c>
    </row>
    <row r="414" ht="15" customHeight="1">
      <c r="A414" s="716" t="inlineStr">
        <is>
          <t>C243</t>
        </is>
      </c>
      <c r="B414" s="717" t="n">
        <v>44361.25625</v>
      </c>
      <c r="C414" s="718" t="n">
        <v>44363.16736111111</v>
      </c>
      <c r="D414" s="719" t="inlineStr">
        <is>
          <t>BYBIT</t>
        </is>
      </c>
      <c r="E414" s="719" t="inlineStr">
        <is>
          <t>BTCUSDT</t>
        </is>
      </c>
      <c r="F414" s="719" t="inlineStr">
        <is>
          <t>SELL</t>
        </is>
      </c>
      <c r="G414" s="757" t="n">
        <v>0.001</v>
      </c>
      <c r="H414" s="720" t="n">
        <v>39265.5</v>
      </c>
      <c r="I414" s="720" t="n">
        <v>41107.5</v>
      </c>
      <c r="J414" s="721" t="n">
        <v>41107.5</v>
      </c>
      <c r="K414" s="722" t="n">
        <v>0.04691141078045612</v>
      </c>
      <c r="L414" s="721" t="n">
        <v>36461</v>
      </c>
      <c r="M414" s="722" t="n">
        <v>0.07142402363397894</v>
      </c>
      <c r="N414" s="723" t="n">
        <v>0.01775548</v>
      </c>
      <c r="O414" s="724" t="n">
        <v>-1.86062213</v>
      </c>
      <c r="P414" s="725" t="n">
        <v>-0.006527298432802978</v>
      </c>
      <c r="Q414" s="726" t="n">
        <v>-1</v>
      </c>
      <c r="R414" s="727" t="n">
        <v>283.1917849499999</v>
      </c>
      <c r="S414" s="719" t="inlineStr">
        <is>
          <t>1D 21H 52M 0S</t>
        </is>
      </c>
      <c r="T414" s="728" t="n"/>
      <c r="U414" s="729" t="n"/>
      <c r="V414" s="730" t="n"/>
      <c r="W414" s="731" t="n"/>
      <c r="X414" s="732" t="n"/>
      <c r="Y414" s="728" t="n"/>
      <c r="Z414" s="729" t="n"/>
      <c r="AA414" s="730" t="n"/>
      <c r="AB414" s="731" t="n"/>
      <c r="AC414" s="732" t="n"/>
      <c r="AD414" s="719" t="inlineStr">
        <is>
          <t>No</t>
        </is>
      </c>
      <c r="AE414" s="733" t="n"/>
      <c r="AF414" s="733" t="n"/>
      <c r="AG414" s="733" t="n"/>
      <c r="AH414" s="733" t="n"/>
      <c r="AI414" s="719" t="inlineStr">
        <is>
          <t>Limit</t>
        </is>
      </c>
      <c r="AJ414" s="733" t="n"/>
      <c r="AK414" s="733" t="n"/>
      <c r="AL414" s="733" t="n"/>
      <c r="AM414" s="733" t="n"/>
      <c r="AN414" s="733" t="n"/>
      <c r="AO414" s="733" t="n"/>
      <c r="AP414" s="719" t="inlineStr">
        <is>
          <t>Pullback</t>
        </is>
      </c>
      <c r="AQ414" s="719" t="inlineStr">
        <is>
          <t>DAILY</t>
        </is>
      </c>
      <c r="AR414" s="719" t="inlineStr">
        <is>
          <t>No</t>
        </is>
      </c>
      <c r="AS414" s="733" t="n"/>
      <c r="AT414" s="733" t="n"/>
      <c r="AU414" s="733" t="n"/>
      <c r="AV414" s="733" t="n"/>
      <c r="AW414" s="719" t="inlineStr">
        <is>
          <t>trade</t>
        </is>
      </c>
      <c r="AX414" s="734" t="inlineStr">
        <is>
          <t>sig:57141d1e3f5a79ebaddf0253</t>
        </is>
      </c>
    </row>
    <row r="415" ht="15" customHeight="1">
      <c r="A415" s="737" t="inlineStr">
        <is>
          <t>F1150</t>
        </is>
      </c>
      <c r="B415" s="738" t="n">
        <v>44362.42916666667</v>
      </c>
      <c r="C415" s="739" t="n">
        <v>44363.01736111111</v>
      </c>
      <c r="D415" s="740" t="inlineStr">
        <is>
          <t>PEPPERSTONE LIVE</t>
        </is>
      </c>
      <c r="E415" s="740" t="inlineStr">
        <is>
          <t>NZDCHF</t>
        </is>
      </c>
      <c r="F415" s="740" t="inlineStr">
        <is>
          <t>SELL</t>
        </is>
      </c>
      <c r="G415" s="775" t="n">
        <v>0.03</v>
      </c>
      <c r="H415" s="742" t="n">
        <v>0.6429</v>
      </c>
      <c r="I415" s="742" t="n">
        <v>0.63998</v>
      </c>
      <c r="J415" s="743" t="n">
        <v>0.644</v>
      </c>
      <c r="K415" s="744" t="n">
        <v>0.001710997044641453</v>
      </c>
      <c r="L415" s="743" t="n">
        <v>0.6399</v>
      </c>
      <c r="M415" s="744" t="n">
        <v>0.004666355576294918</v>
      </c>
      <c r="N415" s="766" t="n"/>
      <c r="O415" s="767" t="n">
        <v>12.85</v>
      </c>
      <c r="P415" s="747" t="n">
        <v>0.02804085017239122</v>
      </c>
      <c r="Q415" s="748" t="n">
        <v>2.654545454545509</v>
      </c>
      <c r="R415" s="769" t="n">
        <v>471.11</v>
      </c>
      <c r="S415" s="740" t="inlineStr">
        <is>
          <t>14H 7M 0S</t>
        </is>
      </c>
      <c r="T415" s="750" t="n"/>
      <c r="U415" s="751" t="n"/>
      <c r="V415" s="752" t="n"/>
      <c r="W415" s="753" t="n"/>
      <c r="X415" s="754" t="n"/>
      <c r="Y415" s="750" t="n"/>
      <c r="Z415" s="751" t="n"/>
      <c r="AA415" s="752" t="n"/>
      <c r="AB415" s="753" t="n"/>
      <c r="AC415" s="754" t="n"/>
      <c r="AD415" s="740" t="inlineStr">
        <is>
          <t>No</t>
        </is>
      </c>
      <c r="AE415" s="755" t="n"/>
      <c r="AF415" s="755" t="n"/>
      <c r="AG415" s="755" t="n"/>
      <c r="AH415" s="755" t="n"/>
      <c r="AI415" s="740" t="n"/>
      <c r="AJ415" s="755" t="n"/>
      <c r="AK415" s="755" t="n"/>
      <c r="AL415" s="755" t="n"/>
      <c r="AM415" s="755" t="n"/>
      <c r="AN415" s="755" t="n"/>
      <c r="AO415" s="755" t="n"/>
      <c r="AP415" s="740" t="inlineStr">
        <is>
          <t>Pullback</t>
        </is>
      </c>
      <c r="AQ415" s="740" t="n"/>
      <c r="AR415" s="740" t="inlineStr">
        <is>
          <t>No</t>
        </is>
      </c>
      <c r="AS415" s="755" t="n"/>
      <c r="AT415" s="755" t="n"/>
      <c r="AU415" s="755" t="n"/>
      <c r="AV415" s="755" t="n"/>
      <c r="AW415" s="740" t="inlineStr">
        <is>
          <t>trade</t>
        </is>
      </c>
      <c r="AX415" s="756" t="inlineStr">
        <is>
          <t>sig:776822711a3d0a7c6f0462d6</t>
        </is>
      </c>
    </row>
    <row r="416" ht="15" customHeight="1">
      <c r="A416" s="716" t="inlineStr">
        <is>
          <t>F1145</t>
        </is>
      </c>
      <c r="B416" s="717" t="n">
        <v>44351.13611111111</v>
      </c>
      <c r="C416" s="718" t="n">
        <v>44359.03611111111</v>
      </c>
      <c r="D416" s="719" t="inlineStr">
        <is>
          <t>PEPPERSTONE LIVE</t>
        </is>
      </c>
      <c r="E416" s="719" t="inlineStr">
        <is>
          <t>GBPNZD</t>
        </is>
      </c>
      <c r="F416" s="719" t="inlineStr">
        <is>
          <t>SELL</t>
        </is>
      </c>
      <c r="G416" s="735" t="n">
        <v>0.01</v>
      </c>
      <c r="H416" s="720" t="n">
        <v>1.9764</v>
      </c>
      <c r="I416" s="720" t="n">
        <v>1.98287</v>
      </c>
      <c r="J416" s="721" t="n">
        <v>1.9828</v>
      </c>
      <c r="K416" s="722" t="n">
        <v>0.003238210888484093</v>
      </c>
      <c r="L416" s="721" t="n">
        <v>1.9482</v>
      </c>
      <c r="M416" s="722" t="n">
        <v>0.01426836672738312</v>
      </c>
      <c r="N416" s="761" t="n">
        <v>0.39</v>
      </c>
      <c r="O416" s="762" t="n">
        <v>-6.32</v>
      </c>
      <c r="P416" s="725" t="n">
        <v>-0.01360368504886134</v>
      </c>
      <c r="Q416" s="726" t="n">
        <v>-1.010937500000002</v>
      </c>
      <c r="R416" s="764" t="n">
        <v>458.2599999999999</v>
      </c>
      <c r="S416" s="719" t="inlineStr">
        <is>
          <t>7D 21H 36M 0S</t>
        </is>
      </c>
      <c r="T416" s="728" t="n"/>
      <c r="U416" s="729" t="n"/>
      <c r="V416" s="730" t="n"/>
      <c r="W416" s="731" t="n"/>
      <c r="X416" s="732" t="n"/>
      <c r="Y416" s="728" t="n"/>
      <c r="Z416" s="729" t="n"/>
      <c r="AA416" s="730" t="n"/>
      <c r="AB416" s="731" t="n"/>
      <c r="AC416" s="732" t="n"/>
      <c r="AD416" s="719" t="inlineStr">
        <is>
          <t>No</t>
        </is>
      </c>
      <c r="AE416" s="733" t="n"/>
      <c r="AF416" s="733" t="n"/>
      <c r="AG416" s="733" t="n"/>
      <c r="AH416" s="733" t="n"/>
      <c r="AI416" s="719" t="n"/>
      <c r="AJ416" s="733" t="n"/>
      <c r="AK416" s="733" t="n"/>
      <c r="AL416" s="733" t="n"/>
      <c r="AM416" s="733" t="n"/>
      <c r="AN416" s="733" t="n"/>
      <c r="AO416" s="733" t="n"/>
      <c r="AP416" s="719" t="inlineStr">
        <is>
          <t>Pullback</t>
        </is>
      </c>
      <c r="AQ416" s="719" t="n"/>
      <c r="AR416" s="719" t="inlineStr">
        <is>
          <t>No</t>
        </is>
      </c>
      <c r="AS416" s="733" t="n"/>
      <c r="AT416" s="733" t="n"/>
      <c r="AU416" s="733" t="n"/>
      <c r="AV416" s="733" t="n"/>
      <c r="AW416" s="719" t="inlineStr">
        <is>
          <t>trade</t>
        </is>
      </c>
      <c r="AX416" s="734" t="inlineStr">
        <is>
          <t>sig:6db9898525b1fb8ac4c06fb7</t>
        </is>
      </c>
    </row>
    <row r="417" ht="15" customHeight="1">
      <c r="A417" s="737" t="inlineStr">
        <is>
          <t>F1149</t>
        </is>
      </c>
      <c r="B417" s="738" t="n">
        <v>44356.71388888889</v>
      </c>
      <c r="C417" s="739" t="n">
        <v>44356.95277777778</v>
      </c>
      <c r="D417" s="740" t="inlineStr">
        <is>
          <t>PEPPERSTONE LIVE</t>
        </is>
      </c>
      <c r="E417" s="740" t="inlineStr">
        <is>
          <t>EURCHF</t>
        </is>
      </c>
      <c r="F417" s="740" t="inlineStr">
        <is>
          <t>SELL</t>
        </is>
      </c>
      <c r="G417" s="775" t="n">
        <v>0.06</v>
      </c>
      <c r="H417" s="742" t="n">
        <v>1.0924</v>
      </c>
      <c r="I417" s="742" t="n">
        <v>1.09118</v>
      </c>
      <c r="J417" s="743" t="n">
        <v>1.0929</v>
      </c>
      <c r="K417" s="765" t="n">
        <v>0.0004577077993408504</v>
      </c>
      <c r="L417" s="743" t="n">
        <v>1.0911</v>
      </c>
      <c r="M417" s="744" t="n">
        <v>0.001190040278286414</v>
      </c>
      <c r="N417" s="766" t="n"/>
      <c r="O417" s="767" t="n">
        <v>10.64</v>
      </c>
      <c r="P417" s="747" t="n">
        <v>0.02343922104242852</v>
      </c>
      <c r="Q417" s="748" t="n">
        <v>2.440000000000266</v>
      </c>
      <c r="R417" s="769" t="n">
        <v>464.5799999999999</v>
      </c>
      <c r="S417" s="740" t="inlineStr">
        <is>
          <t>5H 44M 0S</t>
        </is>
      </c>
      <c r="T417" s="750" t="n"/>
      <c r="U417" s="751" t="n"/>
      <c r="V417" s="752" t="n"/>
      <c r="W417" s="753" t="n"/>
      <c r="X417" s="754" t="n"/>
      <c r="Y417" s="750" t="n"/>
      <c r="Z417" s="751" t="n"/>
      <c r="AA417" s="752" t="n"/>
      <c r="AB417" s="753" t="n"/>
      <c r="AC417" s="754" t="n"/>
      <c r="AD417" s="740" t="inlineStr">
        <is>
          <t>No</t>
        </is>
      </c>
      <c r="AE417" s="755" t="n"/>
      <c r="AF417" s="755" t="n"/>
      <c r="AG417" s="755" t="n"/>
      <c r="AH417" s="755" t="n"/>
      <c r="AI417" s="740" t="n"/>
      <c r="AJ417" s="755" t="n"/>
      <c r="AK417" s="755" t="n"/>
      <c r="AL417" s="755" t="n"/>
      <c r="AM417" s="755" t="n"/>
      <c r="AN417" s="755" t="n"/>
      <c r="AO417" s="755" t="n"/>
      <c r="AP417" s="740" t="inlineStr">
        <is>
          <t>Pullback</t>
        </is>
      </c>
      <c r="AQ417" s="740" t="n"/>
      <c r="AR417" s="740" t="inlineStr">
        <is>
          <t>No</t>
        </is>
      </c>
      <c r="AS417" s="755" t="n"/>
      <c r="AT417" s="755" t="n"/>
      <c r="AU417" s="755" t="n"/>
      <c r="AV417" s="755" t="n"/>
      <c r="AW417" s="740" t="inlineStr">
        <is>
          <t>trade</t>
        </is>
      </c>
      <c r="AX417" s="756" t="inlineStr">
        <is>
          <t>sig:747975c3a203b9aee0760e8b</t>
        </is>
      </c>
    </row>
    <row r="418" ht="15" customHeight="1">
      <c r="A418" s="716" t="inlineStr">
        <is>
          <t>F1148</t>
        </is>
      </c>
      <c r="B418" s="717" t="n">
        <v>44354.78472222222</v>
      </c>
      <c r="C418" s="718" t="n">
        <v>44354.94305555556</v>
      </c>
      <c r="D418" s="719" t="inlineStr">
        <is>
          <t>PEPPERSTONE LIVE</t>
        </is>
      </c>
      <c r="E418" s="719" t="inlineStr">
        <is>
          <t>AUDCHF</t>
        </is>
      </c>
      <c r="F418" s="719" t="inlineStr">
        <is>
          <t>SELL</t>
        </is>
      </c>
      <c r="G418" s="735" t="n">
        <v>0.04</v>
      </c>
      <c r="H418" s="720" t="n">
        <v>0.697</v>
      </c>
      <c r="I418" s="720" t="n">
        <v>0.69792</v>
      </c>
      <c r="J418" s="721" t="n">
        <v>0.6979</v>
      </c>
      <c r="K418" s="722" t="n">
        <v>0.00129124820659973</v>
      </c>
      <c r="L418" s="721" t="n">
        <v>0.6936</v>
      </c>
      <c r="M418" s="722" t="n">
        <v>0.004878048780487746</v>
      </c>
      <c r="N418" s="761" t="n"/>
      <c r="O418" s="762" t="n">
        <v>-5.1</v>
      </c>
      <c r="P418" s="725" t="n">
        <v>-0.01111014290693622</v>
      </c>
      <c r="Q418" s="726" t="n">
        <v>-1.022222222222244</v>
      </c>
      <c r="R418" s="764" t="n">
        <v>453.9399999999999</v>
      </c>
      <c r="S418" s="719" t="inlineStr">
        <is>
          <t>3H 48M 0S</t>
        </is>
      </c>
      <c r="T418" s="728" t="n"/>
      <c r="U418" s="729" t="n"/>
      <c r="V418" s="730" t="n"/>
      <c r="W418" s="731" t="n"/>
      <c r="X418" s="732" t="n"/>
      <c r="Y418" s="728" t="n"/>
      <c r="Z418" s="729" t="n"/>
      <c r="AA418" s="730" t="n"/>
      <c r="AB418" s="731" t="n"/>
      <c r="AC418" s="732" t="n"/>
      <c r="AD418" s="719" t="inlineStr">
        <is>
          <t>No</t>
        </is>
      </c>
      <c r="AE418" s="733" t="n"/>
      <c r="AF418" s="733" t="n"/>
      <c r="AG418" s="733" t="n"/>
      <c r="AH418" s="733" t="n"/>
      <c r="AI418" s="733" t="n"/>
      <c r="AJ418" s="733" t="n"/>
      <c r="AK418" s="733" t="n"/>
      <c r="AL418" s="733" t="n"/>
      <c r="AM418" s="733" t="n"/>
      <c r="AN418" s="733" t="n"/>
      <c r="AO418" s="733" t="n"/>
      <c r="AP418" s="719" t="inlineStr">
        <is>
          <t>Pullback</t>
        </is>
      </c>
      <c r="AQ418" s="733" t="n"/>
      <c r="AR418" s="719" t="inlineStr">
        <is>
          <t>No</t>
        </is>
      </c>
      <c r="AS418" s="733" t="n"/>
      <c r="AT418" s="733" t="n"/>
      <c r="AU418" s="733" t="n"/>
      <c r="AV418" s="733" t="n"/>
      <c r="AW418" s="719" t="inlineStr">
        <is>
          <t>trade</t>
        </is>
      </c>
      <c r="AX418" s="734" t="inlineStr">
        <is>
          <t>sig:07f94a3afc6dde2dea3819ec</t>
        </is>
      </c>
    </row>
    <row r="419" ht="15" customHeight="1">
      <c r="A419" s="716" t="inlineStr">
        <is>
          <t>F1147</t>
        </is>
      </c>
      <c r="B419" s="717" t="n">
        <v>44351.96597222222</v>
      </c>
      <c r="C419" s="718" t="n">
        <v>44352.025</v>
      </c>
      <c r="D419" s="719" t="inlineStr">
        <is>
          <t>PEPPERSTONE LIVE</t>
        </is>
      </c>
      <c r="E419" s="719" t="inlineStr">
        <is>
          <t>EURAUD</t>
        </is>
      </c>
      <c r="F419" s="719" t="inlineStr">
        <is>
          <t>BUY</t>
        </is>
      </c>
      <c r="G419" s="735" t="n">
        <v>0.02</v>
      </c>
      <c r="H419" s="720" t="n">
        <v>1.5755</v>
      </c>
      <c r="I419" s="720" t="n">
        <v>1.57318</v>
      </c>
      <c r="J419" s="721" t="n">
        <v>1.5731</v>
      </c>
      <c r="K419" s="722" t="n">
        <v>0.001523325928276711</v>
      </c>
      <c r="L419" s="721" t="n">
        <v>1.5829</v>
      </c>
      <c r="M419" s="722" t="n">
        <v>0.004696921612186654</v>
      </c>
      <c r="N419" s="761" t="n"/>
      <c r="O419" s="762" t="n">
        <v>-4.82</v>
      </c>
      <c r="P419" s="725" t="n">
        <v>-0.01039106626999526</v>
      </c>
      <c r="Q419" s="726" t="n">
        <v>-0.9666666666666327</v>
      </c>
      <c r="R419" s="764" t="n">
        <v>459.04</v>
      </c>
      <c r="S419" s="719" t="inlineStr">
        <is>
          <t>1H 25M 0S</t>
        </is>
      </c>
      <c r="T419" s="728" t="n"/>
      <c r="U419" s="729" t="n"/>
      <c r="V419" s="730" t="n"/>
      <c r="W419" s="731" t="n"/>
      <c r="X419" s="732" t="n"/>
      <c r="Y419" s="728" t="n"/>
      <c r="Z419" s="729" t="n"/>
      <c r="AA419" s="730" t="n"/>
      <c r="AB419" s="731" t="n"/>
      <c r="AC419" s="732" t="n"/>
      <c r="AD419" s="719" t="inlineStr">
        <is>
          <t>No</t>
        </is>
      </c>
      <c r="AE419" s="733" t="n"/>
      <c r="AF419" s="733" t="n"/>
      <c r="AG419" s="733" t="n"/>
      <c r="AH419" s="733" t="n"/>
      <c r="AI419" s="719" t="n"/>
      <c r="AJ419" s="733" t="n"/>
      <c r="AK419" s="733" t="n"/>
      <c r="AL419" s="733" t="n"/>
      <c r="AM419" s="733" t="n"/>
      <c r="AN419" s="733" t="n"/>
      <c r="AO419" s="733" t="n"/>
      <c r="AP419" s="719" t="inlineStr">
        <is>
          <t>Pullback</t>
        </is>
      </c>
      <c r="AQ419" s="719" t="n"/>
      <c r="AR419" s="719" t="inlineStr">
        <is>
          <t>No</t>
        </is>
      </c>
      <c r="AS419" s="733" t="n"/>
      <c r="AT419" s="733" t="n"/>
      <c r="AU419" s="733" t="n"/>
      <c r="AV419" s="733" t="n"/>
      <c r="AW419" s="719" t="inlineStr">
        <is>
          <t>trade</t>
        </is>
      </c>
      <c r="AX419" s="734" t="inlineStr">
        <is>
          <t>sig:b157da4ca19e3afa4610eaf0</t>
        </is>
      </c>
    </row>
    <row r="420" ht="15" customHeight="1">
      <c r="A420" s="716" t="inlineStr">
        <is>
          <t>F1146</t>
        </is>
      </c>
      <c r="B420" s="717" t="n">
        <v>44351.50555555556</v>
      </c>
      <c r="C420" s="718" t="n">
        <v>44351.87152777778</v>
      </c>
      <c r="D420" s="719" t="inlineStr">
        <is>
          <t>PEPPERSTONE LIVE</t>
        </is>
      </c>
      <c r="E420" s="719" t="inlineStr">
        <is>
          <t>EURJPY</t>
        </is>
      </c>
      <c r="F420" s="719" t="inlineStr">
        <is>
          <t>BUY</t>
        </is>
      </c>
      <c r="G420" s="735" t="n">
        <v>0.02</v>
      </c>
      <c r="H420" s="720" t="n">
        <v>133.56</v>
      </c>
      <c r="I420" s="720" t="n">
        <v>133.315</v>
      </c>
      <c r="J420" s="721" t="n">
        <v>133.31</v>
      </c>
      <c r="K420" s="722" t="n">
        <v>0.001871817909553758</v>
      </c>
      <c r="L420" s="721" t="n">
        <v>134.07</v>
      </c>
      <c r="M420" s="722" t="n">
        <v>0.003818508535489599</v>
      </c>
      <c r="N420" s="761" t="n"/>
      <c r="O420" s="762" t="n">
        <v>-5.88</v>
      </c>
      <c r="P420" s="725" t="n">
        <v>-0.01251756290714012</v>
      </c>
      <c r="Q420" s="726" t="n">
        <v>-0.9800000000000182</v>
      </c>
      <c r="R420" s="764" t="n">
        <v>463.86</v>
      </c>
      <c r="S420" s="719" t="inlineStr">
        <is>
          <t>8H 47M 0S</t>
        </is>
      </c>
      <c r="T420" s="728" t="n"/>
      <c r="U420" s="729" t="n"/>
      <c r="V420" s="730" t="n"/>
      <c r="W420" s="731" t="n"/>
      <c r="X420" s="732" t="n"/>
      <c r="Y420" s="728" t="n"/>
      <c r="Z420" s="729" t="n"/>
      <c r="AA420" s="730" t="n"/>
      <c r="AB420" s="731" t="n"/>
      <c r="AC420" s="732" t="n"/>
      <c r="AD420" s="719" t="inlineStr">
        <is>
          <t>No</t>
        </is>
      </c>
      <c r="AE420" s="733" t="n"/>
      <c r="AF420" s="733" t="n"/>
      <c r="AG420" s="733" t="n"/>
      <c r="AH420" s="733" t="n"/>
      <c r="AI420" s="719" t="n"/>
      <c r="AJ420" s="733" t="n"/>
      <c r="AK420" s="733" t="n"/>
      <c r="AL420" s="733" t="n"/>
      <c r="AM420" s="733" t="n"/>
      <c r="AN420" s="733" t="n"/>
      <c r="AO420" s="733" t="n"/>
      <c r="AP420" s="719" t="inlineStr">
        <is>
          <t>Pullback</t>
        </is>
      </c>
      <c r="AQ420" s="719" t="n"/>
      <c r="AR420" s="719" t="inlineStr">
        <is>
          <t>No</t>
        </is>
      </c>
      <c r="AS420" s="733" t="n"/>
      <c r="AT420" s="733" t="n"/>
      <c r="AU420" s="733" t="n"/>
      <c r="AV420" s="733" t="n"/>
      <c r="AW420" s="719" t="inlineStr">
        <is>
          <t>trade</t>
        </is>
      </c>
      <c r="AX420" s="734" t="inlineStr">
        <is>
          <t>sig:5886f277703fead12e5663e0</t>
        </is>
      </c>
    </row>
    <row r="421" ht="15" customHeight="1">
      <c r="A421" s="716" t="inlineStr">
        <is>
          <t>C241</t>
        </is>
      </c>
      <c r="B421" s="717" t="n">
        <v>44346.94097222222</v>
      </c>
      <c r="C421" s="718" t="n">
        <v>44346.94722222222</v>
      </c>
      <c r="D421" s="719" t="inlineStr">
        <is>
          <t>BYBIT</t>
        </is>
      </c>
      <c r="E421" s="719" t="inlineStr">
        <is>
          <t>LINKUSDT</t>
        </is>
      </c>
      <c r="F421" s="719" t="inlineStr">
        <is>
          <t>BUY</t>
        </is>
      </c>
      <c r="G421" s="720" t="n">
        <v>6.4</v>
      </c>
      <c r="H421" s="720" t="n">
        <v>28.479</v>
      </c>
      <c r="I421" s="720" t="n">
        <v>28.2463333</v>
      </c>
      <c r="J421" s="721" t="n">
        <v>28.243</v>
      </c>
      <c r="K421" s="722" t="n">
        <v>0.008286807823308425</v>
      </c>
      <c r="L421" s="721" t="n"/>
      <c r="M421" s="722" t="n"/>
      <c r="N421" s="723" t="n">
        <v>0.09002873</v>
      </c>
      <c r="O421" s="724" t="n">
        <v>-1.56299538</v>
      </c>
      <c r="P421" s="725" t="n">
        <v>-0.005453284668531138</v>
      </c>
      <c r="Q421" s="726" t="n">
        <v>-0.9858758474576216</v>
      </c>
      <c r="R421" s="727" t="n">
        <v>285.05240708</v>
      </c>
      <c r="S421" s="719" t="inlineStr">
        <is>
          <t>9M 0S</t>
        </is>
      </c>
      <c r="T421" s="728" t="n"/>
      <c r="U421" s="729" t="n"/>
      <c r="V421" s="730" t="n"/>
      <c r="W421" s="731" t="n"/>
      <c r="X421" s="732" t="n"/>
      <c r="Y421" s="728" t="n"/>
      <c r="Z421" s="729" t="n"/>
      <c r="AA421" s="730" t="n"/>
      <c r="AB421" s="731" t="n"/>
      <c r="AC421" s="732" t="n"/>
      <c r="AD421" s="719" t="inlineStr">
        <is>
          <t>No</t>
        </is>
      </c>
      <c r="AE421" s="733" t="n"/>
      <c r="AF421" s="733" t="n"/>
      <c r="AG421" s="733" t="n"/>
      <c r="AH421" s="733" t="n"/>
      <c r="AI421" s="719" t="inlineStr">
        <is>
          <t>Limit</t>
        </is>
      </c>
      <c r="AJ421" s="733" t="n"/>
      <c r="AK421" s="733" t="n"/>
      <c r="AL421" s="733" t="n"/>
      <c r="AM421" s="733" t="n"/>
      <c r="AN421" s="733" t="n"/>
      <c r="AO421" s="733" t="n"/>
      <c r="AP421" s="719" t="inlineStr">
        <is>
          <t>Pullback</t>
        </is>
      </c>
      <c r="AQ421" s="719" t="n"/>
      <c r="AR421" s="719" t="inlineStr">
        <is>
          <t>No</t>
        </is>
      </c>
      <c r="AS421" s="733" t="n"/>
      <c r="AT421" s="733" t="n"/>
      <c r="AU421" s="733" t="n"/>
      <c r="AV421" s="733" t="n"/>
      <c r="AW421" s="719" t="inlineStr">
        <is>
          <t>trade</t>
        </is>
      </c>
      <c r="AX421" s="734" t="inlineStr">
        <is>
          <t>sig:5d5053f1b22beb1e22c38a78</t>
        </is>
      </c>
    </row>
    <row r="422" ht="15" customHeight="1">
      <c r="A422" s="716" t="inlineStr">
        <is>
          <t>C240</t>
        </is>
      </c>
      <c r="B422" s="717" t="n">
        <v>44346.92013888889</v>
      </c>
      <c r="C422" s="718" t="n">
        <v>44346.92777777778</v>
      </c>
      <c r="D422" s="719" t="inlineStr">
        <is>
          <t>BYBIT</t>
        </is>
      </c>
      <c r="E422" s="719" t="inlineStr">
        <is>
          <t>BTCUSDT</t>
        </is>
      </c>
      <c r="F422" s="719" t="inlineStr">
        <is>
          <t>BUY</t>
        </is>
      </c>
      <c r="G422" s="735" t="n">
        <v>0.011</v>
      </c>
      <c r="H422" s="720" t="n">
        <v>36067.5</v>
      </c>
      <c r="I422" s="720" t="n">
        <v>35939.5</v>
      </c>
      <c r="J422" s="721" t="n">
        <v>35939.5</v>
      </c>
      <c r="K422" s="722" t="n">
        <v>0.003548901365495252</v>
      </c>
      <c r="L422" s="721" t="n"/>
      <c r="M422" s="722" t="n"/>
      <c r="N422" s="758" t="n">
        <v>0.19731526</v>
      </c>
      <c r="O422" s="724" t="n">
        <v>-1.60618191</v>
      </c>
      <c r="P422" s="725" t="n">
        <v>-0.005572732914888461</v>
      </c>
      <c r="Q422" s="726" t="n">
        <v>-1</v>
      </c>
      <c r="R422" s="727" t="n">
        <v>286.61540246</v>
      </c>
      <c r="S422" s="719" t="inlineStr">
        <is>
          <t>11M 0S</t>
        </is>
      </c>
      <c r="T422" s="728" t="n"/>
      <c r="U422" s="729" t="n"/>
      <c r="V422" s="730" t="n"/>
      <c r="W422" s="731" t="n"/>
      <c r="X422" s="732" t="n"/>
      <c r="Y422" s="728" t="n"/>
      <c r="Z422" s="729" t="n"/>
      <c r="AA422" s="730" t="n"/>
      <c r="AB422" s="731" t="n"/>
      <c r="AC422" s="732" t="n"/>
      <c r="AD422" s="719" t="inlineStr">
        <is>
          <t>No</t>
        </is>
      </c>
      <c r="AE422" s="733" t="n"/>
      <c r="AF422" s="733" t="n"/>
      <c r="AG422" s="733" t="n"/>
      <c r="AH422" s="733" t="n"/>
      <c r="AI422" s="719" t="inlineStr">
        <is>
          <t>Limit</t>
        </is>
      </c>
      <c r="AJ422" s="733" t="n"/>
      <c r="AK422" s="733" t="n"/>
      <c r="AL422" s="733" t="n"/>
      <c r="AM422" s="733" t="n"/>
      <c r="AN422" s="733" t="n"/>
      <c r="AO422" s="733" t="n"/>
      <c r="AP422" s="719" t="inlineStr">
        <is>
          <t>Pullback</t>
        </is>
      </c>
      <c r="AQ422" s="719" t="n"/>
      <c r="AR422" s="719" t="inlineStr">
        <is>
          <t>No</t>
        </is>
      </c>
      <c r="AS422" s="733" t="n"/>
      <c r="AT422" s="733" t="n"/>
      <c r="AU422" s="733" t="n"/>
      <c r="AV422" s="733" t="n"/>
      <c r="AW422" s="719" t="inlineStr">
        <is>
          <t>trade</t>
        </is>
      </c>
      <c r="AX422" s="734" t="inlineStr">
        <is>
          <t>sig:5f87c6c3d96ff4a94549fe25</t>
        </is>
      </c>
    </row>
    <row r="423" ht="15" customHeight="1">
      <c r="A423" s="716" t="inlineStr">
        <is>
          <t>C239</t>
        </is>
      </c>
      <c r="B423" s="717" t="n">
        <v>44339.72152777778</v>
      </c>
      <c r="C423" s="718" t="n">
        <v>44339.76111111111</v>
      </c>
      <c r="D423" s="719" t="inlineStr">
        <is>
          <t>BYBIT</t>
        </is>
      </c>
      <c r="E423" s="719" t="inlineStr">
        <is>
          <t>ETHUSDT</t>
        </is>
      </c>
      <c r="F423" s="719" t="inlineStr">
        <is>
          <t>BUY</t>
        </is>
      </c>
      <c r="G423" s="735" t="n">
        <v>0.02</v>
      </c>
      <c r="H423" s="720" t="n">
        <v>2176.1</v>
      </c>
      <c r="I423" s="720" t="n">
        <v>2090.6</v>
      </c>
      <c r="J423" s="721" t="n">
        <v>2091.6</v>
      </c>
      <c r="K423" s="722" t="n">
        <v>0.03883093607830523</v>
      </c>
      <c r="L423" s="721" t="n">
        <v>2476.65</v>
      </c>
      <c r="M423" s="722" t="n">
        <v>0.1381140572583981</v>
      </c>
      <c r="N423" s="723" t="n">
        <v>0.02479388</v>
      </c>
      <c r="O423" s="724" t="n">
        <v>-1.73566053</v>
      </c>
      <c r="P423" s="725" t="n">
        <v>-0.005985918822613285</v>
      </c>
      <c r="Q423" s="726" t="n">
        <v>-1.011834319526627</v>
      </c>
      <c r="R423" s="727" t="n">
        <v>288.22158437</v>
      </c>
      <c r="S423" s="719" t="inlineStr">
        <is>
          <t>57M 0S</t>
        </is>
      </c>
      <c r="T423" s="728" t="n"/>
      <c r="U423" s="729" t="n"/>
      <c r="V423" s="730" t="n"/>
      <c r="W423" s="731" t="n"/>
      <c r="X423" s="732" t="n"/>
      <c r="Y423" s="728" t="n"/>
      <c r="Z423" s="729" t="n"/>
      <c r="AA423" s="730" t="n"/>
      <c r="AB423" s="731" t="n"/>
      <c r="AC423" s="732" t="n"/>
      <c r="AD423" s="719" t="inlineStr">
        <is>
          <t>No</t>
        </is>
      </c>
      <c r="AE423" s="733" t="n"/>
      <c r="AF423" s="733" t="n"/>
      <c r="AG423" s="733" t="n"/>
      <c r="AH423" s="733" t="n"/>
      <c r="AI423" s="719" t="inlineStr">
        <is>
          <t>Limit</t>
        </is>
      </c>
      <c r="AJ423" s="733" t="n"/>
      <c r="AK423" s="733" t="n"/>
      <c r="AL423" s="733" t="n"/>
      <c r="AM423" s="733" t="n"/>
      <c r="AN423" s="733" t="n"/>
      <c r="AO423" s="733" t="n"/>
      <c r="AP423" s="719" t="inlineStr">
        <is>
          <t>Pullback</t>
        </is>
      </c>
      <c r="AQ423" s="719" t="inlineStr">
        <is>
          <t>1H</t>
        </is>
      </c>
      <c r="AR423" s="719" t="inlineStr">
        <is>
          <t>No</t>
        </is>
      </c>
      <c r="AS423" s="733" t="n"/>
      <c r="AT423" s="733" t="n"/>
      <c r="AU423" s="733" t="n"/>
      <c r="AV423" s="733" t="n"/>
      <c r="AW423" s="719" t="inlineStr">
        <is>
          <t>trade</t>
        </is>
      </c>
      <c r="AX423" s="734" t="inlineStr">
        <is>
          <t>sig:51f1930e2356515a141958dc</t>
        </is>
      </c>
    </row>
    <row r="424" ht="15" customHeight="1">
      <c r="A424" s="716" t="inlineStr">
        <is>
          <t>C238</t>
        </is>
      </c>
      <c r="B424" s="717" t="n">
        <v>44339.41875</v>
      </c>
      <c r="C424" s="718" t="n">
        <v>44339.75416666667</v>
      </c>
      <c r="D424" s="719" t="inlineStr">
        <is>
          <t>BYBIT</t>
        </is>
      </c>
      <c r="E424" s="719" t="inlineStr">
        <is>
          <t>BCHUSDT</t>
        </is>
      </c>
      <c r="F424" s="719" t="inlineStr">
        <is>
          <t>BUY</t>
        </is>
      </c>
      <c r="G424" s="735" t="n">
        <v>0.05</v>
      </c>
      <c r="H424" s="720" t="n">
        <v>614.95</v>
      </c>
      <c r="I424" s="720" t="n">
        <v>583.75</v>
      </c>
      <c r="J424" s="721" t="n">
        <v>584.3</v>
      </c>
      <c r="K424" s="722" t="n">
        <v>0.04984145052443303</v>
      </c>
      <c r="L424" s="721" t="n">
        <v>693</v>
      </c>
      <c r="M424" s="722" t="n">
        <v>0.1269208878770631</v>
      </c>
      <c r="N424" s="723" t="n">
        <v>0.01720731</v>
      </c>
      <c r="O424" s="724" t="n">
        <v>-1.57807396</v>
      </c>
      <c r="P424" s="725" t="n">
        <v>-0.005412976946226598</v>
      </c>
      <c r="Q424" s="726" t="n">
        <v>-1.017944535073408</v>
      </c>
      <c r="R424" s="727" t="n">
        <v>289.9572449</v>
      </c>
      <c r="S424" s="719" t="inlineStr">
        <is>
          <t>8H 3M 0S</t>
        </is>
      </c>
      <c r="T424" s="728" t="n"/>
      <c r="U424" s="729" t="n"/>
      <c r="V424" s="730" t="n"/>
      <c r="W424" s="731" t="n"/>
      <c r="X424" s="732" t="n"/>
      <c r="Y424" s="728" t="n"/>
      <c r="Z424" s="729" t="n"/>
      <c r="AA424" s="730" t="n"/>
      <c r="AB424" s="731" t="n"/>
      <c r="AC424" s="732" t="n"/>
      <c r="AD424" s="719" t="inlineStr">
        <is>
          <t>No</t>
        </is>
      </c>
      <c r="AE424" s="733" t="n"/>
      <c r="AF424" s="733" t="n"/>
      <c r="AG424" s="733" t="n"/>
      <c r="AH424" s="733" t="n"/>
      <c r="AI424" s="719" t="inlineStr">
        <is>
          <t>Limit</t>
        </is>
      </c>
      <c r="AJ424" s="733" t="n"/>
      <c r="AK424" s="733" t="n"/>
      <c r="AL424" s="733" t="n"/>
      <c r="AM424" s="733" t="n"/>
      <c r="AN424" s="733" t="n"/>
      <c r="AO424" s="733" t="n"/>
      <c r="AP424" s="719" t="inlineStr">
        <is>
          <t>Pullback</t>
        </is>
      </c>
      <c r="AQ424" s="719" t="inlineStr">
        <is>
          <t>1H</t>
        </is>
      </c>
      <c r="AR424" s="719" t="inlineStr">
        <is>
          <t>No</t>
        </is>
      </c>
      <c r="AS424" s="733" t="n"/>
      <c r="AT424" s="733" t="n"/>
      <c r="AU424" s="733" t="n"/>
      <c r="AV424" s="733" t="n"/>
      <c r="AW424" s="719" t="inlineStr">
        <is>
          <t>trade</t>
        </is>
      </c>
      <c r="AX424" s="734" t="inlineStr">
        <is>
          <t>sig:c1ef3526fd799c902398e7a2</t>
        </is>
      </c>
    </row>
    <row r="425" ht="15" customHeight="1">
      <c r="A425" s="716" t="inlineStr">
        <is>
          <t>C237</t>
        </is>
      </c>
      <c r="B425" s="717" t="n">
        <v>44336.05138888889</v>
      </c>
      <c r="C425" s="718" t="n">
        <v>44336.13611111111</v>
      </c>
      <c r="D425" s="719" t="inlineStr">
        <is>
          <t>BYBIT</t>
        </is>
      </c>
      <c r="E425" s="719" t="inlineStr">
        <is>
          <t>DOTUSDT</t>
        </is>
      </c>
      <c r="F425" s="719" t="inlineStr">
        <is>
          <t>SELL</t>
        </is>
      </c>
      <c r="G425" s="720" t="n">
        <v>0.6</v>
      </c>
      <c r="H425" s="720" t="n">
        <v>27.26</v>
      </c>
      <c r="I425" s="720" t="n">
        <v>29.915</v>
      </c>
      <c r="J425" s="721" t="n">
        <v>29.9</v>
      </c>
      <c r="K425" s="722" t="n">
        <v>0.09684519442406445</v>
      </c>
      <c r="L425" s="721" t="n">
        <v>20</v>
      </c>
      <c r="M425" s="722" t="n">
        <v>0.2663242846661776</v>
      </c>
      <c r="N425" s="811" t="n">
        <v>0.00187644</v>
      </c>
      <c r="O425" s="724" t="n">
        <v>-1.59574309</v>
      </c>
      <c r="P425" s="725" t="n">
        <v>-0.005443787087538984</v>
      </c>
      <c r="Q425" s="726" t="n">
        <v>-1.005681818181818</v>
      </c>
      <c r="R425" s="727" t="n">
        <v>291.53531886</v>
      </c>
      <c r="S425" s="719" t="inlineStr">
        <is>
          <t>2H 2M 0S</t>
        </is>
      </c>
      <c r="T425" s="728" t="n"/>
      <c r="U425" s="729" t="n"/>
      <c r="V425" s="730" t="n"/>
      <c r="W425" s="731" t="n"/>
      <c r="X425" s="732" t="n"/>
      <c r="Y425" s="728" t="n"/>
      <c r="Z425" s="729" t="n"/>
      <c r="AA425" s="730" t="n"/>
      <c r="AB425" s="731" t="n"/>
      <c r="AC425" s="732" t="n"/>
      <c r="AD425" s="719" t="inlineStr">
        <is>
          <t>No</t>
        </is>
      </c>
      <c r="AE425" s="733" t="n"/>
      <c r="AF425" s="733" t="n"/>
      <c r="AG425" s="733" t="n"/>
      <c r="AH425" s="733" t="n"/>
      <c r="AI425" s="719" t="inlineStr">
        <is>
          <t>Limit</t>
        </is>
      </c>
      <c r="AJ425" s="733" t="n"/>
      <c r="AK425" s="733" t="n"/>
      <c r="AL425" s="733" t="n"/>
      <c r="AM425" s="733" t="n"/>
      <c r="AN425" s="733" t="n"/>
      <c r="AO425" s="733" t="n"/>
      <c r="AP425" s="719" t="inlineStr">
        <is>
          <t>Pullback</t>
        </is>
      </c>
      <c r="AQ425" s="719" t="inlineStr">
        <is>
          <t>DAILY</t>
        </is>
      </c>
      <c r="AR425" s="719" t="inlineStr">
        <is>
          <t>No</t>
        </is>
      </c>
      <c r="AS425" s="733" t="n"/>
      <c r="AT425" s="733" t="n"/>
      <c r="AU425" s="733" t="n"/>
      <c r="AV425" s="733" t="n"/>
      <c r="AW425" s="719" t="inlineStr">
        <is>
          <t>trade</t>
        </is>
      </c>
      <c r="AX425" s="734" t="inlineStr">
        <is>
          <t>sig:62eccbe5135c5322d240000b</t>
        </is>
      </c>
    </row>
    <row r="426" ht="15" customHeight="1">
      <c r="A426" s="716" t="inlineStr">
        <is>
          <t>F1144</t>
        </is>
      </c>
      <c r="B426" s="717" t="n">
        <v>44335.09513888889</v>
      </c>
      <c r="C426" s="718" t="n">
        <v>44335.96388888889</v>
      </c>
      <c r="D426" s="719" t="inlineStr">
        <is>
          <t>PEPPERSTONE LIVE</t>
        </is>
      </c>
      <c r="E426" s="719" t="inlineStr">
        <is>
          <t>CADJPY</t>
        </is>
      </c>
      <c r="F426" s="719" t="inlineStr">
        <is>
          <t>BUY</t>
        </is>
      </c>
      <c r="G426" s="735" t="n">
        <v>0.02</v>
      </c>
      <c r="H426" s="720" t="n">
        <v>90.19</v>
      </c>
      <c r="I426" s="720" t="n">
        <v>89.988</v>
      </c>
      <c r="J426" s="721" t="n">
        <v>89.98</v>
      </c>
      <c r="K426" s="722" t="n">
        <v>0.002328417784676724</v>
      </c>
      <c r="L426" s="721" t="n">
        <v>90.70999999999999</v>
      </c>
      <c r="M426" s="722" t="n">
        <v>0.005765605943009159</v>
      </c>
      <c r="N426" s="792" t="n">
        <v>0.01</v>
      </c>
      <c r="O426" s="762" t="n">
        <v>-4.99</v>
      </c>
      <c r="P426" s="725" t="n">
        <v>-0.01051123796684431</v>
      </c>
      <c r="Q426" s="726" t="n">
        <v>-0.9619047619047819</v>
      </c>
      <c r="R426" s="764" t="n">
        <v>469.74</v>
      </c>
      <c r="S426" s="719" t="inlineStr">
        <is>
          <t>20H 51M 0S</t>
        </is>
      </c>
      <c r="T426" s="728" t="n"/>
      <c r="U426" s="729" t="n"/>
      <c r="V426" s="730" t="n"/>
      <c r="W426" s="731" t="n"/>
      <c r="X426" s="732" t="n"/>
      <c r="Y426" s="728" t="n"/>
      <c r="Z426" s="729" t="n"/>
      <c r="AA426" s="730" t="n"/>
      <c r="AB426" s="731" t="n"/>
      <c r="AC426" s="732" t="n"/>
      <c r="AD426" s="719" t="inlineStr">
        <is>
          <t>No</t>
        </is>
      </c>
      <c r="AE426" s="733" t="n"/>
      <c r="AF426" s="733" t="n"/>
      <c r="AG426" s="733" t="n"/>
      <c r="AH426" s="733" t="n"/>
      <c r="AI426" s="719" t="n"/>
      <c r="AJ426" s="733" t="n"/>
      <c r="AK426" s="733" t="n"/>
      <c r="AL426" s="733" t="n"/>
      <c r="AM426" s="733" t="n"/>
      <c r="AN426" s="733" t="n"/>
      <c r="AO426" s="733" t="n"/>
      <c r="AP426" s="719" t="inlineStr">
        <is>
          <t>Pullback</t>
        </is>
      </c>
      <c r="AQ426" s="719" t="n"/>
      <c r="AR426" s="719" t="inlineStr">
        <is>
          <t>No</t>
        </is>
      </c>
      <c r="AS426" s="733" t="n"/>
      <c r="AT426" s="733" t="n"/>
      <c r="AU426" s="733" t="n"/>
      <c r="AV426" s="733" t="n"/>
      <c r="AW426" s="719" t="inlineStr">
        <is>
          <t>trade</t>
        </is>
      </c>
      <c r="AX426" s="734" t="inlineStr">
        <is>
          <t>sig:0c3603f1a64aca3b03581e15</t>
        </is>
      </c>
    </row>
    <row r="427" ht="15" customHeight="1">
      <c r="A427" s="716" t="inlineStr">
        <is>
          <t>C236</t>
        </is>
      </c>
      <c r="B427" s="717" t="n">
        <v>44335.89652777778</v>
      </c>
      <c r="C427" s="718" t="n">
        <v>44335.95</v>
      </c>
      <c r="D427" s="719" t="inlineStr">
        <is>
          <t>BYBIT</t>
        </is>
      </c>
      <c r="E427" s="719" t="inlineStr">
        <is>
          <t>XTZUSDT</t>
        </is>
      </c>
      <c r="F427" s="719" t="inlineStr">
        <is>
          <t>BUY</t>
        </is>
      </c>
      <c r="G427" s="720" t="n">
        <v>3</v>
      </c>
      <c r="H427" s="720" t="n">
        <v>4.526</v>
      </c>
      <c r="I427" s="720" t="n">
        <v>3.896</v>
      </c>
      <c r="J427" s="721" t="n">
        <v>3.897</v>
      </c>
      <c r="K427" s="722" t="n">
        <v>0.1389748121961998</v>
      </c>
      <c r="L427" s="721" t="n">
        <v>7.304</v>
      </c>
      <c r="M427" s="722" t="n">
        <v>0.6137870083959347</v>
      </c>
      <c r="N427" s="811" t="n">
        <v>0.0053715</v>
      </c>
      <c r="O427" s="724" t="n">
        <v>-1.89623815</v>
      </c>
      <c r="P427" s="725" t="n">
        <v>-0.006427331129550614</v>
      </c>
      <c r="Q427" s="726" t="n">
        <v>-1.001589825119237</v>
      </c>
      <c r="R427" s="727" t="n">
        <v>293.1310619499999</v>
      </c>
      <c r="S427" s="719" t="inlineStr">
        <is>
          <t>1H 17M 0S</t>
        </is>
      </c>
      <c r="T427" s="728" t="n"/>
      <c r="U427" s="729" t="n"/>
      <c r="V427" s="730" t="n"/>
      <c r="W427" s="731" t="n"/>
      <c r="X427" s="732" t="n"/>
      <c r="Y427" s="728" t="n"/>
      <c r="Z427" s="729" t="n"/>
      <c r="AA427" s="730" t="n"/>
      <c r="AB427" s="731" t="n"/>
      <c r="AC427" s="732" t="n"/>
      <c r="AD427" s="719" t="inlineStr">
        <is>
          <t>No</t>
        </is>
      </c>
      <c r="AE427" s="733" t="n"/>
      <c r="AF427" s="733" t="n"/>
      <c r="AG427" s="733" t="n"/>
      <c r="AH427" s="733" t="n"/>
      <c r="AI427" s="719" t="inlineStr">
        <is>
          <t>Limit</t>
        </is>
      </c>
      <c r="AJ427" s="733" t="n"/>
      <c r="AK427" s="733" t="n"/>
      <c r="AL427" s="733" t="n"/>
      <c r="AM427" s="733" t="n"/>
      <c r="AN427" s="733" t="n"/>
      <c r="AO427" s="733" t="n"/>
      <c r="AP427" s="719" t="inlineStr">
        <is>
          <t>Pullback</t>
        </is>
      </c>
      <c r="AQ427" s="719" t="inlineStr">
        <is>
          <t>DAILY</t>
        </is>
      </c>
      <c r="AR427" s="719" t="inlineStr">
        <is>
          <t>No</t>
        </is>
      </c>
      <c r="AS427" s="733" t="n"/>
      <c r="AT427" s="733" t="n"/>
      <c r="AU427" s="733" t="n"/>
      <c r="AV427" s="733" t="n"/>
      <c r="AW427" s="719" t="inlineStr">
        <is>
          <t>trade</t>
        </is>
      </c>
      <c r="AX427" s="734" t="inlineStr">
        <is>
          <t>sig:b32a55a62a1b11d9d2a8439a</t>
        </is>
      </c>
    </row>
    <row r="428" ht="15" customHeight="1">
      <c r="A428" s="716" t="inlineStr">
        <is>
          <t>C235</t>
        </is>
      </c>
      <c r="B428" s="717" t="n">
        <v>44335.89652777778</v>
      </c>
      <c r="C428" s="718" t="n">
        <v>44335.94652777778</v>
      </c>
      <c r="D428" s="719" t="inlineStr">
        <is>
          <t>BYBIT</t>
        </is>
      </c>
      <c r="E428" s="719" t="inlineStr">
        <is>
          <t>LINKUSDT</t>
        </is>
      </c>
      <c r="F428" s="719" t="inlineStr">
        <is>
          <t>BUY</t>
        </is>
      </c>
      <c r="G428" s="720" t="n">
        <v>0.5</v>
      </c>
      <c r="H428" s="720" t="n">
        <v>31.611</v>
      </c>
      <c r="I428" s="720" t="n">
        <v>28.687</v>
      </c>
      <c r="J428" s="721" t="n">
        <v>28.727</v>
      </c>
      <c r="K428" s="722" t="n">
        <v>0.09123406409161369</v>
      </c>
      <c r="L428" s="721" t="n">
        <v>40.594</v>
      </c>
      <c r="M428" s="722" t="n">
        <v>0.2841732308373667</v>
      </c>
      <c r="N428" s="811" t="n">
        <v>0.00680558</v>
      </c>
      <c r="O428" s="724" t="n">
        <v>-1.47057223</v>
      </c>
      <c r="P428" s="725" t="n">
        <v>-0.004959807024730566</v>
      </c>
      <c r="Q428" s="726" t="n">
        <v>-1.013869625520111</v>
      </c>
      <c r="R428" s="727" t="n">
        <v>295.0273000999999</v>
      </c>
      <c r="S428" s="719" t="inlineStr">
        <is>
          <t>1H 12M 0S</t>
        </is>
      </c>
      <c r="T428" s="728" t="n"/>
      <c r="U428" s="729" t="n"/>
      <c r="V428" s="730" t="n"/>
      <c r="W428" s="731" t="n"/>
      <c r="X428" s="732" t="n"/>
      <c r="Y428" s="728" t="n"/>
      <c r="Z428" s="729" t="n"/>
      <c r="AA428" s="730" t="n"/>
      <c r="AB428" s="731" t="n"/>
      <c r="AC428" s="732" t="n"/>
      <c r="AD428" s="719" t="inlineStr">
        <is>
          <t>No</t>
        </is>
      </c>
      <c r="AE428" s="733" t="n"/>
      <c r="AF428" s="733" t="n"/>
      <c r="AG428" s="733" t="n"/>
      <c r="AH428" s="733" t="n"/>
      <c r="AI428" s="719" t="inlineStr">
        <is>
          <t>Limit</t>
        </is>
      </c>
      <c r="AJ428" s="733" t="n"/>
      <c r="AK428" s="733" t="n"/>
      <c r="AL428" s="733" t="n"/>
      <c r="AM428" s="733" t="n"/>
      <c r="AN428" s="733" t="n"/>
      <c r="AO428" s="733" t="n"/>
      <c r="AP428" s="719" t="inlineStr">
        <is>
          <t>Pullback</t>
        </is>
      </c>
      <c r="AQ428" s="719" t="inlineStr">
        <is>
          <t>WEEKLY</t>
        </is>
      </c>
      <c r="AR428" s="719" t="inlineStr">
        <is>
          <t>No</t>
        </is>
      </c>
      <c r="AS428" s="733" t="n"/>
      <c r="AT428" s="733" t="n"/>
      <c r="AU428" s="733" t="n"/>
      <c r="AV428" s="733" t="n"/>
      <c r="AW428" s="719" t="inlineStr">
        <is>
          <t>trade</t>
        </is>
      </c>
      <c r="AX428" s="734" t="inlineStr">
        <is>
          <t>sig:9d7d32b34ab5472fa5c09286</t>
        </is>
      </c>
    </row>
    <row r="429" ht="15" customHeight="1">
      <c r="A429" s="716" t="inlineStr">
        <is>
          <t>C233</t>
        </is>
      </c>
      <c r="B429" s="717" t="n">
        <v>44333.5625</v>
      </c>
      <c r="C429" s="718" t="n">
        <v>44335.88958333333</v>
      </c>
      <c r="D429" s="719" t="inlineStr">
        <is>
          <t>BYBIT</t>
        </is>
      </c>
      <c r="E429" s="719" t="inlineStr">
        <is>
          <t>BCHUSDT</t>
        </is>
      </c>
      <c r="F429" s="719" t="inlineStr">
        <is>
          <t>BUY</t>
        </is>
      </c>
      <c r="G429" s="735" t="n">
        <v>0.01</v>
      </c>
      <c r="H429" s="720" t="n">
        <v>1026.5</v>
      </c>
      <c r="I429" s="720" t="n">
        <v>889.3</v>
      </c>
      <c r="J429" s="721" t="n">
        <v>889.55</v>
      </c>
      <c r="K429" s="722" t="n">
        <v>0.1334145153434</v>
      </c>
      <c r="L429" s="721" t="n">
        <v>1437.4</v>
      </c>
      <c r="M429" s="722" t="n">
        <v>0.4002922552362397</v>
      </c>
      <c r="N429" s="723" t="n">
        <v>0.0124839</v>
      </c>
      <c r="O429" s="724" t="n">
        <v>-1.38535055</v>
      </c>
      <c r="P429" s="725" t="n">
        <v>-0.004650649796944348</v>
      </c>
      <c r="Q429" s="726" t="n">
        <v>-1.001825483753195</v>
      </c>
      <c r="R429" s="727" t="n">
        <v>296.49787233</v>
      </c>
      <c r="S429" s="719" t="inlineStr">
        <is>
          <t>2D 7H 51M 0S</t>
        </is>
      </c>
      <c r="T429" s="728" t="n"/>
      <c r="U429" s="729" t="n"/>
      <c r="V429" s="730" t="n"/>
      <c r="W429" s="731" t="n"/>
      <c r="X429" s="732" t="n"/>
      <c r="Y429" s="728" t="n"/>
      <c r="Z429" s="729" t="n"/>
      <c r="AA429" s="730" t="n"/>
      <c r="AB429" s="731" t="n"/>
      <c r="AC429" s="732" t="n"/>
      <c r="AD429" s="719" t="inlineStr">
        <is>
          <t>No</t>
        </is>
      </c>
      <c r="AE429" s="733" t="n"/>
      <c r="AF429" s="733" t="n"/>
      <c r="AG429" s="733" t="n"/>
      <c r="AH429" s="733" t="n"/>
      <c r="AI429" s="719" t="inlineStr">
        <is>
          <t>Limit</t>
        </is>
      </c>
      <c r="AJ429" s="733" t="n"/>
      <c r="AK429" s="733" t="n"/>
      <c r="AL429" s="733" t="n"/>
      <c r="AM429" s="733" t="n"/>
      <c r="AN429" s="733" t="n"/>
      <c r="AO429" s="733" t="n"/>
      <c r="AP429" s="719" t="inlineStr">
        <is>
          <t>Pullback</t>
        </is>
      </c>
      <c r="AQ429" s="719" t="inlineStr">
        <is>
          <t>WEEKLY</t>
        </is>
      </c>
      <c r="AR429" s="719" t="inlineStr">
        <is>
          <t>No</t>
        </is>
      </c>
      <c r="AS429" s="733" t="n"/>
      <c r="AT429" s="733" t="n"/>
      <c r="AU429" s="733" t="n"/>
      <c r="AV429" s="733" t="n"/>
      <c r="AW429" s="719" t="inlineStr">
        <is>
          <t>trade</t>
        </is>
      </c>
      <c r="AX429" s="734" t="inlineStr">
        <is>
          <t>sig:ff12791699b660786a23d50e</t>
        </is>
      </c>
    </row>
    <row r="430" ht="15" customHeight="1">
      <c r="A430" s="716" t="inlineStr">
        <is>
          <t>C234</t>
        </is>
      </c>
      <c r="B430" s="717" t="n">
        <v>44334.14375</v>
      </c>
      <c r="C430" s="718" t="n">
        <v>44335.59513888889</v>
      </c>
      <c r="D430" s="719" t="inlineStr">
        <is>
          <t>BYBIT</t>
        </is>
      </c>
      <c r="E430" s="719" t="inlineStr">
        <is>
          <t>ADAUSDT</t>
        </is>
      </c>
      <c r="F430" s="719" t="inlineStr">
        <is>
          <t>BUY</t>
        </is>
      </c>
      <c r="G430" s="720" t="n">
        <v>11</v>
      </c>
      <c r="H430" s="720" t="n">
        <v>1.9281</v>
      </c>
      <c r="I430" s="720" t="n">
        <v>1.785</v>
      </c>
      <c r="J430" s="721" t="n">
        <v>1.7856</v>
      </c>
      <c r="K430" s="722" t="n">
        <v>0.07390695503345254</v>
      </c>
      <c r="L430" s="721" t="n">
        <v>2.3747</v>
      </c>
      <c r="M430" s="722" t="n">
        <v>0.2316269903013329</v>
      </c>
      <c r="N430" s="723" t="n">
        <v>0.07295528</v>
      </c>
      <c r="O430" s="724" t="n">
        <v>-1.64792193</v>
      </c>
      <c r="P430" s="725" t="n">
        <v>-0.005501671390617221</v>
      </c>
      <c r="Q430" s="726" t="n">
        <v>-1.004210526315791</v>
      </c>
      <c r="R430" s="727" t="n">
        <v>297.8832228799999</v>
      </c>
      <c r="S430" s="719" t="inlineStr">
        <is>
          <t>1D 10H 50M 0S</t>
        </is>
      </c>
      <c r="T430" s="728" t="n"/>
      <c r="U430" s="729" t="n"/>
      <c r="V430" s="730" t="n"/>
      <c r="W430" s="731" t="n"/>
      <c r="X430" s="732" t="n"/>
      <c r="Y430" s="728" t="n"/>
      <c r="Z430" s="729" t="n"/>
      <c r="AA430" s="730" t="n"/>
      <c r="AB430" s="731" t="n"/>
      <c r="AC430" s="732" t="n"/>
      <c r="AD430" s="719" t="inlineStr">
        <is>
          <t>No</t>
        </is>
      </c>
      <c r="AE430" s="733" t="n"/>
      <c r="AF430" s="733" t="n"/>
      <c r="AG430" s="733" t="n"/>
      <c r="AH430" s="733" t="n"/>
      <c r="AI430" s="719" t="inlineStr">
        <is>
          <t>Limit</t>
        </is>
      </c>
      <c r="AJ430" s="733" t="n"/>
      <c r="AK430" s="733" t="n"/>
      <c r="AL430" s="733" t="n"/>
      <c r="AM430" s="733" t="n"/>
      <c r="AN430" s="733" t="n"/>
      <c r="AO430" s="733" t="n"/>
      <c r="AP430" s="719" t="inlineStr">
        <is>
          <t>Pullback</t>
        </is>
      </c>
      <c r="AQ430" s="719" t="inlineStr">
        <is>
          <t>DAILY</t>
        </is>
      </c>
      <c r="AR430" s="719" t="inlineStr">
        <is>
          <t>No</t>
        </is>
      </c>
      <c r="AS430" s="733" t="n"/>
      <c r="AT430" s="733" t="n"/>
      <c r="AU430" s="733" t="n"/>
      <c r="AV430" s="733" t="n"/>
      <c r="AW430" s="719" t="inlineStr">
        <is>
          <t>trade</t>
        </is>
      </c>
      <c r="AX430" s="734" t="inlineStr">
        <is>
          <t>sig:a694d4744c257945e5df7ac2</t>
        </is>
      </c>
    </row>
    <row r="431" ht="15" customHeight="1">
      <c r="A431" s="716" t="inlineStr">
        <is>
          <t>C232</t>
        </is>
      </c>
      <c r="B431" s="717" t="n">
        <v>44333.01944444444</v>
      </c>
      <c r="C431" s="718" t="n">
        <v>44333.10694444444</v>
      </c>
      <c r="D431" s="719" t="inlineStr">
        <is>
          <t>BYBIT</t>
        </is>
      </c>
      <c r="E431" s="719" t="inlineStr">
        <is>
          <t>ADAUSDT</t>
        </is>
      </c>
      <c r="F431" s="719" t="inlineStr">
        <is>
          <t>BUY</t>
        </is>
      </c>
      <c r="G431" s="720" t="n">
        <v>20</v>
      </c>
      <c r="H431" s="720" t="n">
        <v>2.3261</v>
      </c>
      <c r="I431" s="720" t="n">
        <v>2.2466</v>
      </c>
      <c r="J431" s="721" t="n">
        <v>2.2486</v>
      </c>
      <c r="K431" s="722" t="n">
        <v>0.03331757018184931</v>
      </c>
      <c r="L431" s="721" t="n">
        <v>2.5378</v>
      </c>
      <c r="M431" s="722" t="n">
        <v>0.09101070461287133</v>
      </c>
      <c r="N431" s="723" t="n">
        <v>0.0266235</v>
      </c>
      <c r="O431" s="724" t="n">
        <v>-1.61749015</v>
      </c>
      <c r="P431" s="725" t="n">
        <v>-0.005371069173914216</v>
      </c>
      <c r="Q431" s="726" t="n">
        <v>-1.025806451612906</v>
      </c>
      <c r="R431" s="727" t="n">
        <v>299.5311448099999</v>
      </c>
      <c r="S431" s="719" t="inlineStr">
        <is>
          <t>2H 6M 0S</t>
        </is>
      </c>
      <c r="T431" s="728" t="n"/>
      <c r="U431" s="729" t="n"/>
      <c r="V431" s="730" t="n"/>
      <c r="W431" s="731" t="n"/>
      <c r="X431" s="732" t="n"/>
      <c r="Y431" s="728" t="n"/>
      <c r="Z431" s="729" t="n"/>
      <c r="AA431" s="730" t="n"/>
      <c r="AB431" s="731" t="n"/>
      <c r="AC431" s="732" t="n"/>
      <c r="AD431" s="719" t="inlineStr">
        <is>
          <t>No</t>
        </is>
      </c>
      <c r="AE431" s="733" t="n"/>
      <c r="AF431" s="733" t="n"/>
      <c r="AG431" s="733" t="n"/>
      <c r="AH431" s="733" t="n"/>
      <c r="AI431" s="719" t="inlineStr">
        <is>
          <t>Limit</t>
        </is>
      </c>
      <c r="AJ431" s="733" t="n"/>
      <c r="AK431" s="733" t="n"/>
      <c r="AL431" s="733" t="n"/>
      <c r="AM431" s="733" t="n"/>
      <c r="AN431" s="733" t="n"/>
      <c r="AO431" s="733" t="n"/>
      <c r="AP431" s="719" t="inlineStr">
        <is>
          <t>Pullback</t>
        </is>
      </c>
      <c r="AQ431" s="719" t="inlineStr">
        <is>
          <t>4H</t>
        </is>
      </c>
      <c r="AR431" s="719" t="inlineStr">
        <is>
          <t>No</t>
        </is>
      </c>
      <c r="AS431" s="733" t="n"/>
      <c r="AT431" s="733" t="n"/>
      <c r="AU431" s="733" t="n"/>
      <c r="AV431" s="733" t="n"/>
      <c r="AW431" s="719" t="inlineStr">
        <is>
          <t>trade</t>
        </is>
      </c>
      <c r="AX431" s="734" t="inlineStr">
        <is>
          <t>sig:2bcedbc09159a914d3e58f05</t>
        </is>
      </c>
    </row>
    <row r="432" ht="15" customHeight="1">
      <c r="A432" s="737" t="inlineStr">
        <is>
          <t>C231</t>
        </is>
      </c>
      <c r="B432" s="738" t="n">
        <v>44332.39861111111</v>
      </c>
      <c r="C432" s="739" t="n">
        <v>44332.68541666667</v>
      </c>
      <c r="D432" s="740" t="inlineStr">
        <is>
          <t>BYBIT</t>
        </is>
      </c>
      <c r="E432" s="740" t="inlineStr">
        <is>
          <t>ADAUSDT</t>
        </is>
      </c>
      <c r="F432" s="740" t="inlineStr">
        <is>
          <t>BUY</t>
        </is>
      </c>
      <c r="G432" s="742" t="n">
        <v>22</v>
      </c>
      <c r="H432" s="742" t="n">
        <v>2.1888</v>
      </c>
      <c r="I432" s="742" t="n">
        <v>2.3652</v>
      </c>
      <c r="J432" s="743" t="n">
        <v>2.12</v>
      </c>
      <c r="K432" s="744" t="n">
        <v>0.03143274853801168</v>
      </c>
      <c r="L432" s="743" t="n">
        <v>2.3656</v>
      </c>
      <c r="M432" s="744" t="n">
        <v>0.08077485380116962</v>
      </c>
      <c r="N432" s="802" t="n">
        <v>0.05615984</v>
      </c>
      <c r="O432" s="746" t="n">
        <v>3.82377351</v>
      </c>
      <c r="P432" s="747" t="n">
        <v>0.0128605912447151</v>
      </c>
      <c r="Q432" s="748" t="n">
        <v>2.563953488372096</v>
      </c>
      <c r="R432" s="749" t="n">
        <v>301.1486349599999</v>
      </c>
      <c r="S432" s="740" t="inlineStr">
        <is>
          <t>6H 53M 0S</t>
        </is>
      </c>
      <c r="T432" s="750" t="n"/>
      <c r="U432" s="751" t="n"/>
      <c r="V432" s="752" t="n"/>
      <c r="W432" s="753" t="n"/>
      <c r="X432" s="754" t="n"/>
      <c r="Y432" s="750" t="n"/>
      <c r="Z432" s="751" t="n"/>
      <c r="AA432" s="752" t="n"/>
      <c r="AB432" s="753" t="n"/>
      <c r="AC432" s="754" t="n"/>
      <c r="AD432" s="740" t="inlineStr">
        <is>
          <t>No</t>
        </is>
      </c>
      <c r="AE432" s="755" t="n"/>
      <c r="AF432" s="755" t="n"/>
      <c r="AG432" s="755" t="n"/>
      <c r="AH432" s="755" t="n"/>
      <c r="AI432" s="740" t="inlineStr">
        <is>
          <t>Limit</t>
        </is>
      </c>
      <c r="AJ432" s="755" t="n"/>
      <c r="AK432" s="755" t="n"/>
      <c r="AL432" s="755" t="n"/>
      <c r="AM432" s="755" t="n"/>
      <c r="AN432" s="755" t="n"/>
      <c r="AO432" s="755" t="n"/>
      <c r="AP432" s="740" t="inlineStr">
        <is>
          <t>Pullback</t>
        </is>
      </c>
      <c r="AQ432" s="740" t="inlineStr">
        <is>
          <t>4H</t>
        </is>
      </c>
      <c r="AR432" s="740" t="inlineStr">
        <is>
          <t>No</t>
        </is>
      </c>
      <c r="AS432" s="755" t="n"/>
      <c r="AT432" s="755" t="n"/>
      <c r="AU432" s="755" t="n"/>
      <c r="AV432" s="755" t="n"/>
      <c r="AW432" s="740" t="inlineStr">
        <is>
          <t>trade</t>
        </is>
      </c>
      <c r="AX432" s="756" t="inlineStr">
        <is>
          <t>sig:980ba935141e9af474e9699d</t>
        </is>
      </c>
    </row>
    <row r="433" ht="15" customHeight="1">
      <c r="A433" s="716" t="inlineStr">
        <is>
          <t>C230</t>
        </is>
      </c>
      <c r="B433" s="717" t="n">
        <v>44331.70625</v>
      </c>
      <c r="C433" s="718" t="n">
        <v>44331.70625</v>
      </c>
      <c r="D433" s="719" t="inlineStr">
        <is>
          <t>BYBIT</t>
        </is>
      </c>
      <c r="E433" s="719" t="inlineStr">
        <is>
          <t>ADAUSDT</t>
        </is>
      </c>
      <c r="F433" s="719" t="inlineStr">
        <is>
          <t>BUY</t>
        </is>
      </c>
      <c r="G433" s="720" t="n">
        <v>71</v>
      </c>
      <c r="H433" s="720" t="n">
        <v>2.0998</v>
      </c>
      <c r="I433" s="720" t="n">
        <v>2.0869</v>
      </c>
      <c r="J433" s="721" t="n">
        <v>2.0787</v>
      </c>
      <c r="K433" s="722" t="n">
        <v>0.01004857605486242</v>
      </c>
      <c r="L433" s="721" t="n">
        <v>2.173</v>
      </c>
      <c r="M433" s="722" t="n">
        <v>0.03486046290122866</v>
      </c>
      <c r="N433" s="723" t="n">
        <v>0.07385598</v>
      </c>
      <c r="O433" s="724" t="n">
        <v>-0.9906226299999999</v>
      </c>
      <c r="P433" s="725" t="n">
        <v>-0.003320721460553963</v>
      </c>
      <c r="Q433" s="726" t="n">
        <v>-0.6113744075829413</v>
      </c>
      <c r="R433" s="727" t="n">
        <v>297.3248614499999</v>
      </c>
      <c r="S433" s="719" t="inlineStr">
        <is>
          <t>1S</t>
        </is>
      </c>
      <c r="T433" s="728" t="n"/>
      <c r="U433" s="729" t="n"/>
      <c r="V433" s="730" t="n"/>
      <c r="W433" s="731" t="n"/>
      <c r="X433" s="732" t="n"/>
      <c r="Y433" s="728" t="n"/>
      <c r="Z433" s="729" t="n"/>
      <c r="AA433" s="730" t="n"/>
      <c r="AB433" s="731" t="n"/>
      <c r="AC433" s="732" t="n"/>
      <c r="AD433" s="719" t="inlineStr">
        <is>
          <t>No</t>
        </is>
      </c>
      <c r="AE433" s="733" t="n"/>
      <c r="AF433" s="733" t="n"/>
      <c r="AG433" s="733" t="n"/>
      <c r="AH433" s="733" t="n"/>
      <c r="AI433" s="719" t="inlineStr">
        <is>
          <t>Limit</t>
        </is>
      </c>
      <c r="AJ433" s="733" t="n"/>
      <c r="AK433" s="733" t="n"/>
      <c r="AL433" s="733" t="n"/>
      <c r="AM433" s="733" t="n"/>
      <c r="AN433" s="733" t="n"/>
      <c r="AO433" s="733" t="n"/>
      <c r="AP433" s="719" t="inlineStr">
        <is>
          <t>Pullback</t>
        </is>
      </c>
      <c r="AQ433" s="719" t="inlineStr">
        <is>
          <t>1H</t>
        </is>
      </c>
      <c r="AR433" s="719" t="inlineStr">
        <is>
          <t>No</t>
        </is>
      </c>
      <c r="AS433" s="733" t="n"/>
      <c r="AT433" s="733" t="n"/>
      <c r="AU433" s="733" t="n"/>
      <c r="AV433" s="733" t="n"/>
      <c r="AW433" s="719" t="inlineStr">
        <is>
          <t>trade</t>
        </is>
      </c>
      <c r="AX433" s="734" t="inlineStr">
        <is>
          <t>sig:b44db2c01d2853c5709d8abb</t>
        </is>
      </c>
    </row>
    <row r="434" ht="15" customHeight="1">
      <c r="A434" s="716" t="inlineStr">
        <is>
          <t>C229</t>
        </is>
      </c>
      <c r="B434" s="717" t="n">
        <v>44331.26944444444</v>
      </c>
      <c r="C434" s="718" t="n">
        <v>44331.27083333334</v>
      </c>
      <c r="D434" s="719" t="inlineStr">
        <is>
          <t>BYBIT</t>
        </is>
      </c>
      <c r="E434" s="719" t="inlineStr">
        <is>
          <t>XTZUSDT</t>
        </is>
      </c>
      <c r="F434" s="719" t="inlineStr">
        <is>
          <t>BUY</t>
        </is>
      </c>
      <c r="G434" s="720" t="n">
        <v>28</v>
      </c>
      <c r="H434" s="720" t="n">
        <v>6.327</v>
      </c>
      <c r="I434" s="720" t="n">
        <v>6.271</v>
      </c>
      <c r="J434" s="721" t="n">
        <v>6.273</v>
      </c>
      <c r="K434" s="722" t="n">
        <v>0.00853485064011384</v>
      </c>
      <c r="L434" s="721" t="n">
        <v>6.489</v>
      </c>
      <c r="M434" s="722" t="n">
        <v>0.02560455192034138</v>
      </c>
      <c r="N434" s="723" t="n">
        <v>0.08740199999999999</v>
      </c>
      <c r="O434" s="724" t="n">
        <v>-1.65626865</v>
      </c>
      <c r="P434" s="725" t="n">
        <v>-0.005521415383037023</v>
      </c>
      <c r="Q434" s="726" t="n">
        <v>-1.037037037037033</v>
      </c>
      <c r="R434" s="727" t="n">
        <v>298.3154840799999</v>
      </c>
      <c r="S434" s="719" t="inlineStr">
        <is>
          <t>2M 0S</t>
        </is>
      </c>
      <c r="T434" s="728" t="n"/>
      <c r="U434" s="729" t="n"/>
      <c r="V434" s="730" t="n"/>
      <c r="W434" s="731" t="n"/>
      <c r="X434" s="732" t="n"/>
      <c r="Y434" s="728" t="n"/>
      <c r="Z434" s="729" t="n"/>
      <c r="AA434" s="730" t="n"/>
      <c r="AB434" s="731" t="n"/>
      <c r="AC434" s="732" t="n"/>
      <c r="AD434" s="719" t="inlineStr">
        <is>
          <t>No</t>
        </is>
      </c>
      <c r="AE434" s="733" t="n"/>
      <c r="AF434" s="733" t="n"/>
      <c r="AG434" s="733" t="n"/>
      <c r="AH434" s="733" t="n"/>
      <c r="AI434" s="719" t="inlineStr">
        <is>
          <t>Limit</t>
        </is>
      </c>
      <c r="AJ434" s="733" t="n"/>
      <c r="AK434" s="733" t="n"/>
      <c r="AL434" s="733" t="n"/>
      <c r="AM434" s="733" t="n"/>
      <c r="AN434" s="733" t="n"/>
      <c r="AO434" s="733" t="n"/>
      <c r="AP434" s="719" t="inlineStr">
        <is>
          <t>Pullback</t>
        </is>
      </c>
      <c r="AQ434" s="719" t="inlineStr">
        <is>
          <t>15MIN</t>
        </is>
      </c>
      <c r="AR434" s="719" t="inlineStr">
        <is>
          <t>No</t>
        </is>
      </c>
      <c r="AS434" s="733" t="n"/>
      <c r="AT434" s="733" t="n"/>
      <c r="AU434" s="733" t="n"/>
      <c r="AV434" s="733" t="n"/>
      <c r="AW434" s="719" t="inlineStr">
        <is>
          <t>trade</t>
        </is>
      </c>
      <c r="AX434" s="734" t="inlineStr">
        <is>
          <t>sig:939c086ae5ce374a920daa07</t>
        </is>
      </c>
    </row>
    <row r="435" ht="15" customHeight="1">
      <c r="A435" s="737" t="inlineStr">
        <is>
          <t>C228</t>
        </is>
      </c>
      <c r="B435" s="738" t="n">
        <v>44330.14861111111</v>
      </c>
      <c r="C435" s="739" t="n">
        <v>44330.33055555556</v>
      </c>
      <c r="D435" s="740" t="inlineStr">
        <is>
          <t>BYBIT</t>
        </is>
      </c>
      <c r="E435" s="740" t="inlineStr">
        <is>
          <t>ADAUSDT</t>
        </is>
      </c>
      <c r="F435" s="740" t="inlineStr">
        <is>
          <t>BUY</t>
        </is>
      </c>
      <c r="G435" s="742" t="n">
        <v>37</v>
      </c>
      <c r="H435" s="742" t="n">
        <v>1.8207</v>
      </c>
      <c r="I435" s="742" t="n">
        <v>1.9417</v>
      </c>
      <c r="J435" s="743" t="n">
        <v>1.7799</v>
      </c>
      <c r="K435" s="744" t="n">
        <v>0.02240896358543415</v>
      </c>
      <c r="L435" s="743" t="n">
        <v>1.9424</v>
      </c>
      <c r="M435" s="744" t="n">
        <v>0.06684242324380728</v>
      </c>
      <c r="N435" s="802" t="n">
        <v>0.03704071</v>
      </c>
      <c r="O435" s="746" t="n">
        <v>4.43909264</v>
      </c>
      <c r="P435" s="747" t="n">
        <v>0.01502064996352059</v>
      </c>
      <c r="Q435" s="748" t="n">
        <v>2.965686274509808</v>
      </c>
      <c r="R435" s="749" t="n">
        <v>299.9717527299999</v>
      </c>
      <c r="S435" s="740" t="inlineStr">
        <is>
          <t>4H 22M 0S</t>
        </is>
      </c>
      <c r="T435" s="750" t="n"/>
      <c r="U435" s="751" t="n"/>
      <c r="V435" s="752" t="n"/>
      <c r="W435" s="753" t="n"/>
      <c r="X435" s="754" t="n"/>
      <c r="Y435" s="750" t="n"/>
      <c r="Z435" s="751" t="n"/>
      <c r="AA435" s="752" t="n"/>
      <c r="AB435" s="753" t="n"/>
      <c r="AC435" s="754" t="n"/>
      <c r="AD435" s="740" t="inlineStr">
        <is>
          <t>No</t>
        </is>
      </c>
      <c r="AE435" s="755" t="n"/>
      <c r="AF435" s="755" t="n"/>
      <c r="AG435" s="755" t="n"/>
      <c r="AH435" s="755" t="n"/>
      <c r="AI435" s="740" t="inlineStr">
        <is>
          <t>Limit</t>
        </is>
      </c>
      <c r="AJ435" s="755" t="n"/>
      <c r="AK435" s="755" t="n"/>
      <c r="AL435" s="755" t="n"/>
      <c r="AM435" s="755" t="n"/>
      <c r="AN435" s="755" t="n"/>
      <c r="AO435" s="755" t="n"/>
      <c r="AP435" s="740" t="inlineStr">
        <is>
          <t>Pullback</t>
        </is>
      </c>
      <c r="AQ435" s="740" t="inlineStr">
        <is>
          <t>1H</t>
        </is>
      </c>
      <c r="AR435" s="740" t="inlineStr">
        <is>
          <t>No</t>
        </is>
      </c>
      <c r="AS435" s="755" t="n"/>
      <c r="AT435" s="755" t="n"/>
      <c r="AU435" s="755" t="n"/>
      <c r="AV435" s="755" t="n"/>
      <c r="AW435" s="740" t="inlineStr">
        <is>
          <t>trade</t>
        </is>
      </c>
      <c r="AX435" s="756" t="inlineStr">
        <is>
          <t>sig:3fbbb5711649a39021036baf</t>
        </is>
      </c>
    </row>
    <row r="436" ht="15" customHeight="1">
      <c r="A436" s="716" t="inlineStr">
        <is>
          <t>F1143</t>
        </is>
      </c>
      <c r="B436" s="717" t="n">
        <v>44330.12222222222</v>
      </c>
      <c r="C436" s="718" t="n">
        <v>44330.13333333333</v>
      </c>
      <c r="D436" s="719" t="inlineStr">
        <is>
          <t>PEPPERSTONE LIVE</t>
        </is>
      </c>
      <c r="E436" s="719" t="inlineStr">
        <is>
          <t>CADJPY</t>
        </is>
      </c>
      <c r="F436" s="719" t="inlineStr">
        <is>
          <t>BUY</t>
        </is>
      </c>
      <c r="G436" s="735" t="n">
        <v>0.02</v>
      </c>
      <c r="H436" s="720" t="n">
        <v>90.05</v>
      </c>
      <c r="I436" s="720" t="n">
        <v>89.86499999999999</v>
      </c>
      <c r="J436" s="721" t="n">
        <v>89.86</v>
      </c>
      <c r="K436" s="722" t="n">
        <v>0.00210993892282063</v>
      </c>
      <c r="L436" s="721" t="n">
        <v>90.56</v>
      </c>
      <c r="M436" s="722" t="n">
        <v>0.005663520266518658</v>
      </c>
      <c r="N436" s="761" t="n"/>
      <c r="O436" s="762" t="n">
        <v>-4.47</v>
      </c>
      <c r="P436" s="725" t="n">
        <v>-0.009328046744574289</v>
      </c>
      <c r="Q436" s="726" t="n">
        <v>-0.9736842105263394</v>
      </c>
      <c r="R436" s="764" t="n">
        <v>474.73</v>
      </c>
      <c r="S436" s="719" t="inlineStr">
        <is>
          <t>16M 0S</t>
        </is>
      </c>
      <c r="T436" s="728" t="n"/>
      <c r="U436" s="729" t="n"/>
      <c r="V436" s="730" t="n"/>
      <c r="W436" s="731" t="n"/>
      <c r="X436" s="732" t="n"/>
      <c r="Y436" s="728" t="n"/>
      <c r="Z436" s="729" t="n"/>
      <c r="AA436" s="730" t="n"/>
      <c r="AB436" s="731" t="n"/>
      <c r="AC436" s="732" t="n"/>
      <c r="AD436" s="719" t="inlineStr">
        <is>
          <t>No</t>
        </is>
      </c>
      <c r="AE436" s="733" t="n"/>
      <c r="AF436" s="733" t="n"/>
      <c r="AG436" s="733" t="n"/>
      <c r="AH436" s="733" t="n"/>
      <c r="AI436" s="719" t="n"/>
      <c r="AJ436" s="733" t="n"/>
      <c r="AK436" s="733" t="n"/>
      <c r="AL436" s="733" t="n"/>
      <c r="AM436" s="733" t="n"/>
      <c r="AN436" s="733" t="n"/>
      <c r="AO436" s="733" t="n"/>
      <c r="AP436" s="719" t="inlineStr">
        <is>
          <t>Pullback</t>
        </is>
      </c>
      <c r="AQ436" s="719" t="n"/>
      <c r="AR436" s="719" t="inlineStr">
        <is>
          <t>No</t>
        </is>
      </c>
      <c r="AS436" s="733" t="n"/>
      <c r="AT436" s="733" t="n"/>
      <c r="AU436" s="733" t="n"/>
      <c r="AV436" s="733" t="n"/>
      <c r="AW436" s="719" t="inlineStr">
        <is>
          <t>trade</t>
        </is>
      </c>
      <c r="AX436" s="734" t="inlineStr">
        <is>
          <t>sig:d2f5929b43c8c1581ece9f29</t>
        </is>
      </c>
    </row>
    <row r="437" ht="15" customHeight="1">
      <c r="A437" s="716" t="inlineStr">
        <is>
          <t>F1142</t>
        </is>
      </c>
      <c r="B437" s="717" t="n">
        <v>44329.03958333333</v>
      </c>
      <c r="C437" s="718" t="n">
        <v>44329.75138888889</v>
      </c>
      <c r="D437" s="719" t="inlineStr">
        <is>
          <t>PEPPERSTONE LIVE</t>
        </is>
      </c>
      <c r="E437" s="719" t="inlineStr">
        <is>
          <t>CADJPY</t>
        </is>
      </c>
      <c r="F437" s="719" t="inlineStr">
        <is>
          <t>BUY</t>
        </is>
      </c>
      <c r="G437" s="735" t="n">
        <v>0.03</v>
      </c>
      <c r="H437" s="720" t="n">
        <v>90.40000000000001</v>
      </c>
      <c r="I437" s="720" t="n">
        <v>90.255</v>
      </c>
      <c r="J437" s="721" t="n">
        <v>90.25</v>
      </c>
      <c r="K437" s="722" t="n">
        <v>0.001659292035398293</v>
      </c>
      <c r="L437" s="721" t="n">
        <v>90.79000000000001</v>
      </c>
      <c r="M437" s="722" t="n">
        <v>0.004314159292035404</v>
      </c>
      <c r="N437" s="792" t="n">
        <v>0.08</v>
      </c>
      <c r="O437" s="762" t="n">
        <v>-5.4</v>
      </c>
      <c r="P437" s="725" t="n">
        <v>-0.01114321089558399</v>
      </c>
      <c r="Q437" s="726" t="n">
        <v>-0.9666666666666982</v>
      </c>
      <c r="R437" s="764" t="n">
        <v>479.2</v>
      </c>
      <c r="S437" s="719" t="inlineStr">
        <is>
          <t>17H 5M 0S</t>
        </is>
      </c>
      <c r="T437" s="728" t="n"/>
      <c r="U437" s="729" t="n"/>
      <c r="V437" s="730" t="n"/>
      <c r="W437" s="731" t="n"/>
      <c r="X437" s="732" t="n"/>
      <c r="Y437" s="728" t="n"/>
      <c r="Z437" s="729" t="n"/>
      <c r="AA437" s="730" t="n"/>
      <c r="AB437" s="731" t="n"/>
      <c r="AC437" s="732" t="n"/>
      <c r="AD437" s="719" t="inlineStr">
        <is>
          <t>No</t>
        </is>
      </c>
      <c r="AE437" s="733" t="n"/>
      <c r="AF437" s="733" t="n"/>
      <c r="AG437" s="733" t="n"/>
      <c r="AH437" s="733" t="n"/>
      <c r="AI437" s="719" t="n"/>
      <c r="AJ437" s="733" t="n"/>
      <c r="AK437" s="733" t="n"/>
      <c r="AL437" s="733" t="n"/>
      <c r="AM437" s="733" t="n"/>
      <c r="AN437" s="733" t="n"/>
      <c r="AO437" s="733" t="n"/>
      <c r="AP437" s="719" t="inlineStr">
        <is>
          <t>Pullback</t>
        </is>
      </c>
      <c r="AQ437" s="719" t="n"/>
      <c r="AR437" s="719" t="inlineStr">
        <is>
          <t>No</t>
        </is>
      </c>
      <c r="AS437" s="733" t="n"/>
      <c r="AT437" s="733" t="n"/>
      <c r="AU437" s="733" t="n"/>
      <c r="AV437" s="733" t="n"/>
      <c r="AW437" s="719" t="inlineStr">
        <is>
          <t>trade</t>
        </is>
      </c>
      <c r="AX437" s="734" t="inlineStr">
        <is>
          <t>sig:43a8b4d3cd63e545fbb20bb3</t>
        </is>
      </c>
    </row>
    <row r="438" ht="15" customHeight="1">
      <c r="A438" s="716" t="inlineStr">
        <is>
          <t>F1141</t>
        </is>
      </c>
      <c r="B438" s="717" t="n">
        <v>44329.03819444445</v>
      </c>
      <c r="C438" s="718" t="n">
        <v>44329.73541666667</v>
      </c>
      <c r="D438" s="719" t="inlineStr">
        <is>
          <t>PEPPERSTONE LIVE</t>
        </is>
      </c>
      <c r="E438" s="719" t="inlineStr">
        <is>
          <t>EURNZD</t>
        </is>
      </c>
      <c r="F438" s="719" t="inlineStr">
        <is>
          <t>SELL</t>
        </is>
      </c>
      <c r="G438" s="735" t="n">
        <v>0.01</v>
      </c>
      <c r="H438" s="720" t="n">
        <v>1.6832</v>
      </c>
      <c r="I438" s="720" t="n">
        <v>1.68901</v>
      </c>
      <c r="J438" s="721" t="n">
        <v>1.6889</v>
      </c>
      <c r="K438" s="722" t="n">
        <v>0.003386406844106487</v>
      </c>
      <c r="L438" s="721" t="n">
        <v>1.6696</v>
      </c>
      <c r="M438" s="722" t="n">
        <v>0.00807984790874528</v>
      </c>
      <c r="N438" s="792" t="n">
        <v>0.01</v>
      </c>
      <c r="O438" s="762" t="n">
        <v>-5.3</v>
      </c>
      <c r="P438" s="725" t="n">
        <v>-0.01081853439477444</v>
      </c>
      <c r="Q438" s="726" t="n">
        <v>-1.019298245614006</v>
      </c>
      <c r="R438" s="764" t="n">
        <v>484.6</v>
      </c>
      <c r="S438" s="719" t="inlineStr">
        <is>
          <t>16H 44M 0S</t>
        </is>
      </c>
      <c r="T438" s="728" t="n"/>
      <c r="U438" s="729" t="n"/>
      <c r="V438" s="730" t="n"/>
      <c r="W438" s="731" t="n"/>
      <c r="X438" s="732" t="n"/>
      <c r="Y438" s="728" t="n"/>
      <c r="Z438" s="729" t="n"/>
      <c r="AA438" s="730" t="n"/>
      <c r="AB438" s="731" t="n"/>
      <c r="AC438" s="732" t="n"/>
      <c r="AD438" s="719" t="inlineStr">
        <is>
          <t>No</t>
        </is>
      </c>
      <c r="AE438" s="733" t="n"/>
      <c r="AF438" s="733" t="n"/>
      <c r="AG438" s="733" t="n"/>
      <c r="AH438" s="733" t="n"/>
      <c r="AI438" s="719" t="n"/>
      <c r="AJ438" s="733" t="n"/>
      <c r="AK438" s="733" t="n"/>
      <c r="AL438" s="733" t="n"/>
      <c r="AM438" s="733" t="n"/>
      <c r="AN438" s="733" t="n"/>
      <c r="AO438" s="733" t="n"/>
      <c r="AP438" s="719" t="inlineStr">
        <is>
          <t>Pullback</t>
        </is>
      </c>
      <c r="AQ438" s="719" t="n"/>
      <c r="AR438" s="719" t="inlineStr">
        <is>
          <t>No</t>
        </is>
      </c>
      <c r="AS438" s="733" t="n"/>
      <c r="AT438" s="733" t="n"/>
      <c r="AU438" s="733" t="n"/>
      <c r="AV438" s="733" t="n"/>
      <c r="AW438" s="719" t="inlineStr">
        <is>
          <t>trade</t>
        </is>
      </c>
      <c r="AX438" s="734" t="inlineStr">
        <is>
          <t>sig:2c6899f200845752824bbf62</t>
        </is>
      </c>
    </row>
    <row r="439" ht="15" customHeight="1">
      <c r="A439" s="716" t="inlineStr">
        <is>
          <t>C227</t>
        </is>
      </c>
      <c r="B439" s="717" t="n">
        <v>44329.40069444444</v>
      </c>
      <c r="C439" s="718" t="n">
        <v>44329.41805555556</v>
      </c>
      <c r="D439" s="719" t="inlineStr">
        <is>
          <t>BYBIT</t>
        </is>
      </c>
      <c r="E439" s="719" t="inlineStr">
        <is>
          <t>BCHUSDT</t>
        </is>
      </c>
      <c r="F439" s="719" t="inlineStr">
        <is>
          <t>BUY</t>
        </is>
      </c>
      <c r="G439" s="735" t="n">
        <v>0.02</v>
      </c>
      <c r="H439" s="720" t="n">
        <v>1284.3</v>
      </c>
      <c r="I439" s="720" t="n">
        <v>1187</v>
      </c>
      <c r="J439" s="721" t="n">
        <v>1187.35</v>
      </c>
      <c r="K439" s="722" t="n">
        <v>0.07548859300786424</v>
      </c>
      <c r="L439" s="721" t="n">
        <v>1558.8</v>
      </c>
      <c r="M439" s="722" t="n">
        <v>0.2137351086194814</v>
      </c>
      <c r="N439" s="723" t="n">
        <v>0.0304869</v>
      </c>
      <c r="O439" s="724" t="n">
        <v>-1.97735355</v>
      </c>
      <c r="P439" s="725" t="n">
        <v>-0.006646342843413278</v>
      </c>
      <c r="Q439" s="726" t="n">
        <v>-1.003610108303248</v>
      </c>
      <c r="R439" s="727" t="n">
        <v>295.5326600899999</v>
      </c>
      <c r="S439" s="719" t="inlineStr">
        <is>
          <t>25M 0S</t>
        </is>
      </c>
      <c r="T439" s="728" t="n"/>
      <c r="U439" s="729" t="n"/>
      <c r="V439" s="730" t="n"/>
      <c r="W439" s="731" t="n"/>
      <c r="X439" s="732" t="n"/>
      <c r="Y439" s="728" t="n"/>
      <c r="Z439" s="729" t="n"/>
      <c r="AA439" s="730" t="n"/>
      <c r="AB439" s="731" t="n"/>
      <c r="AC439" s="732" t="n"/>
      <c r="AD439" s="719" t="inlineStr">
        <is>
          <t>No</t>
        </is>
      </c>
      <c r="AE439" s="733" t="n"/>
      <c r="AF439" s="733" t="n"/>
      <c r="AG439" s="733" t="n"/>
      <c r="AH439" s="733" t="n"/>
      <c r="AI439" s="719" t="inlineStr">
        <is>
          <t>Limit</t>
        </is>
      </c>
      <c r="AJ439" s="733" t="n"/>
      <c r="AK439" s="733" t="n"/>
      <c r="AL439" s="733" t="n"/>
      <c r="AM439" s="733" t="n"/>
      <c r="AN439" s="733" t="n"/>
      <c r="AO439" s="733" t="n"/>
      <c r="AP439" s="719" t="inlineStr">
        <is>
          <t>Pullback</t>
        </is>
      </c>
      <c r="AQ439" s="719" t="inlineStr">
        <is>
          <t>4H</t>
        </is>
      </c>
      <c r="AR439" s="719" t="inlineStr">
        <is>
          <t>No</t>
        </is>
      </c>
      <c r="AS439" s="733" t="n"/>
      <c r="AT439" s="733" t="n"/>
      <c r="AU439" s="733" t="n"/>
      <c r="AV439" s="733" t="n"/>
      <c r="AW439" s="719" t="inlineStr">
        <is>
          <t>trade</t>
        </is>
      </c>
      <c r="AX439" s="734" t="inlineStr">
        <is>
          <t>sig:e5cfa789e72e73d1287de366</t>
        </is>
      </c>
    </row>
    <row r="440" ht="15" customHeight="1">
      <c r="A440" s="716" t="inlineStr">
        <is>
          <t>C226</t>
        </is>
      </c>
      <c r="B440" s="717" t="n">
        <v>44329.34236111111</v>
      </c>
      <c r="C440" s="718" t="n">
        <v>44329.40069444444</v>
      </c>
      <c r="D440" s="719" t="inlineStr">
        <is>
          <t>BYBIT</t>
        </is>
      </c>
      <c r="E440" s="719" t="inlineStr">
        <is>
          <t>LTCUSDT</t>
        </is>
      </c>
      <c r="F440" s="719" t="inlineStr">
        <is>
          <t>BUY</t>
        </is>
      </c>
      <c r="G440" s="720" t="n">
        <v>0.2</v>
      </c>
      <c r="H440" s="720" t="n">
        <v>334.88</v>
      </c>
      <c r="I440" s="720" t="n">
        <v>323.7</v>
      </c>
      <c r="J440" s="721" t="n">
        <v>323.93</v>
      </c>
      <c r="K440" s="722" t="n">
        <v>0.03269827998088864</v>
      </c>
      <c r="L440" s="721" t="n">
        <v>368.33</v>
      </c>
      <c r="M440" s="722" t="n">
        <v>0.09988652651696127</v>
      </c>
      <c r="N440" s="723" t="n">
        <v>0.031811</v>
      </c>
      <c r="O440" s="724" t="n">
        <v>-2.26867765</v>
      </c>
      <c r="P440" s="725" t="n">
        <v>-0.007567841597538121</v>
      </c>
      <c r="Q440" s="726" t="n">
        <v>-1.021004566210047</v>
      </c>
      <c r="R440" s="727" t="n">
        <v>297.5100136399999</v>
      </c>
      <c r="S440" s="719" t="inlineStr">
        <is>
          <t>1H 24M 0S</t>
        </is>
      </c>
      <c r="T440" s="728" t="n"/>
      <c r="U440" s="729" t="n"/>
      <c r="V440" s="730" t="n"/>
      <c r="W440" s="731" t="n"/>
      <c r="X440" s="732" t="n"/>
      <c r="Y440" s="728" t="n"/>
      <c r="Z440" s="729" t="n"/>
      <c r="AA440" s="730" t="n"/>
      <c r="AB440" s="731" t="n"/>
      <c r="AC440" s="732" t="n"/>
      <c r="AD440" s="719" t="inlineStr">
        <is>
          <t>No</t>
        </is>
      </c>
      <c r="AE440" s="733" t="n"/>
      <c r="AF440" s="733" t="n"/>
      <c r="AG440" s="733" t="n"/>
      <c r="AH440" s="733" t="n"/>
      <c r="AI440" s="719" t="inlineStr">
        <is>
          <t>Limit</t>
        </is>
      </c>
      <c r="AJ440" s="733" t="n"/>
      <c r="AK440" s="733" t="n"/>
      <c r="AL440" s="733" t="n"/>
      <c r="AM440" s="733" t="n"/>
      <c r="AN440" s="733" t="n"/>
      <c r="AO440" s="733" t="n"/>
      <c r="AP440" s="719" t="inlineStr">
        <is>
          <t>Pullback</t>
        </is>
      </c>
      <c r="AQ440" s="719" t="inlineStr">
        <is>
          <t>1H</t>
        </is>
      </c>
      <c r="AR440" s="719" t="inlineStr">
        <is>
          <t>No</t>
        </is>
      </c>
      <c r="AS440" s="733" t="n"/>
      <c r="AT440" s="733" t="n"/>
      <c r="AU440" s="733" t="n"/>
      <c r="AV440" s="733" t="n"/>
      <c r="AW440" s="719" t="inlineStr">
        <is>
          <t>trade</t>
        </is>
      </c>
      <c r="AX440" s="734" t="inlineStr">
        <is>
          <t>sig:fd75111aff7176c3bae04ed5</t>
        </is>
      </c>
    </row>
    <row r="441" ht="15" customHeight="1">
      <c r="A441" s="716" t="inlineStr">
        <is>
          <t>C225</t>
        </is>
      </c>
      <c r="B441" s="717" t="n">
        <v>44329.06527777778</v>
      </c>
      <c r="C441" s="718" t="n">
        <v>44329.11180555556</v>
      </c>
      <c r="D441" s="719" t="inlineStr">
        <is>
          <t>BYBIT</t>
        </is>
      </c>
      <c r="E441" s="719" t="inlineStr">
        <is>
          <t>ETHUSDT</t>
        </is>
      </c>
      <c r="F441" s="719" t="inlineStr">
        <is>
          <t>BUY</t>
        </is>
      </c>
      <c r="G441" s="735" t="n">
        <v>0.02</v>
      </c>
      <c r="H441" s="720" t="n">
        <v>4173.5</v>
      </c>
      <c r="I441" s="720" t="n">
        <v>4088.1</v>
      </c>
      <c r="J441" s="721" t="n">
        <v>4089.75</v>
      </c>
      <c r="K441" s="722" t="n">
        <v>0.02006708997244519</v>
      </c>
      <c r="L441" s="721" t="n">
        <v>4355.15</v>
      </c>
      <c r="M441" s="722" t="n">
        <v>0.04352461962381685</v>
      </c>
      <c r="N441" s="723" t="n">
        <v>0.07308087000000001</v>
      </c>
      <c r="O441" s="724" t="n">
        <v>-1.78194752</v>
      </c>
      <c r="P441" s="725" t="n">
        <v>-0.005909085240805337</v>
      </c>
      <c r="Q441" s="726" t="n">
        <v>-1.019701492537314</v>
      </c>
      <c r="R441" s="727" t="n">
        <v>299.7786912899999</v>
      </c>
      <c r="S441" s="719" t="inlineStr">
        <is>
          <t>1H 7M 0S</t>
        </is>
      </c>
      <c r="T441" s="728" t="n"/>
      <c r="U441" s="729" t="n"/>
      <c r="V441" s="730" t="n"/>
      <c r="W441" s="731" t="n"/>
      <c r="X441" s="732" t="n"/>
      <c r="Y441" s="728" t="n"/>
      <c r="Z441" s="729" t="n"/>
      <c r="AA441" s="730" t="n"/>
      <c r="AB441" s="731" t="n"/>
      <c r="AC441" s="732" t="n"/>
      <c r="AD441" s="719" t="inlineStr">
        <is>
          <t>No</t>
        </is>
      </c>
      <c r="AE441" s="733" t="n"/>
      <c r="AF441" s="733" t="n"/>
      <c r="AG441" s="733" t="n"/>
      <c r="AH441" s="733" t="n"/>
      <c r="AI441" s="719" t="inlineStr">
        <is>
          <t>Limit</t>
        </is>
      </c>
      <c r="AJ441" s="733" t="n"/>
      <c r="AK441" s="733" t="n"/>
      <c r="AL441" s="733" t="n"/>
      <c r="AM441" s="733" t="n"/>
      <c r="AN441" s="733" t="n"/>
      <c r="AO441" s="733" t="n"/>
      <c r="AP441" s="719" t="inlineStr">
        <is>
          <t>Pullback</t>
        </is>
      </c>
      <c r="AQ441" s="719" t="inlineStr">
        <is>
          <t>4H</t>
        </is>
      </c>
      <c r="AR441" s="719" t="inlineStr">
        <is>
          <t>No</t>
        </is>
      </c>
      <c r="AS441" s="733" t="n"/>
      <c r="AT441" s="733" t="n"/>
      <c r="AU441" s="733" t="n"/>
      <c r="AV441" s="733" t="n"/>
      <c r="AW441" s="719" t="inlineStr">
        <is>
          <t>trade</t>
        </is>
      </c>
      <c r="AX441" s="734" t="inlineStr">
        <is>
          <t>sig:dd2b3399c0e95865e714ca78</t>
        </is>
      </c>
    </row>
    <row r="442" ht="15" customHeight="1">
      <c r="A442" s="716" t="inlineStr">
        <is>
          <t>F1140</t>
        </is>
      </c>
      <c r="B442" s="717" t="n">
        <v>44328.55763888889</v>
      </c>
      <c r="C442" s="718" t="n">
        <v>44329.02291666667</v>
      </c>
      <c r="D442" s="719" t="inlineStr">
        <is>
          <t>PEPPERSTONE LIVE</t>
        </is>
      </c>
      <c r="E442" s="719" t="inlineStr">
        <is>
          <t>AUDUSD</t>
        </is>
      </c>
      <c r="F442" s="719" t="inlineStr">
        <is>
          <t>BUY</t>
        </is>
      </c>
      <c r="G442" s="735" t="n">
        <v>0.01</v>
      </c>
      <c r="H442" s="720" t="n">
        <v>0.7801</v>
      </c>
      <c r="I442" s="720" t="n">
        <v>0.77522</v>
      </c>
      <c r="J442" s="721" t="n">
        <v>0.7752</v>
      </c>
      <c r="K442" s="722" t="n">
        <v>0.00628124599410334</v>
      </c>
      <c r="L442" s="721" t="n">
        <v>0.7969000000000001</v>
      </c>
      <c r="M442" s="722" t="n">
        <v>0.02153570055121143</v>
      </c>
      <c r="N442" s="761" t="n"/>
      <c r="O442" s="762" t="n">
        <v>-6.41</v>
      </c>
      <c r="P442" s="725" t="n">
        <v>-0.01291531502488364</v>
      </c>
      <c r="Q442" s="726" t="n">
        <v>-0.9959183673469347</v>
      </c>
      <c r="R442" s="764" t="n">
        <v>489.9</v>
      </c>
      <c r="S442" s="719" t="inlineStr">
        <is>
          <t>11H 10M 0S</t>
        </is>
      </c>
      <c r="T442" s="717" t="n"/>
      <c r="U442" s="806" t="n"/>
      <c r="V442" s="730" t="n"/>
      <c r="W442" s="731" t="n"/>
      <c r="X442" s="732" t="n"/>
      <c r="Y442" s="728" t="n"/>
      <c r="Z442" s="729" t="n"/>
      <c r="AA442" s="730" t="n"/>
      <c r="AB442" s="731" t="n"/>
      <c r="AC442" s="732" t="n"/>
      <c r="AD442" s="719" t="inlineStr">
        <is>
          <t>No</t>
        </is>
      </c>
      <c r="AE442" s="733" t="n"/>
      <c r="AF442" s="733" t="n"/>
      <c r="AG442" s="733" t="n"/>
      <c r="AH442" s="733" t="n"/>
      <c r="AI442" s="719" t="n"/>
      <c r="AJ442" s="733" t="n"/>
      <c r="AK442" s="733" t="n"/>
      <c r="AL442" s="733" t="n"/>
      <c r="AM442" s="733" t="n"/>
      <c r="AN442" s="733" t="n"/>
      <c r="AO442" s="733" t="n"/>
      <c r="AP442" s="719" t="inlineStr">
        <is>
          <t>Pullback</t>
        </is>
      </c>
      <c r="AQ442" s="719" t="n"/>
      <c r="AR442" s="719" t="inlineStr">
        <is>
          <t>No</t>
        </is>
      </c>
      <c r="AS442" s="733" t="n"/>
      <c r="AT442" s="733" t="n"/>
      <c r="AU442" s="733" t="n"/>
      <c r="AV442" s="733" t="n"/>
      <c r="AW442" s="719" t="inlineStr">
        <is>
          <t>trade</t>
        </is>
      </c>
      <c r="AX442" s="734" t="inlineStr">
        <is>
          <t>sig:c355ae682fc46d8c4049c27e</t>
        </is>
      </c>
    </row>
    <row r="443" ht="15" customHeight="1">
      <c r="A443" s="716" t="inlineStr">
        <is>
          <t>F1139</t>
        </is>
      </c>
      <c r="B443" s="717" t="n">
        <v>44327.96666666667</v>
      </c>
      <c r="C443" s="718" t="n">
        <v>44328.64861111111</v>
      </c>
      <c r="D443" s="719" t="inlineStr">
        <is>
          <t>PEPPERSTONE LIVE</t>
        </is>
      </c>
      <c r="E443" s="719" t="inlineStr">
        <is>
          <t>GBPNZD</t>
        </is>
      </c>
      <c r="F443" s="719" t="inlineStr">
        <is>
          <t>SELL</t>
        </is>
      </c>
      <c r="G443" s="735" t="n">
        <v>0.01</v>
      </c>
      <c r="H443" s="720" t="n">
        <v>1.9481</v>
      </c>
      <c r="I443" s="720" t="n">
        <v>1.95365</v>
      </c>
      <c r="J443" s="721" t="n">
        <v>1.9536</v>
      </c>
      <c r="K443" s="722" t="n">
        <v>0.002823263692828941</v>
      </c>
      <c r="L443" s="721" t="n">
        <v>1.9208</v>
      </c>
      <c r="M443" s="722" t="n">
        <v>0.0140136543298598</v>
      </c>
      <c r="N443" s="792" t="n">
        <v>0.05</v>
      </c>
      <c r="O443" s="762" t="n">
        <v>-5.11</v>
      </c>
      <c r="P443" s="725" t="n">
        <v>-0.01019105739699254</v>
      </c>
      <c r="Q443" s="726" t="n">
        <v>-1.009090909090928</v>
      </c>
      <c r="R443" s="764" t="n">
        <v>496.31</v>
      </c>
      <c r="S443" s="719" t="inlineStr">
        <is>
          <t>16H 22M 0S</t>
        </is>
      </c>
      <c r="T443" s="728" t="n"/>
      <c r="U443" s="729" t="n"/>
      <c r="V443" s="730" t="n"/>
      <c r="W443" s="731" t="n"/>
      <c r="X443" s="732" t="n"/>
      <c r="Y443" s="728" t="n"/>
      <c r="Z443" s="729" t="n"/>
      <c r="AA443" s="730" t="n"/>
      <c r="AB443" s="731" t="n"/>
      <c r="AC443" s="732" t="n"/>
      <c r="AD443" s="719" t="inlineStr">
        <is>
          <t>No</t>
        </is>
      </c>
      <c r="AE443" s="733" t="n"/>
      <c r="AF443" s="733" t="n"/>
      <c r="AG443" s="733" t="n"/>
      <c r="AH443" s="733" t="n"/>
      <c r="AI443" s="719" t="n"/>
      <c r="AJ443" s="733" t="n"/>
      <c r="AK443" s="733" t="n"/>
      <c r="AL443" s="733" t="n"/>
      <c r="AM443" s="733" t="n"/>
      <c r="AN443" s="733" t="n"/>
      <c r="AO443" s="733" t="n"/>
      <c r="AP443" s="719" t="inlineStr">
        <is>
          <t>Pullback</t>
        </is>
      </c>
      <c r="AQ443" s="719" t="n"/>
      <c r="AR443" s="719" t="inlineStr">
        <is>
          <t>No</t>
        </is>
      </c>
      <c r="AS443" s="733" t="n"/>
      <c r="AT443" s="733" t="n"/>
      <c r="AU443" s="733" t="n"/>
      <c r="AV443" s="733" t="n"/>
      <c r="AW443" s="719" t="inlineStr">
        <is>
          <t>trade</t>
        </is>
      </c>
      <c r="AX443" s="734" t="inlineStr">
        <is>
          <t>sig:a70322ba7dc2677f1b5e7218</t>
        </is>
      </c>
    </row>
    <row r="444" ht="15" customHeight="1">
      <c r="A444" s="737" t="inlineStr">
        <is>
          <t>C223</t>
        </is>
      </c>
      <c r="B444" s="738" t="n">
        <v>44327.25347222222</v>
      </c>
      <c r="C444" s="739" t="n">
        <v>44328.41944444444</v>
      </c>
      <c r="D444" s="740" t="inlineStr">
        <is>
          <t>BYBIT</t>
        </is>
      </c>
      <c r="E444" s="740" t="inlineStr">
        <is>
          <t>BCHUSDT</t>
        </is>
      </c>
      <c r="F444" s="740" t="inlineStr">
        <is>
          <t>BUY</t>
        </is>
      </c>
      <c r="G444" s="775" t="n">
        <v>0.01</v>
      </c>
      <c r="H444" s="742" t="n">
        <v>1216.95</v>
      </c>
      <c r="I444" s="742" t="n">
        <v>1584.85</v>
      </c>
      <c r="J444" s="743" t="n">
        <v>1039.35</v>
      </c>
      <c r="K444" s="744" t="n">
        <v>0.1459386170343893</v>
      </c>
      <c r="L444" s="743" t="n">
        <v>1585.1</v>
      </c>
      <c r="M444" s="744" t="n">
        <v>0.3025185915608692</v>
      </c>
      <c r="N444" s="802" t="n">
        <v>0.02653963</v>
      </c>
      <c r="O444" s="746" t="n">
        <v>3.65159372</v>
      </c>
      <c r="P444" s="747" t="n">
        <v>0.01225741138170825</v>
      </c>
      <c r="Q444" s="748" t="n">
        <v>2.071509009009007</v>
      </c>
      <c r="R444" s="749" t="n">
        <v>301.5606388099999</v>
      </c>
      <c r="S444" s="740" t="inlineStr">
        <is>
          <t>1D 3H 59M 0S</t>
        </is>
      </c>
      <c r="T444" s="750" t="n"/>
      <c r="U444" s="751" t="n"/>
      <c r="V444" s="752" t="n"/>
      <c r="W444" s="753" t="n"/>
      <c r="X444" s="754" t="n"/>
      <c r="Y444" s="750" t="n"/>
      <c r="Z444" s="751" t="n"/>
      <c r="AA444" s="752" t="n"/>
      <c r="AB444" s="753" t="n"/>
      <c r="AC444" s="754" t="n"/>
      <c r="AD444" s="740" t="inlineStr">
        <is>
          <t>No</t>
        </is>
      </c>
      <c r="AE444" s="755" t="n"/>
      <c r="AF444" s="755" t="n"/>
      <c r="AG444" s="755" t="n"/>
      <c r="AH444" s="755" t="n"/>
      <c r="AI444" s="740" t="inlineStr">
        <is>
          <t>Limit</t>
        </is>
      </c>
      <c r="AJ444" s="755" t="n"/>
      <c r="AK444" s="755" t="n"/>
      <c r="AL444" s="755" t="n"/>
      <c r="AM444" s="755" t="n"/>
      <c r="AN444" s="755" t="n"/>
      <c r="AO444" s="755" t="n"/>
      <c r="AP444" s="740" t="inlineStr">
        <is>
          <t>Pullback</t>
        </is>
      </c>
      <c r="AQ444" s="740" t="inlineStr">
        <is>
          <t>4H</t>
        </is>
      </c>
      <c r="AR444" s="740" t="inlineStr">
        <is>
          <t>No</t>
        </is>
      </c>
      <c r="AS444" s="755" t="n"/>
      <c r="AT444" s="755" t="n"/>
      <c r="AU444" s="755" t="n"/>
      <c r="AV444" s="755" t="n"/>
      <c r="AW444" s="740" t="inlineStr">
        <is>
          <t>trade</t>
        </is>
      </c>
      <c r="AX444" s="756" t="inlineStr">
        <is>
          <t>sig:0daffdf4a72363f9e32a8882</t>
        </is>
      </c>
    </row>
    <row r="445" ht="15" customHeight="1">
      <c r="A445" s="737" t="inlineStr">
        <is>
          <t>C224</t>
        </is>
      </c>
      <c r="B445" s="738" t="n">
        <v>44327.25347222222</v>
      </c>
      <c r="C445" s="739" t="n">
        <v>44327.29583333333</v>
      </c>
      <c r="D445" s="740" t="inlineStr">
        <is>
          <t>BYBIT</t>
        </is>
      </c>
      <c r="E445" s="740" t="inlineStr">
        <is>
          <t>LTCUSDT</t>
        </is>
      </c>
      <c r="F445" s="740" t="inlineStr">
        <is>
          <t>BUY</t>
        </is>
      </c>
      <c r="G445" s="742" t="n">
        <v>0.2</v>
      </c>
      <c r="H445" s="742" t="n">
        <v>334.88</v>
      </c>
      <c r="I445" s="742" t="n">
        <v>365.39</v>
      </c>
      <c r="J445" s="743" t="n">
        <v>323.93</v>
      </c>
      <c r="K445" s="744" t="n">
        <v>0.03269827998088864</v>
      </c>
      <c r="L445" s="743" t="n">
        <v>365.4</v>
      </c>
      <c r="M445" s="744" t="n">
        <v>0.09113712374581935</v>
      </c>
      <c r="N445" s="802" t="n">
        <v>0.0380645</v>
      </c>
      <c r="O445" s="746" t="n">
        <v>6.06306885</v>
      </c>
      <c r="P445" s="747" t="n">
        <v>0.02077489272976656</v>
      </c>
      <c r="Q445" s="748" t="n">
        <v>2.786301369863016</v>
      </c>
      <c r="R445" s="749" t="n">
        <v>297.9090450899999</v>
      </c>
      <c r="S445" s="740" t="inlineStr">
        <is>
          <t>1H 1M 0S</t>
        </is>
      </c>
      <c r="T445" s="750" t="n"/>
      <c r="U445" s="751" t="n"/>
      <c r="V445" s="752" t="n"/>
      <c r="W445" s="753" t="n"/>
      <c r="X445" s="754" t="n"/>
      <c r="Y445" s="750" t="n"/>
      <c r="Z445" s="751" t="n"/>
      <c r="AA445" s="752" t="n"/>
      <c r="AB445" s="753" t="n"/>
      <c r="AC445" s="754" t="n"/>
      <c r="AD445" s="740" t="inlineStr">
        <is>
          <t>No</t>
        </is>
      </c>
      <c r="AE445" s="755" t="n"/>
      <c r="AF445" s="755" t="n"/>
      <c r="AG445" s="755" t="n"/>
      <c r="AH445" s="755" t="n"/>
      <c r="AI445" s="740" t="inlineStr">
        <is>
          <t>Limit</t>
        </is>
      </c>
      <c r="AJ445" s="755" t="n"/>
      <c r="AK445" s="755" t="n"/>
      <c r="AL445" s="755" t="n"/>
      <c r="AM445" s="755" t="n"/>
      <c r="AN445" s="755" t="n"/>
      <c r="AO445" s="755" t="n"/>
      <c r="AP445" s="740" t="inlineStr">
        <is>
          <t>Pullback</t>
        </is>
      </c>
      <c r="AQ445" s="740" t="inlineStr">
        <is>
          <t>4H</t>
        </is>
      </c>
      <c r="AR445" s="740" t="inlineStr">
        <is>
          <t>No</t>
        </is>
      </c>
      <c r="AS445" s="755" t="n"/>
      <c r="AT445" s="755" t="n"/>
      <c r="AU445" s="755" t="n"/>
      <c r="AV445" s="755" t="n"/>
      <c r="AW445" s="740" t="inlineStr">
        <is>
          <t>trade</t>
        </is>
      </c>
      <c r="AX445" s="756" t="inlineStr">
        <is>
          <t>sig:0f9020db66d6c87356810164</t>
        </is>
      </c>
    </row>
    <row r="446" ht="15" customHeight="1">
      <c r="A446" s="716" t="inlineStr">
        <is>
          <t>C212</t>
        </is>
      </c>
      <c r="B446" s="717" t="n">
        <v>44323.56180555555</v>
      </c>
      <c r="C446" s="718" t="n">
        <v>44327.25347222222</v>
      </c>
      <c r="D446" s="719" t="inlineStr">
        <is>
          <t>BYBIT</t>
        </is>
      </c>
      <c r="E446" s="719" t="inlineStr">
        <is>
          <t>UNIUSDT</t>
        </is>
      </c>
      <c r="F446" s="719" t="inlineStr">
        <is>
          <t>BUY</t>
        </is>
      </c>
      <c r="G446" s="720" t="n">
        <v>0.3</v>
      </c>
      <c r="H446" s="720" t="n">
        <v>38.458</v>
      </c>
      <c r="I446" s="720" t="n">
        <v>33.715</v>
      </c>
      <c r="J446" s="721" t="n">
        <v>33.811</v>
      </c>
      <c r="K446" s="722" t="n">
        <v>0.1208331166467315</v>
      </c>
      <c r="L446" s="721" t="n">
        <v>47.697</v>
      </c>
      <c r="M446" s="722" t="n">
        <v>0.2402361017213585</v>
      </c>
      <c r="N446" s="758" t="n">
        <v>0.15823073</v>
      </c>
      <c r="O446" s="724" t="n">
        <v>-1.58199738</v>
      </c>
      <c r="P446" s="725" t="n">
        <v>-0.005391433408624991</v>
      </c>
      <c r="Q446" s="726" t="n">
        <v>-1.020658489347966</v>
      </c>
      <c r="R446" s="727" t="n">
        <v>291.8459762399999</v>
      </c>
      <c r="S446" s="719" t="inlineStr">
        <is>
          <t>3D 16H 36M 0S</t>
        </is>
      </c>
      <c r="T446" s="728" t="n"/>
      <c r="U446" s="729" t="n"/>
      <c r="V446" s="730" t="n"/>
      <c r="W446" s="731" t="n"/>
      <c r="X446" s="732" t="n"/>
      <c r="Y446" s="728" t="n"/>
      <c r="Z446" s="729" t="n"/>
      <c r="AA446" s="730" t="n"/>
      <c r="AB446" s="731" t="n"/>
      <c r="AC446" s="732" t="n"/>
      <c r="AD446" s="719" t="inlineStr">
        <is>
          <t>No</t>
        </is>
      </c>
      <c r="AE446" s="733" t="n"/>
      <c r="AF446" s="733" t="n"/>
      <c r="AG446" s="733" t="n"/>
      <c r="AH446" s="733" t="n"/>
      <c r="AI446" s="719" t="inlineStr">
        <is>
          <t>Limit</t>
        </is>
      </c>
      <c r="AJ446" s="733" t="n"/>
      <c r="AK446" s="733" t="n"/>
      <c r="AL446" s="733" t="n"/>
      <c r="AM446" s="733" t="n"/>
      <c r="AN446" s="733" t="n"/>
      <c r="AO446" s="733" t="n"/>
      <c r="AP446" s="719" t="inlineStr">
        <is>
          <t>Pullback</t>
        </is>
      </c>
      <c r="AQ446" s="719" t="inlineStr">
        <is>
          <t>DAILY</t>
        </is>
      </c>
      <c r="AR446" s="719" t="inlineStr">
        <is>
          <t>No</t>
        </is>
      </c>
      <c r="AS446" s="733" t="n"/>
      <c r="AT446" s="733" t="n"/>
      <c r="AU446" s="733" t="n"/>
      <c r="AV446" s="733" t="n"/>
      <c r="AW446" s="719" t="inlineStr">
        <is>
          <t>trade</t>
        </is>
      </c>
      <c r="AX446" s="734" t="inlineStr">
        <is>
          <t>sig:ebd524e1e100aee485f7424e</t>
        </is>
      </c>
    </row>
    <row r="447" ht="15" customHeight="1">
      <c r="A447" s="716" t="inlineStr">
        <is>
          <t>C222</t>
        </is>
      </c>
      <c r="B447" s="717" t="n">
        <v>44327.24652777778</v>
      </c>
      <c r="C447" s="718" t="n">
        <v>44327.25138888889</v>
      </c>
      <c r="D447" s="719" t="inlineStr">
        <is>
          <t>BYBIT</t>
        </is>
      </c>
      <c r="E447" s="719" t="inlineStr">
        <is>
          <t>LINKUSDT</t>
        </is>
      </c>
      <c r="F447" s="719" t="inlineStr">
        <is>
          <t>BUY</t>
        </is>
      </c>
      <c r="G447" s="720" t="n">
        <v>1.1</v>
      </c>
      <c r="H447" s="720" t="n">
        <v>46.551</v>
      </c>
      <c r="I447" s="720" t="n">
        <v>45.161</v>
      </c>
      <c r="J447" s="721" t="n">
        <v>45.163</v>
      </c>
      <c r="K447" s="722" t="n">
        <v>0.02981676011256483</v>
      </c>
      <c r="L447" s="721" t="n">
        <v>51.241</v>
      </c>
      <c r="M447" s="722" t="n">
        <v>0.1007497153659427</v>
      </c>
      <c r="N447" s="723" t="n">
        <v>0.02445631</v>
      </c>
      <c r="O447" s="724" t="n">
        <v>-1.55432296</v>
      </c>
      <c r="P447" s="725" t="n">
        <v>-0.005269207603373798</v>
      </c>
      <c r="Q447" s="726" t="n">
        <v>-1.001440922190198</v>
      </c>
      <c r="R447" s="727" t="n">
        <v>293.4279736199999</v>
      </c>
      <c r="S447" s="719" t="inlineStr">
        <is>
          <t>7M 0S</t>
        </is>
      </c>
      <c r="T447" s="728" t="n"/>
      <c r="U447" s="729" t="n"/>
      <c r="V447" s="730" t="n"/>
      <c r="W447" s="731" t="n"/>
      <c r="X447" s="732" t="n"/>
      <c r="Y447" s="728" t="n"/>
      <c r="Z447" s="729" t="n"/>
      <c r="AA447" s="730" t="n"/>
      <c r="AB447" s="731" t="n"/>
      <c r="AC447" s="732" t="n"/>
      <c r="AD447" s="719" t="inlineStr">
        <is>
          <t>No</t>
        </is>
      </c>
      <c r="AE447" s="733" t="n"/>
      <c r="AF447" s="733" t="n"/>
      <c r="AG447" s="733" t="n"/>
      <c r="AH447" s="733" t="n"/>
      <c r="AI447" s="719" t="inlineStr">
        <is>
          <t>Limit</t>
        </is>
      </c>
      <c r="AJ447" s="733" t="n"/>
      <c r="AK447" s="733" t="n"/>
      <c r="AL447" s="733" t="n"/>
      <c r="AM447" s="733" t="n"/>
      <c r="AN447" s="733" t="n"/>
      <c r="AO447" s="733" t="n"/>
      <c r="AP447" s="719" t="inlineStr">
        <is>
          <t>Pullback</t>
        </is>
      </c>
      <c r="AQ447" s="719" t="inlineStr">
        <is>
          <t>4H</t>
        </is>
      </c>
      <c r="AR447" s="719" t="inlineStr">
        <is>
          <t>No</t>
        </is>
      </c>
      <c r="AS447" s="733" t="n"/>
      <c r="AT447" s="733" t="n"/>
      <c r="AU447" s="733" t="n"/>
      <c r="AV447" s="733" t="n"/>
      <c r="AW447" s="719" t="inlineStr">
        <is>
          <t>trade</t>
        </is>
      </c>
      <c r="AX447" s="734" t="inlineStr">
        <is>
          <t>sig:8e388ef4a8060631bc213611</t>
        </is>
      </c>
    </row>
    <row r="448" ht="15" customHeight="1">
      <c r="A448" s="716" t="inlineStr">
        <is>
          <t>C221</t>
        </is>
      </c>
      <c r="B448" s="717" t="n">
        <v>44327.24513888889</v>
      </c>
      <c r="C448" s="718" t="n">
        <v>44327.24722222222</v>
      </c>
      <c r="D448" s="719" t="inlineStr">
        <is>
          <t>BYBIT</t>
        </is>
      </c>
      <c r="E448" s="719" t="inlineStr">
        <is>
          <t>ETHUSDT</t>
        </is>
      </c>
      <c r="F448" s="719" t="inlineStr">
        <is>
          <t>BUY</t>
        </is>
      </c>
      <c r="G448" s="735" t="n">
        <v>0.03</v>
      </c>
      <c r="H448" s="720" t="n">
        <v>4046.6</v>
      </c>
      <c r="I448" s="720" t="n">
        <v>3985.05</v>
      </c>
      <c r="J448" s="721" t="n">
        <v>3985.35</v>
      </c>
      <c r="K448" s="722" t="n">
        <v>0.01513616369297682</v>
      </c>
      <c r="L448" s="721" t="n">
        <v>4169.05</v>
      </c>
      <c r="M448" s="722" t="n">
        <v>0.03025997133395944</v>
      </c>
      <c r="N448" s="723" t="n">
        <v>0.05931413</v>
      </c>
      <c r="O448" s="724" t="n">
        <v>-1.90668078</v>
      </c>
      <c r="P448" s="725" t="n">
        <v>-0.006422201312270372</v>
      </c>
      <c r="Q448" s="726" t="n">
        <v>-1.004897959183669</v>
      </c>
      <c r="R448" s="727" t="n">
        <v>294.9822965799999</v>
      </c>
      <c r="S448" s="719" t="inlineStr">
        <is>
          <t>3M 0S</t>
        </is>
      </c>
      <c r="T448" s="728" t="n"/>
      <c r="U448" s="729" t="n"/>
      <c r="V448" s="730" t="n"/>
      <c r="W448" s="731" t="n"/>
      <c r="X448" s="732" t="n"/>
      <c r="Y448" s="728" t="n"/>
      <c r="Z448" s="729" t="n"/>
      <c r="AA448" s="730" t="n"/>
      <c r="AB448" s="731" t="n"/>
      <c r="AC448" s="732" t="n"/>
      <c r="AD448" s="719" t="inlineStr">
        <is>
          <t>No</t>
        </is>
      </c>
      <c r="AE448" s="733" t="n"/>
      <c r="AF448" s="733" t="n"/>
      <c r="AG448" s="733" t="n"/>
      <c r="AH448" s="733" t="n"/>
      <c r="AI448" s="719" t="inlineStr">
        <is>
          <t>Limit</t>
        </is>
      </c>
      <c r="AJ448" s="733" t="n"/>
      <c r="AK448" s="733" t="n"/>
      <c r="AL448" s="733" t="n"/>
      <c r="AM448" s="733" t="n"/>
      <c r="AN448" s="733" t="n"/>
      <c r="AO448" s="733" t="n"/>
      <c r="AP448" s="719" t="inlineStr">
        <is>
          <t>Pullback</t>
        </is>
      </c>
      <c r="AQ448" s="719" t="inlineStr">
        <is>
          <t>1H</t>
        </is>
      </c>
      <c r="AR448" s="719" t="inlineStr">
        <is>
          <t>No</t>
        </is>
      </c>
      <c r="AS448" s="733" t="n"/>
      <c r="AT448" s="733" t="n"/>
      <c r="AU448" s="733" t="n"/>
      <c r="AV448" s="733" t="n"/>
      <c r="AW448" s="719" t="inlineStr">
        <is>
          <t>trade</t>
        </is>
      </c>
      <c r="AX448" s="734" t="inlineStr">
        <is>
          <t>sig:c91bf2fee73f216f88af9ce3</t>
        </is>
      </c>
    </row>
    <row r="449" ht="15" customHeight="1">
      <c r="A449" s="716" t="inlineStr">
        <is>
          <t>C220</t>
        </is>
      </c>
      <c r="B449" s="717" t="n">
        <v>44327.23611111111</v>
      </c>
      <c r="C449" s="718" t="n">
        <v>44327.24583333333</v>
      </c>
      <c r="D449" s="719" t="inlineStr">
        <is>
          <t>BYBIT</t>
        </is>
      </c>
      <c r="E449" s="719" t="inlineStr">
        <is>
          <t>ADAUSDT</t>
        </is>
      </c>
      <c r="F449" s="719" t="inlineStr">
        <is>
          <t>BUY</t>
        </is>
      </c>
      <c r="G449" s="720" t="n">
        <v>20</v>
      </c>
      <c r="H449" s="720" t="n">
        <v>1.6976</v>
      </c>
      <c r="I449" s="720" t="n">
        <v>1.6235</v>
      </c>
      <c r="J449" s="721" t="n">
        <v>1.6211</v>
      </c>
      <c r="K449" s="722" t="n">
        <v>0.04506361922714421</v>
      </c>
      <c r="L449" s="721" t="n">
        <v>1.8878</v>
      </c>
      <c r="M449" s="722" t="n">
        <v>0.1120405278039585</v>
      </c>
      <c r="N449" s="723" t="n">
        <v>0.0158645</v>
      </c>
      <c r="O449" s="724" t="n">
        <v>-1.49873115</v>
      </c>
      <c r="P449" s="725" t="n">
        <v>-0.005022764367486581</v>
      </c>
      <c r="Q449" s="726" t="n">
        <v>-0.9686274509803927</v>
      </c>
      <c r="R449" s="727" t="n">
        <v>296.8889773599999</v>
      </c>
      <c r="S449" s="719" t="inlineStr">
        <is>
          <t>14M 0S</t>
        </is>
      </c>
      <c r="T449" s="728" t="n"/>
      <c r="U449" s="729" t="n"/>
      <c r="V449" s="730" t="n"/>
      <c r="W449" s="731" t="n"/>
      <c r="X449" s="732" t="n"/>
      <c r="Y449" s="728" t="n"/>
      <c r="Z449" s="729" t="n"/>
      <c r="AA449" s="730" t="n"/>
      <c r="AB449" s="731" t="n"/>
      <c r="AC449" s="732" t="n"/>
      <c r="AD449" s="719" t="inlineStr">
        <is>
          <t>No</t>
        </is>
      </c>
      <c r="AE449" s="733" t="n"/>
      <c r="AF449" s="733" t="n"/>
      <c r="AG449" s="733" t="n"/>
      <c r="AH449" s="733" t="n"/>
      <c r="AI449" s="719" t="inlineStr">
        <is>
          <t>Limit</t>
        </is>
      </c>
      <c r="AJ449" s="733" t="n"/>
      <c r="AK449" s="733" t="n"/>
      <c r="AL449" s="733" t="n"/>
      <c r="AM449" s="733" t="n"/>
      <c r="AN449" s="733" t="n"/>
      <c r="AO449" s="733" t="n"/>
      <c r="AP449" s="719" t="inlineStr">
        <is>
          <t>Pullback</t>
        </is>
      </c>
      <c r="AQ449" s="719" t="inlineStr">
        <is>
          <t>4H</t>
        </is>
      </c>
      <c r="AR449" s="719" t="inlineStr">
        <is>
          <t>No</t>
        </is>
      </c>
      <c r="AS449" s="733" t="n"/>
      <c r="AT449" s="733" t="n"/>
      <c r="AU449" s="733" t="n"/>
      <c r="AV449" s="733" t="n"/>
      <c r="AW449" s="719" t="inlineStr">
        <is>
          <t>trade</t>
        </is>
      </c>
      <c r="AX449" s="734" t="inlineStr">
        <is>
          <t>sig:b5b85338f6bae264861edd03</t>
        </is>
      </c>
    </row>
    <row r="450" ht="15" customHeight="1">
      <c r="A450" s="716" t="inlineStr">
        <is>
          <t>C219</t>
        </is>
      </c>
      <c r="B450" s="717" t="n">
        <v>44326.0625</v>
      </c>
      <c r="C450" s="718" t="n">
        <v>44326.22013888889</v>
      </c>
      <c r="D450" s="719" t="inlineStr">
        <is>
          <t>BYBIT</t>
        </is>
      </c>
      <c r="E450" s="719" t="inlineStr">
        <is>
          <t>ADAUSDT</t>
        </is>
      </c>
      <c r="F450" s="719" t="inlineStr">
        <is>
          <t>BUY</t>
        </is>
      </c>
      <c r="G450" s="720" t="n">
        <v>87</v>
      </c>
      <c r="H450" s="720" t="n">
        <v>1.7901</v>
      </c>
      <c r="I450" s="720" t="n">
        <v>1.7866</v>
      </c>
      <c r="J450" s="721" t="n">
        <v>1.773</v>
      </c>
      <c r="K450" s="722" t="n">
        <v>0.009552538964303735</v>
      </c>
      <c r="L450" s="721" t="n">
        <v>1.8412</v>
      </c>
      <c r="M450" s="722" t="n">
        <v>0.02854589129098929</v>
      </c>
      <c r="N450" s="758" t="n">
        <v>0.13659822</v>
      </c>
      <c r="O450" s="724" t="n">
        <v>-0.44196487</v>
      </c>
      <c r="P450" s="725" t="n">
        <v>-0.001478985888519797</v>
      </c>
      <c r="Q450" s="726" t="n">
        <v>-0.2046783625731015</v>
      </c>
      <c r="R450" s="727" t="n">
        <v>298.3877085099999</v>
      </c>
      <c r="S450" s="719" t="inlineStr">
        <is>
          <t>3H 47M 0S</t>
        </is>
      </c>
      <c r="T450" s="717" t="n">
        <v>44325.74097222222</v>
      </c>
      <c r="U450" s="806" t="inlineStr">
        <is>
          <t>2H 17M 0S</t>
        </is>
      </c>
      <c r="V450" s="730" t="n"/>
      <c r="W450" s="731" t="n"/>
      <c r="X450" s="732" t="n"/>
      <c r="Y450" s="728" t="n"/>
      <c r="Z450" s="729" t="n"/>
      <c r="AA450" s="730" t="n"/>
      <c r="AB450" s="731" t="n"/>
      <c r="AC450" s="732" t="n"/>
      <c r="AD450" s="719" t="inlineStr">
        <is>
          <t>No</t>
        </is>
      </c>
      <c r="AE450" s="733" t="n"/>
      <c r="AF450" s="733" t="n"/>
      <c r="AG450" s="733" t="n"/>
      <c r="AH450" s="733" t="n"/>
      <c r="AI450" s="719" t="inlineStr">
        <is>
          <t>Limit</t>
        </is>
      </c>
      <c r="AJ450" s="733" t="n"/>
      <c r="AK450" s="733" t="n"/>
      <c r="AL450" s="733" t="n"/>
      <c r="AM450" s="733" t="n"/>
      <c r="AN450" s="733" t="n"/>
      <c r="AO450" s="733" t="n"/>
      <c r="AP450" s="719" t="inlineStr">
        <is>
          <t>Pullback</t>
        </is>
      </c>
      <c r="AQ450" s="719" t="inlineStr">
        <is>
          <t>15MIN</t>
        </is>
      </c>
      <c r="AR450" s="719" t="inlineStr">
        <is>
          <t>No</t>
        </is>
      </c>
      <c r="AS450" s="733" t="n"/>
      <c r="AT450" s="733" t="n"/>
      <c r="AU450" s="733" t="n"/>
      <c r="AV450" s="733" t="n"/>
      <c r="AW450" s="719" t="inlineStr">
        <is>
          <t>trade</t>
        </is>
      </c>
      <c r="AX450" s="734" t="inlineStr">
        <is>
          <t>sig:5e837c7be86974d876e401f5</t>
        </is>
      </c>
    </row>
    <row r="451" ht="15" customHeight="1">
      <c r="A451" s="716" t="inlineStr">
        <is>
          <t>C218</t>
        </is>
      </c>
      <c r="B451" s="717" t="n">
        <v>44326.04236111111</v>
      </c>
      <c r="C451" s="718" t="n">
        <v>44326.04930555556</v>
      </c>
      <c r="D451" s="719" t="inlineStr">
        <is>
          <t>BYBIT</t>
        </is>
      </c>
      <c r="E451" s="719" t="inlineStr">
        <is>
          <t>ADAUSDT</t>
        </is>
      </c>
      <c r="F451" s="719" t="inlineStr">
        <is>
          <t>BUY</t>
        </is>
      </c>
      <c r="G451" s="720" t="n">
        <v>104</v>
      </c>
      <c r="H451" s="720" t="n">
        <v>1.8035</v>
      </c>
      <c r="I451" s="720" t="n">
        <v>1.7866</v>
      </c>
      <c r="J451" s="721" t="n">
        <v>1.7891</v>
      </c>
      <c r="K451" s="722" t="n">
        <v>0.007984474632658825</v>
      </c>
      <c r="L451" s="721" t="n">
        <v>1.8393</v>
      </c>
      <c r="M451" s="722" t="n">
        <v>0.01985029110063756</v>
      </c>
      <c r="N451" s="723" t="n">
        <v>0.046891</v>
      </c>
      <c r="O451" s="724" t="n">
        <v>-1.71157565</v>
      </c>
      <c r="P451" s="725" t="n">
        <v>-0.005694977496513803</v>
      </c>
      <c r="Q451" s="726" t="n">
        <v>-1.173611111111105</v>
      </c>
      <c r="R451" s="727" t="n">
        <v>298.8296733799999</v>
      </c>
      <c r="S451" s="719" t="inlineStr">
        <is>
          <t>10M 0S</t>
        </is>
      </c>
      <c r="T451" s="728" t="n"/>
      <c r="U451" s="729" t="n"/>
      <c r="V451" s="730" t="n"/>
      <c r="W451" s="731" t="n"/>
      <c r="X451" s="732" t="n"/>
      <c r="Y451" s="728" t="n"/>
      <c r="Z451" s="729" t="n"/>
      <c r="AA451" s="730" t="n"/>
      <c r="AB451" s="731" t="n"/>
      <c r="AC451" s="732" t="n"/>
      <c r="AD451" s="719" t="inlineStr">
        <is>
          <t>No</t>
        </is>
      </c>
      <c r="AE451" s="733" t="n"/>
      <c r="AF451" s="733" t="n"/>
      <c r="AG451" s="733" t="n"/>
      <c r="AH451" s="733" t="n"/>
      <c r="AI451" s="719" t="inlineStr">
        <is>
          <t>Limit</t>
        </is>
      </c>
      <c r="AJ451" s="733" t="n"/>
      <c r="AK451" s="733" t="n"/>
      <c r="AL451" s="733" t="n"/>
      <c r="AM451" s="733" t="n"/>
      <c r="AN451" s="733" t="n"/>
      <c r="AO451" s="733" t="n"/>
      <c r="AP451" s="719" t="inlineStr">
        <is>
          <t>Pullback</t>
        </is>
      </c>
      <c r="AQ451" s="719" t="inlineStr">
        <is>
          <t>5MIN</t>
        </is>
      </c>
      <c r="AR451" s="719" t="inlineStr">
        <is>
          <t>No</t>
        </is>
      </c>
      <c r="AS451" s="733" t="n"/>
      <c r="AT451" s="733" t="n"/>
      <c r="AU451" s="733" t="n"/>
      <c r="AV451" s="733" t="n"/>
      <c r="AW451" s="719" t="inlineStr">
        <is>
          <t>trade</t>
        </is>
      </c>
      <c r="AX451" s="734" t="inlineStr">
        <is>
          <t>sig:c256810c1cc7bd239463f235</t>
        </is>
      </c>
    </row>
    <row r="452" ht="15" customHeight="1">
      <c r="A452" s="737" t="inlineStr">
        <is>
          <t>C215</t>
        </is>
      </c>
      <c r="B452" s="738" t="n">
        <v>44325.59375</v>
      </c>
      <c r="C452" s="739" t="n">
        <v>44326.03541666667</v>
      </c>
      <c r="D452" s="740" t="inlineStr">
        <is>
          <t>BYBIT</t>
        </is>
      </c>
      <c r="E452" s="740" t="inlineStr">
        <is>
          <t>LINKUSDT</t>
        </is>
      </c>
      <c r="F452" s="740" t="inlineStr">
        <is>
          <t>BUY</t>
        </is>
      </c>
      <c r="G452" s="742" t="n">
        <v>1.1</v>
      </c>
      <c r="H452" s="742" t="n">
        <v>46.125</v>
      </c>
      <c r="I452" s="742" t="n">
        <v>49.818</v>
      </c>
      <c r="J452" s="743" t="n">
        <v>44.752</v>
      </c>
      <c r="K452" s="744" t="n">
        <v>0.02976693766937664</v>
      </c>
      <c r="L452" s="743" t="n">
        <v>49.837</v>
      </c>
      <c r="M452" s="744" t="n">
        <v>0.08047696476964777</v>
      </c>
      <c r="N452" s="802" t="n">
        <v>0.07463599999999999</v>
      </c>
      <c r="O452" s="746" t="n">
        <v>4.13606935</v>
      </c>
      <c r="P452" s="747" t="n">
        <v>0.0139541061814956</v>
      </c>
      <c r="Q452" s="748" t="n">
        <v>2.689730517115808</v>
      </c>
      <c r="R452" s="749" t="n">
        <v>300.5412490299999</v>
      </c>
      <c r="S452" s="740" t="inlineStr">
        <is>
          <t>10H 36M 0S</t>
        </is>
      </c>
      <c r="T452" s="750" t="n"/>
      <c r="U452" s="751" t="n"/>
      <c r="V452" s="752" t="n"/>
      <c r="W452" s="753" t="n"/>
      <c r="X452" s="754" t="n"/>
      <c r="Y452" s="750" t="n"/>
      <c r="Z452" s="751" t="n"/>
      <c r="AA452" s="752" t="n"/>
      <c r="AB452" s="753" t="n"/>
      <c r="AC452" s="754" t="n"/>
      <c r="AD452" s="740" t="inlineStr">
        <is>
          <t>No</t>
        </is>
      </c>
      <c r="AE452" s="755" t="n"/>
      <c r="AF452" s="755" t="n"/>
      <c r="AG452" s="755" t="n"/>
      <c r="AH452" s="755" t="n"/>
      <c r="AI452" s="740" t="inlineStr">
        <is>
          <t>Limit</t>
        </is>
      </c>
      <c r="AJ452" s="755" t="n"/>
      <c r="AK452" s="755" t="n"/>
      <c r="AL452" s="755" t="n"/>
      <c r="AM452" s="755" t="n"/>
      <c r="AN452" s="755" t="n"/>
      <c r="AO452" s="755" t="n"/>
      <c r="AP452" s="740" t="inlineStr">
        <is>
          <t>Pullback</t>
        </is>
      </c>
      <c r="AQ452" s="740" t="inlineStr">
        <is>
          <t>4H</t>
        </is>
      </c>
      <c r="AR452" s="740" t="inlineStr">
        <is>
          <t>No</t>
        </is>
      </c>
      <c r="AS452" s="755" t="n"/>
      <c r="AT452" s="755" t="n"/>
      <c r="AU452" s="755" t="n"/>
      <c r="AV452" s="755" t="n"/>
      <c r="AW452" s="740" t="inlineStr">
        <is>
          <t>trade</t>
        </is>
      </c>
      <c r="AX452" s="756" t="inlineStr">
        <is>
          <t>sig:d8788b1a72c88070bd465f5d</t>
        </is>
      </c>
    </row>
    <row r="453" ht="15" customHeight="1">
      <c r="A453" s="716" t="inlineStr">
        <is>
          <t>C217</t>
        </is>
      </c>
      <c r="B453" s="717" t="n">
        <v>44326.03125</v>
      </c>
      <c r="C453" s="718" t="n">
        <v>44326.03472222222</v>
      </c>
      <c r="D453" s="719" t="inlineStr">
        <is>
          <t>BYBIT</t>
        </is>
      </c>
      <c r="E453" s="719" t="inlineStr">
        <is>
          <t>ADAUSDT</t>
        </is>
      </c>
      <c r="F453" s="719" t="inlineStr">
        <is>
          <t>BUY</t>
        </is>
      </c>
      <c r="G453" s="720" t="n">
        <v>199</v>
      </c>
      <c r="H453" s="720" t="n">
        <v>1.8137</v>
      </c>
      <c r="I453" s="720" t="n">
        <v>1.804675</v>
      </c>
      <c r="J453" s="721" t="n">
        <v>1.805</v>
      </c>
      <c r="K453" s="722" t="n">
        <v>0.004796824171583036</v>
      </c>
      <c r="L453" s="721" t="n"/>
      <c r="M453" s="722" t="n"/>
      <c r="N453" s="758" t="n">
        <v>0.13802756</v>
      </c>
      <c r="O453" s="724" t="n">
        <v>-1.91989421</v>
      </c>
      <c r="P453" s="725" t="n">
        <v>-0.006435577757395994</v>
      </c>
      <c r="Q453" s="726" t="n">
        <v>-1.037356321839069</v>
      </c>
      <c r="R453" s="727" t="n">
        <v>296.4051796799999</v>
      </c>
      <c r="S453" s="719" t="inlineStr">
        <is>
          <t>5M 0S</t>
        </is>
      </c>
      <c r="T453" s="728" t="n"/>
      <c r="U453" s="729" t="n"/>
      <c r="V453" s="730" t="n"/>
      <c r="W453" s="731" t="n"/>
      <c r="X453" s="732" t="n"/>
      <c r="Y453" s="728" t="n"/>
      <c r="Z453" s="729" t="n"/>
      <c r="AA453" s="730" t="n"/>
      <c r="AB453" s="731" t="n"/>
      <c r="AC453" s="732" t="n"/>
      <c r="AD453" s="719" t="inlineStr">
        <is>
          <t>No</t>
        </is>
      </c>
      <c r="AE453" s="733" t="n"/>
      <c r="AF453" s="733" t="n"/>
      <c r="AG453" s="733" t="n"/>
      <c r="AH453" s="733" t="n"/>
      <c r="AI453" s="719" t="inlineStr">
        <is>
          <t>Limit</t>
        </is>
      </c>
      <c r="AJ453" s="733" t="n"/>
      <c r="AK453" s="733" t="n"/>
      <c r="AL453" s="733" t="n"/>
      <c r="AM453" s="733" t="n"/>
      <c r="AN453" s="733" t="n"/>
      <c r="AO453" s="733" t="n"/>
      <c r="AP453" s="719" t="inlineStr">
        <is>
          <t>Pullback</t>
        </is>
      </c>
      <c r="AQ453" s="733" t="n"/>
      <c r="AR453" s="719" t="inlineStr">
        <is>
          <t>No</t>
        </is>
      </c>
      <c r="AS453" s="733" t="n"/>
      <c r="AT453" s="733" t="n"/>
      <c r="AU453" s="733" t="n"/>
      <c r="AV453" s="733" t="n"/>
      <c r="AW453" s="719" t="inlineStr">
        <is>
          <t>trade</t>
        </is>
      </c>
      <c r="AX453" s="734" t="inlineStr">
        <is>
          <t>sig:c0cfd86669e5b93b4a103d39</t>
        </is>
      </c>
    </row>
    <row r="454" ht="15" customHeight="1">
      <c r="A454" s="716" t="inlineStr">
        <is>
          <t>C216</t>
        </is>
      </c>
      <c r="B454" s="717" t="n">
        <v>44325.91875</v>
      </c>
      <c r="C454" s="718" t="n">
        <v>44325.92569444444</v>
      </c>
      <c r="D454" s="719" t="inlineStr">
        <is>
          <t>BYBIT</t>
        </is>
      </c>
      <c r="E454" s="719" t="inlineStr">
        <is>
          <t>ETHUSDT</t>
        </is>
      </c>
      <c r="F454" s="719" t="inlineStr">
        <is>
          <t>BUY</t>
        </is>
      </c>
      <c r="G454" s="735" t="n">
        <v>0.05</v>
      </c>
      <c r="H454" s="720" t="n">
        <v>3846.4</v>
      </c>
      <c r="I454" s="720" t="n">
        <v>3813.2</v>
      </c>
      <c r="J454" s="721" t="n">
        <v>3813.5</v>
      </c>
      <c r="K454" s="722" t="n">
        <v>0.008553452579034965</v>
      </c>
      <c r="L454" s="721" t="n">
        <v>3941.1</v>
      </c>
      <c r="M454" s="722" t="n">
        <v>0.02462042429284521</v>
      </c>
      <c r="N454" s="758" t="n">
        <v>0.17444398</v>
      </c>
      <c r="O454" s="724" t="n">
        <v>-1.48642267</v>
      </c>
      <c r="P454" s="725" t="n">
        <v>-0.004957857477298337</v>
      </c>
      <c r="Q454" s="726" t="n">
        <v>-1.00911854103344</v>
      </c>
      <c r="R454" s="727" t="n">
        <v>298.3250738899999</v>
      </c>
      <c r="S454" s="719" t="inlineStr">
        <is>
          <t>10M 0S</t>
        </is>
      </c>
      <c r="T454" s="728" t="n"/>
      <c r="U454" s="729" t="n"/>
      <c r="V454" s="730" t="n"/>
      <c r="W454" s="731" t="n"/>
      <c r="X454" s="732" t="n"/>
      <c r="Y454" s="728" t="n"/>
      <c r="Z454" s="729" t="n"/>
      <c r="AA454" s="730" t="n"/>
      <c r="AB454" s="731" t="n"/>
      <c r="AC454" s="732" t="n"/>
      <c r="AD454" s="719" t="inlineStr">
        <is>
          <t>No</t>
        </is>
      </c>
      <c r="AE454" s="733" t="n"/>
      <c r="AF454" s="733" t="n"/>
      <c r="AG454" s="733" t="n"/>
      <c r="AH454" s="733" t="n"/>
      <c r="AI454" s="719" t="inlineStr">
        <is>
          <t>Limit</t>
        </is>
      </c>
      <c r="AJ454" s="733" t="n"/>
      <c r="AK454" s="733" t="n"/>
      <c r="AL454" s="733" t="n"/>
      <c r="AM454" s="733" t="n"/>
      <c r="AN454" s="733" t="n"/>
      <c r="AO454" s="733" t="n"/>
      <c r="AP454" s="719" t="inlineStr">
        <is>
          <t>Pullback</t>
        </is>
      </c>
      <c r="AQ454" s="719" t="inlineStr">
        <is>
          <t>15MIN</t>
        </is>
      </c>
      <c r="AR454" s="719" t="inlineStr">
        <is>
          <t>No</t>
        </is>
      </c>
      <c r="AS454" s="733" t="n"/>
      <c r="AT454" s="733" t="n"/>
      <c r="AU454" s="733" t="n"/>
      <c r="AV454" s="733" t="n"/>
      <c r="AW454" s="719" t="inlineStr">
        <is>
          <t>trade</t>
        </is>
      </c>
      <c r="AX454" s="734" t="inlineStr">
        <is>
          <t>sig:4692d235066be988845a19fa</t>
        </is>
      </c>
    </row>
    <row r="455" ht="15" customHeight="1">
      <c r="A455" s="737" t="inlineStr">
        <is>
          <t>C214</t>
        </is>
      </c>
      <c r="B455" s="738" t="n">
        <v>44325.29305555556</v>
      </c>
      <c r="C455" s="739" t="n">
        <v>44325.35416666666</v>
      </c>
      <c r="D455" s="740" t="inlineStr">
        <is>
          <t>BYBIT</t>
        </is>
      </c>
      <c r="E455" s="740" t="inlineStr">
        <is>
          <t>LTCUSDT</t>
        </is>
      </c>
      <c r="F455" s="740" t="inlineStr">
        <is>
          <t>BUY</t>
        </is>
      </c>
      <c r="G455" s="742" t="n">
        <v>0.5</v>
      </c>
      <c r="H455" s="742" t="n">
        <v>345.39</v>
      </c>
      <c r="I455" s="742" t="n">
        <v>352.84</v>
      </c>
      <c r="J455" s="743" t="n">
        <v>341.78</v>
      </c>
      <c r="K455" s="744" t="n">
        <v>0.01045195286487743</v>
      </c>
      <c r="L455" s="743" t="n">
        <v>352.87</v>
      </c>
      <c r="M455" s="744" t="n">
        <v>0.02165667795825015</v>
      </c>
      <c r="N455" s="802" t="n">
        <v>0.04317375</v>
      </c>
      <c r="O455" s="746" t="n">
        <v>3.7673071</v>
      </c>
      <c r="P455" s="747" t="n">
        <v>0.01272548907942346</v>
      </c>
      <c r="Q455" s="748" t="n">
        <v>2.06371191135733</v>
      </c>
      <c r="R455" s="749" t="n">
        <v>299.8114965599999</v>
      </c>
      <c r="S455" s="740" t="inlineStr">
        <is>
          <t>1H 28M 0S</t>
        </is>
      </c>
      <c r="T455" s="750" t="n"/>
      <c r="U455" s="751" t="n"/>
      <c r="V455" s="752" t="n"/>
      <c r="W455" s="753" t="n"/>
      <c r="X455" s="754" t="n"/>
      <c r="Y455" s="750" t="n"/>
      <c r="Z455" s="751" t="n"/>
      <c r="AA455" s="752" t="n"/>
      <c r="AB455" s="753" t="n"/>
      <c r="AC455" s="754" t="n"/>
      <c r="AD455" s="740" t="inlineStr">
        <is>
          <t>No</t>
        </is>
      </c>
      <c r="AE455" s="755" t="n"/>
      <c r="AF455" s="755" t="n"/>
      <c r="AG455" s="755" t="n"/>
      <c r="AH455" s="755" t="n"/>
      <c r="AI455" s="740" t="inlineStr">
        <is>
          <t>Limit</t>
        </is>
      </c>
      <c r="AJ455" s="755" t="n"/>
      <c r="AK455" s="755" t="n"/>
      <c r="AL455" s="755" t="n"/>
      <c r="AM455" s="755" t="n"/>
      <c r="AN455" s="755" t="n"/>
      <c r="AO455" s="755" t="n"/>
      <c r="AP455" s="740" t="inlineStr">
        <is>
          <t>Pullback</t>
        </is>
      </c>
      <c r="AQ455" s="740" t="inlineStr">
        <is>
          <t>5MIN</t>
        </is>
      </c>
      <c r="AR455" s="740" t="inlineStr">
        <is>
          <t>No</t>
        </is>
      </c>
      <c r="AS455" s="755" t="n"/>
      <c r="AT455" s="755" t="n"/>
      <c r="AU455" s="755" t="n"/>
      <c r="AV455" s="755" t="n"/>
      <c r="AW455" s="740" t="inlineStr">
        <is>
          <t>trade</t>
        </is>
      </c>
      <c r="AX455" s="756" t="inlineStr">
        <is>
          <t>sig:26bdedc4b9b1199ff9e26f17</t>
        </is>
      </c>
    </row>
    <row r="456" ht="15" customHeight="1">
      <c r="A456" s="716" t="inlineStr">
        <is>
          <t>C213</t>
        </is>
      </c>
      <c r="B456" s="717" t="n">
        <v>44324.21111111111</v>
      </c>
      <c r="C456" s="718" t="n">
        <v>44324.32638888889</v>
      </c>
      <c r="D456" s="719" t="inlineStr">
        <is>
          <t>BYBIT</t>
        </is>
      </c>
      <c r="E456" s="719" t="inlineStr">
        <is>
          <t>LINKUSDT</t>
        </is>
      </c>
      <c r="F456" s="719" t="inlineStr">
        <is>
          <t>BUY</t>
        </is>
      </c>
      <c r="G456" s="720" t="n">
        <v>2.2</v>
      </c>
      <c r="H456" s="720" t="n">
        <v>49.95</v>
      </c>
      <c r="I456" s="720" t="n">
        <v>49.245</v>
      </c>
      <c r="J456" s="721" t="n">
        <v>49.266</v>
      </c>
      <c r="K456" s="722" t="n">
        <v>0.01369369369369378</v>
      </c>
      <c r="L456" s="721" t="n">
        <v>51.83</v>
      </c>
      <c r="M456" s="722" t="n">
        <v>0.03763763763763754</v>
      </c>
      <c r="N456" s="723" t="n">
        <v>0.0274725</v>
      </c>
      <c r="O456" s="724" t="n">
        <v>-1.52439415</v>
      </c>
      <c r="P456" s="725" t="n">
        <v>-0.005122832966795666</v>
      </c>
      <c r="Q456" s="726" t="n">
        <v>-1.030701754385966</v>
      </c>
      <c r="R456" s="727" t="n">
        <v>296.0441894599999</v>
      </c>
      <c r="S456" s="719" t="inlineStr">
        <is>
          <t>2H 46M 0S</t>
        </is>
      </c>
      <c r="T456" s="717" t="n"/>
      <c r="U456" s="806" t="n"/>
      <c r="V456" s="730" t="n"/>
      <c r="W456" s="731" t="n"/>
      <c r="X456" s="732" t="n"/>
      <c r="Y456" s="728" t="n"/>
      <c r="Z456" s="729" t="n"/>
      <c r="AA456" s="730" t="n"/>
      <c r="AB456" s="731" t="n"/>
      <c r="AC456" s="732" t="n"/>
      <c r="AD456" s="719" t="inlineStr">
        <is>
          <t>No</t>
        </is>
      </c>
      <c r="AE456" s="733" t="n"/>
      <c r="AF456" s="733" t="n"/>
      <c r="AG456" s="733" t="n"/>
      <c r="AH456" s="733" t="n"/>
      <c r="AI456" s="719" t="inlineStr">
        <is>
          <t>Limit</t>
        </is>
      </c>
      <c r="AJ456" s="733" t="n"/>
      <c r="AK456" s="733" t="n"/>
      <c r="AL456" s="733" t="n"/>
      <c r="AM456" s="733" t="n"/>
      <c r="AN456" s="733" t="n"/>
      <c r="AO456" s="733" t="n"/>
      <c r="AP456" s="719" t="inlineStr">
        <is>
          <t>Pullback</t>
        </is>
      </c>
      <c r="AQ456" s="719" t="inlineStr">
        <is>
          <t>1H</t>
        </is>
      </c>
      <c r="AR456" s="719" t="inlineStr">
        <is>
          <t>No</t>
        </is>
      </c>
      <c r="AS456" s="733" t="n"/>
      <c r="AT456" s="733" t="n"/>
      <c r="AU456" s="733" t="n"/>
      <c r="AV456" s="733" t="n"/>
      <c r="AW456" s="719" t="inlineStr">
        <is>
          <t>trade</t>
        </is>
      </c>
      <c r="AX456" s="734" t="inlineStr">
        <is>
          <t>sig:9ce61858ac722ecf444c0ade</t>
        </is>
      </c>
    </row>
    <row r="457" ht="15" customHeight="1">
      <c r="A457" s="737" t="inlineStr">
        <is>
          <t>C192</t>
        </is>
      </c>
      <c r="B457" s="738" t="n">
        <v>44309.49305555555</v>
      </c>
      <c r="C457" s="739" t="n">
        <v>44322.95</v>
      </c>
      <c r="D457" s="740" t="inlineStr">
        <is>
          <t>BYBIT</t>
        </is>
      </c>
      <c r="E457" s="740" t="inlineStr">
        <is>
          <t>XTZUSDT</t>
        </is>
      </c>
      <c r="F457" s="740" t="inlineStr">
        <is>
          <t>BUY</t>
        </is>
      </c>
      <c r="G457" s="742" t="n">
        <v>1.5</v>
      </c>
      <c r="H457" s="742" t="n">
        <v>4.592</v>
      </c>
      <c r="I457" s="742" t="n">
        <v>7.195</v>
      </c>
      <c r="J457" s="743" t="n">
        <v>3.611</v>
      </c>
      <c r="K457" s="744" t="n">
        <v>0.2136324041811846</v>
      </c>
      <c r="L457" s="743" t="n">
        <v>7.206</v>
      </c>
      <c r="M457" s="744" t="n">
        <v>0.5692508710801396</v>
      </c>
      <c r="N457" s="745" t="n">
        <v>0.18308977</v>
      </c>
      <c r="O457" s="746" t="n">
        <v>3.72054358</v>
      </c>
      <c r="P457" s="747" t="n">
        <v>0.01266145447020902</v>
      </c>
      <c r="Q457" s="748" t="n">
        <v>2.653414882772683</v>
      </c>
      <c r="R457" s="749" t="n">
        <v>297.5685836099999</v>
      </c>
      <c r="S457" s="740" t="inlineStr">
        <is>
          <t>13D 10H 58M 0S</t>
        </is>
      </c>
      <c r="T457" s="750" t="n"/>
      <c r="U457" s="751" t="n"/>
      <c r="V457" s="752" t="n"/>
      <c r="W457" s="753" t="n"/>
      <c r="X457" s="754" t="n"/>
      <c r="Y457" s="750" t="n"/>
      <c r="Z457" s="751" t="n"/>
      <c r="AA457" s="752" t="n"/>
      <c r="AB457" s="753" t="n"/>
      <c r="AC457" s="754" t="n"/>
      <c r="AD457" s="740" t="inlineStr">
        <is>
          <t>No</t>
        </is>
      </c>
      <c r="AE457" s="755" t="n"/>
      <c r="AF457" s="755" t="n"/>
      <c r="AG457" s="755" t="n"/>
      <c r="AH457" s="740" t="n"/>
      <c r="AI457" s="740" t="inlineStr">
        <is>
          <t>Limit</t>
        </is>
      </c>
      <c r="AJ457" s="755" t="n"/>
      <c r="AK457" s="755" t="n"/>
      <c r="AL457" s="755" t="n"/>
      <c r="AM457" s="755" t="n"/>
      <c r="AN457" s="755" t="n"/>
      <c r="AO457" s="755" t="n"/>
      <c r="AP457" s="740" t="inlineStr">
        <is>
          <t>Pullback</t>
        </is>
      </c>
      <c r="AQ457" s="740" t="inlineStr">
        <is>
          <t>DAILY</t>
        </is>
      </c>
      <c r="AR457" s="740" t="inlineStr">
        <is>
          <t>No</t>
        </is>
      </c>
      <c r="AS457" s="755" t="n"/>
      <c r="AT457" s="755" t="n"/>
      <c r="AU457" s="755" t="n"/>
      <c r="AV457" s="755" t="n"/>
      <c r="AW457" s="740" t="inlineStr">
        <is>
          <t>trade</t>
        </is>
      </c>
      <c r="AX457" s="756" t="inlineStr">
        <is>
          <t>sig:ce11c867c51a75f85866669e</t>
        </is>
      </c>
    </row>
    <row r="458" ht="15" customHeight="1">
      <c r="A458" s="737" t="inlineStr">
        <is>
          <t>C211</t>
        </is>
      </c>
      <c r="B458" s="738" t="n">
        <v>44322.00347222222</v>
      </c>
      <c r="C458" s="739" t="n">
        <v>44322.42847222222</v>
      </c>
      <c r="D458" s="740" t="inlineStr">
        <is>
          <t>BYBIT</t>
        </is>
      </c>
      <c r="E458" s="740" t="inlineStr">
        <is>
          <t>LTCUSDT</t>
        </is>
      </c>
      <c r="F458" s="740" t="inlineStr">
        <is>
          <t>BUY</t>
        </is>
      </c>
      <c r="G458" s="742" t="n">
        <v>0.2</v>
      </c>
      <c r="H458" s="742" t="n">
        <v>345.7</v>
      </c>
      <c r="I458" s="742" t="n">
        <v>365.82</v>
      </c>
      <c r="J458" s="743" t="n">
        <v>335.88</v>
      </c>
      <c r="K458" s="744" t="n">
        <v>0.0284061324848134</v>
      </c>
      <c r="L458" s="743" t="n">
        <v>365.54</v>
      </c>
      <c r="M458" s="744" t="n">
        <v>0.05739080127277996</v>
      </c>
      <c r="N458" s="745" t="n">
        <v>0.17291515</v>
      </c>
      <c r="O458" s="746" t="n">
        <v>3.8502182</v>
      </c>
      <c r="P458" s="747" t="n">
        <v>0.01327671420324337</v>
      </c>
      <c r="Q458" s="748" t="n">
        <v>2.048879837067212</v>
      </c>
      <c r="R458" s="749" t="n">
        <v>293.8480400299999</v>
      </c>
      <c r="S458" s="740" t="inlineStr">
        <is>
          <t>10H 12M 0S</t>
        </is>
      </c>
      <c r="T458" s="750" t="n"/>
      <c r="U458" s="751" t="n"/>
      <c r="V458" s="752" t="n"/>
      <c r="W458" s="753" t="n"/>
      <c r="X458" s="754" t="n"/>
      <c r="Y458" s="750" t="n"/>
      <c r="Z458" s="751" t="n"/>
      <c r="AA458" s="752" t="n"/>
      <c r="AB458" s="753" t="n"/>
      <c r="AC458" s="754" t="n"/>
      <c r="AD458" s="740" t="inlineStr">
        <is>
          <t>No</t>
        </is>
      </c>
      <c r="AE458" s="755" t="n"/>
      <c r="AF458" s="755" t="n"/>
      <c r="AG458" s="755" t="n"/>
      <c r="AH458" s="755" t="n"/>
      <c r="AI458" s="740" t="inlineStr">
        <is>
          <t>Limit</t>
        </is>
      </c>
      <c r="AJ458" s="755" t="n"/>
      <c r="AK458" s="755" t="n"/>
      <c r="AL458" s="755" t="n"/>
      <c r="AM458" s="755" t="n"/>
      <c r="AN458" s="755" t="n"/>
      <c r="AO458" s="755" t="n"/>
      <c r="AP458" s="740" t="inlineStr">
        <is>
          <t>Pullback</t>
        </is>
      </c>
      <c r="AQ458" s="740" t="inlineStr">
        <is>
          <t>15MIN</t>
        </is>
      </c>
      <c r="AR458" s="740" t="inlineStr">
        <is>
          <t>No</t>
        </is>
      </c>
      <c r="AS458" s="755" t="n"/>
      <c r="AT458" s="755" t="n"/>
      <c r="AU458" s="755" t="n"/>
      <c r="AV458" s="755" t="n"/>
      <c r="AW458" s="740" t="inlineStr">
        <is>
          <t>trade</t>
        </is>
      </c>
      <c r="AX458" s="756" t="inlineStr">
        <is>
          <t>sig:7c6048fb00e71941042b9912</t>
        </is>
      </c>
    </row>
    <row r="459" ht="15" customHeight="1">
      <c r="A459" s="716" t="inlineStr">
        <is>
          <t>F1138</t>
        </is>
      </c>
      <c r="B459" s="717" t="n">
        <v>44321.96041666667</v>
      </c>
      <c r="C459" s="718" t="n">
        <v>44321.96042824074</v>
      </c>
      <c r="D459" s="719" t="inlineStr">
        <is>
          <t>PEPPERSTONE LIVE</t>
        </is>
      </c>
      <c r="E459" s="719" t="inlineStr">
        <is>
          <t>CADCHF</t>
        </is>
      </c>
      <c r="F459" s="719" t="inlineStr">
        <is>
          <t>SELL</t>
        </is>
      </c>
      <c r="G459" s="735" t="n">
        <v>0.05</v>
      </c>
      <c r="H459" s="720" t="n">
        <v>0.7433</v>
      </c>
      <c r="I459" s="720" t="n">
        <v>0.74354</v>
      </c>
      <c r="J459" s="721" t="n">
        <v>0.7441</v>
      </c>
      <c r="K459" s="722" t="n">
        <v>0.001076281447598578</v>
      </c>
      <c r="L459" s="721" t="n">
        <v>0.7405</v>
      </c>
      <c r="M459" s="722" t="n">
        <v>0.003766985066594799</v>
      </c>
      <c r="N459" s="761" t="n"/>
      <c r="O459" s="762" t="n">
        <v>-1.42</v>
      </c>
      <c r="P459" s="725" t="n">
        <v>-0.002823959907724127</v>
      </c>
      <c r="Q459" s="726" t="n">
        <v>-0.3000000000000139</v>
      </c>
      <c r="R459" s="764" t="n">
        <v>501.42</v>
      </c>
      <c r="S459" s="719" t="inlineStr">
        <is>
          <t>1S</t>
        </is>
      </c>
      <c r="T459" s="728" t="n"/>
      <c r="U459" s="729" t="n"/>
      <c r="V459" s="730" t="n"/>
      <c r="W459" s="731" t="n"/>
      <c r="X459" s="732" t="n"/>
      <c r="Y459" s="728" t="n"/>
      <c r="Z459" s="729" t="n"/>
      <c r="AA459" s="730" t="n"/>
      <c r="AB459" s="731" t="n"/>
      <c r="AC459" s="732" t="n"/>
      <c r="AD459" s="719" t="inlineStr">
        <is>
          <t>No</t>
        </is>
      </c>
      <c r="AE459" s="733" t="n"/>
      <c r="AF459" s="733" t="n"/>
      <c r="AG459" s="733" t="n"/>
      <c r="AH459" s="719" t="n"/>
      <c r="AI459" s="719" t="n"/>
      <c r="AJ459" s="733" t="n"/>
      <c r="AK459" s="733" t="n"/>
      <c r="AL459" s="733" t="n"/>
      <c r="AM459" s="733" t="n"/>
      <c r="AN459" s="733" t="n"/>
      <c r="AO459" s="733" t="n"/>
      <c r="AP459" s="719" t="inlineStr">
        <is>
          <t>Pullback</t>
        </is>
      </c>
      <c r="AQ459" s="719" t="n"/>
      <c r="AR459" s="719" t="inlineStr">
        <is>
          <t>No</t>
        </is>
      </c>
      <c r="AS459" s="733" t="n"/>
      <c r="AT459" s="733" t="n"/>
      <c r="AU459" s="733" t="n"/>
      <c r="AV459" s="733" t="n"/>
      <c r="AW459" s="719" t="inlineStr">
        <is>
          <t>trade</t>
        </is>
      </c>
      <c r="AX459" s="734" t="inlineStr">
        <is>
          <t>sig:93efa3421084818322f9a341</t>
        </is>
      </c>
    </row>
    <row r="460" ht="15" customHeight="1">
      <c r="A460" s="716" t="inlineStr">
        <is>
          <t>F1136</t>
        </is>
      </c>
      <c r="B460" s="717" t="n">
        <v>44321.36388888889</v>
      </c>
      <c r="C460" s="718" t="n">
        <v>44321.76805555556</v>
      </c>
      <c r="D460" s="719" t="inlineStr">
        <is>
          <t>PEPPERSTONE LIVE</t>
        </is>
      </c>
      <c r="E460" s="719" t="inlineStr">
        <is>
          <t>EURNZD</t>
        </is>
      </c>
      <c r="F460" s="719" t="inlineStr">
        <is>
          <t>BUY</t>
        </is>
      </c>
      <c r="G460" s="735" t="n">
        <v>0.01</v>
      </c>
      <c r="H460" s="720" t="n">
        <v>1.6796</v>
      </c>
      <c r="I460" s="720" t="n">
        <v>1.67265</v>
      </c>
      <c r="J460" s="721" t="n">
        <v>1.6726</v>
      </c>
      <c r="K460" s="722" t="n">
        <v>0.004167658966420514</v>
      </c>
      <c r="L460" s="721" t="n">
        <v>1.6936</v>
      </c>
      <c r="M460" s="722" t="n">
        <v>0.00833531793284116</v>
      </c>
      <c r="N460" s="761" t="n"/>
      <c r="O460" s="762" t="n">
        <v>-6.47</v>
      </c>
      <c r="P460" s="725" t="n">
        <v>-0.01270346154601323</v>
      </c>
      <c r="Q460" s="726" t="n">
        <v>-0.9928571428571594</v>
      </c>
      <c r="R460" s="764" t="n">
        <v>502.84</v>
      </c>
      <c r="S460" s="719" t="inlineStr">
        <is>
          <t>9H 42M 0S</t>
        </is>
      </c>
      <c r="T460" s="728" t="n"/>
      <c r="U460" s="729" t="n"/>
      <c r="V460" s="730" t="n"/>
      <c r="W460" s="731" t="n"/>
      <c r="X460" s="732" t="n"/>
      <c r="Y460" s="728" t="n"/>
      <c r="Z460" s="729" t="n"/>
      <c r="AA460" s="730" t="n"/>
      <c r="AB460" s="731" t="n"/>
      <c r="AC460" s="732" t="n"/>
      <c r="AD460" s="719" t="inlineStr">
        <is>
          <t>No</t>
        </is>
      </c>
      <c r="AE460" s="733" t="n"/>
      <c r="AF460" s="733" t="n"/>
      <c r="AG460" s="733" t="n"/>
      <c r="AH460" s="733" t="n"/>
      <c r="AI460" s="719" t="n"/>
      <c r="AJ460" s="733" t="n"/>
      <c r="AK460" s="733" t="n"/>
      <c r="AL460" s="733" t="n"/>
      <c r="AM460" s="733" t="n"/>
      <c r="AN460" s="733" t="n"/>
      <c r="AO460" s="733" t="n"/>
      <c r="AP460" s="719" t="inlineStr">
        <is>
          <t>Pullback</t>
        </is>
      </c>
      <c r="AQ460" s="719" t="n"/>
      <c r="AR460" s="719" t="inlineStr">
        <is>
          <t>No</t>
        </is>
      </c>
      <c r="AS460" s="733" t="n"/>
      <c r="AT460" s="733" t="n"/>
      <c r="AU460" s="733" t="n"/>
      <c r="AV460" s="733" t="n"/>
      <c r="AW460" s="719" t="inlineStr">
        <is>
          <t>trade</t>
        </is>
      </c>
      <c r="AX460" s="734" t="inlineStr">
        <is>
          <t>sig:84f089c2a905a97709d90b61</t>
        </is>
      </c>
    </row>
    <row r="461" ht="15" customHeight="1">
      <c r="A461" s="716" t="inlineStr">
        <is>
          <t>F1137</t>
        </is>
      </c>
      <c r="B461" s="717" t="n">
        <v>44321.71597222222</v>
      </c>
      <c r="C461" s="718" t="n">
        <v>44321.7375</v>
      </c>
      <c r="D461" s="719" t="inlineStr">
        <is>
          <t>PEPPERSTONE LIVE</t>
        </is>
      </c>
      <c r="E461" s="719" t="inlineStr">
        <is>
          <t>CADCHF</t>
        </is>
      </c>
      <c r="F461" s="719" t="inlineStr">
        <is>
          <t>SELL</t>
        </is>
      </c>
      <c r="G461" s="735" t="n">
        <v>0.05</v>
      </c>
      <c r="H461" s="720" t="n">
        <v>0.744</v>
      </c>
      <c r="I461" s="720" t="n">
        <v>0.74487</v>
      </c>
      <c r="J461" s="721" t="n">
        <v>0.7448</v>
      </c>
      <c r="K461" s="722" t="n">
        <v>0.001075268817204332</v>
      </c>
      <c r="L461" s="721" t="n">
        <v>0.7412</v>
      </c>
      <c r="M461" s="722" t="n">
        <v>0.003763440860215087</v>
      </c>
      <c r="N461" s="788" t="n"/>
      <c r="O461" s="762" t="n">
        <v>-5.73</v>
      </c>
      <c r="P461" s="725" t="n">
        <v>-0.01112534948741845</v>
      </c>
      <c r="Q461" s="726" t="n">
        <v>-1.087500000000016</v>
      </c>
      <c r="R461" s="764" t="n">
        <v>509.3100000000001</v>
      </c>
      <c r="S461" s="719" t="inlineStr">
        <is>
          <t>31M 0S</t>
        </is>
      </c>
      <c r="T461" s="728" t="n"/>
      <c r="U461" s="729" t="n"/>
      <c r="V461" s="730" t="n"/>
      <c r="W461" s="731" t="n"/>
      <c r="X461" s="732" t="n"/>
      <c r="Y461" s="728" t="n"/>
      <c r="Z461" s="729" t="n"/>
      <c r="AA461" s="730" t="n"/>
      <c r="AB461" s="731" t="n"/>
      <c r="AC461" s="732" t="n"/>
      <c r="AD461" s="719" t="inlineStr">
        <is>
          <t>No</t>
        </is>
      </c>
      <c r="AE461" s="733" t="n"/>
      <c r="AF461" s="733" t="n"/>
      <c r="AG461" s="733" t="n"/>
      <c r="AH461" s="733" t="n"/>
      <c r="AI461" s="733" t="n"/>
      <c r="AJ461" s="733" t="n"/>
      <c r="AK461" s="733" t="n"/>
      <c r="AL461" s="733" t="n"/>
      <c r="AM461" s="733" t="n"/>
      <c r="AN461" s="733" t="n"/>
      <c r="AO461" s="733" t="n"/>
      <c r="AP461" s="719" t="inlineStr">
        <is>
          <t>Pullback</t>
        </is>
      </c>
      <c r="AQ461" s="733" t="n"/>
      <c r="AR461" s="719" t="inlineStr">
        <is>
          <t>No</t>
        </is>
      </c>
      <c r="AS461" s="733" t="n"/>
      <c r="AT461" s="733" t="n"/>
      <c r="AU461" s="733" t="n"/>
      <c r="AV461" s="733" t="n"/>
      <c r="AW461" s="719" t="inlineStr">
        <is>
          <t>trade</t>
        </is>
      </c>
      <c r="AX461" s="734" t="inlineStr">
        <is>
          <t>sig:19168970fe305dd903713768</t>
        </is>
      </c>
    </row>
    <row r="462" ht="15" customHeight="1">
      <c r="A462" s="716" t="inlineStr">
        <is>
          <t>C210</t>
        </is>
      </c>
      <c r="B462" s="717" t="n">
        <v>44321.08402777778</v>
      </c>
      <c r="C462" s="718" t="n">
        <v>44321.08402777778</v>
      </c>
      <c r="D462" s="719" t="inlineStr">
        <is>
          <t>BYBIT</t>
        </is>
      </c>
      <c r="E462" s="719" t="inlineStr">
        <is>
          <t>ETHUSDT</t>
        </is>
      </c>
      <c r="F462" s="719" t="inlineStr">
        <is>
          <t>BUY</t>
        </is>
      </c>
      <c r="G462" s="735" t="n">
        <v>0.03</v>
      </c>
      <c r="H462" s="720" t="n">
        <v>3225.25</v>
      </c>
      <c r="I462" s="720" t="n">
        <v>3176.75</v>
      </c>
      <c r="J462" s="721" t="n">
        <v>3175.6</v>
      </c>
      <c r="K462" s="722" t="n">
        <v>0.01539415549182237</v>
      </c>
      <c r="L462" s="721" t="n">
        <v>3330.8</v>
      </c>
      <c r="M462" s="722" t="n">
        <v>0.03272614526005742</v>
      </c>
      <c r="N462" s="723" t="n">
        <v>0.02418937</v>
      </c>
      <c r="O462" s="724" t="n">
        <v>-1.43167728</v>
      </c>
      <c r="P462" s="725" t="n">
        <v>-0.004912602479749706</v>
      </c>
      <c r="Q462" s="726" t="n">
        <v>-0.9768378650553859</v>
      </c>
      <c r="R462" s="727" t="n">
        <v>289.9978218299999</v>
      </c>
      <c r="S462" s="719" t="inlineStr">
        <is>
          <t>1S</t>
        </is>
      </c>
      <c r="T462" s="728" t="n"/>
      <c r="U462" s="729" t="n"/>
      <c r="V462" s="730" t="n"/>
      <c r="W462" s="731" t="n"/>
      <c r="X462" s="732" t="n"/>
      <c r="Y462" s="728" t="n"/>
      <c r="Z462" s="729" t="n"/>
      <c r="AA462" s="730" t="n"/>
      <c r="AB462" s="731" t="n"/>
      <c r="AC462" s="732" t="n"/>
      <c r="AD462" s="719" t="inlineStr">
        <is>
          <t>No</t>
        </is>
      </c>
      <c r="AE462" s="733" t="n"/>
      <c r="AF462" s="733" t="n"/>
      <c r="AG462" s="733" t="n"/>
      <c r="AH462" s="733" t="n"/>
      <c r="AI462" s="719" t="inlineStr">
        <is>
          <t>Limit</t>
        </is>
      </c>
      <c r="AJ462" s="733" t="n"/>
      <c r="AK462" s="733" t="n"/>
      <c r="AL462" s="733" t="n"/>
      <c r="AM462" s="733" t="n"/>
      <c r="AN462" s="733" t="n"/>
      <c r="AO462" s="733" t="n"/>
      <c r="AP462" s="719" t="inlineStr">
        <is>
          <t>Pullback</t>
        </is>
      </c>
      <c r="AQ462" s="719" t="inlineStr">
        <is>
          <t>1H</t>
        </is>
      </c>
      <c r="AR462" s="719" t="inlineStr">
        <is>
          <t>No</t>
        </is>
      </c>
      <c r="AS462" s="733" t="n"/>
      <c r="AT462" s="733" t="n"/>
      <c r="AU462" s="733" t="n"/>
      <c r="AV462" s="733" t="n"/>
      <c r="AW462" s="719" t="inlineStr">
        <is>
          <t>trade</t>
        </is>
      </c>
      <c r="AX462" s="734" t="inlineStr">
        <is>
          <t>sig:8f027ef3bf6499688901ead4</t>
        </is>
      </c>
    </row>
    <row r="463" ht="15" customHeight="1">
      <c r="A463" s="737" t="inlineStr">
        <is>
          <t>C209</t>
        </is>
      </c>
      <c r="B463" s="738" t="n">
        <v>44320.54236111111</v>
      </c>
      <c r="C463" s="739" t="n">
        <v>44320.61666666667</v>
      </c>
      <c r="D463" s="740" t="inlineStr">
        <is>
          <t>BYBIT</t>
        </is>
      </c>
      <c r="E463" s="740" t="inlineStr">
        <is>
          <t>ETHUSDT</t>
        </is>
      </c>
      <c r="F463" s="740" t="inlineStr">
        <is>
          <t>BUY</t>
        </is>
      </c>
      <c r="G463" s="775" t="n">
        <v>0.03</v>
      </c>
      <c r="H463" s="742" t="n">
        <v>3205.3</v>
      </c>
      <c r="I463" s="742" t="n">
        <v>3329.95</v>
      </c>
      <c r="J463" s="785" t="n"/>
      <c r="K463" s="754" t="n"/>
      <c r="L463" s="743" t="n">
        <v>3329.95</v>
      </c>
      <c r="M463" s="744" t="n">
        <v>0.03888871556484561</v>
      </c>
      <c r="N463" s="802" t="n">
        <v>0.02403975</v>
      </c>
      <c r="O463" s="746" t="n">
        <v>3.7626731</v>
      </c>
      <c r="P463" s="747" t="n">
        <v>0.01307996876869355</v>
      </c>
      <c r="Q463" s="786" t="n"/>
      <c r="R463" s="749" t="n">
        <v>291.4294991099999</v>
      </c>
      <c r="S463" s="740" t="inlineStr">
        <is>
          <t>1H 47M 0S</t>
        </is>
      </c>
      <c r="T463" s="750" t="n"/>
      <c r="U463" s="751" t="n"/>
      <c r="V463" s="752" t="n"/>
      <c r="W463" s="753" t="n"/>
      <c r="X463" s="754" t="n"/>
      <c r="Y463" s="750" t="n"/>
      <c r="Z463" s="751" t="n"/>
      <c r="AA463" s="752" t="n"/>
      <c r="AB463" s="753" t="n"/>
      <c r="AC463" s="754" t="n"/>
      <c r="AD463" s="740" t="inlineStr">
        <is>
          <t>No</t>
        </is>
      </c>
      <c r="AE463" s="755" t="n"/>
      <c r="AF463" s="755" t="n"/>
      <c r="AG463" s="755" t="n"/>
      <c r="AH463" s="755" t="n"/>
      <c r="AI463" s="740" t="inlineStr">
        <is>
          <t>Limit</t>
        </is>
      </c>
      <c r="AJ463" s="755" t="n"/>
      <c r="AK463" s="755" t="n"/>
      <c r="AL463" s="755" t="n"/>
      <c r="AM463" s="755" t="n"/>
      <c r="AN463" s="755" t="n"/>
      <c r="AO463" s="755" t="n"/>
      <c r="AP463" s="740" t="inlineStr">
        <is>
          <t>Pullback</t>
        </is>
      </c>
      <c r="AQ463" s="755" t="n"/>
      <c r="AR463" s="740" t="inlineStr">
        <is>
          <t>No</t>
        </is>
      </c>
      <c r="AS463" s="755" t="n"/>
      <c r="AT463" s="755" t="n"/>
      <c r="AU463" s="755" t="n"/>
      <c r="AV463" s="755" t="n"/>
      <c r="AW463" s="740" t="inlineStr">
        <is>
          <t>trade</t>
        </is>
      </c>
      <c r="AX463" s="756" t="inlineStr">
        <is>
          <t>sig:80b0af5c1c207e44d9c7fa24</t>
        </is>
      </c>
    </row>
    <row r="464" ht="15" customHeight="1">
      <c r="A464" s="716" t="inlineStr">
        <is>
          <t>C208</t>
        </is>
      </c>
      <c r="B464" s="717" t="n">
        <v>44320.14305555556</v>
      </c>
      <c r="C464" s="718" t="n">
        <v>44320.22152777778</v>
      </c>
      <c r="D464" s="719" t="inlineStr">
        <is>
          <t>BYBIT</t>
        </is>
      </c>
      <c r="E464" s="719" t="inlineStr">
        <is>
          <t>ETHUSDT</t>
        </is>
      </c>
      <c r="F464" s="719" t="inlineStr">
        <is>
          <t>BUY</t>
        </is>
      </c>
      <c r="G464" s="735" t="n">
        <v>0.06</v>
      </c>
      <c r="H464" s="720" t="n">
        <v>3271.2</v>
      </c>
      <c r="I464" s="720" t="n">
        <v>3270.25</v>
      </c>
      <c r="J464" s="721" t="n">
        <v>3243.2</v>
      </c>
      <c r="K464" s="722" t="n">
        <v>0.00855955001222793</v>
      </c>
      <c r="L464" s="721" t="n">
        <v>3341.35</v>
      </c>
      <c r="M464" s="722" t="n">
        <v>0.02144472976277821</v>
      </c>
      <c r="N464" s="723" t="n">
        <v>0.049068</v>
      </c>
      <c r="O464" s="812" t="n">
        <v>-0.00879865</v>
      </c>
      <c r="P464" s="800" t="n">
        <v>-3.058531639724085e-05</v>
      </c>
      <c r="Q464" s="781" t="n">
        <v>-0.03392857142856493</v>
      </c>
      <c r="R464" s="727" t="n">
        <v>287.6668260099999</v>
      </c>
      <c r="S464" s="719" t="inlineStr">
        <is>
          <t>1H 53M 0S</t>
        </is>
      </c>
      <c r="T464" s="717" t="n">
        <v>44319.78472222222</v>
      </c>
      <c r="U464" s="806" t="inlineStr">
        <is>
          <t>1H 23M 57S</t>
        </is>
      </c>
      <c r="V464" s="730" t="n"/>
      <c r="W464" s="731" t="n"/>
      <c r="X464" s="732" t="n"/>
      <c r="Y464" s="728" t="n"/>
      <c r="Z464" s="729" t="n"/>
      <c r="AA464" s="730" t="n"/>
      <c r="AB464" s="731" t="n"/>
      <c r="AC464" s="732" t="n"/>
      <c r="AD464" s="719" t="inlineStr">
        <is>
          <t>No</t>
        </is>
      </c>
      <c r="AE464" s="733" t="n"/>
      <c r="AF464" s="733" t="n"/>
      <c r="AG464" s="733" t="n"/>
      <c r="AH464" s="733" t="n"/>
      <c r="AI464" s="719" t="inlineStr">
        <is>
          <t>Limit</t>
        </is>
      </c>
      <c r="AJ464" s="733" t="n"/>
      <c r="AK464" s="733" t="n"/>
      <c r="AL464" s="733" t="n"/>
      <c r="AM464" s="733" t="n"/>
      <c r="AN464" s="733" t="n"/>
      <c r="AO464" s="733" t="n"/>
      <c r="AP464" s="719" t="inlineStr">
        <is>
          <t>Pullback</t>
        </is>
      </c>
      <c r="AQ464" s="719" t="inlineStr">
        <is>
          <t>5MIN</t>
        </is>
      </c>
      <c r="AR464" s="719" t="inlineStr">
        <is>
          <t>No</t>
        </is>
      </c>
      <c r="AS464" s="733" t="n"/>
      <c r="AT464" s="733" t="n"/>
      <c r="AU464" s="733" t="n"/>
      <c r="AV464" s="733" t="n"/>
      <c r="AW464" s="719" t="inlineStr">
        <is>
          <t>trade</t>
        </is>
      </c>
      <c r="AX464" s="734" t="inlineStr">
        <is>
          <t>sig:2c8bd4ba78d2b8eadf55fd4a</t>
        </is>
      </c>
    </row>
    <row r="465" ht="15" customHeight="1">
      <c r="A465" s="716" t="inlineStr">
        <is>
          <t>C207</t>
        </is>
      </c>
      <c r="B465" s="717" t="n">
        <v>44319.96180555555</v>
      </c>
      <c r="C465" s="718" t="n">
        <v>44319.99236111111</v>
      </c>
      <c r="D465" s="719" t="inlineStr">
        <is>
          <t>BYBIT</t>
        </is>
      </c>
      <c r="E465" s="719" t="inlineStr">
        <is>
          <t>ETHUSDT</t>
        </is>
      </c>
      <c r="F465" s="719" t="inlineStr">
        <is>
          <t>BUY</t>
        </is>
      </c>
      <c r="G465" s="735" t="n">
        <v>0.04</v>
      </c>
      <c r="H465" s="720" t="n">
        <v>3136.05</v>
      </c>
      <c r="I465" s="720" t="n">
        <v>3097.5</v>
      </c>
      <c r="J465" s="721" t="n">
        <v>3098.8</v>
      </c>
      <c r="K465" s="722" t="n">
        <v>0.01187799939414231</v>
      </c>
      <c r="L465" s="721" t="n">
        <v>3247.8</v>
      </c>
      <c r="M465" s="722" t="n">
        <v>0.03563399818242693</v>
      </c>
      <c r="N465" s="723" t="n">
        <v>0.0313605</v>
      </c>
      <c r="O465" s="724" t="n">
        <v>-1.51150615</v>
      </c>
      <c r="P465" s="725" t="n">
        <v>-0.005226740712030788</v>
      </c>
      <c r="Q465" s="726" t="n">
        <v>-1.034899328859065</v>
      </c>
      <c r="R465" s="727" t="n">
        <v>287.6756246599999</v>
      </c>
      <c r="S465" s="719" t="inlineStr">
        <is>
          <t>44M 0S</t>
        </is>
      </c>
      <c r="T465" s="728" t="n"/>
      <c r="U465" s="729" t="n"/>
      <c r="V465" s="730" t="n"/>
      <c r="W465" s="731" t="n"/>
      <c r="X465" s="732" t="n"/>
      <c r="Y465" s="728" t="n"/>
      <c r="Z465" s="729" t="n"/>
      <c r="AA465" s="730" t="n"/>
      <c r="AB465" s="731" t="n"/>
      <c r="AC465" s="732" t="n"/>
      <c r="AD465" s="719" t="inlineStr">
        <is>
          <t>No</t>
        </is>
      </c>
      <c r="AE465" s="733" t="n"/>
      <c r="AF465" s="733" t="n"/>
      <c r="AG465" s="733" t="n"/>
      <c r="AH465" s="719" t="inlineStr">
        <is>
          <t>All-Time High</t>
        </is>
      </c>
      <c r="AI465" s="719" t="inlineStr">
        <is>
          <t>Limit</t>
        </is>
      </c>
      <c r="AJ465" s="733" t="n"/>
      <c r="AK465" s="733" t="n"/>
      <c r="AL465" s="733" t="n"/>
      <c r="AM465" s="733" t="n"/>
      <c r="AN465" s="733" t="n"/>
      <c r="AO465" s="733" t="n"/>
      <c r="AP465" s="719" t="inlineStr">
        <is>
          <t>Pullback</t>
        </is>
      </c>
      <c r="AQ465" s="719" t="inlineStr">
        <is>
          <t>1H</t>
        </is>
      </c>
      <c r="AR465" s="719" t="inlineStr">
        <is>
          <t>No</t>
        </is>
      </c>
      <c r="AS465" s="733" t="n"/>
      <c r="AT465" s="733" t="n"/>
      <c r="AU465" s="733" t="n"/>
      <c r="AV465" s="733" t="n"/>
      <c r="AW465" s="719" t="inlineStr">
        <is>
          <t>trade</t>
        </is>
      </c>
      <c r="AX465" s="734" t="inlineStr">
        <is>
          <t>sig:37e8c1dace471ce001f74fe9</t>
        </is>
      </c>
    </row>
    <row r="466" ht="15" customHeight="1">
      <c r="A466" s="716" t="inlineStr">
        <is>
          <t>F1135</t>
        </is>
      </c>
      <c r="B466" s="717" t="n">
        <v>44317.04652777778</v>
      </c>
      <c r="C466" s="718" t="n">
        <v>44319.79791666667</v>
      </c>
      <c r="D466" s="719" t="inlineStr">
        <is>
          <t>PEPPERSTONE LIVE</t>
        </is>
      </c>
      <c r="E466" s="719" t="inlineStr">
        <is>
          <t>EURNZD</t>
        </is>
      </c>
      <c r="F466" s="719" t="inlineStr">
        <is>
          <t>SELL</t>
        </is>
      </c>
      <c r="G466" s="735" t="n">
        <v>0.02</v>
      </c>
      <c r="H466" s="720" t="n">
        <v>1.6797</v>
      </c>
      <c r="I466" s="720" t="n">
        <v>1.68292</v>
      </c>
      <c r="J466" s="721" t="n">
        <v>1.6829</v>
      </c>
      <c r="K466" s="722" t="n">
        <v>0.00190510210156581</v>
      </c>
      <c r="L466" s="721" t="n">
        <v>1.6687</v>
      </c>
      <c r="M466" s="722" t="n">
        <v>0.006548788474132225</v>
      </c>
      <c r="N466" s="792" t="n">
        <v>0.03</v>
      </c>
      <c r="O466" s="762" t="n">
        <v>-5.91</v>
      </c>
      <c r="P466" s="725" t="n">
        <v>-0.0113446587964296</v>
      </c>
      <c r="Q466" s="726" t="n">
        <v>-1.006249999999971</v>
      </c>
      <c r="R466" s="764" t="n">
        <v>515.0400000000001</v>
      </c>
      <c r="S466" s="719" t="inlineStr">
        <is>
          <t>2D 18H 2M 0S</t>
        </is>
      </c>
      <c r="T466" s="728" t="n"/>
      <c r="U466" s="729" t="n"/>
      <c r="V466" s="730" t="n"/>
      <c r="W466" s="731" t="n"/>
      <c r="X466" s="732" t="n"/>
      <c r="Y466" s="728" t="n"/>
      <c r="Z466" s="729" t="n"/>
      <c r="AA466" s="730" t="n"/>
      <c r="AB466" s="731" t="n"/>
      <c r="AC466" s="732" t="n"/>
      <c r="AD466" s="719" t="inlineStr">
        <is>
          <t>No</t>
        </is>
      </c>
      <c r="AE466" s="733" t="n"/>
      <c r="AF466" s="733" t="n"/>
      <c r="AG466" s="733" t="n"/>
      <c r="AH466" s="719" t="n"/>
      <c r="AI466" s="719" t="n"/>
      <c r="AJ466" s="733" t="n"/>
      <c r="AK466" s="733" t="n"/>
      <c r="AL466" s="733" t="n"/>
      <c r="AM466" s="733" t="n"/>
      <c r="AN466" s="733" t="n"/>
      <c r="AO466" s="733" t="n"/>
      <c r="AP466" s="719" t="inlineStr">
        <is>
          <t>Pullback</t>
        </is>
      </c>
      <c r="AQ466" s="719" t="n"/>
      <c r="AR466" s="719" t="inlineStr">
        <is>
          <t>No</t>
        </is>
      </c>
      <c r="AS466" s="733" t="n"/>
      <c r="AT466" s="733" t="n"/>
      <c r="AU466" s="733" t="n"/>
      <c r="AV466" s="733" t="n"/>
      <c r="AW466" s="719" t="inlineStr">
        <is>
          <t>trade</t>
        </is>
      </c>
      <c r="AX466" s="734" t="inlineStr">
        <is>
          <t>sig:5a429f73ca5c20ae73c282a0</t>
        </is>
      </c>
    </row>
    <row r="467" ht="15" customHeight="1">
      <c r="A467" s="737" t="inlineStr">
        <is>
          <t>C206</t>
        </is>
      </c>
      <c r="B467" s="738" t="n">
        <v>44318.77361111111</v>
      </c>
      <c r="C467" s="739" t="n">
        <v>44319.42916666667</v>
      </c>
      <c r="D467" s="740" t="inlineStr">
        <is>
          <t>BYBIT</t>
        </is>
      </c>
      <c r="E467" s="740" t="inlineStr">
        <is>
          <t>ETHUSDT</t>
        </is>
      </c>
      <c r="F467" s="740" t="inlineStr">
        <is>
          <t>BUY</t>
        </is>
      </c>
      <c r="G467" s="775" t="n">
        <v>0.03</v>
      </c>
      <c r="H467" s="742" t="n">
        <v>2867.45</v>
      </c>
      <c r="I467" s="742" t="n">
        <v>2988.5</v>
      </c>
      <c r="J467" s="743" t="n">
        <v>2806.6</v>
      </c>
      <c r="K467" s="744" t="n">
        <v>0.0212209454393276</v>
      </c>
      <c r="L467" s="743" t="n">
        <v>2988.5</v>
      </c>
      <c r="M467" s="744" t="n">
        <v>0.04221520863484984</v>
      </c>
      <c r="N467" s="813" t="n">
        <v>0.00189297</v>
      </c>
      <c r="O467" s="746" t="n">
        <v>3.62874038</v>
      </c>
      <c r="P467" s="747" t="n">
        <v>0.01270752498126834</v>
      </c>
      <c r="Q467" s="748" t="n">
        <v>1.98931799506985</v>
      </c>
      <c r="R467" s="749" t="n">
        <v>289.1871308099999</v>
      </c>
      <c r="S467" s="740" t="inlineStr">
        <is>
          <t>15H 44M 0S</t>
        </is>
      </c>
      <c r="T467" s="750" t="n"/>
      <c r="U467" s="751" t="n"/>
      <c r="V467" s="752" t="n"/>
      <c r="W467" s="753" t="n"/>
      <c r="X467" s="754" t="n"/>
      <c r="Y467" s="750" t="n"/>
      <c r="Z467" s="751" t="n"/>
      <c r="AA467" s="752" t="n"/>
      <c r="AB467" s="753" t="n"/>
      <c r="AC467" s="754" t="n"/>
      <c r="AD467" s="740" t="inlineStr">
        <is>
          <t>No</t>
        </is>
      </c>
      <c r="AE467" s="755" t="n"/>
      <c r="AF467" s="755" t="n"/>
      <c r="AG467" s="755" t="n"/>
      <c r="AH467" s="740" t="inlineStr">
        <is>
          <t>All-Time High</t>
        </is>
      </c>
      <c r="AI467" s="740" t="inlineStr">
        <is>
          <t>Limit</t>
        </is>
      </c>
      <c r="AJ467" s="755" t="n"/>
      <c r="AK467" s="755" t="n"/>
      <c r="AL467" s="755" t="n"/>
      <c r="AM467" s="755" t="n"/>
      <c r="AN467" s="755" t="n"/>
      <c r="AO467" s="755" t="n"/>
      <c r="AP467" s="740" t="inlineStr">
        <is>
          <t>Pullback</t>
        </is>
      </c>
      <c r="AQ467" s="740" t="inlineStr">
        <is>
          <t>4H</t>
        </is>
      </c>
      <c r="AR467" s="740" t="inlineStr">
        <is>
          <t>No</t>
        </is>
      </c>
      <c r="AS467" s="755" t="n"/>
      <c r="AT467" s="755" t="n"/>
      <c r="AU467" s="755" t="n"/>
      <c r="AV467" s="755" t="n"/>
      <c r="AW467" s="740" t="inlineStr">
        <is>
          <t>trade</t>
        </is>
      </c>
      <c r="AX467" s="756" t="inlineStr">
        <is>
          <t>sig:031f6370310ea15ce0a575cf</t>
        </is>
      </c>
    </row>
    <row r="468" ht="15" customHeight="1">
      <c r="A468" s="737" t="inlineStr">
        <is>
          <t>C205</t>
        </is>
      </c>
      <c r="B468" s="738" t="n">
        <v>44318.33472222222</v>
      </c>
      <c r="C468" s="739" t="n">
        <v>44318.34930555556</v>
      </c>
      <c r="D468" s="740" t="inlineStr">
        <is>
          <t>BYBIT</t>
        </is>
      </c>
      <c r="E468" s="740" t="inlineStr">
        <is>
          <t>ETHUSDT</t>
        </is>
      </c>
      <c r="F468" s="740" t="inlineStr">
        <is>
          <t>BUY</t>
        </is>
      </c>
      <c r="G468" s="742" t="n">
        <v>0.16</v>
      </c>
      <c r="H468" s="742" t="n">
        <v>2918.5</v>
      </c>
      <c r="I468" s="742" t="n">
        <v>2943.95</v>
      </c>
      <c r="J468" s="743" t="n">
        <v>2909.55</v>
      </c>
      <c r="K468" s="744" t="n">
        <v>0.003066643823882069</v>
      </c>
      <c r="L468" s="743" t="n">
        <v>2943.45</v>
      </c>
      <c r="M468" s="744" t="n">
        <v>0.008548912112386437</v>
      </c>
      <c r="N468" s="745" t="n">
        <v>0.11674</v>
      </c>
      <c r="O468" s="746" t="n">
        <v>4.18787335</v>
      </c>
      <c r="P468" s="747" t="n">
        <v>0.01488383855373623</v>
      </c>
      <c r="Q468" s="748" t="n">
        <v>2.843575418994451</v>
      </c>
      <c r="R468" s="749" t="n">
        <v>285.5583904299999</v>
      </c>
      <c r="S468" s="740" t="inlineStr">
        <is>
          <t>21M 0S</t>
        </is>
      </c>
      <c r="T468" s="750" t="n"/>
      <c r="U468" s="751" t="n"/>
      <c r="V468" s="752" t="n"/>
      <c r="W468" s="753" t="n"/>
      <c r="X468" s="754" t="n"/>
      <c r="Y468" s="750" t="n"/>
      <c r="Z468" s="751" t="n"/>
      <c r="AA468" s="752" t="n"/>
      <c r="AB468" s="753" t="n"/>
      <c r="AC468" s="754" t="n"/>
      <c r="AD468" s="740" t="inlineStr">
        <is>
          <t>No</t>
        </is>
      </c>
      <c r="AE468" s="755" t="n"/>
      <c r="AF468" s="755" t="n"/>
      <c r="AG468" s="755" t="n"/>
      <c r="AH468" s="740" t="n"/>
      <c r="AI468" s="740" t="inlineStr">
        <is>
          <t>Limit</t>
        </is>
      </c>
      <c r="AJ468" s="755" t="n"/>
      <c r="AK468" s="755" t="n"/>
      <c r="AL468" s="755" t="n"/>
      <c r="AM468" s="755" t="n"/>
      <c r="AN468" s="755" t="n"/>
      <c r="AO468" s="755" t="n"/>
      <c r="AP468" s="740" t="inlineStr">
        <is>
          <t>Pullback</t>
        </is>
      </c>
      <c r="AQ468" s="740" t="inlineStr">
        <is>
          <t>5MIN</t>
        </is>
      </c>
      <c r="AR468" s="740" t="inlineStr">
        <is>
          <t>No</t>
        </is>
      </c>
      <c r="AS468" s="755" t="n"/>
      <c r="AT468" s="755" t="n"/>
      <c r="AU468" s="755" t="n"/>
      <c r="AV468" s="755" t="n"/>
      <c r="AW468" s="740" t="inlineStr">
        <is>
          <t>trade</t>
        </is>
      </c>
      <c r="AX468" s="756" t="inlineStr">
        <is>
          <t>sig:f2d119ec95877a93751b5270</t>
        </is>
      </c>
    </row>
    <row r="469" ht="15" customHeight="1">
      <c r="A469" s="716" t="inlineStr">
        <is>
          <t>F1134</t>
        </is>
      </c>
      <c r="B469" s="717" t="n">
        <v>44316.85486111111</v>
      </c>
      <c r="C469" s="718" t="n">
        <v>44316.94166666667</v>
      </c>
      <c r="D469" s="719" t="inlineStr">
        <is>
          <t>PEPPERSTONE LIVE</t>
        </is>
      </c>
      <c r="E469" s="719" t="inlineStr">
        <is>
          <t>AUDNZD</t>
        </is>
      </c>
      <c r="F469" s="719" t="inlineStr">
        <is>
          <t>SELL</t>
        </is>
      </c>
      <c r="G469" s="735" t="n">
        <v>0.09</v>
      </c>
      <c r="H469" s="720" t="n">
        <v>1.0739</v>
      </c>
      <c r="I469" s="720" t="n">
        <v>1.07472</v>
      </c>
      <c r="J469" s="721" t="n">
        <v>1.0746</v>
      </c>
      <c r="K469" s="760" t="n">
        <v>0.0006518297793089886</v>
      </c>
      <c r="L469" s="721" t="n">
        <v>1.0725</v>
      </c>
      <c r="M469" s="722" t="n">
        <v>0.001303659558618184</v>
      </c>
      <c r="N469" s="761" t="n"/>
      <c r="O469" s="762" t="n">
        <v>-6.28</v>
      </c>
      <c r="P469" s="725" t="n">
        <v>-0.01191131005443544</v>
      </c>
      <c r="Q469" s="726" t="n">
        <v>-1.171428571428444</v>
      </c>
      <c r="R469" s="764" t="n">
        <v>520.95</v>
      </c>
      <c r="S469" s="719" t="inlineStr">
        <is>
          <t>2H 5M 0S</t>
        </is>
      </c>
      <c r="T469" s="728" t="n"/>
      <c r="U469" s="729" t="n"/>
      <c r="V469" s="730" t="n"/>
      <c r="W469" s="731" t="n"/>
      <c r="X469" s="732" t="n"/>
      <c r="Y469" s="728" t="n"/>
      <c r="Z469" s="729" t="n"/>
      <c r="AA469" s="730" t="n"/>
      <c r="AB469" s="731" t="n"/>
      <c r="AC469" s="732" t="n"/>
      <c r="AD469" s="719" t="inlineStr">
        <is>
          <t>No</t>
        </is>
      </c>
      <c r="AE469" s="733" t="n"/>
      <c r="AF469" s="733" t="n"/>
      <c r="AG469" s="733" t="n"/>
      <c r="AH469" s="733" t="n"/>
      <c r="AI469" s="719" t="n"/>
      <c r="AJ469" s="733" t="n"/>
      <c r="AK469" s="733" t="n"/>
      <c r="AL469" s="733" t="n"/>
      <c r="AM469" s="733" t="n"/>
      <c r="AN469" s="733" t="n"/>
      <c r="AO469" s="733" t="n"/>
      <c r="AP469" s="719" t="inlineStr">
        <is>
          <t>Pullback</t>
        </is>
      </c>
      <c r="AQ469" s="733" t="n"/>
      <c r="AR469" s="719" t="inlineStr">
        <is>
          <t>No</t>
        </is>
      </c>
      <c r="AS469" s="733" t="n"/>
      <c r="AT469" s="733" t="n"/>
      <c r="AU469" s="733" t="n"/>
      <c r="AV469" s="733" t="n"/>
      <c r="AW469" s="719" t="inlineStr">
        <is>
          <t>trade</t>
        </is>
      </c>
      <c r="AX469" s="734" t="inlineStr">
        <is>
          <t>sig:c5570fbb86a6a3eed00c2de4</t>
        </is>
      </c>
    </row>
    <row r="470" ht="15" customHeight="1">
      <c r="A470" s="716" t="inlineStr">
        <is>
          <t>C204</t>
        </is>
      </c>
      <c r="B470" s="717" t="n">
        <v>44315.97013888889</v>
      </c>
      <c r="C470" s="718" t="n">
        <v>44315.98472222222</v>
      </c>
      <c r="D470" s="719" t="inlineStr">
        <is>
          <t>BYBIT</t>
        </is>
      </c>
      <c r="E470" s="719" t="inlineStr">
        <is>
          <t>ETHUSDT</t>
        </is>
      </c>
      <c r="F470" s="719" t="inlineStr">
        <is>
          <t>BUY</t>
        </is>
      </c>
      <c r="G470" s="720" t="n">
        <v>0.13</v>
      </c>
      <c r="H470" s="720" t="n">
        <v>2772.45</v>
      </c>
      <c r="I470" s="720" t="n">
        <v>2760.55</v>
      </c>
      <c r="J470" s="721" t="n">
        <v>2760.9</v>
      </c>
      <c r="K470" s="722" t="n">
        <v>0.004165990369528658</v>
      </c>
      <c r="L470" s="721" t="n">
        <v>2795.55</v>
      </c>
      <c r="M470" s="722" t="n">
        <v>0.008331980739057644</v>
      </c>
      <c r="N470" s="723" t="n">
        <v>0.09010462</v>
      </c>
      <c r="O470" s="724" t="n">
        <v>-1.45776203</v>
      </c>
      <c r="P470" s="725" t="n">
        <v>-0.005154230102404418</v>
      </c>
      <c r="Q470" s="726" t="n">
        <v>-1.030303030303023</v>
      </c>
      <c r="R470" s="727" t="n">
        <v>281.3705170799999</v>
      </c>
      <c r="S470" s="719" t="inlineStr">
        <is>
          <t>21M 0S</t>
        </is>
      </c>
      <c r="T470" s="728" t="n"/>
      <c r="U470" s="729" t="n"/>
      <c r="V470" s="730" t="n"/>
      <c r="W470" s="731" t="n"/>
      <c r="X470" s="732" t="n"/>
      <c r="Y470" s="728" t="n"/>
      <c r="Z470" s="729" t="n"/>
      <c r="AA470" s="730" t="n"/>
      <c r="AB470" s="731" t="n"/>
      <c r="AC470" s="732" t="n"/>
      <c r="AD470" s="719" t="inlineStr">
        <is>
          <t>No</t>
        </is>
      </c>
      <c r="AE470" s="733" t="n"/>
      <c r="AF470" s="733" t="n"/>
      <c r="AG470" s="733" t="n"/>
      <c r="AH470" s="733" t="n"/>
      <c r="AI470" s="719" t="inlineStr">
        <is>
          <t>Limit</t>
        </is>
      </c>
      <c r="AJ470" s="733" t="n"/>
      <c r="AK470" s="733" t="n"/>
      <c r="AL470" s="733" t="n"/>
      <c r="AM470" s="733" t="n"/>
      <c r="AN470" s="733" t="n"/>
      <c r="AO470" s="733" t="n"/>
      <c r="AP470" s="719" t="inlineStr">
        <is>
          <t>Pullback</t>
        </is>
      </c>
      <c r="AQ470" s="719" t="inlineStr">
        <is>
          <t>5MIN</t>
        </is>
      </c>
      <c r="AR470" s="719" t="inlineStr">
        <is>
          <t>No</t>
        </is>
      </c>
      <c r="AS470" s="733" t="n"/>
      <c r="AT470" s="733" t="n"/>
      <c r="AU470" s="733" t="n"/>
      <c r="AV470" s="733" t="n"/>
      <c r="AW470" s="719" t="inlineStr">
        <is>
          <t>trade</t>
        </is>
      </c>
      <c r="AX470" s="734" t="inlineStr">
        <is>
          <t>sig:bfdc8087484c996ff9a5484b</t>
        </is>
      </c>
    </row>
    <row r="471" ht="15" customHeight="1">
      <c r="A471" s="737" t="inlineStr">
        <is>
          <t>C203</t>
        </is>
      </c>
      <c r="B471" s="738" t="n">
        <v>44315.26388888889</v>
      </c>
      <c r="C471" s="739" t="n">
        <v>44315.27430555555</v>
      </c>
      <c r="D471" s="740" t="inlineStr">
        <is>
          <t>BYBIT</t>
        </is>
      </c>
      <c r="E471" s="740" t="inlineStr">
        <is>
          <t>ETHUSDT</t>
        </is>
      </c>
      <c r="F471" s="740" t="inlineStr">
        <is>
          <t>BUY</t>
        </is>
      </c>
      <c r="G471" s="775" t="n">
        <v>0.05</v>
      </c>
      <c r="H471" s="742" t="n">
        <v>2672.95</v>
      </c>
      <c r="I471" s="742" t="n">
        <v>2730.95</v>
      </c>
      <c r="J471" s="743" t="n"/>
      <c r="K471" s="744" t="n"/>
      <c r="L471" s="743" t="n">
        <v>2730.95</v>
      </c>
      <c r="M471" s="744" t="n">
        <v>0.02169887203277278</v>
      </c>
      <c r="N471" s="802" t="n">
        <v>0.03341187</v>
      </c>
      <c r="O471" s="746" t="n">
        <v>2.93254522</v>
      </c>
      <c r="P471" s="747" t="n">
        <v>0.01047727730338506</v>
      </c>
      <c r="Q471" s="748" t="n"/>
      <c r="R471" s="749" t="n">
        <v>282.8282791099999</v>
      </c>
      <c r="S471" s="740" t="inlineStr">
        <is>
          <t>15M 0S</t>
        </is>
      </c>
      <c r="T471" s="750" t="n"/>
      <c r="U471" s="751" t="n"/>
      <c r="V471" s="752" t="n"/>
      <c r="W471" s="753" t="n"/>
      <c r="X471" s="754" t="n"/>
      <c r="Y471" s="750" t="n"/>
      <c r="Z471" s="751" t="n"/>
      <c r="AA471" s="752" t="n"/>
      <c r="AB471" s="753" t="n"/>
      <c r="AC471" s="754" t="n"/>
      <c r="AD471" s="740" t="inlineStr">
        <is>
          <t>No</t>
        </is>
      </c>
      <c r="AE471" s="755" t="n"/>
      <c r="AF471" s="755" t="n"/>
      <c r="AG471" s="755" t="n"/>
      <c r="AH471" s="755" t="n"/>
      <c r="AI471" s="740" t="inlineStr">
        <is>
          <t>Limit</t>
        </is>
      </c>
      <c r="AJ471" s="755" t="n"/>
      <c r="AK471" s="755" t="n"/>
      <c r="AL471" s="755" t="n"/>
      <c r="AM471" s="755" t="n"/>
      <c r="AN471" s="755" t="n"/>
      <c r="AO471" s="755" t="n"/>
      <c r="AP471" s="740" t="inlineStr">
        <is>
          <t>Pullback</t>
        </is>
      </c>
      <c r="AQ471" s="740" t="n"/>
      <c r="AR471" s="740" t="inlineStr">
        <is>
          <t>No</t>
        </is>
      </c>
      <c r="AS471" s="755" t="n"/>
      <c r="AT471" s="755" t="n"/>
      <c r="AU471" s="755" t="n"/>
      <c r="AV471" s="755" t="n"/>
      <c r="AW471" s="740" t="inlineStr">
        <is>
          <t>trade</t>
        </is>
      </c>
      <c r="AX471" s="756" t="inlineStr">
        <is>
          <t>sig:cbab132971f436c040988cd1</t>
        </is>
      </c>
    </row>
    <row r="472" ht="15" customHeight="1">
      <c r="A472" s="716" t="inlineStr">
        <is>
          <t>F1133</t>
        </is>
      </c>
      <c r="B472" s="717" t="n">
        <v>44315.20972222222</v>
      </c>
      <c r="C472" s="718" t="n">
        <v>44315.21319444444</v>
      </c>
      <c r="D472" s="719" t="inlineStr">
        <is>
          <t>PEPPERSTONE LIVE</t>
        </is>
      </c>
      <c r="E472" s="719" t="inlineStr">
        <is>
          <t>CHFJPY</t>
        </is>
      </c>
      <c r="F472" s="719" t="inlineStr">
        <is>
          <t>BUY</t>
        </is>
      </c>
      <c r="G472" s="735" t="n">
        <v>0.05</v>
      </c>
      <c r="H472" s="720" t="n">
        <v>119.39</v>
      </c>
      <c r="I472" s="720" t="n">
        <v>119.285</v>
      </c>
      <c r="J472" s="721" t="n">
        <v>119.28</v>
      </c>
      <c r="K472" s="760" t="n">
        <v>0.0009213501968339009</v>
      </c>
      <c r="L472" s="721" t="n">
        <v>119.61</v>
      </c>
      <c r="M472" s="722" t="n">
        <v>0.001842700393667802</v>
      </c>
      <c r="N472" s="761" t="n"/>
      <c r="O472" s="762" t="n">
        <v>-6.62</v>
      </c>
      <c r="P472" s="725" t="n">
        <v>-0.01240048702819144</v>
      </c>
      <c r="Q472" s="726" t="n">
        <v>-0.9545454545454957</v>
      </c>
      <c r="R472" s="764" t="n">
        <v>527.23</v>
      </c>
      <c r="S472" s="719" t="inlineStr">
        <is>
          <t>5M 0S</t>
        </is>
      </c>
      <c r="T472" s="728" t="n"/>
      <c r="U472" s="729" t="n"/>
      <c r="V472" s="730" t="n"/>
      <c r="W472" s="731" t="n"/>
      <c r="X472" s="732" t="n"/>
      <c r="Y472" s="728" t="n"/>
      <c r="Z472" s="729" t="n"/>
      <c r="AA472" s="730" t="n"/>
      <c r="AB472" s="731" t="n"/>
      <c r="AC472" s="732" t="n"/>
      <c r="AD472" s="719" t="inlineStr">
        <is>
          <t>No</t>
        </is>
      </c>
      <c r="AE472" s="733" t="n"/>
      <c r="AF472" s="733" t="n"/>
      <c r="AG472" s="733" t="n"/>
      <c r="AH472" s="733" t="n"/>
      <c r="AI472" s="733" t="n"/>
      <c r="AJ472" s="733" t="n"/>
      <c r="AK472" s="733" t="n"/>
      <c r="AL472" s="733" t="n"/>
      <c r="AM472" s="733" t="n"/>
      <c r="AN472" s="733" t="n"/>
      <c r="AO472" s="733" t="n"/>
      <c r="AP472" s="719" t="inlineStr">
        <is>
          <t>Pullback</t>
        </is>
      </c>
      <c r="AQ472" s="733" t="n"/>
      <c r="AR472" s="719" t="inlineStr">
        <is>
          <t>No</t>
        </is>
      </c>
      <c r="AS472" s="733" t="n"/>
      <c r="AT472" s="733" t="n"/>
      <c r="AU472" s="733" t="n"/>
      <c r="AV472" s="733" t="n"/>
      <c r="AW472" s="719" t="inlineStr">
        <is>
          <t>trade</t>
        </is>
      </c>
      <c r="AX472" s="734" t="inlineStr">
        <is>
          <t>sig:396a1e6e0a12777e1bbc1a11</t>
        </is>
      </c>
    </row>
    <row r="473" ht="15" customHeight="1">
      <c r="A473" s="737" t="inlineStr">
        <is>
          <t>F1131</t>
        </is>
      </c>
      <c r="B473" s="738" t="n">
        <v>44314.68194444444</v>
      </c>
      <c r="C473" s="739" t="n">
        <v>44315.19097222222</v>
      </c>
      <c r="D473" s="740" t="inlineStr">
        <is>
          <t>PEPPERSTONE LIVE</t>
        </is>
      </c>
      <c r="E473" s="740" t="inlineStr">
        <is>
          <t>EURUSD</t>
        </is>
      </c>
      <c r="F473" s="740" t="inlineStr">
        <is>
          <t>BUY</t>
        </is>
      </c>
      <c r="G473" s="775" t="n">
        <v>0.02</v>
      </c>
      <c r="H473" s="742" t="n">
        <v>1.2069</v>
      </c>
      <c r="I473" s="742" t="n">
        <v>1.21083</v>
      </c>
      <c r="J473" s="743" t="n">
        <v>1.2051</v>
      </c>
      <c r="K473" s="744" t="n">
        <v>0.001491424310216276</v>
      </c>
      <c r="L473" s="743" t="n">
        <v>1.2108</v>
      </c>
      <c r="M473" s="744" t="n">
        <v>0.003231419338801901</v>
      </c>
      <c r="N473" s="766" t="n"/>
      <c r="O473" s="767" t="n">
        <v>9.869999999999999</v>
      </c>
      <c r="P473" s="747" t="n">
        <v>0.01883659681667239</v>
      </c>
      <c r="Q473" s="748" t="n">
        <v>2.183333333333298</v>
      </c>
      <c r="R473" s="769" t="n">
        <v>533.85</v>
      </c>
      <c r="S473" s="740" t="inlineStr">
        <is>
          <t>12H 13M 0S</t>
        </is>
      </c>
      <c r="T473" s="750" t="n"/>
      <c r="U473" s="751" t="n"/>
      <c r="V473" s="752" t="n"/>
      <c r="W473" s="753" t="n"/>
      <c r="X473" s="754" t="n"/>
      <c r="Y473" s="750" t="n"/>
      <c r="Z473" s="751" t="n"/>
      <c r="AA473" s="752" t="n"/>
      <c r="AB473" s="753" t="n"/>
      <c r="AC473" s="754" t="n"/>
      <c r="AD473" s="740" t="inlineStr">
        <is>
          <t>No</t>
        </is>
      </c>
      <c r="AE473" s="755" t="n"/>
      <c r="AF473" s="755" t="n"/>
      <c r="AG473" s="755" t="n"/>
      <c r="AH473" s="755" t="n"/>
      <c r="AI473" s="740" t="n"/>
      <c r="AJ473" s="755" t="n"/>
      <c r="AK473" s="755" t="n"/>
      <c r="AL473" s="755" t="n"/>
      <c r="AM473" s="755" t="n"/>
      <c r="AN473" s="755" t="n"/>
      <c r="AO473" s="755" t="n"/>
      <c r="AP473" s="740" t="inlineStr">
        <is>
          <t>Pullback</t>
        </is>
      </c>
      <c r="AQ473" s="740" t="n"/>
      <c r="AR473" s="740" t="inlineStr">
        <is>
          <t>No</t>
        </is>
      </c>
      <c r="AS473" s="755" t="n"/>
      <c r="AT473" s="755" t="n"/>
      <c r="AU473" s="755" t="n"/>
      <c r="AV473" s="755" t="n"/>
      <c r="AW473" s="740" t="inlineStr">
        <is>
          <t>trade</t>
        </is>
      </c>
      <c r="AX473" s="756" t="inlineStr">
        <is>
          <t>sig:774ff0a7b14dfa01b69312f8</t>
        </is>
      </c>
    </row>
    <row r="474" ht="15" customHeight="1">
      <c r="A474" s="737" t="inlineStr">
        <is>
          <t>C202</t>
        </is>
      </c>
      <c r="B474" s="738" t="n">
        <v>44314.97013888889</v>
      </c>
      <c r="C474" s="739" t="n">
        <v>44315.17430555556</v>
      </c>
      <c r="D474" s="740" t="inlineStr">
        <is>
          <t>BYBIT</t>
        </is>
      </c>
      <c r="E474" s="740" t="inlineStr">
        <is>
          <t>ETHUSDT</t>
        </is>
      </c>
      <c r="F474" s="740" t="inlineStr">
        <is>
          <t>BUY</t>
        </is>
      </c>
      <c r="G474" s="775" t="n">
        <v>0.06</v>
      </c>
      <c r="H474" s="742" t="n">
        <v>2681.85</v>
      </c>
      <c r="I474" s="742" t="n">
        <v>2735.95</v>
      </c>
      <c r="J474" s="743" t="n">
        <v>2654.5</v>
      </c>
      <c r="K474" s="744" t="n">
        <v>0.01019818408934128</v>
      </c>
      <c r="L474" s="743" t="n">
        <v>2736.3</v>
      </c>
      <c r="M474" s="744" t="n">
        <v>0.02030314894569058</v>
      </c>
      <c r="N474" s="802" t="n">
        <v>0.02355046</v>
      </c>
      <c r="O474" s="746" t="n">
        <v>3.26868381</v>
      </c>
      <c r="P474" s="747" t="n">
        <v>0.01181621178787362</v>
      </c>
      <c r="Q474" s="748" t="n">
        <v>1.97806215722121</v>
      </c>
      <c r="R474" s="749" t="n">
        <v>279.8957338899999</v>
      </c>
      <c r="S474" s="740" t="inlineStr">
        <is>
          <t>4H 54M 0S</t>
        </is>
      </c>
      <c r="T474" s="750" t="n"/>
      <c r="U474" s="751" t="n"/>
      <c r="V474" s="752" t="n"/>
      <c r="W474" s="753" t="n"/>
      <c r="X474" s="754" t="n"/>
      <c r="Y474" s="750" t="n"/>
      <c r="Z474" s="751" t="n"/>
      <c r="AA474" s="752" t="n"/>
      <c r="AB474" s="753" t="n"/>
      <c r="AC474" s="754" t="n"/>
      <c r="AD474" s="740" t="inlineStr">
        <is>
          <t>No</t>
        </is>
      </c>
      <c r="AE474" s="755" t="n"/>
      <c r="AF474" s="755" t="n"/>
      <c r="AG474" s="755" t="n"/>
      <c r="AH474" s="740" t="inlineStr">
        <is>
          <t>All-Time High</t>
        </is>
      </c>
      <c r="AI474" s="740" t="inlineStr">
        <is>
          <t>Limit</t>
        </is>
      </c>
      <c r="AJ474" s="755" t="n"/>
      <c r="AK474" s="755" t="n"/>
      <c r="AL474" s="755" t="n"/>
      <c r="AM474" s="755" t="n"/>
      <c r="AN474" s="755" t="n"/>
      <c r="AO474" s="755" t="n"/>
      <c r="AP474" s="740" t="inlineStr">
        <is>
          <t>Pullback</t>
        </is>
      </c>
      <c r="AQ474" s="740" t="inlineStr">
        <is>
          <t>1H</t>
        </is>
      </c>
      <c r="AR474" s="740" t="inlineStr">
        <is>
          <t>No</t>
        </is>
      </c>
      <c r="AS474" s="755" t="n"/>
      <c r="AT474" s="755" t="n"/>
      <c r="AU474" s="755" t="n"/>
      <c r="AV474" s="755" t="n"/>
      <c r="AW474" s="740" t="inlineStr">
        <is>
          <t>trade</t>
        </is>
      </c>
      <c r="AX474" s="756" t="inlineStr">
        <is>
          <t>sig:e82501d62b7479cfd6c7de8e</t>
        </is>
      </c>
    </row>
    <row r="475" ht="15" customHeight="1">
      <c r="A475" s="737" t="inlineStr">
        <is>
          <t>F1132</t>
        </is>
      </c>
      <c r="B475" s="738" t="n">
        <v>44315.02152777778</v>
      </c>
      <c r="C475" s="739" t="n">
        <v>44315.075</v>
      </c>
      <c r="D475" s="740" t="inlineStr">
        <is>
          <t>PEPPERSTONE LIVE</t>
        </is>
      </c>
      <c r="E475" s="740" t="inlineStr">
        <is>
          <t>AUDCAD</t>
        </is>
      </c>
      <c r="F475" s="740" t="inlineStr">
        <is>
          <t>SELL</t>
        </is>
      </c>
      <c r="G475" s="775" t="n">
        <v>0.06</v>
      </c>
      <c r="H475" s="742" t="n">
        <v>0.9614</v>
      </c>
      <c r="I475" s="742" t="n">
        <v>0.95961</v>
      </c>
      <c r="J475" s="743" t="n">
        <v>0.9623</v>
      </c>
      <c r="K475" s="765" t="n">
        <v>0.0009361348034117036</v>
      </c>
      <c r="L475" s="743" t="n">
        <v>0.9596</v>
      </c>
      <c r="M475" s="744" t="n">
        <v>0.001872269606823407</v>
      </c>
      <c r="N475" s="766" t="n"/>
      <c r="O475" s="767" t="n">
        <v>11.5</v>
      </c>
      <c r="P475" s="747" t="n">
        <v>0.02243990009366219</v>
      </c>
      <c r="Q475" s="748" t="n">
        <v>1.98888888888894</v>
      </c>
      <c r="R475" s="769" t="n">
        <v>523.98</v>
      </c>
      <c r="S475" s="740" t="inlineStr">
        <is>
          <t>1H 17M 0S</t>
        </is>
      </c>
      <c r="T475" s="750" t="n"/>
      <c r="U475" s="751" t="n"/>
      <c r="V475" s="752" t="n"/>
      <c r="W475" s="753" t="n"/>
      <c r="X475" s="754" t="n"/>
      <c r="Y475" s="750" t="n"/>
      <c r="Z475" s="751" t="n"/>
      <c r="AA475" s="752" t="n"/>
      <c r="AB475" s="753" t="n"/>
      <c r="AC475" s="754" t="n"/>
      <c r="AD475" s="740" t="inlineStr">
        <is>
          <t>No</t>
        </is>
      </c>
      <c r="AE475" s="755" t="n"/>
      <c r="AF475" s="755" t="n"/>
      <c r="AG475" s="755" t="n"/>
      <c r="AH475" s="755" t="n"/>
      <c r="AI475" s="740" t="n"/>
      <c r="AJ475" s="755" t="n"/>
      <c r="AK475" s="755" t="n"/>
      <c r="AL475" s="755" t="n"/>
      <c r="AM475" s="755" t="n"/>
      <c r="AN475" s="755" t="n"/>
      <c r="AO475" s="755" t="n"/>
      <c r="AP475" s="740" t="inlineStr">
        <is>
          <t>Pullback</t>
        </is>
      </c>
      <c r="AQ475" s="740" t="n"/>
      <c r="AR475" s="740" t="inlineStr">
        <is>
          <t>No</t>
        </is>
      </c>
      <c r="AS475" s="755" t="n"/>
      <c r="AT475" s="755" t="n"/>
      <c r="AU475" s="755" t="n"/>
      <c r="AV475" s="755" t="n"/>
      <c r="AW475" s="740" t="inlineStr">
        <is>
          <t>trade</t>
        </is>
      </c>
      <c r="AX475" s="756" t="inlineStr">
        <is>
          <t>sig:5a9386a878f961aacbdae105</t>
        </is>
      </c>
    </row>
    <row r="476" ht="15" customHeight="1">
      <c r="A476" s="716" t="inlineStr">
        <is>
          <t>C201</t>
        </is>
      </c>
      <c r="B476" s="717" t="n">
        <v>44313.74652777778</v>
      </c>
      <c r="C476" s="718" t="n">
        <v>44313.98958333334</v>
      </c>
      <c r="D476" s="719" t="inlineStr">
        <is>
          <t>BYBIT</t>
        </is>
      </c>
      <c r="E476" s="719" t="inlineStr">
        <is>
          <t>UNIUSDT</t>
        </is>
      </c>
      <c r="F476" s="719" t="inlineStr">
        <is>
          <t>BUY</t>
        </is>
      </c>
      <c r="G476" s="720" t="n">
        <v>1.8</v>
      </c>
      <c r="H476" s="720" t="n">
        <v>39.317</v>
      </c>
      <c r="I476" s="720" t="n">
        <v>38.891</v>
      </c>
      <c r="J476" s="721" t="n">
        <v>38.519</v>
      </c>
      <c r="K476" s="722" t="n">
        <v>0.02029656382735208</v>
      </c>
      <c r="L476" s="721" t="n">
        <v>41.309</v>
      </c>
      <c r="M476" s="722" t="n">
        <v>0.05066510669684862</v>
      </c>
      <c r="N476" s="723" t="n">
        <v>0.01058193</v>
      </c>
      <c r="O476" s="724" t="n">
        <v>-0.75708472</v>
      </c>
      <c r="P476" s="725" t="n">
        <v>-0.002729372826408673</v>
      </c>
      <c r="Q476" s="726" t="n">
        <v>-0.5338345864661667</v>
      </c>
      <c r="R476" s="727" t="n">
        <v>276.6270500799999</v>
      </c>
      <c r="S476" s="719" t="inlineStr">
        <is>
          <t>5H 50M 0S</t>
        </is>
      </c>
      <c r="T476" s="728" t="n"/>
      <c r="U476" s="729" t="n"/>
      <c r="V476" s="730" t="n"/>
      <c r="W476" s="731" t="n"/>
      <c r="X476" s="732" t="n"/>
      <c r="Y476" s="728" t="n"/>
      <c r="Z476" s="729" t="n"/>
      <c r="AA476" s="730" t="n"/>
      <c r="AB476" s="731" t="n"/>
      <c r="AC476" s="732" t="n"/>
      <c r="AD476" s="719" t="inlineStr">
        <is>
          <t>No</t>
        </is>
      </c>
      <c r="AE476" s="733" t="n"/>
      <c r="AF476" s="733" t="n"/>
      <c r="AG476" s="733" t="n"/>
      <c r="AH476" s="719" t="inlineStr">
        <is>
          <t>All-Time High</t>
        </is>
      </c>
      <c r="AI476" s="719" t="inlineStr">
        <is>
          <t>Limit</t>
        </is>
      </c>
      <c r="AJ476" s="733" t="n"/>
      <c r="AK476" s="733" t="n"/>
      <c r="AL476" s="733" t="n"/>
      <c r="AM476" s="733" t="n"/>
      <c r="AN476" s="733" t="n"/>
      <c r="AO476" s="733" t="n"/>
      <c r="AP476" s="719" t="inlineStr">
        <is>
          <t>Pullback</t>
        </is>
      </c>
      <c r="AQ476" s="719" t="inlineStr">
        <is>
          <t>15MIN</t>
        </is>
      </c>
      <c r="AR476" s="719" t="inlineStr">
        <is>
          <t>No</t>
        </is>
      </c>
      <c r="AS476" s="733" t="n"/>
      <c r="AT476" s="733" t="n"/>
      <c r="AU476" s="733" t="n"/>
      <c r="AV476" s="733" t="n"/>
      <c r="AW476" s="719" t="inlineStr">
        <is>
          <t>trade</t>
        </is>
      </c>
      <c r="AX476" s="734" t="inlineStr">
        <is>
          <t>sig:87d2e46567d7968f49b5279a</t>
        </is>
      </c>
    </row>
    <row r="477" ht="15" customHeight="1">
      <c r="A477" s="737" t="inlineStr">
        <is>
          <t>C195</t>
        </is>
      </c>
      <c r="B477" s="738" t="n">
        <v>44310.91319444445</v>
      </c>
      <c r="C477" s="739" t="n">
        <v>44313.34513888889</v>
      </c>
      <c r="D477" s="740" t="inlineStr">
        <is>
          <t>BYBIT</t>
        </is>
      </c>
      <c r="E477" s="740" t="inlineStr">
        <is>
          <t>ETHUSDT</t>
        </is>
      </c>
      <c r="F477" s="740" t="inlineStr">
        <is>
          <t>BUY</t>
        </is>
      </c>
      <c r="G477" s="775" t="n">
        <v>0.01</v>
      </c>
      <c r="H477" s="742" t="n">
        <v>2157.2</v>
      </c>
      <c r="I477" s="742" t="n">
        <v>2540.55</v>
      </c>
      <c r="J477" s="743" t="n"/>
      <c r="K477" s="744" t="n"/>
      <c r="L477" s="743" t="n">
        <v>2540.55</v>
      </c>
      <c r="M477" s="744" t="n">
        <v>0.177707213053959</v>
      </c>
      <c r="N477" s="745" t="n">
        <v>0.13511996</v>
      </c>
      <c r="O477" s="746" t="n">
        <v>3.96775331</v>
      </c>
      <c r="P477" s="747" t="n">
        <v>0.01451176146936579</v>
      </c>
      <c r="Q477" s="748" t="n"/>
      <c r="R477" s="749" t="n">
        <v>277.3841347999999</v>
      </c>
      <c r="S477" s="740" t="inlineStr">
        <is>
          <t>2D 10H 22M 0S</t>
        </is>
      </c>
      <c r="T477" s="750" t="n"/>
      <c r="U477" s="751" t="n"/>
      <c r="V477" s="752" t="n"/>
      <c r="W477" s="753" t="n"/>
      <c r="X477" s="754" t="n"/>
      <c r="Y477" s="750" t="n"/>
      <c r="Z477" s="751" t="n"/>
      <c r="AA477" s="752" t="n"/>
      <c r="AB477" s="753" t="n"/>
      <c r="AC477" s="754" t="n"/>
      <c r="AD477" s="740" t="inlineStr">
        <is>
          <t>No</t>
        </is>
      </c>
      <c r="AE477" s="755" t="n"/>
      <c r="AF477" s="755" t="n"/>
      <c r="AG477" s="755" t="n"/>
      <c r="AH477" s="755" t="n"/>
      <c r="AI477" s="740" t="inlineStr">
        <is>
          <t>Limit</t>
        </is>
      </c>
      <c r="AJ477" s="755" t="n"/>
      <c r="AK477" s="755" t="n"/>
      <c r="AL477" s="755" t="n"/>
      <c r="AM477" s="755" t="n"/>
      <c r="AN477" s="755" t="n"/>
      <c r="AO477" s="755" t="n"/>
      <c r="AP477" s="740" t="inlineStr">
        <is>
          <t>Pullback</t>
        </is>
      </c>
      <c r="AQ477" s="740" t="n"/>
      <c r="AR477" s="740" t="inlineStr">
        <is>
          <t>No</t>
        </is>
      </c>
      <c r="AS477" s="755" t="n"/>
      <c r="AT477" s="755" t="n"/>
      <c r="AU477" s="755" t="n"/>
      <c r="AV477" s="755" t="n"/>
      <c r="AW477" s="740" t="inlineStr">
        <is>
          <t>trade</t>
        </is>
      </c>
      <c r="AX477" s="756" t="inlineStr">
        <is>
          <t>sig:96f4f8ce81910acbc12ef6a1</t>
        </is>
      </c>
    </row>
    <row r="478" ht="15" customHeight="1">
      <c r="A478" s="737" t="inlineStr">
        <is>
          <t>C200</t>
        </is>
      </c>
      <c r="B478" s="738" t="n">
        <v>44313.05138888889</v>
      </c>
      <c r="C478" s="739" t="n">
        <v>44313.19583333333</v>
      </c>
      <c r="D478" s="740" t="inlineStr">
        <is>
          <t>BYBIT</t>
        </is>
      </c>
      <c r="E478" s="740" t="inlineStr">
        <is>
          <t>DOTUSDT</t>
        </is>
      </c>
      <c r="F478" s="740" t="inlineStr">
        <is>
          <t>BUY</t>
        </is>
      </c>
      <c r="G478" s="742" t="n">
        <v>2.7</v>
      </c>
      <c r="H478" s="742" t="n">
        <v>32.27</v>
      </c>
      <c r="I478" s="742" t="n">
        <v>33.275</v>
      </c>
      <c r="J478" s="743" t="n">
        <v>31.765</v>
      </c>
      <c r="K478" s="744" t="n">
        <v>0.0156492097923769</v>
      </c>
      <c r="L478" s="743" t="n">
        <v>33.275</v>
      </c>
      <c r="M478" s="744" t="n">
        <v>0.03114347691354185</v>
      </c>
      <c r="N478" s="802" t="n">
        <v>0.03534453</v>
      </c>
      <c r="O478" s="746" t="n">
        <v>2.67728882</v>
      </c>
      <c r="P478" s="747" t="n">
        <v>0.00988881507135473</v>
      </c>
      <c r="Q478" s="748" t="n">
        <v>1.990099009900971</v>
      </c>
      <c r="R478" s="749" t="n">
        <v>273.4163814899999</v>
      </c>
      <c r="S478" s="740" t="inlineStr">
        <is>
          <t>3H 28M 0S</t>
        </is>
      </c>
      <c r="T478" s="750" t="n"/>
      <c r="U478" s="751" t="n"/>
      <c r="V478" s="752" t="n"/>
      <c r="W478" s="753" t="n"/>
      <c r="X478" s="754" t="n"/>
      <c r="Y478" s="750" t="n"/>
      <c r="Z478" s="751" t="n"/>
      <c r="AA478" s="752" t="n"/>
      <c r="AB478" s="753" t="n"/>
      <c r="AC478" s="754" t="n"/>
      <c r="AD478" s="740" t="inlineStr">
        <is>
          <t>No</t>
        </is>
      </c>
      <c r="AE478" s="755" t="n"/>
      <c r="AF478" s="755" t="n"/>
      <c r="AG478" s="755" t="n"/>
      <c r="AH478" s="755" t="n"/>
      <c r="AI478" s="740" t="inlineStr">
        <is>
          <t>Limit</t>
        </is>
      </c>
      <c r="AJ478" s="755" t="n"/>
      <c r="AK478" s="755" t="n"/>
      <c r="AL478" s="755" t="n"/>
      <c r="AM478" s="755" t="n"/>
      <c r="AN478" s="755" t="n"/>
      <c r="AO478" s="755" t="n"/>
      <c r="AP478" s="740" t="inlineStr">
        <is>
          <t>Pullback</t>
        </is>
      </c>
      <c r="AQ478" s="740" t="inlineStr">
        <is>
          <t>1H</t>
        </is>
      </c>
      <c r="AR478" s="740" t="inlineStr">
        <is>
          <t>No</t>
        </is>
      </c>
      <c r="AS478" s="755" t="n"/>
      <c r="AT478" s="755" t="n"/>
      <c r="AU478" s="755" t="n"/>
      <c r="AV478" s="755" t="n"/>
      <c r="AW478" s="740" t="inlineStr">
        <is>
          <t>trade</t>
        </is>
      </c>
      <c r="AX478" s="756" t="inlineStr">
        <is>
          <t>sig:379f0367339025bc3fdf4238</t>
        </is>
      </c>
    </row>
    <row r="479" ht="15" customHeight="1">
      <c r="A479" s="716" t="inlineStr">
        <is>
          <t>C199</t>
        </is>
      </c>
      <c r="B479" s="717" t="n">
        <v>44312.53402777778</v>
      </c>
      <c r="C479" s="718" t="n">
        <v>44313.12569444445</v>
      </c>
      <c r="D479" s="719" t="inlineStr">
        <is>
          <t>BYBIT</t>
        </is>
      </c>
      <c r="E479" s="719" t="inlineStr">
        <is>
          <t>LTCUSDT</t>
        </is>
      </c>
      <c r="F479" s="719" t="inlineStr">
        <is>
          <t>SELL</t>
        </is>
      </c>
      <c r="G479" s="720" t="n">
        <v>0.2</v>
      </c>
      <c r="H479" s="720" t="n">
        <v>239.61</v>
      </c>
      <c r="I479" s="720" t="n">
        <v>246.4</v>
      </c>
      <c r="J479" s="721" t="n">
        <v>246.25</v>
      </c>
      <c r="K479" s="722" t="n">
        <v>0.02771169817620294</v>
      </c>
      <c r="L479" s="721" t="n">
        <v>226.32</v>
      </c>
      <c r="M479" s="722" t="n">
        <v>0.0554651308376112</v>
      </c>
      <c r="N479" s="723" t="n">
        <v>0.05209398</v>
      </c>
      <c r="O479" s="724" t="n">
        <v>-1.30677267</v>
      </c>
      <c r="P479" s="725" t="n">
        <v>-0.004803501308012199</v>
      </c>
      <c r="Q479" s="726" t="n">
        <v>-1.022590361445784</v>
      </c>
      <c r="R479" s="727" t="n">
        <v>270.7390926699999</v>
      </c>
      <c r="S479" s="719" t="inlineStr">
        <is>
          <t>14H 12M 0S</t>
        </is>
      </c>
      <c r="T479" s="728" t="n"/>
      <c r="U479" s="729" t="n"/>
      <c r="V479" s="730" t="n"/>
      <c r="W479" s="731" t="n"/>
      <c r="X479" s="732" t="n"/>
      <c r="Y479" s="728" t="n"/>
      <c r="Z479" s="729" t="n"/>
      <c r="AA479" s="730" t="n"/>
      <c r="AB479" s="731" t="n"/>
      <c r="AC479" s="732" t="n"/>
      <c r="AD479" s="719" t="inlineStr">
        <is>
          <t>No</t>
        </is>
      </c>
      <c r="AE479" s="733" t="n"/>
      <c r="AF479" s="733" t="n"/>
      <c r="AG479" s="733" t="n"/>
      <c r="AH479" s="733" t="n"/>
      <c r="AI479" s="719" t="inlineStr">
        <is>
          <t>Limit</t>
        </is>
      </c>
      <c r="AJ479" s="733" t="n"/>
      <c r="AK479" s="733" t="n"/>
      <c r="AL479" s="733" t="n"/>
      <c r="AM479" s="733" t="n"/>
      <c r="AN479" s="733" t="n"/>
      <c r="AO479" s="733" t="n"/>
      <c r="AP479" s="719" t="inlineStr">
        <is>
          <t>Pullback</t>
        </is>
      </c>
      <c r="AQ479" s="719" t="inlineStr">
        <is>
          <t>1H</t>
        </is>
      </c>
      <c r="AR479" s="719" t="inlineStr">
        <is>
          <t>No</t>
        </is>
      </c>
      <c r="AS479" s="733" t="n"/>
      <c r="AT479" s="733" t="n"/>
      <c r="AU479" s="733" t="n"/>
      <c r="AV479" s="733" t="n"/>
      <c r="AW479" s="719" t="inlineStr">
        <is>
          <t>trade</t>
        </is>
      </c>
      <c r="AX479" s="734" t="inlineStr">
        <is>
          <t>sig:4a280cb55bf3507431a6f786</t>
        </is>
      </c>
    </row>
    <row r="480" ht="15" customHeight="1">
      <c r="A480" s="737" t="inlineStr">
        <is>
          <t>F1130</t>
        </is>
      </c>
      <c r="B480" s="738" t="n">
        <v>44309.93263888889</v>
      </c>
      <c r="C480" s="739" t="n">
        <v>44313.03333333333</v>
      </c>
      <c r="D480" s="740" t="inlineStr">
        <is>
          <t>PEPPERSTONE LIVE</t>
        </is>
      </c>
      <c r="E480" s="740" t="inlineStr">
        <is>
          <t>AUDJPY</t>
        </is>
      </c>
      <c r="F480" s="740" t="inlineStr">
        <is>
          <t>BUY</t>
        </is>
      </c>
      <c r="G480" s="775" t="n">
        <v>0.01</v>
      </c>
      <c r="H480" s="742" t="n">
        <v>83.27</v>
      </c>
      <c r="I480" s="742" t="n">
        <v>84.26300000000001</v>
      </c>
      <c r="J480" s="743" t="n">
        <v>82.84</v>
      </c>
      <c r="K480" s="744" t="n">
        <v>0.00516392458268275</v>
      </c>
      <c r="L480" s="743" t="n">
        <v>84.26000000000001</v>
      </c>
      <c r="M480" s="744" t="n">
        <v>0.01188903566710711</v>
      </c>
      <c r="N480" s="808" t="n">
        <v>0.01</v>
      </c>
      <c r="O480" s="767" t="n">
        <v>11.77</v>
      </c>
      <c r="P480" s="747" t="n">
        <v>0.02350662059874977</v>
      </c>
      <c r="Q480" s="748" t="n">
        <v>2.309302325581457</v>
      </c>
      <c r="R480" s="769" t="n">
        <v>512.48</v>
      </c>
      <c r="S480" s="740" t="inlineStr">
        <is>
          <t>3D 2H 25M 0S</t>
        </is>
      </c>
      <c r="T480" s="750" t="n"/>
      <c r="U480" s="751" t="n"/>
      <c r="V480" s="752" t="n"/>
      <c r="W480" s="753" t="n"/>
      <c r="X480" s="754" t="n"/>
      <c r="Y480" s="750" t="n"/>
      <c r="Z480" s="751" t="n"/>
      <c r="AA480" s="752" t="n"/>
      <c r="AB480" s="753" t="n"/>
      <c r="AC480" s="754" t="n"/>
      <c r="AD480" s="740" t="inlineStr">
        <is>
          <t>No</t>
        </is>
      </c>
      <c r="AE480" s="755" t="n"/>
      <c r="AF480" s="755" t="n"/>
      <c r="AG480" s="755" t="n"/>
      <c r="AH480" s="755" t="n"/>
      <c r="AI480" s="740" t="n"/>
      <c r="AJ480" s="755" t="n"/>
      <c r="AK480" s="755" t="n"/>
      <c r="AL480" s="755" t="n"/>
      <c r="AM480" s="755" t="n"/>
      <c r="AN480" s="755" t="n"/>
      <c r="AO480" s="755" t="n"/>
      <c r="AP480" s="740" t="inlineStr">
        <is>
          <t>Pullback</t>
        </is>
      </c>
      <c r="AQ480" s="755" t="n"/>
      <c r="AR480" s="740" t="inlineStr">
        <is>
          <t>No</t>
        </is>
      </c>
      <c r="AS480" s="755" t="n"/>
      <c r="AT480" s="755" t="n"/>
      <c r="AU480" s="755" t="n"/>
      <c r="AV480" s="755" t="n"/>
      <c r="AW480" s="740" t="inlineStr">
        <is>
          <t>trade</t>
        </is>
      </c>
      <c r="AX480" s="756" t="inlineStr">
        <is>
          <t>sig:9cea19a8602972c6c50d9968</t>
        </is>
      </c>
    </row>
    <row r="481" ht="15" customHeight="1">
      <c r="A481" s="737" t="inlineStr">
        <is>
          <t>C198</t>
        </is>
      </c>
      <c r="B481" s="738" t="n">
        <v>44312.32083333333</v>
      </c>
      <c r="C481" s="739" t="n">
        <v>44312.825</v>
      </c>
      <c r="D481" s="740" t="inlineStr">
        <is>
          <t>BYBIT</t>
        </is>
      </c>
      <c r="E481" s="740" t="inlineStr">
        <is>
          <t>LINKUSDT</t>
        </is>
      </c>
      <c r="F481" s="740" t="inlineStr">
        <is>
          <t>BUY</t>
        </is>
      </c>
      <c r="G481" s="742" t="n">
        <v>0.6</v>
      </c>
      <c r="H481" s="742" t="n">
        <v>30.04</v>
      </c>
      <c r="I481" s="742" t="n">
        <v>34.814</v>
      </c>
      <c r="J481" s="743" t="n">
        <v>27.65</v>
      </c>
      <c r="K481" s="744" t="n">
        <v>0.07956058588548603</v>
      </c>
      <c r="L481" s="743" t="n">
        <v>34.812</v>
      </c>
      <c r="M481" s="744" t="n">
        <v>0.1588548601864181</v>
      </c>
      <c r="N481" s="802" t="n">
        <v>0.02184372</v>
      </c>
      <c r="O481" s="746" t="n">
        <v>2.88537707</v>
      </c>
      <c r="P481" s="747" t="n">
        <v>0.01071991319582399</v>
      </c>
      <c r="Q481" s="748" t="n">
        <v>1.997489539748954</v>
      </c>
      <c r="R481" s="749" t="n">
        <v>272.0458653399999</v>
      </c>
      <c r="S481" s="740" t="inlineStr">
        <is>
          <t>12H 6M 0S</t>
        </is>
      </c>
      <c r="T481" s="750" t="n"/>
      <c r="U481" s="751" t="n"/>
      <c r="V481" s="752" t="n"/>
      <c r="W481" s="753" t="n"/>
      <c r="X481" s="754" t="n"/>
      <c r="Y481" s="750" t="n"/>
      <c r="Z481" s="751" t="n"/>
      <c r="AA481" s="752" t="n"/>
      <c r="AB481" s="753" t="n"/>
      <c r="AC481" s="754" t="n"/>
      <c r="AD481" s="740" t="inlineStr">
        <is>
          <t>No</t>
        </is>
      </c>
      <c r="AE481" s="755" t="n"/>
      <c r="AF481" s="755" t="n"/>
      <c r="AG481" s="755" t="n"/>
      <c r="AH481" s="755" t="n"/>
      <c r="AI481" s="740" t="inlineStr">
        <is>
          <t>Limit</t>
        </is>
      </c>
      <c r="AJ481" s="755" t="n"/>
      <c r="AK481" s="755" t="n"/>
      <c r="AL481" s="755" t="n"/>
      <c r="AM481" s="755" t="n"/>
      <c r="AN481" s="755" t="n"/>
      <c r="AO481" s="755" t="n"/>
      <c r="AP481" s="740" t="inlineStr">
        <is>
          <t>Pullback</t>
        </is>
      </c>
      <c r="AQ481" s="740" t="inlineStr">
        <is>
          <t>DAILY</t>
        </is>
      </c>
      <c r="AR481" s="740" t="inlineStr">
        <is>
          <t>No</t>
        </is>
      </c>
      <c r="AS481" s="755" t="n"/>
      <c r="AT481" s="755" t="n"/>
      <c r="AU481" s="755" t="n"/>
      <c r="AV481" s="755" t="n"/>
      <c r="AW481" s="740" t="inlineStr">
        <is>
          <t>trade</t>
        </is>
      </c>
      <c r="AX481" s="756" t="inlineStr">
        <is>
          <t>sig:e6c783f258a6a129173aacbd</t>
        </is>
      </c>
    </row>
    <row r="482" ht="15" customHeight="1">
      <c r="A482" s="716" t="inlineStr">
        <is>
          <t>C197</t>
        </is>
      </c>
      <c r="B482" s="717" t="n">
        <v>44311.84166666667</v>
      </c>
      <c r="C482" s="718" t="n">
        <v>44311.96666666667</v>
      </c>
      <c r="D482" s="719" t="inlineStr">
        <is>
          <t>BYBIT</t>
        </is>
      </c>
      <c r="E482" s="719" t="inlineStr">
        <is>
          <t>UNIUSDT</t>
        </is>
      </c>
      <c r="F482" s="719" t="inlineStr">
        <is>
          <t>SELL</t>
        </is>
      </c>
      <c r="G482" s="720" t="n">
        <v>1.3</v>
      </c>
      <c r="H482" s="720" t="n">
        <v>32.716</v>
      </c>
      <c r="I482" s="720" t="n">
        <v>33.776</v>
      </c>
      <c r="J482" s="721" t="n">
        <v>33.763</v>
      </c>
      <c r="K482" s="722" t="n">
        <v>0.03200268981538076</v>
      </c>
      <c r="L482" s="721" t="n">
        <v>29.562</v>
      </c>
      <c r="M482" s="722" t="n">
        <v>0.0964054285364959</v>
      </c>
      <c r="N482" s="811" t="n">
        <v>0.0066326</v>
      </c>
      <c r="O482" s="724" t="n">
        <v>-1.38549925</v>
      </c>
      <c r="P482" s="725" t="n">
        <v>-0.005121122891898657</v>
      </c>
      <c r="Q482" s="726" t="n">
        <v>-1.012416427889212</v>
      </c>
      <c r="R482" s="727" t="n">
        <v>269.1604882699999</v>
      </c>
      <c r="S482" s="719" t="inlineStr">
        <is>
          <t>3H 0M 0S</t>
        </is>
      </c>
      <c r="T482" s="728" t="n"/>
      <c r="U482" s="729" t="n"/>
      <c r="V482" s="730" t="n"/>
      <c r="W482" s="731" t="n"/>
      <c r="X482" s="732" t="n"/>
      <c r="Y482" s="728" t="n"/>
      <c r="Z482" s="729" t="n"/>
      <c r="AA482" s="730" t="n"/>
      <c r="AB482" s="731" t="n"/>
      <c r="AC482" s="732" t="n"/>
      <c r="AD482" s="719" t="inlineStr">
        <is>
          <t>No</t>
        </is>
      </c>
      <c r="AE482" s="733" t="n"/>
      <c r="AF482" s="733" t="n"/>
      <c r="AG482" s="733" t="n"/>
      <c r="AH482" s="733" t="n"/>
      <c r="AI482" s="719" t="inlineStr">
        <is>
          <t>Limit</t>
        </is>
      </c>
      <c r="AJ482" s="733" t="n"/>
      <c r="AK482" s="733" t="n"/>
      <c r="AL482" s="733" t="n"/>
      <c r="AM482" s="733" t="n"/>
      <c r="AN482" s="733" t="n"/>
      <c r="AO482" s="733" t="n"/>
      <c r="AP482" s="719" t="inlineStr">
        <is>
          <t>Pullback</t>
        </is>
      </c>
      <c r="AQ482" s="719" t="inlineStr">
        <is>
          <t>4H</t>
        </is>
      </c>
      <c r="AR482" s="719" t="inlineStr">
        <is>
          <t>No</t>
        </is>
      </c>
      <c r="AS482" s="733" t="n"/>
      <c r="AT482" s="733" t="n"/>
      <c r="AU482" s="733" t="n"/>
      <c r="AV482" s="733" t="n"/>
      <c r="AW482" s="719" t="inlineStr">
        <is>
          <t>trade</t>
        </is>
      </c>
      <c r="AX482" s="734" t="inlineStr">
        <is>
          <t>sig:f1ee3d02f23d5e6ee598437d</t>
        </is>
      </c>
    </row>
    <row r="483" ht="15" customHeight="1">
      <c r="A483" s="716" t="inlineStr">
        <is>
          <t>C196</t>
        </is>
      </c>
      <c r="B483" s="717" t="n">
        <v>44311.075</v>
      </c>
      <c r="C483" s="718" t="n">
        <v>44311.07777777778</v>
      </c>
      <c r="D483" s="719" t="inlineStr">
        <is>
          <t>BYBIT</t>
        </is>
      </c>
      <c r="E483" s="719" t="inlineStr">
        <is>
          <t>UNIUSDT</t>
        </is>
      </c>
      <c r="F483" s="719" t="inlineStr">
        <is>
          <t>SELL</t>
        </is>
      </c>
      <c r="G483" s="720" t="n">
        <v>7.3</v>
      </c>
      <c r="H483" s="720" t="n">
        <v>30.914</v>
      </c>
      <c r="I483" s="720" t="n">
        <v>31.146</v>
      </c>
      <c r="J483" s="721" t="n">
        <v>31.101</v>
      </c>
      <c r="K483" s="722" t="n">
        <v>0.006049039270233474</v>
      </c>
      <c r="L483" s="721" t="n">
        <v>30.158</v>
      </c>
      <c r="M483" s="722" t="n">
        <v>0.0244549395096073</v>
      </c>
      <c r="N483" s="723" t="n">
        <v>0.08117418</v>
      </c>
      <c r="O483" s="724" t="n">
        <v>-1.77494083</v>
      </c>
      <c r="P483" s="725" t="n">
        <v>-0.006517827479343641</v>
      </c>
      <c r="Q483" s="726" t="n">
        <v>-1.240641711229959</v>
      </c>
      <c r="R483" s="727" t="n">
        <v>270.5459875199999</v>
      </c>
      <c r="S483" s="719" t="inlineStr">
        <is>
          <t>4M 0S</t>
        </is>
      </c>
      <c r="T483" s="728" t="n"/>
      <c r="U483" s="729" t="n"/>
      <c r="V483" s="730" t="n"/>
      <c r="W483" s="731" t="n"/>
      <c r="X483" s="732" t="n"/>
      <c r="Y483" s="728" t="n"/>
      <c r="Z483" s="729" t="n"/>
      <c r="AA483" s="730" t="n"/>
      <c r="AB483" s="731" t="n"/>
      <c r="AC483" s="732" t="n"/>
      <c r="AD483" s="719" t="inlineStr">
        <is>
          <t>No</t>
        </is>
      </c>
      <c r="AE483" s="733" t="n"/>
      <c r="AF483" s="733" t="n"/>
      <c r="AG483" s="733" t="n"/>
      <c r="AH483" s="733" t="n"/>
      <c r="AI483" s="719" t="inlineStr">
        <is>
          <t>Limit</t>
        </is>
      </c>
      <c r="AJ483" s="733" t="n"/>
      <c r="AK483" s="733" t="n"/>
      <c r="AL483" s="733" t="n"/>
      <c r="AM483" s="733" t="n"/>
      <c r="AN483" s="733" t="n"/>
      <c r="AO483" s="733" t="n"/>
      <c r="AP483" s="719" t="inlineStr">
        <is>
          <t>Pullback</t>
        </is>
      </c>
      <c r="AQ483" s="719" t="inlineStr">
        <is>
          <t>5MIN</t>
        </is>
      </c>
      <c r="AR483" s="719" t="inlineStr">
        <is>
          <t>No</t>
        </is>
      </c>
      <c r="AS483" s="733" t="n"/>
      <c r="AT483" s="733" t="n"/>
      <c r="AU483" s="733" t="n"/>
      <c r="AV483" s="733" t="n"/>
      <c r="AW483" s="719" t="inlineStr">
        <is>
          <t>trade</t>
        </is>
      </c>
      <c r="AX483" s="734" t="inlineStr">
        <is>
          <t>sig:de4ee79bfa5977d83e9033bc</t>
        </is>
      </c>
    </row>
    <row r="484" ht="15" customHeight="1">
      <c r="A484" s="716" t="inlineStr">
        <is>
          <t>C194</t>
        </is>
      </c>
      <c r="B484" s="717" t="n">
        <v>44309.7875</v>
      </c>
      <c r="C484" s="718" t="n">
        <v>44309.86180555556</v>
      </c>
      <c r="D484" s="719" t="inlineStr">
        <is>
          <t>BYBIT</t>
        </is>
      </c>
      <c r="E484" s="719" t="inlineStr">
        <is>
          <t>BTCUSDT</t>
        </is>
      </c>
      <c r="F484" s="719" t="inlineStr">
        <is>
          <t>SELL</t>
        </is>
      </c>
      <c r="G484" s="757" t="n">
        <v>0.002</v>
      </c>
      <c r="H484" s="720" t="n">
        <v>48666.5</v>
      </c>
      <c r="I484" s="720" t="n">
        <v>49580</v>
      </c>
      <c r="J484" s="721" t="n">
        <v>49578.5</v>
      </c>
      <c r="K484" s="722" t="n">
        <v>0.01873979020476097</v>
      </c>
      <c r="L484" s="721" t="n">
        <v>45761.5</v>
      </c>
      <c r="M484" s="722" t="n">
        <v>0.05969198524652482</v>
      </c>
      <c r="N484" s="723" t="n">
        <v>0.02433325</v>
      </c>
      <c r="O484" s="724" t="n">
        <v>-1.8035334</v>
      </c>
      <c r="P484" s="725" t="n">
        <v>-0.006579250127793459</v>
      </c>
      <c r="Q484" s="726" t="n">
        <v>-1.001644736842105</v>
      </c>
      <c r="R484" s="727" t="n">
        <v>272.3209283499999</v>
      </c>
      <c r="S484" s="719" t="inlineStr">
        <is>
          <t>1H 47M 0S</t>
        </is>
      </c>
      <c r="T484" s="728" t="n"/>
      <c r="U484" s="729" t="n"/>
      <c r="V484" s="730" t="n"/>
      <c r="W484" s="731" t="n"/>
      <c r="X484" s="732" t="n"/>
      <c r="Y484" s="728" t="n"/>
      <c r="Z484" s="729" t="n"/>
      <c r="AA484" s="730" t="n"/>
      <c r="AB484" s="731" t="n"/>
      <c r="AC484" s="732" t="n"/>
      <c r="AD484" s="719" t="inlineStr">
        <is>
          <t>No</t>
        </is>
      </c>
      <c r="AE484" s="733" t="n"/>
      <c r="AF484" s="733" t="n"/>
      <c r="AG484" s="733" t="n"/>
      <c r="AH484" s="733" t="n"/>
      <c r="AI484" s="719" t="inlineStr">
        <is>
          <t>Limit</t>
        </is>
      </c>
      <c r="AJ484" s="733" t="n"/>
      <c r="AK484" s="733" t="n"/>
      <c r="AL484" s="733" t="n"/>
      <c r="AM484" s="733" t="n"/>
      <c r="AN484" s="733" t="n"/>
      <c r="AO484" s="733" t="n"/>
      <c r="AP484" s="719" t="inlineStr">
        <is>
          <t>Pullback</t>
        </is>
      </c>
      <c r="AQ484" s="719" t="inlineStr">
        <is>
          <t>5MIN</t>
        </is>
      </c>
      <c r="AR484" s="719" t="inlineStr">
        <is>
          <t>No</t>
        </is>
      </c>
      <c r="AS484" s="733" t="n"/>
      <c r="AT484" s="733" t="n"/>
      <c r="AU484" s="733" t="n"/>
      <c r="AV484" s="733" t="n"/>
      <c r="AW484" s="719" t="inlineStr">
        <is>
          <t>trade</t>
        </is>
      </c>
      <c r="AX484" s="734" t="inlineStr">
        <is>
          <t>sig:2c9fb46d497aa9109f20923a</t>
        </is>
      </c>
    </row>
    <row r="485" ht="15" customHeight="1">
      <c r="A485" s="716" t="inlineStr">
        <is>
          <t>C193</t>
        </is>
      </c>
      <c r="B485" s="717" t="n">
        <v>44309.51458333333</v>
      </c>
      <c r="C485" s="718" t="n">
        <v>44309.51736111111</v>
      </c>
      <c r="D485" s="719" t="inlineStr">
        <is>
          <t>BYBIT</t>
        </is>
      </c>
      <c r="E485" s="719" t="inlineStr">
        <is>
          <t>ADAUSDT</t>
        </is>
      </c>
      <c r="F485" s="719" t="inlineStr">
        <is>
          <t>BUY</t>
        </is>
      </c>
      <c r="G485" s="720" t="n">
        <v>18</v>
      </c>
      <c r="H485" s="720" t="n">
        <v>1.0307</v>
      </c>
      <c r="I485" s="720" t="n">
        <v>0.95</v>
      </c>
      <c r="J485" s="721" t="n">
        <v>0.9486</v>
      </c>
      <c r="K485" s="722" t="n">
        <v>0.07965460366741045</v>
      </c>
      <c r="L485" s="721" t="n">
        <v>1.5229</v>
      </c>
      <c r="M485" s="722" t="n">
        <v>0.4775395362375085</v>
      </c>
      <c r="N485" s="811" t="n">
        <v>0.00463815</v>
      </c>
      <c r="O485" s="724" t="n">
        <v>-1.4488285</v>
      </c>
      <c r="P485" s="725" t="n">
        <v>-0.005257506990919271</v>
      </c>
      <c r="Q485" s="726" t="n">
        <v>-0.9829476248477471</v>
      </c>
      <c r="R485" s="727" t="n">
        <v>274.1244617499999</v>
      </c>
      <c r="S485" s="719" t="inlineStr">
        <is>
          <t>4M 0S</t>
        </is>
      </c>
      <c r="T485" s="728" t="n"/>
      <c r="U485" s="729" t="n"/>
      <c r="V485" s="730" t="n"/>
      <c r="W485" s="731" t="n"/>
      <c r="X485" s="732" t="n"/>
      <c r="Y485" s="728" t="n"/>
      <c r="Z485" s="729" t="n"/>
      <c r="AA485" s="730" t="n"/>
      <c r="AB485" s="731" t="n"/>
      <c r="AC485" s="732" t="n"/>
      <c r="AD485" s="719" t="inlineStr">
        <is>
          <t>No</t>
        </is>
      </c>
      <c r="AE485" s="733" t="n"/>
      <c r="AF485" s="733" t="n"/>
      <c r="AG485" s="733" t="n"/>
      <c r="AH485" s="733" t="n"/>
      <c r="AI485" s="719" t="inlineStr">
        <is>
          <t>Limit</t>
        </is>
      </c>
      <c r="AJ485" s="733" t="n"/>
      <c r="AK485" s="733" t="n"/>
      <c r="AL485" s="733" t="n"/>
      <c r="AM485" s="733" t="n"/>
      <c r="AN485" s="733" t="n"/>
      <c r="AO485" s="733" t="n"/>
      <c r="AP485" s="719" t="inlineStr">
        <is>
          <t>Pullback</t>
        </is>
      </c>
      <c r="AQ485" s="719" t="inlineStr">
        <is>
          <t>DAILY</t>
        </is>
      </c>
      <c r="AR485" s="719" t="inlineStr">
        <is>
          <t>No</t>
        </is>
      </c>
      <c r="AS485" s="733" t="n"/>
      <c r="AT485" s="733" t="n"/>
      <c r="AU485" s="733" t="n"/>
      <c r="AV485" s="733" t="n"/>
      <c r="AW485" s="719" t="inlineStr">
        <is>
          <t>trade</t>
        </is>
      </c>
      <c r="AX485" s="734" t="inlineStr">
        <is>
          <t>sig:5fffbeef08a0f57a3a26ca77</t>
        </is>
      </c>
    </row>
    <row r="486" ht="15" customHeight="1">
      <c r="A486" s="716" t="inlineStr">
        <is>
          <t>C191</t>
        </is>
      </c>
      <c r="B486" s="717" t="n">
        <v>44309.21736111111</v>
      </c>
      <c r="C486" s="718" t="n">
        <v>44309.28680555556</v>
      </c>
      <c r="D486" s="719" t="inlineStr">
        <is>
          <t>BYBIT</t>
        </is>
      </c>
      <c r="E486" s="719" t="inlineStr">
        <is>
          <t>ETHUSDT</t>
        </is>
      </c>
      <c r="F486" s="719" t="inlineStr">
        <is>
          <t>BUY</t>
        </is>
      </c>
      <c r="G486" s="735" t="n">
        <v>0.02</v>
      </c>
      <c r="H486" s="720" t="n">
        <v>2494.55</v>
      </c>
      <c r="I486" s="720" t="n">
        <v>2394.9</v>
      </c>
      <c r="J486" s="721" t="n">
        <v>2394.9</v>
      </c>
      <c r="K486" s="722" t="n">
        <v>0.0399470846445251</v>
      </c>
      <c r="L486" s="721" t="n"/>
      <c r="M486" s="722" t="n"/>
      <c r="N486" s="723" t="n">
        <v>0.01247275</v>
      </c>
      <c r="O486" s="724" t="n">
        <v>-1.9813939</v>
      </c>
      <c r="P486" s="725" t="n">
        <v>-0.007138751435840254</v>
      </c>
      <c r="Q486" s="726" t="n">
        <v>-1</v>
      </c>
      <c r="R486" s="727" t="n">
        <v>275.5732902499999</v>
      </c>
      <c r="S486" s="719" t="inlineStr">
        <is>
          <t>1H 40M 0S</t>
        </is>
      </c>
      <c r="T486" s="728" t="n"/>
      <c r="U486" s="729" t="n"/>
      <c r="V486" s="730" t="n"/>
      <c r="W486" s="731" t="n"/>
      <c r="X486" s="732" t="n"/>
      <c r="Y486" s="728" t="n"/>
      <c r="Z486" s="729" t="n"/>
      <c r="AA486" s="730" t="n"/>
      <c r="AB486" s="731" t="n"/>
      <c r="AC486" s="732" t="n"/>
      <c r="AD486" s="719" t="inlineStr">
        <is>
          <t>No</t>
        </is>
      </c>
      <c r="AE486" s="733" t="n"/>
      <c r="AF486" s="733" t="n"/>
      <c r="AG486" s="733" t="n"/>
      <c r="AH486" s="733" t="n"/>
      <c r="AI486" s="719" t="inlineStr">
        <is>
          <t>Limit</t>
        </is>
      </c>
      <c r="AJ486" s="733" t="n"/>
      <c r="AK486" s="733" t="n"/>
      <c r="AL486" s="733" t="n"/>
      <c r="AM486" s="733" t="n"/>
      <c r="AN486" s="733" t="n"/>
      <c r="AO486" s="733" t="n"/>
      <c r="AP486" s="719" t="inlineStr">
        <is>
          <t>Pullback</t>
        </is>
      </c>
      <c r="AQ486" s="719" t="n"/>
      <c r="AR486" s="719" t="inlineStr">
        <is>
          <t>No</t>
        </is>
      </c>
      <c r="AS486" s="733" t="n"/>
      <c r="AT486" s="733" t="n"/>
      <c r="AU486" s="733" t="n"/>
      <c r="AV486" s="733" t="n"/>
      <c r="AW486" s="719" t="inlineStr">
        <is>
          <t>trade</t>
        </is>
      </c>
      <c r="AX486" s="734" t="inlineStr">
        <is>
          <t>sig:f4b23d0e79726730f5774035</t>
        </is>
      </c>
    </row>
    <row r="487" ht="15" customHeight="1">
      <c r="A487" s="716" t="inlineStr">
        <is>
          <t>C189</t>
        </is>
      </c>
      <c r="B487" s="717" t="n">
        <v>44309.15486111111</v>
      </c>
      <c r="C487" s="718" t="n">
        <v>44309.26944444444</v>
      </c>
      <c r="D487" s="719" t="inlineStr">
        <is>
          <t>BYBIT</t>
        </is>
      </c>
      <c r="E487" s="719" t="inlineStr">
        <is>
          <t>LINKUSDT</t>
        </is>
      </c>
      <c r="F487" s="719" t="inlineStr">
        <is>
          <t>BUY</t>
        </is>
      </c>
      <c r="G487" s="720" t="n">
        <v>0.7</v>
      </c>
      <c r="H487" s="720" t="n">
        <v>39.186</v>
      </c>
      <c r="I487" s="720" t="n">
        <v>36.982</v>
      </c>
      <c r="J487" s="721" t="n">
        <v>36.991</v>
      </c>
      <c r="K487" s="722" t="n">
        <v>0.05601490328178432</v>
      </c>
      <c r="L487" s="721" t="n">
        <v>43.578</v>
      </c>
      <c r="M487" s="722" t="n">
        <v>0.1120808451998163</v>
      </c>
      <c r="N487" s="758" t="n">
        <v>0.11974463</v>
      </c>
      <c r="O487" s="724" t="n">
        <v>-1.42392202</v>
      </c>
      <c r="P487" s="725" t="n">
        <v>-0.005104054535035962</v>
      </c>
      <c r="Q487" s="726" t="n">
        <v>-1.004100227790433</v>
      </c>
      <c r="R487" s="727" t="n">
        <v>277.5546841499999</v>
      </c>
      <c r="S487" s="719" t="inlineStr">
        <is>
          <t>2H 45M 0S</t>
        </is>
      </c>
      <c r="T487" s="728" t="n"/>
      <c r="U487" s="729" t="n"/>
      <c r="V487" s="730" t="n"/>
      <c r="W487" s="731" t="n"/>
      <c r="X487" s="732" t="n"/>
      <c r="Y487" s="728" t="n"/>
      <c r="Z487" s="729" t="n"/>
      <c r="AA487" s="730" t="n"/>
      <c r="AB487" s="731" t="n"/>
      <c r="AC487" s="732" t="n"/>
      <c r="AD487" s="719" t="inlineStr">
        <is>
          <t>No</t>
        </is>
      </c>
      <c r="AE487" s="733" t="n"/>
      <c r="AF487" s="733" t="n"/>
      <c r="AG487" s="733" t="n"/>
      <c r="AH487" s="733" t="n"/>
      <c r="AI487" s="719" t="inlineStr">
        <is>
          <t>Limit</t>
        </is>
      </c>
      <c r="AJ487" s="733" t="n"/>
      <c r="AK487" s="733" t="n"/>
      <c r="AL487" s="733" t="n"/>
      <c r="AM487" s="733" t="n"/>
      <c r="AN487" s="733" t="n"/>
      <c r="AO487" s="733" t="n"/>
      <c r="AP487" s="719" t="inlineStr">
        <is>
          <t>Pullback</t>
        </is>
      </c>
      <c r="AQ487" s="719" t="inlineStr">
        <is>
          <t>1H</t>
        </is>
      </c>
      <c r="AR487" s="719" t="inlineStr">
        <is>
          <t>No</t>
        </is>
      </c>
      <c r="AS487" s="733" t="n"/>
      <c r="AT487" s="733" t="n"/>
      <c r="AU487" s="733" t="n"/>
      <c r="AV487" s="733" t="n"/>
      <c r="AW487" s="719" t="inlineStr">
        <is>
          <t>trade</t>
        </is>
      </c>
      <c r="AX487" s="734" t="inlineStr">
        <is>
          <t>sig:ab1fff6683b2453168d1690a</t>
        </is>
      </c>
    </row>
    <row r="488" ht="15" customHeight="1">
      <c r="A488" s="716" t="inlineStr">
        <is>
          <t>C190</t>
        </is>
      </c>
      <c r="B488" s="717" t="n">
        <v>44309.16319444445</v>
      </c>
      <c r="C488" s="718" t="n">
        <v>44309.16805555556</v>
      </c>
      <c r="D488" s="719" t="inlineStr">
        <is>
          <t>BYBIT</t>
        </is>
      </c>
      <c r="E488" s="719" t="inlineStr">
        <is>
          <t>ETHUSDT</t>
        </is>
      </c>
      <c r="F488" s="719" t="inlineStr">
        <is>
          <t>BUY</t>
        </is>
      </c>
      <c r="G488" s="735" t="n">
        <v>0.07000000000000001</v>
      </c>
      <c r="H488" s="720" t="n">
        <v>2542.85</v>
      </c>
      <c r="I488" s="720" t="n">
        <v>2520.05</v>
      </c>
      <c r="J488" s="721" t="n">
        <v>2520.05</v>
      </c>
      <c r="K488" s="722" t="n">
        <v>0.008966317321115963</v>
      </c>
      <c r="L488" s="721" t="n"/>
      <c r="M488" s="722" t="n"/>
      <c r="N488" s="723" t="n">
        <v>0.06838721</v>
      </c>
      <c r="O488" s="724" t="n">
        <v>-1.66525386</v>
      </c>
      <c r="P488" s="725" t="n">
        <v>-0.00593369069190393</v>
      </c>
      <c r="Q488" s="726" t="n">
        <v>-1</v>
      </c>
      <c r="R488" s="727" t="n">
        <v>278.9786061699999</v>
      </c>
      <c r="S488" s="719" t="inlineStr">
        <is>
          <t>7M 0S</t>
        </is>
      </c>
      <c r="T488" s="728" t="n"/>
      <c r="U488" s="729" t="n"/>
      <c r="V488" s="730" t="n"/>
      <c r="W488" s="731" t="n"/>
      <c r="X488" s="732" t="n"/>
      <c r="Y488" s="728" t="n"/>
      <c r="Z488" s="729" t="n"/>
      <c r="AA488" s="730" t="n"/>
      <c r="AB488" s="731" t="n"/>
      <c r="AC488" s="732" t="n"/>
      <c r="AD488" s="719" t="inlineStr">
        <is>
          <t>No</t>
        </is>
      </c>
      <c r="AE488" s="733" t="n"/>
      <c r="AF488" s="733" t="n"/>
      <c r="AG488" s="733" t="n"/>
      <c r="AH488" s="719" t="n"/>
      <c r="AI488" s="719" t="inlineStr">
        <is>
          <t>Limit</t>
        </is>
      </c>
      <c r="AJ488" s="733" t="n"/>
      <c r="AK488" s="733" t="n"/>
      <c r="AL488" s="733" t="n"/>
      <c r="AM488" s="733" t="n"/>
      <c r="AN488" s="733" t="n"/>
      <c r="AO488" s="733" t="n"/>
      <c r="AP488" s="719" t="inlineStr">
        <is>
          <t>Pullback</t>
        </is>
      </c>
      <c r="AQ488" s="719" t="n"/>
      <c r="AR488" s="719" t="inlineStr">
        <is>
          <t>No</t>
        </is>
      </c>
      <c r="AS488" s="733" t="n"/>
      <c r="AT488" s="733" t="n"/>
      <c r="AU488" s="733" t="n"/>
      <c r="AV488" s="733" t="n"/>
      <c r="AW488" s="719" t="inlineStr">
        <is>
          <t>trade</t>
        </is>
      </c>
      <c r="AX488" s="734" t="inlineStr">
        <is>
          <t>sig:96128b4e8305baca27b9b735</t>
        </is>
      </c>
    </row>
    <row r="489" ht="15" customHeight="1">
      <c r="A489" s="716" t="inlineStr">
        <is>
          <t>C188</t>
        </is>
      </c>
      <c r="B489" s="717" t="n">
        <v>44309.13263888889</v>
      </c>
      <c r="C489" s="718" t="n">
        <v>44309.13819444444</v>
      </c>
      <c r="D489" s="719" t="inlineStr">
        <is>
          <t>BYBIT</t>
        </is>
      </c>
      <c r="E489" s="719" t="inlineStr">
        <is>
          <t>ETHUSDT</t>
        </is>
      </c>
      <c r="F489" s="719" t="inlineStr">
        <is>
          <t>BUY</t>
        </is>
      </c>
      <c r="G489" s="735" t="n">
        <v>0.06</v>
      </c>
      <c r="H489" s="720" t="n">
        <v>2609.35</v>
      </c>
      <c r="I489" s="720" t="n">
        <v>2582.3</v>
      </c>
      <c r="J489" s="721" t="n">
        <v>2582.3</v>
      </c>
      <c r="K489" s="722" t="n">
        <v>0.01036656638626467</v>
      </c>
      <c r="L489" s="721" t="n"/>
      <c r="M489" s="722" t="n"/>
      <c r="N489" s="723" t="n">
        <v>0.03914025</v>
      </c>
      <c r="O489" s="724" t="n">
        <v>-1.5847264</v>
      </c>
      <c r="P489" s="725" t="n">
        <v>-0.00561504566226162</v>
      </c>
      <c r="Q489" s="726" t="n">
        <v>-1</v>
      </c>
      <c r="R489" s="727" t="n">
        <v>280.6438600299999</v>
      </c>
      <c r="S489" s="719" t="inlineStr">
        <is>
          <t>8M 0S</t>
        </is>
      </c>
      <c r="T489" s="717" t="n"/>
      <c r="U489" s="806" t="n"/>
      <c r="V489" s="730" t="n"/>
      <c r="W489" s="731" t="n"/>
      <c r="X489" s="732" t="n"/>
      <c r="Y489" s="728" t="n"/>
      <c r="Z489" s="729" t="n"/>
      <c r="AA489" s="730" t="n"/>
      <c r="AB489" s="731" t="n"/>
      <c r="AC489" s="732" t="n"/>
      <c r="AD489" s="719" t="inlineStr">
        <is>
          <t>No</t>
        </is>
      </c>
      <c r="AE489" s="733" t="n"/>
      <c r="AF489" s="733" t="n"/>
      <c r="AG489" s="733" t="n"/>
      <c r="AH489" s="733" t="n"/>
      <c r="AI489" s="719" t="inlineStr">
        <is>
          <t>Limit</t>
        </is>
      </c>
      <c r="AJ489" s="733" t="n"/>
      <c r="AK489" s="733" t="n"/>
      <c r="AL489" s="733" t="n"/>
      <c r="AM489" s="733" t="n"/>
      <c r="AN489" s="733" t="n"/>
      <c r="AO489" s="733" t="n"/>
      <c r="AP489" s="719" t="inlineStr">
        <is>
          <t>Pullback</t>
        </is>
      </c>
      <c r="AQ489" s="719" t="n"/>
      <c r="AR489" s="719" t="inlineStr">
        <is>
          <t>No</t>
        </is>
      </c>
      <c r="AS489" s="733" t="n"/>
      <c r="AT489" s="733" t="n"/>
      <c r="AU489" s="733" t="n"/>
      <c r="AV489" s="733" t="n"/>
      <c r="AW489" s="719" t="inlineStr">
        <is>
          <t>trade</t>
        </is>
      </c>
      <c r="AX489" s="734" t="inlineStr">
        <is>
          <t>sig:843e658727e6e6bda43ee9e2</t>
        </is>
      </c>
    </row>
    <row r="490" ht="15" customHeight="1">
      <c r="A490" s="716" t="inlineStr">
        <is>
          <t>F1129</t>
        </is>
      </c>
      <c r="B490" s="717" t="n">
        <v>44294.00138888889</v>
      </c>
      <c r="C490" s="718" t="n">
        <v>44306.02847222222</v>
      </c>
      <c r="D490" s="719" t="inlineStr">
        <is>
          <t>PEPPERSTONE LIVE</t>
        </is>
      </c>
      <c r="E490" s="719" t="inlineStr">
        <is>
          <t>CADJPY</t>
        </is>
      </c>
      <c r="F490" s="719" t="inlineStr">
        <is>
          <t>BUY</t>
        </is>
      </c>
      <c r="G490" s="735" t="n">
        <v>0.01</v>
      </c>
      <c r="H490" s="720" t="n">
        <v>86.94</v>
      </c>
      <c r="I490" s="720" t="n">
        <v>86.41</v>
      </c>
      <c r="J490" s="721" t="n">
        <v>86.41</v>
      </c>
      <c r="K490" s="722" t="n">
        <v>0.006096158270071326</v>
      </c>
      <c r="L490" s="721" t="n">
        <v>88</v>
      </c>
      <c r="M490" s="722" t="n">
        <v>0.01219231654014265</v>
      </c>
      <c r="N490" s="761" t="n">
        <v>0.12</v>
      </c>
      <c r="O490" s="762" t="n">
        <v>-6.46</v>
      </c>
      <c r="P490" s="725" t="n">
        <v>-0.01273734645188004</v>
      </c>
      <c r="Q490" s="726" t="n">
        <v>-1</v>
      </c>
      <c r="R490" s="764" t="n">
        <v>500.71</v>
      </c>
      <c r="S490" s="719" t="inlineStr">
        <is>
          <t>12D 0H 39M 0S</t>
        </is>
      </c>
      <c r="T490" s="728" t="n"/>
      <c r="U490" s="729" t="n"/>
      <c r="V490" s="730" t="n"/>
      <c r="W490" s="731" t="n"/>
      <c r="X490" s="732" t="n"/>
      <c r="Y490" s="728" t="n"/>
      <c r="Z490" s="729" t="n"/>
      <c r="AA490" s="730" t="n"/>
      <c r="AB490" s="731" t="n"/>
      <c r="AC490" s="732" t="n"/>
      <c r="AD490" s="719" t="inlineStr">
        <is>
          <t>No</t>
        </is>
      </c>
      <c r="AE490" s="733" t="n"/>
      <c r="AF490" s="733" t="n"/>
      <c r="AG490" s="733" t="n"/>
      <c r="AH490" s="719" t="n"/>
      <c r="AI490" s="719" t="n"/>
      <c r="AJ490" s="733" t="n"/>
      <c r="AK490" s="733" t="n"/>
      <c r="AL490" s="733" t="n"/>
      <c r="AM490" s="733" t="n"/>
      <c r="AN490" s="733" t="n"/>
      <c r="AO490" s="733" t="n"/>
      <c r="AP490" s="719" t="inlineStr">
        <is>
          <t>Pullback</t>
        </is>
      </c>
      <c r="AQ490" s="719" t="n"/>
      <c r="AR490" s="719" t="inlineStr">
        <is>
          <t>No</t>
        </is>
      </c>
      <c r="AS490" s="733" t="n"/>
      <c r="AT490" s="733" t="n"/>
      <c r="AU490" s="733" t="n"/>
      <c r="AV490" s="733" t="n"/>
      <c r="AW490" s="719" t="inlineStr">
        <is>
          <t>trade</t>
        </is>
      </c>
      <c r="AX490" s="734" t="inlineStr">
        <is>
          <t>sig:1f5fc6800adac7daf02a677e</t>
        </is>
      </c>
    </row>
    <row r="491" ht="15" customHeight="1">
      <c r="A491" s="716" t="inlineStr">
        <is>
          <t>C187</t>
        </is>
      </c>
      <c r="B491" s="717" t="n">
        <v>44305.76666666667</v>
      </c>
      <c r="C491" s="718" t="n">
        <v>44305.86805555555</v>
      </c>
      <c r="D491" s="719" t="inlineStr">
        <is>
          <t>BYBIT</t>
        </is>
      </c>
      <c r="E491" s="719" t="inlineStr">
        <is>
          <t>LINKUSDT</t>
        </is>
      </c>
      <c r="F491" s="719" t="inlineStr">
        <is>
          <t>BUY</t>
        </is>
      </c>
      <c r="G491" s="720" t="n">
        <v>0.9</v>
      </c>
      <c r="H491" s="720" t="n">
        <v>39.965</v>
      </c>
      <c r="I491" s="720" t="n">
        <v>38.256</v>
      </c>
      <c r="J491" s="721" t="n">
        <v>38.262</v>
      </c>
      <c r="K491" s="722" t="n">
        <v>0.04261228575003135</v>
      </c>
      <c r="L491" s="721" t="n">
        <v>43.376</v>
      </c>
      <c r="M491" s="722" t="n">
        <v>0.08534968097084934</v>
      </c>
      <c r="N491" s="811" t="n">
        <v>0.008992119999999999</v>
      </c>
      <c r="O491" s="724" t="n">
        <v>-1.52997453</v>
      </c>
      <c r="P491" s="725" t="n">
        <v>-0.005391818047088535</v>
      </c>
      <c r="Q491" s="726" t="n">
        <v>-1.003523194362889</v>
      </c>
      <c r="R491" s="727" t="n">
        <v>282.22858643</v>
      </c>
      <c r="S491" s="719" t="inlineStr">
        <is>
          <t>2H 26M 0S</t>
        </is>
      </c>
      <c r="T491" s="728" t="n"/>
      <c r="U491" s="729" t="n"/>
      <c r="V491" s="730" t="n"/>
      <c r="W491" s="731" t="n"/>
      <c r="X491" s="732" t="n"/>
      <c r="Y491" s="728" t="n"/>
      <c r="Z491" s="729" t="n"/>
      <c r="AA491" s="730" t="n"/>
      <c r="AB491" s="731" t="n"/>
      <c r="AC491" s="732" t="n"/>
      <c r="AD491" s="719" t="inlineStr">
        <is>
          <t>No</t>
        </is>
      </c>
      <c r="AE491" s="733" t="n"/>
      <c r="AF491" s="733" t="n"/>
      <c r="AG491" s="733" t="n"/>
      <c r="AH491" s="733" t="n"/>
      <c r="AI491" s="719" t="inlineStr">
        <is>
          <t>Limit</t>
        </is>
      </c>
      <c r="AJ491" s="733" t="n"/>
      <c r="AK491" s="733" t="n"/>
      <c r="AL491" s="733" t="n"/>
      <c r="AM491" s="733" t="n"/>
      <c r="AN491" s="733" t="n"/>
      <c r="AO491" s="733" t="n"/>
      <c r="AP491" s="719" t="inlineStr">
        <is>
          <t>Pullback</t>
        </is>
      </c>
      <c r="AQ491" s="719" t="inlineStr">
        <is>
          <t>4H</t>
        </is>
      </c>
      <c r="AR491" s="719" t="inlineStr">
        <is>
          <t>No</t>
        </is>
      </c>
      <c r="AS491" s="733" t="n"/>
      <c r="AT491" s="733" t="n"/>
      <c r="AU491" s="733" t="n"/>
      <c r="AV491" s="733" t="n"/>
      <c r="AW491" s="719" t="inlineStr">
        <is>
          <t>trade</t>
        </is>
      </c>
      <c r="AX491" s="734" t="inlineStr">
        <is>
          <t>sig:a1b2d799a22b0acddc71ba85</t>
        </is>
      </c>
    </row>
    <row r="492" ht="15" customHeight="1">
      <c r="A492" s="716" t="inlineStr">
        <is>
          <t>C185</t>
        </is>
      </c>
      <c r="B492" s="717" t="n">
        <v>44304.43541666667</v>
      </c>
      <c r="C492" s="718" t="n">
        <v>44304.55763888889</v>
      </c>
      <c r="D492" s="719" t="inlineStr">
        <is>
          <t>BYBIT</t>
        </is>
      </c>
      <c r="E492" s="719" t="inlineStr">
        <is>
          <t>BCHUSDT</t>
        </is>
      </c>
      <c r="F492" s="719" t="inlineStr">
        <is>
          <t>BUY</t>
        </is>
      </c>
      <c r="G492" s="735" t="n">
        <v>0.02</v>
      </c>
      <c r="H492" s="720" t="n">
        <v>969.4</v>
      </c>
      <c r="I492" s="720" t="n">
        <v>869.5</v>
      </c>
      <c r="J492" s="721" t="n">
        <v>869.5</v>
      </c>
      <c r="K492" s="722" t="n">
        <v>0.1030534351145038</v>
      </c>
      <c r="L492" s="721" t="n">
        <v>1171</v>
      </c>
      <c r="M492" s="722" t="n">
        <v>0.2079636888797194</v>
      </c>
      <c r="N492" s="723" t="n">
        <v>0.02271313</v>
      </c>
      <c r="O492" s="724" t="n">
        <v>-1.97615352</v>
      </c>
      <c r="P492" s="725" t="n">
        <v>-0.006916042818235586</v>
      </c>
      <c r="Q492" s="726" t="n">
        <v>-1</v>
      </c>
      <c r="R492" s="727" t="n">
        <v>283.75856096</v>
      </c>
      <c r="S492" s="719" t="inlineStr">
        <is>
          <t>2H 56M 0S</t>
        </is>
      </c>
      <c r="T492" s="728" t="n"/>
      <c r="U492" s="729" t="n"/>
      <c r="V492" s="730" t="n"/>
      <c r="W492" s="731" t="n"/>
      <c r="X492" s="732" t="n"/>
      <c r="Y492" s="728" t="n"/>
      <c r="Z492" s="729" t="n"/>
      <c r="AA492" s="730" t="n"/>
      <c r="AB492" s="731" t="n"/>
      <c r="AC492" s="732" t="n"/>
      <c r="AD492" s="719" t="inlineStr">
        <is>
          <t>No</t>
        </is>
      </c>
      <c r="AE492" s="733" t="n"/>
      <c r="AF492" s="733" t="n"/>
      <c r="AG492" s="733" t="n"/>
      <c r="AH492" s="733" t="n"/>
      <c r="AI492" s="719" t="inlineStr">
        <is>
          <t>Limit</t>
        </is>
      </c>
      <c r="AJ492" s="733" t="n"/>
      <c r="AK492" s="733" t="n"/>
      <c r="AL492" s="733" t="n"/>
      <c r="AM492" s="733" t="n"/>
      <c r="AN492" s="733" t="n"/>
      <c r="AO492" s="733" t="n"/>
      <c r="AP492" s="719" t="inlineStr">
        <is>
          <t>Pullback</t>
        </is>
      </c>
      <c r="AQ492" s="719" t="inlineStr">
        <is>
          <t>4H</t>
        </is>
      </c>
      <c r="AR492" s="719" t="inlineStr">
        <is>
          <t>No</t>
        </is>
      </c>
      <c r="AS492" s="733" t="n"/>
      <c r="AT492" s="733" t="n"/>
      <c r="AU492" s="733" t="n"/>
      <c r="AV492" s="733" t="n"/>
      <c r="AW492" s="719" t="inlineStr">
        <is>
          <t>trade</t>
        </is>
      </c>
      <c r="AX492" s="734" t="inlineStr">
        <is>
          <t>sig:8fbc344ee036b699003025ca</t>
        </is>
      </c>
    </row>
    <row r="493" ht="15" customHeight="1">
      <c r="A493" s="716" t="inlineStr">
        <is>
          <t>C186</t>
        </is>
      </c>
      <c r="B493" s="717" t="n">
        <v>44304.55347222222</v>
      </c>
      <c r="C493" s="718" t="n">
        <v>44304.55555555555</v>
      </c>
      <c r="D493" s="719" t="inlineStr">
        <is>
          <t>BYBIT</t>
        </is>
      </c>
      <c r="E493" s="719" t="inlineStr">
        <is>
          <t>DOTUSDT</t>
        </is>
      </c>
      <c r="F493" s="719" t="inlineStr">
        <is>
          <t>BUY</t>
        </is>
      </c>
      <c r="G493" s="720" t="n">
        <v>1.1</v>
      </c>
      <c r="H493" s="720" t="n">
        <v>40.015</v>
      </c>
      <c r="I493" s="720" t="n">
        <v>37.465</v>
      </c>
      <c r="J493" s="721" t="n">
        <v>37.465</v>
      </c>
      <c r="K493" s="722" t="n">
        <v>0.06372610271148312</v>
      </c>
      <c r="L493" s="721" t="n">
        <v>45.85</v>
      </c>
      <c r="M493" s="722" t="n">
        <v>0.1458203173809821</v>
      </c>
      <c r="N493" s="811" t="n">
        <v>0.00686201</v>
      </c>
      <c r="O493" s="724" t="n">
        <v>-2.81272866</v>
      </c>
      <c r="P493" s="725" t="n">
        <v>-0.00974788973831002</v>
      </c>
      <c r="Q493" s="726" t="n">
        <v>-1</v>
      </c>
      <c r="R493" s="727" t="n">
        <v>285.73471448</v>
      </c>
      <c r="S493" s="719" t="inlineStr">
        <is>
          <t>3M 0S</t>
        </is>
      </c>
      <c r="T493" s="728" t="n"/>
      <c r="U493" s="729" t="n"/>
      <c r="V493" s="730" t="n"/>
      <c r="W493" s="731" t="n"/>
      <c r="X493" s="732" t="n"/>
      <c r="Y493" s="728" t="n"/>
      <c r="Z493" s="729" t="n"/>
      <c r="AA493" s="730" t="n"/>
      <c r="AB493" s="731" t="n"/>
      <c r="AC493" s="732" t="n"/>
      <c r="AD493" s="719" t="inlineStr">
        <is>
          <t>No</t>
        </is>
      </c>
      <c r="AE493" s="733" t="n"/>
      <c r="AF493" s="733" t="n"/>
      <c r="AG493" s="733" t="n"/>
      <c r="AH493" s="733" t="n"/>
      <c r="AI493" s="719" t="inlineStr">
        <is>
          <t>Limit</t>
        </is>
      </c>
      <c r="AJ493" s="733" t="n"/>
      <c r="AK493" s="733" t="n"/>
      <c r="AL493" s="733" t="n"/>
      <c r="AM493" s="733" t="n"/>
      <c r="AN493" s="733" t="n"/>
      <c r="AO493" s="733" t="n"/>
      <c r="AP493" s="719" t="inlineStr">
        <is>
          <t>Pullback</t>
        </is>
      </c>
      <c r="AQ493" s="719" t="inlineStr">
        <is>
          <t>4H</t>
        </is>
      </c>
      <c r="AR493" s="719" t="inlineStr">
        <is>
          <t>No</t>
        </is>
      </c>
      <c r="AS493" s="733" t="n"/>
      <c r="AT493" s="733" t="n"/>
      <c r="AU493" s="733" t="n"/>
      <c r="AV493" s="733" t="n"/>
      <c r="AW493" s="719" t="inlineStr">
        <is>
          <t>trade</t>
        </is>
      </c>
      <c r="AX493" s="734" t="inlineStr">
        <is>
          <t>sig:6cef41fad533c4c0d6fba35a</t>
        </is>
      </c>
    </row>
    <row r="494" ht="15" customHeight="1">
      <c r="A494" s="716" t="inlineStr">
        <is>
          <t>C183</t>
        </is>
      </c>
      <c r="B494" s="717" t="n">
        <v>44304.41527777778</v>
      </c>
      <c r="C494" s="718" t="n">
        <v>44304.54652777778</v>
      </c>
      <c r="D494" s="719" t="inlineStr">
        <is>
          <t>BYBIT</t>
        </is>
      </c>
      <c r="E494" s="719" t="inlineStr">
        <is>
          <t>ETHUSDT</t>
        </is>
      </c>
      <c r="F494" s="719" t="inlineStr">
        <is>
          <t>BUY</t>
        </is>
      </c>
      <c r="G494" s="735" t="n">
        <v>0.04</v>
      </c>
      <c r="H494" s="720" t="n">
        <v>2315.8</v>
      </c>
      <c r="I494" s="720" t="n">
        <v>2233.5</v>
      </c>
      <c r="J494" s="721" t="n">
        <v>2233.55</v>
      </c>
      <c r="K494" s="722" t="n">
        <v>0.03551688401416357</v>
      </c>
      <c r="L494" s="721" t="n">
        <v>2481.35</v>
      </c>
      <c r="M494" s="722" t="n">
        <v>0.07148717505829506</v>
      </c>
      <c r="N494" s="723" t="n">
        <v>0.06318312</v>
      </c>
      <c r="O494" s="724" t="n">
        <v>-3.35604977</v>
      </c>
      <c r="P494" s="725" t="n">
        <v>-0.01149712097153541</v>
      </c>
      <c r="Q494" s="726" t="n">
        <v>-1.000607902735565</v>
      </c>
      <c r="R494" s="727" t="n">
        <v>288.54744314</v>
      </c>
      <c r="S494" s="719" t="inlineStr">
        <is>
          <t>3H 9M 0S</t>
        </is>
      </c>
      <c r="T494" s="728" t="n"/>
      <c r="U494" s="729" t="n"/>
      <c r="V494" s="730" t="n"/>
      <c r="W494" s="731" t="n"/>
      <c r="X494" s="732" t="n"/>
      <c r="Y494" s="728" t="n"/>
      <c r="Z494" s="729" t="n"/>
      <c r="AA494" s="730" t="n"/>
      <c r="AB494" s="731" t="n"/>
      <c r="AC494" s="732" t="n"/>
      <c r="AD494" s="719" t="inlineStr">
        <is>
          <t>No</t>
        </is>
      </c>
      <c r="AE494" s="733" t="n"/>
      <c r="AF494" s="733" t="n"/>
      <c r="AG494" s="733" t="n"/>
      <c r="AH494" s="733" t="n"/>
      <c r="AI494" s="719" t="inlineStr">
        <is>
          <t>Limit</t>
        </is>
      </c>
      <c r="AJ494" s="733" t="n"/>
      <c r="AK494" s="733" t="n"/>
      <c r="AL494" s="733" t="n"/>
      <c r="AM494" s="733" t="n"/>
      <c r="AN494" s="733" t="n"/>
      <c r="AO494" s="733" t="n"/>
      <c r="AP494" s="719" t="inlineStr">
        <is>
          <t>Pullback</t>
        </is>
      </c>
      <c r="AQ494" s="719" t="inlineStr">
        <is>
          <t>4H</t>
        </is>
      </c>
      <c r="AR494" s="719" t="inlineStr">
        <is>
          <t>No</t>
        </is>
      </c>
      <c r="AS494" s="733" t="n"/>
      <c r="AT494" s="733" t="n"/>
      <c r="AU494" s="733" t="n"/>
      <c r="AV494" s="733" t="n"/>
      <c r="AW494" s="719" t="inlineStr">
        <is>
          <t>trade</t>
        </is>
      </c>
      <c r="AX494" s="734" t="inlineStr">
        <is>
          <t>sig:6d2ba8a32c2b45cbad47057c</t>
        </is>
      </c>
    </row>
    <row r="495" ht="15" customHeight="1">
      <c r="A495" s="716" t="inlineStr">
        <is>
          <t>C184</t>
        </is>
      </c>
      <c r="B495" s="717" t="n">
        <v>44304.43263888889</v>
      </c>
      <c r="C495" s="718" t="n">
        <v>44304.47013888889</v>
      </c>
      <c r="D495" s="719" t="inlineStr">
        <is>
          <t>BYBIT</t>
        </is>
      </c>
      <c r="E495" s="719" t="inlineStr">
        <is>
          <t>LINKUSDT</t>
        </is>
      </c>
      <c r="F495" s="719" t="inlineStr">
        <is>
          <t>BUY</t>
        </is>
      </c>
      <c r="G495" s="720" t="n">
        <v>1.1</v>
      </c>
      <c r="H495" s="720" t="n">
        <v>39.736</v>
      </c>
      <c r="I495" s="720" t="n">
        <v>38.181</v>
      </c>
      <c r="J495" s="721" t="n">
        <v>38.228</v>
      </c>
      <c r="K495" s="722" t="n">
        <v>0.03795047312260911</v>
      </c>
      <c r="L495" s="721" t="n">
        <v>43.502</v>
      </c>
      <c r="M495" s="722" t="n">
        <v>0.09477551842158259</v>
      </c>
      <c r="N495" s="723" t="n">
        <v>0.04643307</v>
      </c>
      <c r="O495" s="724" t="n">
        <v>-1.66493358</v>
      </c>
      <c r="P495" s="725" t="n">
        <v>-0.005671364594300856</v>
      </c>
      <c r="Q495" s="726" t="n">
        <v>-1.031167108753319</v>
      </c>
      <c r="R495" s="727" t="n">
        <v>291.90349291</v>
      </c>
      <c r="S495" s="719" t="inlineStr">
        <is>
          <t>54M 0S</t>
        </is>
      </c>
      <c r="T495" s="728" t="n"/>
      <c r="U495" s="729" t="n"/>
      <c r="V495" s="730" t="n"/>
      <c r="W495" s="731" t="n"/>
      <c r="X495" s="732" t="n"/>
      <c r="Y495" s="728" t="n"/>
      <c r="Z495" s="729" t="n"/>
      <c r="AA495" s="730" t="n"/>
      <c r="AB495" s="731" t="n"/>
      <c r="AC495" s="732" t="n"/>
      <c r="AD495" s="719" t="inlineStr">
        <is>
          <t>No</t>
        </is>
      </c>
      <c r="AE495" s="733" t="n"/>
      <c r="AF495" s="733" t="n"/>
      <c r="AG495" s="733" t="n"/>
      <c r="AH495" s="733" t="n"/>
      <c r="AI495" s="719" t="inlineStr">
        <is>
          <t>Limit</t>
        </is>
      </c>
      <c r="AJ495" s="733" t="n"/>
      <c r="AK495" s="733" t="n"/>
      <c r="AL495" s="733" t="n"/>
      <c r="AM495" s="733" t="n"/>
      <c r="AN495" s="733" t="n"/>
      <c r="AO495" s="733" t="n"/>
      <c r="AP495" s="719" t="inlineStr">
        <is>
          <t>Pullback</t>
        </is>
      </c>
      <c r="AQ495" s="719" t="inlineStr">
        <is>
          <t>4H</t>
        </is>
      </c>
      <c r="AR495" s="719" t="inlineStr">
        <is>
          <t>No</t>
        </is>
      </c>
      <c r="AS495" s="733" t="n"/>
      <c r="AT495" s="733" t="n"/>
      <c r="AU495" s="733" t="n"/>
      <c r="AV495" s="733" t="n"/>
      <c r="AW495" s="719" t="inlineStr">
        <is>
          <t>trade</t>
        </is>
      </c>
      <c r="AX495" s="734" t="inlineStr">
        <is>
          <t>sig:d47a77c94e20af2e015e27dc</t>
        </is>
      </c>
    </row>
    <row r="496" ht="15" customHeight="1">
      <c r="A496" s="716" t="inlineStr">
        <is>
          <t>C182</t>
        </is>
      </c>
      <c r="B496" s="717" t="n">
        <v>44303.96875</v>
      </c>
      <c r="C496" s="718" t="n">
        <v>44304.07291666666</v>
      </c>
      <c r="D496" s="719" t="inlineStr">
        <is>
          <t>BYBIT</t>
        </is>
      </c>
      <c r="E496" s="719" t="inlineStr">
        <is>
          <t>DOTUSDT</t>
        </is>
      </c>
      <c r="F496" s="719" t="inlineStr">
        <is>
          <t>BUY</t>
        </is>
      </c>
      <c r="G496" s="720" t="n">
        <v>1.6</v>
      </c>
      <c r="H496" s="720" t="n">
        <v>44.315</v>
      </c>
      <c r="I496" s="720" t="n">
        <v>42.4</v>
      </c>
      <c r="J496" s="721" t="n">
        <v>42.41</v>
      </c>
      <c r="K496" s="722" t="n">
        <v>0.04298770168114636</v>
      </c>
      <c r="L496" s="721" t="n">
        <v>48.13</v>
      </c>
      <c r="M496" s="722" t="n">
        <v>0.08608823197562913</v>
      </c>
      <c r="N496" s="723" t="n">
        <v>0.017726</v>
      </c>
      <c r="O496" s="724" t="n">
        <v>-3.04714065</v>
      </c>
      <c r="P496" s="725" t="n">
        <v>-0.01027303010216512</v>
      </c>
      <c r="Q496" s="726" t="n">
        <v>-1.00524934383202</v>
      </c>
      <c r="R496" s="727" t="n">
        <v>293.56842649</v>
      </c>
      <c r="S496" s="719" t="inlineStr">
        <is>
          <t>2H 30M 0S</t>
        </is>
      </c>
      <c r="T496" s="728" t="n"/>
      <c r="U496" s="729" t="n"/>
      <c r="V496" s="730" t="n"/>
      <c r="W496" s="731" t="n"/>
      <c r="X496" s="732" t="n"/>
      <c r="Y496" s="728" t="n"/>
      <c r="Z496" s="729" t="n"/>
      <c r="AA496" s="730" t="n"/>
      <c r="AB496" s="731" t="n"/>
      <c r="AC496" s="732" t="n"/>
      <c r="AD496" s="719" t="inlineStr">
        <is>
          <t>No</t>
        </is>
      </c>
      <c r="AE496" s="733" t="n"/>
      <c r="AF496" s="733" t="n"/>
      <c r="AG496" s="733" t="n"/>
      <c r="AH496" s="719" t="inlineStr">
        <is>
          <t>All-Time High</t>
        </is>
      </c>
      <c r="AI496" s="719" t="inlineStr">
        <is>
          <t>Limit</t>
        </is>
      </c>
      <c r="AJ496" s="733" t="n"/>
      <c r="AK496" s="733" t="n"/>
      <c r="AL496" s="733" t="n"/>
      <c r="AM496" s="733" t="n"/>
      <c r="AN496" s="733" t="n"/>
      <c r="AO496" s="733" t="n"/>
      <c r="AP496" s="719" t="inlineStr">
        <is>
          <t>Pullback</t>
        </is>
      </c>
      <c r="AQ496" s="719" t="inlineStr">
        <is>
          <t>4H</t>
        </is>
      </c>
      <c r="AR496" s="719" t="inlineStr">
        <is>
          <t>No</t>
        </is>
      </c>
      <c r="AS496" s="733" t="n"/>
      <c r="AT496" s="733" t="n"/>
      <c r="AU496" s="733" t="n"/>
      <c r="AV496" s="733" t="n"/>
      <c r="AW496" s="719" t="inlineStr">
        <is>
          <t>trade</t>
        </is>
      </c>
      <c r="AX496" s="734" t="inlineStr">
        <is>
          <t>sig:282767dc6ecb979e38dca32b</t>
        </is>
      </c>
    </row>
    <row r="497" ht="15" customHeight="1">
      <c r="A497" s="737" t="inlineStr">
        <is>
          <t>C167</t>
        </is>
      </c>
      <c r="B497" s="738" t="n">
        <v>44294.20972222222</v>
      </c>
      <c r="C497" s="739" t="n">
        <v>44303.81388888889</v>
      </c>
      <c r="D497" s="740" t="inlineStr">
        <is>
          <t>BYBIT</t>
        </is>
      </c>
      <c r="E497" s="740" t="inlineStr">
        <is>
          <t>DOTUSDT</t>
        </is>
      </c>
      <c r="F497" s="740" t="inlineStr">
        <is>
          <t>BUY</t>
        </is>
      </c>
      <c r="G497" s="742" t="n">
        <v>0.9</v>
      </c>
      <c r="H497" s="742" t="n">
        <v>38.495</v>
      </c>
      <c r="I497" s="742" t="n">
        <v>45.905</v>
      </c>
      <c r="J497" s="743" t="n">
        <v>34.8656</v>
      </c>
      <c r="K497" s="744" t="n">
        <v>0.09428237433432905</v>
      </c>
      <c r="L497" s="743" t="n">
        <v>45.91</v>
      </c>
      <c r="M497" s="744" t="n">
        <v>0.1926224184959086</v>
      </c>
      <c r="N497" s="745" t="n">
        <v>2.39778243</v>
      </c>
      <c r="O497" s="746" t="n">
        <v>4.27035092</v>
      </c>
      <c r="P497" s="747" t="n">
        <v>0.01460722010510482</v>
      </c>
      <c r="Q497" s="748" t="n">
        <v>2.041659778475784</v>
      </c>
      <c r="R497" s="749" t="n">
        <v>296.6155671400001</v>
      </c>
      <c r="S497" s="740" t="inlineStr">
        <is>
          <t>9D 14H 30M 0S</t>
        </is>
      </c>
      <c r="T497" s="738" t="n">
        <v>44302.17152777778</v>
      </c>
      <c r="U497" s="809" t="inlineStr">
        <is>
          <t>7D 23H 5M 0S</t>
        </is>
      </c>
      <c r="V497" s="752" t="n"/>
      <c r="W497" s="753" t="n"/>
      <c r="X497" s="754" t="n"/>
      <c r="Y497" s="750" t="n"/>
      <c r="Z497" s="751" t="n"/>
      <c r="AA497" s="752" t="n"/>
      <c r="AB497" s="753" t="n"/>
      <c r="AC497" s="754" t="n"/>
      <c r="AD497" s="740" t="inlineStr">
        <is>
          <t>No</t>
        </is>
      </c>
      <c r="AE497" s="755" t="n"/>
      <c r="AF497" s="755" t="n"/>
      <c r="AG497" s="755" t="n"/>
      <c r="AH497" s="740" t="n"/>
      <c r="AI497" s="740" t="inlineStr">
        <is>
          <t>Limit</t>
        </is>
      </c>
      <c r="AJ497" s="755" t="n"/>
      <c r="AK497" s="755" t="n"/>
      <c r="AL497" s="755" t="n"/>
      <c r="AM497" s="755" t="n"/>
      <c r="AN497" s="755" t="n"/>
      <c r="AO497" s="755" t="n"/>
      <c r="AP497" s="740" t="inlineStr">
        <is>
          <t>Pullback</t>
        </is>
      </c>
      <c r="AQ497" s="740" t="inlineStr">
        <is>
          <t>DAILY</t>
        </is>
      </c>
      <c r="AR497" s="740" t="inlineStr">
        <is>
          <t>No</t>
        </is>
      </c>
      <c r="AS497" s="755" t="n"/>
      <c r="AT497" s="755" t="n"/>
      <c r="AU497" s="755" t="n"/>
      <c r="AV497" s="755" t="n"/>
      <c r="AW497" s="740" t="inlineStr">
        <is>
          <t>trade</t>
        </is>
      </c>
      <c r="AX497" s="756" t="inlineStr">
        <is>
          <t>sig:a30593606d96d641421d184e</t>
        </is>
      </c>
    </row>
    <row r="498" ht="15" customHeight="1">
      <c r="A498" s="716" t="inlineStr">
        <is>
          <t>C180</t>
        </is>
      </c>
      <c r="B498" s="717" t="n">
        <v>44301.23055555556</v>
      </c>
      <c r="C498" s="718" t="n">
        <v>44302.8875</v>
      </c>
      <c r="D498" s="719" t="inlineStr">
        <is>
          <t>BYBIT</t>
        </is>
      </c>
      <c r="E498" s="719" t="inlineStr">
        <is>
          <t>BTCUSDT</t>
        </is>
      </c>
      <c r="F498" s="719" t="inlineStr">
        <is>
          <t>BUY</t>
        </is>
      </c>
      <c r="G498" s="757" t="n">
        <v>0.002</v>
      </c>
      <c r="H498" s="720" t="n">
        <v>61658.5</v>
      </c>
      <c r="I498" s="720" t="n">
        <v>60401</v>
      </c>
      <c r="J498" s="721" t="n">
        <v>60406</v>
      </c>
      <c r="K498" s="722" t="n">
        <v>0.02031350097715643</v>
      </c>
      <c r="L498" s="721" t="n">
        <v>64773</v>
      </c>
      <c r="M498" s="722" t="n">
        <v>0.05051209484499299</v>
      </c>
      <c r="N498" s="758" t="n">
        <v>0.94357842</v>
      </c>
      <c r="O498" s="724" t="n">
        <v>-3.45944507</v>
      </c>
      <c r="P498" s="725" t="n">
        <v>-0.01169503230582441</v>
      </c>
      <c r="Q498" s="726" t="n">
        <v>-1.003992015968064</v>
      </c>
      <c r="R498" s="727" t="n">
        <v>292.3452162200001</v>
      </c>
      <c r="S498" s="719" t="inlineStr">
        <is>
          <t>1D 15H 46M 0S</t>
        </is>
      </c>
      <c r="T498" s="728" t="n"/>
      <c r="U498" s="729" t="n"/>
      <c r="V498" s="730" t="n"/>
      <c r="W498" s="731" t="n"/>
      <c r="X498" s="732" t="n"/>
      <c r="Y498" s="728" t="n"/>
      <c r="Z498" s="729" t="n"/>
      <c r="AA498" s="730" t="n"/>
      <c r="AB498" s="731" t="n"/>
      <c r="AC498" s="732" t="n"/>
      <c r="AD498" s="719" t="inlineStr">
        <is>
          <t>No</t>
        </is>
      </c>
      <c r="AE498" s="733" t="n"/>
      <c r="AF498" s="733" t="n"/>
      <c r="AG498" s="733" t="n"/>
      <c r="AH498" s="719" t="inlineStr">
        <is>
          <t>All-Time High</t>
        </is>
      </c>
      <c r="AI498" s="719" t="inlineStr">
        <is>
          <t>Limit</t>
        </is>
      </c>
      <c r="AJ498" s="733" t="n"/>
      <c r="AK498" s="733" t="n"/>
      <c r="AL498" s="733" t="n"/>
      <c r="AM498" s="733" t="n"/>
      <c r="AN498" s="733" t="n"/>
      <c r="AO498" s="733" t="n"/>
      <c r="AP498" s="719" t="inlineStr">
        <is>
          <t>Pullback</t>
        </is>
      </c>
      <c r="AQ498" s="719" t="inlineStr">
        <is>
          <t>DAILY</t>
        </is>
      </c>
      <c r="AR498" s="719" t="inlineStr">
        <is>
          <t>No</t>
        </is>
      </c>
      <c r="AS498" s="733" t="n"/>
      <c r="AT498" s="733" t="n"/>
      <c r="AU498" s="733" t="n"/>
      <c r="AV498" s="733" t="n"/>
      <c r="AW498" s="719" t="inlineStr">
        <is>
          <t>trade</t>
        </is>
      </c>
      <c r="AX498" s="734" t="inlineStr">
        <is>
          <t>sig:f90698f5df9bf4040354c578</t>
        </is>
      </c>
    </row>
    <row r="499" ht="15" customHeight="1">
      <c r="A499" s="716" t="inlineStr">
        <is>
          <t>C181</t>
        </is>
      </c>
      <c r="B499" s="717" t="n">
        <v>44302.59097222222</v>
      </c>
      <c r="C499" s="718" t="n">
        <v>44302.60694444444</v>
      </c>
      <c r="D499" s="719" t="inlineStr">
        <is>
          <t>BYBIT</t>
        </is>
      </c>
      <c r="E499" s="719" t="inlineStr">
        <is>
          <t>ETHUSDT</t>
        </is>
      </c>
      <c r="F499" s="719" t="inlineStr">
        <is>
          <t>BUY</t>
        </is>
      </c>
      <c r="G499" s="720" t="n">
        <v>0.1</v>
      </c>
      <c r="H499" s="720" t="n">
        <v>2480.05</v>
      </c>
      <c r="I499" s="720" t="n">
        <v>2449.1</v>
      </c>
      <c r="J499" s="721" t="n">
        <v>2449.5</v>
      </c>
      <c r="K499" s="722" t="n">
        <v>0.01231830003427357</v>
      </c>
      <c r="L499" s="721" t="n">
        <v>2541.6</v>
      </c>
      <c r="M499" s="722" t="n">
        <v>0.02481804802322523</v>
      </c>
      <c r="N499" s="723" t="n">
        <v>0.09069537</v>
      </c>
      <c r="O499" s="724" t="n">
        <v>-3.18656202</v>
      </c>
      <c r="P499" s="725" t="n">
        <v>-0.01065771090108591</v>
      </c>
      <c r="Q499" s="726" t="n">
        <v>-1.013093289689037</v>
      </c>
      <c r="R499" s="727" t="n">
        <v>295.8046612900001</v>
      </c>
      <c r="S499" s="719" t="inlineStr">
        <is>
          <t>23M 0S</t>
        </is>
      </c>
      <c r="T499" s="728" t="n"/>
      <c r="U499" s="729" t="n"/>
      <c r="V499" s="730" t="n"/>
      <c r="W499" s="731" t="n"/>
      <c r="X499" s="732" t="n"/>
      <c r="Y499" s="728" t="n"/>
      <c r="Z499" s="729" t="n"/>
      <c r="AA499" s="730" t="n"/>
      <c r="AB499" s="731" t="n"/>
      <c r="AC499" s="732" t="n"/>
      <c r="AD499" s="719" t="inlineStr">
        <is>
          <t>No</t>
        </is>
      </c>
      <c r="AE499" s="733" t="n"/>
      <c r="AF499" s="733" t="n"/>
      <c r="AG499" s="733" t="n"/>
      <c r="AH499" s="719" t="n"/>
      <c r="AI499" s="719" t="inlineStr">
        <is>
          <t>Limit</t>
        </is>
      </c>
      <c r="AJ499" s="733" t="n"/>
      <c r="AK499" s="733" t="n"/>
      <c r="AL499" s="733" t="n"/>
      <c r="AM499" s="733" t="n"/>
      <c r="AN499" s="733" t="n"/>
      <c r="AO499" s="733" t="n"/>
      <c r="AP499" s="719" t="inlineStr">
        <is>
          <t>Pullback</t>
        </is>
      </c>
      <c r="AQ499" s="719" t="inlineStr">
        <is>
          <t>1H</t>
        </is>
      </c>
      <c r="AR499" s="719" t="inlineStr">
        <is>
          <t>No</t>
        </is>
      </c>
      <c r="AS499" s="733" t="n"/>
      <c r="AT499" s="733" t="n"/>
      <c r="AU499" s="733" t="n"/>
      <c r="AV499" s="733" t="n"/>
      <c r="AW499" s="719" t="inlineStr">
        <is>
          <t>trade</t>
        </is>
      </c>
      <c r="AX499" s="734" t="inlineStr">
        <is>
          <t>sig:675d73900a1c749efa31b451</t>
        </is>
      </c>
    </row>
    <row r="500" ht="15" customHeight="1">
      <c r="A500" s="716" t="inlineStr">
        <is>
          <t>C179</t>
        </is>
      </c>
      <c r="B500" s="717" t="n">
        <v>44300.99722222222</v>
      </c>
      <c r="C500" s="718" t="n">
        <v>44301.00833333333</v>
      </c>
      <c r="D500" s="719" t="inlineStr">
        <is>
          <t>BYBIT</t>
        </is>
      </c>
      <c r="E500" s="719" t="inlineStr">
        <is>
          <t>LTCUSDT</t>
        </is>
      </c>
      <c r="F500" s="719" t="inlineStr">
        <is>
          <t>BUY</t>
        </is>
      </c>
      <c r="G500" s="720" t="n">
        <v>0.7</v>
      </c>
      <c r="H500" s="720" t="n">
        <v>263.13</v>
      </c>
      <c r="I500" s="720" t="n">
        <v>258.65</v>
      </c>
      <c r="J500" s="721" t="n">
        <v>258.79</v>
      </c>
      <c r="K500" s="722" t="n">
        <v>0.01649374833732366</v>
      </c>
      <c r="L500" s="721" t="n">
        <v>280.52</v>
      </c>
      <c r="M500" s="722" t="n">
        <v>0.06608900543457602</v>
      </c>
      <c r="N500" s="723" t="n">
        <v>0.09393899999999999</v>
      </c>
      <c r="O500" s="724" t="n">
        <v>-3.04292765</v>
      </c>
      <c r="P500" s="725" t="n">
        <v>-0.01007478008804041</v>
      </c>
      <c r="Q500" s="726" t="n">
        <v>-1.032258064516139</v>
      </c>
      <c r="R500" s="727" t="n">
        <v>298.9912233100001</v>
      </c>
      <c r="S500" s="719" t="inlineStr">
        <is>
          <t>16M 0S</t>
        </is>
      </c>
      <c r="T500" s="728" t="n"/>
      <c r="U500" s="729" t="n"/>
      <c r="V500" s="730" t="n"/>
      <c r="W500" s="731" t="n"/>
      <c r="X500" s="732" t="n"/>
      <c r="Y500" s="728" t="n"/>
      <c r="Z500" s="729" t="n"/>
      <c r="AA500" s="730" t="n"/>
      <c r="AB500" s="731" t="n"/>
      <c r="AC500" s="732" t="n"/>
      <c r="AD500" s="719" t="inlineStr">
        <is>
          <t>No</t>
        </is>
      </c>
      <c r="AE500" s="733" t="n"/>
      <c r="AF500" s="733" t="n"/>
      <c r="AG500" s="733" t="n"/>
      <c r="AH500" s="733" t="n"/>
      <c r="AI500" s="719" t="inlineStr">
        <is>
          <t>Limit</t>
        </is>
      </c>
      <c r="AJ500" s="733" t="n"/>
      <c r="AK500" s="733" t="n"/>
      <c r="AL500" s="733" t="n"/>
      <c r="AM500" s="733" t="n"/>
      <c r="AN500" s="733" t="n"/>
      <c r="AO500" s="733" t="n"/>
      <c r="AP500" s="719" t="inlineStr">
        <is>
          <t>Pullback</t>
        </is>
      </c>
      <c r="AQ500" s="719" t="inlineStr">
        <is>
          <t>1H</t>
        </is>
      </c>
      <c r="AR500" s="719" t="inlineStr">
        <is>
          <t>No</t>
        </is>
      </c>
      <c r="AS500" s="733" t="n"/>
      <c r="AT500" s="733" t="n"/>
      <c r="AU500" s="733" t="n"/>
      <c r="AV500" s="733" t="n"/>
      <c r="AW500" s="719" t="inlineStr">
        <is>
          <t>trade</t>
        </is>
      </c>
      <c r="AX500" s="734" t="inlineStr">
        <is>
          <t>sig:8d680054af111194972fd4e9</t>
        </is>
      </c>
    </row>
    <row r="501" ht="15" customHeight="1">
      <c r="A501" s="716" t="inlineStr">
        <is>
          <t>C178</t>
        </is>
      </c>
      <c r="B501" s="717" t="n">
        <v>44300.64236111111</v>
      </c>
      <c r="C501" s="718" t="n">
        <v>44300.6625</v>
      </c>
      <c r="D501" s="719" t="inlineStr">
        <is>
          <t>BYBIT</t>
        </is>
      </c>
      <c r="E501" s="719" t="inlineStr">
        <is>
          <t>LTCUSDT</t>
        </is>
      </c>
      <c r="F501" s="719" t="inlineStr">
        <is>
          <t>BUY</t>
        </is>
      </c>
      <c r="G501" s="720" t="n">
        <v>0.8</v>
      </c>
      <c r="H501" s="720" t="n">
        <v>279.13</v>
      </c>
      <c r="I501" s="720" t="n">
        <v>277.17</v>
      </c>
      <c r="J501" s="721" t="n">
        <v>277.22</v>
      </c>
      <c r="K501" s="722" t="n">
        <v>0.006842689786121048</v>
      </c>
      <c r="L501" s="721" t="n">
        <v>282.93</v>
      </c>
      <c r="M501" s="722" t="n">
        <v>0.01361372837029345</v>
      </c>
      <c r="N501" s="723" t="n">
        <v>0.02531525</v>
      </c>
      <c r="O501" s="724" t="n">
        <v>-1.5435514</v>
      </c>
      <c r="P501" s="725" t="n">
        <v>-0.005084534825846882</v>
      </c>
      <c r="Q501" s="726" t="n">
        <v>-1.026178010471211</v>
      </c>
      <c r="R501" s="727" t="n">
        <v>302.0341509600001</v>
      </c>
      <c r="S501" s="719" t="inlineStr">
        <is>
          <t>29M 0S</t>
        </is>
      </c>
      <c r="T501" s="728" t="n"/>
      <c r="U501" s="729" t="n"/>
      <c r="V501" s="730" t="n"/>
      <c r="W501" s="731" t="n"/>
      <c r="X501" s="732" t="n"/>
      <c r="Y501" s="728" t="n"/>
      <c r="Z501" s="729" t="n"/>
      <c r="AA501" s="730" t="n"/>
      <c r="AB501" s="731" t="n"/>
      <c r="AC501" s="732" t="n"/>
      <c r="AD501" s="719" t="inlineStr">
        <is>
          <t>No</t>
        </is>
      </c>
      <c r="AE501" s="733" t="n"/>
      <c r="AF501" s="733" t="n"/>
      <c r="AG501" s="733" t="n"/>
      <c r="AH501" s="733" t="n"/>
      <c r="AI501" s="719" t="inlineStr">
        <is>
          <t>Limit</t>
        </is>
      </c>
      <c r="AJ501" s="733" t="n"/>
      <c r="AK501" s="733" t="n"/>
      <c r="AL501" s="733" t="n"/>
      <c r="AM501" s="733" t="n"/>
      <c r="AN501" s="733" t="n"/>
      <c r="AO501" s="733" t="n"/>
      <c r="AP501" s="719" t="inlineStr">
        <is>
          <t>Pullback</t>
        </is>
      </c>
      <c r="AQ501" s="719" t="inlineStr">
        <is>
          <t>5MIN</t>
        </is>
      </c>
      <c r="AR501" s="719" t="inlineStr">
        <is>
          <t>No</t>
        </is>
      </c>
      <c r="AS501" s="733" t="n"/>
      <c r="AT501" s="733" t="n"/>
      <c r="AU501" s="733" t="n"/>
      <c r="AV501" s="733" t="n"/>
      <c r="AW501" s="719" t="inlineStr">
        <is>
          <t>trade</t>
        </is>
      </c>
      <c r="AX501" s="734" t="inlineStr">
        <is>
          <t>sig:7205ac1d41839cad7994d4ff</t>
        </is>
      </c>
    </row>
    <row r="502" ht="15" customHeight="1">
      <c r="A502" s="737" t="inlineStr">
        <is>
          <t>C177</t>
        </is>
      </c>
      <c r="B502" s="738" t="n">
        <v>44300.64236111111</v>
      </c>
      <c r="C502" s="739" t="n">
        <v>44300.65069444444</v>
      </c>
      <c r="D502" s="740" t="inlineStr">
        <is>
          <t>BYBIT</t>
        </is>
      </c>
      <c r="E502" s="740" t="inlineStr">
        <is>
          <t>BCHUSDT</t>
        </is>
      </c>
      <c r="F502" s="740" t="inlineStr">
        <is>
          <t>BUY</t>
        </is>
      </c>
      <c r="G502" s="742" t="n">
        <v>0.15</v>
      </c>
      <c r="H502" s="742" t="n">
        <v>824.65</v>
      </c>
      <c r="I502" s="742" t="n">
        <v>824.9</v>
      </c>
      <c r="J502" s="743" t="n">
        <v>814.55</v>
      </c>
      <c r="K502" s="744" t="n">
        <v>0.01224762020251018</v>
      </c>
      <c r="L502" s="743" t="n">
        <v>844.8</v>
      </c>
      <c r="M502" s="744" t="n">
        <v>0.02443460862183954</v>
      </c>
      <c r="N502" s="745" t="n">
        <v>0.10442512</v>
      </c>
      <c r="O502" s="746" t="n">
        <v>0.14105847</v>
      </c>
      <c r="P502" s="776" t="n">
        <v>0.000464869595813008</v>
      </c>
      <c r="Q502" s="814" t="n">
        <v>0.0247524752475247</v>
      </c>
      <c r="R502" s="749" t="n">
        <v>303.5777023600001</v>
      </c>
      <c r="S502" s="740" t="inlineStr">
        <is>
          <t>12M 0S</t>
        </is>
      </c>
      <c r="T502" s="750" t="n"/>
      <c r="U502" s="751" t="n"/>
      <c r="V502" s="752" t="n"/>
      <c r="W502" s="753" t="n"/>
      <c r="X502" s="754" t="n"/>
      <c r="Y502" s="750" t="n"/>
      <c r="Z502" s="751" t="n"/>
      <c r="AA502" s="752" t="n"/>
      <c r="AB502" s="753" t="n"/>
      <c r="AC502" s="754" t="n"/>
      <c r="AD502" s="740" t="inlineStr">
        <is>
          <t>No</t>
        </is>
      </c>
      <c r="AE502" s="755" t="n"/>
      <c r="AF502" s="755" t="n"/>
      <c r="AG502" s="755" t="n"/>
      <c r="AH502" s="755" t="n"/>
      <c r="AI502" s="740" t="inlineStr">
        <is>
          <t>Limit</t>
        </is>
      </c>
      <c r="AJ502" s="755" t="n"/>
      <c r="AK502" s="755" t="n"/>
      <c r="AL502" s="755" t="n"/>
      <c r="AM502" s="755" t="n"/>
      <c r="AN502" s="755" t="n"/>
      <c r="AO502" s="755" t="n"/>
      <c r="AP502" s="740" t="inlineStr">
        <is>
          <t>Pullback</t>
        </is>
      </c>
      <c r="AQ502" s="740" t="inlineStr">
        <is>
          <t>5MIN</t>
        </is>
      </c>
      <c r="AR502" s="740" t="inlineStr">
        <is>
          <t>No</t>
        </is>
      </c>
      <c r="AS502" s="755" t="n"/>
      <c r="AT502" s="755" t="n"/>
      <c r="AU502" s="755" t="n"/>
      <c r="AV502" s="755" t="n"/>
      <c r="AW502" s="740" t="inlineStr">
        <is>
          <t>trade</t>
        </is>
      </c>
      <c r="AX502" s="756" t="inlineStr">
        <is>
          <t>sig:881d16a06001125885b111ee</t>
        </is>
      </c>
    </row>
    <row r="503" ht="15" customHeight="1">
      <c r="A503" s="716" t="inlineStr">
        <is>
          <t>C175</t>
        </is>
      </c>
      <c r="B503" s="717" t="n">
        <v>44300.10625</v>
      </c>
      <c r="C503" s="718" t="n">
        <v>44300.12222222222</v>
      </c>
      <c r="D503" s="719" t="inlineStr">
        <is>
          <t>BYBIT</t>
        </is>
      </c>
      <c r="E503" s="719" t="inlineStr">
        <is>
          <t>ETHUSDT</t>
        </is>
      </c>
      <c r="F503" s="719" t="inlineStr">
        <is>
          <t>BUY</t>
        </is>
      </c>
      <c r="G503" s="720" t="n">
        <v>0.16</v>
      </c>
      <c r="H503" s="720" t="n">
        <v>2281.2</v>
      </c>
      <c r="I503" s="720" t="n">
        <v>2270.93</v>
      </c>
      <c r="J503" s="721" t="n">
        <v>2271.1</v>
      </c>
      <c r="K503" s="722" t="n">
        <v>0.004427494301244919</v>
      </c>
      <c r="L503" s="721" t="n"/>
      <c r="M503" s="722" t="n"/>
      <c r="N503" s="723" t="n">
        <v>0.091248</v>
      </c>
      <c r="O503" s="724" t="n">
        <v>-1.56761865</v>
      </c>
      <c r="P503" s="725" t="n">
        <v>-0.005139661449139299</v>
      </c>
      <c r="Q503" s="726" t="n">
        <v>-1.016831683168324</v>
      </c>
      <c r="R503" s="727" t="n">
        <v>303.4366438900001</v>
      </c>
      <c r="S503" s="719" t="inlineStr">
        <is>
          <t>23M 0S</t>
        </is>
      </c>
      <c r="T503" s="728" t="n"/>
      <c r="U503" s="729" t="n"/>
      <c r="V503" s="730" t="n"/>
      <c r="W503" s="731" t="n"/>
      <c r="X503" s="732" t="n"/>
      <c r="Y503" s="728" t="n"/>
      <c r="Z503" s="729" t="n"/>
      <c r="AA503" s="730" t="n"/>
      <c r="AB503" s="731" t="n"/>
      <c r="AC503" s="732" t="n"/>
      <c r="AD503" s="719" t="inlineStr">
        <is>
          <t>No</t>
        </is>
      </c>
      <c r="AE503" s="733" t="n"/>
      <c r="AF503" s="733" t="n"/>
      <c r="AG503" s="733" t="n"/>
      <c r="AH503" s="733" t="n"/>
      <c r="AI503" s="719" t="inlineStr">
        <is>
          <t>Limit</t>
        </is>
      </c>
      <c r="AJ503" s="733" t="n"/>
      <c r="AK503" s="733" t="n"/>
      <c r="AL503" s="733" t="n"/>
      <c r="AM503" s="733" t="n"/>
      <c r="AN503" s="733" t="n"/>
      <c r="AO503" s="733" t="n"/>
      <c r="AP503" s="719" t="inlineStr">
        <is>
          <t>Pullback</t>
        </is>
      </c>
      <c r="AQ503" s="719" t="n"/>
      <c r="AR503" s="719" t="inlineStr">
        <is>
          <t>No</t>
        </is>
      </c>
      <c r="AS503" s="733" t="n"/>
      <c r="AT503" s="733" t="n"/>
      <c r="AU503" s="733" t="n"/>
      <c r="AV503" s="733" t="n"/>
      <c r="AW503" s="719" t="inlineStr">
        <is>
          <t>trade</t>
        </is>
      </c>
      <c r="AX503" s="734" t="inlineStr">
        <is>
          <t>sig:f9d0151b79bfdb25768971e1</t>
        </is>
      </c>
    </row>
    <row r="504" ht="15" customHeight="1">
      <c r="A504" s="716" t="inlineStr">
        <is>
          <t>C176</t>
        </is>
      </c>
      <c r="B504" s="717" t="n">
        <v>44300.10694444444</v>
      </c>
      <c r="C504" s="718" t="n">
        <v>44300.10694444444</v>
      </c>
      <c r="D504" s="719" t="inlineStr">
        <is>
          <t>BYBIT</t>
        </is>
      </c>
      <c r="E504" s="719" t="inlineStr">
        <is>
          <t>BTCUSDT</t>
        </is>
      </c>
      <c r="F504" s="719" t="inlineStr">
        <is>
          <t>BUY</t>
        </is>
      </c>
      <c r="G504" s="757" t="n">
        <v>0.008999999999999999</v>
      </c>
      <c r="H504" s="720" t="n">
        <v>63246.5</v>
      </c>
      <c r="I504" s="720" t="n">
        <v>63085</v>
      </c>
      <c r="J504" s="721" t="n">
        <v>63085</v>
      </c>
      <c r="K504" s="722" t="n">
        <v>0.002553500984244187</v>
      </c>
      <c r="L504" s="721" t="n"/>
      <c r="M504" s="722" t="n"/>
      <c r="N504" s="758" t="n">
        <v>0.19071788</v>
      </c>
      <c r="O504" s="724" t="n">
        <v>-1.64508453</v>
      </c>
      <c r="P504" s="725" t="n">
        <v>-0.005364709058468889</v>
      </c>
      <c r="Q504" s="726" t="n">
        <v>-1</v>
      </c>
      <c r="R504" s="727" t="n">
        <v>305.0042625400001</v>
      </c>
      <c r="S504" s="719" t="inlineStr">
        <is>
          <t>1S</t>
        </is>
      </c>
      <c r="T504" s="728" t="n"/>
      <c r="U504" s="729" t="n"/>
      <c r="V504" s="730" t="n"/>
      <c r="W504" s="731" t="n"/>
      <c r="X504" s="732" t="n"/>
      <c r="Y504" s="728" t="n"/>
      <c r="Z504" s="729" t="n"/>
      <c r="AA504" s="730" t="n"/>
      <c r="AB504" s="731" t="n"/>
      <c r="AC504" s="732" t="n"/>
      <c r="AD504" s="719" t="inlineStr">
        <is>
          <t>No</t>
        </is>
      </c>
      <c r="AE504" s="733" t="n"/>
      <c r="AF504" s="733" t="n"/>
      <c r="AG504" s="733" t="n"/>
      <c r="AH504" s="733" t="n"/>
      <c r="AI504" s="719" t="inlineStr">
        <is>
          <t>Limit</t>
        </is>
      </c>
      <c r="AJ504" s="733" t="n"/>
      <c r="AK504" s="733" t="n"/>
      <c r="AL504" s="733" t="n"/>
      <c r="AM504" s="733" t="n"/>
      <c r="AN504" s="733" t="n"/>
      <c r="AO504" s="733" t="n"/>
      <c r="AP504" s="719" t="inlineStr">
        <is>
          <t>Pullback</t>
        </is>
      </c>
      <c r="AQ504" s="719" t="n"/>
      <c r="AR504" s="719" t="inlineStr">
        <is>
          <t>No</t>
        </is>
      </c>
      <c r="AS504" s="733" t="n"/>
      <c r="AT504" s="733" t="n"/>
      <c r="AU504" s="733" t="n"/>
      <c r="AV504" s="733" t="n"/>
      <c r="AW504" s="719" t="inlineStr">
        <is>
          <t>trade</t>
        </is>
      </c>
      <c r="AX504" s="734" t="inlineStr">
        <is>
          <t>sig:dfcbe19d310b4a60e213349f</t>
        </is>
      </c>
    </row>
    <row r="505" ht="15" customHeight="1">
      <c r="A505" s="737" t="inlineStr">
        <is>
          <t>C174</t>
        </is>
      </c>
      <c r="B505" s="738" t="n">
        <v>44300.07569444444</v>
      </c>
      <c r="C505" s="739" t="n">
        <v>44300.08541666667</v>
      </c>
      <c r="D505" s="740" t="inlineStr">
        <is>
          <t>BYBIT</t>
        </is>
      </c>
      <c r="E505" s="740" t="inlineStr">
        <is>
          <t>BTCUSDT</t>
        </is>
      </c>
      <c r="F505" s="740" t="inlineStr">
        <is>
          <t>BUY</t>
        </is>
      </c>
      <c r="G505" s="741" t="n">
        <v>0.008999999999999999</v>
      </c>
      <c r="H505" s="742" t="n">
        <v>63378</v>
      </c>
      <c r="I505" s="742" t="n">
        <v>63723</v>
      </c>
      <c r="J505" s="743" t="n">
        <v>63209</v>
      </c>
      <c r="K505" s="744" t="n">
        <v>0.002666540439900281</v>
      </c>
      <c r="L505" s="743" t="n">
        <v>63726</v>
      </c>
      <c r="M505" s="744" t="n">
        <v>0.005490864337782827</v>
      </c>
      <c r="N505" s="745" t="n">
        <v>0.26146192</v>
      </c>
      <c r="O505" s="746" t="n">
        <v>2.84267143</v>
      </c>
      <c r="P505" s="747" t="n">
        <v>0.009356843209622105</v>
      </c>
      <c r="Q505" s="748" t="n">
        <v>2.041420118343195</v>
      </c>
      <c r="R505" s="749" t="n">
        <v>306.6493470700001</v>
      </c>
      <c r="S505" s="740" t="inlineStr">
        <is>
          <t>14M 0S</t>
        </is>
      </c>
      <c r="T505" s="750" t="n"/>
      <c r="U505" s="751" t="n"/>
      <c r="V505" s="752" t="n"/>
      <c r="W505" s="753" t="n"/>
      <c r="X505" s="754" t="n"/>
      <c r="Y505" s="750" t="n"/>
      <c r="Z505" s="751" t="n"/>
      <c r="AA505" s="752" t="n"/>
      <c r="AB505" s="753" t="n"/>
      <c r="AC505" s="754" t="n"/>
      <c r="AD505" s="740" t="inlineStr">
        <is>
          <t>No</t>
        </is>
      </c>
      <c r="AE505" s="755" t="n"/>
      <c r="AF505" s="755" t="n"/>
      <c r="AG505" s="755" t="n"/>
      <c r="AH505" s="740" t="inlineStr">
        <is>
          <t>All-Time High</t>
        </is>
      </c>
      <c r="AI505" s="740" t="inlineStr">
        <is>
          <t>Limit</t>
        </is>
      </c>
      <c r="AJ505" s="755" t="n"/>
      <c r="AK505" s="755" t="n"/>
      <c r="AL505" s="755" t="n"/>
      <c r="AM505" s="755" t="n"/>
      <c r="AN505" s="755" t="n"/>
      <c r="AO505" s="755" t="n"/>
      <c r="AP505" s="740" t="inlineStr">
        <is>
          <t>Pullback</t>
        </is>
      </c>
      <c r="AQ505" s="740" t="inlineStr">
        <is>
          <t>5MIN</t>
        </is>
      </c>
      <c r="AR505" s="740" t="inlineStr">
        <is>
          <t>No</t>
        </is>
      </c>
      <c r="AS505" s="755" t="n"/>
      <c r="AT505" s="755" t="n"/>
      <c r="AU505" s="755" t="n"/>
      <c r="AV505" s="755" t="n"/>
      <c r="AW505" s="740" t="inlineStr">
        <is>
          <t>trade</t>
        </is>
      </c>
      <c r="AX505" s="756" t="inlineStr">
        <is>
          <t>sig:bf248a2e86c898d555dd5c5a</t>
        </is>
      </c>
    </row>
    <row r="506" ht="15" customHeight="1">
      <c r="A506" s="737" t="inlineStr">
        <is>
          <t>C173</t>
        </is>
      </c>
      <c r="B506" s="738" t="n">
        <v>44300.05208333334</v>
      </c>
      <c r="C506" s="739" t="n">
        <v>44300.08263888889</v>
      </c>
      <c r="D506" s="740" t="inlineStr">
        <is>
          <t>BYBIT</t>
        </is>
      </c>
      <c r="E506" s="740" t="inlineStr">
        <is>
          <t>ETHUSDT</t>
        </is>
      </c>
      <c r="F506" s="740" t="inlineStr">
        <is>
          <t>BUY</t>
        </is>
      </c>
      <c r="G506" s="742" t="n">
        <v>0.13</v>
      </c>
      <c r="H506" s="742" t="n">
        <v>2251</v>
      </c>
      <c r="I506" s="742" t="n">
        <v>2273.95</v>
      </c>
      <c r="J506" s="743" t="n">
        <v>2239.4</v>
      </c>
      <c r="K506" s="744" t="n">
        <v>0.005153265215459755</v>
      </c>
      <c r="L506" s="743" t="n">
        <v>2274.1</v>
      </c>
      <c r="M506" s="744" t="n">
        <v>0.01026210573078628</v>
      </c>
      <c r="N506" s="745" t="n">
        <v>0.28157762</v>
      </c>
      <c r="O506" s="746" t="n">
        <v>3.26421097</v>
      </c>
      <c r="P506" s="747" t="n">
        <v>0.01086106408817852</v>
      </c>
      <c r="Q506" s="748" t="n">
        <v>1.978448275862069</v>
      </c>
      <c r="R506" s="749" t="n">
        <v>303.8066756400001</v>
      </c>
      <c r="S506" s="740" t="inlineStr">
        <is>
          <t>44M 0S</t>
        </is>
      </c>
      <c r="T506" s="750" t="n"/>
      <c r="U506" s="751" t="n"/>
      <c r="V506" s="752" t="n"/>
      <c r="W506" s="753" t="n"/>
      <c r="X506" s="754" t="n"/>
      <c r="Y506" s="750" t="n"/>
      <c r="Z506" s="751" t="n"/>
      <c r="AA506" s="752" t="n"/>
      <c r="AB506" s="753" t="n"/>
      <c r="AC506" s="754" t="n"/>
      <c r="AD506" s="740" t="inlineStr">
        <is>
          <t>No</t>
        </is>
      </c>
      <c r="AE506" s="755" t="n"/>
      <c r="AF506" s="755" t="n"/>
      <c r="AG506" s="755" t="n"/>
      <c r="AH506" s="740" t="inlineStr">
        <is>
          <t>All-Time High</t>
        </is>
      </c>
      <c r="AI506" s="740" t="inlineStr">
        <is>
          <t>Limit</t>
        </is>
      </c>
      <c r="AJ506" s="755" t="n"/>
      <c r="AK506" s="755" t="n"/>
      <c r="AL506" s="755" t="n"/>
      <c r="AM506" s="755" t="n"/>
      <c r="AN506" s="755" t="n"/>
      <c r="AO506" s="755" t="n"/>
      <c r="AP506" s="740" t="inlineStr">
        <is>
          <t>Pullback</t>
        </is>
      </c>
      <c r="AQ506" s="740" t="inlineStr">
        <is>
          <t>5MIN</t>
        </is>
      </c>
      <c r="AR506" s="740" t="inlineStr">
        <is>
          <t>No</t>
        </is>
      </c>
      <c r="AS506" s="755" t="n"/>
      <c r="AT506" s="755" t="n"/>
      <c r="AU506" s="755" t="n"/>
      <c r="AV506" s="755" t="n"/>
      <c r="AW506" s="740" t="inlineStr">
        <is>
          <t>trade</t>
        </is>
      </c>
      <c r="AX506" s="756" t="inlineStr">
        <is>
          <t>sig:a304e15cb1c3d0e1bcf897db</t>
        </is>
      </c>
    </row>
    <row r="507" ht="15" customHeight="1">
      <c r="A507" s="716" t="inlineStr">
        <is>
          <t>C172</t>
        </is>
      </c>
      <c r="B507" s="717" t="n">
        <v>44299.97083333333</v>
      </c>
      <c r="C507" s="718" t="n">
        <v>44299.97152777778</v>
      </c>
      <c r="D507" s="719" t="inlineStr">
        <is>
          <t>BYBIT</t>
        </is>
      </c>
      <c r="E507" s="719" t="inlineStr">
        <is>
          <t>BTCUSDT</t>
        </is>
      </c>
      <c r="F507" s="719" t="inlineStr">
        <is>
          <t>BUY</t>
        </is>
      </c>
      <c r="G507" s="735" t="n">
        <v>0.021</v>
      </c>
      <c r="H507" s="720" t="n">
        <v>62859.5</v>
      </c>
      <c r="I507" s="720" t="n">
        <v>62794.5</v>
      </c>
      <c r="J507" s="721" t="n">
        <v>62718.5</v>
      </c>
      <c r="K507" s="722" t="n">
        <v>0.002243097702017993</v>
      </c>
      <c r="L507" s="721" t="n">
        <v>63257</v>
      </c>
      <c r="M507" s="722" t="n">
        <v>0.006323626500369873</v>
      </c>
      <c r="N507" s="758" t="n">
        <v>0.43729088</v>
      </c>
      <c r="O507" s="724" t="n">
        <v>-1.80315753</v>
      </c>
      <c r="P507" s="725" t="n">
        <v>-0.005963894952007013</v>
      </c>
      <c r="Q507" s="726" t="n">
        <v>-0.4609929078014184</v>
      </c>
      <c r="R507" s="727" t="n">
        <v>300.5424646700001</v>
      </c>
      <c r="S507" s="719" t="inlineStr">
        <is>
          <t>1M 0S</t>
        </is>
      </c>
      <c r="T507" s="728" t="n"/>
      <c r="U507" s="729" t="n"/>
      <c r="V507" s="730" t="n"/>
      <c r="W507" s="731" t="n"/>
      <c r="X507" s="732" t="n"/>
      <c r="Y507" s="728" t="n"/>
      <c r="Z507" s="729" t="n"/>
      <c r="AA507" s="730" t="n"/>
      <c r="AB507" s="731" t="n"/>
      <c r="AC507" s="732" t="n"/>
      <c r="AD507" s="719" t="inlineStr">
        <is>
          <t>No</t>
        </is>
      </c>
      <c r="AE507" s="733" t="n"/>
      <c r="AF507" s="733" t="n"/>
      <c r="AG507" s="733" t="n"/>
      <c r="AH507" s="719" t="inlineStr">
        <is>
          <t>All-Time High</t>
        </is>
      </c>
      <c r="AI507" s="719" t="inlineStr">
        <is>
          <t>Limit</t>
        </is>
      </c>
      <c r="AJ507" s="733" t="n"/>
      <c r="AK507" s="733" t="n"/>
      <c r="AL507" s="733" t="n"/>
      <c r="AM507" s="733" t="n"/>
      <c r="AN507" s="733" t="n"/>
      <c r="AO507" s="733" t="n"/>
      <c r="AP507" s="719" t="inlineStr">
        <is>
          <t>Pullback</t>
        </is>
      </c>
      <c r="AQ507" s="719" t="inlineStr">
        <is>
          <t>5MIN</t>
        </is>
      </c>
      <c r="AR507" s="719" t="inlineStr">
        <is>
          <t>No</t>
        </is>
      </c>
      <c r="AS507" s="733" t="n"/>
      <c r="AT507" s="733" t="n"/>
      <c r="AU507" s="733" t="n"/>
      <c r="AV507" s="733" t="n"/>
      <c r="AW507" s="719" t="inlineStr">
        <is>
          <t>trade</t>
        </is>
      </c>
      <c r="AX507" s="734" t="inlineStr">
        <is>
          <t>sig:02b500a3a35db34c0ad94dad</t>
        </is>
      </c>
    </row>
    <row r="508" ht="15" customHeight="1">
      <c r="A508" s="716" t="inlineStr">
        <is>
          <t>C171</t>
        </is>
      </c>
      <c r="B508" s="717" t="n">
        <v>44298.81805555556</v>
      </c>
      <c r="C508" s="718" t="n">
        <v>44298.81875</v>
      </c>
      <c r="D508" s="719" t="inlineStr">
        <is>
          <t>BYBIT</t>
        </is>
      </c>
      <c r="E508" s="719" t="inlineStr">
        <is>
          <t>BTCUSDT</t>
        </is>
      </c>
      <c r="F508" s="719" t="inlineStr">
        <is>
          <t>BUY</t>
        </is>
      </c>
      <c r="G508" s="735" t="n">
        <v>0.01</v>
      </c>
      <c r="H508" s="720" t="n">
        <v>60623</v>
      </c>
      <c r="I508" s="720" t="n">
        <v>60240</v>
      </c>
      <c r="J508" s="721" t="n">
        <v>60256.5</v>
      </c>
      <c r="K508" s="722" t="n">
        <v>0.00604556026590568</v>
      </c>
      <c r="L508" s="721" t="n">
        <v>61358</v>
      </c>
      <c r="M508" s="722" t="n">
        <v>0.01212411131088861</v>
      </c>
      <c r="N508" s="758" t="n">
        <v>0.7187951299999999</v>
      </c>
      <c r="O508" s="724" t="n">
        <v>-2.72907152</v>
      </c>
      <c r="P508" s="725" t="n">
        <v>-0.008945584724588016</v>
      </c>
      <c r="Q508" s="726" t="n">
        <v>-1.045020463847203</v>
      </c>
      <c r="R508" s="727" t="n">
        <v>302.3456222000001</v>
      </c>
      <c r="S508" s="719" t="inlineStr">
        <is>
          <t>1M 0S</t>
        </is>
      </c>
      <c r="T508" s="728" t="n"/>
      <c r="U508" s="729" t="n"/>
      <c r="V508" s="730" t="n"/>
      <c r="W508" s="731" t="n"/>
      <c r="X508" s="732" t="n"/>
      <c r="Y508" s="728" t="n"/>
      <c r="Z508" s="729" t="n"/>
      <c r="AA508" s="730" t="n"/>
      <c r="AB508" s="731" t="n"/>
      <c r="AC508" s="732" t="n"/>
      <c r="AD508" s="719" t="inlineStr">
        <is>
          <t>No</t>
        </is>
      </c>
      <c r="AE508" s="733" t="n"/>
      <c r="AF508" s="733" t="n"/>
      <c r="AG508" s="733" t="n"/>
      <c r="AH508" s="733" t="n"/>
      <c r="AI508" s="719" t="inlineStr">
        <is>
          <t>Limit</t>
        </is>
      </c>
      <c r="AJ508" s="733" t="n"/>
      <c r="AK508" s="733" t="n"/>
      <c r="AL508" s="733" t="n"/>
      <c r="AM508" s="733" t="n"/>
      <c r="AN508" s="733" t="n"/>
      <c r="AO508" s="733" t="n"/>
      <c r="AP508" s="719" t="inlineStr">
        <is>
          <t>Pullback</t>
        </is>
      </c>
      <c r="AQ508" s="719" t="inlineStr">
        <is>
          <t>1H</t>
        </is>
      </c>
      <c r="AR508" s="719" t="inlineStr">
        <is>
          <t>No</t>
        </is>
      </c>
      <c r="AS508" s="733" t="n"/>
      <c r="AT508" s="733" t="n"/>
      <c r="AU508" s="733" t="n"/>
      <c r="AV508" s="733" t="n"/>
      <c r="AW508" s="719" t="inlineStr">
        <is>
          <t>trade</t>
        </is>
      </c>
      <c r="AX508" s="734" t="inlineStr">
        <is>
          <t>sig:c450f007ab40ee8a20c71c5a</t>
        </is>
      </c>
    </row>
    <row r="509" ht="15" customHeight="1">
      <c r="A509" s="716" t="inlineStr">
        <is>
          <t>C170</t>
        </is>
      </c>
      <c r="B509" s="717" t="n">
        <v>44298.01041666666</v>
      </c>
      <c r="C509" s="718" t="n">
        <v>44298.12222222222</v>
      </c>
      <c r="D509" s="719" t="inlineStr">
        <is>
          <t>BYBIT</t>
        </is>
      </c>
      <c r="E509" s="719" t="inlineStr">
        <is>
          <t>XTZUSDT</t>
        </is>
      </c>
      <c r="F509" s="719" t="inlineStr">
        <is>
          <t>BUY</t>
        </is>
      </c>
      <c r="G509" s="720" t="n">
        <v>27.1</v>
      </c>
      <c r="H509" s="720" t="n">
        <v>6.578</v>
      </c>
      <c r="I509" s="720" t="n">
        <v>6.464</v>
      </c>
      <c r="J509" s="721" t="n">
        <v>6.465</v>
      </c>
      <c r="K509" s="722" t="n">
        <v>0.01717847370021289</v>
      </c>
      <c r="L509" s="721" t="n">
        <v>6.806</v>
      </c>
      <c r="M509" s="722" t="n">
        <v>0.03466099118273028</v>
      </c>
      <c r="N509" s="723" t="n">
        <v>0.04286952</v>
      </c>
      <c r="O509" s="724" t="n">
        <v>-3.13313617</v>
      </c>
      <c r="P509" s="725" t="n">
        <v>-0.01016566052562072</v>
      </c>
      <c r="Q509" s="726" t="n">
        <v>-1.008849557522119</v>
      </c>
      <c r="R509" s="727" t="n">
        <v>305.0746937200001</v>
      </c>
      <c r="S509" s="719" t="inlineStr">
        <is>
          <t>2H 41M 0S</t>
        </is>
      </c>
      <c r="T509" s="728" t="n"/>
      <c r="U509" s="729" t="n"/>
      <c r="V509" s="730" t="n"/>
      <c r="W509" s="731" t="n"/>
      <c r="X509" s="732" t="n"/>
      <c r="Y509" s="728" t="n"/>
      <c r="Z509" s="729" t="n"/>
      <c r="AA509" s="730" t="n"/>
      <c r="AB509" s="731" t="n"/>
      <c r="AC509" s="732" t="n"/>
      <c r="AD509" s="719" t="inlineStr">
        <is>
          <t>No</t>
        </is>
      </c>
      <c r="AE509" s="733" t="n"/>
      <c r="AF509" s="733" t="n"/>
      <c r="AG509" s="733" t="n"/>
      <c r="AH509" s="733" t="n"/>
      <c r="AI509" s="719" t="inlineStr">
        <is>
          <t>Limit</t>
        </is>
      </c>
      <c r="AJ509" s="733" t="n"/>
      <c r="AK509" s="733" t="n"/>
      <c r="AL509" s="733" t="n"/>
      <c r="AM509" s="733" t="n"/>
      <c r="AN509" s="733" t="n"/>
      <c r="AO509" s="733" t="n"/>
      <c r="AP509" s="719" t="inlineStr">
        <is>
          <t>Pullback</t>
        </is>
      </c>
      <c r="AQ509" s="719" t="inlineStr">
        <is>
          <t>1H</t>
        </is>
      </c>
      <c r="AR509" s="719" t="inlineStr">
        <is>
          <t>No</t>
        </is>
      </c>
      <c r="AS509" s="733" t="n"/>
      <c r="AT509" s="733" t="n"/>
      <c r="AU509" s="733" t="n"/>
      <c r="AV509" s="733" t="n"/>
      <c r="AW509" s="719" t="inlineStr">
        <is>
          <t>trade</t>
        </is>
      </c>
      <c r="AX509" s="734" t="inlineStr">
        <is>
          <t>sig:76f05138569692bc0210fb28</t>
        </is>
      </c>
    </row>
    <row r="510" ht="15" customHeight="1">
      <c r="A510" s="716" t="inlineStr">
        <is>
          <t>C169</t>
        </is>
      </c>
      <c r="B510" s="717" t="n">
        <v>44297.17152777778</v>
      </c>
      <c r="C510" s="718" t="n">
        <v>44297.28541666667</v>
      </c>
      <c r="D510" s="719" t="inlineStr">
        <is>
          <t>BYBIT</t>
        </is>
      </c>
      <c r="E510" s="719" t="inlineStr">
        <is>
          <t>ETHUSDT</t>
        </is>
      </c>
      <c r="F510" s="719" t="inlineStr">
        <is>
          <t>BUY</t>
        </is>
      </c>
      <c r="G510" s="735" t="n">
        <v>0.05</v>
      </c>
      <c r="H510" s="720" t="n">
        <v>2128.85</v>
      </c>
      <c r="I510" s="720" t="n">
        <v>2093.5</v>
      </c>
      <c r="J510" s="721" t="n">
        <v>2094.6</v>
      </c>
      <c r="K510" s="722" t="n">
        <v>0.01608849848509759</v>
      </c>
      <c r="L510" s="721" t="n">
        <v>2197.3</v>
      </c>
      <c r="M510" s="722" t="n">
        <v>0.03215351011109297</v>
      </c>
      <c r="N510" s="723" t="n">
        <v>0.07948516999999999</v>
      </c>
      <c r="O510" s="724" t="n">
        <v>-1.68888148</v>
      </c>
      <c r="P510" s="725" t="n">
        <v>-0.005449820595171034</v>
      </c>
      <c r="Q510" s="726" t="n">
        <v>-1.032116788321165</v>
      </c>
      <c r="R510" s="727" t="n">
        <v>308.2078298900001</v>
      </c>
      <c r="S510" s="719" t="inlineStr">
        <is>
          <t>2H 44M 0S</t>
        </is>
      </c>
      <c r="T510" s="728" t="n"/>
      <c r="U510" s="729" t="n"/>
      <c r="V510" s="730" t="n"/>
      <c r="W510" s="731" t="n"/>
      <c r="X510" s="732" t="n"/>
      <c r="Y510" s="728" t="n"/>
      <c r="Z510" s="729" t="n"/>
      <c r="AA510" s="730" t="n"/>
      <c r="AB510" s="731" t="n"/>
      <c r="AC510" s="732" t="n"/>
      <c r="AD510" s="719" t="inlineStr">
        <is>
          <t>No</t>
        </is>
      </c>
      <c r="AE510" s="733" t="n"/>
      <c r="AF510" s="733" t="n"/>
      <c r="AG510" s="733" t="n"/>
      <c r="AH510" s="733" t="n"/>
      <c r="AI510" s="719" t="inlineStr">
        <is>
          <t>Limit</t>
        </is>
      </c>
      <c r="AJ510" s="733" t="n"/>
      <c r="AK510" s="733" t="n"/>
      <c r="AL510" s="733" t="n"/>
      <c r="AM510" s="733" t="n"/>
      <c r="AN510" s="733" t="n"/>
      <c r="AO510" s="733" t="n"/>
      <c r="AP510" s="719" t="inlineStr">
        <is>
          <t>Pullback</t>
        </is>
      </c>
      <c r="AQ510" s="719" t="inlineStr">
        <is>
          <t>4H</t>
        </is>
      </c>
      <c r="AR510" s="719" t="inlineStr">
        <is>
          <t>No</t>
        </is>
      </c>
      <c r="AS510" s="733" t="n"/>
      <c r="AT510" s="733" t="n"/>
      <c r="AU510" s="733" t="n"/>
      <c r="AV510" s="733" t="n"/>
      <c r="AW510" s="719" t="inlineStr">
        <is>
          <t>trade</t>
        </is>
      </c>
      <c r="AX510" s="734" t="inlineStr">
        <is>
          <t>sig:a18a6b7cc8f42e1ca09b5606</t>
        </is>
      </c>
    </row>
    <row r="511" ht="15" customHeight="1">
      <c r="A511" s="716" t="inlineStr">
        <is>
          <t>C168</t>
        </is>
      </c>
      <c r="B511" s="717" t="n">
        <v>44297.17013888889</v>
      </c>
      <c r="C511" s="718" t="n">
        <v>44297.28333333333</v>
      </c>
      <c r="D511" s="719" t="inlineStr">
        <is>
          <t>BYBIT</t>
        </is>
      </c>
      <c r="E511" s="719" t="inlineStr">
        <is>
          <t>BTCUSDT</t>
        </is>
      </c>
      <c r="F511" s="719" t="inlineStr">
        <is>
          <t>BUY</t>
        </is>
      </c>
      <c r="G511" s="757" t="n">
        <v>0.002</v>
      </c>
      <c r="H511" s="720" t="n">
        <v>60000</v>
      </c>
      <c r="I511" s="720" t="n">
        <v>59174</v>
      </c>
      <c r="J511" s="721" t="n">
        <v>59175.5</v>
      </c>
      <c r="K511" s="722" t="n">
        <v>0.01374166666666667</v>
      </c>
      <c r="L511" s="721" t="n">
        <v>61644.5</v>
      </c>
      <c r="M511" s="722" t="n">
        <v>0.02740833333333333</v>
      </c>
      <c r="N511" s="723" t="n">
        <v>0.01974525</v>
      </c>
      <c r="O511" s="724" t="n">
        <v>-1.6331214</v>
      </c>
      <c r="P511" s="725" t="n">
        <v>-0.005242263270515476</v>
      </c>
      <c r="Q511" s="726" t="n">
        <v>-1.001819284414797</v>
      </c>
      <c r="R511" s="727" t="n">
        <v>309.8967113700001</v>
      </c>
      <c r="S511" s="719" t="inlineStr">
        <is>
          <t>2H 43M 0S</t>
        </is>
      </c>
      <c r="T511" s="728" t="n"/>
      <c r="U511" s="729" t="n"/>
      <c r="V511" s="730" t="n"/>
      <c r="W511" s="731" t="n"/>
      <c r="X511" s="732" t="n"/>
      <c r="Y511" s="728" t="n"/>
      <c r="Z511" s="729" t="n"/>
      <c r="AA511" s="730" t="n"/>
      <c r="AB511" s="731" t="n"/>
      <c r="AC511" s="732" t="n"/>
      <c r="AD511" s="719" t="inlineStr">
        <is>
          <t>No</t>
        </is>
      </c>
      <c r="AE511" s="733" t="n"/>
      <c r="AF511" s="733" t="n"/>
      <c r="AG511" s="733" t="n"/>
      <c r="AH511" s="733" t="n"/>
      <c r="AI511" s="719" t="inlineStr">
        <is>
          <t>Limit</t>
        </is>
      </c>
      <c r="AJ511" s="733" t="n"/>
      <c r="AK511" s="733" t="n"/>
      <c r="AL511" s="733" t="n"/>
      <c r="AM511" s="733" t="n"/>
      <c r="AN511" s="733" t="n"/>
      <c r="AO511" s="733" t="n"/>
      <c r="AP511" s="719" t="inlineStr">
        <is>
          <t>Pullback</t>
        </is>
      </c>
      <c r="AQ511" s="719" t="inlineStr">
        <is>
          <t>DAILY</t>
        </is>
      </c>
      <c r="AR511" s="719" t="inlineStr">
        <is>
          <t>No</t>
        </is>
      </c>
      <c r="AS511" s="733" t="n"/>
      <c r="AT511" s="733" t="n"/>
      <c r="AU511" s="733" t="n"/>
      <c r="AV511" s="733" t="n"/>
      <c r="AW511" s="719" t="inlineStr">
        <is>
          <t>trade</t>
        </is>
      </c>
      <c r="AX511" s="734" t="inlineStr">
        <is>
          <t>sig:b08599ab97e07855b63be9c2</t>
        </is>
      </c>
    </row>
    <row r="512" ht="15" customHeight="1">
      <c r="A512" s="716" t="inlineStr">
        <is>
          <t>C166</t>
        </is>
      </c>
      <c r="B512" s="717" t="n">
        <v>44293.79722222222</v>
      </c>
      <c r="C512" s="718" t="n">
        <v>44293.86458333334</v>
      </c>
      <c r="D512" s="719" t="inlineStr">
        <is>
          <t>BYBIT</t>
        </is>
      </c>
      <c r="E512" s="719" t="inlineStr">
        <is>
          <t>XTZUSDT</t>
        </is>
      </c>
      <c r="F512" s="719" t="inlineStr">
        <is>
          <t>BUY</t>
        </is>
      </c>
      <c r="G512" s="720" t="n">
        <v>14</v>
      </c>
      <c r="H512" s="720" t="n">
        <v>5.9414</v>
      </c>
      <c r="I512" s="720" t="n">
        <v>5.716</v>
      </c>
      <c r="J512" s="721" t="n">
        <v>5.7163</v>
      </c>
      <c r="K512" s="722" t="n">
        <v>0.03788669337193244</v>
      </c>
      <c r="L512" s="721" t="n">
        <v>6.397</v>
      </c>
      <c r="M512" s="722" t="n">
        <v>0.07668226343959345</v>
      </c>
      <c r="N512" s="723" t="n">
        <v>0.0207935</v>
      </c>
      <c r="O512" s="724" t="n">
        <v>-3.13007315</v>
      </c>
      <c r="P512" s="725" t="n">
        <v>-0.009947480092350238</v>
      </c>
      <c r="Q512" s="726" t="n">
        <v>-1.001332741003999</v>
      </c>
      <c r="R512" s="727" t="n">
        <v>311.5298327700001</v>
      </c>
      <c r="S512" s="719" t="inlineStr">
        <is>
          <t>1H 37M 0S</t>
        </is>
      </c>
      <c r="T512" s="728" t="n"/>
      <c r="U512" s="729" t="n"/>
      <c r="V512" s="730" t="n"/>
      <c r="W512" s="731" t="n"/>
      <c r="X512" s="732" t="n"/>
      <c r="Y512" s="728" t="n"/>
      <c r="Z512" s="729" t="n"/>
      <c r="AA512" s="730" t="n"/>
      <c r="AB512" s="731" t="n"/>
      <c r="AC512" s="732" t="n"/>
      <c r="AD512" s="719" t="inlineStr">
        <is>
          <t>No</t>
        </is>
      </c>
      <c r="AE512" s="733" t="n"/>
      <c r="AF512" s="733" t="n"/>
      <c r="AG512" s="733" t="n"/>
      <c r="AH512" s="733" t="n"/>
      <c r="AI512" s="719" t="inlineStr">
        <is>
          <t>Limit</t>
        </is>
      </c>
      <c r="AJ512" s="733" t="n"/>
      <c r="AK512" s="733" t="n"/>
      <c r="AL512" s="733" t="n"/>
      <c r="AM512" s="733" t="n"/>
      <c r="AN512" s="733" t="n"/>
      <c r="AO512" s="733" t="n"/>
      <c r="AP512" s="719" t="inlineStr">
        <is>
          <t>Pullback</t>
        </is>
      </c>
      <c r="AQ512" s="719" t="inlineStr">
        <is>
          <t>1H</t>
        </is>
      </c>
      <c r="AR512" s="719" t="inlineStr">
        <is>
          <t>No</t>
        </is>
      </c>
      <c r="AS512" s="733" t="n"/>
      <c r="AT512" s="733" t="n"/>
      <c r="AU512" s="733" t="n"/>
      <c r="AV512" s="733" t="n"/>
      <c r="AW512" s="719" t="inlineStr">
        <is>
          <t>trade</t>
        </is>
      </c>
      <c r="AX512" s="734" t="inlineStr">
        <is>
          <t>sig:d5e6681e04753dfd375989c9</t>
        </is>
      </c>
    </row>
    <row r="513" ht="15" customHeight="1">
      <c r="A513" s="737" t="inlineStr">
        <is>
          <t>C165</t>
        </is>
      </c>
      <c r="B513" s="738" t="n">
        <v>44293.45972222222</v>
      </c>
      <c r="C513" s="739" t="n">
        <v>44293.63472222222</v>
      </c>
      <c r="D513" s="740" t="inlineStr">
        <is>
          <t>BYBIT</t>
        </is>
      </c>
      <c r="E513" s="740" t="inlineStr">
        <is>
          <t>XTZUSDT</t>
        </is>
      </c>
      <c r="F513" s="740" t="inlineStr">
        <is>
          <t>BUY</t>
        </is>
      </c>
      <c r="G513" s="742" t="n">
        <v>13.7</v>
      </c>
      <c r="H513" s="742" t="n">
        <v>5.9414</v>
      </c>
      <c r="I513" s="742" t="n">
        <v>6.394</v>
      </c>
      <c r="J513" s="743" t="n">
        <v>5.7163</v>
      </c>
      <c r="K513" s="744" t="n">
        <v>0.03788669337193244</v>
      </c>
      <c r="L513" s="743" t="n">
        <v>6.397</v>
      </c>
      <c r="M513" s="744" t="n">
        <v>0.07668226343959345</v>
      </c>
      <c r="N513" s="802" t="n">
        <v>0.02034792</v>
      </c>
      <c r="O513" s="746" t="n">
        <v>6.22558127</v>
      </c>
      <c r="P513" s="747" t="n">
        <v>0.02018446318212009</v>
      </c>
      <c r="Q513" s="748" t="n">
        <v>2.010661928031992</v>
      </c>
      <c r="R513" s="749" t="n">
        <v>314.6599059200001</v>
      </c>
      <c r="S513" s="740" t="inlineStr">
        <is>
          <t>4H 12M 0S</t>
        </is>
      </c>
      <c r="T513" s="750" t="n"/>
      <c r="U513" s="751" t="n"/>
      <c r="V513" s="752" t="n"/>
      <c r="W513" s="753" t="n"/>
      <c r="X513" s="754" t="n"/>
      <c r="Y513" s="750" t="n"/>
      <c r="Z513" s="751" t="n"/>
      <c r="AA513" s="752" t="n"/>
      <c r="AB513" s="753" t="n"/>
      <c r="AC513" s="754" t="n"/>
      <c r="AD513" s="740" t="inlineStr">
        <is>
          <t>No</t>
        </is>
      </c>
      <c r="AE513" s="755" t="n"/>
      <c r="AF513" s="755" t="n"/>
      <c r="AG513" s="755" t="n"/>
      <c r="AH513" s="755" t="n"/>
      <c r="AI513" s="740" t="inlineStr">
        <is>
          <t>Limit</t>
        </is>
      </c>
      <c r="AJ513" s="755" t="n"/>
      <c r="AK513" s="755" t="n"/>
      <c r="AL513" s="755" t="n"/>
      <c r="AM513" s="755" t="n"/>
      <c r="AN513" s="755" t="n"/>
      <c r="AO513" s="755" t="n"/>
      <c r="AP513" s="740" t="inlineStr">
        <is>
          <t>Pullback</t>
        </is>
      </c>
      <c r="AQ513" s="740" t="inlineStr">
        <is>
          <t>1H</t>
        </is>
      </c>
      <c r="AR513" s="740" t="inlineStr">
        <is>
          <t>No</t>
        </is>
      </c>
      <c r="AS513" s="755" t="n"/>
      <c r="AT513" s="755" t="n"/>
      <c r="AU513" s="755" t="n"/>
      <c r="AV513" s="755" t="n"/>
      <c r="AW513" s="740" t="inlineStr">
        <is>
          <t>trade</t>
        </is>
      </c>
      <c r="AX513" s="756" t="inlineStr">
        <is>
          <t>sig:7c4d72cb1934cf9ff19522ce</t>
        </is>
      </c>
    </row>
    <row r="514" ht="15" customHeight="1">
      <c r="A514" s="716" t="inlineStr">
        <is>
          <t>C164</t>
        </is>
      </c>
      <c r="B514" s="717" t="n">
        <v>44291.27569444444</v>
      </c>
      <c r="C514" s="718" t="n">
        <v>44291.65833333333</v>
      </c>
      <c r="D514" s="719" t="inlineStr">
        <is>
          <t>BYBIT</t>
        </is>
      </c>
      <c r="E514" s="719" t="inlineStr">
        <is>
          <t>DOTUSDT</t>
        </is>
      </c>
      <c r="F514" s="719" t="inlineStr">
        <is>
          <t>BUY</t>
        </is>
      </c>
      <c r="G514" s="720" t="n">
        <v>3.9</v>
      </c>
      <c r="H514" s="720" t="n">
        <v>43.1802</v>
      </c>
      <c r="I514" s="720" t="n">
        <v>42.35</v>
      </c>
      <c r="J514" s="721" t="n">
        <v>42.3698</v>
      </c>
      <c r="K514" s="722" t="n">
        <v>0.01876786119564063</v>
      </c>
      <c r="L514" s="721" t="n">
        <v>44.8634</v>
      </c>
      <c r="M514" s="722" t="n">
        <v>0.03898082917633543</v>
      </c>
      <c r="N514" s="758" t="n">
        <v>0.20334877</v>
      </c>
      <c r="O514" s="724" t="n">
        <v>-3.44121542</v>
      </c>
      <c r="P514" s="725" t="n">
        <v>-0.01103393815118564</v>
      </c>
      <c r="Q514" s="726" t="n">
        <v>-1.024432379072059</v>
      </c>
      <c r="R514" s="727" t="n">
        <v>308.4343246500001</v>
      </c>
      <c r="S514" s="719" t="inlineStr">
        <is>
          <t>9H 11M 0S</t>
        </is>
      </c>
      <c r="T514" s="728" t="n"/>
      <c r="U514" s="729" t="n"/>
      <c r="V514" s="730" t="n"/>
      <c r="W514" s="731" t="n"/>
      <c r="X514" s="732" t="n"/>
      <c r="Y514" s="728" t="n"/>
      <c r="Z514" s="729" t="n"/>
      <c r="AA514" s="730" t="n"/>
      <c r="AB514" s="731" t="n"/>
      <c r="AC514" s="732" t="n"/>
      <c r="AD514" s="719" t="inlineStr">
        <is>
          <t>No</t>
        </is>
      </c>
      <c r="AE514" s="733" t="n"/>
      <c r="AF514" s="733" t="n"/>
      <c r="AG514" s="733" t="n"/>
      <c r="AH514" s="733" t="n"/>
      <c r="AI514" s="719" t="inlineStr">
        <is>
          <t>Limit</t>
        </is>
      </c>
      <c r="AJ514" s="733" t="n"/>
      <c r="AK514" s="733" t="n"/>
      <c r="AL514" s="733" t="n"/>
      <c r="AM514" s="733" t="n"/>
      <c r="AN514" s="733" t="n"/>
      <c r="AO514" s="733" t="n"/>
      <c r="AP514" s="719" t="inlineStr">
        <is>
          <t>Pullback</t>
        </is>
      </c>
      <c r="AQ514" s="719" t="inlineStr">
        <is>
          <t>1H</t>
        </is>
      </c>
      <c r="AR514" s="719" t="inlineStr">
        <is>
          <t>No</t>
        </is>
      </c>
      <c r="AS514" s="733" t="n"/>
      <c r="AT514" s="733" t="n"/>
      <c r="AU514" s="733" t="n"/>
      <c r="AV514" s="733" t="n"/>
      <c r="AW514" s="719" t="inlineStr">
        <is>
          <t>trade</t>
        </is>
      </c>
      <c r="AX514" s="734" t="inlineStr">
        <is>
          <t>sig:6e33f7536f26470c7630bd55</t>
        </is>
      </c>
    </row>
    <row r="515" ht="15" customHeight="1">
      <c r="A515" s="716" t="inlineStr">
        <is>
          <t>F1128</t>
        </is>
      </c>
      <c r="B515" s="717" t="n">
        <v>44288.06180555555</v>
      </c>
      <c r="C515" s="718" t="n">
        <v>44288.11805555555</v>
      </c>
      <c r="D515" s="719" t="inlineStr">
        <is>
          <t>PEPPERSTONE LIVE</t>
        </is>
      </c>
      <c r="E515" s="719" t="inlineStr">
        <is>
          <t>GBPCHF</t>
        </is>
      </c>
      <c r="F515" s="719" t="inlineStr">
        <is>
          <t>BUY</t>
        </is>
      </c>
      <c r="G515" s="735" t="n">
        <v>0.03</v>
      </c>
      <c r="H515" s="720" t="n">
        <v>1.302</v>
      </c>
      <c r="I515" s="720" t="n">
        <v>1.30045</v>
      </c>
      <c r="J515" s="721" t="n">
        <v>1.3004</v>
      </c>
      <c r="K515" s="722" t="n">
        <v>0.001228878648233522</v>
      </c>
      <c r="L515" s="721" t="n">
        <v>1.306</v>
      </c>
      <c r="M515" s="722" t="n">
        <v>0.00307219662058372</v>
      </c>
      <c r="N515" s="761" t="n"/>
      <c r="O515" s="762" t="n">
        <v>-6.79</v>
      </c>
      <c r="P515" s="725" t="n">
        <v>-0.01321114483617402</v>
      </c>
      <c r="Q515" s="726" t="n">
        <v>-0.9687499999999349</v>
      </c>
      <c r="R515" s="764" t="n">
        <v>507.17</v>
      </c>
      <c r="S515" s="719" t="inlineStr">
        <is>
          <t>1H 21M 0S</t>
        </is>
      </c>
      <c r="T515" s="728" t="n"/>
      <c r="U515" s="729" t="n"/>
      <c r="V515" s="730" t="n"/>
      <c r="W515" s="731" t="n"/>
      <c r="X515" s="732" t="n"/>
      <c r="Y515" s="728" t="n"/>
      <c r="Z515" s="729" t="n"/>
      <c r="AA515" s="730" t="n"/>
      <c r="AB515" s="731" t="n"/>
      <c r="AC515" s="732" t="n"/>
      <c r="AD515" s="719" t="inlineStr">
        <is>
          <t>No</t>
        </is>
      </c>
      <c r="AE515" s="733" t="n"/>
      <c r="AF515" s="733" t="n"/>
      <c r="AG515" s="733" t="n"/>
      <c r="AH515" s="733" t="n"/>
      <c r="AI515" s="719" t="n"/>
      <c r="AJ515" s="733" t="n"/>
      <c r="AK515" s="733" t="n"/>
      <c r="AL515" s="733" t="n"/>
      <c r="AM515" s="733" t="n"/>
      <c r="AN515" s="733" t="n"/>
      <c r="AO515" s="733" t="n"/>
      <c r="AP515" s="719" t="inlineStr">
        <is>
          <t>Pullback</t>
        </is>
      </c>
      <c r="AQ515" s="719" t="n"/>
      <c r="AR515" s="719" t="inlineStr">
        <is>
          <t>No</t>
        </is>
      </c>
      <c r="AS515" s="733" t="n"/>
      <c r="AT515" s="733" t="n"/>
      <c r="AU515" s="733" t="n"/>
      <c r="AV515" s="733" t="n"/>
      <c r="AW515" s="719" t="inlineStr">
        <is>
          <t>trade</t>
        </is>
      </c>
      <c r="AX515" s="734" t="inlineStr">
        <is>
          <t>sig:1b069d2c68004ff1ae3a4c51</t>
        </is>
      </c>
    </row>
    <row r="516" ht="15" customHeight="1">
      <c r="A516" s="716" t="inlineStr">
        <is>
          <t>F1127</t>
        </is>
      </c>
      <c r="B516" s="717" t="n">
        <v>44286.11458333334</v>
      </c>
      <c r="C516" s="718" t="n">
        <v>44287.62430555555</v>
      </c>
      <c r="D516" s="719" t="inlineStr">
        <is>
          <t>PEPPERSTONE LIVE</t>
        </is>
      </c>
      <c r="E516" s="719" t="inlineStr">
        <is>
          <t>AUDUSD</t>
        </is>
      </c>
      <c r="F516" s="719" t="inlineStr">
        <is>
          <t>BUY</t>
        </is>
      </c>
      <c r="G516" s="735" t="n">
        <v>0.01</v>
      </c>
      <c r="H516" s="720" t="n">
        <v>0.759</v>
      </c>
      <c r="I516" s="720" t="n">
        <v>0.75402</v>
      </c>
      <c r="J516" s="721" t="n">
        <v>0.754</v>
      </c>
      <c r="K516" s="722" t="n">
        <v>0.006587615283267463</v>
      </c>
      <c r="L516" s="721" t="n">
        <v>0.779</v>
      </c>
      <c r="M516" s="722" t="n">
        <v>0.02635046113306985</v>
      </c>
      <c r="N516" s="761" t="n">
        <v>0.15</v>
      </c>
      <c r="O516" s="762" t="n">
        <v>-6.81</v>
      </c>
      <c r="P516" s="725" t="n">
        <v>-0.01307679013768074</v>
      </c>
      <c r="Q516" s="726" t="n">
        <v>-0.995999999999996</v>
      </c>
      <c r="R516" s="764" t="n">
        <v>513.96</v>
      </c>
      <c r="S516" s="719" t="inlineStr">
        <is>
          <t>1D 12H 14M 0S</t>
        </is>
      </c>
      <c r="T516" s="728" t="n"/>
      <c r="U516" s="729" t="n"/>
      <c r="V516" s="730" t="n"/>
      <c r="W516" s="731" t="n"/>
      <c r="X516" s="732" t="n"/>
      <c r="Y516" s="728" t="n"/>
      <c r="Z516" s="729" t="n"/>
      <c r="AA516" s="730" t="n"/>
      <c r="AB516" s="731" t="n"/>
      <c r="AC516" s="732" t="n"/>
      <c r="AD516" s="719" t="inlineStr">
        <is>
          <t>No</t>
        </is>
      </c>
      <c r="AE516" s="733" t="n"/>
      <c r="AF516" s="733" t="n"/>
      <c r="AG516" s="733" t="n"/>
      <c r="AH516" s="733" t="n"/>
      <c r="AI516" s="733" t="n"/>
      <c r="AJ516" s="733" t="n"/>
      <c r="AK516" s="733" t="n"/>
      <c r="AL516" s="733" t="n"/>
      <c r="AM516" s="733" t="n"/>
      <c r="AN516" s="733" t="n"/>
      <c r="AO516" s="733" t="n"/>
      <c r="AP516" s="719" t="inlineStr">
        <is>
          <t>Pullback</t>
        </is>
      </c>
      <c r="AQ516" s="733" t="n"/>
      <c r="AR516" s="719" t="inlineStr">
        <is>
          <t>No</t>
        </is>
      </c>
      <c r="AS516" s="733" t="n"/>
      <c r="AT516" s="733" t="n"/>
      <c r="AU516" s="733" t="n"/>
      <c r="AV516" s="733" t="n"/>
      <c r="AW516" s="719" t="inlineStr">
        <is>
          <t>trade</t>
        </is>
      </c>
      <c r="AX516" s="734" t="inlineStr">
        <is>
          <t>sig:f236fbdd553a977c18369df6</t>
        </is>
      </c>
    </row>
    <row r="517" ht="15" customHeight="1">
      <c r="A517" s="737" t="inlineStr">
        <is>
          <t>F1125</t>
        </is>
      </c>
      <c r="B517" s="738" t="n">
        <v>44279.24722222222</v>
      </c>
      <c r="C517" s="739" t="n">
        <v>44286.99722222222</v>
      </c>
      <c r="D517" s="740" t="inlineStr">
        <is>
          <t>PEPPERSTONE LIVE</t>
        </is>
      </c>
      <c r="E517" s="740" t="inlineStr">
        <is>
          <t>CHFJPY</t>
        </is>
      </c>
      <c r="F517" s="740" t="inlineStr">
        <is>
          <t>BUY</t>
        </is>
      </c>
      <c r="G517" s="775" t="n">
        <v>0.01</v>
      </c>
      <c r="H517" s="742" t="n">
        <v>116.23</v>
      </c>
      <c r="I517" s="742" t="n">
        <v>117.573</v>
      </c>
      <c r="J517" s="743" t="n">
        <v>115.82</v>
      </c>
      <c r="K517" s="744" t="n">
        <v>0.003527488600189373</v>
      </c>
      <c r="L517" s="743" t="n">
        <v>117.57</v>
      </c>
      <c r="M517" s="744" t="n">
        <v>0.01152886518110633</v>
      </c>
      <c r="N517" s="766" t="n">
        <v>0.39</v>
      </c>
      <c r="O517" s="767" t="n">
        <v>15.51</v>
      </c>
      <c r="P517" s="747" t="n">
        <v>0.03069706685666785</v>
      </c>
      <c r="Q517" s="748" t="n">
        <v>3.275609756097448</v>
      </c>
      <c r="R517" s="769" t="n">
        <v>520.77</v>
      </c>
      <c r="S517" s="740" t="inlineStr">
        <is>
          <t>7D 18H 0M 0S</t>
        </is>
      </c>
      <c r="T517" s="750" t="n"/>
      <c r="U517" s="751" t="n"/>
      <c r="V517" s="752" t="n"/>
      <c r="W517" s="753" t="n"/>
      <c r="X517" s="754" t="n"/>
      <c r="Y517" s="750" t="n"/>
      <c r="Z517" s="751" t="n"/>
      <c r="AA517" s="752" t="n"/>
      <c r="AB517" s="753" t="n"/>
      <c r="AC517" s="754" t="n"/>
      <c r="AD517" s="740" t="inlineStr">
        <is>
          <t>No</t>
        </is>
      </c>
      <c r="AE517" s="755" t="n"/>
      <c r="AF517" s="755" t="n"/>
      <c r="AG517" s="755" t="n"/>
      <c r="AH517" s="755" t="n"/>
      <c r="AI517" s="755" t="n"/>
      <c r="AJ517" s="755" t="n"/>
      <c r="AK517" s="755" t="n"/>
      <c r="AL517" s="755" t="n"/>
      <c r="AM517" s="755" t="n"/>
      <c r="AN517" s="755" t="n"/>
      <c r="AO517" s="755" t="n"/>
      <c r="AP517" s="740" t="inlineStr">
        <is>
          <t>Pullback</t>
        </is>
      </c>
      <c r="AQ517" s="755" t="n"/>
      <c r="AR517" s="740" t="inlineStr">
        <is>
          <t>No</t>
        </is>
      </c>
      <c r="AS517" s="755" t="n"/>
      <c r="AT517" s="755" t="n"/>
      <c r="AU517" s="755" t="n"/>
      <c r="AV517" s="755" t="n"/>
      <c r="AW517" s="740" t="inlineStr">
        <is>
          <t>trade</t>
        </is>
      </c>
      <c r="AX517" s="756" t="inlineStr">
        <is>
          <t>sig:40e700a3525334a3a5be295b</t>
        </is>
      </c>
    </row>
    <row r="518" ht="15" customHeight="1">
      <c r="A518" s="716" t="inlineStr">
        <is>
          <t>C163</t>
        </is>
      </c>
      <c r="B518" s="717" t="n">
        <v>44286.32569444444</v>
      </c>
      <c r="C518" s="718" t="n">
        <v>44286.54305555556</v>
      </c>
      <c r="D518" s="719" t="inlineStr">
        <is>
          <t>BYBIT</t>
        </is>
      </c>
      <c r="E518" s="719" t="inlineStr">
        <is>
          <t>BCHUSDT</t>
        </is>
      </c>
      <c r="F518" s="719" t="inlineStr">
        <is>
          <t>BUY</t>
        </is>
      </c>
      <c r="G518" s="720" t="n">
        <v>0.82</v>
      </c>
      <c r="H518" s="720" t="n">
        <v>525</v>
      </c>
      <c r="I518" s="720" t="n">
        <v>520.975</v>
      </c>
      <c r="J518" s="721" t="n">
        <v>521.13</v>
      </c>
      <c r="K518" s="722" t="n">
        <v>0.00737142857142858</v>
      </c>
      <c r="L518" s="721" t="n">
        <v>536.4299999999999</v>
      </c>
      <c r="M518" s="722" t="n">
        <v>0.02177142857142848</v>
      </c>
      <c r="N518" s="758" t="n">
        <v>0.51622428</v>
      </c>
      <c r="O518" s="724" t="n">
        <v>-3.83759093</v>
      </c>
      <c r="P518" s="725" t="n">
        <v>-0.01215530984677352</v>
      </c>
      <c r="Q518" s="726" t="n">
        <v>-1.040051679586556</v>
      </c>
      <c r="R518" s="727" t="n">
        <v>311.8755400700001</v>
      </c>
      <c r="S518" s="719" t="inlineStr">
        <is>
          <t>5H 13M 0S</t>
        </is>
      </c>
      <c r="T518" s="728" t="n"/>
      <c r="U518" s="729" t="n"/>
      <c r="V518" s="730" t="n"/>
      <c r="W518" s="731" t="n"/>
      <c r="X518" s="732" t="n"/>
      <c r="Y518" s="728" t="n"/>
      <c r="Z518" s="729" t="n"/>
      <c r="AA518" s="730" t="n"/>
      <c r="AB518" s="731" t="n"/>
      <c r="AC518" s="732" t="n"/>
      <c r="AD518" s="719" t="inlineStr">
        <is>
          <t>No</t>
        </is>
      </c>
      <c r="AE518" s="733" t="n"/>
      <c r="AF518" s="733" t="n"/>
      <c r="AG518" s="733" t="n"/>
      <c r="AH518" s="733" t="n"/>
      <c r="AI518" s="719" t="inlineStr">
        <is>
          <t>Limit</t>
        </is>
      </c>
      <c r="AJ518" s="733" t="n"/>
      <c r="AK518" s="733" t="n"/>
      <c r="AL518" s="733" t="n"/>
      <c r="AM518" s="733" t="n"/>
      <c r="AN518" s="733" t="n"/>
      <c r="AO518" s="733" t="n"/>
      <c r="AP518" s="719" t="inlineStr">
        <is>
          <t>Pullback</t>
        </is>
      </c>
      <c r="AQ518" s="719" t="inlineStr">
        <is>
          <t>1H</t>
        </is>
      </c>
      <c r="AR518" s="719" t="inlineStr">
        <is>
          <t>No</t>
        </is>
      </c>
      <c r="AS518" s="733" t="n"/>
      <c r="AT518" s="733" t="n"/>
      <c r="AU518" s="733" t="n"/>
      <c r="AV518" s="733" t="n"/>
      <c r="AW518" s="719" t="inlineStr">
        <is>
          <t>trade</t>
        </is>
      </c>
      <c r="AX518" s="734" t="inlineStr">
        <is>
          <t>sig:fbdabc59033987114b1eb54d</t>
        </is>
      </c>
    </row>
    <row r="519" ht="15" customHeight="1">
      <c r="A519" s="716" t="inlineStr">
        <is>
          <t>C162</t>
        </is>
      </c>
      <c r="B519" s="717" t="n">
        <v>44284.18333333333</v>
      </c>
      <c r="C519" s="718" t="n">
        <v>44284.20416666667</v>
      </c>
      <c r="D519" s="719" t="inlineStr">
        <is>
          <t>BYBIT</t>
        </is>
      </c>
      <c r="E519" s="719" t="inlineStr">
        <is>
          <t>BTCUSDT</t>
        </is>
      </c>
      <c r="F519" s="719" t="inlineStr">
        <is>
          <t>BUY</t>
        </is>
      </c>
      <c r="G519" s="735" t="n">
        <v>0.012</v>
      </c>
      <c r="H519" s="720" t="n">
        <v>55614</v>
      </c>
      <c r="I519" s="720" t="n">
        <v>55344</v>
      </c>
      <c r="J519" s="721" t="n">
        <v>55348.5</v>
      </c>
      <c r="K519" s="722" t="n">
        <v>0.0047739777753803</v>
      </c>
      <c r="L519" s="721" t="n">
        <v>56428</v>
      </c>
      <c r="M519" s="722" t="n">
        <v>0.01463660229438631</v>
      </c>
      <c r="N519" s="758" t="n">
        <v>0.166842</v>
      </c>
      <c r="O519" s="724" t="n">
        <v>-3.07402465</v>
      </c>
      <c r="P519" s="725" t="n">
        <v>-0.009642874863424567</v>
      </c>
      <c r="Q519" s="726" t="n">
        <v>-1.016949152542373</v>
      </c>
      <c r="R519" s="727" t="n">
        <v>315.713131</v>
      </c>
      <c r="S519" s="719" t="inlineStr">
        <is>
          <t>30M 0S</t>
        </is>
      </c>
      <c r="T519" s="728" t="n"/>
      <c r="U519" s="729" t="n"/>
      <c r="V519" s="730" t="n"/>
      <c r="W519" s="731" t="n"/>
      <c r="X519" s="732" t="n"/>
      <c r="Y519" s="728" t="n"/>
      <c r="Z519" s="729" t="n"/>
      <c r="AA519" s="730" t="n"/>
      <c r="AB519" s="731" t="n"/>
      <c r="AC519" s="732" t="n"/>
      <c r="AD519" s="719" t="inlineStr">
        <is>
          <t>No</t>
        </is>
      </c>
      <c r="AE519" s="733" t="n"/>
      <c r="AF519" s="733" t="n"/>
      <c r="AG519" s="733" t="n"/>
      <c r="AH519" s="733" t="n"/>
      <c r="AI519" s="719" t="inlineStr">
        <is>
          <t>Limit</t>
        </is>
      </c>
      <c r="AJ519" s="733" t="n"/>
      <c r="AK519" s="733" t="n"/>
      <c r="AL519" s="733" t="n"/>
      <c r="AM519" s="733" t="n"/>
      <c r="AN519" s="733" t="n"/>
      <c r="AO519" s="733" t="n"/>
      <c r="AP519" s="719" t="inlineStr">
        <is>
          <t>Pullback</t>
        </is>
      </c>
      <c r="AQ519" s="719" t="inlineStr">
        <is>
          <t>1H</t>
        </is>
      </c>
      <c r="AR519" s="719" t="inlineStr">
        <is>
          <t>No</t>
        </is>
      </c>
      <c r="AS519" s="733" t="n"/>
      <c r="AT519" s="733" t="n"/>
      <c r="AU519" s="733" t="n"/>
      <c r="AV519" s="733" t="n"/>
      <c r="AW519" s="719" t="inlineStr">
        <is>
          <t>trade</t>
        </is>
      </c>
      <c r="AX519" s="734" t="inlineStr">
        <is>
          <t>sig:0e42a2253d4f8d795a8ca404</t>
        </is>
      </c>
    </row>
    <row r="520" ht="15" customHeight="1">
      <c r="A520" s="737" t="inlineStr">
        <is>
          <t>C161</t>
        </is>
      </c>
      <c r="B520" s="738" t="n">
        <v>44283.92986111111</v>
      </c>
      <c r="C520" s="739" t="n">
        <v>44284.05763888889</v>
      </c>
      <c r="D520" s="740" t="inlineStr">
        <is>
          <t>BYBIT</t>
        </is>
      </c>
      <c r="E520" s="740" t="inlineStr">
        <is>
          <t>BTCUSDT</t>
        </is>
      </c>
      <c r="F520" s="740" t="inlineStr">
        <is>
          <t>BUY</t>
        </is>
      </c>
      <c r="G520" s="775" t="n">
        <v>0.011</v>
      </c>
      <c r="H520" s="742" t="n">
        <v>55613.5</v>
      </c>
      <c r="I520" s="742" t="n">
        <v>56210.5</v>
      </c>
      <c r="J520" s="743" t="n">
        <v>55310</v>
      </c>
      <c r="K520" s="744" t="n">
        <v>0.00545730802772708</v>
      </c>
      <c r="L520" s="743" t="n">
        <v>56224</v>
      </c>
      <c r="M520" s="744" t="n">
        <v>0.01097755041491724</v>
      </c>
      <c r="N520" s="745" t="n">
        <v>0.15293712</v>
      </c>
      <c r="O520" s="746" t="n">
        <v>6.71907047</v>
      </c>
      <c r="P520" s="747" t="n">
        <v>0.0215307837907374</v>
      </c>
      <c r="Q520" s="748" t="n">
        <v>1.967051070840198</v>
      </c>
      <c r="R520" s="749" t="n">
        <v>318.78715565</v>
      </c>
      <c r="S520" s="740" t="inlineStr">
        <is>
          <t>3H 4M 0S</t>
        </is>
      </c>
      <c r="T520" s="750" t="n"/>
      <c r="U520" s="751" t="n"/>
      <c r="V520" s="752" t="n"/>
      <c r="W520" s="753" t="n"/>
      <c r="X520" s="754" t="n"/>
      <c r="Y520" s="750" t="n"/>
      <c r="Z520" s="751" t="n"/>
      <c r="AA520" s="752" t="n"/>
      <c r="AB520" s="753" t="n"/>
      <c r="AC520" s="754" t="n"/>
      <c r="AD520" s="740" t="inlineStr">
        <is>
          <t>No</t>
        </is>
      </c>
      <c r="AE520" s="755" t="n"/>
      <c r="AF520" s="755" t="n"/>
      <c r="AG520" s="755" t="n"/>
      <c r="AH520" s="755" t="n"/>
      <c r="AI520" s="740" t="inlineStr">
        <is>
          <t>Limit</t>
        </is>
      </c>
      <c r="AJ520" s="755" t="n"/>
      <c r="AK520" s="755" t="n"/>
      <c r="AL520" s="755" t="n"/>
      <c r="AM520" s="755" t="n"/>
      <c r="AN520" s="755" t="n"/>
      <c r="AO520" s="755" t="n"/>
      <c r="AP520" s="740" t="inlineStr">
        <is>
          <t>Pullback</t>
        </is>
      </c>
      <c r="AQ520" s="740" t="inlineStr">
        <is>
          <t>5MIN</t>
        </is>
      </c>
      <c r="AR520" s="740" t="inlineStr">
        <is>
          <t>No</t>
        </is>
      </c>
      <c r="AS520" s="755" t="n"/>
      <c r="AT520" s="755" t="n"/>
      <c r="AU520" s="755" t="n"/>
      <c r="AV520" s="755" t="n"/>
      <c r="AW520" s="740" t="inlineStr">
        <is>
          <t>trade</t>
        </is>
      </c>
      <c r="AX520" s="756" t="inlineStr">
        <is>
          <t>sig:b7060bda4687632217af9f9b</t>
        </is>
      </c>
    </row>
    <row r="521" ht="15" customHeight="1">
      <c r="A521" s="716" t="inlineStr">
        <is>
          <t>C160</t>
        </is>
      </c>
      <c r="B521" s="717" t="n">
        <v>44281.77430555555</v>
      </c>
      <c r="C521" s="718" t="n">
        <v>44281.92013888889</v>
      </c>
      <c r="D521" s="719" t="inlineStr">
        <is>
          <t>BYBIT</t>
        </is>
      </c>
      <c r="E521" s="719" t="inlineStr">
        <is>
          <t>UNIUSDT</t>
        </is>
      </c>
      <c r="F521" s="719" t="inlineStr">
        <is>
          <t>SELL</t>
        </is>
      </c>
      <c r="G521" s="720" t="n">
        <v>5.9</v>
      </c>
      <c r="H521" s="720" t="n">
        <v>27.598</v>
      </c>
      <c r="I521" s="720" t="n">
        <v>28.148</v>
      </c>
      <c r="J521" s="721" t="n">
        <v>28.1408</v>
      </c>
      <c r="K521" s="722" t="n">
        <v>0.01966809189071671</v>
      </c>
      <c r="L521" s="721" t="n">
        <v>26.5152</v>
      </c>
      <c r="M521" s="722" t="n">
        <v>0.03923472715414156</v>
      </c>
      <c r="N521" s="723" t="n">
        <v>0.04070705</v>
      </c>
      <c r="O521" s="724" t="n">
        <v>-3.2051596</v>
      </c>
      <c r="P521" s="725" t="n">
        <v>-0.01016629115558659</v>
      </c>
      <c r="Q521" s="726" t="n">
        <v>-1.013264554163598</v>
      </c>
      <c r="R521" s="727" t="n">
        <v>312.06808518</v>
      </c>
      <c r="S521" s="719" t="inlineStr">
        <is>
          <t>3H 30M 0S</t>
        </is>
      </c>
      <c r="T521" s="728" t="n"/>
      <c r="U521" s="729" t="n"/>
      <c r="V521" s="730" t="n"/>
      <c r="W521" s="731" t="n"/>
      <c r="X521" s="732" t="n"/>
      <c r="Y521" s="728" t="n"/>
      <c r="Z521" s="729" t="n"/>
      <c r="AA521" s="730" t="n"/>
      <c r="AB521" s="731" t="n"/>
      <c r="AC521" s="732" t="n"/>
      <c r="AD521" s="719" t="inlineStr">
        <is>
          <t>No</t>
        </is>
      </c>
      <c r="AE521" s="733" t="n"/>
      <c r="AF521" s="733" t="n"/>
      <c r="AG521" s="733" t="n"/>
      <c r="AH521" s="733" t="n"/>
      <c r="AI521" s="719" t="inlineStr">
        <is>
          <t>Limit</t>
        </is>
      </c>
      <c r="AJ521" s="733" t="n"/>
      <c r="AK521" s="733" t="n"/>
      <c r="AL521" s="733" t="n"/>
      <c r="AM521" s="733" t="n"/>
      <c r="AN521" s="733" t="n"/>
      <c r="AO521" s="733" t="n"/>
      <c r="AP521" s="719" t="inlineStr">
        <is>
          <t>Pullback</t>
        </is>
      </c>
      <c r="AQ521" s="719" t="inlineStr">
        <is>
          <t>1H</t>
        </is>
      </c>
      <c r="AR521" s="719" t="inlineStr">
        <is>
          <t>No</t>
        </is>
      </c>
      <c r="AS521" s="733" t="n"/>
      <c r="AT521" s="733" t="n"/>
      <c r="AU521" s="733" t="n"/>
      <c r="AV521" s="733" t="n"/>
      <c r="AW521" s="719" t="inlineStr">
        <is>
          <t>trade</t>
        </is>
      </c>
      <c r="AX521" s="734" t="inlineStr">
        <is>
          <t>sig:52890aa2de76d17a4eab89c0</t>
        </is>
      </c>
    </row>
    <row r="522" ht="15" customHeight="1">
      <c r="A522" s="737" t="inlineStr">
        <is>
          <t>F1126</t>
        </is>
      </c>
      <c r="B522" s="738" t="n">
        <v>44279.61041666667</v>
      </c>
      <c r="C522" s="739" t="n">
        <v>44281.76944444444</v>
      </c>
      <c r="D522" s="740" t="inlineStr">
        <is>
          <t>PEPPERSTONE LIVE</t>
        </is>
      </c>
      <c r="E522" s="740" t="inlineStr">
        <is>
          <t>EURGBP</t>
        </is>
      </c>
      <c r="F522" s="740" t="inlineStr">
        <is>
          <t>SELL</t>
        </is>
      </c>
      <c r="G522" s="775" t="n">
        <v>0.01</v>
      </c>
      <c r="H522" s="742" t="n">
        <v>0.8632</v>
      </c>
      <c r="I522" s="742" t="n">
        <v>0.85512</v>
      </c>
      <c r="J522" s="743" t="n">
        <v>0.8659</v>
      </c>
      <c r="K522" s="744" t="n">
        <v>0.003127896200185398</v>
      </c>
      <c r="L522" s="743" t="n">
        <v>0.8551</v>
      </c>
      <c r="M522" s="744" t="n">
        <v>0.009383688600556066</v>
      </c>
      <c r="N522" s="808" t="n">
        <v>0.05</v>
      </c>
      <c r="O522" s="767" t="n">
        <v>14.66</v>
      </c>
      <c r="P522" s="747" t="n">
        <v>0.0298817774154097</v>
      </c>
      <c r="Q522" s="748" t="n">
        <v>2.992592592592544</v>
      </c>
      <c r="R522" s="769" t="n">
        <v>505.26</v>
      </c>
      <c r="S522" s="740" t="inlineStr">
        <is>
          <t>2D 3H 49M 0S</t>
        </is>
      </c>
      <c r="T522" s="750" t="n"/>
      <c r="U522" s="751" t="n"/>
      <c r="V522" s="752" t="n"/>
      <c r="W522" s="753" t="n"/>
      <c r="X522" s="754" t="n"/>
      <c r="Y522" s="750" t="n"/>
      <c r="Z522" s="751" t="n"/>
      <c r="AA522" s="752" t="n"/>
      <c r="AB522" s="753" t="n"/>
      <c r="AC522" s="754" t="n"/>
      <c r="AD522" s="740" t="inlineStr">
        <is>
          <t>No</t>
        </is>
      </c>
      <c r="AE522" s="755" t="n"/>
      <c r="AF522" s="755" t="n"/>
      <c r="AG522" s="755" t="n"/>
      <c r="AH522" s="755" t="n"/>
      <c r="AI522" s="755" t="n"/>
      <c r="AJ522" s="755" t="n"/>
      <c r="AK522" s="755" t="n"/>
      <c r="AL522" s="755" t="n"/>
      <c r="AM522" s="755" t="n"/>
      <c r="AN522" s="755" t="n"/>
      <c r="AO522" s="755" t="n"/>
      <c r="AP522" s="740" t="inlineStr">
        <is>
          <t>Pullback</t>
        </is>
      </c>
      <c r="AQ522" s="755" t="n"/>
      <c r="AR522" s="740" t="inlineStr">
        <is>
          <t>No</t>
        </is>
      </c>
      <c r="AS522" s="755" t="n"/>
      <c r="AT522" s="755" t="n"/>
      <c r="AU522" s="755" t="n"/>
      <c r="AV522" s="755" t="n"/>
      <c r="AW522" s="740" t="inlineStr">
        <is>
          <t>trade</t>
        </is>
      </c>
      <c r="AX522" s="756" t="inlineStr">
        <is>
          <t>sig:03e078f0222b0471eaef186c</t>
        </is>
      </c>
    </row>
    <row r="523" ht="15" customHeight="1">
      <c r="A523" s="716" t="inlineStr">
        <is>
          <t>C159</t>
        </is>
      </c>
      <c r="B523" s="717" t="n">
        <v>44272.925</v>
      </c>
      <c r="C523" s="718" t="n">
        <v>44280.93541666667</v>
      </c>
      <c r="D523" s="719" t="inlineStr">
        <is>
          <t>BYBIT</t>
        </is>
      </c>
      <c r="E523" s="719" t="inlineStr">
        <is>
          <t>BTCUSDT</t>
        </is>
      </c>
      <c r="F523" s="719" t="inlineStr">
        <is>
          <t>BUY</t>
        </is>
      </c>
      <c r="G523" s="757" t="n">
        <v>0.001</v>
      </c>
      <c r="H523" s="720" t="n">
        <v>54440.5</v>
      </c>
      <c r="I523" s="720" t="n">
        <v>51037</v>
      </c>
      <c r="J523" s="721" t="n">
        <v>51046.5</v>
      </c>
      <c r="K523" s="722" t="n">
        <v>0.06234329221810968</v>
      </c>
      <c r="L523" s="721" t="n">
        <v>61250.5</v>
      </c>
      <c r="M523" s="722" t="n">
        <v>0.1250906953462955</v>
      </c>
      <c r="N523" s="758" t="n">
        <v>0.55909172</v>
      </c>
      <c r="O523" s="724" t="n">
        <v>-3.96345837</v>
      </c>
      <c r="P523" s="725" t="n">
        <v>-0.01241542194519434</v>
      </c>
      <c r="Q523" s="726" t="n">
        <v>-1.002799057159694</v>
      </c>
      <c r="R523" s="727" t="n">
        <v>315.27324478</v>
      </c>
      <c r="S523" s="719" t="inlineStr">
        <is>
          <t>8D 0H 15M 0S</t>
        </is>
      </c>
      <c r="T523" s="728" t="n"/>
      <c r="U523" s="729" t="n"/>
      <c r="V523" s="730" t="n"/>
      <c r="W523" s="731" t="n"/>
      <c r="X523" s="732" t="n"/>
      <c r="Y523" s="728" t="n"/>
      <c r="Z523" s="729" t="n"/>
      <c r="AA523" s="730" t="n"/>
      <c r="AB523" s="731" t="n"/>
      <c r="AC523" s="732" t="n"/>
      <c r="AD523" s="719" t="inlineStr">
        <is>
          <t>No</t>
        </is>
      </c>
      <c r="AE523" s="733" t="n"/>
      <c r="AF523" s="733" t="n"/>
      <c r="AG523" s="733" t="n"/>
      <c r="AH523" s="733" t="n"/>
      <c r="AI523" s="719" t="inlineStr">
        <is>
          <t>Limit</t>
        </is>
      </c>
      <c r="AJ523" s="733" t="n"/>
      <c r="AK523" s="733" t="n"/>
      <c r="AL523" s="733" t="n"/>
      <c r="AM523" s="733" t="n"/>
      <c r="AN523" s="733" t="n"/>
      <c r="AO523" s="733" t="n"/>
      <c r="AP523" s="719" t="inlineStr">
        <is>
          <t>Pullback</t>
        </is>
      </c>
      <c r="AQ523" s="719" t="inlineStr">
        <is>
          <t>DAILY</t>
        </is>
      </c>
      <c r="AR523" s="719" t="inlineStr">
        <is>
          <t>No</t>
        </is>
      </c>
      <c r="AS523" s="733" t="n"/>
      <c r="AT523" s="733" t="n"/>
      <c r="AU523" s="733" t="n"/>
      <c r="AV523" s="733" t="n"/>
      <c r="AW523" s="719" t="inlineStr">
        <is>
          <t>trade</t>
        </is>
      </c>
      <c r="AX523" s="734" t="inlineStr">
        <is>
          <t>sig:4f85d1566429874273d3f563</t>
        </is>
      </c>
    </row>
    <row r="524" ht="15" customHeight="1">
      <c r="A524" s="716" t="inlineStr">
        <is>
          <t>F1124</t>
        </is>
      </c>
      <c r="B524" s="717" t="n">
        <v>44279.09097222222</v>
      </c>
      <c r="C524" s="718" t="n">
        <v>44279.21458333333</v>
      </c>
      <c r="D524" s="719" t="inlineStr">
        <is>
          <t>PEPPERSTONE LIVE</t>
        </is>
      </c>
      <c r="E524" s="719" t="inlineStr">
        <is>
          <t>AUDNZD</t>
        </is>
      </c>
      <c r="F524" s="719" t="inlineStr">
        <is>
          <t>BUY</t>
        </is>
      </c>
      <c r="G524" s="735" t="n">
        <v>0.09</v>
      </c>
      <c r="H524" s="720" t="n">
        <v>1.0917</v>
      </c>
      <c r="I524" s="720" t="n">
        <v>1.09108</v>
      </c>
      <c r="J524" s="721" t="n">
        <v>1.0911</v>
      </c>
      <c r="K524" s="760" t="n">
        <v>0.0005496015388842484</v>
      </c>
      <c r="L524" s="721" t="n">
        <v>1.0935</v>
      </c>
      <c r="M524" s="722" t="n">
        <v>0.001648804616652949</v>
      </c>
      <c r="N524" s="761" t="n"/>
      <c r="O524" s="762" t="n">
        <v>-5.11</v>
      </c>
      <c r="P524" s="725" t="n">
        <v>-0.01030844647071877</v>
      </c>
      <c r="Q524" s="726" t="n">
        <v>-1.033333333333185</v>
      </c>
      <c r="R524" s="764" t="n">
        <v>490.6</v>
      </c>
      <c r="S524" s="719" t="inlineStr">
        <is>
          <t>2H 58M 0S</t>
        </is>
      </c>
      <c r="T524" s="728" t="n"/>
      <c r="U524" s="729" t="n"/>
      <c r="V524" s="730" t="n"/>
      <c r="W524" s="731" t="n"/>
      <c r="X524" s="732" t="n"/>
      <c r="Y524" s="728" t="n"/>
      <c r="Z524" s="729" t="n"/>
      <c r="AA524" s="730" t="n"/>
      <c r="AB524" s="731" t="n"/>
      <c r="AC524" s="732" t="n"/>
      <c r="AD524" s="719" t="inlineStr">
        <is>
          <t>No</t>
        </is>
      </c>
      <c r="AE524" s="733" t="n"/>
      <c r="AF524" s="733" t="n"/>
      <c r="AG524" s="733" t="n"/>
      <c r="AH524" s="733" t="n"/>
      <c r="AI524" s="719" t="n"/>
      <c r="AJ524" s="733" t="n"/>
      <c r="AK524" s="733" t="n"/>
      <c r="AL524" s="733" t="n"/>
      <c r="AM524" s="733" t="n"/>
      <c r="AN524" s="733" t="n"/>
      <c r="AO524" s="733" t="n"/>
      <c r="AP524" s="719" t="inlineStr">
        <is>
          <t>Pullback</t>
        </is>
      </c>
      <c r="AQ524" s="719" t="n"/>
      <c r="AR524" s="719" t="inlineStr">
        <is>
          <t>No</t>
        </is>
      </c>
      <c r="AS524" s="733" t="n"/>
      <c r="AT524" s="733" t="n"/>
      <c r="AU524" s="733" t="n"/>
      <c r="AV524" s="733" t="n"/>
      <c r="AW524" s="719" t="inlineStr">
        <is>
          <t>trade</t>
        </is>
      </c>
      <c r="AX524" s="734" t="inlineStr">
        <is>
          <t>sig:f8f4086aace798bd495d7405</t>
        </is>
      </c>
    </row>
    <row r="525" ht="15" customHeight="1">
      <c r="A525" s="716" t="inlineStr">
        <is>
          <t>F1122</t>
        </is>
      </c>
      <c r="B525" s="717" t="n">
        <v>44278.44722222222</v>
      </c>
      <c r="C525" s="718" t="n">
        <v>44278.67083333333</v>
      </c>
      <c r="D525" s="719" t="inlineStr">
        <is>
          <t>PEPPERSTONE LIVE</t>
        </is>
      </c>
      <c r="E525" s="719" t="inlineStr">
        <is>
          <t>NZDUSD</t>
        </is>
      </c>
      <c r="F525" s="719" t="inlineStr">
        <is>
          <t>BUY</t>
        </is>
      </c>
      <c r="G525" s="735" t="n">
        <v>0.01</v>
      </c>
      <c r="H525" s="720" t="n">
        <v>0.7117</v>
      </c>
      <c r="I525" s="720" t="n">
        <v>0.7075399999999999</v>
      </c>
      <c r="J525" s="721" t="n">
        <v>0.7075</v>
      </c>
      <c r="K525" s="722" t="n">
        <v>0.005901362933820404</v>
      </c>
      <c r="L525" s="721" t="n">
        <v>0.7243000000000001</v>
      </c>
      <c r="M525" s="722" t="n">
        <v>0.01770408880146137</v>
      </c>
      <c r="N525" s="761" t="n"/>
      <c r="O525" s="762" t="n">
        <v>-5.49</v>
      </c>
      <c r="P525" s="725" t="n">
        <v>-0.0109537110933759</v>
      </c>
      <c r="Q525" s="726" t="n">
        <v>-0.9904761904762074</v>
      </c>
      <c r="R525" s="764" t="n">
        <v>495.71</v>
      </c>
      <c r="S525" s="719" t="inlineStr">
        <is>
          <t>5H 22M 0S</t>
        </is>
      </c>
      <c r="T525" s="728" t="n"/>
      <c r="U525" s="729" t="n"/>
      <c r="V525" s="730" t="n"/>
      <c r="W525" s="731" t="n"/>
      <c r="X525" s="732" t="n"/>
      <c r="Y525" s="728" t="n"/>
      <c r="Z525" s="729" t="n"/>
      <c r="AA525" s="730" t="n"/>
      <c r="AB525" s="731" t="n"/>
      <c r="AC525" s="732" t="n"/>
      <c r="AD525" s="719" t="inlineStr">
        <is>
          <t>No</t>
        </is>
      </c>
      <c r="AE525" s="733" t="n"/>
      <c r="AF525" s="733" t="n"/>
      <c r="AG525" s="733" t="n"/>
      <c r="AH525" s="719" t="n"/>
      <c r="AI525" s="719" t="n"/>
      <c r="AJ525" s="733" t="n"/>
      <c r="AK525" s="733" t="n"/>
      <c r="AL525" s="733" t="n"/>
      <c r="AM525" s="733" t="n"/>
      <c r="AN525" s="733" t="n"/>
      <c r="AO525" s="733" t="n"/>
      <c r="AP525" s="719" t="inlineStr">
        <is>
          <t>Pullback</t>
        </is>
      </c>
      <c r="AQ525" s="719" t="n"/>
      <c r="AR525" s="719" t="inlineStr">
        <is>
          <t>No</t>
        </is>
      </c>
      <c r="AS525" s="733" t="n"/>
      <c r="AT525" s="733" t="n"/>
      <c r="AU525" s="733" t="n"/>
      <c r="AV525" s="733" t="n"/>
      <c r="AW525" s="719" t="inlineStr">
        <is>
          <t>trade</t>
        </is>
      </c>
      <c r="AX525" s="734" t="inlineStr">
        <is>
          <t>sig:2f702ae99b21746031eb4c64</t>
        </is>
      </c>
    </row>
    <row r="526" ht="15" customHeight="1">
      <c r="A526" s="716" t="inlineStr">
        <is>
          <t>F1123</t>
        </is>
      </c>
      <c r="B526" s="717" t="n">
        <v>44278.51388888889</v>
      </c>
      <c r="C526" s="718" t="n">
        <v>44278.60763888889</v>
      </c>
      <c r="D526" s="719" t="inlineStr">
        <is>
          <t>PEPPERSTONE LIVE</t>
        </is>
      </c>
      <c r="E526" s="719" t="inlineStr">
        <is>
          <t>EURAUD</t>
        </is>
      </c>
      <c r="F526" s="719" t="inlineStr">
        <is>
          <t>SELL</t>
        </is>
      </c>
      <c r="G526" s="735" t="n">
        <v>0.02</v>
      </c>
      <c r="H526" s="720" t="n">
        <v>1.5452</v>
      </c>
      <c r="I526" s="720" t="n">
        <v>1.54828</v>
      </c>
      <c r="J526" s="721" t="n">
        <v>1.5482</v>
      </c>
      <c r="K526" s="722" t="n">
        <v>0.001941496246440664</v>
      </c>
      <c r="L526" s="721" t="n">
        <v>1.5362</v>
      </c>
      <c r="M526" s="722" t="n">
        <v>0.005824488739321705</v>
      </c>
      <c r="N526" s="761" t="n"/>
      <c r="O526" s="762" t="n">
        <v>-6.06</v>
      </c>
      <c r="P526" s="725" t="n">
        <v>-0.01194653629302527</v>
      </c>
      <c r="Q526" s="726" t="n">
        <v>-1.026666666666692</v>
      </c>
      <c r="R526" s="764" t="n">
        <v>501.2</v>
      </c>
      <c r="S526" s="719" t="inlineStr">
        <is>
          <t>2H 15M 0S</t>
        </is>
      </c>
      <c r="T526" s="728" t="n"/>
      <c r="U526" s="729" t="n"/>
      <c r="V526" s="730" t="n"/>
      <c r="W526" s="731" t="n"/>
      <c r="X526" s="732" t="n"/>
      <c r="Y526" s="728" t="n"/>
      <c r="Z526" s="729" t="n"/>
      <c r="AA526" s="730" t="n"/>
      <c r="AB526" s="731" t="n"/>
      <c r="AC526" s="732" t="n"/>
      <c r="AD526" s="719" t="inlineStr">
        <is>
          <t>No</t>
        </is>
      </c>
      <c r="AE526" s="733" t="n"/>
      <c r="AF526" s="733" t="n"/>
      <c r="AG526" s="733" t="n"/>
      <c r="AH526" s="733" t="n"/>
      <c r="AI526" s="733" t="n"/>
      <c r="AJ526" s="733" t="n"/>
      <c r="AK526" s="733" t="n"/>
      <c r="AL526" s="733" t="n"/>
      <c r="AM526" s="733" t="n"/>
      <c r="AN526" s="733" t="n"/>
      <c r="AO526" s="733" t="n"/>
      <c r="AP526" s="719" t="inlineStr">
        <is>
          <t>Pullback</t>
        </is>
      </c>
      <c r="AQ526" s="733" t="n"/>
      <c r="AR526" s="719" t="inlineStr">
        <is>
          <t>No</t>
        </is>
      </c>
      <c r="AS526" s="733" t="n"/>
      <c r="AT526" s="733" t="n"/>
      <c r="AU526" s="733" t="n"/>
      <c r="AV526" s="733" t="n"/>
      <c r="AW526" s="719" t="inlineStr">
        <is>
          <t>trade</t>
        </is>
      </c>
      <c r="AX526" s="734" t="inlineStr">
        <is>
          <t>sig:391a754b8466904009573aba</t>
        </is>
      </c>
    </row>
    <row r="527" ht="15" customHeight="1">
      <c r="A527" s="716" t="inlineStr">
        <is>
          <t>F1121</t>
        </is>
      </c>
      <c r="B527" s="717" t="n">
        <v>44278.01388888889</v>
      </c>
      <c r="C527" s="718" t="n">
        <v>44278.35902777778</v>
      </c>
      <c r="D527" s="719" t="inlineStr">
        <is>
          <t>PEPPERSTONE LIVE</t>
        </is>
      </c>
      <c r="E527" s="719" t="inlineStr">
        <is>
          <t>NZDCHF</t>
        </is>
      </c>
      <c r="F527" s="719" t="inlineStr">
        <is>
          <t>BUY</t>
        </is>
      </c>
      <c r="G527" s="735" t="n">
        <v>0.01</v>
      </c>
      <c r="H527" s="720" t="n">
        <v>0.6627</v>
      </c>
      <c r="I527" s="720" t="n">
        <v>0.65905</v>
      </c>
      <c r="J527" s="721" t="n">
        <v>0.6591</v>
      </c>
      <c r="K527" s="722" t="n">
        <v>0.005432322317790761</v>
      </c>
      <c r="L527" s="721" t="n">
        <v>0.6699000000000001</v>
      </c>
      <c r="M527" s="722" t="n">
        <v>0.01086464463558186</v>
      </c>
      <c r="N527" s="761" t="n"/>
      <c r="O527" s="762" t="n">
        <v>-5.14</v>
      </c>
      <c r="P527" s="725" t="n">
        <v>-0.0100312256049961</v>
      </c>
      <c r="Q527" s="726" t="n">
        <v>-1.013888888888888</v>
      </c>
      <c r="R527" s="764" t="n">
        <v>507.26</v>
      </c>
      <c r="S527" s="719" t="inlineStr">
        <is>
          <t>8H 17M 0S</t>
        </is>
      </c>
      <c r="T527" s="728" t="n"/>
      <c r="U527" s="729" t="n"/>
      <c r="V527" s="730" t="n"/>
      <c r="W527" s="731" t="n"/>
      <c r="X527" s="732" t="n"/>
      <c r="Y527" s="728" t="n"/>
      <c r="Z527" s="729" t="n"/>
      <c r="AA527" s="730" t="n"/>
      <c r="AB527" s="731" t="n"/>
      <c r="AC527" s="732" t="n"/>
      <c r="AD527" s="719" t="inlineStr">
        <is>
          <t>No</t>
        </is>
      </c>
      <c r="AE527" s="733" t="n"/>
      <c r="AF527" s="733" t="n"/>
      <c r="AG527" s="733" t="n"/>
      <c r="AH527" s="733" t="n"/>
      <c r="AI527" s="719" t="n"/>
      <c r="AJ527" s="733" t="n"/>
      <c r="AK527" s="733" t="n"/>
      <c r="AL527" s="733" t="n"/>
      <c r="AM527" s="733" t="n"/>
      <c r="AN527" s="733" t="n"/>
      <c r="AO527" s="733" t="n"/>
      <c r="AP527" s="719" t="inlineStr">
        <is>
          <t>Pullback</t>
        </is>
      </c>
      <c r="AQ527" s="719" t="n"/>
      <c r="AR527" s="719" t="inlineStr">
        <is>
          <t>No</t>
        </is>
      </c>
      <c r="AS527" s="733" t="n"/>
      <c r="AT527" s="733" t="n"/>
      <c r="AU527" s="733" t="n"/>
      <c r="AV527" s="733" t="n"/>
      <c r="AW527" s="719" t="inlineStr">
        <is>
          <t>trade</t>
        </is>
      </c>
      <c r="AX527" s="734" t="inlineStr">
        <is>
          <t>sig:85959a54250f1fa7586dcac4</t>
        </is>
      </c>
    </row>
    <row r="528" ht="15" customHeight="1">
      <c r="A528" s="716" t="inlineStr">
        <is>
          <t>F1120</t>
        </is>
      </c>
      <c r="B528" s="717" t="n">
        <v>44274.19097222222</v>
      </c>
      <c r="C528" s="718" t="n">
        <v>44274.9875</v>
      </c>
      <c r="D528" s="719" t="inlineStr">
        <is>
          <t>PEPPERSTONE LIVE</t>
        </is>
      </c>
      <c r="E528" s="719" t="inlineStr">
        <is>
          <t>NZDJPY</t>
        </is>
      </c>
      <c r="F528" s="719" t="inlineStr">
        <is>
          <t>BUY</t>
        </is>
      </c>
      <c r="G528" s="735" t="n">
        <v>0.02</v>
      </c>
      <c r="H528" s="720" t="n">
        <v>78.13</v>
      </c>
      <c r="I528" s="720" t="n">
        <v>77.88800000000001</v>
      </c>
      <c r="J528" s="721" t="n">
        <v>77.88</v>
      </c>
      <c r="K528" s="722" t="n">
        <v>0.003199795213106361</v>
      </c>
      <c r="L528" s="721" t="n">
        <v>79.01000000000001</v>
      </c>
      <c r="M528" s="722" t="n">
        <v>0.01126327915013452</v>
      </c>
      <c r="N528" s="792" t="n">
        <v>0.03</v>
      </c>
      <c r="O528" s="762" t="n">
        <v>-5.97</v>
      </c>
      <c r="P528" s="725" t="n">
        <v>-0.01151687018924706</v>
      </c>
      <c r="Q528" s="726" t="n">
        <v>-0.9679999999999609</v>
      </c>
      <c r="R528" s="764" t="n">
        <v>512.4</v>
      </c>
      <c r="S528" s="719" t="inlineStr">
        <is>
          <t>19H 7M 0S</t>
        </is>
      </c>
      <c r="T528" s="728" t="n"/>
      <c r="U528" s="729" t="n"/>
      <c r="V528" s="730" t="n"/>
      <c r="W528" s="731" t="n"/>
      <c r="X528" s="732" t="n"/>
      <c r="Y528" s="728" t="n"/>
      <c r="Z528" s="729" t="n"/>
      <c r="AA528" s="730" t="n"/>
      <c r="AB528" s="731" t="n"/>
      <c r="AC528" s="732" t="n"/>
      <c r="AD528" s="719" t="inlineStr">
        <is>
          <t>No</t>
        </is>
      </c>
      <c r="AE528" s="733" t="n"/>
      <c r="AF528" s="733" t="n"/>
      <c r="AG528" s="733" t="n"/>
      <c r="AH528" s="733" t="n"/>
      <c r="AI528" s="733" t="n"/>
      <c r="AJ528" s="733" t="n"/>
      <c r="AK528" s="733" t="n"/>
      <c r="AL528" s="733" t="n"/>
      <c r="AM528" s="733" t="n"/>
      <c r="AN528" s="733" t="n"/>
      <c r="AO528" s="733" t="n"/>
      <c r="AP528" s="719" t="inlineStr">
        <is>
          <t>Pullback</t>
        </is>
      </c>
      <c r="AQ528" s="733" t="n"/>
      <c r="AR528" s="719" t="inlineStr">
        <is>
          <t>No</t>
        </is>
      </c>
      <c r="AS528" s="733" t="n"/>
      <c r="AT528" s="733" t="n"/>
      <c r="AU528" s="733" t="n"/>
      <c r="AV528" s="733" t="n"/>
      <c r="AW528" s="719" t="inlineStr">
        <is>
          <t>trade</t>
        </is>
      </c>
      <c r="AX528" s="734" t="inlineStr">
        <is>
          <t>sig:b6273912835a03403a9538af</t>
        </is>
      </c>
    </row>
    <row r="529" ht="15" customHeight="1">
      <c r="A529" s="716" t="inlineStr">
        <is>
          <t>F1119</t>
        </is>
      </c>
      <c r="B529" s="717" t="n">
        <v>44273.96458333333</v>
      </c>
      <c r="C529" s="718" t="n">
        <v>44274</v>
      </c>
      <c r="D529" s="719" t="inlineStr">
        <is>
          <t>PEPPERSTONE LIVE</t>
        </is>
      </c>
      <c r="E529" s="719" t="inlineStr">
        <is>
          <t>NZDJPY</t>
        </is>
      </c>
      <c r="F529" s="719" t="inlineStr">
        <is>
          <t>BUY</t>
        </is>
      </c>
      <c r="G529" s="735" t="n">
        <v>0.02</v>
      </c>
      <c r="H529" s="720" t="n">
        <v>78.59</v>
      </c>
      <c r="I529" s="720" t="n">
        <v>78.38200000000001</v>
      </c>
      <c r="J529" s="721" t="n">
        <v>78.38</v>
      </c>
      <c r="K529" s="722" t="n">
        <v>0.002672095686474207</v>
      </c>
      <c r="L529" s="721" t="n">
        <v>79.04000000000001</v>
      </c>
      <c r="M529" s="722" t="n">
        <v>0.005725919328158835</v>
      </c>
      <c r="N529" s="761" t="n"/>
      <c r="O529" s="762" t="n">
        <v>-5.12</v>
      </c>
      <c r="P529" s="725" t="n">
        <v>-0.009780511566601081</v>
      </c>
      <c r="Q529" s="726" t="n">
        <v>-0.9904761904761453</v>
      </c>
      <c r="R529" s="764" t="n">
        <v>518.37</v>
      </c>
      <c r="S529" s="719" t="inlineStr">
        <is>
          <t>51M 0S</t>
        </is>
      </c>
      <c r="T529" s="728" t="n"/>
      <c r="U529" s="729" t="n"/>
      <c r="V529" s="730" t="n"/>
      <c r="W529" s="731" t="n"/>
      <c r="X529" s="732" t="n"/>
      <c r="Y529" s="728" t="n"/>
      <c r="Z529" s="729" t="n"/>
      <c r="AA529" s="730" t="n"/>
      <c r="AB529" s="731" t="n"/>
      <c r="AC529" s="732" t="n"/>
      <c r="AD529" s="719" t="inlineStr">
        <is>
          <t>No</t>
        </is>
      </c>
      <c r="AE529" s="733" t="n"/>
      <c r="AF529" s="733" t="n"/>
      <c r="AG529" s="733" t="n"/>
      <c r="AH529" s="733" t="n"/>
      <c r="AI529" s="733" t="n"/>
      <c r="AJ529" s="733" t="n"/>
      <c r="AK529" s="733" t="n"/>
      <c r="AL529" s="733" t="n"/>
      <c r="AM529" s="733" t="n"/>
      <c r="AN529" s="733" t="n"/>
      <c r="AO529" s="733" t="n"/>
      <c r="AP529" s="719" t="inlineStr">
        <is>
          <t>Pullback</t>
        </is>
      </c>
      <c r="AQ529" s="733" t="n"/>
      <c r="AR529" s="719" t="inlineStr">
        <is>
          <t>No</t>
        </is>
      </c>
      <c r="AS529" s="733" t="n"/>
      <c r="AT529" s="733" t="n"/>
      <c r="AU529" s="733" t="n"/>
      <c r="AV529" s="733" t="n"/>
      <c r="AW529" s="719" t="inlineStr">
        <is>
          <t>trade</t>
        </is>
      </c>
      <c r="AX529" s="734" t="inlineStr">
        <is>
          <t>sig:1722145d51cb3eaa9593ed46</t>
        </is>
      </c>
    </row>
    <row r="530" ht="15" customHeight="1">
      <c r="A530" s="716" t="inlineStr">
        <is>
          <t>F1118</t>
        </is>
      </c>
      <c r="B530" s="717" t="n">
        <v>44273.9</v>
      </c>
      <c r="C530" s="718" t="n">
        <v>44273.94444444445</v>
      </c>
      <c r="D530" s="719" t="inlineStr">
        <is>
          <t>PEPPERSTONE LIVE</t>
        </is>
      </c>
      <c r="E530" s="719" t="inlineStr">
        <is>
          <t>NZDJPY</t>
        </is>
      </c>
      <c r="F530" s="719" t="inlineStr">
        <is>
          <t>BUY</t>
        </is>
      </c>
      <c r="G530" s="735" t="n">
        <v>0.04</v>
      </c>
      <c r="H530" s="720" t="n">
        <v>78.73999999999999</v>
      </c>
      <c r="I530" s="720" t="n">
        <v>78.61</v>
      </c>
      <c r="J530" s="721" t="n">
        <v>78.61</v>
      </c>
      <c r="K530" s="722" t="n">
        <v>0.001651003302006546</v>
      </c>
      <c r="L530" s="721" t="n">
        <v>79.03</v>
      </c>
      <c r="M530" s="722" t="n">
        <v>0.003683007366014812</v>
      </c>
      <c r="N530" s="788" t="n"/>
      <c r="O530" s="762" t="n">
        <v>-6.55</v>
      </c>
      <c r="P530" s="725" t="n">
        <v>-0.01235755792015697</v>
      </c>
      <c r="Q530" s="726" t="n">
        <v>-1</v>
      </c>
      <c r="R530" s="764" t="n">
        <v>523.49</v>
      </c>
      <c r="S530" s="719" t="inlineStr">
        <is>
          <t>1H 4M 0S</t>
        </is>
      </c>
      <c r="T530" s="728" t="n"/>
      <c r="U530" s="729" t="n"/>
      <c r="V530" s="730" t="n"/>
      <c r="W530" s="731" t="n"/>
      <c r="X530" s="732" t="n"/>
      <c r="Y530" s="728" t="n"/>
      <c r="Z530" s="729" t="n"/>
      <c r="AA530" s="730" t="n"/>
      <c r="AB530" s="731" t="n"/>
      <c r="AC530" s="732" t="n"/>
      <c r="AD530" s="719" t="inlineStr">
        <is>
          <t>No</t>
        </is>
      </c>
      <c r="AE530" s="733" t="n"/>
      <c r="AF530" s="733" t="n"/>
      <c r="AG530" s="733" t="n"/>
      <c r="AH530" s="733" t="n"/>
      <c r="AI530" s="733" t="n"/>
      <c r="AJ530" s="733" t="n"/>
      <c r="AK530" s="733" t="n"/>
      <c r="AL530" s="733" t="n"/>
      <c r="AM530" s="733" t="n"/>
      <c r="AN530" s="733" t="n"/>
      <c r="AO530" s="733" t="n"/>
      <c r="AP530" s="719" t="inlineStr">
        <is>
          <t>Pullback</t>
        </is>
      </c>
      <c r="AQ530" s="733" t="n"/>
      <c r="AR530" s="719" t="inlineStr">
        <is>
          <t>No</t>
        </is>
      </c>
      <c r="AS530" s="733" t="n"/>
      <c r="AT530" s="733" t="n"/>
      <c r="AU530" s="733" t="n"/>
      <c r="AV530" s="733" t="n"/>
      <c r="AW530" s="719" t="inlineStr">
        <is>
          <t>trade</t>
        </is>
      </c>
      <c r="AX530" s="734" t="inlineStr">
        <is>
          <t>sig:4c376e25263fa865ea1668e8</t>
        </is>
      </c>
    </row>
    <row r="531" ht="15" customHeight="1">
      <c r="A531" s="716" t="inlineStr">
        <is>
          <t>C158</t>
        </is>
      </c>
      <c r="B531" s="717" t="n">
        <v>44270.10763888889</v>
      </c>
      <c r="C531" s="718" t="n">
        <v>44270.41388888889</v>
      </c>
      <c r="D531" s="719" t="inlineStr">
        <is>
          <t>BYBIT</t>
        </is>
      </c>
      <c r="E531" s="719" t="inlineStr">
        <is>
          <t>BTCUSDT</t>
        </is>
      </c>
      <c r="F531" s="719" t="inlineStr">
        <is>
          <t>BUY</t>
        </is>
      </c>
      <c r="G531" s="757" t="n">
        <v>0.008</v>
      </c>
      <c r="H531" s="720" t="n">
        <v>59673</v>
      </c>
      <c r="I531" s="720" t="n">
        <v>59219</v>
      </c>
      <c r="J531" s="721" t="n">
        <v>59227.5</v>
      </c>
      <c r="K531" s="722" t="n">
        <v>0.007465687999597808</v>
      </c>
      <c r="L531" s="721" t="n">
        <v>61473.5</v>
      </c>
      <c r="M531" s="722" t="n">
        <v>0.03017277495684816</v>
      </c>
      <c r="N531" s="758" t="n">
        <v>0.119346</v>
      </c>
      <c r="O531" s="724" t="n">
        <v>-3.51352065</v>
      </c>
      <c r="P531" s="725" t="n">
        <v>-0.01088619121199196</v>
      </c>
      <c r="Q531" s="726" t="n">
        <v>-1.019079685746352</v>
      </c>
      <c r="R531" s="727" t="n">
        <v>319.23670315</v>
      </c>
      <c r="S531" s="719" t="inlineStr">
        <is>
          <t>7H 21M 0S</t>
        </is>
      </c>
      <c r="T531" s="728" t="n"/>
      <c r="U531" s="729" t="n"/>
      <c r="V531" s="730" t="n"/>
      <c r="W531" s="731" t="n"/>
      <c r="X531" s="732" t="n"/>
      <c r="Y531" s="728" t="n"/>
      <c r="Z531" s="729" t="n"/>
      <c r="AA531" s="730" t="n"/>
      <c r="AB531" s="731" t="n"/>
      <c r="AC531" s="732" t="n"/>
      <c r="AD531" s="719" t="inlineStr">
        <is>
          <t>No</t>
        </is>
      </c>
      <c r="AE531" s="733" t="n"/>
      <c r="AF531" s="733" t="n"/>
      <c r="AG531" s="733" t="n"/>
      <c r="AH531" s="733" t="n"/>
      <c r="AI531" s="719" t="inlineStr">
        <is>
          <t>Limit</t>
        </is>
      </c>
      <c r="AJ531" s="733" t="n"/>
      <c r="AK531" s="733" t="n"/>
      <c r="AL531" s="733" t="n"/>
      <c r="AM531" s="733" t="n"/>
      <c r="AN531" s="733" t="n"/>
      <c r="AO531" s="733" t="n"/>
      <c r="AP531" s="719" t="inlineStr">
        <is>
          <t>Pullback</t>
        </is>
      </c>
      <c r="AQ531" s="719" t="inlineStr">
        <is>
          <t>15MIN</t>
        </is>
      </c>
      <c r="AR531" s="719" t="inlineStr">
        <is>
          <t>No</t>
        </is>
      </c>
      <c r="AS531" s="733" t="n"/>
      <c r="AT531" s="733" t="n"/>
      <c r="AU531" s="733" t="n"/>
      <c r="AV531" s="733" t="n"/>
      <c r="AW531" s="719" t="inlineStr">
        <is>
          <t>trade</t>
        </is>
      </c>
      <c r="AX531" s="734" t="inlineStr">
        <is>
          <t>sig:202703548e2212c4af0ee4c5</t>
        </is>
      </c>
    </row>
    <row r="532" ht="15" customHeight="1">
      <c r="A532" s="716" t="inlineStr">
        <is>
          <t>C157</t>
        </is>
      </c>
      <c r="B532" s="717" t="n">
        <v>44269.975</v>
      </c>
      <c r="C532" s="718" t="n">
        <v>44270.07083333333</v>
      </c>
      <c r="D532" s="719" t="inlineStr">
        <is>
          <t>BYBIT</t>
        </is>
      </c>
      <c r="E532" s="719" t="inlineStr">
        <is>
          <t>BTCUSDT</t>
        </is>
      </c>
      <c r="F532" s="719" t="inlineStr">
        <is>
          <t>BUY</t>
        </is>
      </c>
      <c r="G532" s="735" t="n">
        <v>0.01</v>
      </c>
      <c r="H532" s="720" t="n">
        <v>60101</v>
      </c>
      <c r="I532" s="720" t="n">
        <v>59755</v>
      </c>
      <c r="J532" s="721" t="n">
        <v>59758.5</v>
      </c>
      <c r="K532" s="722" t="n">
        <v>0.005698740453569824</v>
      </c>
      <c r="L532" s="721" t="n">
        <v>61485</v>
      </c>
      <c r="M532" s="722" t="n">
        <v>0.02302790302989967</v>
      </c>
      <c r="N532" s="758" t="n">
        <v>0.1502525</v>
      </c>
      <c r="O532" s="724" t="n">
        <v>-3.31061415</v>
      </c>
      <c r="P532" s="725" t="n">
        <v>-0.0101533633134675</v>
      </c>
      <c r="Q532" s="726" t="n">
        <v>-1.01021897810219</v>
      </c>
      <c r="R532" s="727" t="n">
        <v>322.7502238</v>
      </c>
      <c r="S532" s="719" t="inlineStr">
        <is>
          <t>2H 18M 0S</t>
        </is>
      </c>
      <c r="T532" s="728" t="n"/>
      <c r="U532" s="729" t="n"/>
      <c r="V532" s="730" t="n"/>
      <c r="W532" s="731" t="n"/>
      <c r="X532" s="732" t="n"/>
      <c r="Y532" s="728" t="n"/>
      <c r="Z532" s="729" t="n"/>
      <c r="AA532" s="730" t="n"/>
      <c r="AB532" s="731" t="n"/>
      <c r="AC532" s="732" t="n"/>
      <c r="AD532" s="719" t="inlineStr">
        <is>
          <t>No</t>
        </is>
      </c>
      <c r="AE532" s="733" t="n"/>
      <c r="AF532" s="733" t="n"/>
      <c r="AG532" s="733" t="n"/>
      <c r="AH532" s="733" t="n"/>
      <c r="AI532" s="719" t="inlineStr">
        <is>
          <t>Limit</t>
        </is>
      </c>
      <c r="AJ532" s="733" t="n"/>
      <c r="AK532" s="733" t="n"/>
      <c r="AL532" s="733" t="n"/>
      <c r="AM532" s="733" t="n"/>
      <c r="AN532" s="733" t="n"/>
      <c r="AO532" s="733" t="n"/>
      <c r="AP532" s="719" t="inlineStr">
        <is>
          <t>Pullback</t>
        </is>
      </c>
      <c r="AQ532" s="719" t="inlineStr">
        <is>
          <t>15MIN</t>
        </is>
      </c>
      <c r="AR532" s="719" t="inlineStr">
        <is>
          <t>No</t>
        </is>
      </c>
      <c r="AS532" s="733" t="n"/>
      <c r="AT532" s="733" t="n"/>
      <c r="AU532" s="733" t="n"/>
      <c r="AV532" s="733" t="n"/>
      <c r="AW532" s="719" t="inlineStr">
        <is>
          <t>trade</t>
        </is>
      </c>
      <c r="AX532" s="734" t="inlineStr">
        <is>
          <t>sig:44f28a58404606643ac6c5a0</t>
        </is>
      </c>
    </row>
    <row r="533" ht="15" customHeight="1">
      <c r="A533" s="716" t="inlineStr">
        <is>
          <t>C156</t>
        </is>
      </c>
      <c r="B533" s="717" t="n">
        <v>44269.47291666667</v>
      </c>
      <c r="C533" s="718" t="n">
        <v>44269.75138888889</v>
      </c>
      <c r="D533" s="719" t="inlineStr">
        <is>
          <t>BYBIT</t>
        </is>
      </c>
      <c r="E533" s="719" t="inlineStr">
        <is>
          <t>BTCUSDT</t>
        </is>
      </c>
      <c r="F533" s="719" t="inlineStr">
        <is>
          <t>BUY</t>
        </is>
      </c>
      <c r="G533" s="757" t="n">
        <v>0.008999999999999999</v>
      </c>
      <c r="H533" s="720" t="n">
        <v>60933</v>
      </c>
      <c r="I533" s="720" t="n">
        <v>60538</v>
      </c>
      <c r="J533" s="721" t="n">
        <v>60544</v>
      </c>
      <c r="K533" s="722" t="n">
        <v>0.006384061181953949</v>
      </c>
      <c r="L533" s="721" t="n">
        <v>61718.5</v>
      </c>
      <c r="M533" s="722" t="n">
        <v>0.01289120837641344</v>
      </c>
      <c r="N533" s="758" t="n">
        <v>0.7342818800000001</v>
      </c>
      <c r="O533" s="724" t="n">
        <v>-4.29014853</v>
      </c>
      <c r="P533" s="725" t="n">
        <v>-0.01298663756301431</v>
      </c>
      <c r="Q533" s="726" t="n">
        <v>-1.015424164524422</v>
      </c>
      <c r="R533" s="727" t="n">
        <v>326.06083795</v>
      </c>
      <c r="S533" s="719" t="inlineStr">
        <is>
          <t>6H 41M 0S</t>
        </is>
      </c>
      <c r="T533" s="728" t="n"/>
      <c r="U533" s="729" t="n"/>
      <c r="V533" s="730" t="n"/>
      <c r="W533" s="731" t="n"/>
      <c r="X533" s="732" t="n"/>
      <c r="Y533" s="728" t="n"/>
      <c r="Z533" s="729" t="n"/>
      <c r="AA533" s="730" t="n"/>
      <c r="AB533" s="731" t="n"/>
      <c r="AC533" s="732" t="n"/>
      <c r="AD533" s="719" t="inlineStr">
        <is>
          <t>No</t>
        </is>
      </c>
      <c r="AE533" s="733" t="n"/>
      <c r="AF533" s="733" t="n"/>
      <c r="AG533" s="733" t="n"/>
      <c r="AH533" s="719" t="inlineStr">
        <is>
          <t>All-Time High</t>
        </is>
      </c>
      <c r="AI533" s="719" t="inlineStr">
        <is>
          <t>Limit</t>
        </is>
      </c>
      <c r="AJ533" s="733" t="n"/>
      <c r="AK533" s="733" t="n"/>
      <c r="AL533" s="733" t="n"/>
      <c r="AM533" s="733" t="n"/>
      <c r="AN533" s="733" t="n"/>
      <c r="AO533" s="733" t="n"/>
      <c r="AP533" s="719" t="inlineStr">
        <is>
          <t>Pullback</t>
        </is>
      </c>
      <c r="AQ533" s="719" t="inlineStr">
        <is>
          <t>15MIN</t>
        </is>
      </c>
      <c r="AR533" s="719" t="inlineStr">
        <is>
          <t>No</t>
        </is>
      </c>
      <c r="AS533" s="733" t="n"/>
      <c r="AT533" s="733" t="n"/>
      <c r="AU533" s="733" t="n"/>
      <c r="AV533" s="733" t="n"/>
      <c r="AW533" s="719" t="inlineStr">
        <is>
          <t>trade</t>
        </is>
      </c>
      <c r="AX533" s="734" t="inlineStr">
        <is>
          <t>sig:20aa37fcd8e971bebeccf47a</t>
        </is>
      </c>
    </row>
    <row r="534" ht="15" customHeight="1">
      <c r="A534" s="737" t="inlineStr">
        <is>
          <t>F1117</t>
        </is>
      </c>
      <c r="B534" s="738" t="n">
        <v>44259.73402777778</v>
      </c>
      <c r="C534" s="739" t="n">
        <v>44267.42361111111</v>
      </c>
      <c r="D534" s="740" t="inlineStr">
        <is>
          <t>PEPPERSTONE LIVE</t>
        </is>
      </c>
      <c r="E534" s="740" t="inlineStr">
        <is>
          <t>CHFJPY</t>
        </is>
      </c>
      <c r="F534" s="740" t="inlineStr">
        <is>
          <t>BUY</t>
        </is>
      </c>
      <c r="G534" s="775" t="n">
        <v>0.01</v>
      </c>
      <c r="H534" s="742" t="n">
        <v>116.2</v>
      </c>
      <c r="I534" s="742" t="n">
        <v>117.469</v>
      </c>
      <c r="J534" s="743" t="n">
        <v>115.86</v>
      </c>
      <c r="K534" s="744" t="n">
        <v>0.002925989672977654</v>
      </c>
      <c r="L534" s="743" t="n">
        <v>117.46</v>
      </c>
      <c r="M534" s="744" t="n">
        <v>0.01084337349397583</v>
      </c>
      <c r="N534" s="766" t="n">
        <v>0.4</v>
      </c>
      <c r="O534" s="767" t="n">
        <v>14.55</v>
      </c>
      <c r="P534" s="747" t="n">
        <v>0.02822557178606763</v>
      </c>
      <c r="Q534" s="748" t="n">
        <v>3.732352941176408</v>
      </c>
      <c r="R534" s="769" t="n">
        <v>530.04</v>
      </c>
      <c r="S534" s="740" t="inlineStr">
        <is>
          <t>7D 16H 33M 0S</t>
        </is>
      </c>
      <c r="T534" s="750" t="n"/>
      <c r="U534" s="751" t="n"/>
      <c r="V534" s="752" t="n"/>
      <c r="W534" s="753" t="n"/>
      <c r="X534" s="754" t="n"/>
      <c r="Y534" s="750" t="n"/>
      <c r="Z534" s="751" t="n"/>
      <c r="AA534" s="752" t="n"/>
      <c r="AB534" s="753" t="n"/>
      <c r="AC534" s="754" t="n"/>
      <c r="AD534" s="740" t="inlineStr">
        <is>
          <t>No</t>
        </is>
      </c>
      <c r="AE534" s="755" t="n"/>
      <c r="AF534" s="755" t="n"/>
      <c r="AG534" s="755" t="n"/>
      <c r="AH534" s="755" t="n"/>
      <c r="AI534" s="755" t="n"/>
      <c r="AJ534" s="755" t="n"/>
      <c r="AK534" s="755" t="n"/>
      <c r="AL534" s="755" t="n"/>
      <c r="AM534" s="755" t="n"/>
      <c r="AN534" s="755" t="n"/>
      <c r="AO534" s="755" t="n"/>
      <c r="AP534" s="740" t="inlineStr">
        <is>
          <t>Pullback</t>
        </is>
      </c>
      <c r="AQ534" s="755" t="n"/>
      <c r="AR534" s="740" t="inlineStr">
        <is>
          <t>No</t>
        </is>
      </c>
      <c r="AS534" s="755" t="n"/>
      <c r="AT534" s="755" t="n"/>
      <c r="AU534" s="755" t="n"/>
      <c r="AV534" s="755" t="n"/>
      <c r="AW534" s="740" t="inlineStr">
        <is>
          <t>trade</t>
        </is>
      </c>
      <c r="AX534" s="756" t="inlineStr">
        <is>
          <t>sig:e88f6b80c7653bfa1c854bda</t>
        </is>
      </c>
    </row>
    <row r="535" ht="15" customHeight="1">
      <c r="A535" s="716" t="inlineStr">
        <is>
          <t>C155</t>
        </is>
      </c>
      <c r="B535" s="717" t="n">
        <v>44266.25069444445</v>
      </c>
      <c r="C535" s="718" t="n">
        <v>44266.26111111111</v>
      </c>
      <c r="D535" s="719" t="inlineStr">
        <is>
          <t>BYBIT</t>
        </is>
      </c>
      <c r="E535" s="719" t="inlineStr">
        <is>
          <t>BTCUSDT</t>
        </is>
      </c>
      <c r="F535" s="719" t="inlineStr">
        <is>
          <t>BUY</t>
        </is>
      </c>
      <c r="G535" s="735" t="n">
        <v>0.013</v>
      </c>
      <c r="H535" s="720" t="n">
        <v>56651.5</v>
      </c>
      <c r="I535" s="720" t="n">
        <v>56355</v>
      </c>
      <c r="J535" s="721" t="n">
        <v>56393</v>
      </c>
      <c r="K535" s="722" t="n">
        <v>0.004562985975658191</v>
      </c>
      <c r="L535" s="721" t="n">
        <v>57169</v>
      </c>
      <c r="M535" s="722" t="n">
        <v>0.009134797842952085</v>
      </c>
      <c r="N535" s="758" t="n">
        <v>0.18411737</v>
      </c>
      <c r="O535" s="724" t="n">
        <v>-3.67124928</v>
      </c>
      <c r="P535" s="725" t="n">
        <v>-0.01099103259292548</v>
      </c>
      <c r="Q535" s="726" t="n">
        <v>-1.147001934235977</v>
      </c>
      <c r="R535" s="727" t="n">
        <v>330.35098648</v>
      </c>
      <c r="S535" s="719" t="inlineStr">
        <is>
          <t>15M 0S</t>
        </is>
      </c>
      <c r="T535" s="728" t="n"/>
      <c r="U535" s="729" t="n"/>
      <c r="V535" s="730" t="n"/>
      <c r="W535" s="731" t="n"/>
      <c r="X535" s="732" t="n"/>
      <c r="Y535" s="728" t="n"/>
      <c r="Z535" s="729" t="n"/>
      <c r="AA535" s="730" t="n"/>
      <c r="AB535" s="731" t="n"/>
      <c r="AC535" s="732" t="n"/>
      <c r="AD535" s="719" t="inlineStr">
        <is>
          <t>No</t>
        </is>
      </c>
      <c r="AE535" s="733" t="n"/>
      <c r="AF535" s="733" t="n"/>
      <c r="AG535" s="733" t="n"/>
      <c r="AH535" s="733" t="n"/>
      <c r="AI535" s="719" t="inlineStr">
        <is>
          <t>Limit</t>
        </is>
      </c>
      <c r="AJ535" s="733" t="n"/>
      <c r="AK535" s="733" t="n"/>
      <c r="AL535" s="733" t="n"/>
      <c r="AM535" s="733" t="n"/>
      <c r="AN535" s="733" t="n"/>
      <c r="AO535" s="733" t="n"/>
      <c r="AP535" s="719" t="inlineStr">
        <is>
          <t>Pullback</t>
        </is>
      </c>
      <c r="AQ535" s="719" t="inlineStr">
        <is>
          <t>5MIN</t>
        </is>
      </c>
      <c r="AR535" s="719" t="inlineStr">
        <is>
          <t>No</t>
        </is>
      </c>
      <c r="AS535" s="733" t="n"/>
      <c r="AT535" s="733" t="n"/>
      <c r="AU535" s="733" t="n"/>
      <c r="AV535" s="733" t="n"/>
      <c r="AW535" s="719" t="inlineStr">
        <is>
          <t>trade</t>
        </is>
      </c>
      <c r="AX535" s="734" t="inlineStr">
        <is>
          <t>sig:4e0444769acbdf5df1400909</t>
        </is>
      </c>
    </row>
    <row r="536" ht="15" customHeight="1">
      <c r="A536" s="716" t="inlineStr">
        <is>
          <t>F1116</t>
        </is>
      </c>
      <c r="B536" s="717" t="n">
        <v>44258.88333333333</v>
      </c>
      <c r="C536" s="718" t="n">
        <v>44258.98888888889</v>
      </c>
      <c r="D536" s="719" t="inlineStr">
        <is>
          <t>PEPPERSTONE LIVE</t>
        </is>
      </c>
      <c r="E536" s="719" t="inlineStr">
        <is>
          <t>EURAUD</t>
        </is>
      </c>
      <c r="F536" s="719" t="inlineStr">
        <is>
          <t>SELL</t>
        </is>
      </c>
      <c r="G536" s="735" t="n">
        <v>0.04</v>
      </c>
      <c r="H536" s="720" t="n">
        <v>1.5463</v>
      </c>
      <c r="I536" s="720" t="n">
        <v>1.54797</v>
      </c>
      <c r="J536" s="721" t="n">
        <v>1.5479</v>
      </c>
      <c r="K536" s="722" t="n">
        <v>0.001034728060531621</v>
      </c>
      <c r="L536" s="721" t="n">
        <v>1.5431</v>
      </c>
      <c r="M536" s="722" t="n">
        <v>0.002069456121063242</v>
      </c>
      <c r="N536" s="761" t="n"/>
      <c r="O536" s="762" t="n">
        <v>-6.4</v>
      </c>
      <c r="P536" s="725" t="n">
        <v>-0.01226312058096534</v>
      </c>
      <c r="Q536" s="726" t="n">
        <v>-1.043750000000008</v>
      </c>
      <c r="R536" s="764" t="n">
        <v>515.49</v>
      </c>
      <c r="S536" s="719" t="inlineStr">
        <is>
          <t>2H 32M 0S</t>
        </is>
      </c>
      <c r="T536" s="728" t="n"/>
      <c r="U536" s="729" t="n"/>
      <c r="V536" s="730" t="n"/>
      <c r="W536" s="731" t="n"/>
      <c r="X536" s="732" t="n"/>
      <c r="Y536" s="728" t="n"/>
      <c r="Z536" s="729" t="n"/>
      <c r="AA536" s="730" t="n"/>
      <c r="AB536" s="731" t="n"/>
      <c r="AC536" s="732" t="n"/>
      <c r="AD536" s="719" t="inlineStr">
        <is>
          <t>No</t>
        </is>
      </c>
      <c r="AE536" s="733" t="n"/>
      <c r="AF536" s="733" t="n"/>
      <c r="AG536" s="733" t="n"/>
      <c r="AH536" s="733" t="n"/>
      <c r="AI536" s="719" t="n"/>
      <c r="AJ536" s="733" t="n"/>
      <c r="AK536" s="733" t="n"/>
      <c r="AL536" s="733" t="n"/>
      <c r="AM536" s="733" t="n"/>
      <c r="AN536" s="733" t="n"/>
      <c r="AO536" s="733" t="n"/>
      <c r="AP536" s="719" t="inlineStr">
        <is>
          <t>Pullback</t>
        </is>
      </c>
      <c r="AQ536" s="719" t="n"/>
      <c r="AR536" s="719" t="inlineStr">
        <is>
          <t>No</t>
        </is>
      </c>
      <c r="AS536" s="733" t="n"/>
      <c r="AT536" s="733" t="n"/>
      <c r="AU536" s="733" t="n"/>
      <c r="AV536" s="733" t="n"/>
      <c r="AW536" s="719" t="inlineStr">
        <is>
          <t>trade</t>
        </is>
      </c>
      <c r="AX536" s="734" t="inlineStr">
        <is>
          <t>sig:1f1b4c1bde5a427ef7fad055</t>
        </is>
      </c>
    </row>
    <row r="537" ht="15" customHeight="1">
      <c r="A537" s="737" t="inlineStr">
        <is>
          <t>F1112</t>
        </is>
      </c>
      <c r="B537" s="738" t="n">
        <v>44253.90763888889</v>
      </c>
      <c r="C537" s="739" t="n">
        <v>44258.81527777778</v>
      </c>
      <c r="D537" s="740" t="inlineStr">
        <is>
          <t>PEPPERSTONE LIVE</t>
        </is>
      </c>
      <c r="E537" s="740" t="inlineStr">
        <is>
          <t>CADJPY</t>
        </is>
      </c>
      <c r="F537" s="740" t="inlineStr">
        <is>
          <t>BUY</t>
        </is>
      </c>
      <c r="G537" s="775" t="n">
        <v>0.01</v>
      </c>
      <c r="H537" s="742" t="n">
        <v>83.86</v>
      </c>
      <c r="I537" s="742" t="n">
        <v>84.768</v>
      </c>
      <c r="J537" s="743" t="n">
        <v>83.41</v>
      </c>
      <c r="K537" s="744" t="n">
        <v>0.005366086334366835</v>
      </c>
      <c r="L537" s="743" t="n">
        <v>84.76000000000001</v>
      </c>
      <c r="M537" s="744" t="n">
        <v>0.01073217266873367</v>
      </c>
      <c r="N537" s="808" t="n">
        <v>0.03</v>
      </c>
      <c r="O537" s="767" t="n">
        <v>10.74</v>
      </c>
      <c r="P537" s="747" t="n">
        <v>0.02101144478137533</v>
      </c>
      <c r="Q537" s="748" t="n">
        <v>2.017777777777768</v>
      </c>
      <c r="R537" s="769" t="n">
        <v>521.89</v>
      </c>
      <c r="S537" s="740" t="inlineStr">
        <is>
          <t>4D 21H 47M 0S</t>
        </is>
      </c>
      <c r="T537" s="750" t="n"/>
      <c r="U537" s="751" t="n"/>
      <c r="V537" s="752" t="n"/>
      <c r="W537" s="753" t="n"/>
      <c r="X537" s="754" t="n"/>
      <c r="Y537" s="750" t="n"/>
      <c r="Z537" s="751" t="n"/>
      <c r="AA537" s="752" t="n"/>
      <c r="AB537" s="753" t="n"/>
      <c r="AC537" s="754" t="n"/>
      <c r="AD537" s="740" t="inlineStr">
        <is>
          <t>No</t>
        </is>
      </c>
      <c r="AE537" s="755" t="n"/>
      <c r="AF537" s="755" t="n"/>
      <c r="AG537" s="755" t="n"/>
      <c r="AH537" s="755" t="n"/>
      <c r="AI537" s="755" t="n"/>
      <c r="AJ537" s="755" t="n"/>
      <c r="AK537" s="755" t="n"/>
      <c r="AL537" s="755" t="n"/>
      <c r="AM537" s="755" t="n"/>
      <c r="AN537" s="755" t="n"/>
      <c r="AO537" s="755" t="n"/>
      <c r="AP537" s="740" t="inlineStr">
        <is>
          <t>Pullback</t>
        </is>
      </c>
      <c r="AQ537" s="755" t="n"/>
      <c r="AR537" s="740" t="inlineStr">
        <is>
          <t>No</t>
        </is>
      </c>
      <c r="AS537" s="755" t="n"/>
      <c r="AT537" s="755" t="n"/>
      <c r="AU537" s="755" t="n"/>
      <c r="AV537" s="755" t="n"/>
      <c r="AW537" s="740" t="inlineStr">
        <is>
          <t>trade</t>
        </is>
      </c>
      <c r="AX537" s="756" t="inlineStr">
        <is>
          <t>sig:3acf2e73f7b914c28cfd55ff</t>
        </is>
      </c>
    </row>
    <row r="538" ht="15" customHeight="1">
      <c r="A538" s="716" t="inlineStr">
        <is>
          <t>F1115</t>
        </is>
      </c>
      <c r="B538" s="717" t="n">
        <v>44257.98958333334</v>
      </c>
      <c r="C538" s="718" t="n">
        <v>44258.16666666666</v>
      </c>
      <c r="D538" s="719" t="inlineStr">
        <is>
          <t>PEPPERSTONE LIVE</t>
        </is>
      </c>
      <c r="E538" s="719" t="inlineStr">
        <is>
          <t>NZDCHF</t>
        </is>
      </c>
      <c r="F538" s="719" t="inlineStr">
        <is>
          <t>BUY</t>
        </is>
      </c>
      <c r="G538" s="735" t="n">
        <v>0.03</v>
      </c>
      <c r="H538" s="720" t="n">
        <v>0.6657999999999999</v>
      </c>
      <c r="I538" s="720" t="n">
        <v>0.66513</v>
      </c>
      <c r="J538" s="721" t="n">
        <v>0.6644</v>
      </c>
      <c r="K538" s="722" t="n">
        <v>0.002102733553619641</v>
      </c>
      <c r="L538" s="721" t="n">
        <v>0.6686</v>
      </c>
      <c r="M538" s="722" t="n">
        <v>0.004205467107239448</v>
      </c>
      <c r="N538" s="788" t="n"/>
      <c r="O538" s="762" t="n">
        <v>-3.1</v>
      </c>
      <c r="P538" s="725" t="n">
        <v>-0.006028196402527953</v>
      </c>
      <c r="Q538" s="726" t="n">
        <v>-0.4785714285714065</v>
      </c>
      <c r="R538" s="764" t="n">
        <v>511.15</v>
      </c>
      <c r="S538" s="719" t="inlineStr">
        <is>
          <t>4H 15M 0S</t>
        </is>
      </c>
      <c r="T538" s="728" t="n"/>
      <c r="U538" s="729" t="n"/>
      <c r="V538" s="730" t="n"/>
      <c r="W538" s="731" t="n"/>
      <c r="X538" s="732" t="n"/>
      <c r="Y538" s="728" t="n"/>
      <c r="Z538" s="729" t="n"/>
      <c r="AA538" s="730" t="n"/>
      <c r="AB538" s="731" t="n"/>
      <c r="AC538" s="732" t="n"/>
      <c r="AD538" s="719" t="inlineStr">
        <is>
          <t>No</t>
        </is>
      </c>
      <c r="AE538" s="733" t="n"/>
      <c r="AF538" s="733" t="n"/>
      <c r="AG538" s="733" t="n"/>
      <c r="AH538" s="733" t="n"/>
      <c r="AI538" s="733" t="n"/>
      <c r="AJ538" s="733" t="n"/>
      <c r="AK538" s="733" t="n"/>
      <c r="AL538" s="733" t="n"/>
      <c r="AM538" s="733" t="n"/>
      <c r="AN538" s="733" t="n"/>
      <c r="AO538" s="733" t="n"/>
      <c r="AP538" s="719" t="inlineStr">
        <is>
          <t>Pullback</t>
        </is>
      </c>
      <c r="AQ538" s="733" t="n"/>
      <c r="AR538" s="719" t="inlineStr">
        <is>
          <t>No</t>
        </is>
      </c>
      <c r="AS538" s="733" t="n"/>
      <c r="AT538" s="733" t="n"/>
      <c r="AU538" s="733" t="n"/>
      <c r="AV538" s="733" t="n"/>
      <c r="AW538" s="719" t="inlineStr">
        <is>
          <t>trade</t>
        </is>
      </c>
      <c r="AX538" s="734" t="inlineStr">
        <is>
          <t>sig:dbb0c8badb0e769aab031971</t>
        </is>
      </c>
    </row>
    <row r="539" ht="15" customHeight="1">
      <c r="A539" s="716" t="inlineStr">
        <is>
          <t>C154</t>
        </is>
      </c>
      <c r="B539" s="717" t="n">
        <v>44258.10833333333</v>
      </c>
      <c r="C539" s="718" t="n">
        <v>44258.10972222222</v>
      </c>
      <c r="D539" s="719" t="inlineStr">
        <is>
          <t>BYBIT</t>
        </is>
      </c>
      <c r="E539" s="719" t="inlineStr">
        <is>
          <t>BTCUSDT</t>
        </is>
      </c>
      <c r="F539" s="719" t="inlineStr">
        <is>
          <t>BUY</t>
        </is>
      </c>
      <c r="G539" s="757" t="n">
        <v>0.006</v>
      </c>
      <c r="H539" s="720" t="n">
        <v>48374</v>
      </c>
      <c r="I539" s="720" t="n">
        <v>47766.5</v>
      </c>
      <c r="J539" s="721" t="n">
        <v>47792.5</v>
      </c>
      <c r="K539" s="722" t="n">
        <v>0.01202092032910241</v>
      </c>
      <c r="L539" s="721" t="n">
        <v>49543.5</v>
      </c>
      <c r="M539" s="722" t="n">
        <v>0.02417621036093769</v>
      </c>
      <c r="N539" s="723" t="n">
        <v>0.072561</v>
      </c>
      <c r="O539" s="724" t="n">
        <v>-3.57330565</v>
      </c>
      <c r="P539" s="725" t="n">
        <v>-0.0105845759546342</v>
      </c>
      <c r="Q539" s="726" t="n">
        <v>-1.044711951848667</v>
      </c>
      <c r="R539" s="727" t="n">
        <v>334.02223576</v>
      </c>
      <c r="S539" s="719" t="inlineStr">
        <is>
          <t>2M 0S</t>
        </is>
      </c>
      <c r="T539" s="728" t="n"/>
      <c r="U539" s="729" t="n"/>
      <c r="V539" s="730" t="n"/>
      <c r="W539" s="731" t="n"/>
      <c r="X539" s="732" t="n"/>
      <c r="Y539" s="728" t="n"/>
      <c r="Z539" s="729" t="n"/>
      <c r="AA539" s="730" t="n"/>
      <c r="AB539" s="731" t="n"/>
      <c r="AC539" s="732" t="n"/>
      <c r="AD539" s="719" t="inlineStr">
        <is>
          <t>No</t>
        </is>
      </c>
      <c r="AE539" s="733" t="n"/>
      <c r="AF539" s="733" t="n"/>
      <c r="AG539" s="733" t="n"/>
      <c r="AH539" s="733" t="n"/>
      <c r="AI539" s="719" t="inlineStr">
        <is>
          <t>Limit</t>
        </is>
      </c>
      <c r="AJ539" s="733" t="n"/>
      <c r="AK539" s="733" t="n"/>
      <c r="AL539" s="733" t="n"/>
      <c r="AM539" s="733" t="n"/>
      <c r="AN539" s="733" t="n"/>
      <c r="AO539" s="733" t="n"/>
      <c r="AP539" s="719" t="inlineStr">
        <is>
          <t>Pullback</t>
        </is>
      </c>
      <c r="AQ539" s="719" t="inlineStr">
        <is>
          <t>1H</t>
        </is>
      </c>
      <c r="AR539" s="719" t="inlineStr">
        <is>
          <t>No</t>
        </is>
      </c>
      <c r="AS539" s="733" t="n"/>
      <c r="AT539" s="733" t="n"/>
      <c r="AU539" s="733" t="n"/>
      <c r="AV539" s="733" t="n"/>
      <c r="AW539" s="719" t="inlineStr">
        <is>
          <t>trade</t>
        </is>
      </c>
      <c r="AX539" s="734" t="inlineStr">
        <is>
          <t>sig:55be83edb63d8298be560976</t>
        </is>
      </c>
    </row>
    <row r="540" ht="15" customHeight="1">
      <c r="A540" s="716" t="inlineStr">
        <is>
          <t>C153</t>
        </is>
      </c>
      <c r="B540" s="717" t="n">
        <v>44258.03402777778</v>
      </c>
      <c r="C540" s="718" t="n">
        <v>44258.05069444444</v>
      </c>
      <c r="D540" s="719" t="inlineStr">
        <is>
          <t>BYBIT</t>
        </is>
      </c>
      <c r="E540" s="719" t="inlineStr">
        <is>
          <t>BTCUSDT</t>
        </is>
      </c>
      <c r="F540" s="719" t="inlineStr">
        <is>
          <t>BUY</t>
        </is>
      </c>
      <c r="G540" s="735" t="n">
        <v>0.01</v>
      </c>
      <c r="H540" s="720" t="n">
        <v>49101</v>
      </c>
      <c r="I540" s="720" t="n">
        <v>48769</v>
      </c>
      <c r="J540" s="721" t="n">
        <v>48773</v>
      </c>
      <c r="K540" s="722" t="n">
        <v>0.006680108348098817</v>
      </c>
      <c r="L540" s="721" t="n">
        <v>49764.5</v>
      </c>
      <c r="M540" s="722" t="n">
        <v>0.01351296307610843</v>
      </c>
      <c r="N540" s="758" t="n">
        <v>0.1227525</v>
      </c>
      <c r="O540" s="724" t="n">
        <v>-3.19811415</v>
      </c>
      <c r="P540" s="725" t="n">
        <v>-0.009384312465397235</v>
      </c>
      <c r="Q540" s="726" t="n">
        <v>-1.01219512195122</v>
      </c>
      <c r="R540" s="727" t="n">
        <v>337.59554141</v>
      </c>
      <c r="S540" s="719" t="inlineStr">
        <is>
          <t>24M 0S</t>
        </is>
      </c>
      <c r="T540" s="728" t="n"/>
      <c r="U540" s="729" t="n"/>
      <c r="V540" s="730" t="n"/>
      <c r="W540" s="731" t="n"/>
      <c r="X540" s="732" t="n"/>
      <c r="Y540" s="728" t="n"/>
      <c r="Z540" s="729" t="n"/>
      <c r="AA540" s="730" t="n"/>
      <c r="AB540" s="731" t="n"/>
      <c r="AC540" s="732" t="n"/>
      <c r="AD540" s="719" t="inlineStr">
        <is>
          <t>No</t>
        </is>
      </c>
      <c r="AE540" s="733" t="n"/>
      <c r="AF540" s="733" t="n"/>
      <c r="AG540" s="733" t="n"/>
      <c r="AH540" s="733" t="n"/>
      <c r="AI540" s="719" t="inlineStr">
        <is>
          <t>Limit</t>
        </is>
      </c>
      <c r="AJ540" s="733" t="n"/>
      <c r="AK540" s="733" t="n"/>
      <c r="AL540" s="733" t="n"/>
      <c r="AM540" s="733" t="n"/>
      <c r="AN540" s="733" t="n"/>
      <c r="AO540" s="733" t="n"/>
      <c r="AP540" s="719" t="inlineStr">
        <is>
          <t>Pullback</t>
        </is>
      </c>
      <c r="AQ540" s="719" t="inlineStr">
        <is>
          <t>5MIN</t>
        </is>
      </c>
      <c r="AR540" s="719" t="inlineStr">
        <is>
          <t>No</t>
        </is>
      </c>
      <c r="AS540" s="733" t="n"/>
      <c r="AT540" s="733" t="n"/>
      <c r="AU540" s="733" t="n"/>
      <c r="AV540" s="733" t="n"/>
      <c r="AW540" s="719" t="inlineStr">
        <is>
          <t>trade</t>
        </is>
      </c>
      <c r="AX540" s="734" t="inlineStr">
        <is>
          <t>sig:50b366107381660b4c87896e</t>
        </is>
      </c>
    </row>
    <row r="541" ht="15" customHeight="1">
      <c r="A541" s="737" t="inlineStr">
        <is>
          <t>F1114</t>
        </is>
      </c>
      <c r="B541" s="738" t="n">
        <v>44257.72013888889</v>
      </c>
      <c r="C541" s="739" t="n">
        <v>44257.86597222222</v>
      </c>
      <c r="D541" s="740" t="inlineStr">
        <is>
          <t>PEPPERSTONE LIVE</t>
        </is>
      </c>
      <c r="E541" s="740" t="inlineStr">
        <is>
          <t>NZDCHF</t>
        </is>
      </c>
      <c r="F541" s="740" t="inlineStr">
        <is>
          <t>BUY</t>
        </is>
      </c>
      <c r="G541" s="775" t="n">
        <v>0.02</v>
      </c>
      <c r="H541" s="742" t="n">
        <v>0.6623</v>
      </c>
      <c r="I541" s="742" t="n">
        <v>0.66598</v>
      </c>
      <c r="J541" s="743" t="n">
        <v>0.6605</v>
      </c>
      <c r="K541" s="744" t="n">
        <v>0.002717801600483201</v>
      </c>
      <c r="L541" s="743" t="n">
        <v>0.6659</v>
      </c>
      <c r="M541" s="744" t="n">
        <v>0.005435603200966401</v>
      </c>
      <c r="N541" s="766" t="n"/>
      <c r="O541" s="767" t="n">
        <v>10.1</v>
      </c>
      <c r="P541" s="747" t="n">
        <v>0.02003372012297927</v>
      </c>
      <c r="Q541" s="748" t="n">
        <v>2.044444444444427</v>
      </c>
      <c r="R541" s="769" t="n">
        <v>514.25</v>
      </c>
      <c r="S541" s="740" t="inlineStr">
        <is>
          <t>3H 30M 0S</t>
        </is>
      </c>
      <c r="T541" s="750" t="n"/>
      <c r="U541" s="751" t="n"/>
      <c r="V541" s="810" t="n"/>
      <c r="W541" s="747" t="n"/>
      <c r="X541" s="744" t="n"/>
      <c r="Y541" s="750" t="n"/>
      <c r="Z541" s="751" t="n"/>
      <c r="AA541" s="752" t="n"/>
      <c r="AB541" s="753" t="n"/>
      <c r="AC541" s="754" t="n"/>
      <c r="AD541" s="740" t="inlineStr">
        <is>
          <t>No</t>
        </is>
      </c>
      <c r="AE541" s="755" t="n"/>
      <c r="AF541" s="755" t="n"/>
      <c r="AG541" s="755" t="n"/>
      <c r="AH541" s="755" t="n"/>
      <c r="AI541" s="740" t="n"/>
      <c r="AJ541" s="755" t="n"/>
      <c r="AK541" s="755" t="n"/>
      <c r="AL541" s="755" t="n"/>
      <c r="AM541" s="755" t="n"/>
      <c r="AN541" s="755" t="n"/>
      <c r="AO541" s="755" t="n"/>
      <c r="AP541" s="740" t="inlineStr">
        <is>
          <t>Pullback</t>
        </is>
      </c>
      <c r="AQ541" s="740" t="n"/>
      <c r="AR541" s="740" t="inlineStr">
        <is>
          <t>No</t>
        </is>
      </c>
      <c r="AS541" s="755" t="n"/>
      <c r="AT541" s="755" t="n"/>
      <c r="AU541" s="755" t="n"/>
      <c r="AV541" s="755" t="n"/>
      <c r="AW541" s="740" t="inlineStr">
        <is>
          <t>trade</t>
        </is>
      </c>
      <c r="AX541" s="756" t="inlineStr">
        <is>
          <t>sig:fbe27496007db0437d6f18b8</t>
        </is>
      </c>
    </row>
    <row r="542" ht="15" customHeight="1">
      <c r="A542" s="716" t="inlineStr">
        <is>
          <t>F1113</t>
        </is>
      </c>
      <c r="B542" s="717" t="n">
        <v>44256.7625</v>
      </c>
      <c r="C542" s="718" t="n">
        <v>44256.79930555556</v>
      </c>
      <c r="D542" s="719" t="inlineStr">
        <is>
          <t>PEPPERSTONE LIVE</t>
        </is>
      </c>
      <c r="E542" s="719" t="inlineStr">
        <is>
          <t>AUDNZD</t>
        </is>
      </c>
      <c r="F542" s="719" t="inlineStr">
        <is>
          <t>SELL</t>
        </is>
      </c>
      <c r="G542" s="735" t="n">
        <v>0.06</v>
      </c>
      <c r="H542" s="720" t="n">
        <v>1.0666</v>
      </c>
      <c r="I542" s="720" t="n">
        <v>1.06756</v>
      </c>
      <c r="J542" s="721" t="n">
        <v>1.0675</v>
      </c>
      <c r="K542" s="760" t="n">
        <v>0.0008438027376710116</v>
      </c>
      <c r="L542" s="721" t="n">
        <v>1.0647</v>
      </c>
      <c r="M542" s="722" t="n">
        <v>0.001781361335083455</v>
      </c>
      <c r="N542" s="788" t="n"/>
      <c r="O542" s="762" t="n">
        <v>-5.06</v>
      </c>
      <c r="P542" s="725" t="n">
        <v>-0.009936961175153669</v>
      </c>
      <c r="Q542" s="726" t="n">
        <v>-1.066666666666864</v>
      </c>
      <c r="R542" s="764" t="n">
        <v>504.15</v>
      </c>
      <c r="S542" s="719" t="inlineStr">
        <is>
          <t>53M 0S</t>
        </is>
      </c>
      <c r="T542" s="728" t="n"/>
      <c r="U542" s="729" t="n"/>
      <c r="V542" s="730" t="n"/>
      <c r="W542" s="731" t="n"/>
      <c r="X542" s="732" t="n"/>
      <c r="Y542" s="728" t="n"/>
      <c r="Z542" s="729" t="n"/>
      <c r="AA542" s="730" t="n"/>
      <c r="AB542" s="731" t="n"/>
      <c r="AC542" s="732" t="n"/>
      <c r="AD542" s="719" t="inlineStr">
        <is>
          <t>No</t>
        </is>
      </c>
      <c r="AE542" s="733" t="n"/>
      <c r="AF542" s="733" t="n"/>
      <c r="AG542" s="733" t="n"/>
      <c r="AH542" s="733" t="n"/>
      <c r="AI542" s="733" t="n"/>
      <c r="AJ542" s="733" t="n"/>
      <c r="AK542" s="733" t="n"/>
      <c r="AL542" s="733" t="n"/>
      <c r="AM542" s="733" t="n"/>
      <c r="AN542" s="733" t="n"/>
      <c r="AO542" s="733" t="n"/>
      <c r="AP542" s="719" t="inlineStr">
        <is>
          <t>Pullback</t>
        </is>
      </c>
      <c r="AQ542" s="733" t="n"/>
      <c r="AR542" s="719" t="inlineStr">
        <is>
          <t>No</t>
        </is>
      </c>
      <c r="AS542" s="733" t="n"/>
      <c r="AT542" s="733" t="n"/>
      <c r="AU542" s="733" t="n"/>
      <c r="AV542" s="733" t="n"/>
      <c r="AW542" s="719" t="inlineStr">
        <is>
          <t>trade</t>
        </is>
      </c>
      <c r="AX542" s="734" t="inlineStr">
        <is>
          <t>sig:905e55888d715c80ca55bee0</t>
        </is>
      </c>
    </row>
    <row r="543" ht="15" customHeight="1">
      <c r="A543" s="716" t="inlineStr">
        <is>
          <t>C152</t>
        </is>
      </c>
      <c r="B543" s="717" t="n">
        <v>44254.33125</v>
      </c>
      <c r="C543" s="718" t="n">
        <v>44256.07083333333</v>
      </c>
      <c r="D543" s="719" t="inlineStr">
        <is>
          <t>BYBIT</t>
        </is>
      </c>
      <c r="E543" s="719" t="inlineStr">
        <is>
          <t>BTCUSDT</t>
        </is>
      </c>
      <c r="F543" s="719" t="inlineStr">
        <is>
          <t>BUY</t>
        </is>
      </c>
      <c r="G543" s="757" t="n">
        <v>0.002</v>
      </c>
      <c r="H543" s="720" t="n">
        <v>45588</v>
      </c>
      <c r="I543" s="720" t="n">
        <v>43335.5</v>
      </c>
      <c r="J543" s="721" t="n">
        <v>43361.5</v>
      </c>
      <c r="K543" s="722" t="n">
        <v>0.0488396069141002</v>
      </c>
      <c r="L543" s="721" t="n">
        <v>51137.5</v>
      </c>
      <c r="M543" s="722" t="n">
        <v>0.121731596034044</v>
      </c>
      <c r="N543" s="723" t="n">
        <v>0.056228</v>
      </c>
      <c r="O543" s="724" t="n">
        <v>-4.56208949</v>
      </c>
      <c r="P543" s="725" t="n">
        <v>-0.01320982654954678</v>
      </c>
      <c r="Q543" s="726" t="n">
        <v>-1.011677520772513</v>
      </c>
      <c r="R543" s="727" t="n">
        <v>340.79365556</v>
      </c>
      <c r="S543" s="719" t="inlineStr">
        <is>
          <t>1D 17H 45M 0S</t>
        </is>
      </c>
      <c r="T543" s="728" t="n"/>
      <c r="U543" s="729" t="n"/>
      <c r="V543" s="730" t="n"/>
      <c r="W543" s="731" t="n"/>
      <c r="X543" s="732" t="n"/>
      <c r="Y543" s="728" t="n"/>
      <c r="Z543" s="729" t="n"/>
      <c r="AA543" s="730" t="n"/>
      <c r="AB543" s="731" t="n"/>
      <c r="AC543" s="732" t="n"/>
      <c r="AD543" s="719" t="inlineStr">
        <is>
          <t>No</t>
        </is>
      </c>
      <c r="AE543" s="733" t="n"/>
      <c r="AF543" s="733" t="n"/>
      <c r="AG543" s="733" t="n"/>
      <c r="AH543" s="733" t="n"/>
      <c r="AI543" s="719" t="inlineStr">
        <is>
          <t>Limit</t>
        </is>
      </c>
      <c r="AJ543" s="733" t="n"/>
      <c r="AK543" s="733" t="n"/>
      <c r="AL543" s="733" t="n"/>
      <c r="AM543" s="733" t="n"/>
      <c r="AN543" s="733" t="n"/>
      <c r="AO543" s="733" t="n"/>
      <c r="AP543" s="719" t="inlineStr">
        <is>
          <t>Pullback</t>
        </is>
      </c>
      <c r="AQ543" s="719" t="inlineStr">
        <is>
          <t>4H</t>
        </is>
      </c>
      <c r="AR543" s="719" t="inlineStr">
        <is>
          <t>No</t>
        </is>
      </c>
      <c r="AS543" s="733" t="n"/>
      <c r="AT543" s="733" t="n"/>
      <c r="AU543" s="733" t="n"/>
      <c r="AV543" s="733" t="n"/>
      <c r="AW543" s="719" t="inlineStr">
        <is>
          <t>trade</t>
        </is>
      </c>
      <c r="AX543" s="734" t="inlineStr">
        <is>
          <t>sig:c8e17c3846c8d3a66ac44656</t>
        </is>
      </c>
    </row>
    <row r="544" ht="15" customHeight="1">
      <c r="A544" s="716" t="inlineStr">
        <is>
          <t>C151</t>
        </is>
      </c>
      <c r="B544" s="717" t="n">
        <v>44253.41458333333</v>
      </c>
      <c r="C544" s="718" t="n">
        <v>44253.66458333333</v>
      </c>
      <c r="D544" s="719" t="inlineStr">
        <is>
          <t>BYBIT</t>
        </is>
      </c>
      <c r="E544" s="719" t="inlineStr">
        <is>
          <t>LTCUSDT</t>
        </is>
      </c>
      <c r="F544" s="719" t="inlineStr">
        <is>
          <t>BUY</t>
        </is>
      </c>
      <c r="G544" s="720" t="n">
        <v>0.3</v>
      </c>
      <c r="H544" s="720" t="n">
        <v>177.59</v>
      </c>
      <c r="I544" s="720" t="n">
        <v>166.37</v>
      </c>
      <c r="J544" s="721" t="n">
        <v>166.41</v>
      </c>
      <c r="K544" s="722" t="n">
        <v>0.06295399515738502</v>
      </c>
      <c r="L544" s="721" t="n">
        <v>200</v>
      </c>
      <c r="M544" s="722" t="n">
        <v>0.1261895376991947</v>
      </c>
      <c r="N544" s="811" t="n">
        <v>0.005011</v>
      </c>
      <c r="O544" s="724" t="n">
        <v>-3.37187843</v>
      </c>
      <c r="P544" s="725" t="n">
        <v>-0.00966908900520002</v>
      </c>
      <c r="Q544" s="726" t="n">
        <v>-1.003577817531305</v>
      </c>
      <c r="R544" s="727" t="n">
        <v>345.35574505</v>
      </c>
      <c r="S544" s="719" t="inlineStr">
        <is>
          <t>6H 0M 0S</t>
        </is>
      </c>
      <c r="T544" s="728" t="n"/>
      <c r="U544" s="729" t="n"/>
      <c r="V544" s="730" t="n"/>
      <c r="W544" s="731" t="n"/>
      <c r="X544" s="732" t="n"/>
      <c r="Y544" s="728" t="n"/>
      <c r="Z544" s="729" t="n"/>
      <c r="AA544" s="730" t="n"/>
      <c r="AB544" s="731" t="n"/>
      <c r="AC544" s="732" t="n"/>
      <c r="AD544" s="719" t="inlineStr">
        <is>
          <t>No</t>
        </is>
      </c>
      <c r="AE544" s="733" t="n"/>
      <c r="AF544" s="733" t="n"/>
      <c r="AG544" s="733" t="n"/>
      <c r="AH544" s="733" t="n"/>
      <c r="AI544" s="719" t="inlineStr">
        <is>
          <t>Limit</t>
        </is>
      </c>
      <c r="AJ544" s="733" t="n"/>
      <c r="AK544" s="733" t="n"/>
      <c r="AL544" s="733" t="n"/>
      <c r="AM544" s="733" t="n"/>
      <c r="AN544" s="733" t="n"/>
      <c r="AO544" s="733" t="n"/>
      <c r="AP544" s="719" t="inlineStr">
        <is>
          <t>Pullback</t>
        </is>
      </c>
      <c r="AQ544" s="719" t="inlineStr">
        <is>
          <t>4H</t>
        </is>
      </c>
      <c r="AR544" s="719" t="inlineStr">
        <is>
          <t>No</t>
        </is>
      </c>
      <c r="AS544" s="733" t="n"/>
      <c r="AT544" s="733" t="n"/>
      <c r="AU544" s="733" t="n"/>
      <c r="AV544" s="733" t="n"/>
      <c r="AW544" s="719" t="inlineStr">
        <is>
          <t>trade</t>
        </is>
      </c>
      <c r="AX544" s="734" t="inlineStr">
        <is>
          <t>sig:69dd2a39348f63e28bbd3fb3</t>
        </is>
      </c>
    </row>
    <row r="545" ht="15" customHeight="1">
      <c r="A545" s="716" t="inlineStr">
        <is>
          <t>F1111</t>
        </is>
      </c>
      <c r="B545" s="717" t="n">
        <v>44253.16666666666</v>
      </c>
      <c r="C545" s="718" t="n">
        <v>44253.16805555556</v>
      </c>
      <c r="D545" s="719" t="inlineStr">
        <is>
          <t>PEPPERSTONE LIVE</t>
        </is>
      </c>
      <c r="E545" s="719" t="inlineStr">
        <is>
          <t>EURUSD</t>
        </is>
      </c>
      <c r="F545" s="719" t="inlineStr">
        <is>
          <t>BUY</t>
        </is>
      </c>
      <c r="G545" s="735" t="n">
        <v>0.04</v>
      </c>
      <c r="H545" s="720" t="n">
        <v>1.2211</v>
      </c>
      <c r="I545" s="720" t="n">
        <v>1.2199</v>
      </c>
      <c r="J545" s="721" t="n">
        <v>1.2199</v>
      </c>
      <c r="K545" s="760" t="n">
        <v>0.0009827204979117924</v>
      </c>
      <c r="L545" s="721" t="n">
        <v>1.2235</v>
      </c>
      <c r="M545" s="722" t="n">
        <v>0.001965440995823403</v>
      </c>
      <c r="N545" s="761" t="n"/>
      <c r="O545" s="762" t="n">
        <v>-6.07</v>
      </c>
      <c r="P545" s="725" t="n">
        <v>-0.0117800031051079</v>
      </c>
      <c r="Q545" s="726" t="n">
        <v>-1</v>
      </c>
      <c r="R545" s="764" t="n">
        <v>509.21</v>
      </c>
      <c r="S545" s="719" t="inlineStr">
        <is>
          <t>2M 0S</t>
        </is>
      </c>
      <c r="T545" s="728" t="n"/>
      <c r="U545" s="729" t="n"/>
      <c r="V545" s="807" t="n"/>
      <c r="W545" s="725" t="n"/>
      <c r="X545" s="722" t="n"/>
      <c r="Y545" s="728" t="n"/>
      <c r="Z545" s="729" t="n"/>
      <c r="AA545" s="730" t="n"/>
      <c r="AB545" s="731" t="n"/>
      <c r="AC545" s="732" t="n"/>
      <c r="AD545" s="719" t="inlineStr">
        <is>
          <t>No</t>
        </is>
      </c>
      <c r="AE545" s="733" t="n"/>
      <c r="AF545" s="733" t="n"/>
      <c r="AG545" s="733" t="n"/>
      <c r="AH545" s="733" t="n"/>
      <c r="AI545" s="719" t="n"/>
      <c r="AJ545" s="733" t="n"/>
      <c r="AK545" s="733" t="n"/>
      <c r="AL545" s="733" t="n"/>
      <c r="AM545" s="733" t="n"/>
      <c r="AN545" s="733" t="n"/>
      <c r="AO545" s="733" t="n"/>
      <c r="AP545" s="719" t="inlineStr">
        <is>
          <t>Pullback</t>
        </is>
      </c>
      <c r="AQ545" s="719" t="n"/>
      <c r="AR545" s="719" t="inlineStr">
        <is>
          <t>No</t>
        </is>
      </c>
      <c r="AS545" s="733" t="n"/>
      <c r="AT545" s="733" t="n"/>
      <c r="AU545" s="733" t="n"/>
      <c r="AV545" s="733" t="n"/>
      <c r="AW545" s="719" t="inlineStr">
        <is>
          <t>trade</t>
        </is>
      </c>
      <c r="AX545" s="734" t="inlineStr">
        <is>
          <t>sig:e286b83496afc4a40e62d90b</t>
        </is>
      </c>
    </row>
    <row r="546" ht="15" customHeight="1">
      <c r="A546" s="716" t="inlineStr">
        <is>
          <t>F1110</t>
        </is>
      </c>
      <c r="B546" s="717" t="n">
        <v>44253.00555555556</v>
      </c>
      <c r="C546" s="718" t="n">
        <v>44253.06666666667</v>
      </c>
      <c r="D546" s="719" t="inlineStr">
        <is>
          <t>PEPPERSTONE LIVE</t>
        </is>
      </c>
      <c r="E546" s="719" t="inlineStr">
        <is>
          <t>CADJPY</t>
        </is>
      </c>
      <c r="F546" s="719" t="inlineStr">
        <is>
          <t>BUY</t>
        </is>
      </c>
      <c r="G546" s="735" t="n">
        <v>0.09</v>
      </c>
      <c r="H546" s="720" t="n">
        <v>84.95</v>
      </c>
      <c r="I546" s="720" t="n">
        <v>84.902</v>
      </c>
      <c r="J546" s="721" t="n">
        <v>84.90000000000001</v>
      </c>
      <c r="K546" s="760" t="n">
        <v>0.0005885815185402844</v>
      </c>
      <c r="L546" s="721" t="n">
        <v>85.05</v>
      </c>
      <c r="M546" s="722" t="n">
        <v>0.001177163037080569</v>
      </c>
      <c r="N546" s="761" t="n"/>
      <c r="O546" s="762" t="n">
        <v>-5.22</v>
      </c>
      <c r="P546" s="725" t="n">
        <v>-0.01002881844380403</v>
      </c>
      <c r="Q546" s="726" t="n">
        <v>-0.960000000000091</v>
      </c>
      <c r="R546" s="764" t="n">
        <v>515.28</v>
      </c>
      <c r="S546" s="719" t="inlineStr">
        <is>
          <t>1H 28M 0S</t>
        </is>
      </c>
      <c r="T546" s="717" t="n"/>
      <c r="U546" s="806" t="n"/>
      <c r="V546" s="807" t="n"/>
      <c r="W546" s="725" t="n"/>
      <c r="X546" s="722" t="n"/>
      <c r="Y546" s="728" t="n"/>
      <c r="Z546" s="729" t="n"/>
      <c r="AA546" s="730" t="n"/>
      <c r="AB546" s="731" t="n"/>
      <c r="AC546" s="732" t="n"/>
      <c r="AD546" s="719" t="inlineStr">
        <is>
          <t>No</t>
        </is>
      </c>
      <c r="AE546" s="733" t="n"/>
      <c r="AF546" s="733" t="n"/>
      <c r="AG546" s="733" t="n"/>
      <c r="AH546" s="733" t="n"/>
      <c r="AI546" s="719" t="n"/>
      <c r="AJ546" s="733" t="n"/>
      <c r="AK546" s="733" t="n"/>
      <c r="AL546" s="733" t="n"/>
      <c r="AM546" s="733" t="n"/>
      <c r="AN546" s="733" t="n"/>
      <c r="AO546" s="733" t="n"/>
      <c r="AP546" s="719" t="inlineStr">
        <is>
          <t>Pullback</t>
        </is>
      </c>
      <c r="AQ546" s="719" t="n"/>
      <c r="AR546" s="719" t="inlineStr">
        <is>
          <t>No</t>
        </is>
      </c>
      <c r="AS546" s="733" t="n"/>
      <c r="AT546" s="733" t="n"/>
      <c r="AU546" s="733" t="n"/>
      <c r="AV546" s="733" t="n"/>
      <c r="AW546" s="719" t="inlineStr">
        <is>
          <t>trade</t>
        </is>
      </c>
      <c r="AX546" s="734" t="inlineStr">
        <is>
          <t>sig:1de0797a5bf943de1a9a9971</t>
        </is>
      </c>
    </row>
    <row r="547" ht="15" customHeight="1">
      <c r="A547" s="737" t="inlineStr">
        <is>
          <t>F1109</t>
        </is>
      </c>
      <c r="B547" s="738" t="n">
        <v>44251.03402777778</v>
      </c>
      <c r="C547" s="739" t="n">
        <v>44251.26527777778</v>
      </c>
      <c r="D547" s="740" t="inlineStr">
        <is>
          <t>PEPPERSTONE LIVE</t>
        </is>
      </c>
      <c r="E547" s="740" t="inlineStr">
        <is>
          <t>EURCAD</t>
        </is>
      </c>
      <c r="F547" s="740" t="inlineStr">
        <is>
          <t>SELL</t>
        </is>
      </c>
      <c r="G547" s="775" t="n">
        <v>0.03</v>
      </c>
      <c r="H547" s="742" t="n">
        <v>1.5347</v>
      </c>
      <c r="I547" s="742" t="n">
        <v>1.5287</v>
      </c>
      <c r="J547" s="743" t="n">
        <v>1.5369</v>
      </c>
      <c r="K547" s="744" t="n">
        <v>0.001433504919528233</v>
      </c>
      <c r="L547" s="743" t="n">
        <v>1.5287</v>
      </c>
      <c r="M547" s="744" t="n">
        <v>0.003909558871440676</v>
      </c>
      <c r="N547" s="766" t="n"/>
      <c r="O547" s="767" t="n">
        <v>18.16</v>
      </c>
      <c r="P547" s="747" t="n">
        <v>0.03615081418959271</v>
      </c>
      <c r="Q547" s="748" t="n">
        <v>2.727272727272755</v>
      </c>
      <c r="R547" s="769" t="n">
        <v>520.5</v>
      </c>
      <c r="S547" s="740" t="inlineStr">
        <is>
          <t>5H 33M 0S</t>
        </is>
      </c>
      <c r="T547" s="750" t="n"/>
      <c r="U547" s="751" t="n"/>
      <c r="V547" s="752" t="n"/>
      <c r="W547" s="753" t="n"/>
      <c r="X547" s="754" t="n"/>
      <c r="Y547" s="750" t="n"/>
      <c r="Z547" s="751" t="n"/>
      <c r="AA547" s="752" t="n"/>
      <c r="AB547" s="753" t="n"/>
      <c r="AC547" s="754" t="n"/>
      <c r="AD547" s="740" t="inlineStr">
        <is>
          <t>No</t>
        </is>
      </c>
      <c r="AE547" s="755" t="n"/>
      <c r="AF547" s="755" t="n"/>
      <c r="AG547" s="755" t="n"/>
      <c r="AH547" s="755" t="n"/>
      <c r="AI547" s="755" t="n"/>
      <c r="AJ547" s="755" t="n"/>
      <c r="AK547" s="755" t="n"/>
      <c r="AL547" s="755" t="n"/>
      <c r="AM547" s="755" t="n"/>
      <c r="AN547" s="755" t="n"/>
      <c r="AO547" s="755" t="n"/>
      <c r="AP547" s="740" t="inlineStr">
        <is>
          <t>Pullback</t>
        </is>
      </c>
      <c r="AQ547" s="755" t="n"/>
      <c r="AR547" s="740" t="inlineStr">
        <is>
          <t>No</t>
        </is>
      </c>
      <c r="AS547" s="755" t="n"/>
      <c r="AT547" s="755" t="n"/>
      <c r="AU547" s="755" t="n"/>
      <c r="AV547" s="755" t="n"/>
      <c r="AW547" s="740" t="inlineStr">
        <is>
          <t>trade</t>
        </is>
      </c>
      <c r="AX547" s="756" t="inlineStr">
        <is>
          <t>sig:293a299a3871d538818938a3</t>
        </is>
      </c>
    </row>
    <row r="548" ht="15" customHeight="1">
      <c r="A548" s="716" t="inlineStr">
        <is>
          <t>C150</t>
        </is>
      </c>
      <c r="B548" s="717" t="n">
        <v>44248.21875</v>
      </c>
      <c r="C548" s="718" t="n">
        <v>44248.30555555555</v>
      </c>
      <c r="D548" s="719" t="inlineStr">
        <is>
          <t>BYBIT</t>
        </is>
      </c>
      <c r="E548" s="719" t="inlineStr">
        <is>
          <t>XTZUSDT</t>
        </is>
      </c>
      <c r="F548" s="719" t="inlineStr">
        <is>
          <t>BUY</t>
        </is>
      </c>
      <c r="G548" s="720" t="n">
        <v>41.4</v>
      </c>
      <c r="H548" s="720" t="n">
        <v>4.879</v>
      </c>
      <c r="I548" s="720" t="n">
        <v>4.793</v>
      </c>
      <c r="J548" s="721" t="n">
        <v>4.794</v>
      </c>
      <c r="K548" s="722" t="n">
        <v>0.01742160278745644</v>
      </c>
      <c r="L548" s="721" t="n">
        <v>5.05</v>
      </c>
      <c r="M548" s="722" t="n">
        <v>0.03504816560770655</v>
      </c>
      <c r="N548" s="723" t="n">
        <v>0.0505</v>
      </c>
      <c r="O548" s="724" t="n">
        <v>-3.51076865</v>
      </c>
      <c r="P548" s="725" t="n">
        <v>-0.009967024402905766</v>
      </c>
      <c r="Q548" s="726" t="n">
        <v>-1.011764705882346</v>
      </c>
      <c r="R548" s="727" t="n">
        <v>348.72762348</v>
      </c>
      <c r="S548" s="719" t="inlineStr">
        <is>
          <t>2H 5M 0S</t>
        </is>
      </c>
      <c r="T548" s="728" t="n"/>
      <c r="U548" s="729" t="n"/>
      <c r="V548" s="807" t="n"/>
      <c r="W548" s="725" t="n"/>
      <c r="X548" s="722" t="n"/>
      <c r="Y548" s="728" t="n"/>
      <c r="Z548" s="729" t="n"/>
      <c r="AA548" s="730" t="n"/>
      <c r="AB548" s="731" t="n"/>
      <c r="AC548" s="732" t="n"/>
      <c r="AD548" s="719" t="inlineStr">
        <is>
          <t>No</t>
        </is>
      </c>
      <c r="AE548" s="733" t="n"/>
      <c r="AF548" s="733" t="n"/>
      <c r="AG548" s="733" t="n"/>
      <c r="AH548" s="733" t="n"/>
      <c r="AI548" s="719" t="inlineStr">
        <is>
          <t>Limit</t>
        </is>
      </c>
      <c r="AJ548" s="733" t="n"/>
      <c r="AK548" s="733" t="n"/>
      <c r="AL548" s="733" t="n"/>
      <c r="AM548" s="733" t="n"/>
      <c r="AN548" s="733" t="n"/>
      <c r="AO548" s="733" t="n"/>
      <c r="AP548" s="719" t="inlineStr">
        <is>
          <t>Pullback</t>
        </is>
      </c>
      <c r="AQ548" s="719" t="inlineStr">
        <is>
          <t>1H</t>
        </is>
      </c>
      <c r="AR548" s="719" t="inlineStr">
        <is>
          <t>No</t>
        </is>
      </c>
      <c r="AS548" s="733" t="n"/>
      <c r="AT548" s="733" t="n"/>
      <c r="AU548" s="733" t="n"/>
      <c r="AV548" s="733" t="n"/>
      <c r="AW548" s="719" t="inlineStr">
        <is>
          <t>trade</t>
        </is>
      </c>
      <c r="AX548" s="734" t="inlineStr">
        <is>
          <t>sig:f36e784fcb845dfe885dd16a</t>
        </is>
      </c>
    </row>
    <row r="549" ht="15" customHeight="1">
      <c r="A549" s="737" t="inlineStr">
        <is>
          <t>C149</t>
        </is>
      </c>
      <c r="B549" s="738" t="n">
        <v>44247.23263888889</v>
      </c>
      <c r="C549" s="739" t="n">
        <v>44248.01944444444</v>
      </c>
      <c r="D549" s="740" t="inlineStr">
        <is>
          <t>BYBIT</t>
        </is>
      </c>
      <c r="E549" s="740" t="inlineStr">
        <is>
          <t>XTZUSDT</t>
        </is>
      </c>
      <c r="F549" s="740" t="inlineStr">
        <is>
          <t>BUY</t>
        </is>
      </c>
      <c r="G549" s="742" t="n">
        <v>33.9</v>
      </c>
      <c r="H549" s="742" t="n">
        <v>4.916</v>
      </c>
      <c r="I549" s="742" t="n">
        <v>5.124</v>
      </c>
      <c r="J549" s="743" t="n">
        <v>4.814</v>
      </c>
      <c r="K549" s="744" t="n">
        <v>0.02074857607811235</v>
      </c>
      <c r="L549" s="743" t="n">
        <v>5.121</v>
      </c>
      <c r="M549" s="744" t="n">
        <v>0.0417005695687551</v>
      </c>
      <c r="N549" s="745" t="n">
        <v>1.213827</v>
      </c>
      <c r="O549" s="746" t="n">
        <v>5.83651025</v>
      </c>
      <c r="P549" s="747" t="n">
        <v>0.01684895653084782</v>
      </c>
      <c r="Q549" s="748" t="n">
        <v>2.039215686274497</v>
      </c>
      <c r="R549" s="749" t="n">
        <v>352.23839213</v>
      </c>
      <c r="S549" s="740" t="inlineStr">
        <is>
          <t>18H 53M 0S</t>
        </is>
      </c>
      <c r="T549" s="750" t="n"/>
      <c r="U549" s="751" t="n"/>
      <c r="V549" s="810" t="n">
        <v>5.058</v>
      </c>
      <c r="W549" s="747" t="n">
        <v>0.02888527257933268</v>
      </c>
      <c r="X549" s="744" t="n">
        <v>0.01230228471001769</v>
      </c>
      <c r="Y549" s="750" t="n"/>
      <c r="Z549" s="751" t="n"/>
      <c r="AA549" s="752" t="n"/>
      <c r="AB549" s="753" t="n"/>
      <c r="AC549" s="754" t="n"/>
      <c r="AD549" s="740" t="inlineStr">
        <is>
          <t>No</t>
        </is>
      </c>
      <c r="AE549" s="755" t="n"/>
      <c r="AF549" s="755" t="n"/>
      <c r="AG549" s="755" t="n"/>
      <c r="AH549" s="755" t="n"/>
      <c r="AI549" s="740" t="inlineStr">
        <is>
          <t>Limit</t>
        </is>
      </c>
      <c r="AJ549" s="755" t="n"/>
      <c r="AK549" s="755" t="n"/>
      <c r="AL549" s="755" t="n"/>
      <c r="AM549" s="755" t="n"/>
      <c r="AN549" s="755" t="n"/>
      <c r="AO549" s="755" t="n"/>
      <c r="AP549" s="740" t="inlineStr">
        <is>
          <t>Pullback</t>
        </is>
      </c>
      <c r="AQ549" s="740" t="inlineStr">
        <is>
          <t>15MIN</t>
        </is>
      </c>
      <c r="AR549" s="740" t="inlineStr">
        <is>
          <t>No</t>
        </is>
      </c>
      <c r="AS549" s="755" t="n"/>
      <c r="AT549" s="755" t="n"/>
      <c r="AU549" s="755" t="n"/>
      <c r="AV549" s="755" t="n"/>
      <c r="AW549" s="740" t="inlineStr">
        <is>
          <t>trade</t>
        </is>
      </c>
      <c r="AX549" s="756" t="inlineStr">
        <is>
          <t>sig:8cc355b7dafea8d097e77f32</t>
        </is>
      </c>
    </row>
    <row r="550" ht="15" customHeight="1">
      <c r="A550" s="737" t="inlineStr">
        <is>
          <t>F1108</t>
        </is>
      </c>
      <c r="B550" s="738" t="n">
        <v>44244.94513888889</v>
      </c>
      <c r="C550" s="739" t="n">
        <v>44245.01805555556</v>
      </c>
      <c r="D550" s="740" t="inlineStr">
        <is>
          <t>PEPPERSTONE LIVE</t>
        </is>
      </c>
      <c r="E550" s="740" t="inlineStr">
        <is>
          <t>AUDCAD</t>
        </is>
      </c>
      <c r="F550" s="740" t="inlineStr">
        <is>
          <t>BUY</t>
        </is>
      </c>
      <c r="G550" s="775" t="n">
        <v>0.05</v>
      </c>
      <c r="H550" s="742" t="n">
        <v>0.9828</v>
      </c>
      <c r="I550" s="742" t="n">
        <v>0.98486</v>
      </c>
      <c r="J550" s="743" t="n">
        <v>0.9818</v>
      </c>
      <c r="K550" s="744" t="n">
        <v>0.001017501017501018</v>
      </c>
      <c r="L550" s="743" t="n">
        <v>0.9848</v>
      </c>
      <c r="M550" s="744" t="n">
        <v>0.002035002035002037</v>
      </c>
      <c r="N550" s="766" t="n"/>
      <c r="O550" s="767" t="n">
        <v>10.05</v>
      </c>
      <c r="P550" s="747" t="n">
        <v>0.02041479615673689</v>
      </c>
      <c r="Q550" s="748" t="n">
        <v>2.059999999999949</v>
      </c>
      <c r="R550" s="769" t="n">
        <v>502.34</v>
      </c>
      <c r="S550" s="740" t="inlineStr">
        <is>
          <t>1H 45M 0S</t>
        </is>
      </c>
      <c r="T550" s="750" t="n"/>
      <c r="U550" s="751" t="n"/>
      <c r="V550" s="752" t="n"/>
      <c r="W550" s="753" t="n"/>
      <c r="X550" s="754" t="n"/>
      <c r="Y550" s="750" t="n"/>
      <c r="Z550" s="751" t="n"/>
      <c r="AA550" s="752" t="n"/>
      <c r="AB550" s="753" t="n"/>
      <c r="AC550" s="754" t="n"/>
      <c r="AD550" s="740" t="inlineStr">
        <is>
          <t>No</t>
        </is>
      </c>
      <c r="AE550" s="755" t="n"/>
      <c r="AF550" s="755" t="n"/>
      <c r="AG550" s="755" t="n"/>
      <c r="AH550" s="755" t="n"/>
      <c r="AI550" s="755" t="n"/>
      <c r="AJ550" s="755" t="n"/>
      <c r="AK550" s="755" t="n"/>
      <c r="AL550" s="755" t="n"/>
      <c r="AM550" s="755" t="n"/>
      <c r="AN550" s="755" t="n"/>
      <c r="AO550" s="755" t="n"/>
      <c r="AP550" s="740" t="inlineStr">
        <is>
          <t>Pullback</t>
        </is>
      </c>
      <c r="AQ550" s="755" t="n"/>
      <c r="AR550" s="740" t="inlineStr">
        <is>
          <t>No</t>
        </is>
      </c>
      <c r="AS550" s="755" t="n"/>
      <c r="AT550" s="755" t="n"/>
      <c r="AU550" s="755" t="n"/>
      <c r="AV550" s="755" t="n"/>
      <c r="AW550" s="740" t="inlineStr">
        <is>
          <t>trade</t>
        </is>
      </c>
      <c r="AX550" s="756" t="inlineStr">
        <is>
          <t>sig:a7fe4f3e032870bb6221579c</t>
        </is>
      </c>
    </row>
    <row r="551" ht="15" customHeight="1">
      <c r="A551" s="716" t="inlineStr">
        <is>
          <t>F1107</t>
        </is>
      </c>
      <c r="B551" s="717" t="n">
        <v>44244.73819444444</v>
      </c>
      <c r="C551" s="718" t="n">
        <v>44244.75833333333</v>
      </c>
      <c r="D551" s="719" t="inlineStr">
        <is>
          <t>PEPPERSTONE LIVE</t>
        </is>
      </c>
      <c r="E551" s="719" t="inlineStr">
        <is>
          <t>CHFJPY</t>
        </is>
      </c>
      <c r="F551" s="719" t="inlineStr">
        <is>
          <t>BUY</t>
        </is>
      </c>
      <c r="G551" s="735" t="n">
        <v>0.04</v>
      </c>
      <c r="H551" s="720" t="n">
        <v>118.48</v>
      </c>
      <c r="I551" s="720" t="n">
        <v>118.387</v>
      </c>
      <c r="J551" s="721" t="n">
        <v>118.38</v>
      </c>
      <c r="K551" s="760" t="n">
        <v>0.0008440243079001395</v>
      </c>
      <c r="L551" s="721" t="n">
        <v>118.78</v>
      </c>
      <c r="M551" s="722" t="n">
        <v>0.002532072923700179</v>
      </c>
      <c r="N551" s="761" t="n"/>
      <c r="O551" s="762" t="n">
        <v>-4.87</v>
      </c>
      <c r="P551" s="725" t="n">
        <v>-0.00979563923083112</v>
      </c>
      <c r="Q551" s="726" t="n">
        <v>-0.929999999999956</v>
      </c>
      <c r="R551" s="764" t="n">
        <v>492.29</v>
      </c>
      <c r="S551" s="719" t="inlineStr">
        <is>
          <t>29M 0S</t>
        </is>
      </c>
      <c r="T551" s="728" t="n"/>
      <c r="U551" s="729" t="n"/>
      <c r="V551" s="807" t="n"/>
      <c r="W551" s="725" t="n"/>
      <c r="X551" s="722" t="n"/>
      <c r="Y551" s="728" t="n"/>
      <c r="Z551" s="729" t="n"/>
      <c r="AA551" s="730" t="n"/>
      <c r="AB551" s="731" t="n"/>
      <c r="AC551" s="732" t="n"/>
      <c r="AD551" s="719" t="inlineStr">
        <is>
          <t>No</t>
        </is>
      </c>
      <c r="AE551" s="733" t="n"/>
      <c r="AF551" s="733" t="n"/>
      <c r="AG551" s="733" t="n"/>
      <c r="AH551" s="733" t="n"/>
      <c r="AI551" s="719" t="n"/>
      <c r="AJ551" s="733" t="n"/>
      <c r="AK551" s="733" t="n"/>
      <c r="AL551" s="733" t="n"/>
      <c r="AM551" s="733" t="n"/>
      <c r="AN551" s="733" t="n"/>
      <c r="AO551" s="733" t="n"/>
      <c r="AP551" s="719" t="inlineStr">
        <is>
          <t>Pullback</t>
        </is>
      </c>
      <c r="AQ551" s="719" t="n"/>
      <c r="AR551" s="719" t="inlineStr">
        <is>
          <t>No</t>
        </is>
      </c>
      <c r="AS551" s="733" t="n"/>
      <c r="AT551" s="733" t="n"/>
      <c r="AU551" s="733" t="n"/>
      <c r="AV551" s="733" t="n"/>
      <c r="AW551" s="719" t="inlineStr">
        <is>
          <t>trade</t>
        </is>
      </c>
      <c r="AX551" s="734" t="inlineStr">
        <is>
          <t>sig:23ba2dce475fee36371b2705</t>
        </is>
      </c>
    </row>
    <row r="552" ht="15" customHeight="1">
      <c r="A552" s="716" t="inlineStr">
        <is>
          <t>F1106</t>
        </is>
      </c>
      <c r="B552" s="717" t="n">
        <v>44243.72083333333</v>
      </c>
      <c r="C552" s="718" t="n">
        <v>44243.72084490741</v>
      </c>
      <c r="D552" s="719" t="inlineStr">
        <is>
          <t>PEPPERSTONE LIVE</t>
        </is>
      </c>
      <c r="E552" s="719" t="inlineStr">
        <is>
          <t>CADJPY</t>
        </is>
      </c>
      <c r="F552" s="719" t="inlineStr">
        <is>
          <t>BUY</t>
        </is>
      </c>
      <c r="G552" s="735" t="n">
        <v>0.01</v>
      </c>
      <c r="H552" s="720" t="n">
        <v>83.554</v>
      </c>
      <c r="I552" s="720" t="n">
        <v>83.53700000000001</v>
      </c>
      <c r="J552" s="721" t="n">
        <v>83.31399999999999</v>
      </c>
      <c r="K552" s="722" t="n">
        <v>0.002872393900950392</v>
      </c>
      <c r="L552" s="721" t="n">
        <v>84.03400000000001</v>
      </c>
      <c r="M552" s="722" t="n">
        <v>0.005744787801900615</v>
      </c>
      <c r="N552" s="788" t="n"/>
      <c r="O552" s="762" t="n">
        <v>-0.21</v>
      </c>
      <c r="P552" s="763" t="n">
        <v>-0.0004222208818384703</v>
      </c>
      <c r="Q552" s="781" t="n">
        <v>-0.0708333333333136</v>
      </c>
      <c r="R552" s="764" t="n">
        <v>497.16</v>
      </c>
      <c r="S552" s="719" t="inlineStr">
        <is>
          <t>1S</t>
        </is>
      </c>
      <c r="T552" s="728" t="n"/>
      <c r="U552" s="729" t="n"/>
      <c r="V552" s="730" t="n"/>
      <c r="W552" s="731" t="n"/>
      <c r="X552" s="732" t="n"/>
      <c r="Y552" s="728" t="n"/>
      <c r="Z552" s="729" t="n"/>
      <c r="AA552" s="730" t="n"/>
      <c r="AB552" s="731" t="n"/>
      <c r="AC552" s="732" t="n"/>
      <c r="AD552" s="719" t="inlineStr">
        <is>
          <t>No</t>
        </is>
      </c>
      <c r="AE552" s="733" t="n"/>
      <c r="AF552" s="733" t="n"/>
      <c r="AG552" s="733" t="n"/>
      <c r="AH552" s="733" t="n"/>
      <c r="AI552" s="733" t="n"/>
      <c r="AJ552" s="733" t="n"/>
      <c r="AK552" s="733" t="n"/>
      <c r="AL552" s="733" t="n"/>
      <c r="AM552" s="733" t="n"/>
      <c r="AN552" s="733" t="n"/>
      <c r="AO552" s="733" t="n"/>
      <c r="AP552" s="719" t="inlineStr">
        <is>
          <t>Pullback</t>
        </is>
      </c>
      <c r="AQ552" s="733" t="n"/>
      <c r="AR552" s="719" t="inlineStr">
        <is>
          <t>No</t>
        </is>
      </c>
      <c r="AS552" s="733" t="n"/>
      <c r="AT552" s="733" t="n"/>
      <c r="AU552" s="733" t="n"/>
      <c r="AV552" s="733" t="n"/>
      <c r="AW552" s="719" t="inlineStr">
        <is>
          <t>trade</t>
        </is>
      </c>
      <c r="AX552" s="734" t="inlineStr">
        <is>
          <t>sig:23c2d8f27d109f95b4721e8a</t>
        </is>
      </c>
    </row>
    <row r="553" ht="15" customHeight="1">
      <c r="A553" s="716" t="inlineStr">
        <is>
          <t>C148</t>
        </is>
      </c>
      <c r="B553" s="717" t="n">
        <v>44240.74513888889</v>
      </c>
      <c r="C553" s="718" t="n">
        <v>44240.75277777778</v>
      </c>
      <c r="D553" s="719" t="inlineStr">
        <is>
          <t>BYBIT</t>
        </is>
      </c>
      <c r="E553" s="719" t="inlineStr">
        <is>
          <t>BTCUSDT</t>
        </is>
      </c>
      <c r="F553" s="719" t="inlineStr">
        <is>
          <t>BUY</t>
        </is>
      </c>
      <c r="G553" s="735" t="n">
        <v>0.01</v>
      </c>
      <c r="H553" s="720" t="n">
        <v>47153.5</v>
      </c>
      <c r="I553" s="720" t="n">
        <v>46755.5</v>
      </c>
      <c r="J553" s="721" t="n">
        <v>46756</v>
      </c>
      <c r="K553" s="722" t="n">
        <v>0.008429915064629348</v>
      </c>
      <c r="L553" s="721" t="n">
        <v>47961</v>
      </c>
      <c r="M553" s="722" t="n">
        <v>0.01712492179795773</v>
      </c>
      <c r="N553" s="758" t="n">
        <v>0.5255570000000001</v>
      </c>
      <c r="O553" s="724" t="n">
        <v>-4.10842749</v>
      </c>
      <c r="P553" s="725" t="n">
        <v>-0.01172127432538119</v>
      </c>
      <c r="Q553" s="726" t="n">
        <v>-1.00125786163522</v>
      </c>
      <c r="R553" s="727" t="n">
        <v>346.40188188</v>
      </c>
      <c r="S553" s="719" t="inlineStr">
        <is>
          <t>11M 0S</t>
        </is>
      </c>
      <c r="T553" s="728" t="n"/>
      <c r="U553" s="729" t="n"/>
      <c r="V553" s="807" t="n">
        <v>47698.5</v>
      </c>
      <c r="W553" s="725" t="n">
        <v>0.01155799675527797</v>
      </c>
      <c r="X553" s="722" t="n">
        <v>0.005473196972540189</v>
      </c>
      <c r="Y553" s="728" t="n"/>
      <c r="Z553" s="729" t="n"/>
      <c r="AA553" s="730" t="n"/>
      <c r="AB553" s="731" t="n"/>
      <c r="AC553" s="732" t="n"/>
      <c r="AD553" s="719" t="inlineStr">
        <is>
          <t>No</t>
        </is>
      </c>
      <c r="AE553" s="733" t="n"/>
      <c r="AF553" s="733" t="n"/>
      <c r="AG553" s="733" t="n"/>
      <c r="AH553" s="733" t="n"/>
      <c r="AI553" s="719" t="inlineStr">
        <is>
          <t>Limit</t>
        </is>
      </c>
      <c r="AJ553" s="733" t="n"/>
      <c r="AK553" s="733" t="n"/>
      <c r="AL553" s="733" t="n"/>
      <c r="AM553" s="733" t="n"/>
      <c r="AN553" s="733" t="n"/>
      <c r="AO553" s="733" t="n"/>
      <c r="AP553" s="719" t="inlineStr">
        <is>
          <t>Pullback</t>
        </is>
      </c>
      <c r="AQ553" s="719" t="inlineStr">
        <is>
          <t>15MIN</t>
        </is>
      </c>
      <c r="AR553" s="719" t="inlineStr">
        <is>
          <t>No</t>
        </is>
      </c>
      <c r="AS553" s="733" t="n"/>
      <c r="AT553" s="733" t="n"/>
      <c r="AU553" s="733" t="n"/>
      <c r="AV553" s="733" t="n"/>
      <c r="AW553" s="719" t="inlineStr">
        <is>
          <t>trade</t>
        </is>
      </c>
      <c r="AX553" s="734" t="inlineStr">
        <is>
          <t>sig:14a1e853f9f51e3ca4cf83d1</t>
        </is>
      </c>
    </row>
    <row r="554" ht="15" customHeight="1">
      <c r="A554" s="737" t="inlineStr">
        <is>
          <t>C147</t>
        </is>
      </c>
      <c r="B554" s="738" t="n">
        <v>44236.95138888889</v>
      </c>
      <c r="C554" s="739" t="n">
        <v>44237.11944444444</v>
      </c>
      <c r="D554" s="740" t="inlineStr">
        <is>
          <t>BYBIT</t>
        </is>
      </c>
      <c r="E554" s="740" t="inlineStr">
        <is>
          <t>LINKUSDT</t>
        </is>
      </c>
      <c r="F554" s="740" t="inlineStr">
        <is>
          <t>BUY</t>
        </is>
      </c>
      <c r="G554" s="742" t="n">
        <v>10.1</v>
      </c>
      <c r="H554" s="742" t="n">
        <v>25.112</v>
      </c>
      <c r="I554" s="742" t="n">
        <v>25.797</v>
      </c>
      <c r="J554" s="743" t="n">
        <v>24.771</v>
      </c>
      <c r="K554" s="744" t="n">
        <v>0.01357916533927993</v>
      </c>
      <c r="L554" s="743" t="n">
        <v>25.798</v>
      </c>
      <c r="M554" s="744" t="n">
        <v>0.02731761707550175</v>
      </c>
      <c r="N554" s="745" t="n">
        <v>0.720067</v>
      </c>
      <c r="O554" s="746" t="n">
        <v>6.19756396</v>
      </c>
      <c r="P554" s="747" t="n">
        <v>0.01799980988975612</v>
      </c>
      <c r="Q554" s="748" t="n">
        <v>2.008797653958966</v>
      </c>
      <c r="R554" s="749" t="n">
        <v>350.51030937</v>
      </c>
      <c r="S554" s="740" t="inlineStr">
        <is>
          <t>4H 2M 0S</t>
        </is>
      </c>
      <c r="T554" s="738" t="n">
        <v>44236.69097222222</v>
      </c>
      <c r="U554" s="809" t="inlineStr">
        <is>
          <t>3H 45M 0S</t>
        </is>
      </c>
      <c r="V554" s="810" t="n">
        <v>25.606</v>
      </c>
      <c r="W554" s="747" t="n">
        <v>0.01967187002230023</v>
      </c>
      <c r="X554" s="744" t="n">
        <v>0.007442437398247796</v>
      </c>
      <c r="Y554" s="750" t="n"/>
      <c r="Z554" s="751" t="n"/>
      <c r="AA554" s="752" t="n"/>
      <c r="AB554" s="753" t="n"/>
      <c r="AC554" s="754" t="n"/>
      <c r="AD554" s="740" t="inlineStr">
        <is>
          <t>No</t>
        </is>
      </c>
      <c r="AE554" s="755" t="n"/>
      <c r="AF554" s="755" t="n"/>
      <c r="AG554" s="755" t="n"/>
      <c r="AH554" s="755" t="n"/>
      <c r="AI554" s="740" t="inlineStr">
        <is>
          <t>Limit</t>
        </is>
      </c>
      <c r="AJ554" s="755" t="n"/>
      <c r="AK554" s="755" t="n"/>
      <c r="AL554" s="755" t="n"/>
      <c r="AM554" s="755" t="n"/>
      <c r="AN554" s="755" t="n"/>
      <c r="AO554" s="755" t="n"/>
      <c r="AP554" s="740" t="inlineStr">
        <is>
          <t>Pullback</t>
        </is>
      </c>
      <c r="AQ554" s="740" t="inlineStr">
        <is>
          <t>15MIN</t>
        </is>
      </c>
      <c r="AR554" s="740" t="inlineStr">
        <is>
          <t>No</t>
        </is>
      </c>
      <c r="AS554" s="755" t="n"/>
      <c r="AT554" s="755" t="n"/>
      <c r="AU554" s="755" t="n"/>
      <c r="AV554" s="755" t="n"/>
      <c r="AW554" s="740" t="inlineStr">
        <is>
          <t>trade</t>
        </is>
      </c>
      <c r="AX554" s="756" t="inlineStr">
        <is>
          <t>sig:f3318a1ec96653d16b82bca6</t>
        </is>
      </c>
    </row>
    <row r="555" ht="15" customHeight="1">
      <c r="A555" s="737" t="inlineStr">
        <is>
          <t>F1105</t>
        </is>
      </c>
      <c r="B555" s="738" t="n">
        <v>44228.95902777778</v>
      </c>
      <c r="C555" s="739" t="n">
        <v>44236.50763888889</v>
      </c>
      <c r="D555" s="740" t="inlineStr">
        <is>
          <t>PEPPERSTONE LIVE</t>
        </is>
      </c>
      <c r="E555" s="740" t="inlineStr">
        <is>
          <t>NZDUSD</t>
        </is>
      </c>
      <c r="F555" s="740" t="inlineStr">
        <is>
          <t>BUY</t>
        </is>
      </c>
      <c r="G555" s="775" t="n">
        <v>0.01</v>
      </c>
      <c r="H555" s="742" t="n">
        <v>0.7167</v>
      </c>
      <c r="I555" s="742" t="n">
        <v>0.72398</v>
      </c>
      <c r="J555" s="743" t="n">
        <v>0.7131</v>
      </c>
      <c r="K555" s="744" t="n">
        <v>0.005023022185014716</v>
      </c>
      <c r="L555" s="743" t="n">
        <v>0.7239</v>
      </c>
      <c r="M555" s="744" t="n">
        <v>0.01004604437002928</v>
      </c>
      <c r="N555" s="766" t="n">
        <v>0.16</v>
      </c>
      <c r="O555" s="767" t="n">
        <v>9.199999999999999</v>
      </c>
      <c r="P555" s="747" t="n">
        <v>0.01884589384845443</v>
      </c>
      <c r="Q555" s="748" t="n">
        <v>2.022222222222183</v>
      </c>
      <c r="R555" s="769" t="n">
        <v>497.3699999999999</v>
      </c>
      <c r="S555" s="740" t="inlineStr">
        <is>
          <t>7D 13H 10M 0S</t>
        </is>
      </c>
      <c r="T555" s="750" t="n"/>
      <c r="U555" s="751" t="n"/>
      <c r="V555" s="810" t="n"/>
      <c r="W555" s="747" t="n"/>
      <c r="X555" s="744" t="n"/>
      <c r="Y555" s="750" t="n"/>
      <c r="Z555" s="751" t="n"/>
      <c r="AA555" s="752" t="n"/>
      <c r="AB555" s="753" t="n"/>
      <c r="AC555" s="754" t="n"/>
      <c r="AD555" s="740" t="inlineStr">
        <is>
          <t>No</t>
        </is>
      </c>
      <c r="AE555" s="755" t="n"/>
      <c r="AF555" s="755" t="n"/>
      <c r="AG555" s="755" t="n"/>
      <c r="AH555" s="755" t="n"/>
      <c r="AI555" s="740" t="n"/>
      <c r="AJ555" s="755" t="n"/>
      <c r="AK555" s="755" t="n"/>
      <c r="AL555" s="755" t="n"/>
      <c r="AM555" s="755" t="n"/>
      <c r="AN555" s="755" t="n"/>
      <c r="AO555" s="755" t="n"/>
      <c r="AP555" s="740" t="inlineStr">
        <is>
          <t>Pullback</t>
        </is>
      </c>
      <c r="AQ555" s="740" t="n"/>
      <c r="AR555" s="740" t="inlineStr">
        <is>
          <t>No</t>
        </is>
      </c>
      <c r="AS555" s="755" t="n"/>
      <c r="AT555" s="755" t="n"/>
      <c r="AU555" s="755" t="n"/>
      <c r="AV555" s="755" t="n"/>
      <c r="AW555" s="740" t="inlineStr">
        <is>
          <t>trade</t>
        </is>
      </c>
      <c r="AX555" s="756" t="inlineStr">
        <is>
          <t>sig:030f51dd793b0e7fc2e3888b</t>
        </is>
      </c>
    </row>
    <row r="556" ht="15" customHeight="1">
      <c r="A556" s="716" t="inlineStr">
        <is>
          <t>C146</t>
        </is>
      </c>
      <c r="B556" s="717" t="n">
        <v>44235.00277777778</v>
      </c>
      <c r="C556" s="718" t="n">
        <v>44235.05555555555</v>
      </c>
      <c r="D556" s="719" t="inlineStr">
        <is>
          <t>BYBIT</t>
        </is>
      </c>
      <c r="E556" s="719" t="inlineStr">
        <is>
          <t>ETHUSDT</t>
        </is>
      </c>
      <c r="F556" s="719" t="inlineStr">
        <is>
          <t>BUY</t>
        </is>
      </c>
      <c r="G556" s="735" t="n">
        <v>0.07000000000000001</v>
      </c>
      <c r="H556" s="720" t="n">
        <v>1580.85</v>
      </c>
      <c r="I556" s="720" t="n">
        <v>1528.75</v>
      </c>
      <c r="J556" s="721" t="n">
        <v>1529.3</v>
      </c>
      <c r="K556" s="722" t="n">
        <v>0.03260903944080713</v>
      </c>
      <c r="L556" s="721" t="n">
        <v>1710.25</v>
      </c>
      <c r="M556" s="722" t="n">
        <v>0.08185469842173521</v>
      </c>
      <c r="N556" s="723" t="n">
        <v>0.02766</v>
      </c>
      <c r="O556" s="724" t="n">
        <v>-3.62020216</v>
      </c>
      <c r="P556" s="725" t="n">
        <v>-0.01040488457699643</v>
      </c>
      <c r="Q556" s="726" t="n">
        <v>-1.010669253152279</v>
      </c>
      <c r="R556" s="727" t="n">
        <v>344.3127454099999</v>
      </c>
      <c r="S556" s="719" t="inlineStr">
        <is>
          <t>1H 16M 0S</t>
        </is>
      </c>
      <c r="T556" s="728" t="n"/>
      <c r="U556" s="729" t="n"/>
      <c r="V556" s="807" t="n">
        <v>1665.3</v>
      </c>
      <c r="W556" s="725" t="n">
        <v>0.05342062814308761</v>
      </c>
      <c r="X556" s="722" t="n">
        <v>0.02628270720654878</v>
      </c>
      <c r="Y556" s="728" t="n"/>
      <c r="Z556" s="729" t="n"/>
      <c r="AA556" s="730" t="n"/>
      <c r="AB556" s="731" t="n"/>
      <c r="AC556" s="732" t="n"/>
      <c r="AD556" s="719" t="inlineStr">
        <is>
          <t>No</t>
        </is>
      </c>
      <c r="AE556" s="733" t="n"/>
      <c r="AF556" s="733" t="n"/>
      <c r="AG556" s="733" t="n"/>
      <c r="AH556" s="733" t="n"/>
      <c r="AI556" s="719" t="inlineStr">
        <is>
          <t>Limit</t>
        </is>
      </c>
      <c r="AJ556" s="733" t="n"/>
      <c r="AK556" s="733" t="n"/>
      <c r="AL556" s="733" t="n"/>
      <c r="AM556" s="733" t="n"/>
      <c r="AN556" s="733" t="n"/>
      <c r="AO556" s="733" t="n"/>
      <c r="AP556" s="719" t="inlineStr">
        <is>
          <t>Pullback</t>
        </is>
      </c>
      <c r="AQ556" s="719" t="inlineStr">
        <is>
          <t>1H</t>
        </is>
      </c>
      <c r="AR556" s="719" t="inlineStr">
        <is>
          <t>No</t>
        </is>
      </c>
      <c r="AS556" s="733" t="n"/>
      <c r="AT556" s="733" t="n"/>
      <c r="AU556" s="733" t="n"/>
      <c r="AV556" s="733" t="n"/>
      <c r="AW556" s="719" t="inlineStr">
        <is>
          <t>trade</t>
        </is>
      </c>
      <c r="AX556" s="734" t="inlineStr">
        <is>
          <t>sig:a87ee3ed77957026db08dc57</t>
        </is>
      </c>
    </row>
    <row r="557" ht="15" customHeight="1">
      <c r="A557" s="716" t="inlineStr">
        <is>
          <t>C145</t>
        </is>
      </c>
      <c r="B557" s="717" t="n">
        <v>44233.10069444445</v>
      </c>
      <c r="C557" s="718" t="n">
        <v>44233.10972222222</v>
      </c>
      <c r="D557" s="719" t="inlineStr">
        <is>
          <t>BYBIT</t>
        </is>
      </c>
      <c r="E557" s="719" t="inlineStr">
        <is>
          <t>LINKUSDT</t>
        </is>
      </c>
      <c r="F557" s="719" t="inlineStr">
        <is>
          <t>BUY</t>
        </is>
      </c>
      <c r="G557" s="720" t="n">
        <v>10.4</v>
      </c>
      <c r="H557" s="720" t="n">
        <v>26.384</v>
      </c>
      <c r="I557" s="720" t="n">
        <v>26.022</v>
      </c>
      <c r="J557" s="721" t="n">
        <v>26.046</v>
      </c>
      <c r="K557" s="722" t="n">
        <v>0.01281079442086116</v>
      </c>
      <c r="L557" s="721" t="n">
        <v>27.068</v>
      </c>
      <c r="M557" s="722" t="n">
        <v>0.0259248029108551</v>
      </c>
      <c r="N557" s="723" t="n">
        <v>0.06859999999999999</v>
      </c>
      <c r="O557" s="724" t="n">
        <v>-3.69706785</v>
      </c>
      <c r="P557" s="725" t="n">
        <v>-0.01051408494119617</v>
      </c>
      <c r="Q557" s="726" t="n">
        <v>-1.071005917159766</v>
      </c>
      <c r="R557" s="727" t="n">
        <v>347.93294757</v>
      </c>
      <c r="S557" s="719" t="inlineStr">
        <is>
          <t>13M 0S</t>
        </is>
      </c>
      <c r="T557" s="728" t="n"/>
      <c r="U557" s="729" t="n"/>
      <c r="V557" s="807" t="n">
        <v>26.938</v>
      </c>
      <c r="W557" s="725" t="n">
        <v>0.02099757428744688</v>
      </c>
      <c r="X557" s="722" t="n">
        <v>0.004802719077878032</v>
      </c>
      <c r="Y557" s="728" t="n"/>
      <c r="Z557" s="729" t="n"/>
      <c r="AA557" s="730" t="n"/>
      <c r="AB557" s="731" t="n"/>
      <c r="AC557" s="732" t="n"/>
      <c r="AD557" s="719" t="inlineStr">
        <is>
          <t>No</t>
        </is>
      </c>
      <c r="AE557" s="733" t="n"/>
      <c r="AF557" s="733" t="n"/>
      <c r="AG557" s="733" t="n"/>
      <c r="AH557" s="733" t="n"/>
      <c r="AI557" s="719" t="inlineStr">
        <is>
          <t>Limit</t>
        </is>
      </c>
      <c r="AJ557" s="733" t="n"/>
      <c r="AK557" s="733" t="n"/>
      <c r="AL557" s="733" t="n"/>
      <c r="AM557" s="733" t="n"/>
      <c r="AN557" s="733" t="n"/>
      <c r="AO557" s="733" t="n"/>
      <c r="AP557" s="719" t="inlineStr">
        <is>
          <t>Pullback</t>
        </is>
      </c>
      <c r="AQ557" s="719" t="inlineStr">
        <is>
          <t>5MIN</t>
        </is>
      </c>
      <c r="AR557" s="719" t="inlineStr">
        <is>
          <t>No</t>
        </is>
      </c>
      <c r="AS557" s="733" t="n"/>
      <c r="AT557" s="733" t="n"/>
      <c r="AU557" s="733" t="n"/>
      <c r="AV557" s="733" t="n"/>
      <c r="AW557" s="719" t="inlineStr">
        <is>
          <t>trade</t>
        </is>
      </c>
      <c r="AX557" s="734" t="inlineStr">
        <is>
          <t>sig:4c58fa9f853d889bc173c607</t>
        </is>
      </c>
    </row>
    <row r="558" ht="15" customHeight="1">
      <c r="A558" s="716" t="inlineStr">
        <is>
          <t>F1103</t>
        </is>
      </c>
      <c r="B558" s="717" t="n">
        <v>44210.95763888889</v>
      </c>
      <c r="C558" s="718" t="n">
        <v>44228.78958333333</v>
      </c>
      <c r="D558" s="719" t="inlineStr">
        <is>
          <t>PEPPERSTONE LIVE</t>
        </is>
      </c>
      <c r="E558" s="719" t="inlineStr">
        <is>
          <t>USDCHF</t>
        </is>
      </c>
      <c r="F558" s="719" t="inlineStr">
        <is>
          <t>SELL</t>
        </is>
      </c>
      <c r="G558" s="735" t="n">
        <v>0.01</v>
      </c>
      <c r="H558" s="720" t="n">
        <v>0.8909</v>
      </c>
      <c r="I558" s="720" t="n">
        <v>0.89469</v>
      </c>
      <c r="J558" s="721" t="n">
        <v>0.8946</v>
      </c>
      <c r="K558" s="722" t="n">
        <v>0.004153103603097908</v>
      </c>
      <c r="L558" s="721" t="n">
        <v>0.8831</v>
      </c>
      <c r="M558" s="722" t="n">
        <v>0.008755191379503905</v>
      </c>
      <c r="N558" s="761" t="n">
        <v>0.97</v>
      </c>
      <c r="O558" s="762" t="n">
        <v>-6.48</v>
      </c>
      <c r="P558" s="725" t="n">
        <v>-0.01310017183867381</v>
      </c>
      <c r="Q558" s="726" t="n">
        <v>-1.024324324324334</v>
      </c>
      <c r="R558" s="764" t="n">
        <v>488.17</v>
      </c>
      <c r="S558" s="719" t="inlineStr">
        <is>
          <t>17D 19H 58M 0S</t>
        </is>
      </c>
      <c r="T558" s="728" t="n"/>
      <c r="U558" s="729" t="n"/>
      <c r="V558" s="730" t="n"/>
      <c r="W558" s="731" t="n"/>
      <c r="X558" s="732" t="n"/>
      <c r="Y558" s="728" t="n"/>
      <c r="Z558" s="729" t="n"/>
      <c r="AA558" s="730" t="n"/>
      <c r="AB558" s="731" t="n"/>
      <c r="AC558" s="732" t="n"/>
      <c r="AD558" s="719" t="inlineStr">
        <is>
          <t>No</t>
        </is>
      </c>
      <c r="AE558" s="733" t="n"/>
      <c r="AF558" s="733" t="n"/>
      <c r="AG558" s="733" t="n"/>
      <c r="AH558" s="733" t="n"/>
      <c r="AI558" s="733" t="n"/>
      <c r="AJ558" s="733" t="n"/>
      <c r="AK558" s="733" t="n"/>
      <c r="AL558" s="733" t="n"/>
      <c r="AM558" s="733" t="n"/>
      <c r="AN558" s="733" t="n"/>
      <c r="AO558" s="733" t="n"/>
      <c r="AP558" s="719" t="inlineStr">
        <is>
          <t>Pullback</t>
        </is>
      </c>
      <c r="AQ558" s="733" t="n"/>
      <c r="AR558" s="719" t="inlineStr">
        <is>
          <t>No</t>
        </is>
      </c>
      <c r="AS558" s="733" t="n"/>
      <c r="AT558" s="733" t="n"/>
      <c r="AU558" s="733" t="n"/>
      <c r="AV558" s="733" t="n"/>
      <c r="AW558" s="719" t="inlineStr">
        <is>
          <t>trade</t>
        </is>
      </c>
      <c r="AX558" s="734" t="inlineStr">
        <is>
          <t>sig:dc366ece6feb3b99e5aae43f</t>
        </is>
      </c>
    </row>
    <row r="559" ht="15" customHeight="1">
      <c r="A559" s="737" t="inlineStr">
        <is>
          <t>C144</t>
        </is>
      </c>
      <c r="B559" s="738" t="n">
        <v>44223.78888888889</v>
      </c>
      <c r="C559" s="739" t="n">
        <v>44225.89236111111</v>
      </c>
      <c r="D559" s="740" t="inlineStr">
        <is>
          <t>BYBIT</t>
        </is>
      </c>
      <c r="E559" s="740" t="inlineStr">
        <is>
          <t>ETHUSDT</t>
        </is>
      </c>
      <c r="F559" s="740" t="inlineStr">
        <is>
          <t>BUY</t>
        </is>
      </c>
      <c r="G559" s="775" t="n">
        <v>0.05</v>
      </c>
      <c r="H559" s="742" t="n">
        <v>1260.2</v>
      </c>
      <c r="I559" s="742" t="n">
        <v>1415.75</v>
      </c>
      <c r="J559" s="743" t="n">
        <v>1182.5</v>
      </c>
      <c r="K559" s="744" t="n">
        <v>0.06165687986033967</v>
      </c>
      <c r="L559" s="743" t="n">
        <v>1415.9</v>
      </c>
      <c r="M559" s="744" t="n">
        <v>0.1235518171718775</v>
      </c>
      <c r="N559" s="802" t="n">
        <v>0.0854608</v>
      </c>
      <c r="O559" s="746" t="n">
        <v>7.69117255</v>
      </c>
      <c r="P559" s="747" t="n">
        <v>0.02236203531366495</v>
      </c>
      <c r="Q559" s="748" t="n">
        <v>2.0019305019305</v>
      </c>
      <c r="R559" s="749" t="n">
        <v>351.6300154199999</v>
      </c>
      <c r="S559" s="740" t="inlineStr">
        <is>
          <t>2D 2H 29M 0S</t>
        </is>
      </c>
      <c r="T559" s="750" t="n"/>
      <c r="U559" s="751" t="n"/>
      <c r="V559" s="810" t="n">
        <v>1368.05</v>
      </c>
      <c r="W559" s="747" t="n">
        <v>0.08558165370576092</v>
      </c>
      <c r="X559" s="744" t="n">
        <v>0.03379475951691513</v>
      </c>
      <c r="Y559" s="750" t="n"/>
      <c r="Z559" s="751" t="n"/>
      <c r="AA559" s="752" t="n"/>
      <c r="AB559" s="753" t="n"/>
      <c r="AC559" s="754" t="n"/>
      <c r="AD559" s="740" t="inlineStr">
        <is>
          <t>No</t>
        </is>
      </c>
      <c r="AE559" s="755" t="n"/>
      <c r="AF559" s="755" t="n"/>
      <c r="AG559" s="755" t="n"/>
      <c r="AH559" s="755" t="n"/>
      <c r="AI559" s="740" t="inlineStr">
        <is>
          <t>Limit</t>
        </is>
      </c>
      <c r="AJ559" s="755" t="n"/>
      <c r="AK559" s="755" t="n"/>
      <c r="AL559" s="755" t="n"/>
      <c r="AM559" s="755" t="n"/>
      <c r="AN559" s="755" t="n"/>
      <c r="AO559" s="755" t="n"/>
      <c r="AP559" s="740" t="inlineStr">
        <is>
          <t>Pullback</t>
        </is>
      </c>
      <c r="AQ559" s="740" t="inlineStr">
        <is>
          <t>4H</t>
        </is>
      </c>
      <c r="AR559" s="740" t="inlineStr">
        <is>
          <t>No</t>
        </is>
      </c>
      <c r="AS559" s="755" t="n"/>
      <c r="AT559" s="755" t="n"/>
      <c r="AU559" s="755" t="n"/>
      <c r="AV559" s="755" t="n"/>
      <c r="AW559" s="740" t="inlineStr">
        <is>
          <t>trade</t>
        </is>
      </c>
      <c r="AX559" s="756" t="inlineStr">
        <is>
          <t>sig:186f4c6af9678cef2acd640e</t>
        </is>
      </c>
    </row>
    <row r="560" ht="15" customHeight="1">
      <c r="A560" s="716" t="inlineStr">
        <is>
          <t>F1104</t>
        </is>
      </c>
      <c r="B560" s="717" t="n">
        <v>44224.76666666667</v>
      </c>
      <c r="C560" s="718" t="n">
        <v>44224.81458333333</v>
      </c>
      <c r="D560" s="719" t="inlineStr">
        <is>
          <t>PEPPERSTONE LIVE</t>
        </is>
      </c>
      <c r="E560" s="719" t="inlineStr">
        <is>
          <t>EURNZD</t>
        </is>
      </c>
      <c r="F560" s="719" t="inlineStr">
        <is>
          <t>SELL</t>
        </is>
      </c>
      <c r="G560" s="735" t="n">
        <v>0.01</v>
      </c>
      <c r="H560" s="720" t="n">
        <v>1.6967</v>
      </c>
      <c r="I560" s="720" t="n">
        <v>1.70294</v>
      </c>
      <c r="J560" s="721" t="n">
        <v>1.7029</v>
      </c>
      <c r="K560" s="722" t="n">
        <v>0.003654152177756812</v>
      </c>
      <c r="L560" s="721" t="n">
        <v>1.6843</v>
      </c>
      <c r="M560" s="722" t="n">
        <v>0.007308304355513755</v>
      </c>
      <c r="N560" s="788" t="n"/>
      <c r="O560" s="762" t="n">
        <v>-5.81</v>
      </c>
      <c r="P560" s="725" t="n">
        <v>-0.01160931942612796</v>
      </c>
      <c r="Q560" s="726" t="n">
        <v>-1.006451612903196</v>
      </c>
      <c r="R560" s="764" t="n">
        <v>494.65</v>
      </c>
      <c r="S560" s="719" t="inlineStr">
        <is>
          <t>1H 9M 0S</t>
        </is>
      </c>
      <c r="T560" s="728" t="n"/>
      <c r="U560" s="729" t="n"/>
      <c r="V560" s="730" t="n"/>
      <c r="W560" s="731" t="n"/>
      <c r="X560" s="732" t="n"/>
      <c r="Y560" s="728" t="n"/>
      <c r="Z560" s="729" t="n"/>
      <c r="AA560" s="730" t="n"/>
      <c r="AB560" s="731" t="n"/>
      <c r="AC560" s="732" t="n"/>
      <c r="AD560" s="719" t="inlineStr">
        <is>
          <t>No</t>
        </is>
      </c>
      <c r="AE560" s="733" t="n"/>
      <c r="AF560" s="733" t="n"/>
      <c r="AG560" s="733" t="n"/>
      <c r="AH560" s="733" t="n"/>
      <c r="AI560" s="733" t="n"/>
      <c r="AJ560" s="733" t="n"/>
      <c r="AK560" s="733" t="n"/>
      <c r="AL560" s="733" t="n"/>
      <c r="AM560" s="733" t="n"/>
      <c r="AN560" s="733" t="n"/>
      <c r="AO560" s="733" t="n"/>
      <c r="AP560" s="719" t="inlineStr">
        <is>
          <t>Pullback</t>
        </is>
      </c>
      <c r="AQ560" s="733" t="n"/>
      <c r="AR560" s="719" t="inlineStr">
        <is>
          <t>No</t>
        </is>
      </c>
      <c r="AS560" s="733" t="n"/>
      <c r="AT560" s="733" t="n"/>
      <c r="AU560" s="733" t="n"/>
      <c r="AV560" s="733" t="n"/>
      <c r="AW560" s="719" t="inlineStr">
        <is>
          <t>trade</t>
        </is>
      </c>
      <c r="AX560" s="734" t="inlineStr">
        <is>
          <t>sig:2a0ed98f13ab106537a0733a</t>
        </is>
      </c>
    </row>
    <row r="561" ht="15" customHeight="1">
      <c r="A561" s="716" t="inlineStr">
        <is>
          <t>C143</t>
        </is>
      </c>
      <c r="B561" s="717" t="n">
        <v>44222.12083333333</v>
      </c>
      <c r="C561" s="718" t="n">
        <v>44222.31666666667</v>
      </c>
      <c r="D561" s="719" t="inlineStr">
        <is>
          <t>BYBIT</t>
        </is>
      </c>
      <c r="E561" s="719" t="inlineStr">
        <is>
          <t>LINKUSDT</t>
        </is>
      </c>
      <c r="F561" s="719" t="inlineStr">
        <is>
          <t>BUY</t>
        </is>
      </c>
      <c r="G561" s="720" t="n">
        <v>3.8</v>
      </c>
      <c r="H561" s="720" t="n">
        <v>23.656</v>
      </c>
      <c r="I561" s="720" t="n">
        <v>22.737</v>
      </c>
      <c r="J561" s="721" t="n">
        <v>22.746</v>
      </c>
      <c r="K561" s="722" t="n">
        <v>0.03846804193439297</v>
      </c>
      <c r="L561" s="721" t="n">
        <v>25.465</v>
      </c>
      <c r="M561" s="722" t="n">
        <v>0.07647108555968893</v>
      </c>
      <c r="N561" s="723" t="n">
        <v>0.02247275</v>
      </c>
      <c r="O561" s="724" t="n">
        <v>-3.4705939</v>
      </c>
      <c r="P561" s="725" t="n">
        <v>-0.009989924085734271</v>
      </c>
      <c r="Q561" s="726" t="n">
        <v>-1.00989010989011</v>
      </c>
      <c r="R561" s="727" t="n">
        <v>343.93884287</v>
      </c>
      <c r="S561" s="719" t="inlineStr">
        <is>
          <t>4H 42M 0S</t>
        </is>
      </c>
      <c r="T561" s="728" t="n"/>
      <c r="U561" s="729" t="n"/>
      <c r="V561" s="807" t="n">
        <v>24.949</v>
      </c>
      <c r="W561" s="725" t="n">
        <v>0.05465843760568156</v>
      </c>
      <c r="X561" s="722" t="n">
        <v>0.02026310622422927</v>
      </c>
      <c r="Y561" s="728" t="n"/>
      <c r="Z561" s="729" t="n"/>
      <c r="AA561" s="730" t="n"/>
      <c r="AB561" s="731" t="n"/>
      <c r="AC561" s="732" t="n"/>
      <c r="AD561" s="719" t="inlineStr">
        <is>
          <t>No</t>
        </is>
      </c>
      <c r="AE561" s="733" t="n"/>
      <c r="AF561" s="733" t="n"/>
      <c r="AG561" s="733" t="n"/>
      <c r="AH561" s="733" t="n"/>
      <c r="AI561" s="719" t="inlineStr">
        <is>
          <t>Limit</t>
        </is>
      </c>
      <c r="AJ561" s="733" t="n"/>
      <c r="AK561" s="733" t="n"/>
      <c r="AL561" s="733" t="n"/>
      <c r="AM561" s="733" t="n"/>
      <c r="AN561" s="733" t="n"/>
      <c r="AO561" s="733" t="n"/>
      <c r="AP561" s="719" t="inlineStr">
        <is>
          <t>Pullback</t>
        </is>
      </c>
      <c r="AQ561" s="719" t="inlineStr">
        <is>
          <t>1H</t>
        </is>
      </c>
      <c r="AR561" s="719" t="inlineStr">
        <is>
          <t>No</t>
        </is>
      </c>
      <c r="AS561" s="733" t="n"/>
      <c r="AT561" s="733" t="n"/>
      <c r="AU561" s="733" t="n"/>
      <c r="AV561" s="733" t="n"/>
      <c r="AW561" s="719" t="inlineStr">
        <is>
          <t>trade</t>
        </is>
      </c>
      <c r="AX561" s="734" t="inlineStr">
        <is>
          <t>sig:5f582bbad745743bf3b3e0bd</t>
        </is>
      </c>
    </row>
    <row r="562" ht="15" customHeight="1">
      <c r="A562" s="716" t="inlineStr">
        <is>
          <t>C142</t>
        </is>
      </c>
      <c r="B562" s="717" t="n">
        <v>44217.8</v>
      </c>
      <c r="C562" s="718" t="n">
        <v>44217.92569444444</v>
      </c>
      <c r="D562" s="719" t="inlineStr">
        <is>
          <t>BYBIT</t>
        </is>
      </c>
      <c r="E562" s="719" t="inlineStr">
        <is>
          <t>ETHUSDT</t>
        </is>
      </c>
      <c r="F562" s="719" t="inlineStr">
        <is>
          <t>BUY</t>
        </is>
      </c>
      <c r="G562" s="735" t="n">
        <v>0.06</v>
      </c>
      <c r="H562" s="720" t="n">
        <v>1250.8</v>
      </c>
      <c r="I562" s="720" t="n">
        <v>1193.8</v>
      </c>
      <c r="J562" s="721" t="n">
        <v>1194</v>
      </c>
      <c r="K562" s="722" t="n">
        <v>0.04541093700031976</v>
      </c>
      <c r="L562" s="721" t="n">
        <v>1366</v>
      </c>
      <c r="M562" s="722" t="n">
        <v>0.0921010553245923</v>
      </c>
      <c r="N562" s="723" t="n">
        <v>0.018762</v>
      </c>
      <c r="O562" s="724" t="n">
        <v>-3.40210465</v>
      </c>
      <c r="P562" s="725" t="n">
        <v>-0.009697812780700161</v>
      </c>
      <c r="Q562" s="726" t="n">
        <v>-1.003521126760564</v>
      </c>
      <c r="R562" s="727" t="n">
        <v>347.40943677</v>
      </c>
      <c r="S562" s="719" t="inlineStr">
        <is>
          <t>3H 1M 0S</t>
        </is>
      </c>
      <c r="T562" s="728" t="n"/>
      <c r="U562" s="729" t="n"/>
      <c r="V562" s="807" t="n">
        <v>1331.9</v>
      </c>
      <c r="W562" s="725" t="n">
        <v>0.06483850335785109</v>
      </c>
      <c r="X562" s="722" t="n">
        <v>0.02496339677891648</v>
      </c>
      <c r="Y562" s="728" t="n"/>
      <c r="Z562" s="729" t="n"/>
      <c r="AA562" s="730" t="n"/>
      <c r="AB562" s="731" t="n"/>
      <c r="AC562" s="732" t="n"/>
      <c r="AD562" s="719" t="inlineStr">
        <is>
          <t>No</t>
        </is>
      </c>
      <c r="AE562" s="733" t="n"/>
      <c r="AF562" s="733" t="n"/>
      <c r="AG562" s="733" t="n"/>
      <c r="AH562" s="733" t="n"/>
      <c r="AI562" s="719" t="inlineStr">
        <is>
          <t>Limit</t>
        </is>
      </c>
      <c r="AJ562" s="733" t="n"/>
      <c r="AK562" s="733" t="n"/>
      <c r="AL562" s="733" t="n"/>
      <c r="AM562" s="733" t="n"/>
      <c r="AN562" s="733" t="n"/>
      <c r="AO562" s="733" t="n"/>
      <c r="AP562" s="719" t="inlineStr">
        <is>
          <t>Pullback</t>
        </is>
      </c>
      <c r="AQ562" s="719" t="inlineStr">
        <is>
          <t>1H</t>
        </is>
      </c>
      <c r="AR562" s="719" t="inlineStr">
        <is>
          <t>No</t>
        </is>
      </c>
      <c r="AS562" s="733" t="n"/>
      <c r="AT562" s="733" t="n"/>
      <c r="AU562" s="733" t="n"/>
      <c r="AV562" s="733" t="n"/>
      <c r="AW562" s="719" t="inlineStr">
        <is>
          <t>trade</t>
        </is>
      </c>
      <c r="AX562" s="734" t="inlineStr">
        <is>
          <t>sig:24ecaa25fa75a7f860fd7e77</t>
        </is>
      </c>
    </row>
    <row r="563" ht="15" customHeight="1">
      <c r="A563" s="716" t="inlineStr">
        <is>
          <t>C141</t>
        </is>
      </c>
      <c r="B563" s="717" t="n">
        <v>44216.41458333333</v>
      </c>
      <c r="C563" s="718" t="n">
        <v>44216.88611111111</v>
      </c>
      <c r="D563" s="719" t="inlineStr">
        <is>
          <t>BYBIT</t>
        </is>
      </c>
      <c r="E563" s="719" t="inlineStr">
        <is>
          <t>LTCUSDT</t>
        </is>
      </c>
      <c r="F563" s="719" t="inlineStr">
        <is>
          <t>BUY</t>
        </is>
      </c>
      <c r="G563" s="720" t="n">
        <v>0.4</v>
      </c>
      <c r="H563" s="720" t="n">
        <v>152.98</v>
      </c>
      <c r="I563" s="720" t="n">
        <v>142.79</v>
      </c>
      <c r="J563" s="721" t="n">
        <v>142.81</v>
      </c>
      <c r="K563" s="722" t="n">
        <v>0.06647927833703744</v>
      </c>
      <c r="L563" s="721" t="n">
        <v>173.32</v>
      </c>
      <c r="M563" s="722" t="n">
        <v>0.1329585566740751</v>
      </c>
      <c r="N563" s="758" t="n">
        <v>0.25474625</v>
      </c>
      <c r="O563" s="724" t="n">
        <v>-4.3316129</v>
      </c>
      <c r="P563" s="725" t="n">
        <v>-0.01219680809642475</v>
      </c>
      <c r="Q563" s="726" t="n">
        <v>-1.001966568338251</v>
      </c>
      <c r="R563" s="727" t="n">
        <v>350.81154142</v>
      </c>
      <c r="S563" s="719" t="inlineStr">
        <is>
          <t>11H 19M 0S</t>
        </is>
      </c>
      <c r="T563" s="728" t="n"/>
      <c r="U563" s="729" t="n"/>
      <c r="V563" s="807" t="n">
        <v>166.87</v>
      </c>
      <c r="W563" s="725" t="n">
        <v>0.09079618250751742</v>
      </c>
      <c r="X563" s="722" t="n">
        <v>0.03721440110777745</v>
      </c>
      <c r="Y563" s="728" t="n"/>
      <c r="Z563" s="729" t="n"/>
      <c r="AA563" s="730" t="n"/>
      <c r="AB563" s="731" t="n"/>
      <c r="AC563" s="732" t="n"/>
      <c r="AD563" s="719" t="inlineStr">
        <is>
          <t>No</t>
        </is>
      </c>
      <c r="AE563" s="733" t="n"/>
      <c r="AF563" s="733" t="n"/>
      <c r="AG563" s="733" t="n"/>
      <c r="AH563" s="733" t="n"/>
      <c r="AI563" s="719" t="inlineStr">
        <is>
          <t>Limit</t>
        </is>
      </c>
      <c r="AJ563" s="733" t="n"/>
      <c r="AK563" s="733" t="n"/>
      <c r="AL563" s="733" t="n"/>
      <c r="AM563" s="733" t="n"/>
      <c r="AN563" s="733" t="n"/>
      <c r="AO563" s="733" t="n"/>
      <c r="AP563" s="719" t="inlineStr">
        <is>
          <t>Pullback</t>
        </is>
      </c>
      <c r="AQ563" s="719" t="inlineStr">
        <is>
          <t>4H</t>
        </is>
      </c>
      <c r="AR563" s="719" t="inlineStr">
        <is>
          <t>No</t>
        </is>
      </c>
      <c r="AS563" s="733" t="n"/>
      <c r="AT563" s="733" t="n"/>
      <c r="AU563" s="733" t="n"/>
      <c r="AV563" s="733" t="n"/>
      <c r="AW563" s="719" t="inlineStr">
        <is>
          <t>trade</t>
        </is>
      </c>
      <c r="AX563" s="734" t="inlineStr">
        <is>
          <t>sig:61b3e1272f672eb4e86c6e8f</t>
        </is>
      </c>
    </row>
    <row r="564" ht="15" customHeight="1">
      <c r="A564" s="716" t="inlineStr">
        <is>
          <t>C140</t>
        </is>
      </c>
      <c r="B564" s="717" t="n">
        <v>44213.19027777778</v>
      </c>
      <c r="C564" s="718" t="n">
        <v>44213.20763888889</v>
      </c>
      <c r="D564" s="719" t="inlineStr">
        <is>
          <t>BYBIT</t>
        </is>
      </c>
      <c r="E564" s="719" t="inlineStr">
        <is>
          <t>LINKUSDT</t>
        </is>
      </c>
      <c r="F564" s="719" t="inlineStr">
        <is>
          <t>BUY</t>
        </is>
      </c>
      <c r="G564" s="720" t="n">
        <v>6.6</v>
      </c>
      <c r="H564" s="720" t="n">
        <v>21.272</v>
      </c>
      <c r="I564" s="720" t="n">
        <v>20.7115</v>
      </c>
      <c r="J564" s="721" t="n">
        <v>20.729</v>
      </c>
      <c r="K564" s="722" t="n">
        <v>0.02552651372696499</v>
      </c>
      <c r="L564" s="721" t="n">
        <v>22.358</v>
      </c>
      <c r="M564" s="722" t="n">
        <v>0.05105302745393015</v>
      </c>
      <c r="N564" s="723" t="n">
        <v>0.03509907</v>
      </c>
      <c r="O564" s="724" t="n">
        <v>-3.66666758</v>
      </c>
      <c r="P564" s="725" t="n">
        <v>-0.01021897215796366</v>
      </c>
      <c r="Q564" s="726" t="n">
        <v>-1.03222836095764</v>
      </c>
      <c r="R564" s="727" t="n">
        <v>355.14315432</v>
      </c>
      <c r="S564" s="719" t="inlineStr">
        <is>
          <t>25M 0S</t>
        </is>
      </c>
      <c r="T564" s="728" t="n"/>
      <c r="U564" s="729" t="n"/>
      <c r="V564" s="807" t="n">
        <v>22.071</v>
      </c>
      <c r="W564" s="725" t="n">
        <v>0.03756111320045144</v>
      </c>
      <c r="X564" s="722" t="n">
        <v>0.01283656856606132</v>
      </c>
      <c r="Y564" s="728" t="n"/>
      <c r="Z564" s="729" t="n"/>
      <c r="AA564" s="730" t="n"/>
      <c r="AB564" s="731" t="n"/>
      <c r="AC564" s="732" t="n"/>
      <c r="AD564" s="719" t="inlineStr">
        <is>
          <t>No</t>
        </is>
      </c>
      <c r="AE564" s="733" t="n"/>
      <c r="AF564" s="733" t="n"/>
      <c r="AG564" s="733" t="n"/>
      <c r="AH564" s="733" t="n"/>
      <c r="AI564" s="719" t="inlineStr">
        <is>
          <t>Limit</t>
        </is>
      </c>
      <c r="AJ564" s="733" t="n"/>
      <c r="AK564" s="733" t="n"/>
      <c r="AL564" s="733" t="n"/>
      <c r="AM564" s="733" t="n"/>
      <c r="AN564" s="733" t="n"/>
      <c r="AO564" s="733" t="n"/>
      <c r="AP564" s="719" t="inlineStr">
        <is>
          <t>Pullback</t>
        </is>
      </c>
      <c r="AQ564" s="719" t="inlineStr">
        <is>
          <t>15MIN</t>
        </is>
      </c>
      <c r="AR564" s="719" t="inlineStr">
        <is>
          <t>No</t>
        </is>
      </c>
      <c r="AS564" s="733" t="n"/>
      <c r="AT564" s="733" t="n"/>
      <c r="AU564" s="733" t="n"/>
      <c r="AV564" s="733" t="n"/>
      <c r="AW564" s="719" t="inlineStr">
        <is>
          <t>trade</t>
        </is>
      </c>
      <c r="AX564" s="734" t="inlineStr">
        <is>
          <t>sig:30baf5b5857b95b465d488c8</t>
        </is>
      </c>
    </row>
    <row r="565" ht="15" customHeight="1">
      <c r="A565" s="716" t="inlineStr">
        <is>
          <t>C139</t>
        </is>
      </c>
      <c r="B565" s="717" t="n">
        <v>44212.08055555556</v>
      </c>
      <c r="C565" s="718" t="n">
        <v>44212.08819444444</v>
      </c>
      <c r="D565" s="719" t="inlineStr">
        <is>
          <t>BYBIT</t>
        </is>
      </c>
      <c r="E565" s="719" t="inlineStr">
        <is>
          <t>ETHUSDT</t>
        </is>
      </c>
      <c r="F565" s="719" t="inlineStr">
        <is>
          <t>BUY</t>
        </is>
      </c>
      <c r="G565" s="735" t="n">
        <v>0.06</v>
      </c>
      <c r="H565" s="720" t="n">
        <v>1135.6</v>
      </c>
      <c r="I565" s="720" t="n">
        <v>1078.25</v>
      </c>
      <c r="J565" s="721" t="n">
        <v>1078.4</v>
      </c>
      <c r="K565" s="722" t="n">
        <v>0.05036984853821753</v>
      </c>
      <c r="L565" s="721" t="n">
        <v>1250.05</v>
      </c>
      <c r="M565" s="722" t="n">
        <v>0.1007837266643185</v>
      </c>
      <c r="N565" s="723" t="n">
        <v>0.02405365</v>
      </c>
      <c r="O565" s="724" t="n">
        <v>-3.4659203</v>
      </c>
      <c r="P565" s="725" t="n">
        <v>-0.009567078046552133</v>
      </c>
      <c r="Q565" s="726" t="n">
        <v>-1.002622377622379</v>
      </c>
      <c r="R565" s="727" t="n">
        <v>358.8098219</v>
      </c>
      <c r="S565" s="719" t="inlineStr">
        <is>
          <t>11M 0S</t>
        </is>
      </c>
      <c r="T565" s="717" t="n"/>
      <c r="U565" s="806" t="n"/>
      <c r="V565" s="807" t="n"/>
      <c r="W565" s="725" t="n"/>
      <c r="X565" s="722" t="n"/>
      <c r="Y565" s="728" t="n"/>
      <c r="Z565" s="729" t="n"/>
      <c r="AA565" s="730" t="n"/>
      <c r="AB565" s="731" t="n"/>
      <c r="AC565" s="732" t="n"/>
      <c r="AD565" s="719" t="inlineStr">
        <is>
          <t>No</t>
        </is>
      </c>
      <c r="AE565" s="733" t="n"/>
      <c r="AF565" s="733" t="n"/>
      <c r="AG565" s="733" t="n"/>
      <c r="AH565" s="733" t="n"/>
      <c r="AI565" s="719" t="inlineStr">
        <is>
          <t>Limit</t>
        </is>
      </c>
      <c r="AJ565" s="733" t="n"/>
      <c r="AK565" s="733" t="n"/>
      <c r="AL565" s="733" t="n"/>
      <c r="AM565" s="733" t="n"/>
      <c r="AN565" s="733" t="n"/>
      <c r="AO565" s="733" t="n"/>
      <c r="AP565" s="719" t="inlineStr">
        <is>
          <t>Pullback</t>
        </is>
      </c>
      <c r="AQ565" s="719" t="inlineStr">
        <is>
          <t>4H</t>
        </is>
      </c>
      <c r="AR565" s="719" t="inlineStr">
        <is>
          <t>No</t>
        </is>
      </c>
      <c r="AS565" s="733" t="n"/>
      <c r="AT565" s="733" t="n"/>
      <c r="AU565" s="733" t="n"/>
      <c r="AV565" s="733" t="n"/>
      <c r="AW565" s="719" t="inlineStr">
        <is>
          <t>trade</t>
        </is>
      </c>
      <c r="AX565" s="734" t="inlineStr">
        <is>
          <t>sig:be663a039186716029146e63</t>
        </is>
      </c>
    </row>
    <row r="566" ht="15" customHeight="1">
      <c r="A566" s="737" t="inlineStr">
        <is>
          <t>F1102</t>
        </is>
      </c>
      <c r="B566" s="738" t="n">
        <v>44209.01041666666</v>
      </c>
      <c r="C566" s="739" t="n">
        <v>44210.6625</v>
      </c>
      <c r="D566" s="740" t="inlineStr">
        <is>
          <t>PEPPERSTONE LIVE</t>
        </is>
      </c>
      <c r="E566" s="740" t="inlineStr">
        <is>
          <t>EURNZD</t>
        </is>
      </c>
      <c r="F566" s="740" t="inlineStr">
        <is>
          <t>SELL</t>
        </is>
      </c>
      <c r="G566" s="775" t="n">
        <v>0.01</v>
      </c>
      <c r="H566" s="742" t="n">
        <v>1.6962</v>
      </c>
      <c r="I566" s="742" t="n">
        <v>1.68688</v>
      </c>
      <c r="J566" s="743" t="n">
        <v>1.7008</v>
      </c>
      <c r="K566" s="744" t="n">
        <v>0.002711944346185686</v>
      </c>
      <c r="L566" s="743" t="n">
        <v>1.6868</v>
      </c>
      <c r="M566" s="744" t="n">
        <v>0.005541799316118296</v>
      </c>
      <c r="N566" s="766" t="n"/>
      <c r="O566" s="767" t="n">
        <v>8.66</v>
      </c>
      <c r="P566" s="747" t="n">
        <v>0.01760878405856039</v>
      </c>
      <c r="Q566" s="748" t="n">
        <v>2.026086956521668</v>
      </c>
      <c r="R566" s="769" t="n">
        <v>500.46</v>
      </c>
      <c r="S566" s="740" t="inlineStr">
        <is>
          <t>1D 15H 39M 0S</t>
        </is>
      </c>
      <c r="T566" s="738" t="n"/>
      <c r="U566" s="809" t="n"/>
      <c r="V566" s="810" t="n"/>
      <c r="W566" s="747" t="n"/>
      <c r="X566" s="744" t="n"/>
      <c r="Y566" s="750" t="n"/>
      <c r="Z566" s="751" t="n"/>
      <c r="AA566" s="752" t="n"/>
      <c r="AB566" s="753" t="n"/>
      <c r="AC566" s="754" t="n"/>
      <c r="AD566" s="740" t="inlineStr">
        <is>
          <t>No</t>
        </is>
      </c>
      <c r="AE566" s="755" t="n"/>
      <c r="AF566" s="755" t="n"/>
      <c r="AG566" s="755" t="n"/>
      <c r="AH566" s="755" t="n"/>
      <c r="AI566" s="740" t="n"/>
      <c r="AJ566" s="755" t="n"/>
      <c r="AK566" s="755" t="n"/>
      <c r="AL566" s="755" t="n"/>
      <c r="AM566" s="755" t="n"/>
      <c r="AN566" s="755" t="n"/>
      <c r="AO566" s="755" t="n"/>
      <c r="AP566" s="740" t="inlineStr">
        <is>
          <t>Pullback</t>
        </is>
      </c>
      <c r="AQ566" s="740" t="n"/>
      <c r="AR566" s="740" t="inlineStr">
        <is>
          <t>No</t>
        </is>
      </c>
      <c r="AS566" s="755" t="n"/>
      <c r="AT566" s="755" t="n"/>
      <c r="AU566" s="755" t="n"/>
      <c r="AV566" s="755" t="n"/>
      <c r="AW566" s="740" t="inlineStr">
        <is>
          <t>trade</t>
        </is>
      </c>
      <c r="AX566" s="756" t="inlineStr">
        <is>
          <t>sig:779c8064b9eb77306cce949a</t>
        </is>
      </c>
    </row>
    <row r="567" ht="15" customHeight="1">
      <c r="A567" s="716" t="inlineStr">
        <is>
          <t>C138</t>
        </is>
      </c>
      <c r="B567" s="717" t="n">
        <v>44207.53819444445</v>
      </c>
      <c r="C567" s="718" t="n">
        <v>44207.55208333334</v>
      </c>
      <c r="D567" s="719" t="inlineStr">
        <is>
          <t>BYBIT</t>
        </is>
      </c>
      <c r="E567" s="719" t="inlineStr">
        <is>
          <t>BCHUSDT</t>
        </is>
      </c>
      <c r="F567" s="719" t="inlineStr">
        <is>
          <t>BUY</t>
        </is>
      </c>
      <c r="G567" s="720" t="n">
        <v>0.11</v>
      </c>
      <c r="H567" s="720" t="n">
        <v>551</v>
      </c>
      <c r="I567" s="720" t="n">
        <v>515.75</v>
      </c>
      <c r="J567" s="721" t="n">
        <v>516.1</v>
      </c>
      <c r="K567" s="722" t="n">
        <v>0.06333938294010885</v>
      </c>
      <c r="L567" s="721" t="n">
        <v>620.8</v>
      </c>
      <c r="M567" s="722" t="n">
        <v>0.1266787658802177</v>
      </c>
      <c r="N567" s="723" t="n">
        <v>0.01515212</v>
      </c>
      <c r="O567" s="724" t="n">
        <v>-3.86321453</v>
      </c>
      <c r="P567" s="725" t="n">
        <v>-0.01055122504445445</v>
      </c>
      <c r="Q567" s="726" t="n">
        <v>-1.01002865329513</v>
      </c>
      <c r="R567" s="727" t="n">
        <v>362.2757422</v>
      </c>
      <c r="S567" s="719" t="inlineStr">
        <is>
          <t>20M 0S</t>
        </is>
      </c>
      <c r="T567" s="728" t="n"/>
      <c r="U567" s="729" t="n"/>
      <c r="V567" s="730" t="n"/>
      <c r="W567" s="731" t="n"/>
      <c r="X567" s="732" t="n"/>
      <c r="Y567" s="728" t="n"/>
      <c r="Z567" s="729" t="n"/>
      <c r="AA567" s="730" t="n"/>
      <c r="AB567" s="731" t="n"/>
      <c r="AC567" s="732" t="n"/>
      <c r="AD567" s="719" t="inlineStr">
        <is>
          <t>No</t>
        </is>
      </c>
      <c r="AE567" s="733" t="n"/>
      <c r="AF567" s="733" t="n"/>
      <c r="AG567" s="733" t="n"/>
      <c r="AH567" s="733" t="n"/>
      <c r="AI567" s="719" t="inlineStr">
        <is>
          <t>Limit</t>
        </is>
      </c>
      <c r="AJ567" s="733" t="n"/>
      <c r="AK567" s="733" t="n"/>
      <c r="AL567" s="733" t="n"/>
      <c r="AM567" s="733" t="n"/>
      <c r="AN567" s="733" t="n"/>
      <c r="AO567" s="733" t="n"/>
      <c r="AP567" s="719" t="inlineStr">
        <is>
          <t>Pullback</t>
        </is>
      </c>
      <c r="AQ567" s="719" t="inlineStr">
        <is>
          <t>1H</t>
        </is>
      </c>
      <c r="AR567" s="719" t="inlineStr">
        <is>
          <t>No</t>
        </is>
      </c>
      <c r="AS567" s="733" t="n"/>
      <c r="AT567" s="733" t="n"/>
      <c r="AU567" s="733" t="n"/>
      <c r="AV567" s="733" t="n"/>
      <c r="AW567" s="719" t="inlineStr">
        <is>
          <t>trade</t>
        </is>
      </c>
      <c r="AX567" s="734" t="inlineStr">
        <is>
          <t>sig:0072ae68eb7aff712d5e6946</t>
        </is>
      </c>
    </row>
    <row r="568" ht="15" customHeight="1">
      <c r="A568" s="716" t="inlineStr">
        <is>
          <t>F1101</t>
        </is>
      </c>
      <c r="B568" s="717" t="n">
        <v>44200.91527777778</v>
      </c>
      <c r="C568" s="718" t="n">
        <v>44200.91944444444</v>
      </c>
      <c r="D568" s="719" t="inlineStr">
        <is>
          <t>PEPPERSTONE LIVE</t>
        </is>
      </c>
      <c r="E568" s="719" t="inlineStr">
        <is>
          <t>GBPUSD</t>
        </is>
      </c>
      <c r="F568" s="719" t="inlineStr">
        <is>
          <t>BUY</t>
        </is>
      </c>
      <c r="G568" s="735" t="n">
        <v>0.03</v>
      </c>
      <c r="H568" s="720" t="n">
        <v>1.3671</v>
      </c>
      <c r="I568" s="720" t="n">
        <v>1.36554</v>
      </c>
      <c r="J568" s="721" t="n">
        <v>1.3656</v>
      </c>
      <c r="K568" s="722" t="n">
        <v>0.001097213078779941</v>
      </c>
      <c r="L568" s="721" t="n">
        <v>1.3701</v>
      </c>
      <c r="M568" s="722" t="n">
        <v>0.002194426157559881</v>
      </c>
      <c r="N568" s="761" t="n"/>
      <c r="O568" s="762" t="n">
        <v>-6.41</v>
      </c>
      <c r="P568" s="725" t="n">
        <v>-0.01286606049657775</v>
      </c>
      <c r="Q568" s="726" t="n">
        <v>-1.039999999999965</v>
      </c>
      <c r="R568" s="764" t="n">
        <v>491.8</v>
      </c>
      <c r="S568" s="719" t="inlineStr">
        <is>
          <t>6M 0S</t>
        </is>
      </c>
      <c r="T568" s="728" t="n"/>
      <c r="U568" s="729" t="n"/>
      <c r="V568" s="730" t="n"/>
      <c r="W568" s="731" t="n"/>
      <c r="X568" s="732" t="n"/>
      <c r="Y568" s="728" t="n"/>
      <c r="Z568" s="729" t="n"/>
      <c r="AA568" s="730" t="n"/>
      <c r="AB568" s="731" t="n"/>
      <c r="AC568" s="732" t="n"/>
      <c r="AD568" s="719" t="inlineStr">
        <is>
          <t>No</t>
        </is>
      </c>
      <c r="AE568" s="733" t="n"/>
      <c r="AF568" s="733" t="n"/>
      <c r="AG568" s="733" t="n"/>
      <c r="AH568" s="733" t="n"/>
      <c r="AI568" s="719" t="n"/>
      <c r="AJ568" s="733" t="n"/>
      <c r="AK568" s="733" t="n"/>
      <c r="AL568" s="733" t="n"/>
      <c r="AM568" s="733" t="n"/>
      <c r="AN568" s="733" t="n"/>
      <c r="AO568" s="733" t="n"/>
      <c r="AP568" s="719" t="inlineStr">
        <is>
          <t>Pullback</t>
        </is>
      </c>
      <c r="AQ568" s="733" t="n"/>
      <c r="AR568" s="719" t="inlineStr">
        <is>
          <t>No</t>
        </is>
      </c>
      <c r="AS568" s="733" t="n"/>
      <c r="AT568" s="733" t="n"/>
      <c r="AU568" s="733" t="n"/>
      <c r="AV568" s="733" t="n"/>
      <c r="AW568" s="719" t="inlineStr">
        <is>
          <t>trade</t>
        </is>
      </c>
      <c r="AX568" s="734" t="inlineStr">
        <is>
          <t>sig:089792df005e932a1bed40ab</t>
        </is>
      </c>
    </row>
    <row r="569" ht="15" customHeight="1">
      <c r="A569" s="737" t="inlineStr">
        <is>
          <t>F1100</t>
        </is>
      </c>
      <c r="B569" s="738" t="n">
        <v>44200.76527777778</v>
      </c>
      <c r="C569" s="739" t="n">
        <v>44200.87638888889</v>
      </c>
      <c r="D569" s="740" t="inlineStr">
        <is>
          <t>PEPPERSTONE LIVE</t>
        </is>
      </c>
      <c r="E569" s="740" t="inlineStr">
        <is>
          <t>GBPUSD</t>
        </is>
      </c>
      <c r="F569" s="740" t="inlineStr">
        <is>
          <t>BUY</t>
        </is>
      </c>
      <c r="G569" s="775" t="n">
        <v>0.03</v>
      </c>
      <c r="H569" s="742" t="n">
        <v>1.3674</v>
      </c>
      <c r="I569" s="742" t="n">
        <v>1.37034</v>
      </c>
      <c r="J569" s="743" t="n">
        <v>1.366</v>
      </c>
      <c r="K569" s="744" t="n">
        <v>0.001023840865876734</v>
      </c>
      <c r="L569" s="743" t="n">
        <v>1.3702</v>
      </c>
      <c r="M569" s="744" t="n">
        <v>0.002047681731753793</v>
      </c>
      <c r="N569" s="766" t="n"/>
      <c r="O569" s="767" t="n">
        <v>11.25</v>
      </c>
      <c r="P569" s="747" t="n">
        <v>0.02310251355347462</v>
      </c>
      <c r="Q569" s="748" t="n">
        <v>2.10000000000019</v>
      </c>
      <c r="R569" s="769" t="n">
        <v>498.21</v>
      </c>
      <c r="S569" s="740" t="inlineStr">
        <is>
          <t>2H 40M 0S</t>
        </is>
      </c>
      <c r="T569" s="750" t="n"/>
      <c r="U569" s="751" t="n"/>
      <c r="V569" s="810" t="n"/>
      <c r="W569" s="747" t="n"/>
      <c r="X569" s="744" t="n"/>
      <c r="Y569" s="750" t="n"/>
      <c r="Z569" s="751" t="n"/>
      <c r="AA569" s="752" t="n"/>
      <c r="AB569" s="753" t="n"/>
      <c r="AC569" s="754" t="n"/>
      <c r="AD569" s="740" t="inlineStr">
        <is>
          <t>No</t>
        </is>
      </c>
      <c r="AE569" s="755" t="n"/>
      <c r="AF569" s="755" t="n"/>
      <c r="AG569" s="755" t="n"/>
      <c r="AH569" s="755" t="n"/>
      <c r="AI569" s="740" t="n"/>
      <c r="AJ569" s="755" t="n"/>
      <c r="AK569" s="755" t="n"/>
      <c r="AL569" s="755" t="n"/>
      <c r="AM569" s="755" t="n"/>
      <c r="AN569" s="755" t="n"/>
      <c r="AO569" s="755" t="n"/>
      <c r="AP569" s="740" t="inlineStr">
        <is>
          <t>Pullback</t>
        </is>
      </c>
      <c r="AQ569" s="740" t="n"/>
      <c r="AR569" s="740" t="inlineStr">
        <is>
          <t>No</t>
        </is>
      </c>
      <c r="AS569" s="755" t="n"/>
      <c r="AT569" s="755" t="n"/>
      <c r="AU569" s="755" t="n"/>
      <c r="AV569" s="755" t="n"/>
      <c r="AW569" s="740" t="inlineStr">
        <is>
          <t>trade</t>
        </is>
      </c>
      <c r="AX569" s="756" t="inlineStr">
        <is>
          <t>sig:deacd041e7ccbb5aa8aa7c25</t>
        </is>
      </c>
    </row>
    <row r="570" ht="15" customHeight="1">
      <c r="A570" s="716" t="inlineStr">
        <is>
          <t>C137</t>
        </is>
      </c>
      <c r="B570" s="717" t="n">
        <v>44200.12361111111</v>
      </c>
      <c r="C570" s="718" t="n">
        <v>44200.72430555556</v>
      </c>
      <c r="D570" s="719" t="inlineStr">
        <is>
          <t>BYBIT</t>
        </is>
      </c>
      <c r="E570" s="719" t="inlineStr">
        <is>
          <t>BTCUSDT</t>
        </is>
      </c>
      <c r="F570" s="719" t="inlineStr">
        <is>
          <t>BUY</t>
        </is>
      </c>
      <c r="G570" s="757" t="n">
        <v>0.004</v>
      </c>
      <c r="H570" s="720" t="n">
        <v>32784.5</v>
      </c>
      <c r="I570" s="720" t="n">
        <v>31833</v>
      </c>
      <c r="J570" s="721" t="n">
        <v>31846</v>
      </c>
      <c r="K570" s="722" t="n">
        <v>0.02862633256569416</v>
      </c>
      <c r="L570" s="721" t="n">
        <v>34653.5</v>
      </c>
      <c r="M570" s="722" t="n">
        <v>0.05700864737909683</v>
      </c>
      <c r="N570" s="758" t="n">
        <v>0.24992424</v>
      </c>
      <c r="O570" s="724" t="n">
        <v>-4.05679089</v>
      </c>
      <c r="P570" s="725" t="n">
        <v>-0.01095850213321259</v>
      </c>
      <c r="Q570" s="726" t="n">
        <v>-1.01385189131593</v>
      </c>
      <c r="R570" s="727" t="n">
        <v>366.13895673</v>
      </c>
      <c r="S570" s="719" t="inlineStr">
        <is>
          <t>14H 25M 0S</t>
        </is>
      </c>
      <c r="T570" s="728" t="n"/>
      <c r="U570" s="729" t="n"/>
      <c r="V570" s="807" t="n">
        <v>34033.5</v>
      </c>
      <c r="W570" s="725" t="n">
        <v>0.03809727157650719</v>
      </c>
      <c r="X570" s="722" t="n">
        <v>0.01789141068001789</v>
      </c>
      <c r="Y570" s="728" t="n"/>
      <c r="Z570" s="729" t="n"/>
      <c r="AA570" s="730" t="n"/>
      <c r="AB570" s="731" t="n"/>
      <c r="AC570" s="732" t="n"/>
      <c r="AD570" s="719" t="inlineStr">
        <is>
          <t>No</t>
        </is>
      </c>
      <c r="AE570" s="733" t="n"/>
      <c r="AF570" s="733" t="n"/>
      <c r="AG570" s="733" t="n"/>
      <c r="AH570" s="733" t="n"/>
      <c r="AI570" s="719" t="inlineStr">
        <is>
          <t>Limit</t>
        </is>
      </c>
      <c r="AJ570" s="733" t="n"/>
      <c r="AK570" s="733" t="n"/>
      <c r="AL570" s="733" t="n"/>
      <c r="AM570" s="733" t="n"/>
      <c r="AN570" s="733" t="n"/>
      <c r="AO570" s="733" t="n"/>
      <c r="AP570" s="719" t="inlineStr">
        <is>
          <t>Pullback</t>
        </is>
      </c>
      <c r="AQ570" s="719" t="inlineStr">
        <is>
          <t>1H</t>
        </is>
      </c>
      <c r="AR570" s="719" t="inlineStr">
        <is>
          <t>No</t>
        </is>
      </c>
      <c r="AS570" s="733" t="n"/>
      <c r="AT570" s="733" t="n"/>
      <c r="AU570" s="733" t="n"/>
      <c r="AV570" s="733" t="n"/>
      <c r="AW570" s="719" t="inlineStr">
        <is>
          <t>trade</t>
        </is>
      </c>
      <c r="AX570" s="734" t="inlineStr">
        <is>
          <t>sig:c3b1245fc7ee503eaeade1bc</t>
        </is>
      </c>
    </row>
    <row r="571" ht="15" customHeight="1">
      <c r="A571" s="716" t="inlineStr">
        <is>
          <t>C136</t>
        </is>
      </c>
      <c r="B571" s="717" t="n">
        <v>44200.05208333334</v>
      </c>
      <c r="C571" s="718" t="n">
        <v>44200.10347222222</v>
      </c>
      <c r="D571" s="719" t="inlineStr">
        <is>
          <t>BYBIT</t>
        </is>
      </c>
      <c r="E571" s="719" t="inlineStr">
        <is>
          <t>XTZUSDT</t>
        </is>
      </c>
      <c r="F571" s="719" t="inlineStr">
        <is>
          <t>SELL</t>
        </is>
      </c>
      <c r="G571" s="720" t="n">
        <v>40.2</v>
      </c>
      <c r="H571" s="720" t="n">
        <v>2.135</v>
      </c>
      <c r="I571" s="720" t="n">
        <v>2.228</v>
      </c>
      <c r="J571" s="721" t="n">
        <v>2.228</v>
      </c>
      <c r="K571" s="722" t="n">
        <v>0.04355971896955523</v>
      </c>
      <c r="L571" s="721" t="n">
        <v>1.947</v>
      </c>
      <c r="M571" s="722" t="n">
        <v>0.08805620608899285</v>
      </c>
      <c r="N571" s="758" t="n">
        <v>0.18755968</v>
      </c>
      <c r="O571" s="724" t="n">
        <v>-3.55190697</v>
      </c>
      <c r="P571" s="725" t="n">
        <v>-0.009503489657738269</v>
      </c>
      <c r="Q571" s="726" t="n">
        <v>-1</v>
      </c>
      <c r="R571" s="727" t="n">
        <v>370.19574762</v>
      </c>
      <c r="S571" s="719" t="inlineStr">
        <is>
          <t>1H 14M 0S</t>
        </is>
      </c>
      <c r="T571" s="717" t="n"/>
      <c r="U571" s="806" t="n"/>
      <c r="V571" s="807" t="n">
        <v>2.008</v>
      </c>
      <c r="W571" s="725" t="n">
        <v>0.05948477751756431</v>
      </c>
      <c r="X571" s="722" t="n">
        <v>0.03133025166923469</v>
      </c>
      <c r="Y571" s="728" t="n"/>
      <c r="Z571" s="729" t="n"/>
      <c r="AA571" s="730" t="n"/>
      <c r="AB571" s="731" t="n"/>
      <c r="AC571" s="732" t="n"/>
      <c r="AD571" s="719" t="inlineStr">
        <is>
          <t>No</t>
        </is>
      </c>
      <c r="AE571" s="733" t="n"/>
      <c r="AF571" s="733" t="n"/>
      <c r="AG571" s="733" t="n"/>
      <c r="AH571" s="733" t="n"/>
      <c r="AI571" s="719" t="inlineStr">
        <is>
          <t>Limit</t>
        </is>
      </c>
      <c r="AJ571" s="733" t="n"/>
      <c r="AK571" s="733" t="n"/>
      <c r="AL571" s="733" t="n"/>
      <c r="AM571" s="733" t="n"/>
      <c r="AN571" s="733" t="n"/>
      <c r="AO571" s="733" t="n"/>
      <c r="AP571" s="719" t="inlineStr">
        <is>
          <t>Pullback</t>
        </is>
      </c>
      <c r="AQ571" s="719" t="inlineStr">
        <is>
          <t>4H</t>
        </is>
      </c>
      <c r="AR571" s="719" t="inlineStr">
        <is>
          <t>No</t>
        </is>
      </c>
      <c r="AS571" s="733" t="n"/>
      <c r="AT571" s="733" t="n"/>
      <c r="AU571" s="733" t="n"/>
      <c r="AV571" s="733" t="n"/>
      <c r="AW571" s="719" t="inlineStr">
        <is>
          <t>trade</t>
        </is>
      </c>
      <c r="AX571" s="734" t="inlineStr">
        <is>
          <t>sig:abe5e64dc75258a8da975f3d</t>
        </is>
      </c>
    </row>
    <row r="572" ht="15" customHeight="1">
      <c r="A572" s="716" t="inlineStr">
        <is>
          <t>C135</t>
        </is>
      </c>
      <c r="B572" s="717" t="n">
        <v>44200</v>
      </c>
      <c r="C572" s="718" t="n">
        <v>44200.04583333333</v>
      </c>
      <c r="D572" s="719" t="inlineStr">
        <is>
          <t>BYBIT</t>
        </is>
      </c>
      <c r="E572" s="719" t="inlineStr">
        <is>
          <t>BTCUSDT</t>
        </is>
      </c>
      <c r="F572" s="719" t="inlineStr">
        <is>
          <t>BUY</t>
        </is>
      </c>
      <c r="G572" s="757" t="n">
        <v>0.008999999999999999</v>
      </c>
      <c r="H572" s="720" t="n">
        <v>33840.5</v>
      </c>
      <c r="I572" s="720" t="n">
        <v>33423</v>
      </c>
      <c r="J572" s="721" t="n">
        <v>33427</v>
      </c>
      <c r="K572" s="722" t="n">
        <v>0.01221908659742025</v>
      </c>
      <c r="L572" s="721" t="n">
        <v>34667.5</v>
      </c>
      <c r="M572" s="722" t="n">
        <v>0.0244381731948405</v>
      </c>
      <c r="N572" s="723" t="n">
        <v>0.07614087</v>
      </c>
      <c r="O572" s="724" t="n">
        <v>-3.68222578</v>
      </c>
      <c r="P572" s="725" t="n">
        <v>-0.009756052637884049</v>
      </c>
      <c r="Q572" s="726" t="n">
        <v>-1.009673518742443</v>
      </c>
      <c r="R572" s="727" t="n">
        <v>373.74765459</v>
      </c>
      <c r="S572" s="719" t="inlineStr">
        <is>
          <t>1H 6M 0S</t>
        </is>
      </c>
      <c r="T572" s="717" t="n"/>
      <c r="U572" s="806" t="n"/>
      <c r="V572" s="807" t="n">
        <v>34409.5</v>
      </c>
      <c r="W572" s="725" t="n">
        <v>0.01681417236742956</v>
      </c>
      <c r="X572" s="722" t="n">
        <v>0.00744212879498089</v>
      </c>
      <c r="Y572" s="728" t="n"/>
      <c r="Z572" s="729" t="n"/>
      <c r="AA572" s="730" t="n"/>
      <c r="AB572" s="731" t="n"/>
      <c r="AC572" s="732" t="n"/>
      <c r="AD572" s="719" t="inlineStr">
        <is>
          <t>No</t>
        </is>
      </c>
      <c r="AE572" s="733" t="n"/>
      <c r="AF572" s="733" t="n"/>
      <c r="AG572" s="733" t="n"/>
      <c r="AH572" s="733" t="n"/>
      <c r="AI572" s="719" t="inlineStr">
        <is>
          <t>Limit</t>
        </is>
      </c>
      <c r="AJ572" s="733" t="n"/>
      <c r="AK572" s="733" t="n"/>
      <c r="AL572" s="733" t="n"/>
      <c r="AM572" s="733" t="n"/>
      <c r="AN572" s="733" t="n"/>
      <c r="AO572" s="733" t="n"/>
      <c r="AP572" s="719" t="inlineStr">
        <is>
          <t>Pullback</t>
        </is>
      </c>
      <c r="AQ572" s="719" t="inlineStr">
        <is>
          <t>5MIN</t>
        </is>
      </c>
      <c r="AR572" s="719" t="inlineStr">
        <is>
          <t>No</t>
        </is>
      </c>
      <c r="AS572" s="733" t="n"/>
      <c r="AT572" s="733" t="n"/>
      <c r="AU572" s="733" t="n"/>
      <c r="AV572" s="733" t="n"/>
      <c r="AW572" s="719" t="inlineStr">
        <is>
          <t>trade</t>
        </is>
      </c>
      <c r="AX572" s="734" t="inlineStr">
        <is>
          <t>sig:62c69b0e9b28b44fe166fef9</t>
        </is>
      </c>
    </row>
    <row r="573" ht="15" customHeight="1">
      <c r="A573" s="737" t="inlineStr">
        <is>
          <t>C134</t>
        </is>
      </c>
      <c r="B573" s="738" t="n">
        <v>44198.19513888889</v>
      </c>
      <c r="C573" s="739" t="n">
        <v>44198.94375</v>
      </c>
      <c r="D573" s="740" t="inlineStr">
        <is>
          <t>BYBIT</t>
        </is>
      </c>
      <c r="E573" s="740" t="inlineStr">
        <is>
          <t>ETHUSDT</t>
        </is>
      </c>
      <c r="F573" s="740" t="inlineStr">
        <is>
          <t>BUY</t>
        </is>
      </c>
      <c r="G573" s="742" t="n">
        <v>0.32</v>
      </c>
      <c r="H573" s="742" t="n">
        <v>725.45</v>
      </c>
      <c r="I573" s="742" t="n">
        <v>749.05</v>
      </c>
      <c r="J573" s="743" t="n">
        <v>713.65</v>
      </c>
      <c r="K573" s="744" t="n">
        <v>0.01626576607622864</v>
      </c>
      <c r="L573" s="743" t="n">
        <v>749.2</v>
      </c>
      <c r="M573" s="744" t="n">
        <v>0.0327383003652905</v>
      </c>
      <c r="N573" s="745" t="n">
        <v>0.14251098</v>
      </c>
      <c r="O573" s="746" t="n">
        <v>7.40862237</v>
      </c>
      <c r="P573" s="747" t="n">
        <v>0.02002215334882192</v>
      </c>
      <c r="Q573" s="748" t="n">
        <v>1.999999999999981</v>
      </c>
      <c r="R573" s="749" t="n">
        <v>377.42988037</v>
      </c>
      <c r="S573" s="740" t="inlineStr">
        <is>
          <t>17H 58M 0S</t>
        </is>
      </c>
      <c r="T573" s="738" t="n">
        <v>44198.52013888889</v>
      </c>
      <c r="U573" s="809" t="inlineStr">
        <is>
          <t>17H 48M 0S</t>
        </is>
      </c>
      <c r="V573" s="810" t="n">
        <v>741.85</v>
      </c>
      <c r="W573" s="747" t="n">
        <v>0.0226066579364532</v>
      </c>
      <c r="X573" s="744" t="n">
        <v>0.009810464495461855</v>
      </c>
      <c r="Y573" s="750" t="n"/>
      <c r="Z573" s="751" t="n"/>
      <c r="AA573" s="752" t="n"/>
      <c r="AB573" s="753" t="n"/>
      <c r="AC573" s="754" t="n"/>
      <c r="AD573" s="740" t="inlineStr">
        <is>
          <t>No</t>
        </is>
      </c>
      <c r="AE573" s="755" t="n"/>
      <c r="AF573" s="755" t="n"/>
      <c r="AG573" s="755" t="n"/>
      <c r="AH573" s="755" t="n"/>
      <c r="AI573" s="740" t="inlineStr">
        <is>
          <t>Limit</t>
        </is>
      </c>
      <c r="AJ573" s="755" t="n"/>
      <c r="AK573" s="755" t="n"/>
      <c r="AL573" s="755" t="n"/>
      <c r="AM573" s="755" t="n"/>
      <c r="AN573" s="755" t="n"/>
      <c r="AO573" s="755" t="n"/>
      <c r="AP573" s="740" t="inlineStr">
        <is>
          <t>Pullback</t>
        </is>
      </c>
      <c r="AQ573" s="740" t="inlineStr">
        <is>
          <t>1H</t>
        </is>
      </c>
      <c r="AR573" s="740" t="inlineStr">
        <is>
          <t>No</t>
        </is>
      </c>
      <c r="AS573" s="755" t="n"/>
      <c r="AT573" s="755" t="n"/>
      <c r="AU573" s="755" t="n"/>
      <c r="AV573" s="755" t="n"/>
      <c r="AW573" s="740" t="inlineStr">
        <is>
          <t>trade</t>
        </is>
      </c>
      <c r="AX573" s="756" t="inlineStr">
        <is>
          <t>sig:72d1692d5bcdc403a328fa4a</t>
        </is>
      </c>
    </row>
    <row r="574" ht="15" customHeight="1">
      <c r="A574" s="737" t="inlineStr">
        <is>
          <t>C133</t>
        </is>
      </c>
      <c r="B574" s="738" t="n">
        <v>44196.96736111111</v>
      </c>
      <c r="C574" s="739" t="n">
        <v>44197.5</v>
      </c>
      <c r="D574" s="740" t="inlineStr">
        <is>
          <t>BYBIT</t>
        </is>
      </c>
      <c r="E574" s="740" t="inlineStr">
        <is>
          <t>LTCUSDT</t>
        </is>
      </c>
      <c r="F574" s="740" t="inlineStr">
        <is>
          <t>BUY</t>
        </is>
      </c>
      <c r="G574" s="742" t="n">
        <v>0.8</v>
      </c>
      <c r="H574" s="742" t="n">
        <v>122.97</v>
      </c>
      <c r="I574" s="742" t="n">
        <v>132.49</v>
      </c>
      <c r="J574" s="743" t="n">
        <v>118.22</v>
      </c>
      <c r="K574" s="744" t="n">
        <v>0.03862730747336749</v>
      </c>
      <c r="L574" s="743" t="n">
        <v>132.55</v>
      </c>
      <c r="M574" s="744" t="n">
        <v>0.0779051801252339</v>
      </c>
      <c r="N574" s="745" t="n">
        <v>0.18646958</v>
      </c>
      <c r="O574" s="746" t="n">
        <v>7.42866377</v>
      </c>
      <c r="P574" s="747" t="n">
        <v>0.02048763236815544</v>
      </c>
      <c r="Q574" s="748" t="n">
        <v>2.004210526315791</v>
      </c>
      <c r="R574" s="749" t="n">
        <v>370.021258</v>
      </c>
      <c r="S574" s="740" t="inlineStr">
        <is>
          <t>12H 47M 0S</t>
        </is>
      </c>
      <c r="T574" s="738" t="n">
        <v>44197.07222222222</v>
      </c>
      <c r="U574" s="809" t="inlineStr">
        <is>
          <t>12H 30M 42S</t>
        </is>
      </c>
      <c r="V574" s="810" t="n">
        <v>130.23</v>
      </c>
      <c r="W574" s="747" t="n">
        <v>0.05903878994876792</v>
      </c>
      <c r="X574" s="744" t="n">
        <v>0.01750282912108654</v>
      </c>
      <c r="Y574" s="750" t="n"/>
      <c r="Z574" s="751" t="n"/>
      <c r="AA574" s="752" t="n"/>
      <c r="AB574" s="753" t="n"/>
      <c r="AC574" s="754" t="n"/>
      <c r="AD574" s="740" t="inlineStr">
        <is>
          <t>No</t>
        </is>
      </c>
      <c r="AE574" s="755" t="n"/>
      <c r="AF574" s="755" t="n"/>
      <c r="AG574" s="755" t="n"/>
      <c r="AH574" s="755" t="n"/>
      <c r="AI574" s="740" t="inlineStr">
        <is>
          <t>Limit</t>
        </is>
      </c>
      <c r="AJ574" s="755" t="n"/>
      <c r="AK574" s="755" t="n"/>
      <c r="AL574" s="755" t="n"/>
      <c r="AM574" s="755" t="n"/>
      <c r="AN574" s="755" t="n"/>
      <c r="AO574" s="755" t="n"/>
      <c r="AP574" s="740" t="inlineStr">
        <is>
          <t>Pullback</t>
        </is>
      </c>
      <c r="AQ574" s="740" t="inlineStr">
        <is>
          <t>1H</t>
        </is>
      </c>
      <c r="AR574" s="740" t="inlineStr">
        <is>
          <t>No</t>
        </is>
      </c>
      <c r="AS574" s="755" t="n"/>
      <c r="AT574" s="755" t="n"/>
      <c r="AU574" s="755" t="n"/>
      <c r="AV574" s="755" t="n"/>
      <c r="AW574" s="740" t="inlineStr">
        <is>
          <t>trade</t>
        </is>
      </c>
      <c r="AX574" s="756" t="inlineStr">
        <is>
          <t>sig:1d0035368d9a93884823f9a7</t>
        </is>
      </c>
    </row>
    <row r="575" ht="15" customHeight="1">
      <c r="A575" s="716" t="inlineStr">
        <is>
          <t>F1099</t>
        </is>
      </c>
      <c r="B575" s="717" t="n">
        <v>44196.83125</v>
      </c>
      <c r="C575" s="718" t="n">
        <v>44197.05277777778</v>
      </c>
      <c r="D575" s="719" t="inlineStr">
        <is>
          <t>PEPPERSTONE LIVE</t>
        </is>
      </c>
      <c r="E575" s="719" t="inlineStr">
        <is>
          <t>EURJPY</t>
        </is>
      </c>
      <c r="F575" s="719" t="inlineStr">
        <is>
          <t>BUY</t>
        </is>
      </c>
      <c r="G575" s="735" t="n">
        <v>0.02</v>
      </c>
      <c r="H575" s="720" t="n">
        <v>126.53</v>
      </c>
      <c r="I575" s="720" t="n">
        <v>126.298</v>
      </c>
      <c r="J575" s="721" t="n">
        <v>126.29</v>
      </c>
      <c r="K575" s="722" t="n">
        <v>0.001896783371532402</v>
      </c>
      <c r="L575" s="721" t="n">
        <v>127.01</v>
      </c>
      <c r="M575" s="722" t="n">
        <v>0.003793566743064917</v>
      </c>
      <c r="N575" s="761" t="n"/>
      <c r="O575" s="762" t="n">
        <v>-5.98</v>
      </c>
      <c r="P575" s="725" t="n">
        <v>-0.01213129386943644</v>
      </c>
      <c r="Q575" s="726" t="n">
        <v>-0.9666666666666844</v>
      </c>
      <c r="R575" s="764" t="n">
        <v>486.96</v>
      </c>
      <c r="S575" s="719" t="inlineStr">
        <is>
          <t>5H 19M 0S</t>
        </is>
      </c>
      <c r="T575" s="728" t="n"/>
      <c r="U575" s="729" t="n"/>
      <c r="V575" s="807" t="n"/>
      <c r="W575" s="725" t="n"/>
      <c r="X575" s="722" t="n"/>
      <c r="Y575" s="728" t="n"/>
      <c r="Z575" s="729" t="n"/>
      <c r="AA575" s="730" t="n"/>
      <c r="AB575" s="731" t="n"/>
      <c r="AC575" s="732" t="n"/>
      <c r="AD575" s="719" t="inlineStr">
        <is>
          <t>No</t>
        </is>
      </c>
      <c r="AE575" s="733" t="n"/>
      <c r="AF575" s="733" t="n"/>
      <c r="AG575" s="733" t="n"/>
      <c r="AH575" s="733" t="n"/>
      <c r="AI575" s="719" t="n"/>
      <c r="AJ575" s="733" t="n"/>
      <c r="AK575" s="733" t="n"/>
      <c r="AL575" s="733" t="n"/>
      <c r="AM575" s="733" t="n"/>
      <c r="AN575" s="733" t="n"/>
      <c r="AO575" s="733" t="n"/>
      <c r="AP575" s="719" t="inlineStr">
        <is>
          <t>Pullback</t>
        </is>
      </c>
      <c r="AQ575" s="719" t="n"/>
      <c r="AR575" s="719" t="inlineStr">
        <is>
          <t>No</t>
        </is>
      </c>
      <c r="AS575" s="733" t="n"/>
      <c r="AT575" s="733" t="n"/>
      <c r="AU575" s="733" t="n"/>
      <c r="AV575" s="733" t="n"/>
      <c r="AW575" s="719" t="inlineStr">
        <is>
          <t>trade</t>
        </is>
      </c>
      <c r="AX575" s="734" t="inlineStr">
        <is>
          <t>sig:04dc6044e2e30fbe9d2da211</t>
        </is>
      </c>
    </row>
    <row r="576" ht="15" customHeight="1">
      <c r="A576" s="716" t="inlineStr">
        <is>
          <t>C132</t>
        </is>
      </c>
      <c r="B576" s="717" t="n">
        <v>44194.07083333333</v>
      </c>
      <c r="C576" s="718" t="n">
        <v>44194.27361111111</v>
      </c>
      <c r="D576" s="719" t="inlineStr">
        <is>
          <t>BYBIT</t>
        </is>
      </c>
      <c r="E576" s="719" t="inlineStr">
        <is>
          <t>LTCUSDT</t>
        </is>
      </c>
      <c r="F576" s="719" t="inlineStr">
        <is>
          <t>BUY</t>
        </is>
      </c>
      <c r="G576" s="720" t="n">
        <v>1.4</v>
      </c>
      <c r="H576" s="720" t="n">
        <v>131.17</v>
      </c>
      <c r="I576" s="720" t="n">
        <v>128.34</v>
      </c>
      <c r="J576" s="789" t="n"/>
      <c r="K576" s="732" t="n"/>
      <c r="L576" s="789" t="n"/>
      <c r="M576" s="732" t="n"/>
      <c r="N576" s="758" t="n">
        <v>0.13410765</v>
      </c>
      <c r="O576" s="724" t="n">
        <v>-4.0969743</v>
      </c>
      <c r="P576" s="725" t="n">
        <v>-0.01117286841953022</v>
      </c>
      <c r="Q576" s="790" t="n"/>
      <c r="R576" s="727" t="n">
        <v>362.59259423</v>
      </c>
      <c r="S576" s="719" t="inlineStr">
        <is>
          <t>4H 52M 0S</t>
        </is>
      </c>
      <c r="T576" s="728" t="n"/>
      <c r="U576" s="729" t="n"/>
      <c r="V576" s="730" t="n"/>
      <c r="W576" s="731" t="n"/>
      <c r="X576" s="732" t="n"/>
      <c r="Y576" s="728" t="n"/>
      <c r="Z576" s="729" t="n"/>
      <c r="AA576" s="730" t="n"/>
      <c r="AB576" s="731" t="n"/>
      <c r="AC576" s="732" t="n"/>
      <c r="AD576" s="719" t="inlineStr">
        <is>
          <t>No</t>
        </is>
      </c>
      <c r="AE576" s="733" t="n"/>
      <c r="AF576" s="733" t="n"/>
      <c r="AG576" s="733" t="n"/>
      <c r="AH576" s="733" t="n"/>
      <c r="AI576" s="719" t="inlineStr">
        <is>
          <t>Limit</t>
        </is>
      </c>
      <c r="AJ576" s="733" t="n"/>
      <c r="AK576" s="733" t="n"/>
      <c r="AL576" s="733" t="n"/>
      <c r="AM576" s="733" t="n"/>
      <c r="AN576" s="733" t="n"/>
      <c r="AO576" s="733" t="n"/>
      <c r="AP576" s="719" t="inlineStr">
        <is>
          <t>Pullback</t>
        </is>
      </c>
      <c r="AQ576" s="733" t="n"/>
      <c r="AR576" s="719" t="inlineStr">
        <is>
          <t>No</t>
        </is>
      </c>
      <c r="AS576" s="782" t="n"/>
      <c r="AT576" s="733" t="n"/>
      <c r="AU576" s="719" t="n"/>
      <c r="AV576" s="719" t="n"/>
      <c r="AW576" s="719" t="inlineStr">
        <is>
          <t>trade</t>
        </is>
      </c>
      <c r="AX576" s="734" t="inlineStr">
        <is>
          <t>sig:13384b17e8ce7b22af743951</t>
        </is>
      </c>
    </row>
    <row r="577" ht="15" customHeight="1">
      <c r="A577" s="716" t="inlineStr">
        <is>
          <t>C131</t>
        </is>
      </c>
      <c r="B577" s="717" t="n">
        <v>44193.1</v>
      </c>
      <c r="C577" s="718" t="n">
        <v>44193.28194444445</v>
      </c>
      <c r="D577" s="719" t="inlineStr">
        <is>
          <t>BYBIT</t>
        </is>
      </c>
      <c r="E577" s="719" t="inlineStr">
        <is>
          <t>BTCUSDT</t>
        </is>
      </c>
      <c r="F577" s="719" t="inlineStr">
        <is>
          <t>BUY</t>
        </is>
      </c>
      <c r="G577" s="757" t="n">
        <v>0.007</v>
      </c>
      <c r="H577" s="720" t="n">
        <v>26847.5</v>
      </c>
      <c r="I577" s="720" t="n">
        <v>26344</v>
      </c>
      <c r="J577" s="721" t="n">
        <v>26346.5</v>
      </c>
      <c r="K577" s="722" t="n">
        <v>0.01866095539621939</v>
      </c>
      <c r="L577" s="721" t="n">
        <v>27859.5</v>
      </c>
      <c r="M577" s="722" t="n">
        <v>0.03769438495204396</v>
      </c>
      <c r="N577" s="723" t="n">
        <v>0.04698312</v>
      </c>
      <c r="O577" s="724" t="n">
        <v>-3.47838353</v>
      </c>
      <c r="P577" s="725" t="n">
        <v>-0.009396771143051827</v>
      </c>
      <c r="Q577" s="726" t="n">
        <v>-1.00499001996008</v>
      </c>
      <c r="R577" s="727" t="n">
        <v>366.68956853</v>
      </c>
      <c r="S577" s="719" t="inlineStr">
        <is>
          <t>4H 22M 0S</t>
        </is>
      </c>
      <c r="T577" s="728" t="n"/>
      <c r="U577" s="729" t="n"/>
      <c r="V577" s="807" t="n">
        <v>27528</v>
      </c>
      <c r="W577" s="725" t="n">
        <v>0.02534686656113232</v>
      </c>
      <c r="X577" s="722" t="n">
        <v>0.01189899316211705</v>
      </c>
      <c r="Y577" s="728" t="n"/>
      <c r="Z577" s="729" t="n"/>
      <c r="AA577" s="730" t="n"/>
      <c r="AB577" s="731" t="n"/>
      <c r="AC577" s="732" t="n"/>
      <c r="AD577" s="719" t="inlineStr">
        <is>
          <t>No</t>
        </is>
      </c>
      <c r="AE577" s="733" t="n"/>
      <c r="AF577" s="733" t="n"/>
      <c r="AG577" s="733" t="n"/>
      <c r="AH577" s="733" t="n"/>
      <c r="AI577" s="719" t="inlineStr">
        <is>
          <t>Limit</t>
        </is>
      </c>
      <c r="AJ577" s="733" t="n"/>
      <c r="AK577" s="733" t="n"/>
      <c r="AL577" s="733" t="n"/>
      <c r="AM577" s="733" t="n"/>
      <c r="AN577" s="733" t="n"/>
      <c r="AO577" s="733" t="n"/>
      <c r="AP577" s="719" t="inlineStr">
        <is>
          <t>Pullback</t>
        </is>
      </c>
      <c r="AQ577" s="719" t="inlineStr">
        <is>
          <t>15MIN</t>
        </is>
      </c>
      <c r="AR577" s="719" t="inlineStr">
        <is>
          <t>No</t>
        </is>
      </c>
      <c r="AS577" s="733" t="n"/>
      <c r="AT577" s="733" t="n"/>
      <c r="AU577" s="733" t="n"/>
      <c r="AV577" s="733" t="n"/>
      <c r="AW577" s="719" t="inlineStr">
        <is>
          <t>trade</t>
        </is>
      </c>
      <c r="AX577" s="734" t="inlineStr">
        <is>
          <t>sig:2b46e5c1de96f6b24984a301</t>
        </is>
      </c>
    </row>
    <row r="578" ht="15" customHeight="1">
      <c r="A578" s="716" t="inlineStr">
        <is>
          <t>C130</t>
        </is>
      </c>
      <c r="B578" s="717" t="n">
        <v>44193.03888888889</v>
      </c>
      <c r="C578" s="718" t="n">
        <v>44193.05902777778</v>
      </c>
      <c r="D578" s="719" t="inlineStr">
        <is>
          <t>BYBIT</t>
        </is>
      </c>
      <c r="E578" s="719" t="inlineStr">
        <is>
          <t>BTCUSDT</t>
        </is>
      </c>
      <c r="F578" s="719" t="inlineStr">
        <is>
          <t>BUY</t>
        </is>
      </c>
      <c r="G578" s="735" t="n">
        <v>0.013</v>
      </c>
      <c r="H578" s="720" t="n">
        <v>27371.5</v>
      </c>
      <c r="I578" s="720" t="n">
        <v>27073.5</v>
      </c>
      <c r="J578" s="721" t="n">
        <v>27086</v>
      </c>
      <c r="K578" s="722" t="n">
        <v>0.01043055733153097</v>
      </c>
      <c r="L578" s="721" t="n">
        <v>27946</v>
      </c>
      <c r="M578" s="722" t="n">
        <v>0.02098898489304568</v>
      </c>
      <c r="N578" s="723" t="n">
        <v>0.08895773999999999</v>
      </c>
      <c r="O578" s="724" t="n">
        <v>-3.78590891</v>
      </c>
      <c r="P578" s="725" t="n">
        <v>-0.01012400005759994</v>
      </c>
      <c r="Q578" s="726" t="n">
        <v>-1.043782837127846</v>
      </c>
      <c r="R578" s="727" t="n">
        <v>370.1679520599999</v>
      </c>
      <c r="S578" s="719" t="inlineStr">
        <is>
          <t>29M 0S</t>
        </is>
      </c>
      <c r="T578" s="717" t="n"/>
      <c r="U578" s="806" t="n"/>
      <c r="V578" s="807" t="n">
        <v>27778.5</v>
      </c>
      <c r="W578" s="725" t="n">
        <v>0.01486948102953802</v>
      </c>
      <c r="X578" s="722" t="n">
        <v>0.005993702139841122</v>
      </c>
      <c r="Y578" s="728" t="n"/>
      <c r="Z578" s="729" t="n"/>
      <c r="AA578" s="730" t="n"/>
      <c r="AB578" s="731" t="n"/>
      <c r="AC578" s="732" t="n"/>
      <c r="AD578" s="719" t="inlineStr">
        <is>
          <t>No</t>
        </is>
      </c>
      <c r="AE578" s="733" t="n"/>
      <c r="AF578" s="733" t="n"/>
      <c r="AG578" s="733" t="n"/>
      <c r="AH578" s="733" t="n"/>
      <c r="AI578" s="719" t="inlineStr">
        <is>
          <t>Limit</t>
        </is>
      </c>
      <c r="AJ578" s="733" t="n"/>
      <c r="AK578" s="733" t="n"/>
      <c r="AL578" s="733" t="n"/>
      <c r="AM578" s="733" t="n"/>
      <c r="AN578" s="733" t="n"/>
      <c r="AO578" s="733" t="n"/>
      <c r="AP578" s="719" t="inlineStr">
        <is>
          <t>Pullback</t>
        </is>
      </c>
      <c r="AQ578" s="719" t="inlineStr">
        <is>
          <t>15MIN</t>
        </is>
      </c>
      <c r="AR578" s="719" t="inlineStr">
        <is>
          <t>No</t>
        </is>
      </c>
      <c r="AS578" s="733" t="n"/>
      <c r="AT578" s="733" t="n"/>
      <c r="AU578" s="733" t="n"/>
      <c r="AV578" s="733" t="n"/>
      <c r="AW578" s="719" t="inlineStr">
        <is>
          <t>trade</t>
        </is>
      </c>
      <c r="AX578" s="734" t="inlineStr">
        <is>
          <t>sig:9fa593288abeea63a349c4c4</t>
        </is>
      </c>
    </row>
    <row r="579" ht="15" customHeight="1">
      <c r="A579" s="737" t="inlineStr">
        <is>
          <t>C129</t>
        </is>
      </c>
      <c r="B579" s="738" t="n">
        <v>44192.21736111111</v>
      </c>
      <c r="C579" s="739" t="n">
        <v>44192.29791666667</v>
      </c>
      <c r="D579" s="740" t="inlineStr">
        <is>
          <t>BYBIT</t>
        </is>
      </c>
      <c r="E579" s="740" t="inlineStr">
        <is>
          <t>LTCUSDT</t>
        </is>
      </c>
      <c r="F579" s="740" t="inlineStr">
        <is>
          <t>BUY</t>
        </is>
      </c>
      <c r="G579" s="742" t="n">
        <v>2</v>
      </c>
      <c r="H579" s="742" t="n">
        <v>130.7</v>
      </c>
      <c r="I579" s="742" t="n">
        <v>134.52</v>
      </c>
      <c r="J579" s="743" t="n">
        <v>128.82</v>
      </c>
      <c r="K579" s="744" t="n">
        <v>0.01438408569242537</v>
      </c>
      <c r="L579" s="743" t="n">
        <v>134.48</v>
      </c>
      <c r="M579" s="744" t="n">
        <v>0.0289211935730681</v>
      </c>
      <c r="N579" s="802" t="n">
        <v>0.06535000000000001</v>
      </c>
      <c r="O579" s="746" t="n">
        <v>7.70448335</v>
      </c>
      <c r="P579" s="747" t="n">
        <v>0.0210361677610651</v>
      </c>
      <c r="Q579" s="748" t="n">
        <v>2.031914893617038</v>
      </c>
      <c r="R579" s="749" t="n">
        <v>373.9538609699999</v>
      </c>
      <c r="S579" s="740" t="inlineStr">
        <is>
          <t>1H 56M 0S</t>
        </is>
      </c>
      <c r="T579" s="738" t="n">
        <v>44191.86527777778</v>
      </c>
      <c r="U579" s="809" t="inlineStr">
        <is>
          <t>1H 33M 0S</t>
        </is>
      </c>
      <c r="V579" s="810" t="n">
        <v>133.2</v>
      </c>
      <c r="W579" s="747" t="n">
        <v>0.01912777352716144</v>
      </c>
      <c r="X579" s="744" t="n">
        <v>0.009518143961927433</v>
      </c>
      <c r="Y579" s="750" t="n"/>
      <c r="Z579" s="751" t="n"/>
      <c r="AA579" s="752" t="n"/>
      <c r="AB579" s="753" t="n"/>
      <c r="AC579" s="754" t="n"/>
      <c r="AD579" s="740" t="inlineStr">
        <is>
          <t>No</t>
        </is>
      </c>
      <c r="AE579" s="755" t="n"/>
      <c r="AF579" s="755" t="n"/>
      <c r="AG579" s="755" t="n"/>
      <c r="AH579" s="755" t="n"/>
      <c r="AI579" s="740" t="inlineStr">
        <is>
          <t>Limit</t>
        </is>
      </c>
      <c r="AJ579" s="755" t="n"/>
      <c r="AK579" s="755" t="n"/>
      <c r="AL579" s="755" t="n"/>
      <c r="AM579" s="755" t="n"/>
      <c r="AN579" s="755" t="n"/>
      <c r="AO579" s="755" t="n"/>
      <c r="AP579" s="740" t="inlineStr">
        <is>
          <t>Pullback</t>
        </is>
      </c>
      <c r="AQ579" s="740" t="inlineStr">
        <is>
          <t>5MIN</t>
        </is>
      </c>
      <c r="AR579" s="740" t="inlineStr">
        <is>
          <t>No</t>
        </is>
      </c>
      <c r="AS579" s="755" t="n"/>
      <c r="AT579" s="755" t="n"/>
      <c r="AU579" s="755" t="n"/>
      <c r="AV579" s="755" t="n"/>
      <c r="AW579" s="740" t="inlineStr">
        <is>
          <t>trade</t>
        </is>
      </c>
      <c r="AX579" s="756" t="inlineStr">
        <is>
          <t>sig:ed5cab290c64c39e8160fd95</t>
        </is>
      </c>
    </row>
    <row r="580" ht="15" customHeight="1">
      <c r="A580" s="737" t="inlineStr">
        <is>
          <t>C128</t>
        </is>
      </c>
      <c r="B580" s="738" t="n">
        <v>44190.06041666667</v>
      </c>
      <c r="C580" s="739" t="n">
        <v>44190.83680555555</v>
      </c>
      <c r="D580" s="740" t="inlineStr">
        <is>
          <t>BYBIT</t>
        </is>
      </c>
      <c r="E580" s="740" t="inlineStr">
        <is>
          <t>BTCUSDT</t>
        </is>
      </c>
      <c r="F580" s="740" t="inlineStr">
        <is>
          <t>BUY</t>
        </is>
      </c>
      <c r="G580" s="741" t="n">
        <v>0.008</v>
      </c>
      <c r="H580" s="742" t="n">
        <v>23133.5</v>
      </c>
      <c r="I580" s="742" t="n">
        <v>24003</v>
      </c>
      <c r="J580" s="743" t="n">
        <v>22702</v>
      </c>
      <c r="K580" s="744" t="n">
        <v>0.0186526033674109</v>
      </c>
      <c r="L580" s="743" t="n">
        <v>24003.5</v>
      </c>
      <c r="M580" s="744" t="n">
        <v>0.03760779821471027</v>
      </c>
      <c r="N580" s="802" t="n">
        <v>0.01022487</v>
      </c>
      <c r="O580" s="746" t="n">
        <v>6.94490848</v>
      </c>
      <c r="P580" s="747" t="n">
        <v>0.019328756184477</v>
      </c>
      <c r="Q580" s="748" t="n">
        <v>2.015063731170336</v>
      </c>
      <c r="R580" s="749" t="n">
        <v>366.24937762</v>
      </c>
      <c r="S580" s="740" t="inlineStr">
        <is>
          <t>18H 38M 0S</t>
        </is>
      </c>
      <c r="T580" s="738" t="n">
        <v>44189.97083333333</v>
      </c>
      <c r="U580" s="809" t="inlineStr">
        <is>
          <t>7H 51M 0S</t>
        </is>
      </c>
      <c r="V580" s="810" t="n">
        <v>23767.5</v>
      </c>
      <c r="W580" s="747" t="n">
        <v>0.02740614260704174</v>
      </c>
      <c r="X580" s="744" t="n">
        <v>0.009831899514654113</v>
      </c>
      <c r="Y580" s="750" t="n"/>
      <c r="Z580" s="751" t="n"/>
      <c r="AA580" s="752" t="n"/>
      <c r="AB580" s="753" t="n"/>
      <c r="AC580" s="754" t="n"/>
      <c r="AD580" s="740" t="inlineStr">
        <is>
          <t>No</t>
        </is>
      </c>
      <c r="AE580" s="755" t="n"/>
      <c r="AF580" s="755" t="n"/>
      <c r="AG580" s="755" t="n"/>
      <c r="AH580" s="755" t="n"/>
      <c r="AI580" s="740" t="inlineStr">
        <is>
          <t>Limit</t>
        </is>
      </c>
      <c r="AJ580" s="755" t="n"/>
      <c r="AK580" s="755" t="n"/>
      <c r="AL580" s="755" t="n"/>
      <c r="AM580" s="755" t="n"/>
      <c r="AN580" s="755" t="n"/>
      <c r="AO580" s="755" t="n"/>
      <c r="AP580" s="740" t="inlineStr">
        <is>
          <t>Pullback</t>
        </is>
      </c>
      <c r="AQ580" s="740" t="inlineStr">
        <is>
          <t>1H</t>
        </is>
      </c>
      <c r="AR580" s="740" t="inlineStr">
        <is>
          <t>No</t>
        </is>
      </c>
      <c r="AS580" s="755" t="n"/>
      <c r="AT580" s="755" t="n"/>
      <c r="AU580" s="755" t="n"/>
      <c r="AV580" s="755" t="n"/>
      <c r="AW580" s="740" t="inlineStr">
        <is>
          <t>trade</t>
        </is>
      </c>
      <c r="AX580" s="756" t="inlineStr">
        <is>
          <t>sig:fbdc5951abaf365d9c881e8d</t>
        </is>
      </c>
    </row>
    <row r="581" ht="15" customHeight="1">
      <c r="A581" s="716" t="inlineStr">
        <is>
          <t>F1098</t>
        </is>
      </c>
      <c r="B581" s="717" t="n">
        <v>44190.17916666667</v>
      </c>
      <c r="C581" s="718" t="n">
        <v>44190.17917824074</v>
      </c>
      <c r="D581" s="719" t="inlineStr">
        <is>
          <t>PEPPERSTONE LIVE</t>
        </is>
      </c>
      <c r="E581" s="719" t="inlineStr">
        <is>
          <t>EURNZD</t>
        </is>
      </c>
      <c r="F581" s="719" t="inlineStr">
        <is>
          <t>SELL</t>
        </is>
      </c>
      <c r="G581" s="735" t="n">
        <v>0.07000000000000001</v>
      </c>
      <c r="H581" s="720" t="n">
        <v>1.7152</v>
      </c>
      <c r="I581" s="720" t="n">
        <v>1.71635</v>
      </c>
      <c r="J581" s="721" t="n">
        <v>1.716</v>
      </c>
      <c r="K581" s="760" t="n">
        <v>0.0004664179104477098</v>
      </c>
      <c r="L581" s="721" t="n">
        <v>1.7136</v>
      </c>
      <c r="M581" s="760" t="n">
        <v>0.000932835820895549</v>
      </c>
      <c r="N581" s="761" t="n"/>
      <c r="O581" s="762" t="n">
        <v>-7.06</v>
      </c>
      <c r="P581" s="725" t="n">
        <v>-0.01412</v>
      </c>
      <c r="Q581" s="726" t="n">
        <v>-1.437500000000139</v>
      </c>
      <c r="R581" s="764" t="n">
        <v>492.94</v>
      </c>
      <c r="S581" s="719" t="inlineStr">
        <is>
          <t>1S</t>
        </is>
      </c>
      <c r="T581" s="728" t="n"/>
      <c r="U581" s="729" t="n"/>
      <c r="V581" s="807" t="n"/>
      <c r="W581" s="725" t="n"/>
      <c r="X581" s="722" t="n"/>
      <c r="Y581" s="728" t="n"/>
      <c r="Z581" s="729" t="n"/>
      <c r="AA581" s="730" t="n"/>
      <c r="AB581" s="731" t="n"/>
      <c r="AC581" s="732" t="n"/>
      <c r="AD581" s="719" t="inlineStr">
        <is>
          <t>No</t>
        </is>
      </c>
      <c r="AE581" s="733" t="n"/>
      <c r="AF581" s="733" t="n"/>
      <c r="AG581" s="733" t="n"/>
      <c r="AH581" s="733" t="n"/>
      <c r="AI581" s="719" t="n"/>
      <c r="AJ581" s="733" t="n"/>
      <c r="AK581" s="733" t="n"/>
      <c r="AL581" s="733" t="n"/>
      <c r="AM581" s="733" t="n"/>
      <c r="AN581" s="733" t="n"/>
      <c r="AO581" s="733" t="n"/>
      <c r="AP581" s="719" t="inlineStr">
        <is>
          <t>Pullback</t>
        </is>
      </c>
      <c r="AQ581" s="719" t="n"/>
      <c r="AR581" s="719" t="inlineStr">
        <is>
          <t>No</t>
        </is>
      </c>
      <c r="AS581" s="733" t="n"/>
      <c r="AT581" s="733" t="n"/>
      <c r="AU581" s="733" t="n"/>
      <c r="AV581" s="733" t="n"/>
      <c r="AW581" s="719" t="inlineStr">
        <is>
          <t>trade</t>
        </is>
      </c>
      <c r="AX581" s="734" t="inlineStr">
        <is>
          <t>sig:2ed37bd5be2e0bd3fa3b6199</t>
        </is>
      </c>
    </row>
    <row r="582" ht="15" customHeight="1">
      <c r="A582" s="716" t="inlineStr">
        <is>
          <t>C127</t>
        </is>
      </c>
      <c r="B582" s="717" t="n">
        <v>44189.33958333333</v>
      </c>
      <c r="C582" s="718" t="n">
        <v>44189.34861111111</v>
      </c>
      <c r="D582" s="719" t="inlineStr">
        <is>
          <t>BYBIT</t>
        </is>
      </c>
      <c r="E582" s="719" t="inlineStr">
        <is>
          <t>BTCUSDT</t>
        </is>
      </c>
      <c r="F582" s="719" t="inlineStr">
        <is>
          <t>BUY</t>
        </is>
      </c>
      <c r="G582" s="757" t="n">
        <v>0.008999999999999999</v>
      </c>
      <c r="H582" s="720" t="n">
        <v>23139</v>
      </c>
      <c r="I582" s="720" t="n">
        <v>22716</v>
      </c>
      <c r="J582" s="721" t="n">
        <v>22713.5</v>
      </c>
      <c r="K582" s="722" t="n">
        <v>0.01838886728034919</v>
      </c>
      <c r="L582" s="721" t="n">
        <v>23990</v>
      </c>
      <c r="M582" s="722" t="n">
        <v>0.03677773456069839</v>
      </c>
      <c r="N582" s="723" t="n">
        <v>0.05206275</v>
      </c>
      <c r="O582" s="724" t="n">
        <v>-3.7558039</v>
      </c>
      <c r="P582" s="725" t="n">
        <v>-0.0103448495439935</v>
      </c>
      <c r="Q582" s="726" t="n">
        <v>-0.9941245593419507</v>
      </c>
      <c r="R582" s="727" t="n">
        <v>359.30446914</v>
      </c>
      <c r="S582" s="719" t="inlineStr">
        <is>
          <t>13M 0S</t>
        </is>
      </c>
      <c r="T582" s="728" t="n"/>
      <c r="U582" s="729" t="n"/>
      <c r="V582" s="807" t="n">
        <v>23723.5</v>
      </c>
      <c r="W582" s="725" t="n">
        <v>0.02526038290332339</v>
      </c>
      <c r="X582" s="722" t="n">
        <v>0.01110879533138808</v>
      </c>
      <c r="Y582" s="728" t="n"/>
      <c r="Z582" s="729" t="n"/>
      <c r="AA582" s="730" t="n"/>
      <c r="AB582" s="731" t="n"/>
      <c r="AC582" s="732" t="n"/>
      <c r="AD582" s="719" t="inlineStr">
        <is>
          <t>No</t>
        </is>
      </c>
      <c r="AE582" s="733" t="n"/>
      <c r="AF582" s="733" t="n"/>
      <c r="AG582" s="733" t="n"/>
      <c r="AH582" s="733" t="n"/>
      <c r="AI582" s="719" t="inlineStr">
        <is>
          <t>Limit</t>
        </is>
      </c>
      <c r="AJ582" s="733" t="n"/>
      <c r="AK582" s="733" t="n"/>
      <c r="AL582" s="733" t="n"/>
      <c r="AM582" s="733" t="n"/>
      <c r="AN582" s="733" t="n"/>
      <c r="AO582" s="733" t="n"/>
      <c r="AP582" s="719" t="inlineStr">
        <is>
          <t>Pullback</t>
        </is>
      </c>
      <c r="AQ582" s="719" t="inlineStr">
        <is>
          <t>1H</t>
        </is>
      </c>
      <c r="AR582" s="719" t="inlineStr">
        <is>
          <t>No</t>
        </is>
      </c>
      <c r="AS582" s="733" t="n"/>
      <c r="AT582" s="733" t="n"/>
      <c r="AU582" s="733" t="n"/>
      <c r="AV582" s="733" t="n"/>
      <c r="AW582" s="719" t="inlineStr">
        <is>
          <t>trade</t>
        </is>
      </c>
      <c r="AX582" s="734" t="inlineStr">
        <is>
          <t>sig:6f50b69b5f4a0c60dd5dfe67</t>
        </is>
      </c>
    </row>
    <row r="583" ht="15" customHeight="1">
      <c r="A583" s="716" t="inlineStr">
        <is>
          <t>C126</t>
        </is>
      </c>
      <c r="B583" s="717" t="n">
        <v>44188.87986111111</v>
      </c>
      <c r="C583" s="718" t="n">
        <v>44188.88263888889</v>
      </c>
      <c r="D583" s="719" t="inlineStr">
        <is>
          <t>BYBIT</t>
        </is>
      </c>
      <c r="E583" s="719" t="inlineStr">
        <is>
          <t>BTCUSDT</t>
        </is>
      </c>
      <c r="F583" s="719" t="inlineStr">
        <is>
          <t>BUY</t>
        </is>
      </c>
      <c r="G583" s="735" t="n">
        <v>0.011</v>
      </c>
      <c r="H583" s="720" t="n">
        <v>23238.5</v>
      </c>
      <c r="I583" s="720" t="n">
        <v>22892</v>
      </c>
      <c r="J583" s="721" t="n">
        <v>22892.5</v>
      </c>
      <c r="K583" s="722" t="n">
        <v>0.01488908492372571</v>
      </c>
      <c r="L583" s="721" t="n">
        <v>23930</v>
      </c>
      <c r="M583" s="722" t="n">
        <v>0.02975665382877552</v>
      </c>
      <c r="N583" s="723" t="n">
        <v>0.06390587</v>
      </c>
      <c r="O583" s="724" t="n">
        <v>-3.74846078</v>
      </c>
      <c r="P583" s="725" t="n">
        <v>-0.01021911539827032</v>
      </c>
      <c r="Q583" s="726" t="n">
        <v>-1.001445086705202</v>
      </c>
      <c r="R583" s="727" t="n">
        <v>363.06027304</v>
      </c>
      <c r="S583" s="719" t="inlineStr">
        <is>
          <t>4M 0S</t>
        </is>
      </c>
      <c r="T583" s="728" t="n"/>
      <c r="U583" s="729" t="n"/>
      <c r="V583" s="807" t="n">
        <v>23741.5</v>
      </c>
      <c r="W583" s="725" t="n">
        <v>0.02164511478795964</v>
      </c>
      <c r="X583" s="722" t="n">
        <v>0.007877141663184288</v>
      </c>
      <c r="Y583" s="728" t="n"/>
      <c r="Z583" s="729" t="n"/>
      <c r="AA583" s="730" t="n"/>
      <c r="AB583" s="731" t="n"/>
      <c r="AC583" s="732" t="n"/>
      <c r="AD583" s="719" t="inlineStr">
        <is>
          <t>No</t>
        </is>
      </c>
      <c r="AE583" s="733" t="n"/>
      <c r="AF583" s="733" t="n"/>
      <c r="AG583" s="733" t="n"/>
      <c r="AH583" s="733" t="n"/>
      <c r="AI583" s="719" t="inlineStr">
        <is>
          <t>Limit</t>
        </is>
      </c>
      <c r="AJ583" s="733" t="n"/>
      <c r="AK583" s="733" t="n"/>
      <c r="AL583" s="733" t="n"/>
      <c r="AM583" s="733" t="n"/>
      <c r="AN583" s="733" t="n"/>
      <c r="AO583" s="733" t="n"/>
      <c r="AP583" s="719" t="inlineStr">
        <is>
          <t>Pullback</t>
        </is>
      </c>
      <c r="AQ583" s="719" t="inlineStr">
        <is>
          <t>1H</t>
        </is>
      </c>
      <c r="AR583" s="719" t="inlineStr">
        <is>
          <t>No</t>
        </is>
      </c>
      <c r="AS583" s="733" t="n"/>
      <c r="AT583" s="733" t="n"/>
      <c r="AU583" s="733" t="n"/>
      <c r="AV583" s="733" t="n"/>
      <c r="AW583" s="719" t="inlineStr">
        <is>
          <t>trade</t>
        </is>
      </c>
      <c r="AX583" s="734" t="inlineStr">
        <is>
          <t>sig:d9e8fdd75459ab7a73d381e2</t>
        </is>
      </c>
    </row>
    <row r="584" ht="15" customHeight="1">
      <c r="A584" s="42" t="n"/>
      <c r="B584" s="770" t="n">
        <v>44188</v>
      </c>
      <c r="C584" s="771" t="n">
        <v>44188</v>
      </c>
      <c r="D584" s="12" t="inlineStr">
        <is>
          <t>PEPPERSTONE LIVE</t>
        </is>
      </c>
      <c r="E584" s="12" t="inlineStr">
        <is>
          <t>CASHFLOW</t>
        </is>
      </c>
      <c r="F584" s="12" t="inlineStr">
        <is>
          <t>DEPOSIT</t>
        </is>
      </c>
      <c r="G584" s="262" t="n"/>
      <c r="H584" s="262" t="n"/>
      <c r="I584" s="262" t="n"/>
      <c r="J584" s="263" t="n"/>
      <c r="K584" s="36" t="n"/>
      <c r="L584" s="263" t="n"/>
      <c r="M584" s="36" t="n"/>
      <c r="N584" s="772" t="n"/>
      <c r="O584" s="773" t="n"/>
      <c r="P584" s="3" t="n"/>
      <c r="Q584" s="51" t="n"/>
      <c r="R584" s="54" t="n">
        <v>500</v>
      </c>
      <c r="S584" s="12" t="n"/>
      <c r="T584" s="774" t="n"/>
      <c r="U584" s="6" t="n"/>
      <c r="V584" s="269" t="n"/>
      <c r="W584" s="3" t="n"/>
      <c r="X584" s="36" t="n"/>
      <c r="Y584" s="774" t="n"/>
      <c r="Z584" s="6" t="n"/>
      <c r="AA584" s="264" t="n"/>
      <c r="AB584" s="9" t="n"/>
      <c r="AC584" s="46" t="n"/>
      <c r="AD584" s="12" t="inlineStr">
        <is>
          <t>No</t>
        </is>
      </c>
      <c r="AE584" s="45" t="n"/>
      <c r="AF584" s="45" t="n"/>
      <c r="AG584" s="45" t="n"/>
      <c r="AH584" s="45" t="n"/>
      <c r="AI584" s="12" t="n"/>
      <c r="AJ584" s="45" t="n"/>
      <c r="AK584" s="45" t="n"/>
      <c r="AL584" s="45" t="n"/>
      <c r="AM584" s="45" t="n"/>
      <c r="AN584" s="45" t="n"/>
      <c r="AO584" s="45" t="n"/>
      <c r="AP584" s="12" t="n"/>
      <c r="AQ584" s="12" t="n"/>
      <c r="AR584" s="12" t="n"/>
      <c r="AS584" s="56" t="inlineStr">
        <is>
          <t>Deposit 500.0 AUD. Source: screenshot_ocr. Imported from account_cashflows.xlsx row 89.</t>
        </is>
      </c>
      <c r="AT584" s="45" t="n"/>
      <c r="AU584" s="12" t="n">
        <v>500</v>
      </c>
      <c r="AV584" s="12" t="inlineStr">
        <is>
          <t>AUD</t>
        </is>
      </c>
      <c r="AW584" s="12" t="inlineStr">
        <is>
          <t>cashflow</t>
        </is>
      </c>
      <c r="AX584" s="57" t="inlineStr">
        <is>
          <t>cashflow:PEPPERSTONE LIVE:2020-12-23T00:00:00:10</t>
        </is>
      </c>
    </row>
    <row r="585" ht="15" customHeight="1">
      <c r="A585" s="716" t="inlineStr">
        <is>
          <t>C125</t>
        </is>
      </c>
      <c r="B585" s="717" t="n">
        <v>44185.94375</v>
      </c>
      <c r="C585" s="718" t="n">
        <v>44186.33402777778</v>
      </c>
      <c r="D585" s="719" t="inlineStr">
        <is>
          <t>BYBIT</t>
        </is>
      </c>
      <c r="E585" s="719" t="inlineStr">
        <is>
          <t>LINKUSDT</t>
        </is>
      </c>
      <c r="F585" s="719" t="inlineStr">
        <is>
          <t>BUY</t>
        </is>
      </c>
      <c r="G585" s="720" t="n">
        <v>13</v>
      </c>
      <c r="H585" s="720" t="n">
        <v>13.3233</v>
      </c>
      <c r="I585" s="720" t="n">
        <v>13.02</v>
      </c>
      <c r="J585" s="721" t="n">
        <v>13.0385</v>
      </c>
      <c r="K585" s="722" t="n">
        <v>0.02137608550434193</v>
      </c>
      <c r="L585" s="721" t="n">
        <v>13.8998</v>
      </c>
      <c r="M585" s="722" t="n">
        <v>0.04327006072069241</v>
      </c>
      <c r="N585" s="758" t="n">
        <v>0.17243008</v>
      </c>
      <c r="O585" s="724" t="n">
        <v>-4.11229673</v>
      </c>
      <c r="P585" s="725" t="n">
        <v>-0.01108671763340651</v>
      </c>
      <c r="Q585" s="726" t="n">
        <v>-1.064957865168544</v>
      </c>
      <c r="R585" s="727" t="n">
        <v>366.80873382</v>
      </c>
      <c r="S585" s="719" t="inlineStr">
        <is>
          <t>9H 22M 0S</t>
        </is>
      </c>
      <c r="T585" s="728" t="n"/>
      <c r="U585" s="729" t="n"/>
      <c r="V585" s="807" t="n">
        <v>13.7268</v>
      </c>
      <c r="W585" s="725" t="n">
        <v>0.03028528968048465</v>
      </c>
      <c r="X585" s="722" t="n">
        <v>0.01244622224780213</v>
      </c>
      <c r="Y585" s="728" t="n"/>
      <c r="Z585" s="729" t="n"/>
      <c r="AA585" s="730" t="n"/>
      <c r="AB585" s="731" t="n"/>
      <c r="AC585" s="732" t="n"/>
      <c r="AD585" s="719" t="inlineStr">
        <is>
          <t>No</t>
        </is>
      </c>
      <c r="AE585" s="733" t="n"/>
      <c r="AF585" s="733" t="n"/>
      <c r="AG585" s="733" t="n"/>
      <c r="AH585" s="733" t="n"/>
      <c r="AI585" s="719" t="inlineStr">
        <is>
          <t>Limit</t>
        </is>
      </c>
      <c r="AJ585" s="733" t="n"/>
      <c r="AK585" s="733" t="n"/>
      <c r="AL585" s="733" t="n"/>
      <c r="AM585" s="733" t="n"/>
      <c r="AN585" s="733" t="n"/>
      <c r="AO585" s="733" t="n"/>
      <c r="AP585" s="719" t="inlineStr">
        <is>
          <t>Pullback</t>
        </is>
      </c>
      <c r="AQ585" s="719" t="inlineStr">
        <is>
          <t>1H</t>
        </is>
      </c>
      <c r="AR585" s="719" t="inlineStr">
        <is>
          <t>No</t>
        </is>
      </c>
      <c r="AS585" s="733" t="n"/>
      <c r="AT585" s="733" t="n"/>
      <c r="AU585" s="733" t="n"/>
      <c r="AV585" s="733" t="n"/>
      <c r="AW585" s="719" t="inlineStr">
        <is>
          <t>trade</t>
        </is>
      </c>
      <c r="AX585" s="734" t="inlineStr">
        <is>
          <t>sig:55196b33c39a4e715ed8e983</t>
        </is>
      </c>
    </row>
    <row r="586" ht="15" customHeight="1">
      <c r="A586" s="716" t="inlineStr">
        <is>
          <t>C124</t>
        </is>
      </c>
      <c r="B586" s="717" t="n">
        <v>44184.08333333334</v>
      </c>
      <c r="C586" s="718" t="n">
        <v>44185.43541666667</v>
      </c>
      <c r="D586" s="719" t="inlineStr">
        <is>
          <t>BYBIT</t>
        </is>
      </c>
      <c r="E586" s="719" t="inlineStr">
        <is>
          <t>LINKUSDT</t>
        </is>
      </c>
      <c r="F586" s="719" t="inlineStr">
        <is>
          <t>BUY</t>
        </is>
      </c>
      <c r="G586" s="720" t="n">
        <v>11</v>
      </c>
      <c r="H586" s="720" t="n">
        <v>13.3233</v>
      </c>
      <c r="I586" s="720" t="n">
        <v>13.32</v>
      </c>
      <c r="J586" s="721" t="n">
        <v>12.9876</v>
      </c>
      <c r="K586" s="722" t="n">
        <v>0.02519646033640309</v>
      </c>
      <c r="L586" s="721" t="n">
        <v>14.0064</v>
      </c>
      <c r="M586" s="722" t="n">
        <v>0.05127108148882031</v>
      </c>
      <c r="N586" s="758" t="n">
        <v>0.4741422</v>
      </c>
      <c r="O586" s="724" t="n">
        <v>-0.50800885</v>
      </c>
      <c r="P586" s="725" t="n">
        <v>-0.001367714411400435</v>
      </c>
      <c r="Q586" s="759" t="n">
        <v>-0.009830205540659583</v>
      </c>
      <c r="R586" s="727" t="n">
        <v>370.92103055</v>
      </c>
      <c r="S586" s="719" t="inlineStr">
        <is>
          <t>1D 8H 27M 0S</t>
        </is>
      </c>
      <c r="T586" s="717" t="n">
        <v>44184.45069444444</v>
      </c>
      <c r="U586" s="806" t="inlineStr">
        <is>
          <t>18H 49M 0S</t>
        </is>
      </c>
      <c r="V586" s="807" t="n">
        <v>13.7922</v>
      </c>
      <c r="W586" s="725" t="n">
        <v>0.03519398347256308</v>
      </c>
      <c r="X586" s="722" t="n">
        <v>0.01529300891021247</v>
      </c>
      <c r="Y586" s="728" t="n"/>
      <c r="Z586" s="729" t="n"/>
      <c r="AA586" s="730" t="n"/>
      <c r="AB586" s="731" t="n"/>
      <c r="AC586" s="732" t="n"/>
      <c r="AD586" s="719" t="inlineStr">
        <is>
          <t>No</t>
        </is>
      </c>
      <c r="AE586" s="733" t="n"/>
      <c r="AF586" s="733" t="n"/>
      <c r="AG586" s="733" t="n"/>
      <c r="AH586" s="733" t="n"/>
      <c r="AI586" s="719" t="inlineStr">
        <is>
          <t>Limit</t>
        </is>
      </c>
      <c r="AJ586" s="733" t="n"/>
      <c r="AK586" s="733" t="n"/>
      <c r="AL586" s="733" t="n"/>
      <c r="AM586" s="733" t="n"/>
      <c r="AN586" s="733" t="n"/>
      <c r="AO586" s="733" t="n"/>
      <c r="AP586" s="719" t="inlineStr">
        <is>
          <t>Pullback</t>
        </is>
      </c>
      <c r="AQ586" s="719" t="inlineStr">
        <is>
          <t>1H</t>
        </is>
      </c>
      <c r="AR586" s="719" t="inlineStr">
        <is>
          <t>No</t>
        </is>
      </c>
      <c r="AS586" s="733" t="n"/>
      <c r="AT586" s="733" t="n"/>
      <c r="AU586" s="733" t="n"/>
      <c r="AV586" s="733" t="n"/>
      <c r="AW586" s="719" t="inlineStr">
        <is>
          <t>trade</t>
        </is>
      </c>
      <c r="AX586" s="734" t="inlineStr">
        <is>
          <t>sig:6063b10a258eb4224e5b1b67</t>
        </is>
      </c>
    </row>
    <row r="587" ht="15" customHeight="1">
      <c r="A587" s="716" t="inlineStr">
        <is>
          <t>C123</t>
        </is>
      </c>
      <c r="B587" s="717" t="n">
        <v>44179.87847222222</v>
      </c>
      <c r="C587" s="718" t="n">
        <v>44180.79583333333</v>
      </c>
      <c r="D587" s="719" t="inlineStr">
        <is>
          <t>BYBIT</t>
        </is>
      </c>
      <c r="E587" s="719" t="inlineStr">
        <is>
          <t>LINKUSDT</t>
        </is>
      </c>
      <c r="F587" s="719" t="inlineStr">
        <is>
          <t>BUY</t>
        </is>
      </c>
      <c r="G587" s="720" t="n">
        <v>12.3</v>
      </c>
      <c r="H587" s="720" t="n">
        <v>12.5332</v>
      </c>
      <c r="I587" s="720" t="n">
        <v>12.528</v>
      </c>
      <c r="J587" s="721" t="n">
        <v>12.2311</v>
      </c>
      <c r="K587" s="722" t="n">
        <v>0.02410397982957274</v>
      </c>
      <c r="L587" s="721" t="n">
        <v>13.1374</v>
      </c>
      <c r="M587" s="722" t="n">
        <v>0.04820795965914521</v>
      </c>
      <c r="N587" s="811" t="n">
        <v>0.00831492</v>
      </c>
      <c r="O587" s="777" t="n">
        <v>-0.07108157</v>
      </c>
      <c r="P587" s="763" t="n">
        <v>-0.0001913365998762086</v>
      </c>
      <c r="Q587" s="781" t="n">
        <v>-0.01721284342932902</v>
      </c>
      <c r="R587" s="727" t="n">
        <v>371.4290394</v>
      </c>
      <c r="S587" s="719" t="inlineStr">
        <is>
          <t>22H 1M 0S</t>
        </is>
      </c>
      <c r="T587" s="717" t="n">
        <v>44179.86527777778</v>
      </c>
      <c r="U587" s="806" t="inlineStr">
        <is>
          <t>9H 41M 0S</t>
        </is>
      </c>
      <c r="V587" s="807" t="n">
        <v>12.9127</v>
      </c>
      <c r="W587" s="725" t="n">
        <v>0.03027957744231309</v>
      </c>
      <c r="X587" s="722" t="n">
        <v>0.0171038409426523</v>
      </c>
      <c r="Y587" s="728" t="n"/>
      <c r="Z587" s="729" t="n"/>
      <c r="AA587" s="730" t="n"/>
      <c r="AB587" s="731" t="n"/>
      <c r="AC587" s="732" t="n"/>
      <c r="AD587" s="719" t="inlineStr">
        <is>
          <t>No</t>
        </is>
      </c>
      <c r="AE587" s="733" t="n"/>
      <c r="AF587" s="733" t="n"/>
      <c r="AG587" s="733" t="n"/>
      <c r="AH587" s="733" t="n"/>
      <c r="AI587" s="719" t="inlineStr">
        <is>
          <t>Limit</t>
        </is>
      </c>
      <c r="AJ587" s="733" t="n"/>
      <c r="AK587" s="733" t="n"/>
      <c r="AL587" s="733" t="n"/>
      <c r="AM587" s="733" t="n"/>
      <c r="AN587" s="733" t="n"/>
      <c r="AO587" s="733" t="n"/>
      <c r="AP587" s="719" t="inlineStr">
        <is>
          <t>Pullback</t>
        </is>
      </c>
      <c r="AQ587" s="719" t="inlineStr">
        <is>
          <t>1H</t>
        </is>
      </c>
      <c r="AR587" s="719" t="inlineStr">
        <is>
          <t>No</t>
        </is>
      </c>
      <c r="AS587" s="733" t="n"/>
      <c r="AT587" s="733" t="n"/>
      <c r="AU587" s="733" t="n"/>
      <c r="AV587" s="733" t="n"/>
      <c r="AW587" s="719" t="inlineStr">
        <is>
          <t>trade</t>
        </is>
      </c>
      <c r="AX587" s="734" t="inlineStr">
        <is>
          <t>sig:be28b60ac612fab7729f6f46</t>
        </is>
      </c>
    </row>
    <row r="588" ht="15" customHeight="1">
      <c r="A588" s="716" t="inlineStr">
        <is>
          <t>C122</t>
        </is>
      </c>
      <c r="B588" s="717" t="n">
        <v>44178.97569444445</v>
      </c>
      <c r="C588" s="718" t="n">
        <v>44179.10833333333</v>
      </c>
      <c r="D588" s="719" t="inlineStr">
        <is>
          <t>BYBIT</t>
        </is>
      </c>
      <c r="E588" s="719" t="inlineStr">
        <is>
          <t>XTZUSDT</t>
        </is>
      </c>
      <c r="F588" s="719" t="inlineStr">
        <is>
          <t>SELL</t>
        </is>
      </c>
      <c r="G588" s="720" t="n">
        <v>0.1</v>
      </c>
      <c r="H588" s="720" t="n">
        <v>2.1725</v>
      </c>
      <c r="I588" s="720" t="n">
        <v>2.22</v>
      </c>
      <c r="J588" s="721" t="n">
        <v>2.219</v>
      </c>
      <c r="K588" s="722" t="n">
        <v>0.02140391254315304</v>
      </c>
      <c r="L588" s="721" t="n">
        <v>2.0792</v>
      </c>
      <c r="M588" s="722" t="n">
        <v>0.04294591484464889</v>
      </c>
      <c r="N588" s="723" t="n">
        <v>0.06122376</v>
      </c>
      <c r="O588" s="724" t="n">
        <v>-3.80844289</v>
      </c>
      <c r="P588" s="725" t="n">
        <v>-0.01014749797028519</v>
      </c>
      <c r="Q588" s="726" t="n">
        <v>-1.021505376344093</v>
      </c>
      <c r="R588" s="727" t="n">
        <v>371.50012097</v>
      </c>
      <c r="S588" s="719" t="inlineStr">
        <is>
          <t>3H 11M 0S</t>
        </is>
      </c>
      <c r="T588" s="728" t="n"/>
      <c r="U588" s="729" t="n"/>
      <c r="V588" s="807" t="n">
        <v>2.1068</v>
      </c>
      <c r="W588" s="725" t="n">
        <v>0.03024165707710016</v>
      </c>
      <c r="X588" s="722" t="n">
        <v>0.01327433628318566</v>
      </c>
      <c r="Y588" s="728" t="n"/>
      <c r="Z588" s="729" t="n"/>
      <c r="AA588" s="730" t="n"/>
      <c r="AB588" s="731" t="n"/>
      <c r="AC588" s="732" t="n"/>
      <c r="AD588" s="719" t="inlineStr">
        <is>
          <t>No</t>
        </is>
      </c>
      <c r="AE588" s="733" t="n"/>
      <c r="AF588" s="733" t="n"/>
      <c r="AG588" s="733" t="n"/>
      <c r="AH588" s="733" t="n"/>
      <c r="AI588" s="719" t="inlineStr">
        <is>
          <t>Limit</t>
        </is>
      </c>
      <c r="AJ588" s="733" t="n"/>
      <c r="AK588" s="733" t="n"/>
      <c r="AL588" s="733" t="n"/>
      <c r="AM588" s="733" t="n"/>
      <c r="AN588" s="733" t="n"/>
      <c r="AO588" s="733" t="n"/>
      <c r="AP588" s="719" t="inlineStr">
        <is>
          <t>Pullback</t>
        </is>
      </c>
      <c r="AQ588" s="719" t="inlineStr">
        <is>
          <t>1H</t>
        </is>
      </c>
      <c r="AR588" s="719" t="inlineStr">
        <is>
          <t>No</t>
        </is>
      </c>
      <c r="AS588" s="733" t="n"/>
      <c r="AT588" s="733" t="n"/>
      <c r="AU588" s="733" t="n"/>
      <c r="AV588" s="733" t="n"/>
      <c r="AW588" s="719" t="inlineStr">
        <is>
          <t>trade</t>
        </is>
      </c>
      <c r="AX588" s="734" t="inlineStr">
        <is>
          <t>sig:04cde82f1ef10cefbda0dd6f</t>
        </is>
      </c>
    </row>
    <row r="589" ht="15" customHeight="1">
      <c r="A589" s="716" t="inlineStr">
        <is>
          <t>C121</t>
        </is>
      </c>
      <c r="B589" s="717" t="n">
        <v>44169.54027777778</v>
      </c>
      <c r="C589" s="718" t="n">
        <v>44169.84375</v>
      </c>
      <c r="D589" s="719" t="inlineStr">
        <is>
          <t>BYBIT</t>
        </is>
      </c>
      <c r="E589" s="719" t="inlineStr">
        <is>
          <t>LINKUSDT</t>
        </is>
      </c>
      <c r="F589" s="719" t="inlineStr">
        <is>
          <t>BUY</t>
        </is>
      </c>
      <c r="G589" s="720" t="n">
        <v>16.9</v>
      </c>
      <c r="H589" s="720" t="n">
        <v>13.6534</v>
      </c>
      <c r="I589" s="720" t="n">
        <v>13.428</v>
      </c>
      <c r="J589" s="721" t="n">
        <v>13.4297</v>
      </c>
      <c r="K589" s="722" t="n">
        <v>0.01638419734278635</v>
      </c>
      <c r="L589" s="721" t="n">
        <v>14.104</v>
      </c>
      <c r="M589" s="722" t="n">
        <v>0.03300276854116921</v>
      </c>
      <c r="N589" s="758" t="n">
        <v>0.23309554</v>
      </c>
      <c r="O589" s="724" t="n">
        <v>-4.03736219</v>
      </c>
      <c r="P589" s="725" t="n">
        <v>-0.01064295650157543</v>
      </c>
      <c r="Q589" s="726" t="n">
        <v>-1.007599463567276</v>
      </c>
      <c r="R589" s="727" t="n">
        <v>375.30856386</v>
      </c>
      <c r="S589" s="719" t="inlineStr">
        <is>
          <t>7H 17M 0S</t>
        </is>
      </c>
      <c r="T589" s="728" t="n"/>
      <c r="U589" s="729" t="n"/>
      <c r="V589" s="807" t="n">
        <v>13.9375</v>
      </c>
      <c r="W589" s="725" t="n">
        <v>0.02080800386716865</v>
      </c>
      <c r="X589" s="722" t="n">
        <v>0.01180516165626767</v>
      </c>
      <c r="Y589" s="728" t="n"/>
      <c r="Z589" s="729" t="n"/>
      <c r="AA589" s="730" t="n"/>
      <c r="AB589" s="731" t="n"/>
      <c r="AC589" s="732" t="n"/>
      <c r="AD589" s="719" t="inlineStr">
        <is>
          <t>No</t>
        </is>
      </c>
      <c r="AE589" s="733" t="n"/>
      <c r="AF589" s="733" t="n"/>
      <c r="AG589" s="733" t="n"/>
      <c r="AH589" s="733" t="n"/>
      <c r="AI589" s="719" t="inlineStr">
        <is>
          <t>Limit</t>
        </is>
      </c>
      <c r="AJ589" s="733" t="n"/>
      <c r="AK589" s="733" t="n"/>
      <c r="AL589" s="733" t="n"/>
      <c r="AM589" s="733" t="n"/>
      <c r="AN589" s="733" t="n"/>
      <c r="AO589" s="733" t="n"/>
      <c r="AP589" s="719" t="inlineStr">
        <is>
          <t>Pullback</t>
        </is>
      </c>
      <c r="AQ589" s="719" t="inlineStr">
        <is>
          <t>1H</t>
        </is>
      </c>
      <c r="AR589" s="719" t="inlineStr">
        <is>
          <t>No</t>
        </is>
      </c>
      <c r="AS589" s="733" t="n"/>
      <c r="AT589" s="733" t="n"/>
      <c r="AU589" s="733" t="n"/>
      <c r="AV589" s="733" t="n"/>
      <c r="AW589" s="719" t="inlineStr">
        <is>
          <t>trade</t>
        </is>
      </c>
      <c r="AX589" s="734" t="inlineStr">
        <is>
          <t>sig:a4e97a3cda7bfa50aabec8a5</t>
        </is>
      </c>
    </row>
    <row r="590" ht="15" customHeight="1">
      <c r="A590" s="716" t="inlineStr">
        <is>
          <t>C120</t>
        </is>
      </c>
      <c r="B590" s="717" t="n">
        <v>44160.20416666667</v>
      </c>
      <c r="C590" s="718" t="n">
        <v>44160.25138888889</v>
      </c>
      <c r="D590" s="719" t="inlineStr">
        <is>
          <t>BYBIT</t>
        </is>
      </c>
      <c r="E590" s="719" t="inlineStr">
        <is>
          <t>BTCUSDT</t>
        </is>
      </c>
      <c r="F590" s="719" t="inlineStr">
        <is>
          <t>BUY</t>
        </is>
      </c>
      <c r="G590" s="735" t="n">
        <v>0.024</v>
      </c>
      <c r="H590" s="720" t="n">
        <v>19201.5</v>
      </c>
      <c r="I590" s="720" t="n">
        <v>19035</v>
      </c>
      <c r="J590" s="721" t="n">
        <v>19041.5</v>
      </c>
      <c r="K590" s="722" t="n">
        <v>0.008332682342525323</v>
      </c>
      <c r="L590" s="721" t="n">
        <v>19526.5</v>
      </c>
      <c r="M590" s="722" t="n">
        <v>0.01692576100825456</v>
      </c>
      <c r="N590" s="758" t="n">
        <v>0.124632</v>
      </c>
      <c r="O590" s="724" t="n">
        <v>-4.12149865</v>
      </c>
      <c r="P590" s="725" t="n">
        <v>-0.01074797592839703</v>
      </c>
      <c r="Q590" s="726" t="n">
        <v>-1.040625</v>
      </c>
      <c r="R590" s="727" t="n">
        <v>379.34592605</v>
      </c>
      <c r="S590" s="719" t="inlineStr">
        <is>
          <t>1H 8M 0S</t>
        </is>
      </c>
      <c r="T590" s="717" t="n"/>
      <c r="U590" s="806" t="n"/>
      <c r="V590" s="807" t="n">
        <v>19403</v>
      </c>
      <c r="W590" s="725" t="n">
        <v>0.01049397182511783</v>
      </c>
      <c r="X590" s="722" t="n">
        <v>0.006324738176324482</v>
      </c>
      <c r="Y590" s="728" t="n"/>
      <c r="Z590" s="729" t="n"/>
      <c r="AA590" s="730" t="n"/>
      <c r="AB590" s="731" t="n"/>
      <c r="AC590" s="732" t="n"/>
      <c r="AD590" s="719" t="inlineStr">
        <is>
          <t>No</t>
        </is>
      </c>
      <c r="AE590" s="733" t="n"/>
      <c r="AF590" s="733" t="n"/>
      <c r="AG590" s="733" t="n"/>
      <c r="AH590" s="733" t="n"/>
      <c r="AI590" s="719" t="inlineStr">
        <is>
          <t>Limit</t>
        </is>
      </c>
      <c r="AJ590" s="733" t="n"/>
      <c r="AK590" s="733" t="n"/>
      <c r="AL590" s="733" t="n"/>
      <c r="AM590" s="733" t="n"/>
      <c r="AN590" s="733" t="n"/>
      <c r="AO590" s="733" t="n"/>
      <c r="AP590" s="719" t="inlineStr">
        <is>
          <t>Pullback</t>
        </is>
      </c>
      <c r="AQ590" s="719" t="inlineStr">
        <is>
          <t>1H</t>
        </is>
      </c>
      <c r="AR590" s="719" t="inlineStr">
        <is>
          <t>No</t>
        </is>
      </c>
      <c r="AS590" s="733" t="n"/>
      <c r="AT590" s="733" t="n"/>
      <c r="AU590" s="733" t="n"/>
      <c r="AV590" s="733" t="n"/>
      <c r="AW590" s="719" t="inlineStr">
        <is>
          <t>trade</t>
        </is>
      </c>
      <c r="AX590" s="734" t="inlineStr">
        <is>
          <t>sig:365634e9505386b8f5de40d1</t>
        </is>
      </c>
    </row>
    <row r="591" ht="15" customHeight="1">
      <c r="A591" s="716" t="inlineStr">
        <is>
          <t>C119</t>
        </is>
      </c>
      <c r="B591" s="717" t="n">
        <v>44150.11736111111</v>
      </c>
      <c r="C591" s="718" t="n">
        <v>44151.14097222222</v>
      </c>
      <c r="D591" s="719" t="inlineStr">
        <is>
          <t>BYBIT</t>
        </is>
      </c>
      <c r="E591" s="719" t="inlineStr">
        <is>
          <t>LINKUSDT</t>
        </is>
      </c>
      <c r="F591" s="719" t="inlineStr">
        <is>
          <t>BUY</t>
        </is>
      </c>
      <c r="G591" s="720" t="n">
        <v>16</v>
      </c>
      <c r="H591" s="720" t="n">
        <v>12.44</v>
      </c>
      <c r="I591" s="720" t="n">
        <v>12.19</v>
      </c>
      <c r="J591" s="721" t="n">
        <v>12.206</v>
      </c>
      <c r="K591" s="722" t="n">
        <v>0.01881028938906752</v>
      </c>
      <c r="L591" s="721" t="n">
        <v>12.91</v>
      </c>
      <c r="M591" s="722" t="n">
        <v>0.03778135048231517</v>
      </c>
      <c r="N591" s="758" t="n">
        <v>0.35109534</v>
      </c>
      <c r="O591" s="724" t="n">
        <v>-4.35196199</v>
      </c>
      <c r="P591" s="725" t="n">
        <v>-0.01122162052584211</v>
      </c>
      <c r="Q591" s="726" t="n">
        <v>-1.068376068376068</v>
      </c>
      <c r="R591" s="727" t="n">
        <v>383.4674247</v>
      </c>
      <c r="S591" s="719" t="inlineStr">
        <is>
          <t>1D 0H 34M 0S</t>
        </is>
      </c>
      <c r="T591" s="728" t="n"/>
      <c r="U591" s="729" t="n"/>
      <c r="V591" s="807" t="n">
        <v>12.769</v>
      </c>
      <c r="W591" s="725" t="n">
        <v>0.02644694533762063</v>
      </c>
      <c r="X591" s="722" t="n">
        <v>0.01092176607281178</v>
      </c>
      <c r="Y591" s="728" t="n"/>
      <c r="Z591" s="729" t="n"/>
      <c r="AA591" s="730" t="n"/>
      <c r="AB591" s="731" t="n"/>
      <c r="AC591" s="732" t="n"/>
      <c r="AD591" s="719" t="inlineStr">
        <is>
          <t>No</t>
        </is>
      </c>
      <c r="AE591" s="733" t="n"/>
      <c r="AF591" s="733" t="n"/>
      <c r="AG591" s="733" t="n"/>
      <c r="AH591" s="733" t="n"/>
      <c r="AI591" s="719" t="inlineStr">
        <is>
          <t>Limit</t>
        </is>
      </c>
      <c r="AJ591" s="733" t="n"/>
      <c r="AK591" s="719" t="n"/>
      <c r="AL591" s="733" t="n"/>
      <c r="AM591" s="733" t="n"/>
      <c r="AN591" s="733" t="n"/>
      <c r="AO591" s="733" t="n"/>
      <c r="AP591" s="719" t="inlineStr">
        <is>
          <t>Pullback</t>
        </is>
      </c>
      <c r="AQ591" s="719" t="inlineStr">
        <is>
          <t>1H</t>
        </is>
      </c>
      <c r="AR591" s="719" t="inlineStr">
        <is>
          <t>No</t>
        </is>
      </c>
      <c r="AS591" s="733" t="n"/>
      <c r="AT591" s="733" t="n"/>
      <c r="AU591" s="733" t="n"/>
      <c r="AV591" s="733" t="n"/>
      <c r="AW591" s="719" t="inlineStr">
        <is>
          <t>trade</t>
        </is>
      </c>
      <c r="AX591" s="734" t="inlineStr">
        <is>
          <t>sig:556f51f6614549941fd085a6</t>
        </is>
      </c>
    </row>
    <row r="592" ht="15" customHeight="1">
      <c r="A592" s="716" t="inlineStr">
        <is>
          <t>C118</t>
        </is>
      </c>
      <c r="B592" s="717" t="n">
        <v>44136.28263888889</v>
      </c>
      <c r="C592" s="718" t="n">
        <v>44136.28958333333</v>
      </c>
      <c r="D592" s="719" t="inlineStr">
        <is>
          <t>BYBIT</t>
        </is>
      </c>
      <c r="E592" s="719" t="inlineStr">
        <is>
          <t>ETHUSDT</t>
        </is>
      </c>
      <c r="F592" s="719" t="inlineStr">
        <is>
          <t>SELL</t>
        </is>
      </c>
      <c r="G592" s="720" t="n">
        <v>5</v>
      </c>
      <c r="H592" s="720" t="n">
        <v>386.45</v>
      </c>
      <c r="I592" s="720" t="n">
        <v>387.3</v>
      </c>
      <c r="J592" s="721" t="n">
        <v>387.2</v>
      </c>
      <c r="K592" s="722" t="n">
        <v>0.001940742657523612</v>
      </c>
      <c r="L592" s="721" t="n">
        <v>384.9</v>
      </c>
      <c r="M592" s="722" t="n">
        <v>0.004010868158882162</v>
      </c>
      <c r="N592" s="758" t="n">
        <v>0.5336</v>
      </c>
      <c r="O592" s="724" t="n">
        <v>-4.78446666</v>
      </c>
      <c r="P592" s="725" t="n">
        <v>-0.01218649949351038</v>
      </c>
      <c r="Q592" s="726" t="n">
        <v>-1.133333333333364</v>
      </c>
      <c r="R592" s="727" t="n">
        <v>387.81938669</v>
      </c>
      <c r="S592" s="719" t="inlineStr">
        <is>
          <t>10M 0S</t>
        </is>
      </c>
      <c r="T592" s="728" t="n"/>
      <c r="U592" s="729" t="n"/>
      <c r="V592" s="807" t="n">
        <v>385.2</v>
      </c>
      <c r="W592" s="725" t="n">
        <v>0.003234571095872687</v>
      </c>
      <c r="X592" s="760" t="n">
        <v>0.0007794232268121886</v>
      </c>
      <c r="Y592" s="728" t="n"/>
      <c r="Z592" s="729" t="n"/>
      <c r="AA592" s="730" t="n"/>
      <c r="AB592" s="731" t="n"/>
      <c r="AC592" s="732" t="n"/>
      <c r="AD592" s="719" t="inlineStr">
        <is>
          <t>No</t>
        </is>
      </c>
      <c r="AE592" s="733" t="n"/>
      <c r="AF592" s="733" t="n"/>
      <c r="AG592" s="733" t="n"/>
      <c r="AH592" s="733" t="n"/>
      <c r="AI592" s="719" t="inlineStr">
        <is>
          <t>Limit</t>
        </is>
      </c>
      <c r="AJ592" s="733" t="n"/>
      <c r="AK592" s="733" t="n"/>
      <c r="AL592" s="733" t="n"/>
      <c r="AM592" s="733" t="n"/>
      <c r="AN592" s="733" t="n"/>
      <c r="AO592" s="733" t="n"/>
      <c r="AP592" s="719" t="inlineStr">
        <is>
          <t>Pullback</t>
        </is>
      </c>
      <c r="AQ592" s="719" t="inlineStr">
        <is>
          <t>5MIN</t>
        </is>
      </c>
      <c r="AR592" s="719" t="inlineStr">
        <is>
          <t>No</t>
        </is>
      </c>
      <c r="AS592" s="733" t="n"/>
      <c r="AT592" s="733" t="n"/>
      <c r="AU592" s="733" t="n"/>
      <c r="AV592" s="733" t="n"/>
      <c r="AW592" s="719" t="inlineStr">
        <is>
          <t>trade</t>
        </is>
      </c>
      <c r="AX592" s="734" t="inlineStr">
        <is>
          <t>sig:772f1476b9fd41334a7d5f2f</t>
        </is>
      </c>
    </row>
    <row r="593" ht="15" customHeight="1">
      <c r="A593" s="716" t="inlineStr">
        <is>
          <t>C117</t>
        </is>
      </c>
      <c r="B593" s="717" t="n">
        <v>44136.16944444444</v>
      </c>
      <c r="C593" s="718" t="n">
        <v>44136.21180555555</v>
      </c>
      <c r="D593" s="719" t="inlineStr">
        <is>
          <t>BYBIT</t>
        </is>
      </c>
      <c r="E593" s="719" t="inlineStr">
        <is>
          <t>LINKUSDT</t>
        </is>
      </c>
      <c r="F593" s="719" t="inlineStr">
        <is>
          <t>BUY</t>
        </is>
      </c>
      <c r="G593" s="720" t="n">
        <v>43</v>
      </c>
      <c r="H593" s="720" t="n">
        <v>11.161</v>
      </c>
      <c r="I593" s="720" t="n">
        <v>11.058</v>
      </c>
      <c r="J593" s="721" t="n">
        <v>11.069</v>
      </c>
      <c r="K593" s="722" t="n">
        <v>0.008242988979482014</v>
      </c>
      <c r="L593" s="721" t="n">
        <v>11.346</v>
      </c>
      <c r="M593" s="722" t="n">
        <v>0.01657557566526301</v>
      </c>
      <c r="N593" s="758" t="n">
        <v>0.12967</v>
      </c>
      <c r="O593" s="724" t="n">
        <v>-4.56511733</v>
      </c>
      <c r="P593" s="725" t="n">
        <v>-0.01149414397147889</v>
      </c>
      <c r="Q593" s="726" t="n">
        <v>-1.119565217391317</v>
      </c>
      <c r="R593" s="727" t="n">
        <v>392.60385335</v>
      </c>
      <c r="S593" s="719" t="inlineStr">
        <is>
          <t>1H 1M 0S</t>
        </is>
      </c>
      <c r="T593" s="728" t="n"/>
      <c r="U593" s="729" t="n"/>
      <c r="V593" s="807" t="n">
        <v>11.292</v>
      </c>
      <c r="W593" s="725" t="n">
        <v>0.01173729952513218</v>
      </c>
      <c r="X593" s="722" t="n">
        <v>0.004759386567953487</v>
      </c>
      <c r="Y593" s="728" t="n"/>
      <c r="Z593" s="729" t="n"/>
      <c r="AA593" s="730" t="n"/>
      <c r="AB593" s="731" t="n"/>
      <c r="AC593" s="732" t="n"/>
      <c r="AD593" s="719" t="inlineStr">
        <is>
          <t>No</t>
        </is>
      </c>
      <c r="AE593" s="733" t="n"/>
      <c r="AF593" s="733" t="n"/>
      <c r="AG593" s="733" t="n"/>
      <c r="AH593" s="733" t="n"/>
      <c r="AI593" s="719" t="inlineStr">
        <is>
          <t>Limit</t>
        </is>
      </c>
      <c r="AJ593" s="733" t="n"/>
      <c r="AK593" s="719" t="n"/>
      <c r="AL593" s="733" t="n"/>
      <c r="AM593" s="733" t="n"/>
      <c r="AN593" s="733" t="n"/>
      <c r="AO593" s="733" t="n"/>
      <c r="AP593" s="719" t="inlineStr">
        <is>
          <t>Pullback</t>
        </is>
      </c>
      <c r="AQ593" s="719" t="inlineStr">
        <is>
          <t>1H</t>
        </is>
      </c>
      <c r="AR593" s="719" t="inlineStr">
        <is>
          <t>No</t>
        </is>
      </c>
      <c r="AS593" s="733" t="n"/>
      <c r="AT593" s="733" t="n"/>
      <c r="AU593" s="733" t="n"/>
      <c r="AV593" s="733" t="n"/>
      <c r="AW593" s="719" t="inlineStr">
        <is>
          <t>trade</t>
        </is>
      </c>
      <c r="AX593" s="734" t="inlineStr">
        <is>
          <t>sig:8cb2488af594ed5953826328</t>
        </is>
      </c>
    </row>
    <row r="594" ht="15" customHeight="1">
      <c r="A594" s="716" t="inlineStr">
        <is>
          <t>C116</t>
        </is>
      </c>
      <c r="B594" s="717" t="n">
        <v>44136.01875</v>
      </c>
      <c r="C594" s="718" t="n">
        <v>44136.0375</v>
      </c>
      <c r="D594" s="719" t="inlineStr">
        <is>
          <t>BYBIT</t>
        </is>
      </c>
      <c r="E594" s="719" t="inlineStr">
        <is>
          <t>LINKUSDT</t>
        </is>
      </c>
      <c r="F594" s="719" t="inlineStr">
        <is>
          <t>BUY</t>
        </is>
      </c>
      <c r="G594" s="720" t="n">
        <v>88.09999999999999</v>
      </c>
      <c r="H594" s="720" t="n">
        <v>11.273</v>
      </c>
      <c r="I594" s="720" t="n">
        <v>11.268</v>
      </c>
      <c r="J594" s="721" t="n">
        <v>11.238</v>
      </c>
      <c r="K594" s="722" t="n">
        <v>0.00310476359442918</v>
      </c>
      <c r="L594" s="721" t="n">
        <v>11.344</v>
      </c>
      <c r="M594" s="722" t="n">
        <v>0.006298234720127715</v>
      </c>
      <c r="N594" s="758" t="n">
        <v>0.35002</v>
      </c>
      <c r="O594" s="724" t="n">
        <v>-0.91587852</v>
      </c>
      <c r="P594" s="725" t="n">
        <v>-0.002300711825231655</v>
      </c>
      <c r="Q594" s="726" t="n">
        <v>-0.1428571428571138</v>
      </c>
      <c r="R594" s="727" t="n">
        <v>397.16897068</v>
      </c>
      <c r="S594" s="719" t="inlineStr">
        <is>
          <t>27M 0S</t>
        </is>
      </c>
      <c r="T594" s="717" t="n">
        <v>44135.61597222222</v>
      </c>
      <c r="U594" s="806" t="inlineStr">
        <is>
          <t>20M 0S</t>
        </is>
      </c>
      <c r="V594" s="807" t="n">
        <v>11.324</v>
      </c>
      <c r="W594" s="725" t="n">
        <v>0.004524084094739657</v>
      </c>
      <c r="X594" s="722" t="n">
        <v>0.001763046544428735</v>
      </c>
      <c r="Y594" s="728" t="n"/>
      <c r="Z594" s="729" t="n"/>
      <c r="AA594" s="730" t="n"/>
      <c r="AB594" s="731" t="n"/>
      <c r="AC594" s="732" t="n"/>
      <c r="AD594" s="719" t="inlineStr">
        <is>
          <t>No</t>
        </is>
      </c>
      <c r="AE594" s="733" t="n"/>
      <c r="AF594" s="733" t="n"/>
      <c r="AG594" s="733" t="n"/>
      <c r="AH594" s="733" t="n"/>
      <c r="AI594" s="719" t="inlineStr">
        <is>
          <t>Limit</t>
        </is>
      </c>
      <c r="AJ594" s="733" t="n"/>
      <c r="AK594" s="733" t="n"/>
      <c r="AL594" s="733" t="n"/>
      <c r="AM594" s="733" t="n"/>
      <c r="AN594" s="733" t="n"/>
      <c r="AO594" s="733" t="n"/>
      <c r="AP594" s="719" t="inlineStr">
        <is>
          <t>Pullback</t>
        </is>
      </c>
      <c r="AQ594" s="719" t="inlineStr">
        <is>
          <t>5MIN</t>
        </is>
      </c>
      <c r="AR594" s="719" t="inlineStr">
        <is>
          <t>No</t>
        </is>
      </c>
      <c r="AS594" s="733" t="n"/>
      <c r="AT594" s="733" t="n"/>
      <c r="AU594" s="733" t="n"/>
      <c r="AV594" s="733" t="n"/>
      <c r="AW594" s="719" t="inlineStr">
        <is>
          <t>trade</t>
        </is>
      </c>
      <c r="AX594" s="734" t="inlineStr">
        <is>
          <t>sig:a1eb1e088d7ed32942c07472</t>
        </is>
      </c>
    </row>
    <row r="595" ht="15" customHeight="1">
      <c r="A595" s="737" t="inlineStr">
        <is>
          <t>C115</t>
        </is>
      </c>
      <c r="B595" s="738" t="n">
        <v>44135.55833333333</v>
      </c>
      <c r="C595" s="739" t="n">
        <v>44135.69861111111</v>
      </c>
      <c r="D595" s="740" t="inlineStr">
        <is>
          <t>BYBIT</t>
        </is>
      </c>
      <c r="E595" s="740" t="inlineStr">
        <is>
          <t>BTCUSDT</t>
        </is>
      </c>
      <c r="F595" s="740" t="inlineStr">
        <is>
          <t>BUY</t>
        </is>
      </c>
      <c r="G595" s="775" t="n">
        <v>0.052</v>
      </c>
      <c r="H595" s="742" t="n">
        <v>13416</v>
      </c>
      <c r="I595" s="742" t="n">
        <v>13567.5</v>
      </c>
      <c r="J595" s="743" t="n">
        <v>13340.5</v>
      </c>
      <c r="K595" s="744" t="n">
        <v>0.005627608825283244</v>
      </c>
      <c r="L595" s="743" t="n">
        <v>13567.5</v>
      </c>
      <c r="M595" s="744" t="n">
        <v>0.01129248658318426</v>
      </c>
      <c r="N595" s="745" t="n">
        <v>0.19598</v>
      </c>
      <c r="O595" s="746" t="n">
        <v>7.6811486</v>
      </c>
      <c r="P595" s="747" t="n">
        <v>0.01967488676002576</v>
      </c>
      <c r="Q595" s="748" t="n">
        <v>2.006622516556291</v>
      </c>
      <c r="R595" s="749" t="n">
        <v>398.0848492</v>
      </c>
      <c r="S595" s="740" t="inlineStr">
        <is>
          <t>3H 22M 0S</t>
        </is>
      </c>
      <c r="T595" s="750" t="n"/>
      <c r="U595" s="751" t="n"/>
      <c r="V595" s="752" t="n"/>
      <c r="W595" s="753" t="n"/>
      <c r="X595" s="754" t="n"/>
      <c r="Y595" s="750" t="n"/>
      <c r="Z595" s="751" t="n"/>
      <c r="AA595" s="752" t="n"/>
      <c r="AB595" s="753" t="n"/>
      <c r="AC595" s="754" t="n"/>
      <c r="AD595" s="740" t="inlineStr">
        <is>
          <t>No</t>
        </is>
      </c>
      <c r="AE595" s="755" t="n"/>
      <c r="AF595" s="755" t="n"/>
      <c r="AG595" s="755" t="n"/>
      <c r="AH595" s="755" t="n"/>
      <c r="AI595" s="740" t="inlineStr">
        <is>
          <t>Limit</t>
        </is>
      </c>
      <c r="AJ595" s="755" t="n"/>
      <c r="AK595" s="755" t="n"/>
      <c r="AL595" s="755" t="n"/>
      <c r="AM595" s="755" t="n"/>
      <c r="AN595" s="755" t="n"/>
      <c r="AO595" s="755" t="n"/>
      <c r="AP595" s="740" t="inlineStr">
        <is>
          <t>Pullback</t>
        </is>
      </c>
      <c r="AQ595" s="755" t="n"/>
      <c r="AR595" s="740" t="inlineStr">
        <is>
          <t>No</t>
        </is>
      </c>
      <c r="AS595" s="787" t="n"/>
      <c r="AT595" s="755" t="n"/>
      <c r="AU595" s="740" t="n"/>
      <c r="AV595" s="740" t="n"/>
      <c r="AW595" s="740" t="inlineStr">
        <is>
          <t>trade</t>
        </is>
      </c>
      <c r="AX595" s="756" t="inlineStr">
        <is>
          <t>sig:f12b2946425003b63ac94ff2</t>
        </is>
      </c>
    </row>
    <row r="596" ht="15" customHeight="1">
      <c r="A596" s="716" t="inlineStr">
        <is>
          <t>C114</t>
        </is>
      </c>
      <c r="B596" s="717" t="n">
        <v>44135.15902777778</v>
      </c>
      <c r="C596" s="718" t="n">
        <v>44135.17222222222</v>
      </c>
      <c r="D596" s="719" t="inlineStr">
        <is>
          <t>BYBIT</t>
        </is>
      </c>
      <c r="E596" s="719" t="inlineStr">
        <is>
          <t>XTZUSDT</t>
        </is>
      </c>
      <c r="F596" s="719" t="inlineStr">
        <is>
          <t>SELL</t>
        </is>
      </c>
      <c r="G596" s="720" t="n">
        <v>266.6</v>
      </c>
      <c r="H596" s="720" t="n">
        <v>1.867</v>
      </c>
      <c r="I596" s="720" t="n">
        <v>1.883</v>
      </c>
      <c r="J596" s="721" t="n">
        <v>1.881</v>
      </c>
      <c r="K596" s="722" t="n">
        <v>0.007498660953401185</v>
      </c>
      <c r="L596" s="721" t="n">
        <v>1.839</v>
      </c>
      <c r="M596" s="722" t="n">
        <v>0.01499732190680237</v>
      </c>
      <c r="N596" s="758" t="n">
        <v>0.14712</v>
      </c>
      <c r="O596" s="724" t="n">
        <v>-4.66002134</v>
      </c>
      <c r="P596" s="725" t="n">
        <v>-0.01179561949428436</v>
      </c>
      <c r="Q596" s="726" t="n">
        <v>-1.142857142857143</v>
      </c>
      <c r="R596" s="727" t="n">
        <v>390.4037006</v>
      </c>
      <c r="S596" s="719" t="inlineStr">
        <is>
          <t>19M 0S</t>
        </is>
      </c>
      <c r="T596" s="728" t="n"/>
      <c r="U596" s="729" t="n"/>
      <c r="V596" s="807" t="n">
        <v>1.848</v>
      </c>
      <c r="W596" s="725" t="n">
        <v>0.01017675415104441</v>
      </c>
      <c r="X596" s="722" t="n">
        <v>0.004893964110929918</v>
      </c>
      <c r="Y596" s="728" t="n"/>
      <c r="Z596" s="729" t="n"/>
      <c r="AA596" s="730" t="n"/>
      <c r="AB596" s="731" t="n"/>
      <c r="AC596" s="732" t="n"/>
      <c r="AD596" s="719" t="inlineStr">
        <is>
          <t>No</t>
        </is>
      </c>
      <c r="AE596" s="733" t="n"/>
      <c r="AF596" s="733" t="n"/>
      <c r="AG596" s="733" t="n"/>
      <c r="AH596" s="733" t="n"/>
      <c r="AI596" s="719" t="inlineStr">
        <is>
          <t>Limit</t>
        </is>
      </c>
      <c r="AJ596" s="733" t="n"/>
      <c r="AK596" s="733" t="n"/>
      <c r="AL596" s="733" t="n"/>
      <c r="AM596" s="733" t="n"/>
      <c r="AN596" s="733" t="n"/>
      <c r="AO596" s="733" t="n"/>
      <c r="AP596" s="719" t="inlineStr">
        <is>
          <t>Pullback</t>
        </is>
      </c>
      <c r="AQ596" s="719" t="inlineStr">
        <is>
          <t>5MIN</t>
        </is>
      </c>
      <c r="AR596" s="719" t="inlineStr">
        <is>
          <t>No</t>
        </is>
      </c>
      <c r="AS596" s="782" t="n"/>
      <c r="AT596" s="733" t="n"/>
      <c r="AU596" s="719" t="n"/>
      <c r="AV596" s="719" t="n"/>
      <c r="AW596" s="719" t="inlineStr">
        <is>
          <t>trade</t>
        </is>
      </c>
      <c r="AX596" s="734" t="inlineStr">
        <is>
          <t>sig:0cd48ce7844d2b3b8cac9f90</t>
        </is>
      </c>
    </row>
    <row r="597" ht="15" customHeight="1">
      <c r="A597" s="716" t="inlineStr">
        <is>
          <t>C113</t>
        </is>
      </c>
      <c r="B597" s="717" t="n">
        <v>44134.25277777778</v>
      </c>
      <c r="C597" s="718" t="n">
        <v>44134.66041666667</v>
      </c>
      <c r="D597" s="719" t="inlineStr">
        <is>
          <t>BYBIT</t>
        </is>
      </c>
      <c r="E597" s="719" t="inlineStr">
        <is>
          <t>LINKUSDT</t>
        </is>
      </c>
      <c r="F597" s="719" t="inlineStr">
        <is>
          <t>BUY</t>
        </is>
      </c>
      <c r="G597" s="720" t="n">
        <v>19</v>
      </c>
      <c r="H597" s="720" t="n">
        <v>11.193</v>
      </c>
      <c r="I597" s="720" t="n">
        <v>10.977</v>
      </c>
      <c r="J597" s="721" t="n">
        <v>10.993</v>
      </c>
      <c r="K597" s="722" t="n">
        <v>0.01786831055123732</v>
      </c>
      <c r="L597" s="721" t="n">
        <v>11.596</v>
      </c>
      <c r="M597" s="722" t="n">
        <v>0.03600464576074337</v>
      </c>
      <c r="N597" s="723" t="n">
        <v>0.06036</v>
      </c>
      <c r="O597" s="724" t="n">
        <v>-4.16381973</v>
      </c>
      <c r="P597" s="725" t="n">
        <v>-0.01042969057841655</v>
      </c>
      <c r="Q597" s="726" t="n">
        <v>-1.08</v>
      </c>
      <c r="R597" s="727" t="n">
        <v>395.06372194</v>
      </c>
      <c r="S597" s="719" t="inlineStr">
        <is>
          <t>9H 47M 0S</t>
        </is>
      </c>
      <c r="T597" s="728" t="n"/>
      <c r="U597" s="729" t="n"/>
      <c r="V597" s="807" t="n">
        <v>11.494</v>
      </c>
      <c r="W597" s="725" t="n">
        <v>0.02689180737961227</v>
      </c>
      <c r="X597" s="722" t="n">
        <v>0.008796136598827208</v>
      </c>
      <c r="Y597" s="728" t="n"/>
      <c r="Z597" s="729" t="n"/>
      <c r="AA597" s="730" t="n"/>
      <c r="AB597" s="731" t="n"/>
      <c r="AC597" s="732" t="n"/>
      <c r="AD597" s="719" t="inlineStr">
        <is>
          <t>No</t>
        </is>
      </c>
      <c r="AE597" s="733" t="n"/>
      <c r="AF597" s="733" t="n"/>
      <c r="AG597" s="733" t="n"/>
      <c r="AH597" s="733" t="n"/>
      <c r="AI597" s="719" t="inlineStr">
        <is>
          <t>Limit</t>
        </is>
      </c>
      <c r="AJ597" s="733" t="n"/>
      <c r="AK597" s="733" t="n"/>
      <c r="AL597" s="733" t="n"/>
      <c r="AM597" s="733" t="n"/>
      <c r="AN597" s="733" t="n"/>
      <c r="AO597" s="733" t="n"/>
      <c r="AP597" s="719" t="inlineStr">
        <is>
          <t>Pullback</t>
        </is>
      </c>
      <c r="AQ597" s="719" t="inlineStr">
        <is>
          <t>1H</t>
        </is>
      </c>
      <c r="AR597" s="719" t="inlineStr">
        <is>
          <t>No</t>
        </is>
      </c>
      <c r="AS597" s="733" t="n"/>
      <c r="AT597" s="733" t="n"/>
      <c r="AU597" s="733" t="n"/>
      <c r="AV597" s="733" t="n"/>
      <c r="AW597" s="719" t="inlineStr">
        <is>
          <t>trade</t>
        </is>
      </c>
      <c r="AX597" s="734" t="inlineStr">
        <is>
          <t>sig:e9851046bbfbf682f2c56c2f</t>
        </is>
      </c>
    </row>
    <row r="598" ht="15" customHeight="1">
      <c r="A598" s="737" t="inlineStr">
        <is>
          <t>C112</t>
        </is>
      </c>
      <c r="B598" s="738" t="n">
        <v>44133.10555555556</v>
      </c>
      <c r="C598" s="739" t="n">
        <v>44134.15416666667</v>
      </c>
      <c r="D598" s="740" t="inlineStr">
        <is>
          <t>BYBIT</t>
        </is>
      </c>
      <c r="E598" s="740" t="inlineStr">
        <is>
          <t>BTCUSDT</t>
        </is>
      </c>
      <c r="F598" s="740" t="inlineStr">
        <is>
          <t>BUY</t>
        </is>
      </c>
      <c r="G598" s="775" t="n">
        <v>0.016</v>
      </c>
      <c r="H598" s="742" t="n">
        <v>13112.5</v>
      </c>
      <c r="I598" s="742" t="n">
        <v>13594.5</v>
      </c>
      <c r="J598" s="743" t="n">
        <v>12865.5</v>
      </c>
      <c r="K598" s="744" t="n">
        <v>0.018836987607245</v>
      </c>
      <c r="L598" s="743" t="n">
        <v>13602</v>
      </c>
      <c r="M598" s="744" t="n">
        <v>0.03733079122974261</v>
      </c>
      <c r="N598" s="745" t="n">
        <v>0.12544</v>
      </c>
      <c r="O598" s="746" t="n">
        <v>7.58568884</v>
      </c>
      <c r="P598" s="747" t="n">
        <v>0.0193689432964988</v>
      </c>
      <c r="Q598" s="748" t="n">
        <v>1.951417004048583</v>
      </c>
      <c r="R598" s="749" t="n">
        <v>399.22754167</v>
      </c>
      <c r="S598" s="740" t="inlineStr">
        <is>
          <t>1D 1H 10M 0S</t>
        </is>
      </c>
      <c r="T598" s="738" t="n">
        <v>44133.61180555556</v>
      </c>
      <c r="U598" s="809" t="inlineStr">
        <is>
          <t>22H 8M 19S</t>
        </is>
      </c>
      <c r="V598" s="810" t="n">
        <v>13438.5</v>
      </c>
      <c r="W598" s="747" t="n">
        <v>0.02486177311725453</v>
      </c>
      <c r="X598" s="744" t="n">
        <v>0.01202029113365682</v>
      </c>
      <c r="Y598" s="750" t="n"/>
      <c r="Z598" s="751" t="n"/>
      <c r="AA598" s="752" t="n"/>
      <c r="AB598" s="753" t="n"/>
      <c r="AC598" s="754" t="n"/>
      <c r="AD598" s="740" t="inlineStr">
        <is>
          <t>No</t>
        </is>
      </c>
      <c r="AE598" s="755" t="n"/>
      <c r="AF598" s="755" t="n"/>
      <c r="AG598" s="755" t="n"/>
      <c r="AH598" s="755" t="n"/>
      <c r="AI598" s="740" t="inlineStr">
        <is>
          <t>Limit</t>
        </is>
      </c>
      <c r="AJ598" s="755" t="n"/>
      <c r="AK598" s="755" t="n"/>
      <c r="AL598" s="755" t="n"/>
      <c r="AM598" s="755" t="n"/>
      <c r="AN598" s="755" t="n"/>
      <c r="AO598" s="755" t="n"/>
      <c r="AP598" s="740" t="inlineStr">
        <is>
          <t>Pullback</t>
        </is>
      </c>
      <c r="AQ598" s="740" t="inlineStr">
        <is>
          <t>1H</t>
        </is>
      </c>
      <c r="AR598" s="740" t="inlineStr">
        <is>
          <t>No</t>
        </is>
      </c>
      <c r="AS598" s="755" t="n"/>
      <c r="AT598" s="755" t="n"/>
      <c r="AU598" s="755" t="n"/>
      <c r="AV598" s="755" t="n"/>
      <c r="AW598" s="740" t="inlineStr">
        <is>
          <t>trade</t>
        </is>
      </c>
      <c r="AX598" s="756" t="inlineStr">
        <is>
          <t>sig:76ca94b03fe7010fc7c88cc0</t>
        </is>
      </c>
    </row>
    <row r="599" ht="15" customHeight="1">
      <c r="A599" s="716" t="inlineStr">
        <is>
          <t>C111</t>
        </is>
      </c>
      <c r="B599" s="717" t="n">
        <v>44132.99583333333</v>
      </c>
      <c r="C599" s="718" t="n">
        <v>44133.00555555556</v>
      </c>
      <c r="D599" s="719" t="inlineStr">
        <is>
          <t>BYBIT</t>
        </is>
      </c>
      <c r="E599" s="719" t="inlineStr">
        <is>
          <t>BTCUSDT</t>
        </is>
      </c>
      <c r="F599" s="719" t="inlineStr">
        <is>
          <t>BUY</t>
        </is>
      </c>
      <c r="G599" s="735" t="n">
        <v>0.031</v>
      </c>
      <c r="H599" s="720" t="n">
        <v>13160.5</v>
      </c>
      <c r="I599" s="720" t="n">
        <v>13032</v>
      </c>
      <c r="J599" s="721" t="n">
        <v>13034.5</v>
      </c>
      <c r="K599" s="722" t="n">
        <v>0.009574104327343185</v>
      </c>
      <c r="L599" s="721" t="n">
        <v>13412.5</v>
      </c>
      <c r="M599" s="722" t="n">
        <v>0.01914820865468637</v>
      </c>
      <c r="N599" s="758" t="n">
        <v>0.11011</v>
      </c>
      <c r="O599" s="724" t="n">
        <v>-4.09446859</v>
      </c>
      <c r="P599" s="725" t="n">
        <v>-0.01034645638618167</v>
      </c>
      <c r="Q599" s="726" t="n">
        <v>-1.01984126984127</v>
      </c>
      <c r="R599" s="727" t="n">
        <v>391.64185283</v>
      </c>
      <c r="S599" s="719" t="inlineStr">
        <is>
          <t>14M 0S</t>
        </is>
      </c>
      <c r="T599" s="717" t="n"/>
      <c r="U599" s="806" t="n"/>
      <c r="V599" s="807" t="n">
        <v>13323</v>
      </c>
      <c r="W599" s="725" t="n">
        <v>0.01234755518407355</v>
      </c>
      <c r="X599" s="722" t="n">
        <v>0.006672879776328052</v>
      </c>
      <c r="Y599" s="728" t="n"/>
      <c r="Z599" s="729" t="n"/>
      <c r="AA599" s="730" t="n"/>
      <c r="AB599" s="731" t="n"/>
      <c r="AC599" s="732" t="n"/>
      <c r="AD599" s="719" t="inlineStr">
        <is>
          <t>No</t>
        </is>
      </c>
      <c r="AE599" s="733" t="n"/>
      <c r="AF599" s="733" t="n"/>
      <c r="AG599" s="733" t="n"/>
      <c r="AH599" s="733" t="n"/>
      <c r="AI599" s="719" t="inlineStr">
        <is>
          <t>Limit</t>
        </is>
      </c>
      <c r="AJ599" s="733" t="n"/>
      <c r="AK599" s="719" t="inlineStr">
        <is>
          <t>Yes</t>
        </is>
      </c>
      <c r="AL599" s="733" t="n"/>
      <c r="AM599" s="733" t="n"/>
      <c r="AN599" s="733" t="n"/>
      <c r="AO599" s="733" t="n"/>
      <c r="AP599" s="719" t="inlineStr">
        <is>
          <t>Pullback</t>
        </is>
      </c>
      <c r="AQ599" s="719" t="inlineStr">
        <is>
          <t>1H</t>
        </is>
      </c>
      <c r="AR599" s="719" t="inlineStr">
        <is>
          <t>No</t>
        </is>
      </c>
      <c r="AS599" s="733" t="n"/>
      <c r="AT599" s="733" t="n"/>
      <c r="AU599" s="733" t="n"/>
      <c r="AV599" s="733" t="n"/>
      <c r="AW599" s="719" t="inlineStr">
        <is>
          <t>trade</t>
        </is>
      </c>
      <c r="AX599" s="734" t="inlineStr">
        <is>
          <t>sig:2fcf219721096678c7ff9668</t>
        </is>
      </c>
    </row>
    <row r="600" ht="15" customHeight="1">
      <c r="A600" s="716" t="inlineStr">
        <is>
          <t>C110</t>
        </is>
      </c>
      <c r="B600" s="717" t="n">
        <v>44132.83541666667</v>
      </c>
      <c r="C600" s="718" t="n">
        <v>44132.88125</v>
      </c>
      <c r="D600" s="719" t="inlineStr">
        <is>
          <t>BYBIT</t>
        </is>
      </c>
      <c r="E600" s="719" t="inlineStr">
        <is>
          <t>BTCUSDT</t>
        </is>
      </c>
      <c r="F600" s="719" t="inlineStr">
        <is>
          <t>BUY</t>
        </is>
      </c>
      <c r="G600" s="735" t="n">
        <v>0.068</v>
      </c>
      <c r="H600" s="720" t="n">
        <v>13585</v>
      </c>
      <c r="I600" s="720" t="n">
        <v>13524.5</v>
      </c>
      <c r="J600" s="721" t="n">
        <v>13526</v>
      </c>
      <c r="K600" s="722" t="n">
        <v>0.004343025395656975</v>
      </c>
      <c r="L600" s="721" t="n">
        <v>13703.5</v>
      </c>
      <c r="M600" s="722" t="n">
        <v>0.008722856091277143</v>
      </c>
      <c r="N600" s="758" t="n">
        <v>0.25187</v>
      </c>
      <c r="O600" s="724" t="n">
        <v>-4.36674631</v>
      </c>
      <c r="P600" s="725" t="n">
        <v>-0.01091405355818665</v>
      </c>
      <c r="Q600" s="726" t="n">
        <v>-1.025423728813559</v>
      </c>
      <c r="R600" s="727" t="n">
        <v>395.73632142</v>
      </c>
      <c r="S600" s="719" t="inlineStr">
        <is>
          <t>1H 6M 0S</t>
        </is>
      </c>
      <c r="T600" s="728" t="n"/>
      <c r="U600" s="729" t="n"/>
      <c r="V600" s="807" t="n">
        <v>13660.5</v>
      </c>
      <c r="W600" s="725" t="n">
        <v>0.005557600294442399</v>
      </c>
      <c r="X600" s="722" t="n">
        <v>0.003137884482066625</v>
      </c>
      <c r="Y600" s="728" t="n"/>
      <c r="Z600" s="729" t="n"/>
      <c r="AA600" s="730" t="n"/>
      <c r="AB600" s="731" t="n"/>
      <c r="AC600" s="732" t="n"/>
      <c r="AD600" s="719" t="inlineStr">
        <is>
          <t>No</t>
        </is>
      </c>
      <c r="AE600" s="733" t="n"/>
      <c r="AF600" s="733" t="n"/>
      <c r="AG600" s="733" t="n"/>
      <c r="AH600" s="733" t="n"/>
      <c r="AI600" s="719" t="inlineStr">
        <is>
          <t>Limit</t>
        </is>
      </c>
      <c r="AJ600" s="733" t="n"/>
      <c r="AK600" s="733" t="n"/>
      <c r="AL600" s="733" t="n"/>
      <c r="AM600" s="733" t="n"/>
      <c r="AN600" s="733" t="n"/>
      <c r="AO600" s="733" t="n"/>
      <c r="AP600" s="719" t="inlineStr">
        <is>
          <t>Pullback</t>
        </is>
      </c>
      <c r="AQ600" s="719" t="inlineStr">
        <is>
          <t>5MIN</t>
        </is>
      </c>
      <c r="AR600" s="719" t="inlineStr">
        <is>
          <t>No</t>
        </is>
      </c>
      <c r="AS600" s="733" t="n"/>
      <c r="AT600" s="733" t="n"/>
      <c r="AU600" s="733" t="n"/>
      <c r="AV600" s="733" t="n"/>
      <c r="AW600" s="719" t="inlineStr">
        <is>
          <t>trade</t>
        </is>
      </c>
      <c r="AX600" s="734" t="inlineStr">
        <is>
          <t>sig:e5d1bf5852243f77d6fd34b6</t>
        </is>
      </c>
    </row>
    <row r="601" ht="15" customHeight="1">
      <c r="A601" s="716" t="inlineStr">
        <is>
          <t>C109</t>
        </is>
      </c>
      <c r="B601" s="717" t="n">
        <v>44132.17916666667</v>
      </c>
      <c r="C601" s="718" t="n">
        <v>44132.18125</v>
      </c>
      <c r="D601" s="719" t="inlineStr">
        <is>
          <t>BYBIT</t>
        </is>
      </c>
      <c r="E601" s="719" t="inlineStr">
        <is>
          <t>BTCUSDT</t>
        </is>
      </c>
      <c r="F601" s="719" t="inlineStr">
        <is>
          <t>BUY</t>
        </is>
      </c>
      <c r="G601" s="720" t="n">
        <v>0.104</v>
      </c>
      <c r="H601" s="720" t="n">
        <v>13644.5</v>
      </c>
      <c r="I601" s="720" t="n">
        <v>13600</v>
      </c>
      <c r="J601" s="721" t="n">
        <v>13605.5</v>
      </c>
      <c r="K601" s="722" t="n">
        <v>0.002858294550917952</v>
      </c>
      <c r="L601" s="721" t="n">
        <v>13722</v>
      </c>
      <c r="M601" s="722" t="n">
        <v>0.005679944299901059</v>
      </c>
      <c r="N601" s="758" t="n">
        <v>0.3878</v>
      </c>
      <c r="O601" s="724" t="n">
        <v>-5.01666966</v>
      </c>
      <c r="P601" s="725" t="n">
        <v>-0.01238317760650245</v>
      </c>
      <c r="Q601" s="726" t="n">
        <v>-1.141025641025641</v>
      </c>
      <c r="R601" s="727" t="n">
        <v>400.10306773</v>
      </c>
      <c r="S601" s="719" t="inlineStr">
        <is>
          <t>3M 0S</t>
        </is>
      </c>
      <c r="T601" s="728" t="n"/>
      <c r="U601" s="729" t="n"/>
      <c r="V601" s="807" t="n">
        <v>13698</v>
      </c>
      <c r="W601" s="725" t="n">
        <v>0.003920993807028473</v>
      </c>
      <c r="X601" s="722" t="n">
        <v>0.00174901617839965</v>
      </c>
      <c r="Y601" s="728" t="n"/>
      <c r="Z601" s="729" t="n"/>
      <c r="AA601" s="730" t="n"/>
      <c r="AB601" s="731" t="n"/>
      <c r="AC601" s="732" t="n"/>
      <c r="AD601" s="719" t="inlineStr">
        <is>
          <t>No</t>
        </is>
      </c>
      <c r="AE601" s="733" t="n"/>
      <c r="AF601" s="733" t="n"/>
      <c r="AG601" s="733" t="n"/>
      <c r="AH601" s="733" t="n"/>
      <c r="AI601" s="719" t="inlineStr">
        <is>
          <t>Limit</t>
        </is>
      </c>
      <c r="AJ601" s="733" t="n"/>
      <c r="AK601" s="719" t="inlineStr">
        <is>
          <t>Yes</t>
        </is>
      </c>
      <c r="AL601" s="733" t="n"/>
      <c r="AM601" s="733" t="n"/>
      <c r="AN601" s="733" t="n"/>
      <c r="AO601" s="733" t="n"/>
      <c r="AP601" s="719" t="inlineStr">
        <is>
          <t>Pullback</t>
        </is>
      </c>
      <c r="AQ601" s="719" t="inlineStr">
        <is>
          <t>5MIN</t>
        </is>
      </c>
      <c r="AR601" s="719" t="inlineStr">
        <is>
          <t>No</t>
        </is>
      </c>
      <c r="AS601" s="782" t="n"/>
      <c r="AT601" s="733" t="n"/>
      <c r="AU601" s="719" t="n"/>
      <c r="AV601" s="719" t="n"/>
      <c r="AW601" s="719" t="inlineStr">
        <is>
          <t>trade</t>
        </is>
      </c>
      <c r="AX601" s="734" t="inlineStr">
        <is>
          <t>sig:fe761de4bdc2c93452973ecb</t>
        </is>
      </c>
    </row>
    <row r="602" ht="15" customHeight="1">
      <c r="A602" s="737" t="inlineStr">
        <is>
          <t>C108</t>
        </is>
      </c>
      <c r="B602" s="738" t="n">
        <v>44131.98541666667</v>
      </c>
      <c r="C602" s="739" t="n">
        <v>44132.07222222222</v>
      </c>
      <c r="D602" s="740" t="inlineStr">
        <is>
          <t>BYBIT</t>
        </is>
      </c>
      <c r="E602" s="740" t="inlineStr">
        <is>
          <t>BTCUSDT</t>
        </is>
      </c>
      <c r="F602" s="740" t="inlineStr">
        <is>
          <t>BUY</t>
        </is>
      </c>
      <c r="G602" s="775" t="n">
        <v>0.052</v>
      </c>
      <c r="H602" s="742" t="n">
        <v>13341</v>
      </c>
      <c r="I602" s="742" t="n">
        <v>13492.5</v>
      </c>
      <c r="J602" s="743" t="n">
        <v>13265</v>
      </c>
      <c r="K602" s="744" t="n">
        <v>0.005696724383479499</v>
      </c>
      <c r="L602" s="743" t="n">
        <v>13493</v>
      </c>
      <c r="M602" s="744" t="n">
        <v>0.011393448766959</v>
      </c>
      <c r="N602" s="745" t="n">
        <v>0.19492</v>
      </c>
      <c r="O602" s="746" t="n">
        <v>7.68222109</v>
      </c>
      <c r="P602" s="747" t="n">
        <v>0.01932938078296862</v>
      </c>
      <c r="Q602" s="748" t="n">
        <v>1.993421052631579</v>
      </c>
      <c r="R602" s="749" t="n">
        <v>405.11973739</v>
      </c>
      <c r="S602" s="740" t="inlineStr">
        <is>
          <t>2H 5M 0S</t>
        </is>
      </c>
      <c r="T602" s="738" t="n">
        <v>44131.63541666666</v>
      </c>
      <c r="U602" s="809" t="inlineStr">
        <is>
          <t>1H 35M 54S</t>
        </is>
      </c>
      <c r="V602" s="810" t="n">
        <v>13443</v>
      </c>
      <c r="W602" s="747" t="n">
        <v>0.007645603777827749</v>
      </c>
      <c r="X602" s="744" t="n">
        <v>0.003705625138960943</v>
      </c>
      <c r="Y602" s="750" t="n"/>
      <c r="Z602" s="751" t="n"/>
      <c r="AA602" s="752" t="n"/>
      <c r="AB602" s="753" t="n"/>
      <c r="AC602" s="754" t="n"/>
      <c r="AD602" s="740" t="inlineStr">
        <is>
          <t>No</t>
        </is>
      </c>
      <c r="AE602" s="755" t="n"/>
      <c r="AF602" s="755" t="n"/>
      <c r="AG602" s="755" t="n"/>
      <c r="AH602" s="755" t="n"/>
      <c r="AI602" s="740" t="inlineStr">
        <is>
          <t>Limit</t>
        </is>
      </c>
      <c r="AJ602" s="755" t="n"/>
      <c r="AK602" s="755" t="n"/>
      <c r="AL602" s="755" t="n"/>
      <c r="AM602" s="755" t="n"/>
      <c r="AN602" s="755" t="n"/>
      <c r="AO602" s="755" t="n"/>
      <c r="AP602" s="740" t="inlineStr">
        <is>
          <t>Pullback</t>
        </is>
      </c>
      <c r="AQ602" s="740" t="inlineStr">
        <is>
          <t>1H</t>
        </is>
      </c>
      <c r="AR602" s="740" t="inlineStr">
        <is>
          <t>No</t>
        </is>
      </c>
      <c r="AS602" s="755" t="n"/>
      <c r="AT602" s="755" t="n"/>
      <c r="AU602" s="755" t="n"/>
      <c r="AV602" s="755" t="n"/>
      <c r="AW602" s="740" t="inlineStr">
        <is>
          <t>trade</t>
        </is>
      </c>
      <c r="AX602" s="756" t="inlineStr">
        <is>
          <t>sig:5f73aea946d71fb864a884eb</t>
        </is>
      </c>
    </row>
    <row r="603" ht="15" customHeight="1">
      <c r="A603" s="42" t="n"/>
      <c r="B603" s="770" t="n">
        <v>44130</v>
      </c>
      <c r="C603" s="771" t="n">
        <v>44130</v>
      </c>
      <c r="D603" s="12" t="inlineStr">
        <is>
          <t>BINANCE</t>
        </is>
      </c>
      <c r="E603" s="12" t="inlineStr">
        <is>
          <t>CASHFLOW</t>
        </is>
      </c>
      <c r="F603" s="12" t="inlineStr">
        <is>
          <t>WITHDRAWAL</t>
        </is>
      </c>
      <c r="G603" s="262" t="n"/>
      <c r="H603" s="262" t="n"/>
      <c r="I603" s="262" t="n"/>
      <c r="J603" s="263" t="n"/>
      <c r="K603" s="36" t="n"/>
      <c r="L603" s="263" t="n"/>
      <c r="M603" s="36" t="n"/>
      <c r="N603" s="815" t="n"/>
      <c r="O603" s="784" t="n"/>
      <c r="P603" s="3" t="n"/>
      <c r="Q603" s="51" t="n"/>
      <c r="R603" s="53" t="n">
        <v>0</v>
      </c>
      <c r="S603" s="12" t="n"/>
      <c r="T603" s="774" t="n"/>
      <c r="U603" s="6" t="n"/>
      <c r="V603" s="269" t="n"/>
      <c r="W603" s="3" t="n"/>
      <c r="X603" s="36" t="n"/>
      <c r="Y603" s="774" t="n"/>
      <c r="Z603" s="6" t="n"/>
      <c r="AA603" s="264" t="n"/>
      <c r="AB603" s="9" t="n"/>
      <c r="AC603" s="46" t="n"/>
      <c r="AD603" s="12" t="inlineStr">
        <is>
          <t>No</t>
        </is>
      </c>
      <c r="AE603" s="45" t="n"/>
      <c r="AF603" s="45" t="n"/>
      <c r="AG603" s="45" t="n"/>
      <c r="AH603" s="45" t="n"/>
      <c r="AI603" s="12" t="n"/>
      <c r="AJ603" s="45" t="n"/>
      <c r="AK603" s="12" t="n"/>
      <c r="AL603" s="45" t="n"/>
      <c r="AM603" s="45" t="n"/>
      <c r="AN603" s="45" t="n"/>
      <c r="AO603" s="45" t="n"/>
      <c r="AP603" s="12" t="n"/>
      <c r="AQ603" s="12" t="n"/>
      <c r="AR603" s="12" t="n"/>
      <c r="AS603" s="56" t="inlineStr">
        <is>
          <t>Withdrawal -396.65720524 USDT. Reason: Switch to Bybit. Source: screenshot_ocr. Imported from account_cashflows.xlsx row 6.</t>
        </is>
      </c>
      <c r="AT603" s="45" t="n"/>
      <c r="AU603" s="12" t="n">
        <v>0</v>
      </c>
      <c r="AV603" s="12" t="inlineStr">
        <is>
          <t>USDT</t>
        </is>
      </c>
      <c r="AW603" s="12" t="inlineStr">
        <is>
          <t>cashflow</t>
        </is>
      </c>
      <c r="AX603" s="57" t="inlineStr">
        <is>
          <t>cashflow:BINANCE:2020-10-26T00:00:00:4</t>
        </is>
      </c>
    </row>
    <row r="604" ht="15" customHeight="1">
      <c r="A604" s="42" t="n"/>
      <c r="B604" s="770" t="n">
        <v>44130</v>
      </c>
      <c r="C604" s="771" t="n">
        <v>44130</v>
      </c>
      <c r="D604" s="12" t="inlineStr">
        <is>
          <t>BYBIT</t>
        </is>
      </c>
      <c r="E604" s="12" t="inlineStr">
        <is>
          <t>CASHFLOW</t>
        </is>
      </c>
      <c r="F604" s="12" t="inlineStr">
        <is>
          <t>DEPOSIT</t>
        </is>
      </c>
      <c r="G604" s="262" t="n"/>
      <c r="H604" s="262" t="n"/>
      <c r="I604" s="262" t="n"/>
      <c r="J604" s="263" t="n"/>
      <c r="K604" s="36" t="n"/>
      <c r="L604" s="263" t="n"/>
      <c r="M604" s="36" t="n"/>
      <c r="N604" s="815" t="n"/>
      <c r="O604" s="784" t="n"/>
      <c r="P604" s="3" t="n"/>
      <c r="Q604" s="51" t="n"/>
      <c r="R604" s="53" t="n">
        <v>397.4375163</v>
      </c>
      <c r="S604" s="12" t="n"/>
      <c r="T604" s="774" t="n"/>
      <c r="U604" s="6" t="n"/>
      <c r="V604" s="264" t="n"/>
      <c r="W604" s="9" t="n"/>
      <c r="X604" s="46" t="n"/>
      <c r="Y604" s="774" t="n"/>
      <c r="Z604" s="6" t="n"/>
      <c r="AA604" s="264" t="n"/>
      <c r="AB604" s="9" t="n"/>
      <c r="AC604" s="46" t="n"/>
      <c r="AD604" s="12" t="inlineStr">
        <is>
          <t>No</t>
        </is>
      </c>
      <c r="AE604" s="45" t="n"/>
      <c r="AF604" s="45" t="n"/>
      <c r="AG604" s="45" t="n"/>
      <c r="AH604" s="45" t="n"/>
      <c r="AI604" s="12" t="n"/>
      <c r="AJ604" s="45" t="n"/>
      <c r="AK604" s="45" t="n"/>
      <c r="AL604" s="45" t="n"/>
      <c r="AM604" s="45" t="n"/>
      <c r="AN604" s="45" t="n"/>
      <c r="AO604" s="45" t="n"/>
      <c r="AP604" s="12" t="n"/>
      <c r="AQ604" s="12" t="n"/>
      <c r="AR604" s="12" t="n"/>
      <c r="AS604" s="56" t="inlineStr">
        <is>
          <t>Deposit 397.4375163 USDT. Source: screenshot_ocr. Imported from account_cashflows.xlsx row 7.</t>
        </is>
      </c>
      <c r="AT604" s="45" t="n"/>
      <c r="AU604" s="12" t="n">
        <v>397.4375163</v>
      </c>
      <c r="AV604" s="12" t="inlineStr">
        <is>
          <t>USDT</t>
        </is>
      </c>
      <c r="AW604" s="12" t="inlineStr">
        <is>
          <t>cashflow</t>
        </is>
      </c>
      <c r="AX604" s="57" t="inlineStr">
        <is>
          <t>cashflow:BYBIT:2020-10-26T00:00:00:0</t>
        </is>
      </c>
    </row>
    <row r="605" ht="15" customHeight="1">
      <c r="A605" s="716" t="inlineStr">
        <is>
          <t>C107</t>
        </is>
      </c>
      <c r="B605" s="717" t="n">
        <v>44128.09305555555</v>
      </c>
      <c r="C605" s="718" t="n">
        <v>44128.09583333333</v>
      </c>
      <c r="D605" s="719" t="inlineStr">
        <is>
          <t>BINANCE</t>
        </is>
      </c>
      <c r="E605" s="719" t="inlineStr">
        <is>
          <t>LINKUSDT</t>
        </is>
      </c>
      <c r="F605" s="719" t="inlineStr">
        <is>
          <t>BUY</t>
        </is>
      </c>
      <c r="G605" s="720" t="n">
        <v>38.41</v>
      </c>
      <c r="H605" s="720" t="n">
        <v>11.8908</v>
      </c>
      <c r="I605" s="720" t="n">
        <v>11.8156</v>
      </c>
      <c r="J605" s="721" t="n">
        <v>11.8156</v>
      </c>
      <c r="K605" s="722" t="n">
        <v>0.006324217041746611</v>
      </c>
      <c r="L605" s="721" t="n">
        <v>12.1265</v>
      </c>
      <c r="M605" s="722" t="n">
        <v>0.01982204729706997</v>
      </c>
      <c r="N605" s="758" t="n">
        <v>0.9100902</v>
      </c>
      <c r="O605" s="724" t="n">
        <v>-3.7985222</v>
      </c>
      <c r="P605" s="725" t="n">
        <v>-0.009485498495134219</v>
      </c>
      <c r="Q605" s="726" t="n">
        <v>-1</v>
      </c>
      <c r="R605" s="727" t="n">
        <v>396.6572052400001</v>
      </c>
      <c r="S605" s="719" t="inlineStr">
        <is>
          <t>4M 0S</t>
        </is>
      </c>
      <c r="T605" s="728" t="n"/>
      <c r="U605" s="729" t="n"/>
      <c r="V605" s="807" t="n">
        <v>12.0751</v>
      </c>
      <c r="W605" s="725" t="n">
        <v>0.01549937767013156</v>
      </c>
      <c r="X605" s="722" t="n">
        <v>0.004238650888549806</v>
      </c>
      <c r="Y605" s="728" t="n"/>
      <c r="Z605" s="729" t="n"/>
      <c r="AA605" s="730" t="n"/>
      <c r="AB605" s="731" t="n"/>
      <c r="AC605" s="732" t="n"/>
      <c r="AD605" s="719" t="inlineStr">
        <is>
          <t>No</t>
        </is>
      </c>
      <c r="AE605" s="733" t="n"/>
      <c r="AF605" s="733" t="n"/>
      <c r="AG605" s="733" t="n"/>
      <c r="AH605" s="733" t="n"/>
      <c r="AI605" s="719" t="inlineStr">
        <is>
          <t>Limit</t>
        </is>
      </c>
      <c r="AJ605" s="733" t="n"/>
      <c r="AK605" s="733" t="n"/>
      <c r="AL605" s="733" t="n"/>
      <c r="AM605" s="733" t="n"/>
      <c r="AN605" s="733" t="n"/>
      <c r="AO605" s="733" t="n"/>
      <c r="AP605" s="719" t="inlineStr">
        <is>
          <t>Pullback</t>
        </is>
      </c>
      <c r="AQ605" s="719" t="inlineStr">
        <is>
          <t>5MIN</t>
        </is>
      </c>
      <c r="AR605" s="719" t="inlineStr">
        <is>
          <t>No</t>
        </is>
      </c>
      <c r="AS605" s="733" t="n"/>
      <c r="AT605" s="733" t="n"/>
      <c r="AU605" s="733" t="n"/>
      <c r="AV605" s="733" t="n"/>
      <c r="AW605" s="719" t="inlineStr">
        <is>
          <t>trade</t>
        </is>
      </c>
      <c r="AX605" s="734" t="inlineStr">
        <is>
          <t>sig:e700052f712aba4b7fd4fa59</t>
        </is>
      </c>
    </row>
    <row r="606" ht="15" customHeight="1">
      <c r="A606" s="716" t="inlineStr">
        <is>
          <t>C106</t>
        </is>
      </c>
      <c r="B606" s="717" t="n">
        <v>44128.02986111111</v>
      </c>
      <c r="C606" s="718" t="n">
        <v>44128.04375</v>
      </c>
      <c r="D606" s="719" t="inlineStr">
        <is>
          <t>BINANCE</t>
        </is>
      </c>
      <c r="E606" s="719" t="inlineStr">
        <is>
          <t>LINKUSDT</t>
        </is>
      </c>
      <c r="F606" s="719" t="inlineStr">
        <is>
          <t>BUY</t>
        </is>
      </c>
      <c r="G606" s="720" t="n">
        <v>56.63</v>
      </c>
      <c r="H606" s="720" t="n">
        <v>11.9903</v>
      </c>
      <c r="I606" s="720" t="n">
        <v>11.9202</v>
      </c>
      <c r="J606" s="721" t="n">
        <v>11.9202</v>
      </c>
      <c r="K606" s="722" t="n">
        <v>0.00584639250060466</v>
      </c>
      <c r="L606" s="721" t="n">
        <v>12.1304</v>
      </c>
      <c r="M606" s="722" t="n">
        <v>0.01168444492631547</v>
      </c>
      <c r="N606" s="758" t="n">
        <v>1.3533364</v>
      </c>
      <c r="O606" s="724" t="n">
        <v>-5.3230994</v>
      </c>
      <c r="P606" s="725" t="n">
        <v>-0.01311822857159306</v>
      </c>
      <c r="Q606" s="726" t="n">
        <v>-1</v>
      </c>
      <c r="R606" s="727" t="n">
        <v>400.45572744</v>
      </c>
      <c r="S606" s="719" t="inlineStr">
        <is>
          <t>20M 0S</t>
        </is>
      </c>
      <c r="T606" s="728" t="n"/>
      <c r="U606" s="729" t="n"/>
      <c r="V606" s="807" t="n">
        <v>12.0751</v>
      </c>
      <c r="W606" s="725" t="n">
        <v>0.00707238351000403</v>
      </c>
      <c r="X606" s="722" t="n">
        <v>0.004558794433819084</v>
      </c>
      <c r="Y606" s="728" t="n"/>
      <c r="Z606" s="729" t="n"/>
      <c r="AA606" s="730" t="n"/>
      <c r="AB606" s="731" t="n"/>
      <c r="AC606" s="732" t="n"/>
      <c r="AD606" s="719" t="inlineStr">
        <is>
          <t>No</t>
        </is>
      </c>
      <c r="AE606" s="733" t="n"/>
      <c r="AF606" s="733" t="n"/>
      <c r="AG606" s="733" t="n"/>
      <c r="AH606" s="733" t="n"/>
      <c r="AI606" s="719" t="inlineStr">
        <is>
          <t>Limit</t>
        </is>
      </c>
      <c r="AJ606" s="733" t="n"/>
      <c r="AK606" s="733" t="n"/>
      <c r="AL606" s="733" t="n"/>
      <c r="AM606" s="733" t="n"/>
      <c r="AN606" s="733" t="n"/>
      <c r="AO606" s="733" t="n"/>
      <c r="AP606" s="719" t="inlineStr">
        <is>
          <t>Pullback</t>
        </is>
      </c>
      <c r="AQ606" s="719" t="inlineStr">
        <is>
          <t>5MIN</t>
        </is>
      </c>
      <c r="AR606" s="719" t="inlineStr">
        <is>
          <t>No</t>
        </is>
      </c>
      <c r="AS606" s="733" t="n"/>
      <c r="AT606" s="733" t="n"/>
      <c r="AU606" s="733" t="n"/>
      <c r="AV606" s="733" t="n"/>
      <c r="AW606" s="719" t="inlineStr">
        <is>
          <t>trade</t>
        </is>
      </c>
      <c r="AX606" s="734" t="inlineStr">
        <is>
          <t>sig:56a5951b490c12eb136a50bd</t>
        </is>
      </c>
    </row>
    <row r="607" ht="15" customHeight="1">
      <c r="A607" s="716" t="inlineStr">
        <is>
          <t>C105</t>
        </is>
      </c>
      <c r="B607" s="717" t="n">
        <v>44127.02847222222</v>
      </c>
      <c r="C607" s="718" t="n">
        <v>44127.06805555556</v>
      </c>
      <c r="D607" s="719" t="inlineStr">
        <is>
          <t>BINANCE</t>
        </is>
      </c>
      <c r="E607" s="719" t="inlineStr">
        <is>
          <t>LTCUSDT</t>
        </is>
      </c>
      <c r="F607" s="719" t="inlineStr">
        <is>
          <t>BUY</t>
        </is>
      </c>
      <c r="G607" s="720" t="n">
        <v>14.18</v>
      </c>
      <c r="H607" s="720" t="n">
        <v>54.84</v>
      </c>
      <c r="I607" s="720" t="n">
        <v>54.85</v>
      </c>
      <c r="J607" s="721" t="n">
        <v>54.56</v>
      </c>
      <c r="K607" s="722" t="n">
        <v>0.005105762217359612</v>
      </c>
      <c r="L607" s="721" t="n">
        <v>55.4</v>
      </c>
      <c r="M607" s="722" t="n">
        <v>0.01021152443471909</v>
      </c>
      <c r="N607" s="758" t="n">
        <v>1.55451674</v>
      </c>
      <c r="O607" s="724" t="n">
        <v>-1.41272674</v>
      </c>
      <c r="P607" s="725" t="n">
        <v>-0.003469440187497516</v>
      </c>
      <c r="Q607" s="781" t="n">
        <v>0.03571428571427846</v>
      </c>
      <c r="R607" s="727" t="n">
        <v>405.77882684</v>
      </c>
      <c r="S607" s="719" t="inlineStr">
        <is>
          <t>57M 0S</t>
        </is>
      </c>
      <c r="T607" s="717" t="n">
        <v>44126.625</v>
      </c>
      <c r="U607" s="806" t="inlineStr">
        <is>
          <t>18M 58S</t>
        </is>
      </c>
      <c r="V607" s="807" t="n">
        <v>55.22</v>
      </c>
      <c r="W607" s="725" t="n">
        <v>0.006929248723559362</v>
      </c>
      <c r="X607" s="722" t="n">
        <v>0.003249097472924183</v>
      </c>
      <c r="Y607" s="728" t="n"/>
      <c r="Z607" s="729" t="n"/>
      <c r="AA607" s="730" t="n"/>
      <c r="AB607" s="731" t="n"/>
      <c r="AC607" s="732" t="n"/>
      <c r="AD607" s="719" t="inlineStr">
        <is>
          <t>No</t>
        </is>
      </c>
      <c r="AE607" s="733" t="n"/>
      <c r="AF607" s="733" t="n"/>
      <c r="AG607" s="733" t="n"/>
      <c r="AH607" s="733" t="n"/>
      <c r="AI607" s="719" t="inlineStr">
        <is>
          <t>Limit</t>
        </is>
      </c>
      <c r="AJ607" s="733" t="n"/>
      <c r="AK607" s="733" t="n"/>
      <c r="AL607" s="733" t="n"/>
      <c r="AM607" s="733" t="n"/>
      <c r="AN607" s="733" t="n"/>
      <c r="AO607" s="733" t="n"/>
      <c r="AP607" s="719" t="inlineStr">
        <is>
          <t>Pullback</t>
        </is>
      </c>
      <c r="AQ607" s="719" t="inlineStr">
        <is>
          <t>5MIN</t>
        </is>
      </c>
      <c r="AR607" s="719" t="inlineStr">
        <is>
          <t>No</t>
        </is>
      </c>
      <c r="AS607" s="733" t="n"/>
      <c r="AT607" s="733" t="n"/>
      <c r="AU607" s="733" t="n"/>
      <c r="AV607" s="733" t="n"/>
      <c r="AW607" s="719" t="inlineStr">
        <is>
          <t>trade</t>
        </is>
      </c>
      <c r="AX607" s="734" t="inlineStr">
        <is>
          <t>sig:df9965f44d9cedf6ed8d5929</t>
        </is>
      </c>
    </row>
    <row r="608" ht="15" customHeight="1">
      <c r="A608" s="716" t="inlineStr">
        <is>
          <t>C104</t>
        </is>
      </c>
      <c r="B608" s="717" t="n">
        <v>44124.90972222222</v>
      </c>
      <c r="C608" s="718" t="n">
        <v>44124.91666666666</v>
      </c>
      <c r="D608" s="719" t="inlineStr">
        <is>
          <t>BINANCE</t>
        </is>
      </c>
      <c r="E608" s="719" t="inlineStr">
        <is>
          <t>BNBUSDT</t>
        </is>
      </c>
      <c r="F608" s="719" t="inlineStr">
        <is>
          <t>BUY</t>
        </is>
      </c>
      <c r="G608" s="720" t="n">
        <v>36.18</v>
      </c>
      <c r="H608" s="720" t="n">
        <v>29.2377</v>
      </c>
      <c r="I608" s="720" t="n">
        <v>29.127</v>
      </c>
      <c r="J608" s="721" t="n">
        <v>29.127</v>
      </c>
      <c r="K608" s="722" t="n">
        <v>0.003786207533424358</v>
      </c>
      <c r="L608" s="721" t="n">
        <v>29.5792</v>
      </c>
      <c r="M608" s="722" t="n">
        <v>0.01168012531765494</v>
      </c>
      <c r="N608" s="758" t="n">
        <v>1.84707775</v>
      </c>
      <c r="O608" s="724" t="n">
        <v>-5.85198235</v>
      </c>
      <c r="P608" s="725" t="n">
        <v>-0.01416795529029113</v>
      </c>
      <c r="Q608" s="726" t="n">
        <v>-1</v>
      </c>
      <c r="R608" s="727" t="n">
        <v>407.19155358</v>
      </c>
      <c r="S608" s="719" t="inlineStr">
        <is>
          <t>10M 0S</t>
        </is>
      </c>
      <c r="T608" s="728" t="n"/>
      <c r="U608" s="729" t="n"/>
      <c r="V608" s="807" t="n">
        <v>29.4502</v>
      </c>
      <c r="W608" s="725" t="n">
        <v>0.007268013557837948</v>
      </c>
      <c r="X608" s="722" t="n">
        <v>0.004361172715962614</v>
      </c>
      <c r="Y608" s="728" t="n"/>
      <c r="Z608" s="729" t="n"/>
      <c r="AA608" s="730" t="n"/>
      <c r="AB608" s="731" t="n"/>
      <c r="AC608" s="732" t="n"/>
      <c r="AD608" s="719" t="inlineStr">
        <is>
          <t>No</t>
        </is>
      </c>
      <c r="AE608" s="733" t="n"/>
      <c r="AF608" s="733" t="n"/>
      <c r="AG608" s="733" t="n"/>
      <c r="AH608" s="733" t="n"/>
      <c r="AI608" s="719" t="inlineStr">
        <is>
          <t>Limit</t>
        </is>
      </c>
      <c r="AJ608" s="733" t="n"/>
      <c r="AK608" s="733" t="n"/>
      <c r="AL608" s="733" t="n"/>
      <c r="AM608" s="733" t="n"/>
      <c r="AN608" s="733" t="n"/>
      <c r="AO608" s="733" t="n"/>
      <c r="AP608" s="719" t="inlineStr">
        <is>
          <t>Pullback</t>
        </is>
      </c>
      <c r="AQ608" s="719" t="inlineStr">
        <is>
          <t>5MIN</t>
        </is>
      </c>
      <c r="AR608" s="719" t="inlineStr">
        <is>
          <t>No</t>
        </is>
      </c>
      <c r="AS608" s="733" t="n"/>
      <c r="AT608" s="733" t="n"/>
      <c r="AU608" s="733" t="n"/>
      <c r="AV608" s="733" t="n"/>
      <c r="AW608" s="719" t="inlineStr">
        <is>
          <t>trade</t>
        </is>
      </c>
      <c r="AX608" s="734" t="inlineStr">
        <is>
          <t>sig:276442618290a68db5178a0e</t>
        </is>
      </c>
    </row>
    <row r="609" ht="15" customHeight="1">
      <c r="A609" s="41" t="n"/>
      <c r="B609" s="770" t="n">
        <v>44123</v>
      </c>
      <c r="C609" s="771" t="n">
        <v>44123</v>
      </c>
      <c r="D609" s="12" t="inlineStr">
        <is>
          <t>BINANCE</t>
        </is>
      </c>
      <c r="E609" s="12" t="inlineStr">
        <is>
          <t>CASHFLOW</t>
        </is>
      </c>
      <c r="F609" s="12" t="inlineStr">
        <is>
          <t>DEPOSIT</t>
        </is>
      </c>
      <c r="G609" s="265" t="n"/>
      <c r="H609" s="265" t="n"/>
      <c r="I609" s="265" t="n"/>
      <c r="J609" s="266" t="n"/>
      <c r="K609" s="46" t="n"/>
      <c r="L609" s="266" t="n"/>
      <c r="M609" s="46" t="n"/>
      <c r="N609" s="783" t="n"/>
      <c r="O609" s="816" t="n"/>
      <c r="P609" s="9" t="n"/>
      <c r="Q609" s="49" t="n"/>
      <c r="R609" s="53" t="n">
        <v>413.04353593</v>
      </c>
      <c r="S609" s="45" t="n"/>
      <c r="T609" s="774" t="n"/>
      <c r="U609" s="6" t="n"/>
      <c r="V609" s="264" t="n"/>
      <c r="W609" s="9" t="n"/>
      <c r="X609" s="46" t="n"/>
      <c r="Y609" s="774" t="n"/>
      <c r="Z609" s="6" t="n"/>
      <c r="AA609" s="264" t="n"/>
      <c r="AB609" s="9" t="n"/>
      <c r="AC609" s="46" t="n"/>
      <c r="AD609" s="12" t="inlineStr">
        <is>
          <t>No</t>
        </is>
      </c>
      <c r="AE609" s="45" t="n"/>
      <c r="AF609" s="45" t="n"/>
      <c r="AG609" s="45" t="n"/>
      <c r="AH609" s="45" t="n"/>
      <c r="AI609" s="45" t="n"/>
      <c r="AJ609" s="45" t="n"/>
      <c r="AK609" s="45" t="n"/>
      <c r="AL609" s="45" t="n"/>
      <c r="AM609" s="45" t="n"/>
      <c r="AN609" s="45" t="n"/>
      <c r="AO609" s="45" t="n"/>
      <c r="AP609" s="45" t="n"/>
      <c r="AQ609" s="45" t="n"/>
      <c r="AR609" s="45" t="n"/>
      <c r="AS609" s="56" t="inlineStr">
        <is>
          <t>Deposit 197.6918428 USDT. Source: screenshot_ocr. Imported from account_cashflows.xlsx row 5.</t>
        </is>
      </c>
      <c r="AT609" s="45" t="n"/>
      <c r="AU609" s="12" t="n">
        <v>413.04353593</v>
      </c>
      <c r="AV609" s="12" t="inlineStr">
        <is>
          <t>USDT</t>
        </is>
      </c>
      <c r="AW609" s="12" t="inlineStr">
        <is>
          <t>cashflow</t>
        </is>
      </c>
      <c r="AX609" s="57" t="inlineStr">
        <is>
          <t>cashflow:BINANCE:2020-10-19T00:00:00:3</t>
        </is>
      </c>
    </row>
    <row r="610" ht="15" customHeight="1">
      <c r="A610" s="716" t="inlineStr">
        <is>
          <t>C103</t>
        </is>
      </c>
      <c r="B610" s="717" t="n">
        <v>44122.11111111111</v>
      </c>
      <c r="C610" s="718" t="n">
        <v>44122.12986111111</v>
      </c>
      <c r="D610" s="719" t="inlineStr">
        <is>
          <t>BINANCE</t>
        </is>
      </c>
      <c r="E610" s="719" t="inlineStr">
        <is>
          <t>BTCUSDT</t>
        </is>
      </c>
      <c r="F610" s="719" t="inlineStr">
        <is>
          <t>BUY</t>
        </is>
      </c>
      <c r="G610" s="720" t="n">
        <v>0.14</v>
      </c>
      <c r="H610" s="720" t="n">
        <v>11311.94</v>
      </c>
      <c r="I610" s="720" t="n">
        <v>11331.27</v>
      </c>
      <c r="J610" s="721" t="n">
        <v>11297.15</v>
      </c>
      <c r="K610" s="722" t="n">
        <v>0.001307468038196885</v>
      </c>
      <c r="L610" s="721" t="n">
        <v>11341.42</v>
      </c>
      <c r="M610" s="722" t="n">
        <v>0.002606095859772909</v>
      </c>
      <c r="N610" s="758" t="n">
        <v>3.21372678</v>
      </c>
      <c r="O610" s="724" t="n">
        <v>-0.46886678</v>
      </c>
      <c r="P610" s="725" t="n">
        <v>-0.00217248430896516</v>
      </c>
      <c r="Q610" s="726" t="n">
        <v>1.306964164976253</v>
      </c>
      <c r="R610" s="727" t="n">
        <v>215.35169315</v>
      </c>
      <c r="S610" s="719" t="inlineStr">
        <is>
          <t>27M 0S</t>
        </is>
      </c>
      <c r="T610" s="717" t="n">
        <v>44121.7</v>
      </c>
      <c r="U610" s="806" t="inlineStr">
        <is>
          <t>7M 55S</t>
        </is>
      </c>
      <c r="V610" s="807" t="n">
        <v>11331.25</v>
      </c>
      <c r="W610" s="725" t="n">
        <v>0.00170704582945096</v>
      </c>
      <c r="X610" s="760" t="n">
        <v>0.000896713109998578</v>
      </c>
      <c r="Y610" s="728" t="n"/>
      <c r="Z610" s="729" t="n"/>
      <c r="AA610" s="730" t="n"/>
      <c r="AB610" s="731" t="n"/>
      <c r="AC610" s="732" t="n"/>
      <c r="AD610" s="719" t="inlineStr">
        <is>
          <t>No</t>
        </is>
      </c>
      <c r="AE610" s="733" t="n"/>
      <c r="AF610" s="733" t="n"/>
      <c r="AG610" s="733" t="n"/>
      <c r="AH610" s="733" t="n"/>
      <c r="AI610" s="719" t="inlineStr">
        <is>
          <t>Limit</t>
        </is>
      </c>
      <c r="AJ610" s="733" t="n"/>
      <c r="AK610" s="733" t="n"/>
      <c r="AL610" s="733" t="n"/>
      <c r="AM610" s="733" t="n"/>
      <c r="AN610" s="733" t="n"/>
      <c r="AO610" s="733" t="n"/>
      <c r="AP610" s="719" t="inlineStr">
        <is>
          <t>Pullback</t>
        </is>
      </c>
      <c r="AQ610" s="719" t="inlineStr">
        <is>
          <t>5MIN</t>
        </is>
      </c>
      <c r="AR610" s="719" t="inlineStr">
        <is>
          <t>No</t>
        </is>
      </c>
      <c r="AS610" s="782" t="n"/>
      <c r="AT610" s="733" t="n"/>
      <c r="AU610" s="719" t="n"/>
      <c r="AV610" s="719" t="n"/>
      <c r="AW610" s="719" t="inlineStr">
        <is>
          <t>trade</t>
        </is>
      </c>
      <c r="AX610" s="734" t="inlineStr">
        <is>
          <t>sig:f3ac2507dea0c41b45bb52d0</t>
        </is>
      </c>
    </row>
    <row r="611" ht="15" customHeight="1">
      <c r="A611" s="716" t="inlineStr">
        <is>
          <t>C102</t>
        </is>
      </c>
      <c r="B611" s="717" t="n">
        <v>44122.09097222222</v>
      </c>
      <c r="C611" s="718" t="n">
        <v>44122.09236111111</v>
      </c>
      <c r="D611" s="719" t="inlineStr">
        <is>
          <t>BINANCE</t>
        </is>
      </c>
      <c r="E611" s="719" t="inlineStr">
        <is>
          <t>XRPUSDT</t>
        </is>
      </c>
      <c r="F611" s="719" t="inlineStr">
        <is>
          <t>BUY</t>
        </is>
      </c>
      <c r="G611" s="720" t="n">
        <v>6451</v>
      </c>
      <c r="H611" s="720" t="n">
        <v>0.2409</v>
      </c>
      <c r="I611" s="720" t="n">
        <v>0.24059</v>
      </c>
      <c r="J611" s="721" t="n">
        <v>0.24059</v>
      </c>
      <c r="K611" s="722" t="n">
        <v>0.00128684101286843</v>
      </c>
      <c r="L611" s="721" t="n">
        <v>0.24189</v>
      </c>
      <c r="M611" s="722" t="n">
        <v>0.004109589041095853</v>
      </c>
      <c r="N611" s="758" t="n">
        <v>3.10609199</v>
      </c>
      <c r="O611" s="724" t="n">
        <v>-5.10590199</v>
      </c>
      <c r="P611" s="725" t="n">
        <v>-0.02311131924001437</v>
      </c>
      <c r="Q611" s="726" t="n">
        <v>-1</v>
      </c>
      <c r="R611" s="727" t="n">
        <v>215.82055993</v>
      </c>
      <c r="S611" s="719" t="inlineStr">
        <is>
          <t>2M 0S</t>
        </is>
      </c>
      <c r="T611" s="717" t="n"/>
      <c r="U611" s="806" t="n"/>
      <c r="V611" s="807" t="n">
        <v>0.24174</v>
      </c>
      <c r="W611" s="725" t="n">
        <v>0.003445270017848978</v>
      </c>
      <c r="X611" s="760" t="n">
        <v>0.0006201165819173322</v>
      </c>
      <c r="Y611" s="728" t="n"/>
      <c r="Z611" s="729" t="n"/>
      <c r="AA611" s="730" t="n"/>
      <c r="AB611" s="731" t="n"/>
      <c r="AC611" s="732" t="n"/>
      <c r="AD611" s="719" t="inlineStr">
        <is>
          <t>No</t>
        </is>
      </c>
      <c r="AE611" s="733" t="n"/>
      <c r="AF611" s="733" t="n"/>
      <c r="AG611" s="733" t="n"/>
      <c r="AH611" s="733" t="n"/>
      <c r="AI611" s="719" t="inlineStr">
        <is>
          <t>Limit</t>
        </is>
      </c>
      <c r="AJ611" s="733" t="n"/>
      <c r="AK611" s="719" t="inlineStr">
        <is>
          <t>Yes</t>
        </is>
      </c>
      <c r="AL611" s="733" t="n"/>
      <c r="AM611" s="733" t="n"/>
      <c r="AN611" s="733" t="n"/>
      <c r="AO611" s="733" t="n"/>
      <c r="AP611" s="719" t="inlineStr">
        <is>
          <t>Pullback</t>
        </is>
      </c>
      <c r="AQ611" s="719" t="inlineStr">
        <is>
          <t>5MIN</t>
        </is>
      </c>
      <c r="AR611" s="719" t="inlineStr">
        <is>
          <t>No</t>
        </is>
      </c>
      <c r="AS611" s="733" t="n"/>
      <c r="AT611" s="733" t="n"/>
      <c r="AU611" s="733" t="n"/>
      <c r="AV611" s="733" t="n"/>
      <c r="AW611" s="719" t="inlineStr">
        <is>
          <t>trade</t>
        </is>
      </c>
      <c r="AX611" s="734" t="inlineStr">
        <is>
          <t>sig:22620fe8ca97ad39f777f628</t>
        </is>
      </c>
    </row>
    <row r="612" ht="15" customHeight="1">
      <c r="A612" s="737" t="inlineStr">
        <is>
          <t>C101</t>
        </is>
      </c>
      <c r="B612" s="738" t="n">
        <v>44122.0375</v>
      </c>
      <c r="C612" s="739" t="n">
        <v>44122.04236111111</v>
      </c>
      <c r="D612" s="740" t="inlineStr">
        <is>
          <t>BINANCE</t>
        </is>
      </c>
      <c r="E612" s="740" t="inlineStr">
        <is>
          <t>XRPUSDT</t>
        </is>
      </c>
      <c r="F612" s="740" t="inlineStr">
        <is>
          <t>BUY</t>
        </is>
      </c>
      <c r="G612" s="742" t="n">
        <v>6451.2</v>
      </c>
      <c r="H612" s="742" t="n">
        <v>0.24193</v>
      </c>
      <c r="I612" s="742" t="n">
        <v>0.24308</v>
      </c>
      <c r="J612" s="743" t="n">
        <v>0.24161</v>
      </c>
      <c r="K612" s="744" t="n">
        <v>0.001322696647790744</v>
      </c>
      <c r="L612" s="743" t="n">
        <v>0.24257</v>
      </c>
      <c r="M612" s="744" t="n">
        <v>0.002645393295581373</v>
      </c>
      <c r="N612" s="745" t="n">
        <v>3.1273165</v>
      </c>
      <c r="O612" s="746" t="n">
        <v>4.2915635</v>
      </c>
      <c r="P612" s="747" t="n">
        <v>0.01981012076678315</v>
      </c>
      <c r="Q612" s="748" t="n">
        <v>3.593749999999786</v>
      </c>
      <c r="R612" s="749" t="n">
        <v>220.92646192</v>
      </c>
      <c r="S612" s="740" t="inlineStr">
        <is>
          <t>7M 0S</t>
        </is>
      </c>
      <c r="T612" s="750" t="n"/>
      <c r="U612" s="751" t="n"/>
      <c r="V612" s="810" t="n"/>
      <c r="W612" s="747" t="n"/>
      <c r="X612" s="744" t="n"/>
      <c r="Y612" s="750" t="n"/>
      <c r="Z612" s="751" t="n"/>
      <c r="AA612" s="752" t="n"/>
      <c r="AB612" s="753" t="n"/>
      <c r="AC612" s="754" t="n"/>
      <c r="AD612" s="740" t="inlineStr">
        <is>
          <t>No</t>
        </is>
      </c>
      <c r="AE612" s="755" t="n"/>
      <c r="AF612" s="755" t="n"/>
      <c r="AG612" s="755" t="n"/>
      <c r="AH612" s="755" t="n"/>
      <c r="AI612" s="740" t="inlineStr">
        <is>
          <t>Limit</t>
        </is>
      </c>
      <c r="AJ612" s="755" t="n"/>
      <c r="AK612" s="740" t="n"/>
      <c r="AL612" s="755" t="n"/>
      <c r="AM612" s="755" t="n"/>
      <c r="AN612" s="755" t="n"/>
      <c r="AO612" s="755" t="n"/>
      <c r="AP612" s="740" t="inlineStr">
        <is>
          <t>Pullback</t>
        </is>
      </c>
      <c r="AQ612" s="740" t="inlineStr">
        <is>
          <t>5MIN</t>
        </is>
      </c>
      <c r="AR612" s="740" t="inlineStr">
        <is>
          <t>No</t>
        </is>
      </c>
      <c r="AS612" s="755" t="n"/>
      <c r="AT612" s="755" t="n"/>
      <c r="AU612" s="755" t="n"/>
      <c r="AV612" s="755" t="n"/>
      <c r="AW612" s="740" t="inlineStr">
        <is>
          <t>trade</t>
        </is>
      </c>
      <c r="AX612" s="756" t="inlineStr">
        <is>
          <t>sig:8fe6eb6fec6b6722cfde4301</t>
        </is>
      </c>
    </row>
    <row r="613" ht="15" customHeight="1">
      <c r="A613" s="716" t="inlineStr">
        <is>
          <t>C100</t>
        </is>
      </c>
      <c r="B613" s="717" t="n">
        <v>44115.26944444444</v>
      </c>
      <c r="C613" s="718" t="n">
        <v>44118.91666666666</v>
      </c>
      <c r="D613" s="719" t="inlineStr">
        <is>
          <t>BINANCE</t>
        </is>
      </c>
      <c r="E613" s="719" t="inlineStr">
        <is>
          <t>YFIUSDT</t>
        </is>
      </c>
      <c r="F613" s="719" t="inlineStr">
        <is>
          <t>BUY</t>
        </is>
      </c>
      <c r="G613" s="757" t="n">
        <v>0.001</v>
      </c>
      <c r="H613" s="720" t="n">
        <v>16396.38</v>
      </c>
      <c r="I613" s="720" t="n">
        <v>14450.62</v>
      </c>
      <c r="J613" s="721" t="n">
        <v>14450.62</v>
      </c>
      <c r="K613" s="722" t="n">
        <v>0.1186700966920747</v>
      </c>
      <c r="L613" s="721" t="n">
        <v>22266.07</v>
      </c>
      <c r="M613" s="722" t="n">
        <v>0.3579869458990337</v>
      </c>
      <c r="N613" s="723" t="n">
        <v>0.02318147</v>
      </c>
      <c r="O613" s="724" t="n">
        <v>-1.96894147</v>
      </c>
      <c r="P613" s="725" t="n">
        <v>-0.009006893341813017</v>
      </c>
      <c r="Q613" s="726" t="n">
        <v>-1</v>
      </c>
      <c r="R613" s="727" t="n">
        <v>216.63489842</v>
      </c>
      <c r="S613" s="719" t="inlineStr">
        <is>
          <t>3D 15H 32M 0S</t>
        </is>
      </c>
      <c r="T613" s="717" t="n"/>
      <c r="U613" s="806" t="n"/>
      <c r="V613" s="807" t="n">
        <v>20325.93</v>
      </c>
      <c r="W613" s="725" t="n">
        <v>0.2396596077914759</v>
      </c>
      <c r="X613" s="722" t="n">
        <v>0.08713437081622394</v>
      </c>
      <c r="Y613" s="728" t="n"/>
      <c r="Z613" s="729" t="n"/>
      <c r="AA613" s="730" t="n"/>
      <c r="AB613" s="731" t="n"/>
      <c r="AC613" s="732" t="n"/>
      <c r="AD613" s="719" t="inlineStr">
        <is>
          <t>No</t>
        </is>
      </c>
      <c r="AE613" s="733" t="n"/>
      <c r="AF613" s="733" t="n"/>
      <c r="AG613" s="733" t="n"/>
      <c r="AH613" s="733" t="n"/>
      <c r="AI613" s="719" t="inlineStr">
        <is>
          <t>Limit</t>
        </is>
      </c>
      <c r="AJ613" s="733" t="n"/>
      <c r="AK613" s="733" t="n"/>
      <c r="AL613" s="733" t="n"/>
      <c r="AM613" s="719" t="n"/>
      <c r="AN613" s="733" t="n"/>
      <c r="AO613" s="733" t="n"/>
      <c r="AP613" s="719" t="inlineStr">
        <is>
          <t>Pullback</t>
        </is>
      </c>
      <c r="AQ613" s="719" t="inlineStr">
        <is>
          <t>4H</t>
        </is>
      </c>
      <c r="AR613" s="719" t="inlineStr">
        <is>
          <t>No</t>
        </is>
      </c>
      <c r="AS613" s="733" t="n"/>
      <c r="AT613" s="733" t="n"/>
      <c r="AU613" s="733" t="n"/>
      <c r="AV613" s="733" t="n"/>
      <c r="AW613" s="719" t="inlineStr">
        <is>
          <t>trade</t>
        </is>
      </c>
      <c r="AX613" s="734" t="inlineStr">
        <is>
          <t>sig:e605f768c626e0a4455e6fd1</t>
        </is>
      </c>
    </row>
    <row r="614" ht="15" customHeight="1">
      <c r="A614" s="716" t="inlineStr">
        <is>
          <t>C99</t>
        </is>
      </c>
      <c r="B614" s="717" t="n">
        <v>44111.11527777778</v>
      </c>
      <c r="C614" s="718" t="n">
        <v>44111.48194444444</v>
      </c>
      <c r="D614" s="719" t="inlineStr">
        <is>
          <t>BINANCE</t>
        </is>
      </c>
      <c r="E614" s="719" t="inlineStr">
        <is>
          <t>FLMUSDT</t>
        </is>
      </c>
      <c r="F614" s="719" t="inlineStr">
        <is>
          <t>BUY</t>
        </is>
      </c>
      <c r="G614" s="720" t="n">
        <v>61.41</v>
      </c>
      <c r="H614" s="720" t="n">
        <v>0.3115</v>
      </c>
      <c r="I614" s="720" t="n">
        <v>0.2773</v>
      </c>
      <c r="J614" s="721" t="n">
        <v>0.2773</v>
      </c>
      <c r="K614" s="722" t="n">
        <v>0.1097913322632424</v>
      </c>
      <c r="L614" s="721" t="n">
        <v>0.4159</v>
      </c>
      <c r="M614" s="722" t="n">
        <v>0.3351524879614767</v>
      </c>
      <c r="N614" s="723" t="n">
        <v>0.02727108</v>
      </c>
      <c r="O614" s="724" t="n">
        <v>-2.12749308</v>
      </c>
      <c r="P614" s="725" t="n">
        <v>-0.009638382785869152</v>
      </c>
      <c r="Q614" s="726" t="n">
        <v>-1</v>
      </c>
      <c r="R614" s="727" t="n">
        <v>218.60383989</v>
      </c>
      <c r="S614" s="719" t="inlineStr">
        <is>
          <t>8H 48M 0S</t>
        </is>
      </c>
      <c r="T614" s="728" t="n"/>
      <c r="U614" s="729" t="n"/>
      <c r="V614" s="807" t="n">
        <v>0.3752</v>
      </c>
      <c r="W614" s="725" t="n">
        <v>0.2044943820224718</v>
      </c>
      <c r="X614" s="722" t="n">
        <v>0.09786006251502768</v>
      </c>
      <c r="Y614" s="728" t="n"/>
      <c r="Z614" s="729" t="n"/>
      <c r="AA614" s="730" t="n"/>
      <c r="AB614" s="731" t="n"/>
      <c r="AC614" s="732" t="n"/>
      <c r="AD614" s="719" t="inlineStr">
        <is>
          <t>No</t>
        </is>
      </c>
      <c r="AE614" s="733" t="n"/>
      <c r="AF614" s="733" t="n"/>
      <c r="AG614" s="733" t="n"/>
      <c r="AH614" s="733" t="n"/>
      <c r="AI614" s="719" t="inlineStr">
        <is>
          <t>Limit</t>
        </is>
      </c>
      <c r="AJ614" s="733" t="n"/>
      <c r="AK614" s="733" t="n"/>
      <c r="AL614" s="733" t="n"/>
      <c r="AM614" s="733" t="n"/>
      <c r="AN614" s="733" t="n"/>
      <c r="AO614" s="733" t="n"/>
      <c r="AP614" s="719" t="inlineStr">
        <is>
          <t>Pullback</t>
        </is>
      </c>
      <c r="AQ614" s="719" t="inlineStr">
        <is>
          <t>4H</t>
        </is>
      </c>
      <c r="AR614" s="719" t="inlineStr">
        <is>
          <t>No</t>
        </is>
      </c>
      <c r="AS614" s="733" t="n"/>
      <c r="AT614" s="733" t="n"/>
      <c r="AU614" s="733" t="n"/>
      <c r="AV614" s="733" t="n"/>
      <c r="AW614" s="719" t="inlineStr">
        <is>
          <t>trade</t>
        </is>
      </c>
      <c r="AX614" s="734" t="inlineStr">
        <is>
          <t>sig:5cf0e54cce36c63abbed298d</t>
        </is>
      </c>
    </row>
    <row r="615" ht="15" customHeight="1">
      <c r="A615" s="716" t="n"/>
      <c r="B615" s="717" t="n">
        <v>44108.24791666667</v>
      </c>
      <c r="C615" s="718" t="n">
        <v>44108.26041666666</v>
      </c>
      <c r="D615" s="719" t="inlineStr">
        <is>
          <t>BINANCE</t>
        </is>
      </c>
      <c r="E615" s="719" t="inlineStr">
        <is>
          <t>WINGUSDT</t>
        </is>
      </c>
      <c r="F615" s="719" t="inlineStr">
        <is>
          <t>BUY</t>
        </is>
      </c>
      <c r="G615" s="720" t="n">
        <v>1.22</v>
      </c>
      <c r="H615" s="720" t="n">
        <v>24.191</v>
      </c>
      <c r="I615" s="720" t="n">
        <v>23.888</v>
      </c>
      <c r="J615" s="721" t="n"/>
      <c r="K615" s="722" t="n"/>
      <c r="L615" s="721" t="n"/>
      <c r="M615" s="722" t="n"/>
      <c r="N615" s="723" t="n">
        <v>0.04382538</v>
      </c>
      <c r="O615" s="724" t="n">
        <v>-0.41227338</v>
      </c>
      <c r="P615" s="725" t="n">
        <v>-0.001867761021748701</v>
      </c>
      <c r="Q615" s="726" t="n"/>
      <c r="R615" s="727" t="n">
        <v>220.73133297</v>
      </c>
      <c r="S615" s="719" t="inlineStr">
        <is>
          <t>18M 0S</t>
        </is>
      </c>
      <c r="T615" s="728" t="n"/>
      <c r="U615" s="729" t="n"/>
      <c r="V615" s="807" t="n"/>
      <c r="W615" s="725" t="n"/>
      <c r="X615" s="722" t="n"/>
      <c r="Y615" s="728" t="n"/>
      <c r="Z615" s="729" t="n"/>
      <c r="AA615" s="730" t="n"/>
      <c r="AB615" s="731" t="n"/>
      <c r="AC615" s="732" t="n"/>
      <c r="AD615" s="719" t="inlineStr">
        <is>
          <t>Yes</t>
        </is>
      </c>
      <c r="AE615" s="733" t="n"/>
      <c r="AF615" s="733" t="n"/>
      <c r="AG615" s="733" t="n"/>
      <c r="AH615" s="733" t="n"/>
      <c r="AI615" s="719" t="n"/>
      <c r="AJ615" s="733" t="n"/>
      <c r="AK615" s="733" t="n"/>
      <c r="AL615" s="733" t="n"/>
      <c r="AM615" s="733" t="n"/>
      <c r="AN615" s="733" t="n"/>
      <c r="AO615" s="733" t="n"/>
      <c r="AP615" s="719" t="inlineStr">
        <is>
          <t>Pullback</t>
        </is>
      </c>
      <c r="AQ615" s="719" t="n"/>
      <c r="AR615" s="719" t="inlineStr">
        <is>
          <t>No</t>
        </is>
      </c>
      <c r="AS615" s="733" t="n"/>
      <c r="AT615" s="733" t="n"/>
      <c r="AU615" s="733" t="n"/>
      <c r="AV615" s="733" t="n"/>
      <c r="AW615" s="719" t="inlineStr">
        <is>
          <t>trade</t>
        </is>
      </c>
      <c r="AX615" s="734" t="inlineStr">
        <is>
          <t>sig:c9b09bc44bc67c5e80edafe8</t>
        </is>
      </c>
    </row>
    <row r="616" ht="15" customHeight="1">
      <c r="A616" s="716" t="inlineStr">
        <is>
          <t>C98</t>
        </is>
      </c>
      <c r="B616" s="717" t="n">
        <v>44102.93888888889</v>
      </c>
      <c r="C616" s="718" t="n">
        <v>44106.78888888889</v>
      </c>
      <c r="D616" s="719" t="inlineStr">
        <is>
          <t>BINANCE</t>
        </is>
      </c>
      <c r="E616" s="719" t="inlineStr">
        <is>
          <t>SXPUSDT</t>
        </is>
      </c>
      <c r="F616" s="719" t="inlineStr">
        <is>
          <t>BUY</t>
        </is>
      </c>
      <c r="G616" s="720" t="n">
        <v>8.869999999999999</v>
      </c>
      <c r="H616" s="720" t="n">
        <v>1.622</v>
      </c>
      <c r="I616" s="720" t="n">
        <v>1.383</v>
      </c>
      <c r="J616" s="721" t="n">
        <v>1.382</v>
      </c>
      <c r="K616" s="722" t="n">
        <v>0.1479654747225649</v>
      </c>
      <c r="L616" s="721" t="n">
        <v>2.582</v>
      </c>
      <c r="M616" s="722" t="n">
        <v>0.5918618988902588</v>
      </c>
      <c r="N616" s="723" t="n">
        <v>0.02026748</v>
      </c>
      <c r="O616" s="724" t="n">
        <v>-2.14067548</v>
      </c>
      <c r="P616" s="725" t="n">
        <v>-0.009587219765114624</v>
      </c>
      <c r="Q616" s="726" t="n">
        <v>-0.9958333333333329</v>
      </c>
      <c r="R616" s="727" t="n">
        <v>221.14360635</v>
      </c>
      <c r="S616" s="719" t="inlineStr">
        <is>
          <t>3D 20H 24M 0S</t>
        </is>
      </c>
      <c r="T616" s="728" t="n"/>
      <c r="U616" s="729" t="n"/>
      <c r="V616" s="807" t="n">
        <v>2.276</v>
      </c>
      <c r="W616" s="725" t="n">
        <v>0.4032059186189887</v>
      </c>
      <c r="X616" s="722" t="n">
        <v>0.1185127807900852</v>
      </c>
      <c r="Y616" s="728" t="n"/>
      <c r="Z616" s="729" t="n"/>
      <c r="AA616" s="730" t="n"/>
      <c r="AB616" s="731" t="n"/>
      <c r="AC616" s="732" t="n"/>
      <c r="AD616" s="719" t="inlineStr">
        <is>
          <t>No</t>
        </is>
      </c>
      <c r="AE616" s="733" t="n"/>
      <c r="AF616" s="733" t="n"/>
      <c r="AG616" s="733" t="n"/>
      <c r="AH616" s="733" t="n"/>
      <c r="AI616" s="719" t="inlineStr">
        <is>
          <t>Limit</t>
        </is>
      </c>
      <c r="AJ616" s="733" t="n"/>
      <c r="AK616" s="733" t="n"/>
      <c r="AL616" s="733" t="n"/>
      <c r="AM616" s="733" t="n"/>
      <c r="AN616" s="733" t="n"/>
      <c r="AO616" s="733" t="n"/>
      <c r="AP616" s="719" t="inlineStr">
        <is>
          <t>Pullback</t>
        </is>
      </c>
      <c r="AQ616" s="719" t="inlineStr">
        <is>
          <t>4H</t>
        </is>
      </c>
      <c r="AR616" s="719" t="inlineStr">
        <is>
          <t>No</t>
        </is>
      </c>
      <c r="AS616" s="733" t="n"/>
      <c r="AT616" s="733" t="n"/>
      <c r="AU616" s="733" t="n"/>
      <c r="AV616" s="733" t="n"/>
      <c r="AW616" s="719" t="inlineStr">
        <is>
          <t>trade</t>
        </is>
      </c>
      <c r="AX616" s="734" t="inlineStr">
        <is>
          <t>sig:90d2afeacea09666d1f691df</t>
        </is>
      </c>
    </row>
    <row r="617" ht="15" customHeight="1">
      <c r="A617" s="42" t="n"/>
      <c r="B617" s="770" t="n">
        <v>44105</v>
      </c>
      <c r="C617" s="771" t="n">
        <v>44105</v>
      </c>
      <c r="D617" s="12" t="inlineStr">
        <is>
          <t>PEPPERSTONE DEMO</t>
        </is>
      </c>
      <c r="E617" s="12" t="inlineStr">
        <is>
          <t>CASHFLOW</t>
        </is>
      </c>
      <c r="F617" s="12" t="inlineStr">
        <is>
          <t>WITHDRAWAL</t>
        </is>
      </c>
      <c r="G617" s="262" t="n"/>
      <c r="H617" s="262" t="n"/>
      <c r="I617" s="262" t="n"/>
      <c r="J617" s="263" t="n"/>
      <c r="K617" s="36" t="n"/>
      <c r="L617" s="263" t="n"/>
      <c r="M617" s="36" t="n"/>
      <c r="N617" s="779" t="n"/>
      <c r="O617" s="773" t="n"/>
      <c r="P617" s="3" t="n"/>
      <c r="Q617" s="51" t="n"/>
      <c r="R617" s="54" t="n">
        <v>0</v>
      </c>
      <c r="S617" s="12" t="n"/>
      <c r="T617" s="774" t="n"/>
      <c r="U617" s="6" t="n"/>
      <c r="V617" s="269" t="n"/>
      <c r="W617" s="3" t="n"/>
      <c r="X617" s="36" t="n"/>
      <c r="Y617" s="774" t="n"/>
      <c r="Z617" s="6" t="n"/>
      <c r="AA617" s="264" t="n"/>
      <c r="AB617" s="9" t="n"/>
      <c r="AC617" s="46" t="n"/>
      <c r="AD617" s="12" t="inlineStr">
        <is>
          <t>No</t>
        </is>
      </c>
      <c r="AE617" s="45" t="n"/>
      <c r="AF617" s="45" t="n"/>
      <c r="AG617" s="45" t="n"/>
      <c r="AH617" s="45" t="n"/>
      <c r="AI617" s="12" t="n"/>
      <c r="AJ617" s="45" t="n"/>
      <c r="AK617" s="45" t="n"/>
      <c r="AL617" s="45" t="n"/>
      <c r="AM617" s="45" t="n"/>
      <c r="AN617" s="45" t="n"/>
      <c r="AO617" s="45" t="n"/>
      <c r="AP617" s="12" t="n"/>
      <c r="AQ617" s="12" t="n"/>
      <c r="AR617" s="12" t="n"/>
      <c r="AS617" s="56" t="inlineStr">
        <is>
          <t>Withdrawal -489.44 AUD. Source: user_txt. Imported from account_cashflows.xlsx row 64.</t>
        </is>
      </c>
      <c r="AT617" s="45" t="n"/>
      <c r="AU617" s="12" t="n">
        <v>0</v>
      </c>
      <c r="AV617" s="12" t="inlineStr">
        <is>
          <t>AUD</t>
        </is>
      </c>
      <c r="AW617" s="12" t="inlineStr">
        <is>
          <t>cashflow</t>
        </is>
      </c>
      <c r="AX617" s="57" t="inlineStr">
        <is>
          <t>cashflow:PEPPERSTONE DEMO:2020-10-01T00:00:00:50</t>
        </is>
      </c>
    </row>
    <row r="618" ht="15" customHeight="1">
      <c r="A618" s="42" t="n"/>
      <c r="B618" s="770" t="n">
        <v>44105</v>
      </c>
      <c r="C618" s="771" t="n">
        <v>44105</v>
      </c>
      <c r="D618" s="12" t="inlineStr">
        <is>
          <t>PEPPERSTONE DEMO</t>
        </is>
      </c>
      <c r="E618" s="12" t="inlineStr">
        <is>
          <t>CASHFLOW</t>
        </is>
      </c>
      <c r="F618" s="12" t="inlineStr">
        <is>
          <t>WITHDRAWAL</t>
        </is>
      </c>
      <c r="G618" s="262" t="n"/>
      <c r="H618" s="262" t="n"/>
      <c r="I618" s="262" t="n"/>
      <c r="J618" s="263" t="n"/>
      <c r="K618" s="36" t="n"/>
      <c r="L618" s="263" t="n"/>
      <c r="M618" s="36" t="n"/>
      <c r="N618" s="772" t="n"/>
      <c r="O618" s="773" t="n"/>
      <c r="P618" s="3" t="n"/>
      <c r="Q618" s="51" t="n"/>
      <c r="R618" s="54" t="n">
        <v>489.44</v>
      </c>
      <c r="S618" s="12" t="n"/>
      <c r="T618" s="774" t="n"/>
      <c r="U618" s="6" t="n"/>
      <c r="V618" s="269" t="n"/>
      <c r="W618" s="3" t="n"/>
      <c r="X618" s="36" t="n"/>
      <c r="Y618" s="774" t="n"/>
      <c r="Z618" s="6" t="n"/>
      <c r="AA618" s="264" t="n"/>
      <c r="AB618" s="9" t="n"/>
      <c r="AC618" s="46" t="n"/>
      <c r="AD618" s="12" t="inlineStr">
        <is>
          <t>No</t>
        </is>
      </c>
      <c r="AE618" s="45" t="n"/>
      <c r="AF618" s="45" t="n"/>
      <c r="AG618" s="45" t="n"/>
      <c r="AH618" s="45" t="n"/>
      <c r="AI618" s="12" t="n"/>
      <c r="AJ618" s="45" t="n"/>
      <c r="AK618" s="45" t="n"/>
      <c r="AL618" s="45" t="n"/>
      <c r="AM618" s="45" t="n"/>
      <c r="AN618" s="45" t="n"/>
      <c r="AO618" s="45" t="n"/>
      <c r="AP618" s="12" t="n"/>
      <c r="AQ618" s="12" t="n"/>
      <c r="AR618" s="12" t="n"/>
      <c r="AS618" s="56" t="inlineStr">
        <is>
          <t>Withdrawal -480.74 AUD. Source: user_txt. Imported from account_cashflows.xlsx row 65.</t>
        </is>
      </c>
      <c r="AT618" s="45" t="n"/>
      <c r="AU618" s="12" t="n">
        <v>489.44</v>
      </c>
      <c r="AV618" s="12" t="inlineStr">
        <is>
          <t>AUD</t>
        </is>
      </c>
      <c r="AW618" s="12" t="inlineStr">
        <is>
          <t>cashflow</t>
        </is>
      </c>
      <c r="AX618" s="57" t="inlineStr">
        <is>
          <t>cashflow:PEPPERSTONE DEMO:2020-10-01T00:00:00:51</t>
        </is>
      </c>
    </row>
    <row r="619" ht="15" customHeight="1">
      <c r="A619" s="737" t="inlineStr">
        <is>
          <t>C97</t>
        </is>
      </c>
      <c r="B619" s="738" t="n">
        <v>44097.63055555556</v>
      </c>
      <c r="C619" s="739" t="n">
        <v>44099.44861111111</v>
      </c>
      <c r="D619" s="740" t="inlineStr">
        <is>
          <t>BINANCE</t>
        </is>
      </c>
      <c r="E619" s="740" t="inlineStr">
        <is>
          <t>NEOUSDT</t>
        </is>
      </c>
      <c r="F619" s="740" t="inlineStr">
        <is>
          <t>BUY</t>
        </is>
      </c>
      <c r="G619" s="742" t="n">
        <v>1.98</v>
      </c>
      <c r="H619" s="742" t="n">
        <v>19.268</v>
      </c>
      <c r="I619" s="742" t="n">
        <v>22.684</v>
      </c>
      <c r="J619" s="743" t="n">
        <v>18.226</v>
      </c>
      <c r="K619" s="744" t="n">
        <v>0.05407930247041735</v>
      </c>
      <c r="L619" s="743" t="n">
        <v>22.482</v>
      </c>
      <c r="M619" s="744" t="n">
        <v>0.1668050653933983</v>
      </c>
      <c r="N619" s="802" t="n">
        <v>0.06245258</v>
      </c>
      <c r="O619" s="746" t="n">
        <v>6.71192142</v>
      </c>
      <c r="P619" s="747" t="n">
        <v>0.03099158824927359</v>
      </c>
      <c r="Q619" s="748" t="n">
        <v>3.278310940499036</v>
      </c>
      <c r="R619" s="749" t="n">
        <v>223.28428183</v>
      </c>
      <c r="S619" s="740" t="inlineStr">
        <is>
          <t>1D 19H 38M 0S</t>
        </is>
      </c>
      <c r="T619" s="738" t="n">
        <v>44097.46111111111</v>
      </c>
      <c r="U619" s="809" t="inlineStr">
        <is>
          <t>5H 55M 45S</t>
        </is>
      </c>
      <c r="V619" s="810" t="n">
        <v>21.498</v>
      </c>
      <c r="W619" s="747" t="n">
        <v>0.1157359352293959</v>
      </c>
      <c r="X619" s="744" t="n">
        <v>0.04376834801174265</v>
      </c>
      <c r="Y619" s="750" t="n"/>
      <c r="Z619" s="751" t="n"/>
      <c r="AA619" s="752" t="n"/>
      <c r="AB619" s="753" t="n"/>
      <c r="AC619" s="754" t="n"/>
      <c r="AD619" s="740" t="inlineStr">
        <is>
          <t>No</t>
        </is>
      </c>
      <c r="AE619" s="755" t="n"/>
      <c r="AF619" s="755" t="n"/>
      <c r="AG619" s="755" t="n"/>
      <c r="AH619" s="755" t="n"/>
      <c r="AI619" s="740" t="inlineStr">
        <is>
          <t>Limit</t>
        </is>
      </c>
      <c r="AJ619" s="755" t="n"/>
      <c r="AK619" s="755" t="n"/>
      <c r="AL619" s="755" t="n"/>
      <c r="AM619" s="755" t="n"/>
      <c r="AN619" s="755" t="n"/>
      <c r="AO619" s="755" t="n"/>
      <c r="AP619" s="740" t="inlineStr">
        <is>
          <t>Pullback</t>
        </is>
      </c>
      <c r="AQ619" s="740" t="inlineStr">
        <is>
          <t>4H</t>
        </is>
      </c>
      <c r="AR619" s="740" t="inlineStr">
        <is>
          <t>No</t>
        </is>
      </c>
      <c r="AS619" s="755" t="n"/>
      <c r="AT619" s="755" t="n"/>
      <c r="AU619" s="755" t="n"/>
      <c r="AV619" s="755" t="n"/>
      <c r="AW619" s="740" t="inlineStr">
        <is>
          <t>trade</t>
        </is>
      </c>
      <c r="AX619" s="756" t="inlineStr">
        <is>
          <t>sig:3b62b844b93253c3dc5be757</t>
        </is>
      </c>
    </row>
    <row r="620" ht="15" customHeight="1">
      <c r="A620" s="716" t="inlineStr">
        <is>
          <t>C96</t>
        </is>
      </c>
      <c r="B620" s="717" t="n">
        <v>44096.70486111111</v>
      </c>
      <c r="C620" s="718" t="n">
        <v>44096.73194444444</v>
      </c>
      <c r="D620" s="719" t="inlineStr">
        <is>
          <t>BINANCE</t>
        </is>
      </c>
      <c r="E620" s="719" t="inlineStr">
        <is>
          <t>NEOUSDT</t>
        </is>
      </c>
      <c r="F620" s="719" t="inlineStr">
        <is>
          <t>BUY</t>
        </is>
      </c>
      <c r="G620" s="720" t="n">
        <v>2.49</v>
      </c>
      <c r="H620" s="720" t="n">
        <v>19.513</v>
      </c>
      <c r="I620" s="720" t="n">
        <v>18.626</v>
      </c>
      <c r="J620" s="721" t="n">
        <v>18.626</v>
      </c>
      <c r="K620" s="722" t="n">
        <v>0.04545687490391023</v>
      </c>
      <c r="L620" s="721" t="n">
        <v>22.223</v>
      </c>
      <c r="M620" s="722" t="n">
        <v>0.1388817711269409</v>
      </c>
      <c r="N620" s="723" t="n">
        <v>0.07136502</v>
      </c>
      <c r="O620" s="724" t="n">
        <v>-2.28265602</v>
      </c>
      <c r="P620" s="725" t="n">
        <v>-0.01042999176914046</v>
      </c>
      <c r="Q620" s="726" t="n">
        <v>-1</v>
      </c>
      <c r="R620" s="727" t="n">
        <v>216.57236041</v>
      </c>
      <c r="S620" s="719" t="inlineStr">
        <is>
          <t>39M 0S</t>
        </is>
      </c>
      <c r="T620" s="728" t="n"/>
      <c r="U620" s="729" t="n"/>
      <c r="V620" s="807" t="n">
        <v>21.006</v>
      </c>
      <c r="W620" s="725" t="n">
        <v>0.07651309383487923</v>
      </c>
      <c r="X620" s="722" t="n">
        <v>0.05476308329208472</v>
      </c>
      <c r="Y620" s="728" t="n"/>
      <c r="Z620" s="729" t="n"/>
      <c r="AA620" s="730" t="n"/>
      <c r="AB620" s="731" t="n"/>
      <c r="AC620" s="732" t="n"/>
      <c r="AD620" s="719" t="inlineStr">
        <is>
          <t>No</t>
        </is>
      </c>
      <c r="AE620" s="733" t="n"/>
      <c r="AF620" s="733" t="n"/>
      <c r="AG620" s="733" t="n"/>
      <c r="AH620" s="733" t="n"/>
      <c r="AI620" s="719" t="inlineStr">
        <is>
          <t>Limit</t>
        </is>
      </c>
      <c r="AJ620" s="733" t="n"/>
      <c r="AK620" s="719" t="inlineStr">
        <is>
          <t>Yes</t>
        </is>
      </c>
      <c r="AL620" s="733" t="n"/>
      <c r="AM620" s="733" t="n"/>
      <c r="AN620" s="733" t="n"/>
      <c r="AO620" s="733" t="n"/>
      <c r="AP620" s="719" t="inlineStr">
        <is>
          <t>Pullback</t>
        </is>
      </c>
      <c r="AQ620" s="719" t="inlineStr">
        <is>
          <t>4H</t>
        </is>
      </c>
      <c r="AR620" s="719" t="inlineStr">
        <is>
          <t>No</t>
        </is>
      </c>
      <c r="AS620" s="733" t="n"/>
      <c r="AT620" s="733" t="n"/>
      <c r="AU620" s="733" t="n"/>
      <c r="AV620" s="733" t="n"/>
      <c r="AW620" s="719" t="inlineStr">
        <is>
          <t>trade</t>
        </is>
      </c>
      <c r="AX620" s="734" t="inlineStr">
        <is>
          <t>sig:0e6e268711fe6721b6ecb0b1</t>
        </is>
      </c>
    </row>
    <row r="621" ht="15" customHeight="1">
      <c r="A621" s="716" t="inlineStr">
        <is>
          <t>C95</t>
        </is>
      </c>
      <c r="B621" s="717" t="n">
        <v>44095.09097222222</v>
      </c>
      <c r="C621" s="718" t="n">
        <v>44095.90416666667</v>
      </c>
      <c r="D621" s="719" t="inlineStr">
        <is>
          <t>BINANCE</t>
        </is>
      </c>
      <c r="E621" s="719" t="inlineStr">
        <is>
          <t>FTMUSDT</t>
        </is>
      </c>
      <c r="F621" s="719" t="inlineStr">
        <is>
          <t>BUY</t>
        </is>
      </c>
      <c r="G621" s="720" t="n">
        <v>476.5</v>
      </c>
      <c r="H621" s="735" t="n">
        <v>0.03354</v>
      </c>
      <c r="I621" s="735" t="n">
        <v>0.03354</v>
      </c>
      <c r="J621" s="736" t="n">
        <v>0.02916</v>
      </c>
      <c r="K621" s="722" t="n">
        <v>0.1305903398926655</v>
      </c>
      <c r="L621" s="736" t="n">
        <v>0.04686</v>
      </c>
      <c r="M621" s="722" t="n">
        <v>0.3971377459749552</v>
      </c>
      <c r="N621" s="723" t="n">
        <v>0.02411034</v>
      </c>
      <c r="O621" s="777" t="n">
        <v>-0.02411034</v>
      </c>
      <c r="P621" s="763" t="n">
        <v>-0.0001101536741113526</v>
      </c>
      <c r="Q621" s="726" t="n">
        <v>0</v>
      </c>
      <c r="R621" s="727" t="n">
        <v>218.8550164299999</v>
      </c>
      <c r="S621" s="719" t="inlineStr">
        <is>
          <t>19H 31M 0S</t>
        </is>
      </c>
      <c r="T621" s="717" t="n">
        <v>44095.19375</v>
      </c>
      <c r="U621" s="806" t="inlineStr">
        <is>
          <t>12H 27M 58S</t>
        </is>
      </c>
      <c r="V621" s="817" t="n">
        <v>0.03991</v>
      </c>
      <c r="W621" s="725" t="n">
        <v>0.189922480620155</v>
      </c>
      <c r="X621" s="722" t="n">
        <v>0.1483141271873666</v>
      </c>
      <c r="Y621" s="728" t="n"/>
      <c r="Z621" s="729" t="n"/>
      <c r="AA621" s="730" t="n"/>
      <c r="AB621" s="731" t="n"/>
      <c r="AC621" s="732" t="n"/>
      <c r="AD621" s="719" t="inlineStr">
        <is>
          <t>No</t>
        </is>
      </c>
      <c r="AE621" s="733" t="n"/>
      <c r="AF621" s="733" t="n"/>
      <c r="AG621" s="733" t="n"/>
      <c r="AH621" s="733" t="n"/>
      <c r="AI621" s="719" t="inlineStr">
        <is>
          <t>Limit</t>
        </is>
      </c>
      <c r="AJ621" s="733" t="n"/>
      <c r="AK621" s="733" t="n"/>
      <c r="AL621" s="733" t="n"/>
      <c r="AM621" s="719" t="inlineStr">
        <is>
          <t>Yes</t>
        </is>
      </c>
      <c r="AN621" s="733" t="n"/>
      <c r="AO621" s="733" t="n"/>
      <c r="AP621" s="719" t="inlineStr">
        <is>
          <t>Pullback</t>
        </is>
      </c>
      <c r="AQ621" s="719" t="inlineStr">
        <is>
          <t>4H</t>
        </is>
      </c>
      <c r="AR621" s="719" t="inlineStr">
        <is>
          <t>No</t>
        </is>
      </c>
      <c r="AS621" s="733" t="n"/>
      <c r="AT621" s="733" t="n"/>
      <c r="AU621" s="733" t="n"/>
      <c r="AV621" s="733" t="n"/>
      <c r="AW621" s="719" t="inlineStr">
        <is>
          <t>trade</t>
        </is>
      </c>
      <c r="AX621" s="734" t="inlineStr">
        <is>
          <t>sig:1ddd73ef9e6e65de182b4882</t>
        </is>
      </c>
    </row>
    <row r="622" ht="15" customHeight="1">
      <c r="A622" s="716" t="inlineStr">
        <is>
          <t>F790</t>
        </is>
      </c>
      <c r="B622" s="717" t="n">
        <v>44091.95486111111</v>
      </c>
      <c r="C622" s="718" t="n">
        <v>44095.75972222222</v>
      </c>
      <c r="D622" s="719" t="inlineStr">
        <is>
          <t>PEPPERSTONE DEMO</t>
        </is>
      </c>
      <c r="E622" s="719" t="inlineStr">
        <is>
          <t>AUDJPY</t>
        </is>
      </c>
      <c r="F622" s="719" t="inlineStr">
        <is>
          <t>BUY</t>
        </is>
      </c>
      <c r="G622" s="735" t="n">
        <v>0.01</v>
      </c>
      <c r="H622" s="720" t="n">
        <v>76.22</v>
      </c>
      <c r="I622" s="720" t="n">
        <v>75.828</v>
      </c>
      <c r="J622" s="721" t="n">
        <v>75.81999999999999</v>
      </c>
      <c r="K622" s="722" t="n">
        <v>0.005247966413015032</v>
      </c>
      <c r="L622" s="721" t="n">
        <v>77.42</v>
      </c>
      <c r="M622" s="722" t="n">
        <v>0.01574389923904491</v>
      </c>
      <c r="N622" s="792" t="n">
        <v>0.02</v>
      </c>
      <c r="O622" s="762" t="n">
        <v>-5.3</v>
      </c>
      <c r="P622" s="725" t="n">
        <v>-0.01114663077311348</v>
      </c>
      <c r="Q622" s="726" t="n">
        <v>-0.9799999999999759</v>
      </c>
      <c r="R622" s="764" t="n">
        <v>470.18</v>
      </c>
      <c r="S622" s="719" t="inlineStr">
        <is>
          <t>3D 19H 19M 0S</t>
        </is>
      </c>
      <c r="T622" s="728" t="n"/>
      <c r="U622" s="729" t="n"/>
      <c r="V622" s="807" t="n">
        <v>76.93000000000001</v>
      </c>
      <c r="W622" s="725" t="n">
        <v>-0.710000000000008</v>
      </c>
      <c r="X622" s="722" t="n">
        <v>0.4899999999999949</v>
      </c>
      <c r="Y622" s="728" t="n"/>
      <c r="Z622" s="729" t="n"/>
      <c r="AA622" s="730" t="n"/>
      <c r="AB622" s="731" t="n"/>
      <c r="AC622" s="732" t="n"/>
      <c r="AD622" s="719" t="inlineStr">
        <is>
          <t>No</t>
        </is>
      </c>
      <c r="AE622" s="733" t="n"/>
      <c r="AF622" s="733" t="n"/>
      <c r="AG622" s="733" t="n"/>
      <c r="AH622" s="733" t="n"/>
      <c r="AI622" s="719" t="inlineStr">
        <is>
          <t>Limit</t>
        </is>
      </c>
      <c r="AJ622" s="733" t="n"/>
      <c r="AK622" s="733" t="n"/>
      <c r="AL622" s="733" t="n"/>
      <c r="AM622" s="733" t="n"/>
      <c r="AN622" s="733" t="n"/>
      <c r="AO622" s="733" t="n"/>
      <c r="AP622" s="719" t="inlineStr">
        <is>
          <t>Pullback</t>
        </is>
      </c>
      <c r="AQ622" s="719" t="inlineStr">
        <is>
          <t>4H</t>
        </is>
      </c>
      <c r="AR622" s="719" t="inlineStr">
        <is>
          <t>No</t>
        </is>
      </c>
      <c r="AS622" s="733" t="n"/>
      <c r="AT622" s="733" t="n"/>
      <c r="AU622" s="733" t="n"/>
      <c r="AV622" s="733" t="n"/>
      <c r="AW622" s="719" t="inlineStr">
        <is>
          <t>trade</t>
        </is>
      </c>
      <c r="AX622" s="734" t="inlineStr">
        <is>
          <t>sig:6aacfd8faff8b75ae4c0e23a</t>
        </is>
      </c>
    </row>
    <row r="623" ht="15" customHeight="1">
      <c r="A623" s="716" t="inlineStr">
        <is>
          <t>C94</t>
        </is>
      </c>
      <c r="B623" s="717" t="n">
        <v>44080.11041666667</v>
      </c>
      <c r="C623" s="718" t="n">
        <v>44090.47083333333</v>
      </c>
      <c r="D623" s="719" t="inlineStr">
        <is>
          <t>BINANCE</t>
        </is>
      </c>
      <c r="E623" s="719" t="inlineStr">
        <is>
          <t>TRXUSDT</t>
        </is>
      </c>
      <c r="F623" s="719" t="inlineStr">
        <is>
          <t>BUY</t>
        </is>
      </c>
      <c r="G623" s="720" t="n">
        <v>436.5</v>
      </c>
      <c r="H623" s="735" t="n">
        <v>0.03151</v>
      </c>
      <c r="I623" s="735" t="n">
        <v>0.02669</v>
      </c>
      <c r="J623" s="736" t="n">
        <v>0.02668</v>
      </c>
      <c r="K623" s="722" t="n">
        <v>0.1532846715328468</v>
      </c>
      <c r="L623" s="736" t="n">
        <v>0.04618</v>
      </c>
      <c r="M623" s="722" t="n">
        <v>0.4655664868295777</v>
      </c>
      <c r="N623" s="723" t="n">
        <v>0.01907274</v>
      </c>
      <c r="O623" s="724" t="n">
        <v>-2.12300274</v>
      </c>
      <c r="P623" s="725" t="n">
        <v>-0.009606254675948443</v>
      </c>
      <c r="Q623" s="726" t="n">
        <v>-0.9979296066252589</v>
      </c>
      <c r="R623" s="727" t="n">
        <v>218.8791267699999</v>
      </c>
      <c r="S623" s="719" t="inlineStr">
        <is>
          <t>10D 8H 39M 0S</t>
        </is>
      </c>
      <c r="T623" s="728" t="n"/>
      <c r="U623" s="729" t="n"/>
      <c r="V623" s="817" t="n">
        <v>0.03918</v>
      </c>
      <c r="W623" s="725" t="n">
        <v>0.2434147889558869</v>
      </c>
      <c r="X623" s="722" t="n">
        <v>0.151580770896492</v>
      </c>
      <c r="Y623" s="728" t="n"/>
      <c r="Z623" s="729" t="n"/>
      <c r="AA623" s="730" t="n"/>
      <c r="AB623" s="731" t="n"/>
      <c r="AC623" s="732" t="n"/>
      <c r="AD623" s="719" t="inlineStr">
        <is>
          <t>No</t>
        </is>
      </c>
      <c r="AE623" s="733" t="n"/>
      <c r="AF623" s="733" t="n"/>
      <c r="AG623" s="733" t="n"/>
      <c r="AH623" s="733" t="n"/>
      <c r="AI623" s="719" t="inlineStr">
        <is>
          <t>Limit</t>
        </is>
      </c>
      <c r="AJ623" s="733" t="n"/>
      <c r="AK623" s="733" t="n"/>
      <c r="AL623" s="733" t="n"/>
      <c r="AM623" s="733" t="n"/>
      <c r="AN623" s="733" t="n"/>
      <c r="AO623" s="733" t="n"/>
      <c r="AP623" s="719" t="inlineStr">
        <is>
          <t>Pullback</t>
        </is>
      </c>
      <c r="AQ623" s="719" t="inlineStr">
        <is>
          <t>4H</t>
        </is>
      </c>
      <c r="AR623" s="719" t="inlineStr">
        <is>
          <t>No</t>
        </is>
      </c>
      <c r="AS623" s="782" t="n"/>
      <c r="AT623" s="733" t="n"/>
      <c r="AU623" s="719" t="n"/>
      <c r="AV623" s="719" t="n"/>
      <c r="AW623" s="719" t="inlineStr">
        <is>
          <t>trade</t>
        </is>
      </c>
      <c r="AX623" s="734" t="inlineStr">
        <is>
          <t>sig:036cf88af8ab5576fdeb1eca</t>
        </is>
      </c>
    </row>
    <row r="624" ht="15" customHeight="1">
      <c r="A624" s="716" t="inlineStr">
        <is>
          <t>F789</t>
        </is>
      </c>
      <c r="B624" s="717" t="n">
        <v>44090.05833333333</v>
      </c>
      <c r="C624" s="718" t="n">
        <v>44090.42708333334</v>
      </c>
      <c r="D624" s="719" t="inlineStr">
        <is>
          <t>PEPPERSTONE DEMO</t>
        </is>
      </c>
      <c r="E624" s="719" t="inlineStr">
        <is>
          <t>AUDJPY</t>
        </is>
      </c>
      <c r="F624" s="719" t="inlineStr">
        <is>
          <t>BUY</t>
        </is>
      </c>
      <c r="G624" s="735" t="n">
        <v>0.02</v>
      </c>
      <c r="H624" s="720" t="n">
        <v>76.95</v>
      </c>
      <c r="I624" s="720" t="n">
        <v>76.747</v>
      </c>
      <c r="J624" s="721" t="n">
        <v>76.73999999999999</v>
      </c>
      <c r="K624" s="722" t="n">
        <v>0.002729044834308096</v>
      </c>
      <c r="L624" s="721" t="n">
        <v>77.58</v>
      </c>
      <c r="M624" s="722" t="n">
        <v>0.008187134502923916</v>
      </c>
      <c r="N624" s="792" t="n">
        <v>0.02</v>
      </c>
      <c r="O624" s="762" t="n">
        <v>-5.49</v>
      </c>
      <c r="P624" s="725" t="n">
        <v>-0.01141443333264029</v>
      </c>
      <c r="Q624" s="726" t="n">
        <v>-0.9666666666666441</v>
      </c>
      <c r="R624" s="764" t="n">
        <v>475.48</v>
      </c>
      <c r="S624" s="719" t="inlineStr">
        <is>
          <t>8H 51M 0S</t>
        </is>
      </c>
      <c r="T624" s="728" t="n"/>
      <c r="U624" s="729" t="n"/>
      <c r="V624" s="807" t="n">
        <v>77.37</v>
      </c>
      <c r="W624" s="725" t="n">
        <v>-0.4200000000000017</v>
      </c>
      <c r="X624" s="722" t="n">
        <v>0.2099999999999937</v>
      </c>
      <c r="Y624" s="728" t="n"/>
      <c r="Z624" s="729" t="n"/>
      <c r="AA624" s="730" t="n"/>
      <c r="AB624" s="731" t="n"/>
      <c r="AC624" s="732" t="n"/>
      <c r="AD624" s="719" t="inlineStr">
        <is>
          <t>No</t>
        </is>
      </c>
      <c r="AE624" s="733" t="n"/>
      <c r="AF624" s="733" t="n"/>
      <c r="AG624" s="733" t="n"/>
      <c r="AH624" s="733" t="n"/>
      <c r="AI624" s="719" t="inlineStr">
        <is>
          <t>Limit</t>
        </is>
      </c>
      <c r="AJ624" s="733" t="n"/>
      <c r="AK624" s="733" t="n"/>
      <c r="AL624" s="733" t="n"/>
      <c r="AM624" s="733" t="n"/>
      <c r="AN624" s="733" t="n"/>
      <c r="AO624" s="733" t="n"/>
      <c r="AP624" s="719" t="inlineStr">
        <is>
          <t>Pullback</t>
        </is>
      </c>
      <c r="AQ624" s="719" t="inlineStr">
        <is>
          <t>4H</t>
        </is>
      </c>
      <c r="AR624" s="719" t="inlineStr">
        <is>
          <t>No</t>
        </is>
      </c>
      <c r="AS624" s="782" t="n"/>
      <c r="AT624" s="733" t="n"/>
      <c r="AU624" s="719" t="n"/>
      <c r="AV624" s="719" t="n"/>
      <c r="AW624" s="719" t="inlineStr">
        <is>
          <t>trade</t>
        </is>
      </c>
      <c r="AX624" s="734" t="inlineStr">
        <is>
          <t>sig:5245d3f85578c06763226b14</t>
        </is>
      </c>
    </row>
    <row r="625" ht="15" customHeight="1">
      <c r="A625" s="716" t="inlineStr">
        <is>
          <t>F788</t>
        </is>
      </c>
      <c r="B625" s="717" t="n">
        <v>44089.94930555556</v>
      </c>
      <c r="C625" s="718" t="n">
        <v>44090.04027777778</v>
      </c>
      <c r="D625" s="719" t="inlineStr">
        <is>
          <t>PEPPERSTONE DEMO</t>
        </is>
      </c>
      <c r="E625" s="719" t="inlineStr">
        <is>
          <t>GBPUSD</t>
        </is>
      </c>
      <c r="F625" s="719" t="inlineStr">
        <is>
          <t>BUY</t>
        </is>
      </c>
      <c r="G625" s="735" t="n">
        <v>0.01</v>
      </c>
      <c r="H625" s="720" t="n">
        <v>1.2884</v>
      </c>
      <c r="I625" s="720" t="n">
        <v>1.28528</v>
      </c>
      <c r="J625" s="721" t="n">
        <v>1.2852</v>
      </c>
      <c r="K625" s="722" t="n">
        <v>0.002483700714064026</v>
      </c>
      <c r="L625" s="721" t="n">
        <v>1.298</v>
      </c>
      <c r="M625" s="722" t="n">
        <v>0.007451102142191907</v>
      </c>
      <c r="N625" s="788" t="n"/>
      <c r="O625" s="762" t="n">
        <v>-4.38</v>
      </c>
      <c r="P625" s="725" t="n">
        <v>-0.009024415370351292</v>
      </c>
      <c r="Q625" s="726" t="n">
        <v>-0.9749999999999757</v>
      </c>
      <c r="R625" s="764" t="n">
        <v>480.97</v>
      </c>
      <c r="S625" s="719" t="inlineStr">
        <is>
          <t>2H 11M 0S</t>
        </is>
      </c>
      <c r="T625" s="728" t="n"/>
      <c r="U625" s="729" t="n"/>
      <c r="V625" s="807" t="n">
        <v>1.2948</v>
      </c>
      <c r="W625" s="725" t="n">
        <v>-0.006399999999999961</v>
      </c>
      <c r="X625" s="722" t="n">
        <v>0.003200000000000092</v>
      </c>
      <c r="Y625" s="728" t="n"/>
      <c r="Z625" s="729" t="n"/>
      <c r="AA625" s="730" t="n"/>
      <c r="AB625" s="731" t="n"/>
      <c r="AC625" s="732" t="n"/>
      <c r="AD625" s="719" t="inlineStr">
        <is>
          <t>No</t>
        </is>
      </c>
      <c r="AE625" s="733" t="n"/>
      <c r="AF625" s="733" t="n"/>
      <c r="AG625" s="733" t="n"/>
      <c r="AH625" s="733" t="n"/>
      <c r="AI625" s="719" t="inlineStr">
        <is>
          <t>Limit</t>
        </is>
      </c>
      <c r="AJ625" s="733" t="n"/>
      <c r="AK625" s="733" t="n"/>
      <c r="AL625" s="733" t="n"/>
      <c r="AM625" s="733" t="n"/>
      <c r="AN625" s="733" t="n"/>
      <c r="AO625" s="733" t="n"/>
      <c r="AP625" s="719" t="inlineStr">
        <is>
          <t>Pullback</t>
        </is>
      </c>
      <c r="AQ625" s="719" t="inlineStr">
        <is>
          <t>1H</t>
        </is>
      </c>
      <c r="AR625" s="719" t="inlineStr">
        <is>
          <t>No</t>
        </is>
      </c>
      <c r="AS625" s="782" t="n"/>
      <c r="AT625" s="733" t="n"/>
      <c r="AU625" s="719" t="n"/>
      <c r="AV625" s="719" t="n"/>
      <c r="AW625" s="719" t="inlineStr">
        <is>
          <t>trade</t>
        </is>
      </c>
      <c r="AX625" s="734" t="inlineStr">
        <is>
          <t>sig:1bc48bdb0fc066b3ffbf9c9d</t>
        </is>
      </c>
    </row>
    <row r="626" ht="15" customHeight="1">
      <c r="A626" s="716" t="inlineStr">
        <is>
          <t>F786</t>
        </is>
      </c>
      <c r="B626" s="717" t="n">
        <v>44088.98194444444</v>
      </c>
      <c r="C626" s="718" t="n">
        <v>44089.97638888889</v>
      </c>
      <c r="D626" s="719" t="inlineStr">
        <is>
          <t>PEPPERSTONE DEMO</t>
        </is>
      </c>
      <c r="E626" s="719" t="inlineStr">
        <is>
          <t>CADJPY</t>
        </is>
      </c>
      <c r="F626" s="719" t="inlineStr">
        <is>
          <t>BUY</t>
        </is>
      </c>
      <c r="G626" s="735" t="n">
        <v>0.02</v>
      </c>
      <c r="H626" s="720" t="n">
        <v>80.31</v>
      </c>
      <c r="I626" s="720" t="n">
        <v>80.06100000000001</v>
      </c>
      <c r="J626" s="721" t="n">
        <v>80.06</v>
      </c>
      <c r="K626" s="722" t="n">
        <v>0.003112937367700162</v>
      </c>
      <c r="L626" s="721" t="n">
        <v>81.31</v>
      </c>
      <c r="M626" s="722" t="n">
        <v>0.01245174947080065</v>
      </c>
      <c r="N626" s="792" t="n">
        <v>0.02</v>
      </c>
      <c r="O626" s="762" t="n">
        <v>-6.49</v>
      </c>
      <c r="P626" s="725" t="n">
        <v>-0.01319534808067664</v>
      </c>
      <c r="Q626" s="726" t="n">
        <v>-0.9959999999999809</v>
      </c>
      <c r="R626" s="764" t="n">
        <v>485.35</v>
      </c>
      <c r="S626" s="719" t="inlineStr">
        <is>
          <t>23H 52M 0S</t>
        </is>
      </c>
      <c r="T626" s="728" t="n"/>
      <c r="U626" s="729" t="n"/>
      <c r="V626" s="807" t="n">
        <v>80.84999999999999</v>
      </c>
      <c r="W626" s="725" t="n">
        <v>-0.539999999999992</v>
      </c>
      <c r="X626" s="722" t="n">
        <v>0.460000000000008</v>
      </c>
      <c r="Y626" s="728" t="n"/>
      <c r="Z626" s="729" t="n"/>
      <c r="AA626" s="730" t="n"/>
      <c r="AB626" s="731" t="n"/>
      <c r="AC626" s="732" t="n"/>
      <c r="AD626" s="719" t="inlineStr">
        <is>
          <t>No</t>
        </is>
      </c>
      <c r="AE626" s="733" t="n"/>
      <c r="AF626" s="733" t="n"/>
      <c r="AG626" s="733" t="n"/>
      <c r="AH626" s="733" t="n"/>
      <c r="AI626" s="719" t="inlineStr">
        <is>
          <t>Limit</t>
        </is>
      </c>
      <c r="AJ626" s="733" t="n"/>
      <c r="AK626" s="719" t="n"/>
      <c r="AL626" s="733" t="n"/>
      <c r="AM626" s="733" t="n"/>
      <c r="AN626" s="733" t="n"/>
      <c r="AO626" s="733" t="n"/>
      <c r="AP626" s="719" t="inlineStr">
        <is>
          <t>Pullback</t>
        </is>
      </c>
      <c r="AQ626" s="719" t="inlineStr">
        <is>
          <t>4H</t>
        </is>
      </c>
      <c r="AR626" s="719" t="inlineStr">
        <is>
          <t>No</t>
        </is>
      </c>
      <c r="AS626" s="733" t="n"/>
      <c r="AT626" s="733" t="n"/>
      <c r="AU626" s="733" t="n"/>
      <c r="AV626" s="733" t="n"/>
      <c r="AW626" s="719" t="inlineStr">
        <is>
          <t>trade</t>
        </is>
      </c>
      <c r="AX626" s="734" t="inlineStr">
        <is>
          <t>sig:a744ac3590eec3e2e25ab8ce</t>
        </is>
      </c>
    </row>
    <row r="627" ht="15" customHeight="1">
      <c r="A627" s="716" t="inlineStr">
        <is>
          <t>F787</t>
        </is>
      </c>
      <c r="B627" s="717" t="n">
        <v>44089.17916666667</v>
      </c>
      <c r="C627" s="718" t="n">
        <v>44089.29236111111</v>
      </c>
      <c r="D627" s="719" t="inlineStr">
        <is>
          <t>PEPPERSTONE DEMO</t>
        </is>
      </c>
      <c r="E627" s="719" t="inlineStr">
        <is>
          <t>GBPUSD</t>
        </is>
      </c>
      <c r="F627" s="719" t="inlineStr">
        <is>
          <t>BUY</t>
        </is>
      </c>
      <c r="G627" s="735" t="n">
        <v>0.02</v>
      </c>
      <c r="H627" s="720" t="n">
        <v>1.2856</v>
      </c>
      <c r="I627" s="720" t="n">
        <v>1.28419</v>
      </c>
      <c r="J627" s="721" t="n">
        <v>1.2834</v>
      </c>
      <c r="K627" s="722" t="n">
        <v>0.001711263223397619</v>
      </c>
      <c r="L627" s="721" t="n">
        <v>1.2922</v>
      </c>
      <c r="M627" s="722" t="n">
        <v>0.005133789670192858</v>
      </c>
      <c r="N627" s="761" t="n">
        <v>0.11</v>
      </c>
      <c r="O627" s="762" t="n">
        <v>-4.09</v>
      </c>
      <c r="P627" s="725" t="n">
        <v>-0.008247131651644386</v>
      </c>
      <c r="Q627" s="726" t="n">
        <v>-0.6409090909091575</v>
      </c>
      <c r="R627" s="764" t="n">
        <v>491.84</v>
      </c>
      <c r="S627" s="719" t="inlineStr">
        <is>
          <t>2H 43M 0S</t>
        </is>
      </c>
      <c r="T627" s="728" t="n"/>
      <c r="U627" s="729" t="n"/>
      <c r="V627" s="807" t="n">
        <v>1.2898</v>
      </c>
      <c r="W627" s="725" t="n">
        <v>-0.004199999999999982</v>
      </c>
      <c r="X627" s="722" t="n">
        <v>0.002399999999999958</v>
      </c>
      <c r="Y627" s="728" t="n"/>
      <c r="Z627" s="729" t="n"/>
      <c r="AA627" s="730" t="n"/>
      <c r="AB627" s="731" t="n"/>
      <c r="AC627" s="732" t="n"/>
      <c r="AD627" s="719" t="inlineStr">
        <is>
          <t>No</t>
        </is>
      </c>
      <c r="AE627" s="733" t="n"/>
      <c r="AF627" s="733" t="n"/>
      <c r="AG627" s="733" t="n"/>
      <c r="AH627" s="733" t="n"/>
      <c r="AI627" s="719" t="inlineStr">
        <is>
          <t>Limit</t>
        </is>
      </c>
      <c r="AJ627" s="733" t="n"/>
      <c r="AK627" s="733" t="n"/>
      <c r="AL627" s="733" t="n"/>
      <c r="AM627" s="733" t="n"/>
      <c r="AN627" s="733" t="n"/>
      <c r="AO627" s="733" t="n"/>
      <c r="AP627" s="719" t="inlineStr">
        <is>
          <t>Pullback</t>
        </is>
      </c>
      <c r="AQ627" s="719" t="inlineStr">
        <is>
          <t>1H</t>
        </is>
      </c>
      <c r="AR627" s="719" t="inlineStr">
        <is>
          <t>No</t>
        </is>
      </c>
      <c r="AS627" s="733" t="n"/>
      <c r="AT627" s="733" t="n"/>
      <c r="AU627" s="733" t="n"/>
      <c r="AV627" s="733" t="n"/>
      <c r="AW627" s="719" t="inlineStr">
        <is>
          <t>trade</t>
        </is>
      </c>
      <c r="AX627" s="734" t="inlineStr">
        <is>
          <t>sig:f29adf6a204a1d18000fe3ae</t>
        </is>
      </c>
    </row>
    <row r="628" ht="15" customHeight="1">
      <c r="A628" s="716" t="inlineStr">
        <is>
          <t>F785</t>
        </is>
      </c>
      <c r="B628" s="717" t="n">
        <v>44078.97638888889</v>
      </c>
      <c r="C628" s="718" t="n">
        <v>44082.80416666667</v>
      </c>
      <c r="D628" s="719" t="inlineStr">
        <is>
          <t>PEPPERSTONE DEMO</t>
        </is>
      </c>
      <c r="E628" s="719" t="inlineStr">
        <is>
          <t>NZDUSD</t>
        </is>
      </c>
      <c r="F628" s="719" t="inlineStr">
        <is>
          <t>BUY</t>
        </is>
      </c>
      <c r="G628" s="735" t="n">
        <v>0.01</v>
      </c>
      <c r="H628" s="720" t="n">
        <v>0.6693</v>
      </c>
      <c r="I628" s="720" t="n">
        <v>0.6664</v>
      </c>
      <c r="J628" s="721" t="n">
        <v>0.6664</v>
      </c>
      <c r="K628" s="722" t="n">
        <v>0.004332885103839853</v>
      </c>
      <c r="L628" s="721" t="n">
        <v>0.678</v>
      </c>
      <c r="M628" s="722" t="n">
        <v>0.01299865531151956</v>
      </c>
      <c r="N628" s="792" t="n">
        <v>0.03</v>
      </c>
      <c r="O628" s="762" t="n">
        <v>-4.07</v>
      </c>
      <c r="P628" s="725" t="n">
        <v>-0.008140000000000001</v>
      </c>
      <c r="Q628" s="726" t="n">
        <v>-1</v>
      </c>
      <c r="R628" s="764" t="n">
        <v>495.93</v>
      </c>
      <c r="S628" s="719" t="inlineStr">
        <is>
          <t>3D 19H 52M 0S</t>
        </is>
      </c>
      <c r="T628" s="728" t="n"/>
      <c r="U628" s="729" t="n"/>
      <c r="V628" s="807" t="n">
        <v>0.674</v>
      </c>
      <c r="W628" s="725" t="n">
        <v>-0.004700000000000037</v>
      </c>
      <c r="X628" s="722" t="n">
        <v>0.004000000000000004</v>
      </c>
      <c r="Y628" s="728" t="n"/>
      <c r="Z628" s="729" t="n"/>
      <c r="AA628" s="730" t="n"/>
      <c r="AB628" s="731" t="n"/>
      <c r="AC628" s="732" t="n"/>
      <c r="AD628" s="719" t="inlineStr">
        <is>
          <t>No</t>
        </is>
      </c>
      <c r="AE628" s="733" t="n"/>
      <c r="AF628" s="733" t="n"/>
      <c r="AG628" s="733" t="n"/>
      <c r="AH628" s="733" t="n"/>
      <c r="AI628" s="719" t="inlineStr">
        <is>
          <t>Limit</t>
        </is>
      </c>
      <c r="AJ628" s="733" t="n"/>
      <c r="AK628" s="733" t="n"/>
      <c r="AL628" s="733" t="n"/>
      <c r="AM628" s="733" t="n"/>
      <c r="AN628" s="733" t="n"/>
      <c r="AO628" s="733" t="n"/>
      <c r="AP628" s="719" t="inlineStr">
        <is>
          <t>Pullback</t>
        </is>
      </c>
      <c r="AQ628" s="719" t="inlineStr">
        <is>
          <t>4H</t>
        </is>
      </c>
      <c r="AR628" s="719" t="inlineStr">
        <is>
          <t>No</t>
        </is>
      </c>
      <c r="AS628" s="733" t="n"/>
      <c r="AT628" s="733" t="n"/>
      <c r="AU628" s="733" t="n"/>
      <c r="AV628" s="733" t="n"/>
      <c r="AW628" s="719" t="inlineStr">
        <is>
          <t>trade</t>
        </is>
      </c>
      <c r="AX628" s="734" t="inlineStr">
        <is>
          <t>sig:765a5cbd7da3d475b80182ed</t>
        </is>
      </c>
    </row>
    <row r="629" ht="15" customHeight="1">
      <c r="A629" s="716" t="inlineStr">
        <is>
          <t>C93</t>
        </is>
      </c>
      <c r="B629" s="717" t="n">
        <v>44079.02569444444</v>
      </c>
      <c r="C629" s="718" t="n">
        <v>44079.96041666667</v>
      </c>
      <c r="D629" s="719" t="inlineStr">
        <is>
          <t>BINANCE</t>
        </is>
      </c>
      <c r="E629" s="719" t="inlineStr">
        <is>
          <t>WINUSDT</t>
        </is>
      </c>
      <c r="F629" s="719" t="inlineStr">
        <is>
          <t>BUY</t>
        </is>
      </c>
      <c r="G629" s="720" t="n">
        <v>229145</v>
      </c>
      <c r="H629" s="791" t="n">
        <v>0.0001022</v>
      </c>
      <c r="I629" s="791" t="n">
        <v>0.0001022</v>
      </c>
      <c r="J629" s="818" t="n">
        <v>9.3e-05</v>
      </c>
      <c r="K629" s="722" t="n">
        <v>0.09001956947162433</v>
      </c>
      <c r="L629" s="819" t="n">
        <v>0.00014</v>
      </c>
      <c r="M629" s="722" t="n">
        <v>0.3698630136986299</v>
      </c>
      <c r="N629" s="723" t="n">
        <v>0.03542176</v>
      </c>
      <c r="O629" s="777" t="n">
        <v>-0.03542176</v>
      </c>
      <c r="P629" s="763" t="n">
        <v>-0.0001602522277164205</v>
      </c>
      <c r="Q629" s="726" t="n">
        <v>0</v>
      </c>
      <c r="R629" s="727" t="n">
        <v>221.0021295099999</v>
      </c>
      <c r="S629" s="719" t="inlineStr">
        <is>
          <t>22H 26M 0S</t>
        </is>
      </c>
      <c r="T629" s="717" t="n">
        <v>44079.23958333334</v>
      </c>
      <c r="U629" s="806" t="inlineStr">
        <is>
          <t>15H 7M 5S</t>
        </is>
      </c>
      <c r="V629" s="820" t="n">
        <v>0.0001203</v>
      </c>
      <c r="W629" s="725" t="n">
        <v>0.1771037181996085</v>
      </c>
      <c r="X629" s="722" t="n">
        <v>0.1339092872570194</v>
      </c>
      <c r="Y629" s="728" t="n"/>
      <c r="Z629" s="729" t="n"/>
      <c r="AA629" s="730" t="n"/>
      <c r="AB629" s="731" t="n"/>
      <c r="AC629" s="732" t="n"/>
      <c r="AD629" s="719" t="inlineStr">
        <is>
          <t>No</t>
        </is>
      </c>
      <c r="AE629" s="733" t="n"/>
      <c r="AF629" s="733" t="n"/>
      <c r="AG629" s="733" t="n"/>
      <c r="AH629" s="733" t="n"/>
      <c r="AI629" s="719" t="inlineStr">
        <is>
          <t>Limit</t>
        </is>
      </c>
      <c r="AJ629" s="733" t="n"/>
      <c r="AK629" s="733" t="n"/>
      <c r="AL629" s="733" t="n"/>
      <c r="AM629" s="719" t="inlineStr">
        <is>
          <t>Yes</t>
        </is>
      </c>
      <c r="AN629" s="733" t="n"/>
      <c r="AO629" s="733" t="n"/>
      <c r="AP629" s="719" t="inlineStr">
        <is>
          <t>Pullback</t>
        </is>
      </c>
      <c r="AQ629" s="719" t="inlineStr">
        <is>
          <t>4H</t>
        </is>
      </c>
      <c r="AR629" s="719" t="inlineStr">
        <is>
          <t>No</t>
        </is>
      </c>
      <c r="AS629" s="733" t="n"/>
      <c r="AT629" s="733" t="n"/>
      <c r="AU629" s="733" t="n"/>
      <c r="AV629" s="733" t="n"/>
      <c r="AW629" s="719" t="inlineStr">
        <is>
          <t>trade</t>
        </is>
      </c>
      <c r="AX629" s="734" t="inlineStr">
        <is>
          <t>sig:80c4c6707eb132fedb5d542d</t>
        </is>
      </c>
    </row>
    <row r="630" ht="15" customHeight="1">
      <c r="A630" s="737" t="inlineStr">
        <is>
          <t>C92</t>
        </is>
      </c>
      <c r="B630" s="738" t="n">
        <v>44072.07916666667</v>
      </c>
      <c r="C630" s="739" t="n">
        <v>44077.5625</v>
      </c>
      <c r="D630" s="740" t="inlineStr">
        <is>
          <t>BINANCE</t>
        </is>
      </c>
      <c r="E630" s="740" t="inlineStr">
        <is>
          <t>ERDUSDT</t>
        </is>
      </c>
      <c r="F630" s="740" t="inlineStr">
        <is>
          <t>BUY</t>
        </is>
      </c>
      <c r="G630" s="742" t="n">
        <v>1558</v>
      </c>
      <c r="H630" s="775" t="n">
        <v>0.019567</v>
      </c>
      <c r="I630" s="775" t="n">
        <v>0.025857</v>
      </c>
      <c r="J630" s="797" t="n">
        <v>0.018276</v>
      </c>
      <c r="K630" s="744" t="n">
        <v>0.06597843307609753</v>
      </c>
      <c r="L630" s="797" t="n">
        <v>0.02409</v>
      </c>
      <c r="M630" s="744" t="n">
        <v>0.2311544948126948</v>
      </c>
      <c r="N630" s="802" t="n">
        <v>0.05348596</v>
      </c>
      <c r="O630" s="746" t="n">
        <v>9.74697604</v>
      </c>
      <c r="P630" s="747" t="n">
        <v>0.0461306711356621</v>
      </c>
      <c r="Q630" s="748" t="n">
        <v>4.872192099147946</v>
      </c>
      <c r="R630" s="749" t="n">
        <v>221.0375512699999</v>
      </c>
      <c r="S630" s="740" t="inlineStr">
        <is>
          <t>5D 11H 36M 0S</t>
        </is>
      </c>
      <c r="T630" s="750" t="n"/>
      <c r="U630" s="751" t="n"/>
      <c r="V630" s="821" t="n">
        <v>0.021722</v>
      </c>
      <c r="W630" s="747" t="n">
        <v>0.11013440997598</v>
      </c>
      <c r="X630" s="744" t="n">
        <v>0.09837290386850395</v>
      </c>
      <c r="Y630" s="750" t="n"/>
      <c r="Z630" s="751" t="n"/>
      <c r="AA630" s="752" t="n"/>
      <c r="AB630" s="753" t="n"/>
      <c r="AC630" s="754" t="n"/>
      <c r="AD630" s="740" t="inlineStr">
        <is>
          <t>No</t>
        </is>
      </c>
      <c r="AE630" s="755" t="n"/>
      <c r="AF630" s="755" t="n"/>
      <c r="AG630" s="755" t="n"/>
      <c r="AH630" s="755" t="n"/>
      <c r="AI630" s="740" t="inlineStr">
        <is>
          <t>Limit</t>
        </is>
      </c>
      <c r="AJ630" s="755" t="n"/>
      <c r="AK630" s="740" t="n"/>
      <c r="AL630" s="755" t="n"/>
      <c r="AM630" s="755" t="n"/>
      <c r="AN630" s="755" t="n"/>
      <c r="AO630" s="755" t="n"/>
      <c r="AP630" s="740" t="inlineStr">
        <is>
          <t>Pullback</t>
        </is>
      </c>
      <c r="AQ630" s="740" t="inlineStr">
        <is>
          <t>4H</t>
        </is>
      </c>
      <c r="AR630" s="740" t="inlineStr">
        <is>
          <t>No</t>
        </is>
      </c>
      <c r="AS630" s="755" t="n"/>
      <c r="AT630" s="755" t="n"/>
      <c r="AU630" s="755" t="n"/>
      <c r="AV630" s="755" t="n"/>
      <c r="AW630" s="740" t="inlineStr">
        <is>
          <t>trade</t>
        </is>
      </c>
      <c r="AX630" s="756" t="inlineStr">
        <is>
          <t>sig:01eff7706a00c13c9b9d49db</t>
        </is>
      </c>
    </row>
    <row r="631" ht="15" customHeight="1">
      <c r="A631" s="42" t="n"/>
      <c r="B631" s="770" t="n">
        <v>44075</v>
      </c>
      <c r="C631" s="771" t="n">
        <v>44075</v>
      </c>
      <c r="D631" s="12" t="inlineStr">
        <is>
          <t>PEPPERSTONE DEMO</t>
        </is>
      </c>
      <c r="E631" s="12" t="inlineStr">
        <is>
          <t>CASHFLOW</t>
        </is>
      </c>
      <c r="F631" s="12" t="inlineStr">
        <is>
          <t>WITHDRAWAL</t>
        </is>
      </c>
      <c r="G631" s="262" t="n"/>
      <c r="H631" s="262" t="n"/>
      <c r="I631" s="262" t="n"/>
      <c r="J631" s="263" t="n"/>
      <c r="K631" s="36" t="n"/>
      <c r="L631" s="263" t="n"/>
      <c r="M631" s="36" t="n"/>
      <c r="N631" s="772" t="n"/>
      <c r="O631" s="773" t="n"/>
      <c r="P631" s="3" t="n"/>
      <c r="Q631" s="51" t="n"/>
      <c r="R631" s="54" t="n">
        <v>0</v>
      </c>
      <c r="S631" s="12" t="n"/>
      <c r="T631" s="770" t="n"/>
      <c r="U631" s="4" t="n"/>
      <c r="V631" s="269" t="n"/>
      <c r="W631" s="3" t="n"/>
      <c r="X631" s="36" t="n"/>
      <c r="Y631" s="774" t="n"/>
      <c r="Z631" s="6" t="n"/>
      <c r="AA631" s="264" t="n"/>
      <c r="AB631" s="9" t="n"/>
      <c r="AC631" s="46" t="n"/>
      <c r="AD631" s="12" t="inlineStr">
        <is>
          <t>No</t>
        </is>
      </c>
      <c r="AE631" s="45" t="n"/>
      <c r="AF631" s="45" t="n"/>
      <c r="AG631" s="45" t="n"/>
      <c r="AH631" s="45" t="n"/>
      <c r="AI631" s="12" t="n"/>
      <c r="AJ631" s="45" t="n"/>
      <c r="AK631" s="45" t="n"/>
      <c r="AL631" s="45" t="n"/>
      <c r="AM631" s="45" t="n"/>
      <c r="AN631" s="45" t="n"/>
      <c r="AO631" s="45" t="n"/>
      <c r="AP631" s="12" t="n"/>
      <c r="AQ631" s="12" t="n"/>
      <c r="AR631" s="12" t="n"/>
      <c r="AS631" s="56" t="inlineStr">
        <is>
          <t>Withdrawal -484.34 AUD. Source: user_txt. Imported from account_cashflows.xlsx row 61.</t>
        </is>
      </c>
      <c r="AT631" s="45" t="n"/>
      <c r="AU631" s="12" t="n">
        <v>0</v>
      </c>
      <c r="AV631" s="12" t="inlineStr">
        <is>
          <t>AUD</t>
        </is>
      </c>
      <c r="AW631" s="12" t="inlineStr">
        <is>
          <t>cashflow</t>
        </is>
      </c>
      <c r="AX631" s="57" t="inlineStr">
        <is>
          <t>cashflow:PEPPERSTONE DEMO:2020-09-01T00:00:00:47</t>
        </is>
      </c>
    </row>
    <row r="632" ht="15" customHeight="1">
      <c r="A632" s="42" t="n"/>
      <c r="B632" s="770" t="n">
        <v>44075</v>
      </c>
      <c r="C632" s="771" t="n">
        <v>44075</v>
      </c>
      <c r="D632" s="12" t="inlineStr">
        <is>
          <t>PEPPERSTONE DEMO</t>
        </is>
      </c>
      <c r="E632" s="12" t="inlineStr">
        <is>
          <t>CASHFLOW</t>
        </is>
      </c>
      <c r="F632" s="12" t="inlineStr">
        <is>
          <t>DEPOSIT</t>
        </is>
      </c>
      <c r="G632" s="262" t="n"/>
      <c r="H632" s="262" t="n"/>
      <c r="I632" s="262" t="n"/>
      <c r="J632" s="263" t="n"/>
      <c r="K632" s="36" t="n"/>
      <c r="L632" s="263" t="n"/>
      <c r="M632" s="36" t="n"/>
      <c r="N632" s="772" t="n"/>
      <c r="O632" s="773" t="n"/>
      <c r="P632" s="3" t="n"/>
      <c r="Q632" s="51" t="n"/>
      <c r="R632" s="54" t="n">
        <v>500</v>
      </c>
      <c r="S632" s="12" t="n"/>
      <c r="T632" s="774" t="n"/>
      <c r="U632" s="6" t="n"/>
      <c r="V632" s="269" t="n"/>
      <c r="W632" s="3" t="n"/>
      <c r="X632" s="36" t="n"/>
      <c r="Y632" s="774" t="n"/>
      <c r="Z632" s="6" t="n"/>
      <c r="AA632" s="264" t="n"/>
      <c r="AB632" s="9" t="n"/>
      <c r="AC632" s="46" t="n"/>
      <c r="AD632" s="12" t="inlineStr">
        <is>
          <t>No</t>
        </is>
      </c>
      <c r="AE632" s="45" t="n"/>
      <c r="AF632" s="45" t="n"/>
      <c r="AG632" s="45" t="n"/>
      <c r="AH632" s="45" t="n"/>
      <c r="AI632" s="12" t="n"/>
      <c r="AJ632" s="45" t="n"/>
      <c r="AK632" s="45" t="n"/>
      <c r="AL632" s="45" t="n"/>
      <c r="AM632" s="45" t="n"/>
      <c r="AN632" s="45" t="n"/>
      <c r="AO632" s="45" t="n"/>
      <c r="AP632" s="12" t="n"/>
      <c r="AQ632" s="12" t="n"/>
      <c r="AR632" s="12" t="n"/>
      <c r="AS632" s="56" t="inlineStr">
        <is>
          <t>Deposit 500.0 AUD. Source: user_txt. Imported from account_cashflows.xlsx row 63.</t>
        </is>
      </c>
      <c r="AT632" s="45" t="n"/>
      <c r="AU632" s="12" t="n">
        <v>500</v>
      </c>
      <c r="AV632" s="12" t="inlineStr">
        <is>
          <t>AUD</t>
        </is>
      </c>
      <c r="AW632" s="12" t="inlineStr">
        <is>
          <t>cashflow</t>
        </is>
      </c>
      <c r="AX632" s="57" t="inlineStr">
        <is>
          <t>cashflow:PEPPERSTONE DEMO:2020-09-01T00:00:00:49</t>
        </is>
      </c>
    </row>
    <row r="633" ht="15" customHeight="1">
      <c r="A633" s="42" t="n"/>
      <c r="B633" s="770" t="n">
        <v>44075</v>
      </c>
      <c r="C633" s="771" t="n">
        <v>44075</v>
      </c>
      <c r="D633" s="12" t="inlineStr">
        <is>
          <t>PEPPERSTONE DEMO</t>
        </is>
      </c>
      <c r="E633" s="12" t="inlineStr">
        <is>
          <t>CASHFLOW</t>
        </is>
      </c>
      <c r="F633" s="12" t="inlineStr">
        <is>
          <t>DEPOSIT</t>
        </is>
      </c>
      <c r="G633" s="262" t="n"/>
      <c r="H633" s="262" t="n"/>
      <c r="I633" s="262" t="n"/>
      <c r="J633" s="263" t="n"/>
      <c r="K633" s="36" t="n"/>
      <c r="L633" s="263" t="n"/>
      <c r="M633" s="36" t="n"/>
      <c r="N633" s="772" t="n"/>
      <c r="O633" s="773" t="n"/>
      <c r="P633" s="3" t="n"/>
      <c r="Q633" s="51" t="n"/>
      <c r="R633" s="54" t="n">
        <v>1000</v>
      </c>
      <c r="S633" s="12" t="n"/>
      <c r="T633" s="770" t="n"/>
      <c r="U633" s="4" t="n"/>
      <c r="V633" s="269" t="n"/>
      <c r="W633" s="3" t="n"/>
      <c r="X633" s="36" t="n"/>
      <c r="Y633" s="774" t="n"/>
      <c r="Z633" s="6" t="n"/>
      <c r="AA633" s="264" t="n"/>
      <c r="AB633" s="9" t="n"/>
      <c r="AC633" s="46" t="n"/>
      <c r="AD633" s="12" t="inlineStr">
        <is>
          <t>No</t>
        </is>
      </c>
      <c r="AE633" s="45" t="n"/>
      <c r="AF633" s="45" t="n"/>
      <c r="AG633" s="45" t="n"/>
      <c r="AH633" s="45" t="n"/>
      <c r="AI633" s="12" t="n"/>
      <c r="AJ633" s="45" t="n"/>
      <c r="AK633" s="45" t="n"/>
      <c r="AL633" s="45" t="n"/>
      <c r="AM633" s="45" t="n"/>
      <c r="AN633" s="45" t="n"/>
      <c r="AO633" s="45" t="n"/>
      <c r="AP633" s="12" t="n"/>
      <c r="AQ633" s="12" t="n"/>
      <c r="AR633" s="12" t="n"/>
      <c r="AS633" s="56" t="inlineStr">
        <is>
          <t>Deposit 500.0 AUD. Source: user_txt. Imported from account_cashflows.xlsx row 62.</t>
        </is>
      </c>
      <c r="AT633" s="45" t="n"/>
      <c r="AU633" s="12" t="n">
        <v>1000</v>
      </c>
      <c r="AV633" s="12" t="inlineStr">
        <is>
          <t>AUD</t>
        </is>
      </c>
      <c r="AW633" s="12" t="inlineStr">
        <is>
          <t>cashflow</t>
        </is>
      </c>
      <c r="AX633" s="57" t="inlineStr">
        <is>
          <t>cashflow:PEPPERSTONE DEMO:2020-09-01T00:00:00:48</t>
        </is>
      </c>
    </row>
    <row r="634" ht="15" customHeight="1">
      <c r="A634" s="716" t="inlineStr">
        <is>
          <t>C91</t>
        </is>
      </c>
      <c r="B634" s="717" t="n">
        <v>44068.08541666667</v>
      </c>
      <c r="C634" s="718" t="n">
        <v>44069.12083333333</v>
      </c>
      <c r="D634" s="719" t="inlineStr">
        <is>
          <t>BINANCE</t>
        </is>
      </c>
      <c r="E634" s="719" t="inlineStr">
        <is>
          <t>STORJUSDT</t>
        </is>
      </c>
      <c r="F634" s="719" t="inlineStr">
        <is>
          <t>BUY</t>
        </is>
      </c>
      <c r="G634" s="720" t="n">
        <v>67.20999999999999</v>
      </c>
      <c r="H634" s="720" t="n">
        <v>0.3707</v>
      </c>
      <c r="I634" s="720" t="n">
        <v>0.3404</v>
      </c>
      <c r="J634" s="721" t="n">
        <v>0.3404</v>
      </c>
      <c r="K634" s="722" t="n">
        <v>0.08173725384407876</v>
      </c>
      <c r="L634" s="721" t="n">
        <v>0.4921</v>
      </c>
      <c r="M634" s="722" t="n">
        <v>0.3274885352036688</v>
      </c>
      <c r="N634" s="723" t="n">
        <v>0.03600104</v>
      </c>
      <c r="O634" s="724" t="n">
        <v>-2.07246404</v>
      </c>
      <c r="P634" s="725" t="n">
        <v>-0.009713322640560082</v>
      </c>
      <c r="Q634" s="726" t="n">
        <v>-1</v>
      </c>
      <c r="R634" s="727" t="n">
        <v>211.2905752299999</v>
      </c>
      <c r="S634" s="719" t="inlineStr">
        <is>
          <t>1D 0H 51M 0S</t>
        </is>
      </c>
      <c r="T634" s="728" t="n"/>
      <c r="U634" s="729" t="n"/>
      <c r="V634" s="807" t="n">
        <v>0.4342</v>
      </c>
      <c r="W634" s="725" t="n">
        <v>0.1712975451847855</v>
      </c>
      <c r="X634" s="722" t="n">
        <v>0.1176590123958545</v>
      </c>
      <c r="Y634" s="728" t="n"/>
      <c r="Z634" s="729" t="n"/>
      <c r="AA634" s="730" t="n"/>
      <c r="AB634" s="731" t="n"/>
      <c r="AC634" s="732" t="n"/>
      <c r="AD634" s="719" t="inlineStr">
        <is>
          <t>No</t>
        </is>
      </c>
      <c r="AE634" s="733" t="n"/>
      <c r="AF634" s="733" t="n"/>
      <c r="AG634" s="733" t="n"/>
      <c r="AH634" s="733" t="n"/>
      <c r="AI634" s="719" t="inlineStr">
        <is>
          <t>Limit</t>
        </is>
      </c>
      <c r="AJ634" s="733" t="n"/>
      <c r="AK634" s="719" t="inlineStr">
        <is>
          <t>Yes</t>
        </is>
      </c>
      <c r="AL634" s="733" t="n"/>
      <c r="AM634" s="733" t="n"/>
      <c r="AN634" s="733" t="n"/>
      <c r="AO634" s="733" t="n"/>
      <c r="AP634" s="719" t="inlineStr">
        <is>
          <t>Pullback</t>
        </is>
      </c>
      <c r="AQ634" s="719" t="inlineStr">
        <is>
          <t>4H</t>
        </is>
      </c>
      <c r="AR634" s="719" t="inlineStr">
        <is>
          <t>No</t>
        </is>
      </c>
      <c r="AS634" s="733" t="n"/>
      <c r="AT634" s="733" t="n"/>
      <c r="AU634" s="733" t="n"/>
      <c r="AV634" s="733" t="n"/>
      <c r="AW634" s="719" t="inlineStr">
        <is>
          <t>trade</t>
        </is>
      </c>
      <c r="AX634" s="734" t="inlineStr">
        <is>
          <t>sig:64f12b385eac9f918f9024bb</t>
        </is>
      </c>
    </row>
    <row r="635" ht="15" customHeight="1">
      <c r="A635" s="716" t="inlineStr">
        <is>
          <t>F784</t>
        </is>
      </c>
      <c r="B635" s="717" t="n">
        <v>44063.76458333333</v>
      </c>
      <c r="C635" s="718" t="n">
        <v>44064.72222222222</v>
      </c>
      <c r="D635" s="719" t="inlineStr">
        <is>
          <t>PEPPERSTONE DEMO</t>
        </is>
      </c>
      <c r="E635" s="719" t="inlineStr">
        <is>
          <t>EURJPY</t>
        </is>
      </c>
      <c r="F635" s="719" t="inlineStr">
        <is>
          <t>BUY</t>
        </is>
      </c>
      <c r="G635" s="735" t="n">
        <v>0.01</v>
      </c>
      <c r="H635" s="720" t="n">
        <v>125.42</v>
      </c>
      <c r="I635" s="720" t="n">
        <v>124.952</v>
      </c>
      <c r="J635" s="721" t="n">
        <v>124.95</v>
      </c>
      <c r="K635" s="722" t="n">
        <v>0.003747408706745327</v>
      </c>
      <c r="L635" s="721" t="n">
        <v>126.83</v>
      </c>
      <c r="M635" s="722" t="n">
        <v>0.01124222612023598</v>
      </c>
      <c r="N635" s="792" t="n">
        <v>0.05</v>
      </c>
      <c r="O635" s="762" t="n">
        <v>-6.24</v>
      </c>
      <c r="P635" s="725" t="n">
        <v>-0.01271963797953443</v>
      </c>
      <c r="Q635" s="726" t="n">
        <v>-0.9957446808510737</v>
      </c>
      <c r="R635" s="764" t="n">
        <v>484.34</v>
      </c>
      <c r="S635" s="719" t="inlineStr">
        <is>
          <t>22H 59M 0S</t>
        </is>
      </c>
      <c r="T635" s="717" t="n"/>
      <c r="U635" s="806" t="n"/>
      <c r="V635" s="807" t="n">
        <v>126.11</v>
      </c>
      <c r="W635" s="725" t="n">
        <v>-0.6899999999999977</v>
      </c>
      <c r="X635" s="722" t="n">
        <v>0.7199999999999989</v>
      </c>
      <c r="Y635" s="728" t="n"/>
      <c r="Z635" s="729" t="n"/>
      <c r="AA635" s="730" t="n"/>
      <c r="AB635" s="731" t="n"/>
      <c r="AC635" s="732" t="n"/>
      <c r="AD635" s="719" t="inlineStr">
        <is>
          <t>No</t>
        </is>
      </c>
      <c r="AE635" s="733" t="n"/>
      <c r="AF635" s="733" t="n"/>
      <c r="AG635" s="733" t="n"/>
      <c r="AH635" s="733" t="n"/>
      <c r="AI635" s="719" t="inlineStr">
        <is>
          <t>Limit</t>
        </is>
      </c>
      <c r="AJ635" s="733" t="n"/>
      <c r="AK635" s="733" t="n"/>
      <c r="AL635" s="733" t="n"/>
      <c r="AM635" s="733" t="n"/>
      <c r="AN635" s="733" t="n"/>
      <c r="AO635" s="733" t="n"/>
      <c r="AP635" s="719" t="inlineStr">
        <is>
          <t>Pullback</t>
        </is>
      </c>
      <c r="AQ635" s="719" t="inlineStr">
        <is>
          <t>4H</t>
        </is>
      </c>
      <c r="AR635" s="719" t="inlineStr">
        <is>
          <t>No</t>
        </is>
      </c>
      <c r="AS635" s="733" t="n"/>
      <c r="AT635" s="733" t="n"/>
      <c r="AU635" s="733" t="n"/>
      <c r="AV635" s="733" t="n"/>
      <c r="AW635" s="719" t="inlineStr">
        <is>
          <t>trade</t>
        </is>
      </c>
      <c r="AX635" s="734" t="inlineStr">
        <is>
          <t>sig:cddc871073a5532ddcbf5a36</t>
        </is>
      </c>
    </row>
    <row r="636" ht="15" customHeight="1">
      <c r="A636" s="716" t="inlineStr">
        <is>
          <t>C90</t>
        </is>
      </c>
      <c r="B636" s="717" t="n">
        <v>44063.97083333333</v>
      </c>
      <c r="C636" s="718" t="n">
        <v>44064.54444444444</v>
      </c>
      <c r="D636" s="719" t="inlineStr">
        <is>
          <t>BINANCE</t>
        </is>
      </c>
      <c r="E636" s="719" t="inlineStr">
        <is>
          <t>RENUSDT</t>
        </is>
      </c>
      <c r="F636" s="719" t="inlineStr">
        <is>
          <t>BUY</t>
        </is>
      </c>
      <c r="G636" s="720" t="n">
        <v>45.6</v>
      </c>
      <c r="H636" s="720" t="n">
        <v>0.45774</v>
      </c>
      <c r="I636" s="720" t="n">
        <v>0.4052</v>
      </c>
      <c r="J636" s="721" t="n">
        <v>0.41259</v>
      </c>
      <c r="K636" s="722" t="n">
        <v>0.09863678070520376</v>
      </c>
      <c r="L636" s="721" t="n">
        <v>0.59321</v>
      </c>
      <c r="M636" s="722" t="n">
        <v>0.2959540350417268</v>
      </c>
      <c r="N636" s="723" t="n">
        <v>0.03037964</v>
      </c>
      <c r="O636" s="724" t="n">
        <v>-2.42620364</v>
      </c>
      <c r="P636" s="725" t="n">
        <v>-0.01124339474610376</v>
      </c>
      <c r="Q636" s="726" t="n">
        <v>-1.163676633444076</v>
      </c>
      <c r="R636" s="727" t="n">
        <v>213.3630392699999</v>
      </c>
      <c r="S636" s="719" t="inlineStr">
        <is>
          <t>13H 46M 0S</t>
        </is>
      </c>
      <c r="T636" s="728" t="n"/>
      <c r="U636" s="729" t="n"/>
      <c r="V636" s="807" t="n">
        <v>0.5283</v>
      </c>
      <c r="W636" s="725" t="n">
        <v>0.1541486433346441</v>
      </c>
      <c r="X636" s="722" t="n">
        <v>0.1094216213482578</v>
      </c>
      <c r="Y636" s="728" t="n"/>
      <c r="Z636" s="729" t="n"/>
      <c r="AA636" s="730" t="n"/>
      <c r="AB636" s="731" t="n"/>
      <c r="AC636" s="732" t="n"/>
      <c r="AD636" s="719" t="inlineStr">
        <is>
          <t>No</t>
        </is>
      </c>
      <c r="AE636" s="733" t="n"/>
      <c r="AF636" s="733" t="n"/>
      <c r="AG636" s="733" t="n"/>
      <c r="AH636" s="733" t="n"/>
      <c r="AI636" s="719" t="inlineStr">
        <is>
          <t>Limit</t>
        </is>
      </c>
      <c r="AJ636" s="733" t="n"/>
      <c r="AK636" s="733" t="n"/>
      <c r="AL636" s="733" t="n"/>
      <c r="AM636" s="733" t="n"/>
      <c r="AN636" s="733" t="n"/>
      <c r="AO636" s="733" t="n"/>
      <c r="AP636" s="719" t="inlineStr">
        <is>
          <t>Pullback</t>
        </is>
      </c>
      <c r="AQ636" s="719" t="inlineStr">
        <is>
          <t>4H</t>
        </is>
      </c>
      <c r="AR636" s="719" t="inlineStr">
        <is>
          <t>No</t>
        </is>
      </c>
      <c r="AS636" s="733" t="n"/>
      <c r="AT636" s="733" t="n"/>
      <c r="AU636" s="733" t="n"/>
      <c r="AV636" s="733" t="n"/>
      <c r="AW636" s="719" t="inlineStr">
        <is>
          <t>trade</t>
        </is>
      </c>
      <c r="AX636" s="734" t="inlineStr">
        <is>
          <t>sig:16dcd897d1b859f6dc80e21e</t>
        </is>
      </c>
    </row>
    <row r="637" ht="15" customHeight="1">
      <c r="A637" s="716" t="inlineStr">
        <is>
          <t>F783</t>
        </is>
      </c>
      <c r="B637" s="717" t="n">
        <v>44061.25416666667</v>
      </c>
      <c r="C637" s="718" t="n">
        <v>44062.89861111111</v>
      </c>
      <c r="D637" s="719" t="inlineStr">
        <is>
          <t>PEPPERSTONE DEMO</t>
        </is>
      </c>
      <c r="E637" s="719" t="inlineStr">
        <is>
          <t>GBPAUD</t>
        </is>
      </c>
      <c r="F637" s="719" t="inlineStr">
        <is>
          <t>BUY</t>
        </is>
      </c>
      <c r="G637" s="735" t="n">
        <v>0.01</v>
      </c>
      <c r="H637" s="720" t="n">
        <v>1.81601</v>
      </c>
      <c r="I637" s="720" t="n">
        <v>1.81601</v>
      </c>
      <c r="J637" s="721" t="n">
        <v>1.8108</v>
      </c>
      <c r="K637" s="722" t="n">
        <v>0.002868926933221699</v>
      </c>
      <c r="L637" s="721" t="n">
        <v>1.8332</v>
      </c>
      <c r="M637" s="722" t="n">
        <v>0.009465806906349657</v>
      </c>
      <c r="N637" s="761" t="n">
        <v>0.12</v>
      </c>
      <c r="O637" s="762" t="n">
        <v>-0.12</v>
      </c>
      <c r="P637" s="763" t="n">
        <v>-0.000244548604035052</v>
      </c>
      <c r="Q637" s="726" t="n">
        <v>0</v>
      </c>
      <c r="R637" s="764" t="n">
        <v>490.58</v>
      </c>
      <c r="S637" s="719" t="inlineStr">
        <is>
          <t>1D 15H 28M 0S</t>
        </is>
      </c>
      <c r="T637" s="717" t="n">
        <v>44062.00208333333</v>
      </c>
      <c r="U637" s="806" t="inlineStr">
        <is>
          <t>17H 57M 0S</t>
        </is>
      </c>
      <c r="V637" s="807" t="n">
        <v>1.8248</v>
      </c>
      <c r="W637" s="725" t="n">
        <v>-0.008790000000000076</v>
      </c>
      <c r="X637" s="722" t="n">
        <v>0.008399999999999963</v>
      </c>
      <c r="Y637" s="728" t="n"/>
      <c r="Z637" s="729" t="n"/>
      <c r="AA637" s="730" t="n"/>
      <c r="AB637" s="731" t="n"/>
      <c r="AC637" s="732" t="n"/>
      <c r="AD637" s="719" t="inlineStr">
        <is>
          <t>No</t>
        </is>
      </c>
      <c r="AE637" s="733" t="n"/>
      <c r="AF637" s="733" t="n"/>
      <c r="AG637" s="733" t="n"/>
      <c r="AH637" s="733" t="n"/>
      <c r="AI637" s="719" t="inlineStr">
        <is>
          <t>Limit</t>
        </is>
      </c>
      <c r="AJ637" s="733" t="n"/>
      <c r="AK637" s="733" t="n"/>
      <c r="AL637" s="733" t="n"/>
      <c r="AM637" s="733" t="n"/>
      <c r="AN637" s="733" t="n"/>
      <c r="AO637" s="733" t="n"/>
      <c r="AP637" s="719" t="inlineStr">
        <is>
          <t>Pullback</t>
        </is>
      </c>
      <c r="AQ637" s="719" t="inlineStr">
        <is>
          <t>4H</t>
        </is>
      </c>
      <c r="AR637" s="719" t="inlineStr">
        <is>
          <t>No</t>
        </is>
      </c>
      <c r="AS637" s="733" t="n"/>
      <c r="AT637" s="733" t="n"/>
      <c r="AU637" s="733" t="n"/>
      <c r="AV637" s="733" t="n"/>
      <c r="AW637" s="719" t="inlineStr">
        <is>
          <t>trade</t>
        </is>
      </c>
      <c r="AX637" s="734" t="inlineStr">
        <is>
          <t>sig:c53e2cb8dfc9a2defcef752f</t>
        </is>
      </c>
    </row>
    <row r="638" ht="15" customHeight="1">
      <c r="A638" s="716" t="inlineStr">
        <is>
          <t>C89</t>
        </is>
      </c>
      <c r="B638" s="717" t="n">
        <v>44061.40486111111</v>
      </c>
      <c r="C638" s="718" t="n">
        <v>44061.99652777778</v>
      </c>
      <c r="D638" s="719" t="inlineStr">
        <is>
          <t>BINANCE</t>
        </is>
      </c>
      <c r="E638" s="719" t="inlineStr">
        <is>
          <t>OMGUSDT</t>
        </is>
      </c>
      <c r="F638" s="719" t="inlineStr">
        <is>
          <t>BUY</t>
        </is>
      </c>
      <c r="G638" s="720" t="n">
        <v>8.18</v>
      </c>
      <c r="H638" s="720" t="n">
        <v>2.7225</v>
      </c>
      <c r="I638" s="720" t="n">
        <v>2.4688</v>
      </c>
      <c r="J638" s="721" t="n">
        <v>2.4688</v>
      </c>
      <c r="K638" s="722" t="n">
        <v>0.09318640955004601</v>
      </c>
      <c r="L638" s="721" t="n">
        <v>3.4829</v>
      </c>
      <c r="M638" s="722" t="n">
        <v>0.2793021120293847</v>
      </c>
      <c r="N638" s="723" t="n">
        <v>0.03193965</v>
      </c>
      <c r="O638" s="724" t="n">
        <v>-2.10720565</v>
      </c>
      <c r="P638" s="725" t="n">
        <v>-0.009670674597616306</v>
      </c>
      <c r="Q638" s="726" t="n">
        <v>-1</v>
      </c>
      <c r="R638" s="727" t="n">
        <v>215.78924291</v>
      </c>
      <c r="S638" s="719" t="inlineStr">
        <is>
          <t>14H 12M 0S</t>
        </is>
      </c>
      <c r="T638" s="717" t="n"/>
      <c r="U638" s="806" t="n"/>
      <c r="V638" s="807" t="n">
        <v>3.1025</v>
      </c>
      <c r="W638" s="725" t="n">
        <v>0.1395775941230486</v>
      </c>
      <c r="X638" s="722" t="n">
        <v>0.1092193287203192</v>
      </c>
      <c r="Y638" s="728" t="n"/>
      <c r="Z638" s="729" t="n"/>
      <c r="AA638" s="730" t="n"/>
      <c r="AB638" s="731" t="n"/>
      <c r="AC638" s="732" t="n"/>
      <c r="AD638" s="719" t="inlineStr">
        <is>
          <t>No</t>
        </is>
      </c>
      <c r="AE638" s="733" t="n"/>
      <c r="AF638" s="733" t="n"/>
      <c r="AG638" s="733" t="n"/>
      <c r="AH638" s="733" t="n"/>
      <c r="AI638" s="719" t="inlineStr">
        <is>
          <t>Limit</t>
        </is>
      </c>
      <c r="AJ638" s="733" t="n"/>
      <c r="AK638" s="719" t="inlineStr">
        <is>
          <t>Yes</t>
        </is>
      </c>
      <c r="AL638" s="733" t="n"/>
      <c r="AM638" s="733" t="n"/>
      <c r="AN638" s="733" t="n"/>
      <c r="AO638" s="733" t="n"/>
      <c r="AP638" s="719" t="inlineStr">
        <is>
          <t>Pullback</t>
        </is>
      </c>
      <c r="AQ638" s="719" t="inlineStr">
        <is>
          <t>4H</t>
        </is>
      </c>
      <c r="AR638" s="719" t="inlineStr">
        <is>
          <t>No</t>
        </is>
      </c>
      <c r="AS638" s="733" t="n"/>
      <c r="AT638" s="733" t="n"/>
      <c r="AU638" s="733" t="n"/>
      <c r="AV638" s="733" t="n"/>
      <c r="AW638" s="719" t="inlineStr">
        <is>
          <t>trade</t>
        </is>
      </c>
      <c r="AX638" s="734" t="inlineStr">
        <is>
          <t>sig:80ab2779bc989daf92352e46</t>
        </is>
      </c>
    </row>
    <row r="639" ht="15" customHeight="1">
      <c r="A639" s="716" t="inlineStr">
        <is>
          <t>C88</t>
        </is>
      </c>
      <c r="B639" s="717" t="n">
        <v>44059.92361111111</v>
      </c>
      <c r="C639" s="718" t="n">
        <v>44060.975</v>
      </c>
      <c r="D639" s="719" t="inlineStr">
        <is>
          <t>BINANCE</t>
        </is>
      </c>
      <c r="E639" s="719" t="inlineStr">
        <is>
          <t>MATICUSDT</t>
        </is>
      </c>
      <c r="F639" s="719" t="inlineStr">
        <is>
          <t>BUY</t>
        </is>
      </c>
      <c r="G639" s="720" t="n">
        <v>1313.4</v>
      </c>
      <c r="H639" s="735" t="n">
        <v>0.02865</v>
      </c>
      <c r="I639" s="735" t="n">
        <v>0.02865</v>
      </c>
      <c r="J639" s="736" t="n">
        <v>0.02707</v>
      </c>
      <c r="K639" s="722" t="n">
        <v>0.05514834205933676</v>
      </c>
      <c r="L639" s="736" t="n">
        <v>0.0334</v>
      </c>
      <c r="M639" s="722" t="n">
        <v>0.1657940663176266</v>
      </c>
      <c r="N639" s="723" t="n">
        <v>0.05656805</v>
      </c>
      <c r="O639" s="777" t="n">
        <v>-0.05656805</v>
      </c>
      <c r="P639" s="763" t="n">
        <v>-0.0002595424045046439</v>
      </c>
      <c r="Q639" s="726" t="n">
        <v>0</v>
      </c>
      <c r="R639" s="727" t="n">
        <v>217.89644856</v>
      </c>
      <c r="S639" s="719" t="inlineStr">
        <is>
          <t>1D 1H 14M 0S</t>
        </is>
      </c>
      <c r="T639" s="717" t="n">
        <v>44060.38958333333</v>
      </c>
      <c r="U639" s="806" t="inlineStr">
        <is>
          <t>21H 10M 56S</t>
        </is>
      </c>
      <c r="V639" s="817" t="n">
        <v>0.03107</v>
      </c>
      <c r="W639" s="725" t="n">
        <v>0.08446771378708559</v>
      </c>
      <c r="X639" s="722" t="n">
        <v>0.06976047904191614</v>
      </c>
      <c r="Y639" s="728" t="n"/>
      <c r="Z639" s="729" t="n"/>
      <c r="AA639" s="730" t="n"/>
      <c r="AB639" s="731" t="n"/>
      <c r="AC639" s="732" t="n"/>
      <c r="AD639" s="719" t="inlineStr">
        <is>
          <t>No</t>
        </is>
      </c>
      <c r="AE639" s="733" t="n"/>
      <c r="AF639" s="733" t="n"/>
      <c r="AG639" s="733" t="n"/>
      <c r="AH639" s="733" t="n"/>
      <c r="AI639" s="719" t="inlineStr">
        <is>
          <t>Limit</t>
        </is>
      </c>
      <c r="AJ639" s="733" t="n"/>
      <c r="AK639" s="733" t="n"/>
      <c r="AL639" s="733" t="n"/>
      <c r="AM639" s="733" t="n"/>
      <c r="AN639" s="733" t="n"/>
      <c r="AO639" s="733" t="n"/>
      <c r="AP639" s="719" t="inlineStr">
        <is>
          <t>Pullback</t>
        </is>
      </c>
      <c r="AQ639" s="719" t="inlineStr">
        <is>
          <t>4H</t>
        </is>
      </c>
      <c r="AR639" s="719" t="inlineStr">
        <is>
          <t>No</t>
        </is>
      </c>
      <c r="AS639" s="733" t="n"/>
      <c r="AT639" s="733" t="n"/>
      <c r="AU639" s="733" t="n"/>
      <c r="AV639" s="733" t="n"/>
      <c r="AW639" s="719" t="inlineStr">
        <is>
          <t>trade</t>
        </is>
      </c>
      <c r="AX639" s="734" t="inlineStr">
        <is>
          <t>sig:e9c23baf987d324a6a18c086</t>
        </is>
      </c>
    </row>
    <row r="640" ht="15" customHeight="1">
      <c r="A640" s="737" t="inlineStr">
        <is>
          <t>C87</t>
        </is>
      </c>
      <c r="B640" s="738" t="n">
        <v>44056.78055555555</v>
      </c>
      <c r="C640" s="739" t="n">
        <v>44059.14652777778</v>
      </c>
      <c r="D640" s="740" t="inlineStr">
        <is>
          <t>BINANCE</t>
        </is>
      </c>
      <c r="E640" s="740" t="inlineStr">
        <is>
          <t>NKNUSDT</t>
        </is>
      </c>
      <c r="F640" s="740" t="inlineStr">
        <is>
          <t>BUY</t>
        </is>
      </c>
      <c r="G640" s="742" t="n">
        <v>961.8</v>
      </c>
      <c r="H640" s="775" t="n">
        <v>0.03065</v>
      </c>
      <c r="I640" s="775" t="n">
        <v>0.03707</v>
      </c>
      <c r="J640" s="797" t="n">
        <v>0.02856</v>
      </c>
      <c r="K640" s="744" t="n">
        <v>0.068189233278956</v>
      </c>
      <c r="L640" s="797" t="n">
        <v>0.03694</v>
      </c>
      <c r="M640" s="744" t="n">
        <v>0.2052202283849918</v>
      </c>
      <c r="N640" s="802" t="n">
        <v>0.04920441</v>
      </c>
      <c r="O640" s="746" t="n">
        <v>6.11279559</v>
      </c>
      <c r="P640" s="747" t="n">
        <v>0.02885568925753191</v>
      </c>
      <c r="Q640" s="748" t="n">
        <v>3.071770334928227</v>
      </c>
      <c r="R640" s="749" t="n">
        <v>217.95301661</v>
      </c>
      <c r="S640" s="740" t="inlineStr">
        <is>
          <t>2D 8H 47M 0S</t>
        </is>
      </c>
      <c r="T640" s="750" t="n"/>
      <c r="U640" s="751" t="n"/>
      <c r="V640" s="821" t="n">
        <v>0.03344</v>
      </c>
      <c r="W640" s="747" t="n">
        <v>0.09102773246329518</v>
      </c>
      <c r="X640" s="744" t="n">
        <v>0.09474824038982141</v>
      </c>
      <c r="Y640" s="750" t="n"/>
      <c r="Z640" s="751" t="n"/>
      <c r="AA640" s="752" t="n"/>
      <c r="AB640" s="753" t="n"/>
      <c r="AC640" s="754" t="n"/>
      <c r="AD640" s="740" t="inlineStr">
        <is>
          <t>No</t>
        </is>
      </c>
      <c r="AE640" s="755" t="n"/>
      <c r="AF640" s="755" t="n"/>
      <c r="AG640" s="755" t="n"/>
      <c r="AH640" s="755" t="n"/>
      <c r="AI640" s="740" t="inlineStr">
        <is>
          <t>Limit</t>
        </is>
      </c>
      <c r="AJ640" s="755" t="n"/>
      <c r="AK640" s="755" t="n"/>
      <c r="AL640" s="755" t="n"/>
      <c r="AM640" s="755" t="n"/>
      <c r="AN640" s="755" t="n"/>
      <c r="AO640" s="755" t="n"/>
      <c r="AP640" s="740" t="inlineStr">
        <is>
          <t>Pullback</t>
        </is>
      </c>
      <c r="AQ640" s="740" t="inlineStr">
        <is>
          <t>4H</t>
        </is>
      </c>
      <c r="AR640" s="740" t="inlineStr">
        <is>
          <t>No</t>
        </is>
      </c>
      <c r="AS640" s="755" t="n"/>
      <c r="AT640" s="755" t="n"/>
      <c r="AU640" s="755" t="n"/>
      <c r="AV640" s="755" t="n"/>
      <c r="AW640" s="740" t="inlineStr">
        <is>
          <t>trade</t>
        </is>
      </c>
      <c r="AX640" s="756" t="inlineStr">
        <is>
          <t>sig:b4c75f701591cb912cbacf32</t>
        </is>
      </c>
    </row>
    <row r="641" ht="15" customHeight="1">
      <c r="A641" s="716" t="inlineStr">
        <is>
          <t>F782</t>
        </is>
      </c>
      <c r="B641" s="717" t="n">
        <v>44054.68680555555</v>
      </c>
      <c r="C641" s="718" t="n">
        <v>44055.99652777778</v>
      </c>
      <c r="D641" s="719" t="inlineStr">
        <is>
          <t>PEPPERSTONE DEMO</t>
        </is>
      </c>
      <c r="E641" s="719" t="inlineStr">
        <is>
          <t>EURCHF</t>
        </is>
      </c>
      <c r="F641" s="719" t="inlineStr">
        <is>
          <t>BUY</t>
        </is>
      </c>
      <c r="G641" s="735" t="n">
        <v>0.02</v>
      </c>
      <c r="H641" s="720" t="n">
        <v>1.07434</v>
      </c>
      <c r="I641" s="720" t="n">
        <v>1.07434</v>
      </c>
      <c r="J641" s="721" t="n">
        <v>1.0726</v>
      </c>
      <c r="K641" s="722" t="n">
        <v>0.001619599009624583</v>
      </c>
      <c r="L641" s="721" t="n">
        <v>1.0814</v>
      </c>
      <c r="M641" s="722" t="n">
        <v>0.006571476441349893</v>
      </c>
      <c r="N641" s="792" t="n">
        <v>0.04</v>
      </c>
      <c r="O641" s="804" t="n">
        <v>-0.04</v>
      </c>
      <c r="P641" s="800" t="n">
        <v>-8.150955699555772e-05</v>
      </c>
      <c r="Q641" s="726" t="n">
        <v>0</v>
      </c>
      <c r="R641" s="764" t="n">
        <v>490.7</v>
      </c>
      <c r="S641" s="719" t="inlineStr">
        <is>
          <t>1D 7H 26M 0S</t>
        </is>
      </c>
      <c r="T641" s="717" t="n">
        <v>44055.04097222222</v>
      </c>
      <c r="U641" s="806" t="inlineStr">
        <is>
          <t>8H 30M 0S</t>
        </is>
      </c>
      <c r="V641" s="807" t="n">
        <v>1.0778</v>
      </c>
      <c r="W641" s="725" t="n">
        <v>-0.003460000000000019</v>
      </c>
      <c r="X641" s="722" t="n">
        <v>0.003599999999999826</v>
      </c>
      <c r="Y641" s="728" t="n"/>
      <c r="Z641" s="729" t="n"/>
      <c r="AA641" s="730" t="n"/>
      <c r="AB641" s="731" t="n"/>
      <c r="AC641" s="732" t="n"/>
      <c r="AD641" s="719" t="inlineStr">
        <is>
          <t>No</t>
        </is>
      </c>
      <c r="AE641" s="733" t="n"/>
      <c r="AF641" s="733" t="n"/>
      <c r="AG641" s="733" t="n"/>
      <c r="AH641" s="733" t="n"/>
      <c r="AI641" s="719" t="inlineStr">
        <is>
          <t>Limit</t>
        </is>
      </c>
      <c r="AJ641" s="733" t="n"/>
      <c r="AK641" s="733" t="n"/>
      <c r="AL641" s="733" t="n"/>
      <c r="AM641" s="733" t="n"/>
      <c r="AN641" s="733" t="n"/>
      <c r="AO641" s="733" t="n"/>
      <c r="AP641" s="719" t="inlineStr">
        <is>
          <t>Pullback</t>
        </is>
      </c>
      <c r="AQ641" s="719" t="inlineStr">
        <is>
          <t>4H</t>
        </is>
      </c>
      <c r="AR641" s="719" t="inlineStr">
        <is>
          <t>No</t>
        </is>
      </c>
      <c r="AS641" s="733" t="n"/>
      <c r="AT641" s="733" t="n"/>
      <c r="AU641" s="733" t="n"/>
      <c r="AV641" s="733" t="n"/>
      <c r="AW641" s="719" t="inlineStr">
        <is>
          <t>trade</t>
        </is>
      </c>
      <c r="AX641" s="734" t="inlineStr">
        <is>
          <t>sig:f8585db215dc7e18526bd6e7</t>
        </is>
      </c>
    </row>
    <row r="642" ht="15" customHeight="1">
      <c r="A642" s="716" t="inlineStr">
        <is>
          <t>C86</t>
        </is>
      </c>
      <c r="B642" s="717" t="n">
        <v>44054.8375</v>
      </c>
      <c r="C642" s="718" t="n">
        <v>44054.96111111111</v>
      </c>
      <c r="D642" s="719" t="inlineStr">
        <is>
          <t>BINANCE</t>
        </is>
      </c>
      <c r="E642" s="719" t="inlineStr">
        <is>
          <t>WINUSDT</t>
        </is>
      </c>
      <c r="F642" s="719" t="inlineStr">
        <is>
          <t>BUY</t>
        </is>
      </c>
      <c r="G642" s="720" t="n">
        <v>220653</v>
      </c>
      <c r="H642" s="791" t="n">
        <v>0.0001218</v>
      </c>
      <c r="I642" s="791" t="n">
        <v>0.0001116</v>
      </c>
      <c r="J642" s="819" t="n">
        <v>0.0001126</v>
      </c>
      <c r="K642" s="722" t="n">
        <v>0.07553366174055834</v>
      </c>
      <c r="L642" s="819" t="n">
        <v>0.00015</v>
      </c>
      <c r="M642" s="722" t="n">
        <v>0.2315270935960589</v>
      </c>
      <c r="N642" s="723" t="n">
        <v>0.02041271</v>
      </c>
      <c r="O642" s="724" t="n">
        <v>-2.27107331</v>
      </c>
      <c r="P642" s="725" t="n">
        <v>-0.01060697576513501</v>
      </c>
      <c r="Q642" s="726" t="n">
        <v>-1.108695652173913</v>
      </c>
      <c r="R642" s="727" t="n">
        <v>211.84022102</v>
      </c>
      <c r="S642" s="719" t="inlineStr">
        <is>
          <t>2H 58M 0S</t>
        </is>
      </c>
      <c r="T642" s="728" t="n"/>
      <c r="U642" s="729" t="n"/>
      <c r="V642" s="820" t="n">
        <v>0.0001367</v>
      </c>
      <c r="W642" s="725" t="n">
        <v>0.1223316912972084</v>
      </c>
      <c r="X642" s="722" t="n">
        <v>0.08500669344042845</v>
      </c>
      <c r="Y642" s="728" t="n"/>
      <c r="Z642" s="729" t="n"/>
      <c r="AA642" s="730" t="n"/>
      <c r="AB642" s="731" t="n"/>
      <c r="AC642" s="732" t="n"/>
      <c r="AD642" s="719" t="inlineStr">
        <is>
          <t>No</t>
        </is>
      </c>
      <c r="AE642" s="733" t="n"/>
      <c r="AF642" s="733" t="n"/>
      <c r="AG642" s="733" t="n"/>
      <c r="AH642" s="733" t="n"/>
      <c r="AI642" s="719" t="inlineStr">
        <is>
          <t>Limit</t>
        </is>
      </c>
      <c r="AJ642" s="733" t="n"/>
      <c r="AK642" s="733" t="n"/>
      <c r="AL642" s="733" t="n"/>
      <c r="AM642" s="733" t="n"/>
      <c r="AN642" s="733" t="n"/>
      <c r="AO642" s="733" t="n"/>
      <c r="AP642" s="719" t="inlineStr">
        <is>
          <t>Pullback</t>
        </is>
      </c>
      <c r="AQ642" s="719" t="inlineStr">
        <is>
          <t>4H</t>
        </is>
      </c>
      <c r="AR642" s="719" t="inlineStr">
        <is>
          <t>No</t>
        </is>
      </c>
      <c r="AS642" s="782" t="n"/>
      <c r="AT642" s="733" t="n"/>
      <c r="AU642" s="719" t="n"/>
      <c r="AV642" s="719" t="n"/>
      <c r="AW642" s="719" t="inlineStr">
        <is>
          <t>trade</t>
        </is>
      </c>
      <c r="AX642" s="734" t="inlineStr">
        <is>
          <t>sig:27af58ba689a50579b9a5d7e</t>
        </is>
      </c>
    </row>
    <row r="643" ht="15" customHeight="1">
      <c r="A643" s="716" t="inlineStr">
        <is>
          <t>C85</t>
        </is>
      </c>
      <c r="B643" s="717" t="n">
        <v>44052.51875</v>
      </c>
      <c r="C643" s="718" t="n">
        <v>44054.94722222222</v>
      </c>
      <c r="D643" s="719" t="inlineStr">
        <is>
          <t>BINANCE</t>
        </is>
      </c>
      <c r="E643" s="719" t="inlineStr">
        <is>
          <t>LINKUSDT</t>
        </is>
      </c>
      <c r="F643" s="719" t="inlineStr">
        <is>
          <t>BUY</t>
        </is>
      </c>
      <c r="G643" s="720" t="n">
        <v>1.74</v>
      </c>
      <c r="H643" s="720" t="n">
        <v>12.402</v>
      </c>
      <c r="I643" s="720" t="n">
        <v>12.402</v>
      </c>
      <c r="J643" s="721" t="n">
        <v>11.2647</v>
      </c>
      <c r="K643" s="722" t="n">
        <v>0.09170295113691339</v>
      </c>
      <c r="L643" s="721" t="n">
        <v>15.8166</v>
      </c>
      <c r="M643" s="722" t="n">
        <v>0.2753265602322206</v>
      </c>
      <c r="N643" s="723" t="n">
        <v>0.03238693</v>
      </c>
      <c r="O643" s="777" t="n">
        <v>-0.03238693</v>
      </c>
      <c r="P643" s="763" t="n">
        <v>-0.0001512392511861127</v>
      </c>
      <c r="Q643" s="726" t="n">
        <v>0</v>
      </c>
      <c r="R643" s="727" t="n">
        <v>214.11129433</v>
      </c>
      <c r="S643" s="719" t="inlineStr">
        <is>
          <t>2D 10H 17M 0S</t>
        </is>
      </c>
      <c r="T643" s="717" t="n">
        <v>44053.18958333333</v>
      </c>
      <c r="U643" s="806" t="inlineStr">
        <is>
          <t>16H 6M 0S</t>
        </is>
      </c>
      <c r="V643" s="807" t="n">
        <v>13.8843</v>
      </c>
      <c r="W643" s="725" t="n">
        <v>0.1195210449927431</v>
      </c>
      <c r="X643" s="722" t="n">
        <v>0.1221691134630704</v>
      </c>
      <c r="Y643" s="728" t="n"/>
      <c r="Z643" s="729" t="n"/>
      <c r="AA643" s="730" t="n"/>
      <c r="AB643" s="731" t="n"/>
      <c r="AC643" s="732" t="n"/>
      <c r="AD643" s="719" t="inlineStr">
        <is>
          <t>No</t>
        </is>
      </c>
      <c r="AE643" s="733" t="n"/>
      <c r="AF643" s="733" t="n"/>
      <c r="AG643" s="733" t="n"/>
      <c r="AH643" s="733" t="n"/>
      <c r="AI643" s="719" t="inlineStr">
        <is>
          <t>Limit</t>
        </is>
      </c>
      <c r="AJ643" s="733" t="n"/>
      <c r="AK643" s="733" t="n"/>
      <c r="AL643" s="733" t="n"/>
      <c r="AM643" s="733" t="n"/>
      <c r="AN643" s="733" t="n"/>
      <c r="AO643" s="733" t="n"/>
      <c r="AP643" s="719" t="inlineStr">
        <is>
          <t>Pullback</t>
        </is>
      </c>
      <c r="AQ643" s="719" t="inlineStr">
        <is>
          <t>4H</t>
        </is>
      </c>
      <c r="AR643" s="719" t="inlineStr">
        <is>
          <t>No</t>
        </is>
      </c>
      <c r="AS643" s="782" t="n"/>
      <c r="AT643" s="733" t="n"/>
      <c r="AU643" s="719" t="n"/>
      <c r="AV643" s="719" t="n"/>
      <c r="AW643" s="719" t="inlineStr">
        <is>
          <t>trade</t>
        </is>
      </c>
      <c r="AX643" s="734" t="inlineStr">
        <is>
          <t>sig:2985d91d64bc97fd0f41f03d</t>
        </is>
      </c>
    </row>
    <row r="644" ht="15" customHeight="1">
      <c r="A644" s="716" t="inlineStr">
        <is>
          <t>F781</t>
        </is>
      </c>
      <c r="B644" s="717" t="n">
        <v>44053.95902777778</v>
      </c>
      <c r="C644" s="718" t="n">
        <v>44054.30069444444</v>
      </c>
      <c r="D644" s="719" t="inlineStr">
        <is>
          <t>PEPPERSTONE DEMO</t>
        </is>
      </c>
      <c r="E644" s="719" t="inlineStr">
        <is>
          <t>EURGBP</t>
        </is>
      </c>
      <c r="F644" s="719" t="inlineStr">
        <is>
          <t>BUY</t>
        </is>
      </c>
      <c r="G644" s="735" t="n">
        <v>0.01</v>
      </c>
      <c r="H644" s="720" t="n">
        <v>0.9001</v>
      </c>
      <c r="I644" s="720" t="n">
        <v>0.89742</v>
      </c>
      <c r="J644" s="721" t="n">
        <v>0.8974</v>
      </c>
      <c r="K644" s="722" t="n">
        <v>0.002999666703699629</v>
      </c>
      <c r="L644" s="721" t="n">
        <v>0.9112</v>
      </c>
      <c r="M644" s="722" t="n">
        <v>0.01233196311520942</v>
      </c>
      <c r="N644" s="792" t="n">
        <v>0.07000000000000001</v>
      </c>
      <c r="O644" s="762" t="n">
        <v>-5.07</v>
      </c>
      <c r="P644" s="725" t="n">
        <v>-0.01022569129303564</v>
      </c>
      <c r="Q644" s="726" t="n">
        <v>-0.9925925925925853</v>
      </c>
      <c r="R644" s="764" t="n">
        <v>490.74</v>
      </c>
      <c r="S644" s="719" t="inlineStr">
        <is>
          <t>8H 12M 0S</t>
        </is>
      </c>
      <c r="T644" s="717" t="n"/>
      <c r="U644" s="806" t="n"/>
      <c r="V644" s="807" t="n">
        <v>0.9055</v>
      </c>
      <c r="W644" s="725" t="n">
        <v>-0.00539999999999996</v>
      </c>
      <c r="X644" s="722" t="n">
        <v>0.005700000000000038</v>
      </c>
      <c r="Y644" s="728" t="n"/>
      <c r="Z644" s="729" t="n"/>
      <c r="AA644" s="730" t="n"/>
      <c r="AB644" s="731" t="n"/>
      <c r="AC644" s="732" t="n"/>
      <c r="AD644" s="719" t="inlineStr">
        <is>
          <t>No</t>
        </is>
      </c>
      <c r="AE644" s="733" t="n"/>
      <c r="AF644" s="733" t="n"/>
      <c r="AG644" s="733" t="n"/>
      <c r="AH644" s="733" t="n"/>
      <c r="AI644" s="719" t="inlineStr">
        <is>
          <t>Limit</t>
        </is>
      </c>
      <c r="AJ644" s="733" t="n"/>
      <c r="AK644" s="733" t="n"/>
      <c r="AL644" s="733" t="n"/>
      <c r="AM644" s="733" t="n"/>
      <c r="AN644" s="733" t="n"/>
      <c r="AO644" s="733" t="n"/>
      <c r="AP644" s="719" t="inlineStr">
        <is>
          <t>Pullback</t>
        </is>
      </c>
      <c r="AQ644" s="719" t="inlineStr">
        <is>
          <t>4H</t>
        </is>
      </c>
      <c r="AR644" s="719" t="inlineStr">
        <is>
          <t>No</t>
        </is>
      </c>
      <c r="AS644" s="733" t="n"/>
      <c r="AT644" s="733" t="n"/>
      <c r="AU644" s="733" t="n"/>
      <c r="AV644" s="733" t="n"/>
      <c r="AW644" s="719" t="inlineStr">
        <is>
          <t>trade</t>
        </is>
      </c>
      <c r="AX644" s="734" t="inlineStr">
        <is>
          <t>sig:ac40aa59a5cc163dc76430a3</t>
        </is>
      </c>
    </row>
    <row r="645" ht="15" customHeight="1">
      <c r="A645" s="737" t="inlineStr">
        <is>
          <t>C83</t>
        </is>
      </c>
      <c r="B645" s="738" t="n">
        <v>44046.51666666667</v>
      </c>
      <c r="C645" s="739" t="n">
        <v>44053.76111111111</v>
      </c>
      <c r="D645" s="740" t="inlineStr">
        <is>
          <t>BINANCE</t>
        </is>
      </c>
      <c r="E645" s="740" t="inlineStr">
        <is>
          <t>SNXUSDT</t>
        </is>
      </c>
      <c r="F645" s="740" t="inlineStr">
        <is>
          <t>BUY</t>
        </is>
      </c>
      <c r="G645" s="742" t="n">
        <v>8.07</v>
      </c>
      <c r="H645" s="742" t="n">
        <v>4.021</v>
      </c>
      <c r="I645" s="742" t="n">
        <v>4.761</v>
      </c>
      <c r="J645" s="743" t="n">
        <v>3.776</v>
      </c>
      <c r="K645" s="744" t="n">
        <v>0.06093011688634671</v>
      </c>
      <c r="L645" s="743" t="n">
        <v>4.761</v>
      </c>
      <c r="M645" s="744" t="n">
        <v>0.1840338224322308</v>
      </c>
      <c r="N645" s="802" t="n">
        <v>0.05432407</v>
      </c>
      <c r="O645" s="746" t="n">
        <v>5.91747593</v>
      </c>
      <c r="P645" s="747" t="n">
        <v>0.0284184976651805</v>
      </c>
      <c r="Q645" s="748" t="n">
        <v>3.020408163265305</v>
      </c>
      <c r="R645" s="749" t="n">
        <v>214.14368126</v>
      </c>
      <c r="S645" s="740" t="inlineStr">
        <is>
          <t>7D 5H 52M 0S</t>
        </is>
      </c>
      <c r="T645" s="738" t="n">
        <v>44048.03194444445</v>
      </c>
      <c r="U645" s="809" t="inlineStr">
        <is>
          <t>1D 12H 22M 0S</t>
        </is>
      </c>
      <c r="V645" s="810" t="n">
        <v>4.434</v>
      </c>
      <c r="W645" s="747" t="n">
        <v>0.1027107684655559</v>
      </c>
      <c r="X645" s="744" t="n">
        <v>0.06868304977945809</v>
      </c>
      <c r="Y645" s="750" t="n"/>
      <c r="Z645" s="751" t="n"/>
      <c r="AA645" s="752" t="n"/>
      <c r="AB645" s="753" t="n"/>
      <c r="AC645" s="754" t="n"/>
      <c r="AD645" s="740" t="inlineStr">
        <is>
          <t>No</t>
        </is>
      </c>
      <c r="AE645" s="755" t="n"/>
      <c r="AF645" s="755" t="n"/>
      <c r="AG645" s="755" t="n"/>
      <c r="AH645" s="755" t="n"/>
      <c r="AI645" s="740" t="inlineStr">
        <is>
          <t>Limit</t>
        </is>
      </c>
      <c r="AJ645" s="755" t="n"/>
      <c r="AK645" s="755" t="n"/>
      <c r="AL645" s="755" t="n"/>
      <c r="AM645" s="755" t="n"/>
      <c r="AN645" s="755" t="n"/>
      <c r="AO645" s="755" t="n"/>
      <c r="AP645" s="740" t="inlineStr">
        <is>
          <t>Pullback</t>
        </is>
      </c>
      <c r="AQ645" s="740" t="inlineStr">
        <is>
          <t>4H</t>
        </is>
      </c>
      <c r="AR645" s="740" t="inlineStr">
        <is>
          <t>No</t>
        </is>
      </c>
      <c r="AS645" s="755" t="n"/>
      <c r="AT645" s="755" t="n"/>
      <c r="AU645" s="755" t="n"/>
      <c r="AV645" s="755" t="n"/>
      <c r="AW645" s="740" t="inlineStr">
        <is>
          <t>trade</t>
        </is>
      </c>
      <c r="AX645" s="756" t="inlineStr">
        <is>
          <t>sig:ae25dc30b80acd175e9fc94b</t>
        </is>
      </c>
    </row>
    <row r="646" ht="15" customHeight="1">
      <c r="A646" s="716" t="inlineStr">
        <is>
          <t>C84</t>
        </is>
      </c>
      <c r="B646" s="717" t="n">
        <v>44049.31527777778</v>
      </c>
      <c r="C646" s="718" t="n">
        <v>44051.14375</v>
      </c>
      <c r="D646" s="719" t="inlineStr">
        <is>
          <t>BINANCE</t>
        </is>
      </c>
      <c r="E646" s="719" t="inlineStr">
        <is>
          <t>KNCUSDT</t>
        </is>
      </c>
      <c r="F646" s="719" t="inlineStr">
        <is>
          <t>BUY</t>
        </is>
      </c>
      <c r="G646" s="720" t="n">
        <v>33.51</v>
      </c>
      <c r="H646" s="720" t="n">
        <v>1.501</v>
      </c>
      <c r="I646" s="720" t="n">
        <v>1.502</v>
      </c>
      <c r="J646" s="721" t="n">
        <v>1.442</v>
      </c>
      <c r="K646" s="722" t="n">
        <v>0.039307128580946</v>
      </c>
      <c r="L646" s="721" t="n">
        <v>1.68</v>
      </c>
      <c r="M646" s="722" t="n">
        <v>0.1192538307794804</v>
      </c>
      <c r="N646" s="723" t="n">
        <v>0.07555580000000001</v>
      </c>
      <c r="O646" s="777" t="n">
        <v>-0.0420468</v>
      </c>
      <c r="P646" s="763" t="n">
        <v>-0.0002018877076557717</v>
      </c>
      <c r="Q646" s="781" t="n">
        <v>0.0169491525423748</v>
      </c>
      <c r="R646" s="727" t="n">
        <v>208.22620533</v>
      </c>
      <c r="S646" s="719" t="inlineStr">
        <is>
          <t>1D 19H 53M 0S</t>
        </is>
      </c>
      <c r="T646" s="717" t="n">
        <v>44049.4875</v>
      </c>
      <c r="U646" s="806" t="inlineStr">
        <is>
          <t>14H 7M 30S</t>
        </is>
      </c>
      <c r="V646" s="807" t="n">
        <v>1.6</v>
      </c>
      <c r="W646" s="725" t="n">
        <v>0.06595602931379094</v>
      </c>
      <c r="X646" s="722" t="n">
        <v>0.04761904761904753</v>
      </c>
      <c r="Y646" s="728" t="n"/>
      <c r="Z646" s="729" t="n"/>
      <c r="AA646" s="730" t="n"/>
      <c r="AB646" s="731" t="n"/>
      <c r="AC646" s="732" t="n"/>
      <c r="AD646" s="719" t="inlineStr">
        <is>
          <t>No</t>
        </is>
      </c>
      <c r="AE646" s="733" t="n"/>
      <c r="AF646" s="733" t="n"/>
      <c r="AG646" s="733" t="n"/>
      <c r="AH646" s="733" t="n"/>
      <c r="AI646" s="719" t="inlineStr">
        <is>
          <t>Limit</t>
        </is>
      </c>
      <c r="AJ646" s="733" t="n"/>
      <c r="AK646" s="733" t="n"/>
      <c r="AL646" s="733" t="n"/>
      <c r="AM646" s="733" t="n"/>
      <c r="AN646" s="733" t="n"/>
      <c r="AO646" s="733" t="n"/>
      <c r="AP646" s="719" t="inlineStr">
        <is>
          <t>Pullback</t>
        </is>
      </c>
      <c r="AQ646" s="719" t="inlineStr">
        <is>
          <t>4H</t>
        </is>
      </c>
      <c r="AR646" s="719" t="inlineStr">
        <is>
          <t>No</t>
        </is>
      </c>
      <c r="AS646" s="733" t="n"/>
      <c r="AT646" s="733" t="n"/>
      <c r="AU646" s="733" t="n"/>
      <c r="AV646" s="733" t="n"/>
      <c r="AW646" s="719" t="inlineStr">
        <is>
          <t>trade</t>
        </is>
      </c>
      <c r="AX646" s="734" t="inlineStr">
        <is>
          <t>sig:c8ae0e6bcb1fbb59db413c60</t>
        </is>
      </c>
    </row>
    <row r="647" ht="15" customHeight="1">
      <c r="A647" s="716" t="inlineStr">
        <is>
          <t>C374</t>
        </is>
      </c>
      <c r="B647" s="717" t="n">
        <v>44049.10486111111</v>
      </c>
      <c r="C647" s="718" t="n">
        <v>44049.10555555556</v>
      </c>
      <c r="D647" s="719" t="inlineStr">
        <is>
          <t>BINANCE</t>
        </is>
      </c>
      <c r="E647" s="719" t="inlineStr">
        <is>
          <t>KNCUSDT</t>
        </is>
      </c>
      <c r="F647" s="719" t="inlineStr">
        <is>
          <t>BUY</t>
        </is>
      </c>
      <c r="G647" s="720" t="n">
        <v>32.45</v>
      </c>
      <c r="H647" s="720" t="n">
        <v>1.549</v>
      </c>
      <c r="I647" s="720" t="n">
        <v>1.546</v>
      </c>
      <c r="J647" s="721" t="n"/>
      <c r="K647" s="722" t="n"/>
      <c r="L647" s="721" t="n"/>
      <c r="M647" s="722" t="n"/>
      <c r="N647" s="723" t="n">
        <v>0.0752877</v>
      </c>
      <c r="O647" s="724" t="n">
        <v>-0.1726377</v>
      </c>
      <c r="P647" s="763" t="n">
        <v>-0.0008282333669790015</v>
      </c>
      <c r="Q647" s="726" t="n"/>
      <c r="R647" s="727" t="n">
        <v>208.26825213</v>
      </c>
      <c r="S647" s="719" t="inlineStr">
        <is>
          <t>1M 0S</t>
        </is>
      </c>
      <c r="T647" s="728" t="n"/>
      <c r="U647" s="729" t="n"/>
      <c r="V647" s="807" t="n"/>
      <c r="W647" s="725" t="n"/>
      <c r="X647" s="722" t="n"/>
      <c r="Y647" s="728" t="n"/>
      <c r="Z647" s="729" t="n"/>
      <c r="AA647" s="730" t="n"/>
      <c r="AB647" s="731" t="n"/>
      <c r="AC647" s="732" t="n"/>
      <c r="AD647" s="719" t="inlineStr">
        <is>
          <t>No</t>
        </is>
      </c>
      <c r="AE647" s="733" t="n"/>
      <c r="AF647" s="733" t="n"/>
      <c r="AG647" s="733" t="n"/>
      <c r="AH647" s="733" t="n"/>
      <c r="AI647" s="719" t="n"/>
      <c r="AJ647" s="733" t="n"/>
      <c r="AK647" s="733" t="n"/>
      <c r="AL647" s="733" t="n"/>
      <c r="AM647" s="733" t="n"/>
      <c r="AN647" s="733" t="n"/>
      <c r="AO647" s="733" t="n"/>
      <c r="AP647" s="719" t="inlineStr">
        <is>
          <t>Pullback</t>
        </is>
      </c>
      <c r="AQ647" s="719" t="n"/>
      <c r="AR647" s="719" t="inlineStr">
        <is>
          <t>No</t>
        </is>
      </c>
      <c r="AS647" s="733" t="n"/>
      <c r="AT647" s="733" t="n"/>
      <c r="AU647" s="733" t="n"/>
      <c r="AV647" s="733" t="n"/>
      <c r="AW647" s="719" t="inlineStr">
        <is>
          <t>trade</t>
        </is>
      </c>
      <c r="AX647" s="734" t="inlineStr">
        <is>
          <t>sig:8adef913916e6c869f0d4487</t>
        </is>
      </c>
    </row>
    <row r="648" ht="15" customHeight="1">
      <c r="A648" s="716" t="inlineStr">
        <is>
          <t>F780</t>
        </is>
      </c>
      <c r="B648" s="717" t="n">
        <v>44048.69305555556</v>
      </c>
      <c r="C648" s="718" t="n">
        <v>44048.88611111111</v>
      </c>
      <c r="D648" s="719" t="inlineStr">
        <is>
          <t>PEPPERSTONE DEMO</t>
        </is>
      </c>
      <c r="E648" s="719" t="inlineStr">
        <is>
          <t>CADJPY</t>
        </is>
      </c>
      <c r="F648" s="719" t="inlineStr">
        <is>
          <t>SELL</t>
        </is>
      </c>
      <c r="G648" s="735" t="n">
        <v>0.01</v>
      </c>
      <c r="H648" s="720" t="n">
        <v>79.51000000000001</v>
      </c>
      <c r="I648" s="720" t="n">
        <v>79.83499999999999</v>
      </c>
      <c r="J648" s="721" t="n">
        <v>79.83</v>
      </c>
      <c r="K648" s="722" t="n">
        <v>0.004024650987297109</v>
      </c>
      <c r="L648" s="721" t="n">
        <v>78.44</v>
      </c>
      <c r="M648" s="722" t="n">
        <v>0.01345742673877509</v>
      </c>
      <c r="N648" s="761" t="n"/>
      <c r="O648" s="762" t="n">
        <v>-4.19</v>
      </c>
      <c r="P648" s="725" t="n">
        <v>-0.00838</v>
      </c>
      <c r="Q648" s="726" t="n">
        <v>-1.015624999999986</v>
      </c>
      <c r="R648" s="764" t="n">
        <v>495.81</v>
      </c>
      <c r="S648" s="719" t="inlineStr">
        <is>
          <t>4H 38M 0S</t>
        </is>
      </c>
      <c r="T648" s="717" t="n"/>
      <c r="U648" s="806" t="n"/>
      <c r="V648" s="807" t="n">
        <v>78.93000000000001</v>
      </c>
      <c r="W648" s="725" t="n">
        <v>0.5799999999999983</v>
      </c>
      <c r="X648" s="722" t="n">
        <v>-0.4900000000000091</v>
      </c>
      <c r="Y648" s="728" t="n"/>
      <c r="Z648" s="729" t="n"/>
      <c r="AA648" s="730" t="n"/>
      <c r="AB648" s="731" t="n"/>
      <c r="AC648" s="732" t="n"/>
      <c r="AD648" s="719" t="inlineStr">
        <is>
          <t>No</t>
        </is>
      </c>
      <c r="AE648" s="733" t="n"/>
      <c r="AF648" s="733" t="n"/>
      <c r="AG648" s="733" t="n"/>
      <c r="AH648" s="733" t="n"/>
      <c r="AI648" s="719" t="inlineStr">
        <is>
          <t>Limit</t>
        </is>
      </c>
      <c r="AJ648" s="733" t="n"/>
      <c r="AK648" s="733" t="n"/>
      <c r="AL648" s="733" t="n"/>
      <c r="AM648" s="733" t="n"/>
      <c r="AN648" s="733" t="n"/>
      <c r="AO648" s="733" t="n"/>
      <c r="AP648" s="719" t="inlineStr">
        <is>
          <t>Pullback</t>
        </is>
      </c>
      <c r="AQ648" s="719" t="inlineStr">
        <is>
          <t>4H</t>
        </is>
      </c>
      <c r="AR648" s="719" t="inlineStr">
        <is>
          <t>No</t>
        </is>
      </c>
      <c r="AS648" s="733" t="n"/>
      <c r="AT648" s="733" t="n"/>
      <c r="AU648" s="733" t="n"/>
      <c r="AV648" s="733" t="n"/>
      <c r="AW648" s="719" t="inlineStr">
        <is>
          <t>trade</t>
        </is>
      </c>
      <c r="AX648" s="734" t="inlineStr">
        <is>
          <t>sig:3244b47e4c6b0ad326056721</t>
        </is>
      </c>
    </row>
    <row r="649" ht="15" customHeight="1">
      <c r="A649" s="716" t="inlineStr">
        <is>
          <t>C54</t>
        </is>
      </c>
      <c r="B649" s="717" t="n">
        <v>44042.56111111111</v>
      </c>
      <c r="C649" s="718" t="n">
        <v>44045.43611111111</v>
      </c>
      <c r="D649" s="719" t="inlineStr">
        <is>
          <t>BINANCE</t>
        </is>
      </c>
      <c r="E649" s="719" t="inlineStr">
        <is>
          <t>STMXUSDT</t>
        </is>
      </c>
      <c r="F649" s="719" t="inlineStr">
        <is>
          <t>BUY</t>
        </is>
      </c>
      <c r="G649" s="720" t="n">
        <v>5325</v>
      </c>
      <c r="H649" s="757" t="n">
        <v>0.003241</v>
      </c>
      <c r="I649" s="757" t="n">
        <v>0.002866</v>
      </c>
      <c r="J649" s="798" t="n">
        <v>0.002866</v>
      </c>
      <c r="K649" s="722" t="n">
        <v>0.1157050293119407</v>
      </c>
      <c r="L649" s="798" t="n">
        <v>0.00437</v>
      </c>
      <c r="M649" s="722" t="n">
        <v>0.3483492749151496</v>
      </c>
      <c r="N649" s="723" t="n">
        <v>0.02461853</v>
      </c>
      <c r="O649" s="724" t="n">
        <v>-2.02149353</v>
      </c>
      <c r="P649" s="725" t="n">
        <v>-0.009605011108052482</v>
      </c>
      <c r="Q649" s="726" t="n">
        <v>-1</v>
      </c>
      <c r="R649" s="727" t="n">
        <v>208.44088983</v>
      </c>
      <c r="S649" s="719" t="inlineStr">
        <is>
          <t>2D 21H 0M 0S</t>
        </is>
      </c>
      <c r="T649" s="728" t="n"/>
      <c r="U649" s="729" t="n"/>
      <c r="V649" s="822" t="n">
        <v>0.00389</v>
      </c>
      <c r="W649" s="725" t="n">
        <v>0.2002468373958654</v>
      </c>
      <c r="X649" s="722" t="n">
        <v>0.110043468313887</v>
      </c>
      <c r="Y649" s="728" t="n"/>
      <c r="Z649" s="729" t="n"/>
      <c r="AA649" s="730" t="n"/>
      <c r="AB649" s="731" t="n"/>
      <c r="AC649" s="732" t="n"/>
      <c r="AD649" s="719" t="inlineStr">
        <is>
          <t>No</t>
        </is>
      </c>
      <c r="AE649" s="733" t="n"/>
      <c r="AF649" s="733" t="n"/>
      <c r="AG649" s="733" t="n"/>
      <c r="AH649" s="733" t="n"/>
      <c r="AI649" s="719" t="inlineStr">
        <is>
          <t>Limit</t>
        </is>
      </c>
      <c r="AJ649" s="733" t="n"/>
      <c r="AK649" s="733" t="n"/>
      <c r="AL649" s="733" t="n"/>
      <c r="AM649" s="733" t="n"/>
      <c r="AN649" s="733" t="n"/>
      <c r="AO649" s="733" t="n"/>
      <c r="AP649" s="719" t="inlineStr">
        <is>
          <t>Pullback</t>
        </is>
      </c>
      <c r="AQ649" s="719" t="inlineStr">
        <is>
          <t>4H</t>
        </is>
      </c>
      <c r="AR649" s="719" t="inlineStr">
        <is>
          <t>No</t>
        </is>
      </c>
      <c r="AS649" s="733" t="n"/>
      <c r="AT649" s="733" t="n"/>
      <c r="AU649" s="733" t="n"/>
      <c r="AV649" s="733" t="n"/>
      <c r="AW649" s="719" t="inlineStr">
        <is>
          <t>trade</t>
        </is>
      </c>
      <c r="AX649" s="734" t="inlineStr">
        <is>
          <t>sig:26ab1fc7f8b3080e3fd18878</t>
        </is>
      </c>
    </row>
    <row r="650" ht="15" customHeight="1">
      <c r="A650" s="42" t="n"/>
      <c r="B650" s="770" t="n">
        <v>44045</v>
      </c>
      <c r="C650" s="771" t="n">
        <v>44045</v>
      </c>
      <c r="D650" s="12" t="inlineStr">
        <is>
          <t>PEPPERSTONE DEMO</t>
        </is>
      </c>
      <c r="E650" s="12" t="inlineStr">
        <is>
          <t>CASHFLOW</t>
        </is>
      </c>
      <c r="F650" s="12" t="inlineStr">
        <is>
          <t>WITHDRAWAL</t>
        </is>
      </c>
      <c r="G650" s="262" t="n"/>
      <c r="H650" s="262" t="n"/>
      <c r="I650" s="262" t="n"/>
      <c r="J650" s="263" t="n"/>
      <c r="K650" s="36" t="n"/>
      <c r="L650" s="263" t="n"/>
      <c r="M650" s="36" t="n"/>
      <c r="N650" s="772" t="n"/>
      <c r="O650" s="773" t="n"/>
      <c r="P650" s="3" t="n"/>
      <c r="Q650" s="51" t="n"/>
      <c r="R650" s="54" t="n">
        <v>0</v>
      </c>
      <c r="S650" s="12" t="n"/>
      <c r="T650" s="770" t="n"/>
      <c r="U650" s="4" t="n"/>
      <c r="V650" s="269" t="n"/>
      <c r="W650" s="3" t="n"/>
      <c r="X650" s="36" t="n"/>
      <c r="Y650" s="774" t="n"/>
      <c r="Z650" s="6" t="n"/>
      <c r="AA650" s="264" t="n"/>
      <c r="AB650" s="9" t="n"/>
      <c r="AC650" s="46" t="n"/>
      <c r="AD650" s="12" t="inlineStr">
        <is>
          <t>No</t>
        </is>
      </c>
      <c r="AE650" s="45" t="n"/>
      <c r="AF650" s="45" t="n"/>
      <c r="AG650" s="45" t="n"/>
      <c r="AH650" s="45" t="n"/>
      <c r="AI650" s="12" t="n"/>
      <c r="AJ650" s="45" t="n"/>
      <c r="AK650" s="45" t="n"/>
      <c r="AL650" s="45" t="n"/>
      <c r="AM650" s="45" t="n"/>
      <c r="AN650" s="45" t="n"/>
      <c r="AO650" s="45" t="n"/>
      <c r="AP650" s="12" t="n"/>
      <c r="AQ650" s="12" t="n"/>
      <c r="AR650" s="12" t="n"/>
      <c r="AS650" s="56" t="inlineStr">
        <is>
          <t>Withdrawal -490.33 AUD. Source: user_txt. Imported from account_cashflows.xlsx row 59.</t>
        </is>
      </c>
      <c r="AT650" s="45" t="n"/>
      <c r="AU650" s="12" t="n">
        <v>0</v>
      </c>
      <c r="AV650" s="12" t="inlineStr">
        <is>
          <t>AUD</t>
        </is>
      </c>
      <c r="AW650" s="12" t="inlineStr">
        <is>
          <t>cashflow</t>
        </is>
      </c>
      <c r="AX650" s="57" t="inlineStr">
        <is>
          <t>cashflow:PEPPERSTONE DEMO:2020-08-02T00:00:00:45</t>
        </is>
      </c>
    </row>
    <row r="651" ht="15" customHeight="1">
      <c r="A651" s="42" t="n"/>
      <c r="B651" s="770" t="n">
        <v>44045</v>
      </c>
      <c r="C651" s="771" t="n">
        <v>44045</v>
      </c>
      <c r="D651" s="12" t="inlineStr">
        <is>
          <t>PEPPERSTONE DEMO</t>
        </is>
      </c>
      <c r="E651" s="12" t="inlineStr">
        <is>
          <t>CASHFLOW</t>
        </is>
      </c>
      <c r="F651" s="12" t="inlineStr">
        <is>
          <t>DEPOSIT</t>
        </is>
      </c>
      <c r="G651" s="262" t="n"/>
      <c r="H651" s="262" t="n"/>
      <c r="I651" s="262" t="n"/>
      <c r="J651" s="263" t="n"/>
      <c r="K651" s="36" t="n"/>
      <c r="L651" s="263" t="n"/>
      <c r="M651" s="36" t="n"/>
      <c r="N651" s="779" t="n"/>
      <c r="O651" s="773" t="n"/>
      <c r="P651" s="3" t="n"/>
      <c r="Q651" s="51" t="n"/>
      <c r="R651" s="54" t="n">
        <v>500</v>
      </c>
      <c r="S651" s="12" t="n"/>
      <c r="T651" s="774" t="n"/>
      <c r="U651" s="6" t="n"/>
      <c r="V651" s="269" t="n"/>
      <c r="W651" s="3" t="n"/>
      <c r="X651" s="36" t="n"/>
      <c r="Y651" s="774" t="n"/>
      <c r="Z651" s="6" t="n"/>
      <c r="AA651" s="264" t="n"/>
      <c r="AB651" s="9" t="n"/>
      <c r="AC651" s="46" t="n"/>
      <c r="AD651" s="12" t="inlineStr">
        <is>
          <t>No</t>
        </is>
      </c>
      <c r="AE651" s="45" t="n"/>
      <c r="AF651" s="45" t="n"/>
      <c r="AG651" s="45" t="n"/>
      <c r="AH651" s="45" t="n"/>
      <c r="AI651" s="12" t="n"/>
      <c r="AJ651" s="45" t="n"/>
      <c r="AK651" s="45" t="n"/>
      <c r="AL651" s="45" t="n"/>
      <c r="AM651" s="45" t="n"/>
      <c r="AN651" s="45" t="n"/>
      <c r="AO651" s="45" t="n"/>
      <c r="AP651" s="12" t="n"/>
      <c r="AQ651" s="12" t="n"/>
      <c r="AR651" s="12" t="n"/>
      <c r="AS651" s="56" t="inlineStr">
        <is>
          <t>Deposit 500.0 AUD. Source: user_txt. Imported from account_cashflows.xlsx row 60.</t>
        </is>
      </c>
      <c r="AT651" s="45" t="n"/>
      <c r="AU651" s="12" t="n">
        <v>500</v>
      </c>
      <c r="AV651" s="12" t="inlineStr">
        <is>
          <t>AUD</t>
        </is>
      </c>
      <c r="AW651" s="12" t="inlineStr">
        <is>
          <t>cashflow</t>
        </is>
      </c>
      <c r="AX651" s="57" t="inlineStr">
        <is>
          <t>cashflow:PEPPERSTONE DEMO:2020-08-02T00:00:00:46</t>
        </is>
      </c>
    </row>
    <row r="652" ht="15" customHeight="1">
      <c r="A652" s="716" t="inlineStr">
        <is>
          <t>F779</t>
        </is>
      </c>
      <c r="B652" s="717" t="n">
        <v>44041.78402777778</v>
      </c>
      <c r="C652" s="718" t="n">
        <v>44044.03819444445</v>
      </c>
      <c r="D652" s="719" t="inlineStr">
        <is>
          <t>PEPPERSTONE DEMO</t>
        </is>
      </c>
      <c r="E652" s="719" t="inlineStr">
        <is>
          <t>EURCHF</t>
        </is>
      </c>
      <c r="F652" s="719" t="inlineStr">
        <is>
          <t>BUY</t>
        </is>
      </c>
      <c r="G652" s="735" t="n">
        <v>0.02</v>
      </c>
      <c r="H652" s="720" t="n">
        <v>1.07507</v>
      </c>
      <c r="I652" s="720" t="n">
        <v>1.07507</v>
      </c>
      <c r="J652" s="721" t="n">
        <v>1.0726</v>
      </c>
      <c r="K652" s="722" t="n">
        <v>0.002297524812337776</v>
      </c>
      <c r="L652" s="721" t="n">
        <v>1.0823</v>
      </c>
      <c r="M652" s="722" t="n">
        <v>0.006725143479029337</v>
      </c>
      <c r="N652" s="761" t="n">
        <v>0.13</v>
      </c>
      <c r="O652" s="762" t="n">
        <v>-0.13</v>
      </c>
      <c r="P652" s="763" t="n">
        <v>-0.0002650572931533662</v>
      </c>
      <c r="Q652" s="726" t="n">
        <v>0</v>
      </c>
      <c r="R652" s="764" t="n">
        <v>490.33</v>
      </c>
      <c r="S652" s="719" t="inlineStr">
        <is>
          <t>2D 6H 6M 0S</t>
        </is>
      </c>
      <c r="T652" s="717" t="n">
        <v>44043.87847222222</v>
      </c>
      <c r="U652" s="806" t="inlineStr">
        <is>
          <t>2D 2H 16M 0S</t>
        </is>
      </c>
      <c r="V652" s="807" t="n">
        <v>1.0788</v>
      </c>
      <c r="W652" s="725" t="n">
        <v>-0.003730000000000011</v>
      </c>
      <c r="X652" s="722" t="n">
        <v>0.003500000000000059</v>
      </c>
      <c r="Y652" s="728" t="n"/>
      <c r="Z652" s="729" t="n"/>
      <c r="AA652" s="730" t="n"/>
      <c r="AB652" s="731" t="n"/>
      <c r="AC652" s="732" t="n"/>
      <c r="AD652" s="719" t="inlineStr">
        <is>
          <t>No</t>
        </is>
      </c>
      <c r="AE652" s="733" t="n"/>
      <c r="AF652" s="733" t="n"/>
      <c r="AG652" s="733" t="n"/>
      <c r="AH652" s="733" t="n"/>
      <c r="AI652" s="719" t="inlineStr">
        <is>
          <t>Limit</t>
        </is>
      </c>
      <c r="AJ652" s="733" t="n"/>
      <c r="AK652" s="733" t="n"/>
      <c r="AL652" s="733" t="n"/>
      <c r="AM652" s="733" t="n"/>
      <c r="AN652" s="733" t="n"/>
      <c r="AO652" s="733" t="n"/>
      <c r="AP652" s="719" t="inlineStr">
        <is>
          <t>Pullback</t>
        </is>
      </c>
      <c r="AQ652" s="719" t="inlineStr">
        <is>
          <t>4H</t>
        </is>
      </c>
      <c r="AR652" s="719" t="inlineStr">
        <is>
          <t>No</t>
        </is>
      </c>
      <c r="AS652" s="733" t="n"/>
      <c r="AT652" s="733" t="n"/>
      <c r="AU652" s="733" t="n"/>
      <c r="AV652" s="733" t="n"/>
      <c r="AW652" s="719" t="inlineStr">
        <is>
          <t>trade</t>
        </is>
      </c>
      <c r="AX652" s="734" t="inlineStr">
        <is>
          <t>sig:64b2b32921ebe2534e69eca1</t>
        </is>
      </c>
    </row>
    <row r="653" ht="15" customHeight="1">
      <c r="A653" s="716" t="inlineStr">
        <is>
          <t>C82</t>
        </is>
      </c>
      <c r="B653" s="717" t="n">
        <v>44040.03541666667</v>
      </c>
      <c r="C653" s="718" t="n">
        <v>44043.00555555556</v>
      </c>
      <c r="D653" s="719" t="inlineStr">
        <is>
          <t>BINANCE</t>
        </is>
      </c>
      <c r="E653" s="719" t="inlineStr">
        <is>
          <t>ERDUSDT</t>
        </is>
      </c>
      <c r="F653" s="719" t="inlineStr">
        <is>
          <t>BUY</t>
        </is>
      </c>
      <c r="G653" s="720" t="n">
        <v>737</v>
      </c>
      <c r="H653" s="735" t="n">
        <v>0.022983</v>
      </c>
      <c r="I653" s="735" t="n">
        <v>0.022983</v>
      </c>
      <c r="J653" s="736" t="n">
        <v>0.020273</v>
      </c>
      <c r="K653" s="722" t="n">
        <v>0.117913240221033</v>
      </c>
      <c r="L653" s="736" t="n">
        <v>0.03115</v>
      </c>
      <c r="M653" s="722" t="n">
        <v>0.3553496062306923</v>
      </c>
      <c r="N653" s="723" t="n">
        <v>0.02568881</v>
      </c>
      <c r="O653" s="777" t="n">
        <v>-0.02568881</v>
      </c>
      <c r="P653" s="763" t="n">
        <v>-0.000122044017673612</v>
      </c>
      <c r="Q653" s="726" t="n">
        <v>0</v>
      </c>
      <c r="R653" s="727" t="n">
        <v>210.46238336</v>
      </c>
      <c r="S653" s="719" t="inlineStr">
        <is>
          <t>2D 23H 17M 0S</t>
        </is>
      </c>
      <c r="T653" s="717" t="n">
        <v>44039.78194444445</v>
      </c>
      <c r="U653" s="806" t="inlineStr">
        <is>
          <t>3H 54M 4S</t>
        </is>
      </c>
      <c r="V653" s="817" t="n">
        <v>0.026988</v>
      </c>
      <c r="W653" s="725" t="n">
        <v>0.1742592350868034</v>
      </c>
      <c r="X653" s="722" t="n">
        <v>0.1336393695226477</v>
      </c>
      <c r="Y653" s="728" t="n"/>
      <c r="Z653" s="729" t="n"/>
      <c r="AA653" s="730" t="n"/>
      <c r="AB653" s="731" t="n"/>
      <c r="AC653" s="732" t="n"/>
      <c r="AD653" s="719" t="inlineStr">
        <is>
          <t>No</t>
        </is>
      </c>
      <c r="AE653" s="733" t="n"/>
      <c r="AF653" s="733" t="n"/>
      <c r="AG653" s="733" t="n"/>
      <c r="AH653" s="733" t="n"/>
      <c r="AI653" s="719" t="inlineStr">
        <is>
          <t>Limit</t>
        </is>
      </c>
      <c r="AJ653" s="733" t="n"/>
      <c r="AK653" s="733" t="n"/>
      <c r="AL653" s="733" t="n"/>
      <c r="AM653" s="733" t="n"/>
      <c r="AN653" s="733" t="n"/>
      <c r="AO653" s="733" t="n"/>
      <c r="AP653" s="719" t="inlineStr">
        <is>
          <t>Pullback</t>
        </is>
      </c>
      <c r="AQ653" s="719" t="inlineStr">
        <is>
          <t>4H</t>
        </is>
      </c>
      <c r="AR653" s="719" t="inlineStr">
        <is>
          <t>No</t>
        </is>
      </c>
      <c r="AS653" s="733" t="n"/>
      <c r="AT653" s="733" t="n"/>
      <c r="AU653" s="733" t="n"/>
      <c r="AV653" s="733" t="n"/>
      <c r="AW653" s="719" t="inlineStr">
        <is>
          <t>trade</t>
        </is>
      </c>
      <c r="AX653" s="734" t="inlineStr">
        <is>
          <t>sig:390033add169cb75cc182fb7</t>
        </is>
      </c>
    </row>
    <row r="654" ht="15" customHeight="1">
      <c r="A654" s="716" t="inlineStr">
        <is>
          <t>F778</t>
        </is>
      </c>
      <c r="B654" s="717" t="n">
        <v>44040.80069444444</v>
      </c>
      <c r="C654" s="718" t="n">
        <v>44041.425</v>
      </c>
      <c r="D654" s="719" t="inlineStr">
        <is>
          <t>PEPPERSTONE DEMO</t>
        </is>
      </c>
      <c r="E654" s="719" t="inlineStr">
        <is>
          <t>EURAUD</t>
        </is>
      </c>
      <c r="F654" s="719" t="inlineStr">
        <is>
          <t>BUY</t>
        </is>
      </c>
      <c r="G654" s="735" t="n">
        <v>0.01</v>
      </c>
      <c r="H654" s="720" t="n">
        <v>1.6402</v>
      </c>
      <c r="I654" s="720" t="n">
        <v>1.6353</v>
      </c>
      <c r="J654" s="721" t="n">
        <v>1.6353</v>
      </c>
      <c r="K654" s="722" t="n">
        <v>0.002987440556029829</v>
      </c>
      <c r="L654" s="721" t="n">
        <v>1.6551</v>
      </c>
      <c r="M654" s="722" t="n">
        <v>0.009084258017314908</v>
      </c>
      <c r="N654" s="792" t="n">
        <v>0.06</v>
      </c>
      <c r="O654" s="762" t="n">
        <v>-5</v>
      </c>
      <c r="P654" s="725" t="n">
        <v>-0.01009163201873007</v>
      </c>
      <c r="Q654" s="726" t="n">
        <v>-1</v>
      </c>
      <c r="R654" s="764" t="n">
        <v>490.46</v>
      </c>
      <c r="S654" s="719" t="inlineStr">
        <is>
          <t>14H 59M 0S</t>
        </is>
      </c>
      <c r="T654" s="717" t="n"/>
      <c r="U654" s="806" t="n"/>
      <c r="V654" s="807" t="n">
        <v>1.6482</v>
      </c>
      <c r="W654" s="725" t="n">
        <v>-0.008000000000000007</v>
      </c>
      <c r="X654" s="722" t="n">
        <v>0.006899999999999906</v>
      </c>
      <c r="Y654" s="728" t="n"/>
      <c r="Z654" s="729" t="n"/>
      <c r="AA654" s="730" t="n"/>
      <c r="AB654" s="731" t="n"/>
      <c r="AC654" s="732" t="n"/>
      <c r="AD654" s="719" t="inlineStr">
        <is>
          <t>No</t>
        </is>
      </c>
      <c r="AE654" s="733" t="n"/>
      <c r="AF654" s="733" t="n"/>
      <c r="AG654" s="733" t="n"/>
      <c r="AH654" s="733" t="n"/>
      <c r="AI654" s="719" t="inlineStr">
        <is>
          <t>Limit</t>
        </is>
      </c>
      <c r="AJ654" s="733" t="n"/>
      <c r="AK654" s="719" t="n"/>
      <c r="AL654" s="733" t="n"/>
      <c r="AM654" s="733" t="n"/>
      <c r="AN654" s="733" t="n"/>
      <c r="AO654" s="733" t="n"/>
      <c r="AP654" s="719" t="inlineStr">
        <is>
          <t>Pullback</t>
        </is>
      </c>
      <c r="AQ654" s="719" t="inlineStr">
        <is>
          <t>4H</t>
        </is>
      </c>
      <c r="AR654" s="719" t="inlineStr">
        <is>
          <t>No</t>
        </is>
      </c>
      <c r="AS654" s="733" t="n"/>
      <c r="AT654" s="733" t="n"/>
      <c r="AU654" s="733" t="n"/>
      <c r="AV654" s="733" t="n"/>
      <c r="AW654" s="719" t="inlineStr">
        <is>
          <t>trade</t>
        </is>
      </c>
      <c r="AX654" s="734" t="inlineStr">
        <is>
          <t>sig:338a271fb8493862ee72cd62</t>
        </is>
      </c>
    </row>
    <row r="655" ht="15" customHeight="1">
      <c r="A655" s="716" t="inlineStr">
        <is>
          <t>C81</t>
        </is>
      </c>
      <c r="B655" s="717" t="n">
        <v>44037.09097222222</v>
      </c>
      <c r="C655" s="718" t="n">
        <v>44038.89652777778</v>
      </c>
      <c r="D655" s="719" t="inlineStr">
        <is>
          <t>BINANCE</t>
        </is>
      </c>
      <c r="E655" s="719" t="inlineStr">
        <is>
          <t>FUNUSDT</t>
        </is>
      </c>
      <c r="F655" s="719" t="inlineStr">
        <is>
          <t>BUY</t>
        </is>
      </c>
      <c r="G655" s="720" t="n">
        <v>5129</v>
      </c>
      <c r="H655" s="757" t="n">
        <v>0.004714</v>
      </c>
      <c r="I655" s="757" t="n">
        <v>0.004351</v>
      </c>
      <c r="J655" s="798" t="n">
        <v>0.004321</v>
      </c>
      <c r="K655" s="722" t="n">
        <v>0.08336868901145526</v>
      </c>
      <c r="L655" s="798" t="n">
        <v>0.0059</v>
      </c>
      <c r="M655" s="722" t="n">
        <v>0.2515910055154857</v>
      </c>
      <c r="N655" s="723" t="n">
        <v>0.03508035</v>
      </c>
      <c r="O655" s="724" t="n">
        <v>-1.89690735</v>
      </c>
      <c r="P655" s="725" t="n">
        <v>-0.008931457178784956</v>
      </c>
      <c r="Q655" s="726" t="n">
        <v>-0.9236641221374055</v>
      </c>
      <c r="R655" s="727" t="n">
        <v>210.48807217</v>
      </c>
      <c r="S655" s="719" t="inlineStr">
        <is>
          <t>1D 19H 20M 0S</t>
        </is>
      </c>
      <c r="T655" s="717" t="n"/>
      <c r="U655" s="806" t="n"/>
      <c r="V655" s="822" t="n">
        <v>0.005257</v>
      </c>
      <c r="W655" s="725" t="n">
        <v>0.115188799321171</v>
      </c>
      <c r="X655" s="722" t="n">
        <v>0.1083785617367707</v>
      </c>
      <c r="Y655" s="728" t="n"/>
      <c r="Z655" s="729" t="n"/>
      <c r="AA655" s="730" t="n"/>
      <c r="AB655" s="731" t="n"/>
      <c r="AC655" s="732" t="n"/>
      <c r="AD655" s="719" t="inlineStr">
        <is>
          <t>No</t>
        </is>
      </c>
      <c r="AE655" s="733" t="n"/>
      <c r="AF655" s="733" t="n"/>
      <c r="AG655" s="733" t="n"/>
      <c r="AH655" s="733" t="n"/>
      <c r="AI655" s="719" t="inlineStr">
        <is>
          <t>Limit</t>
        </is>
      </c>
      <c r="AJ655" s="733" t="n"/>
      <c r="AK655" s="733" t="n"/>
      <c r="AL655" s="733" t="n"/>
      <c r="AM655" s="733" t="n"/>
      <c r="AN655" s="733" t="n"/>
      <c r="AO655" s="733" t="n"/>
      <c r="AP655" s="719" t="inlineStr">
        <is>
          <t>Pullback</t>
        </is>
      </c>
      <c r="AQ655" s="719" t="inlineStr">
        <is>
          <t>4H</t>
        </is>
      </c>
      <c r="AR655" s="719" t="inlineStr">
        <is>
          <t>No</t>
        </is>
      </c>
      <c r="AS655" s="733" t="n"/>
      <c r="AT655" s="733" t="n"/>
      <c r="AU655" s="733" t="n"/>
      <c r="AV655" s="733" t="n"/>
      <c r="AW655" s="719" t="inlineStr">
        <is>
          <t>trade</t>
        </is>
      </c>
      <c r="AX655" s="734" t="inlineStr">
        <is>
          <t>sig:83598593439d3614aaf03430</t>
        </is>
      </c>
    </row>
    <row r="656" ht="15" customHeight="1">
      <c r="A656" s="737" t="inlineStr">
        <is>
          <t>F777</t>
        </is>
      </c>
      <c r="B656" s="738" t="n">
        <v>44035.90972222222</v>
      </c>
      <c r="C656" s="739" t="n">
        <v>44036.96388888889</v>
      </c>
      <c r="D656" s="740" t="inlineStr">
        <is>
          <t>PEPPERSTONE DEMO</t>
        </is>
      </c>
      <c r="E656" s="740" t="inlineStr">
        <is>
          <t>GBPCAD</t>
        </is>
      </c>
      <c r="F656" s="740" t="inlineStr">
        <is>
          <t>BUY</t>
        </is>
      </c>
      <c r="G656" s="775" t="n">
        <v>0.01</v>
      </c>
      <c r="H656" s="742" t="n">
        <v>1.6988</v>
      </c>
      <c r="I656" s="742" t="n">
        <v>1.71353</v>
      </c>
      <c r="J656" s="743" t="n">
        <v>1.6942</v>
      </c>
      <c r="K656" s="744" t="n">
        <v>0.00270779373675545</v>
      </c>
      <c r="L656" s="743" t="n">
        <v>1.7135</v>
      </c>
      <c r="M656" s="744" t="n">
        <v>0.008653166941370341</v>
      </c>
      <c r="N656" s="808" t="n">
        <v>0.05</v>
      </c>
      <c r="O656" s="767" t="n">
        <v>15.38</v>
      </c>
      <c r="P656" s="747" t="n">
        <v>0.03203632727878687</v>
      </c>
      <c r="Q656" s="748" t="n">
        <v>3.202173913043348</v>
      </c>
      <c r="R656" s="769" t="n">
        <v>495.46</v>
      </c>
      <c r="S656" s="740" t="inlineStr">
        <is>
          <t>1D 1H 18M 0S</t>
        </is>
      </c>
      <c r="T656" s="738" t="n">
        <v>44036.04027777778</v>
      </c>
      <c r="U656" s="809" t="inlineStr">
        <is>
          <t>3H 8M 0S</t>
        </is>
      </c>
      <c r="V656" s="810" t="n">
        <v>1.7069</v>
      </c>
      <c r="W656" s="747" t="n">
        <v>-0.008099999999999996</v>
      </c>
      <c r="X656" s="744" t="n">
        <v>0.006599999999999939</v>
      </c>
      <c r="Y656" s="750" t="n"/>
      <c r="Z656" s="751" t="n"/>
      <c r="AA656" s="752" t="n"/>
      <c r="AB656" s="753" t="n"/>
      <c r="AC656" s="754" t="n"/>
      <c r="AD656" s="740" t="inlineStr">
        <is>
          <t>No</t>
        </is>
      </c>
      <c r="AE656" s="755" t="n"/>
      <c r="AF656" s="755" t="n"/>
      <c r="AG656" s="755" t="n"/>
      <c r="AH656" s="755" t="n"/>
      <c r="AI656" s="740" t="inlineStr">
        <is>
          <t>Limit</t>
        </is>
      </c>
      <c r="AJ656" s="755" t="n"/>
      <c r="AK656" s="755" t="n"/>
      <c r="AL656" s="755" t="n"/>
      <c r="AM656" s="755" t="n"/>
      <c r="AN656" s="755" t="n"/>
      <c r="AO656" s="755" t="n"/>
      <c r="AP656" s="740" t="inlineStr">
        <is>
          <t>Pullback</t>
        </is>
      </c>
      <c r="AQ656" s="740" t="inlineStr">
        <is>
          <t>4H</t>
        </is>
      </c>
      <c r="AR656" s="740" t="inlineStr">
        <is>
          <t>No</t>
        </is>
      </c>
      <c r="AS656" s="755" t="n"/>
      <c r="AT656" s="755" t="n"/>
      <c r="AU656" s="755" t="n"/>
      <c r="AV656" s="755" t="n"/>
      <c r="AW656" s="740" t="inlineStr">
        <is>
          <t>trade</t>
        </is>
      </c>
      <c r="AX656" s="756" t="inlineStr">
        <is>
          <t>sig:89dbd7abac775831def45e65</t>
        </is>
      </c>
    </row>
    <row r="657" ht="15" customHeight="1">
      <c r="A657" s="716" t="inlineStr">
        <is>
          <t>C80</t>
        </is>
      </c>
      <c r="B657" s="717" t="n">
        <v>44030.5</v>
      </c>
      <c r="C657" s="718" t="n">
        <v>44033.23888888889</v>
      </c>
      <c r="D657" s="719" t="inlineStr">
        <is>
          <t>BINANCE</t>
        </is>
      </c>
      <c r="E657" s="719" t="inlineStr">
        <is>
          <t>RLCUSDT</t>
        </is>
      </c>
      <c r="F657" s="719" t="inlineStr">
        <is>
          <t>BUY</t>
        </is>
      </c>
      <c r="G657" s="720" t="n">
        <v>9.84</v>
      </c>
      <c r="H657" s="720" t="n">
        <v>1.613</v>
      </c>
      <c r="I657" s="720" t="n">
        <v>1.4143</v>
      </c>
      <c r="J657" s="721" t="n">
        <v>1.4143</v>
      </c>
      <c r="K657" s="722" t="n">
        <v>0.1231866088034718</v>
      </c>
      <c r="L657" s="721" t="n">
        <v>2.21</v>
      </c>
      <c r="M657" s="722" t="n">
        <v>0.370117792932424</v>
      </c>
      <c r="N657" s="723" t="n">
        <v>0.02246489</v>
      </c>
      <c r="O657" s="724" t="n">
        <v>-1.97767289</v>
      </c>
      <c r="P657" s="725" t="n">
        <v>-0.009225827669912442</v>
      </c>
      <c r="Q657" s="726" t="n">
        <v>-1</v>
      </c>
      <c r="R657" s="727" t="n">
        <v>212.3849795199999</v>
      </c>
      <c r="S657" s="719" t="inlineStr">
        <is>
          <t>2D 17H 44M 0S</t>
        </is>
      </c>
      <c r="T657" s="728" t="n"/>
      <c r="U657" s="729" t="n"/>
      <c r="V657" s="807" t="n">
        <v>1.9493</v>
      </c>
      <c r="W657" s="725" t="n">
        <v>0.2084934903905766</v>
      </c>
      <c r="X657" s="722" t="n">
        <v>0.1179638009049774</v>
      </c>
      <c r="Y657" s="728" t="n"/>
      <c r="Z657" s="729" t="n"/>
      <c r="AA657" s="730" t="n"/>
      <c r="AB657" s="731" t="n"/>
      <c r="AC657" s="732" t="n"/>
      <c r="AD657" s="719" t="inlineStr">
        <is>
          <t>No</t>
        </is>
      </c>
      <c r="AE657" s="733" t="n"/>
      <c r="AF657" s="733" t="n"/>
      <c r="AG657" s="733" t="n"/>
      <c r="AH657" s="733" t="n"/>
      <c r="AI657" s="719" t="inlineStr">
        <is>
          <t>Limit</t>
        </is>
      </c>
      <c r="AJ657" s="733" t="n"/>
      <c r="AK657" s="733" t="n"/>
      <c r="AL657" s="733" t="n"/>
      <c r="AM657" s="733" t="n"/>
      <c r="AN657" s="733" t="n"/>
      <c r="AO657" s="733" t="n"/>
      <c r="AP657" s="719" t="inlineStr">
        <is>
          <t>Pullback</t>
        </is>
      </c>
      <c r="AQ657" s="719" t="inlineStr">
        <is>
          <t>4H</t>
        </is>
      </c>
      <c r="AR657" s="719" t="inlineStr">
        <is>
          <t>No</t>
        </is>
      </c>
      <c r="AS657" s="733" t="n"/>
      <c r="AT657" s="733" t="n"/>
      <c r="AU657" s="733" t="n"/>
      <c r="AV657" s="733" t="n"/>
      <c r="AW657" s="719" t="inlineStr">
        <is>
          <t>trade</t>
        </is>
      </c>
      <c r="AX657" s="734" t="inlineStr">
        <is>
          <t>sig:1bbe3826c7fc68ebed5bf5ba</t>
        </is>
      </c>
    </row>
    <row r="658" ht="15" customHeight="1">
      <c r="A658" s="737" t="inlineStr">
        <is>
          <t>C79</t>
        </is>
      </c>
      <c r="B658" s="738" t="n">
        <v>44029.57777777778</v>
      </c>
      <c r="C658" s="739" t="n">
        <v>44031.64722222222</v>
      </c>
      <c r="D658" s="740" t="inlineStr">
        <is>
          <t>BINANCE</t>
        </is>
      </c>
      <c r="E658" s="740" t="inlineStr">
        <is>
          <t>ONTUSDT</t>
        </is>
      </c>
      <c r="F658" s="740" t="inlineStr">
        <is>
          <t>BUY</t>
        </is>
      </c>
      <c r="G658" s="742" t="n">
        <v>114.36</v>
      </c>
      <c r="H658" s="742" t="n">
        <v>0.7161</v>
      </c>
      <c r="I658" s="742" t="n">
        <v>0.7858000000000001</v>
      </c>
      <c r="J658" s="743" t="n">
        <v>0.699</v>
      </c>
      <c r="K658" s="744" t="n">
        <v>0.02387934645999163</v>
      </c>
      <c r="L658" s="743" t="n">
        <v>0.7858000000000001</v>
      </c>
      <c r="M658" s="744" t="n">
        <v>0.09733277475212973</v>
      </c>
      <c r="N658" s="745" t="n">
        <v>0.12931906</v>
      </c>
      <c r="O658" s="746" t="n">
        <v>7.84157294</v>
      </c>
      <c r="P658" s="747" t="n">
        <v>0.03796984288540432</v>
      </c>
      <c r="Q658" s="748" t="n">
        <v>4.07602339181287</v>
      </c>
      <c r="R658" s="749" t="n">
        <v>214.36265241</v>
      </c>
      <c r="S658" s="740" t="inlineStr">
        <is>
          <t>2D 1H 40M 0S</t>
        </is>
      </c>
      <c r="T658" s="738" t="n">
        <v>44029.79583333333</v>
      </c>
      <c r="U658" s="809" t="inlineStr">
        <is>
          <t>15H 13M 59S</t>
        </is>
      </c>
      <c r="V658" s="810" t="n">
        <v>0.7517</v>
      </c>
      <c r="W658" s="747" t="n">
        <v>0.04971372713308208</v>
      </c>
      <c r="X658" s="744" t="n">
        <v>0.043395265970985</v>
      </c>
      <c r="Y658" s="750" t="n"/>
      <c r="Z658" s="751" t="n"/>
      <c r="AA658" s="752" t="n"/>
      <c r="AB658" s="753" t="n"/>
      <c r="AC658" s="754" t="n"/>
      <c r="AD658" s="740" t="inlineStr">
        <is>
          <t>No</t>
        </is>
      </c>
      <c r="AE658" s="755" t="n"/>
      <c r="AF658" s="755" t="n"/>
      <c r="AG658" s="755" t="n"/>
      <c r="AH658" s="755" t="n"/>
      <c r="AI658" s="740" t="inlineStr">
        <is>
          <t>Limit</t>
        </is>
      </c>
      <c r="AJ658" s="755" t="n"/>
      <c r="AK658" s="755" t="n"/>
      <c r="AL658" s="755" t="n"/>
      <c r="AM658" s="755" t="n"/>
      <c r="AN658" s="755" t="n"/>
      <c r="AO658" s="755" t="n"/>
      <c r="AP658" s="740" t="inlineStr">
        <is>
          <t>Pullback</t>
        </is>
      </c>
      <c r="AQ658" s="740" t="inlineStr">
        <is>
          <t>4H</t>
        </is>
      </c>
      <c r="AR658" s="740" t="inlineStr">
        <is>
          <t>No</t>
        </is>
      </c>
      <c r="AS658" s="755" t="n"/>
      <c r="AT658" s="755" t="n"/>
      <c r="AU658" s="755" t="n"/>
      <c r="AV658" s="755" t="n"/>
      <c r="AW658" s="740" t="inlineStr">
        <is>
          <t>trade</t>
        </is>
      </c>
      <c r="AX658" s="756" t="inlineStr">
        <is>
          <t>sig:cafbff26675a60ea47a8f681</t>
        </is>
      </c>
    </row>
    <row r="659" ht="15" customHeight="1">
      <c r="A659" s="716" t="inlineStr">
        <is>
          <t>F776</t>
        </is>
      </c>
      <c r="B659" s="717" t="n">
        <v>44029.91041666667</v>
      </c>
      <c r="C659" s="718" t="n">
        <v>44030.09652777778</v>
      </c>
      <c r="D659" s="719" t="inlineStr">
        <is>
          <t>PEPPERSTONE DEMO</t>
        </is>
      </c>
      <c r="E659" s="719" t="inlineStr">
        <is>
          <t>CADCHF</t>
        </is>
      </c>
      <c r="F659" s="719" t="inlineStr">
        <is>
          <t>BUY</t>
        </is>
      </c>
      <c r="G659" s="735" t="n">
        <v>0.02</v>
      </c>
      <c r="H659" s="720" t="n">
        <v>0.6932</v>
      </c>
      <c r="I659" s="720" t="n">
        <v>0.69126</v>
      </c>
      <c r="J659" s="721" t="n">
        <v>0.6912</v>
      </c>
      <c r="K659" s="722" t="n">
        <v>0.00288517022504328</v>
      </c>
      <c r="L659" s="721" t="n">
        <v>0.6992</v>
      </c>
      <c r="M659" s="722" t="n">
        <v>0.008655510675129839</v>
      </c>
      <c r="N659" s="761" t="n"/>
      <c r="O659" s="762" t="n">
        <v>-6.1</v>
      </c>
      <c r="P659" s="725" t="n">
        <v>-0.01254679336871118</v>
      </c>
      <c r="Q659" s="726" t="n">
        <v>-0.9700000000000255</v>
      </c>
      <c r="R659" s="764" t="n">
        <v>480.08</v>
      </c>
      <c r="S659" s="719" t="inlineStr">
        <is>
          <t>4H 28M 0S</t>
        </is>
      </c>
      <c r="T659" s="728" t="n"/>
      <c r="U659" s="729" t="n"/>
      <c r="V659" s="807" t="n">
        <v>0.6964</v>
      </c>
      <c r="W659" s="725" t="n">
        <v>-0.003199999999999981</v>
      </c>
      <c r="X659" s="722" t="n">
        <v>0.002800000000000025</v>
      </c>
      <c r="Y659" s="728" t="n"/>
      <c r="Z659" s="729" t="n"/>
      <c r="AA659" s="730" t="n"/>
      <c r="AB659" s="731" t="n"/>
      <c r="AC659" s="732" t="n"/>
      <c r="AD659" s="719" t="inlineStr">
        <is>
          <t>No</t>
        </is>
      </c>
      <c r="AE659" s="733" t="n"/>
      <c r="AF659" s="733" t="n"/>
      <c r="AG659" s="733" t="n"/>
      <c r="AH659" s="733" t="n"/>
      <c r="AI659" s="719" t="inlineStr">
        <is>
          <t>Market</t>
        </is>
      </c>
      <c r="AJ659" s="733" t="n"/>
      <c r="AK659" s="733" t="n"/>
      <c r="AL659" s="733" t="n"/>
      <c r="AM659" s="733" t="n"/>
      <c r="AN659" s="733" t="n"/>
      <c r="AO659" s="733" t="n"/>
      <c r="AP659" s="719" t="inlineStr">
        <is>
          <t>Pullback</t>
        </is>
      </c>
      <c r="AQ659" s="719" t="inlineStr">
        <is>
          <t>4H</t>
        </is>
      </c>
      <c r="AR659" s="719" t="inlineStr">
        <is>
          <t>No</t>
        </is>
      </c>
      <c r="AS659" s="733" t="n"/>
      <c r="AT659" s="733" t="n"/>
      <c r="AU659" s="733" t="n"/>
      <c r="AV659" s="733" t="n"/>
      <c r="AW659" s="719" t="inlineStr">
        <is>
          <t>trade</t>
        </is>
      </c>
      <c r="AX659" s="734" t="inlineStr">
        <is>
          <t>sig:ce0ac85778b9700ec109004d</t>
        </is>
      </c>
    </row>
    <row r="660" ht="15" customHeight="1">
      <c r="A660" s="716" t="inlineStr">
        <is>
          <t>F775</t>
        </is>
      </c>
      <c r="B660" s="717" t="n">
        <v>44027.84305555555</v>
      </c>
      <c r="C660" s="718" t="n">
        <v>44029.06805555556</v>
      </c>
      <c r="D660" s="719" t="inlineStr">
        <is>
          <t>PEPPERSTONE DEMO</t>
        </is>
      </c>
      <c r="E660" s="719" t="inlineStr">
        <is>
          <t>EURGBP</t>
        </is>
      </c>
      <c r="F660" s="719" t="inlineStr">
        <is>
          <t>BUY</t>
        </is>
      </c>
      <c r="G660" s="735" t="n">
        <v>0.01</v>
      </c>
      <c r="H660" s="720" t="n">
        <v>0.90566</v>
      </c>
      <c r="I660" s="720" t="n">
        <v>0.90566</v>
      </c>
      <c r="J660" s="721" t="n">
        <v>0.9033</v>
      </c>
      <c r="K660" s="722" t="n">
        <v>0.002605834419097706</v>
      </c>
      <c r="L660" s="721" t="n">
        <v>0.9159</v>
      </c>
      <c r="M660" s="722" t="n">
        <v>0.01130667137777977</v>
      </c>
      <c r="N660" s="761" t="n">
        <v>0.2</v>
      </c>
      <c r="O660" s="762" t="n">
        <v>-0.2</v>
      </c>
      <c r="P660" s="763" t="n">
        <v>-0.0004112011184670423</v>
      </c>
      <c r="Q660" s="726" t="n">
        <v>0</v>
      </c>
      <c r="R660" s="764" t="n">
        <v>486.18</v>
      </c>
      <c r="S660" s="719" t="inlineStr">
        <is>
          <t>1D 5H 24M 0S</t>
        </is>
      </c>
      <c r="T660" s="717" t="n">
        <v>44028.66458333333</v>
      </c>
      <c r="U660" s="806" t="inlineStr">
        <is>
          <t>19H 43M 0S</t>
        </is>
      </c>
      <c r="V660" s="807" t="n">
        <v>0.9114</v>
      </c>
      <c r="W660" s="725" t="n">
        <v>-0.005739999999999967</v>
      </c>
      <c r="X660" s="722" t="n">
        <v>0.00450000000000006</v>
      </c>
      <c r="Y660" s="728" t="n"/>
      <c r="Z660" s="729" t="n"/>
      <c r="AA660" s="730" t="n"/>
      <c r="AB660" s="731" t="n"/>
      <c r="AC660" s="732" t="n"/>
      <c r="AD660" s="719" t="inlineStr">
        <is>
          <t>No</t>
        </is>
      </c>
      <c r="AE660" s="733" t="n"/>
      <c r="AF660" s="733" t="n"/>
      <c r="AG660" s="733" t="n"/>
      <c r="AH660" s="733" t="n"/>
      <c r="AI660" s="719" t="inlineStr">
        <is>
          <t>Limit</t>
        </is>
      </c>
      <c r="AJ660" s="733" t="n"/>
      <c r="AK660" s="733" t="n"/>
      <c r="AL660" s="733" t="n"/>
      <c r="AM660" s="733" t="n"/>
      <c r="AN660" s="733" t="n"/>
      <c r="AO660" s="733" t="n"/>
      <c r="AP660" s="719" t="inlineStr">
        <is>
          <t>Pullback</t>
        </is>
      </c>
      <c r="AQ660" s="719" t="inlineStr">
        <is>
          <t>4H</t>
        </is>
      </c>
      <c r="AR660" s="719" t="inlineStr">
        <is>
          <t>No</t>
        </is>
      </c>
      <c r="AS660" s="733" t="n"/>
      <c r="AT660" s="733" t="n"/>
      <c r="AU660" s="733" t="n"/>
      <c r="AV660" s="733" t="n"/>
      <c r="AW660" s="719" t="inlineStr">
        <is>
          <t>trade</t>
        </is>
      </c>
      <c r="AX660" s="734" t="inlineStr">
        <is>
          <t>sig:4be6c71fb6c3b464dcdb607a</t>
        </is>
      </c>
    </row>
    <row r="661" ht="15" customHeight="1">
      <c r="A661" s="716" t="inlineStr">
        <is>
          <t>C78</t>
        </is>
      </c>
      <c r="B661" s="717" t="n">
        <v>44028.80208333334</v>
      </c>
      <c r="C661" s="718" t="n">
        <v>44028.83263888889</v>
      </c>
      <c r="D661" s="719" t="inlineStr">
        <is>
          <t>BINANCE</t>
        </is>
      </c>
      <c r="E661" s="719" t="inlineStr">
        <is>
          <t>KAVAUSDT</t>
        </is>
      </c>
      <c r="F661" s="719" t="inlineStr">
        <is>
          <t>BUY</t>
        </is>
      </c>
      <c r="G661" s="720" t="n">
        <v>29.93</v>
      </c>
      <c r="H661" s="720" t="n">
        <v>1.9181</v>
      </c>
      <c r="I661" s="720" t="n">
        <v>1.8521</v>
      </c>
      <c r="J661" s="721" t="n">
        <v>1.8521</v>
      </c>
      <c r="K661" s="722" t="n">
        <v>0.03440905062301227</v>
      </c>
      <c r="L661" s="721" t="n">
        <v>2.1194</v>
      </c>
      <c r="M661" s="722" t="n">
        <v>0.1049476044001878</v>
      </c>
      <c r="N661" s="723" t="n">
        <v>0.08470124</v>
      </c>
      <c r="O661" s="724" t="n">
        <v>-2.06008124</v>
      </c>
      <c r="P661" s="725" t="n">
        <v>-0.0098766409822804</v>
      </c>
      <c r="Q661" s="726" t="n">
        <v>-1</v>
      </c>
      <c r="R661" s="727" t="n">
        <v>206.52107947</v>
      </c>
      <c r="S661" s="719" t="inlineStr">
        <is>
          <t>44M 0S</t>
        </is>
      </c>
      <c r="T661" s="728" t="n"/>
      <c r="U661" s="729" t="n"/>
      <c r="V661" s="807" t="n">
        <v>2.0166</v>
      </c>
      <c r="W661" s="725" t="n">
        <v>0.05135290130858664</v>
      </c>
      <c r="X661" s="722" t="n">
        <v>0.04850429366801935</v>
      </c>
      <c r="Y661" s="728" t="n"/>
      <c r="Z661" s="729" t="n"/>
      <c r="AA661" s="730" t="n"/>
      <c r="AB661" s="731" t="n"/>
      <c r="AC661" s="732" t="n"/>
      <c r="AD661" s="719" t="inlineStr">
        <is>
          <t>No</t>
        </is>
      </c>
      <c r="AE661" s="733" t="n"/>
      <c r="AF661" s="733" t="n"/>
      <c r="AG661" s="733" t="n"/>
      <c r="AH661" s="733" t="n"/>
      <c r="AI661" s="719" t="inlineStr">
        <is>
          <t>Limit</t>
        </is>
      </c>
      <c r="AJ661" s="733" t="n"/>
      <c r="AK661" s="733" t="n"/>
      <c r="AL661" s="733" t="n"/>
      <c r="AM661" s="733" t="n"/>
      <c r="AN661" s="733" t="n"/>
      <c r="AO661" s="733" t="n"/>
      <c r="AP661" s="719" t="inlineStr">
        <is>
          <t>Pullback</t>
        </is>
      </c>
      <c r="AQ661" s="719" t="inlineStr">
        <is>
          <t>4H</t>
        </is>
      </c>
      <c r="AR661" s="719" t="inlineStr">
        <is>
          <t>No</t>
        </is>
      </c>
      <c r="AS661" s="733" t="n"/>
      <c r="AT661" s="733" t="n"/>
      <c r="AU661" s="733" t="n"/>
      <c r="AV661" s="733" t="n"/>
      <c r="AW661" s="719" t="inlineStr">
        <is>
          <t>trade</t>
        </is>
      </c>
      <c r="AX661" s="734" t="inlineStr">
        <is>
          <t>sig:3a7d129c24472df130d2a38b</t>
        </is>
      </c>
    </row>
    <row r="662" ht="15" customHeight="1">
      <c r="A662" s="716" t="inlineStr">
        <is>
          <t>C77</t>
        </is>
      </c>
      <c r="B662" s="717" t="n">
        <v>44028.07430555556</v>
      </c>
      <c r="C662" s="718" t="n">
        <v>44028.71944444445</v>
      </c>
      <c r="D662" s="719" t="inlineStr">
        <is>
          <t>BINANCE</t>
        </is>
      </c>
      <c r="E662" s="719" t="inlineStr">
        <is>
          <t>KAVAUSDT</t>
        </is>
      </c>
      <c r="F662" s="719" t="inlineStr">
        <is>
          <t>BUY</t>
        </is>
      </c>
      <c r="G662" s="720" t="n">
        <v>17.01</v>
      </c>
      <c r="H662" s="720" t="n">
        <v>1.9349</v>
      </c>
      <c r="I662" s="720" t="n">
        <v>1.9349</v>
      </c>
      <c r="J662" s="721" t="n">
        <v>1.8188</v>
      </c>
      <c r="K662" s="722" t="n">
        <v>0.0600031009354489</v>
      </c>
      <c r="L662" s="721" t="n">
        <v>2.2873</v>
      </c>
      <c r="M662" s="722" t="n">
        <v>0.1821282753630679</v>
      </c>
      <c r="N662" s="723" t="n">
        <v>0.06252296</v>
      </c>
      <c r="O662" s="777" t="n">
        <v>-0.06252296</v>
      </c>
      <c r="P662" s="763" t="n">
        <v>-0.0002996638043396947</v>
      </c>
      <c r="Q662" s="726" t="n">
        <v>0</v>
      </c>
      <c r="R662" s="727" t="n">
        <v>208.5811607099999</v>
      </c>
      <c r="S662" s="719" t="inlineStr">
        <is>
          <t>15H 29M 0S</t>
        </is>
      </c>
      <c r="T662" s="717" t="n">
        <v>44027.9125</v>
      </c>
      <c r="U662" s="806" t="inlineStr">
        <is>
          <t>6H 6M 34S</t>
        </is>
      </c>
      <c r="V662" s="807" t="n">
        <v>2.0961</v>
      </c>
      <c r="W662" s="725" t="n">
        <v>0.0833117990593828</v>
      </c>
      <c r="X662" s="722" t="n">
        <v>0.0835920080444193</v>
      </c>
      <c r="Y662" s="728" t="n"/>
      <c r="Z662" s="729" t="n"/>
      <c r="AA662" s="730" t="n"/>
      <c r="AB662" s="731" t="n"/>
      <c r="AC662" s="732" t="n"/>
      <c r="AD662" s="719" t="inlineStr">
        <is>
          <t>No</t>
        </is>
      </c>
      <c r="AE662" s="733" t="n"/>
      <c r="AF662" s="733" t="n"/>
      <c r="AG662" s="733" t="n"/>
      <c r="AH662" s="733" t="n"/>
      <c r="AI662" s="719" t="inlineStr">
        <is>
          <t>Limit</t>
        </is>
      </c>
      <c r="AJ662" s="733" t="n"/>
      <c r="AK662" s="719" t="inlineStr">
        <is>
          <t>Yes</t>
        </is>
      </c>
      <c r="AL662" s="733" t="n"/>
      <c r="AM662" s="733" t="n"/>
      <c r="AN662" s="733" t="n"/>
      <c r="AO662" s="733" t="n"/>
      <c r="AP662" s="719" t="inlineStr">
        <is>
          <t>Pullback</t>
        </is>
      </c>
      <c r="AQ662" s="719" t="inlineStr">
        <is>
          <t>4H</t>
        </is>
      </c>
      <c r="AR662" s="719" t="inlineStr">
        <is>
          <t>No</t>
        </is>
      </c>
      <c r="AS662" s="733" t="n"/>
      <c r="AT662" s="733" t="n"/>
      <c r="AU662" s="733" t="n"/>
      <c r="AV662" s="733" t="n"/>
      <c r="AW662" s="719" t="inlineStr">
        <is>
          <t>trade</t>
        </is>
      </c>
      <c r="AX662" s="734" t="inlineStr">
        <is>
          <t>sig:d4324d5a083fc6ba09bae837</t>
        </is>
      </c>
    </row>
    <row r="663" ht="15" customHeight="1">
      <c r="A663" s="737" t="inlineStr">
        <is>
          <t>C76</t>
        </is>
      </c>
      <c r="B663" s="738" t="n">
        <v>44026.34722222222</v>
      </c>
      <c r="C663" s="739" t="n">
        <v>44027.24583333333</v>
      </c>
      <c r="D663" s="740" t="inlineStr">
        <is>
          <t>BINANCE</t>
        </is>
      </c>
      <c r="E663" s="740" t="inlineStr">
        <is>
          <t>LINKUSDT</t>
        </is>
      </c>
      <c r="F663" s="740" t="inlineStr">
        <is>
          <t>BUY</t>
        </is>
      </c>
      <c r="G663" s="742" t="n">
        <v>4.62</v>
      </c>
      <c r="H663" s="742" t="n">
        <v>6.9917</v>
      </c>
      <c r="I663" s="742" t="n">
        <v>8.250400000000001</v>
      </c>
      <c r="J663" s="743" t="n">
        <v>6.5729</v>
      </c>
      <c r="K663" s="744" t="n">
        <v>0.05989959523434931</v>
      </c>
      <c r="L663" s="743" t="n">
        <v>8.250400000000001</v>
      </c>
      <c r="M663" s="744" t="n">
        <v>0.1800277471859492</v>
      </c>
      <c r="N663" s="802" t="n">
        <v>0.05298745</v>
      </c>
      <c r="O663" s="746" t="n">
        <v>5.76220655</v>
      </c>
      <c r="P663" s="747" t="n">
        <v>0.02840183653923115</v>
      </c>
      <c r="Q663" s="748" t="n">
        <v>3.005491881566382</v>
      </c>
      <c r="R663" s="749" t="n">
        <v>208.6436836699999</v>
      </c>
      <c r="S663" s="740" t="inlineStr">
        <is>
          <t>21H 34M 0S</t>
        </is>
      </c>
      <c r="T663" s="738" t="n">
        <v>44026.78611111111</v>
      </c>
      <c r="U663" s="809" t="inlineStr">
        <is>
          <t>20H 31M 34S</t>
        </is>
      </c>
      <c r="V663" s="810" t="n">
        <v>7.6853</v>
      </c>
      <c r="W663" s="747" t="n">
        <v>0.09920334110445242</v>
      </c>
      <c r="X663" s="744" t="n">
        <v>0.06849364879278592</v>
      </c>
      <c r="Y663" s="750" t="n"/>
      <c r="Z663" s="751" t="n"/>
      <c r="AA663" s="752" t="n"/>
      <c r="AB663" s="753" t="n"/>
      <c r="AC663" s="754" t="n"/>
      <c r="AD663" s="740" t="inlineStr">
        <is>
          <t>No</t>
        </is>
      </c>
      <c r="AE663" s="755" t="n"/>
      <c r="AF663" s="755" t="n"/>
      <c r="AG663" s="755" t="n"/>
      <c r="AH663" s="755" t="n"/>
      <c r="AI663" s="740" t="inlineStr">
        <is>
          <t>Limit</t>
        </is>
      </c>
      <c r="AJ663" s="755" t="n"/>
      <c r="AK663" s="755" t="n"/>
      <c r="AL663" s="755" t="n"/>
      <c r="AM663" s="755" t="n"/>
      <c r="AN663" s="755" t="n"/>
      <c r="AO663" s="755" t="n"/>
      <c r="AP663" s="740" t="inlineStr">
        <is>
          <t>Pullback</t>
        </is>
      </c>
      <c r="AQ663" s="740" t="inlineStr">
        <is>
          <t>4H</t>
        </is>
      </c>
      <c r="AR663" s="740" t="inlineStr">
        <is>
          <t>No</t>
        </is>
      </c>
      <c r="AS663" s="755" t="n"/>
      <c r="AT663" s="755" t="n"/>
      <c r="AU663" s="755" t="n"/>
      <c r="AV663" s="755" t="n"/>
      <c r="AW663" s="740" t="inlineStr">
        <is>
          <t>trade</t>
        </is>
      </c>
      <c r="AX663" s="756" t="inlineStr">
        <is>
          <t>sig:1b276c5cf957a443915062c8</t>
        </is>
      </c>
    </row>
    <row r="664" ht="15" customHeight="1">
      <c r="A664" s="716" t="inlineStr">
        <is>
          <t>F774</t>
        </is>
      </c>
      <c r="B664" s="717" t="n">
        <v>44026.62361111111</v>
      </c>
      <c r="C664" s="718" t="n">
        <v>44026.81180555555</v>
      </c>
      <c r="D664" s="719" t="inlineStr">
        <is>
          <t>PEPPERSTONE DEMO</t>
        </is>
      </c>
      <c r="E664" s="719" t="inlineStr">
        <is>
          <t>GBPAUD</t>
        </is>
      </c>
      <c r="F664" s="719" t="inlineStr">
        <is>
          <t>BUY</t>
        </is>
      </c>
      <c r="G664" s="735" t="n">
        <v>0.01</v>
      </c>
      <c r="H664" s="720" t="n">
        <v>1.807</v>
      </c>
      <c r="I664" s="720" t="n">
        <v>1.8009</v>
      </c>
      <c r="J664" s="721" t="n">
        <v>1.8009</v>
      </c>
      <c r="K664" s="722" t="n">
        <v>0.003375760929717761</v>
      </c>
      <c r="L664" s="721" t="n">
        <v>1.8304</v>
      </c>
      <c r="M664" s="722" t="n">
        <v>0.01294964028776983</v>
      </c>
      <c r="N664" s="761" t="n"/>
      <c r="O664" s="762" t="n">
        <v>-6.1</v>
      </c>
      <c r="P664" s="725" t="n">
        <v>-0.0123862897985705</v>
      </c>
      <c r="Q664" s="726" t="n">
        <v>-1</v>
      </c>
      <c r="R664" s="764" t="n">
        <v>486.38</v>
      </c>
      <c r="S664" s="719" t="inlineStr">
        <is>
          <t>4H 31M 0S</t>
        </is>
      </c>
      <c r="T664" s="728" t="n"/>
      <c r="U664" s="729" t="n"/>
      <c r="V664" s="807" t="n">
        <v>1.8182</v>
      </c>
      <c r="W664" s="725" t="n">
        <v>-0.0112000000000001</v>
      </c>
      <c r="X664" s="722" t="n">
        <v>0.01219999999999999</v>
      </c>
      <c r="Y664" s="728" t="n"/>
      <c r="Z664" s="729" t="n"/>
      <c r="AA664" s="730" t="n"/>
      <c r="AB664" s="731" t="n"/>
      <c r="AC664" s="732" t="n"/>
      <c r="AD664" s="719" t="inlineStr">
        <is>
          <t>No</t>
        </is>
      </c>
      <c r="AE664" s="733" t="n"/>
      <c r="AF664" s="733" t="n"/>
      <c r="AG664" s="733" t="n"/>
      <c r="AH664" s="733" t="n"/>
      <c r="AI664" s="719" t="inlineStr">
        <is>
          <t>Limit</t>
        </is>
      </c>
      <c r="AJ664" s="733" t="n"/>
      <c r="AK664" s="733" t="n"/>
      <c r="AL664" s="733" t="n"/>
      <c r="AM664" s="733" t="n"/>
      <c r="AN664" s="733" t="n"/>
      <c r="AO664" s="733" t="n"/>
      <c r="AP664" s="719" t="inlineStr">
        <is>
          <t>Pullback</t>
        </is>
      </c>
      <c r="AQ664" s="719" t="inlineStr">
        <is>
          <t>4H</t>
        </is>
      </c>
      <c r="AR664" s="719" t="inlineStr">
        <is>
          <t>No</t>
        </is>
      </c>
      <c r="AS664" s="733" t="n"/>
      <c r="AT664" s="733" t="n"/>
      <c r="AU664" s="733" t="n"/>
      <c r="AV664" s="733" t="n"/>
      <c r="AW664" s="719" t="inlineStr">
        <is>
          <t>trade</t>
        </is>
      </c>
      <c r="AX664" s="734" t="inlineStr">
        <is>
          <t>sig:e435df3afd61ead510bf6bf9</t>
        </is>
      </c>
    </row>
    <row r="665" ht="15" customHeight="1">
      <c r="A665" s="716" t="inlineStr">
        <is>
          <t>C75</t>
        </is>
      </c>
      <c r="B665" s="717" t="n">
        <v>44026.24444444444</v>
      </c>
      <c r="C665" s="718" t="n">
        <v>44026.35625</v>
      </c>
      <c r="D665" s="719" t="inlineStr">
        <is>
          <t>BINANCE</t>
        </is>
      </c>
      <c r="E665" s="719" t="inlineStr">
        <is>
          <t>BNTUSDT</t>
        </is>
      </c>
      <c r="F665" s="719" t="inlineStr">
        <is>
          <t>BUY</t>
        </is>
      </c>
      <c r="G665" s="720" t="n">
        <v>32.82</v>
      </c>
      <c r="H665" s="720" t="n">
        <v>1.6256</v>
      </c>
      <c r="I665" s="720" t="n">
        <v>1.5666</v>
      </c>
      <c r="J665" s="721" t="n">
        <v>1.5666</v>
      </c>
      <c r="K665" s="722" t="n">
        <v>0.03629429133858264</v>
      </c>
      <c r="L665" s="721" t="n">
        <v>1.8027</v>
      </c>
      <c r="M665" s="722" t="n">
        <v>0.1089443897637796</v>
      </c>
      <c r="N665" s="723" t="n">
        <v>0.07873159</v>
      </c>
      <c r="O665" s="724" t="n">
        <v>-2.01511159</v>
      </c>
      <c r="P665" s="725" t="n">
        <v>-0.009834773739703815</v>
      </c>
      <c r="Q665" s="726" t="n">
        <v>-1</v>
      </c>
      <c r="R665" s="727" t="n">
        <v>202.8814771199999</v>
      </c>
      <c r="S665" s="719" t="inlineStr">
        <is>
          <t>2H 41M 0S</t>
        </is>
      </c>
      <c r="T665" s="728" t="n"/>
      <c r="U665" s="729" t="n"/>
      <c r="V665" s="807" t="n">
        <v>1.7324</v>
      </c>
      <c r="W665" s="725" t="n">
        <v>0.0656988188976378</v>
      </c>
      <c r="X665" s="722" t="n">
        <v>0.03899705996560716</v>
      </c>
      <c r="Y665" s="728" t="n"/>
      <c r="Z665" s="729" t="n"/>
      <c r="AA665" s="730" t="n"/>
      <c r="AB665" s="731" t="n"/>
      <c r="AC665" s="732" t="n"/>
      <c r="AD665" s="719" t="inlineStr">
        <is>
          <t>No</t>
        </is>
      </c>
      <c r="AE665" s="733" t="n"/>
      <c r="AF665" s="733" t="n"/>
      <c r="AG665" s="733" t="n"/>
      <c r="AH665" s="733" t="n"/>
      <c r="AI665" s="719" t="inlineStr">
        <is>
          <t>Limit</t>
        </is>
      </c>
      <c r="AJ665" s="733" t="n"/>
      <c r="AK665" s="733" t="n"/>
      <c r="AL665" s="733" t="n"/>
      <c r="AM665" s="733" t="n"/>
      <c r="AN665" s="733" t="n"/>
      <c r="AO665" s="733" t="n"/>
      <c r="AP665" s="719" t="inlineStr">
        <is>
          <t>Pullback</t>
        </is>
      </c>
      <c r="AQ665" s="719" t="inlineStr">
        <is>
          <t>4H</t>
        </is>
      </c>
      <c r="AR665" s="719" t="inlineStr">
        <is>
          <t>No</t>
        </is>
      </c>
      <c r="AS665" s="782" t="n"/>
      <c r="AT665" s="733" t="n"/>
      <c r="AU665" s="719" t="n"/>
      <c r="AV665" s="719" t="n"/>
      <c r="AW665" s="719" t="inlineStr">
        <is>
          <t>trade</t>
        </is>
      </c>
      <c r="AX665" s="734" t="inlineStr">
        <is>
          <t>sig:5e0237e2a97c10e32b7d214b</t>
        </is>
      </c>
    </row>
    <row r="666" ht="15" customHeight="1">
      <c r="A666" s="716" t="inlineStr">
        <is>
          <t>C74</t>
        </is>
      </c>
      <c r="B666" s="717" t="n">
        <v>44024.37291666667</v>
      </c>
      <c r="C666" s="718" t="n">
        <v>44025.22777777778</v>
      </c>
      <c r="D666" s="719" t="inlineStr">
        <is>
          <t>BINANCE</t>
        </is>
      </c>
      <c r="E666" s="719" t="inlineStr">
        <is>
          <t>ARPAUSDT</t>
        </is>
      </c>
      <c r="F666" s="719" t="inlineStr">
        <is>
          <t>BUY</t>
        </is>
      </c>
      <c r="G666" s="720" t="n">
        <v>573</v>
      </c>
      <c r="H666" s="735" t="n">
        <v>0.02777</v>
      </c>
      <c r="I666" s="735" t="n">
        <v>0.02625</v>
      </c>
      <c r="J666" s="736" t="n">
        <v>0.02437</v>
      </c>
      <c r="K666" s="722" t="n">
        <v>0.1224342815988477</v>
      </c>
      <c r="L666" s="736" t="n">
        <v>0.0381</v>
      </c>
      <c r="M666" s="722" t="n">
        <v>0.3719841555635579</v>
      </c>
      <c r="N666" s="723" t="n">
        <v>0.02337188</v>
      </c>
      <c r="O666" s="724" t="n">
        <v>-0.89433188</v>
      </c>
      <c r="P666" s="725" t="n">
        <v>-0.004345827684894756</v>
      </c>
      <c r="Q666" s="726" t="n">
        <v>-0.4470588235294119</v>
      </c>
      <c r="R666" s="727" t="n">
        <v>204.8965887099999</v>
      </c>
      <c r="S666" s="719" t="inlineStr">
        <is>
          <t>20H 31M 0S</t>
        </is>
      </c>
      <c r="T666" s="728" t="n"/>
      <c r="U666" s="729" t="n"/>
      <c r="V666" s="817" t="n">
        <v>0.03404</v>
      </c>
      <c r="W666" s="725" t="n">
        <v>0.2257832193014044</v>
      </c>
      <c r="X666" s="722" t="n">
        <v>0.1065616797900263</v>
      </c>
      <c r="Y666" s="728" t="n"/>
      <c r="Z666" s="729" t="n"/>
      <c r="AA666" s="730" t="n"/>
      <c r="AB666" s="731" t="n"/>
      <c r="AC666" s="732" t="n"/>
      <c r="AD666" s="719" t="inlineStr">
        <is>
          <t>No</t>
        </is>
      </c>
      <c r="AE666" s="733" t="n"/>
      <c r="AF666" s="733" t="n"/>
      <c r="AG666" s="733" t="n"/>
      <c r="AH666" s="733" t="n"/>
      <c r="AI666" s="719" t="inlineStr">
        <is>
          <t>Limit</t>
        </is>
      </c>
      <c r="AJ666" s="733" t="n"/>
      <c r="AK666" s="733" t="n"/>
      <c r="AL666" s="733" t="n"/>
      <c r="AM666" s="733" t="n"/>
      <c r="AN666" s="733" t="n"/>
      <c r="AO666" s="733" t="n"/>
      <c r="AP666" s="719" t="inlineStr">
        <is>
          <t>Pullback</t>
        </is>
      </c>
      <c r="AQ666" s="719" t="inlineStr">
        <is>
          <t>4H</t>
        </is>
      </c>
      <c r="AR666" s="719" t="inlineStr">
        <is>
          <t>No</t>
        </is>
      </c>
      <c r="AS666" s="782" t="n"/>
      <c r="AT666" s="733" t="n"/>
      <c r="AU666" s="719" t="n"/>
      <c r="AV666" s="719" t="n"/>
      <c r="AW666" s="719" t="inlineStr">
        <is>
          <t>trade</t>
        </is>
      </c>
      <c r="AX666" s="734" t="inlineStr">
        <is>
          <t>sig:762e4536858672b6f9a4d46e</t>
        </is>
      </c>
    </row>
    <row r="667" ht="15" customHeight="1">
      <c r="A667" s="716" t="inlineStr">
        <is>
          <t>C73</t>
        </is>
      </c>
      <c r="B667" s="717" t="n">
        <v>44022.60763888889</v>
      </c>
      <c r="C667" s="718" t="n">
        <v>44023.98958333334</v>
      </c>
      <c r="D667" s="719" t="inlineStr">
        <is>
          <t>BINANCE</t>
        </is>
      </c>
      <c r="E667" s="719" t="inlineStr">
        <is>
          <t>OGNUSDT</t>
        </is>
      </c>
      <c r="F667" s="719" t="inlineStr">
        <is>
          <t>BUY</t>
        </is>
      </c>
      <c r="G667" s="720" t="n">
        <v>110</v>
      </c>
      <c r="H667" s="720" t="n">
        <v>0.3194</v>
      </c>
      <c r="I667" s="720" t="n">
        <v>0.3073</v>
      </c>
      <c r="J667" s="721" t="n">
        <v>0.3015</v>
      </c>
      <c r="K667" s="722" t="n">
        <v>0.05604257983719482</v>
      </c>
      <c r="L667" s="721" t="n">
        <v>0.4092</v>
      </c>
      <c r="M667" s="722" t="n">
        <v>0.2811521603005635</v>
      </c>
      <c r="N667" s="723" t="n">
        <v>0.05186747</v>
      </c>
      <c r="O667" s="724" t="n">
        <v>-1.38410547</v>
      </c>
      <c r="P667" s="725" t="n">
        <v>-0.006680850951596593</v>
      </c>
      <c r="Q667" s="726" t="n">
        <v>-0.6759776536312839</v>
      </c>
      <c r="R667" s="727" t="n">
        <v>205.79092059</v>
      </c>
      <c r="S667" s="719" t="inlineStr">
        <is>
          <t>1D 9H 10M 0S</t>
        </is>
      </c>
      <c r="T667" s="728" t="n"/>
      <c r="U667" s="729" t="n"/>
      <c r="V667" s="807" t="n">
        <v>0.3586</v>
      </c>
      <c r="W667" s="725" t="n">
        <v>0.1227301189730744</v>
      </c>
      <c r="X667" s="722" t="n">
        <v>0.1236559139784947</v>
      </c>
      <c r="Y667" s="728" t="n"/>
      <c r="Z667" s="729" t="n"/>
      <c r="AA667" s="730" t="n"/>
      <c r="AB667" s="731" t="n"/>
      <c r="AC667" s="732" t="n"/>
      <c r="AD667" s="719" t="inlineStr">
        <is>
          <t>No</t>
        </is>
      </c>
      <c r="AE667" s="733" t="n"/>
      <c r="AF667" s="733" t="n"/>
      <c r="AG667" s="733" t="n"/>
      <c r="AH667" s="733" t="n"/>
      <c r="AI667" s="719" t="inlineStr">
        <is>
          <t>Limit</t>
        </is>
      </c>
      <c r="AJ667" s="733" t="n"/>
      <c r="AK667" s="733" t="n"/>
      <c r="AL667" s="733" t="n"/>
      <c r="AM667" s="733" t="n"/>
      <c r="AN667" s="733" t="n"/>
      <c r="AO667" s="733" t="n"/>
      <c r="AP667" s="719" t="inlineStr">
        <is>
          <t>Pullback</t>
        </is>
      </c>
      <c r="AQ667" s="719" t="inlineStr">
        <is>
          <t>4H</t>
        </is>
      </c>
      <c r="AR667" s="719" t="inlineStr">
        <is>
          <t>No</t>
        </is>
      </c>
      <c r="AS667" s="733" t="n"/>
      <c r="AT667" s="733" t="n"/>
      <c r="AU667" s="733" t="n"/>
      <c r="AV667" s="733" t="n"/>
      <c r="AW667" s="719" t="inlineStr">
        <is>
          <t>trade</t>
        </is>
      </c>
      <c r="AX667" s="734" t="inlineStr">
        <is>
          <t>sig:eff31f7fc773272746de6eea</t>
        </is>
      </c>
    </row>
    <row r="668" ht="15" customHeight="1">
      <c r="A668" s="716" t="inlineStr">
        <is>
          <t>F773</t>
        </is>
      </c>
      <c r="B668" s="717" t="n">
        <v>44019.78958333333</v>
      </c>
      <c r="C668" s="718" t="n">
        <v>44022.95138888889</v>
      </c>
      <c r="D668" s="719" t="inlineStr">
        <is>
          <t>PEPPERSTONE DEMO</t>
        </is>
      </c>
      <c r="E668" s="719" t="inlineStr">
        <is>
          <t>AUDJPY</t>
        </is>
      </c>
      <c r="F668" s="719" t="inlineStr">
        <is>
          <t>BUY</t>
        </is>
      </c>
      <c r="G668" s="735" t="n">
        <v>0.02</v>
      </c>
      <c r="H668" s="720" t="n">
        <v>74.59999999999999</v>
      </c>
      <c r="I668" s="720" t="n">
        <v>74.33</v>
      </c>
      <c r="J668" s="721" t="n">
        <v>74.33</v>
      </c>
      <c r="K668" s="722" t="n">
        <v>0.003619302949061609</v>
      </c>
      <c r="L668" s="721" t="n">
        <v>76.26000000000001</v>
      </c>
      <c r="M668" s="722" t="n">
        <v>0.02225201072386074</v>
      </c>
      <c r="N668" s="761" t="n">
        <v>0.15</v>
      </c>
      <c r="O668" s="762" t="n">
        <v>-7.52</v>
      </c>
      <c r="P668" s="725" t="n">
        <v>-0.01504</v>
      </c>
      <c r="Q668" s="726" t="n">
        <v>-1</v>
      </c>
      <c r="R668" s="764" t="n">
        <v>492.48</v>
      </c>
      <c r="S668" s="719" t="inlineStr">
        <is>
          <t>3D 3H 53M 0S</t>
        </is>
      </c>
      <c r="T668" s="728" t="n"/>
      <c r="U668" s="729" t="n"/>
      <c r="V668" s="807" t="n">
        <v>75.51000000000001</v>
      </c>
      <c r="W668" s="725" t="n">
        <v>-0.9100000000000108</v>
      </c>
      <c r="X668" s="722" t="n">
        <v>0.75</v>
      </c>
      <c r="Y668" s="728" t="n"/>
      <c r="Z668" s="729" t="n"/>
      <c r="AA668" s="730" t="n"/>
      <c r="AB668" s="731" t="n"/>
      <c r="AC668" s="732" t="n"/>
      <c r="AD668" s="719" t="inlineStr">
        <is>
          <t>No</t>
        </is>
      </c>
      <c r="AE668" s="733" t="n"/>
      <c r="AF668" s="733" t="n"/>
      <c r="AG668" s="733" t="n"/>
      <c r="AH668" s="733" t="n"/>
      <c r="AI668" s="719" t="inlineStr">
        <is>
          <t>Limit</t>
        </is>
      </c>
      <c r="AJ668" s="733" t="n"/>
      <c r="AK668" s="733" t="n"/>
      <c r="AL668" s="733" t="n"/>
      <c r="AM668" s="733" t="n"/>
      <c r="AN668" s="733" t="n"/>
      <c r="AO668" s="733" t="n"/>
      <c r="AP668" s="719" t="inlineStr">
        <is>
          <t>Pullback</t>
        </is>
      </c>
      <c r="AQ668" s="719" t="inlineStr">
        <is>
          <t>4H</t>
        </is>
      </c>
      <c r="AR668" s="719" t="inlineStr">
        <is>
          <t>No</t>
        </is>
      </c>
      <c r="AS668" s="733" t="n"/>
      <c r="AT668" s="733" t="n"/>
      <c r="AU668" s="733" t="n"/>
      <c r="AV668" s="733" t="n"/>
      <c r="AW668" s="719" t="inlineStr">
        <is>
          <t>trade</t>
        </is>
      </c>
      <c r="AX668" s="734" t="inlineStr">
        <is>
          <t>sig:274e32b9bb9f444962d165a3</t>
        </is>
      </c>
    </row>
    <row r="669" ht="15" customHeight="1">
      <c r="A669" s="716" t="inlineStr">
        <is>
          <t>C71</t>
        </is>
      </c>
      <c r="B669" s="717" t="n">
        <v>44017.31736111111</v>
      </c>
      <c r="C669" s="718" t="n">
        <v>44022.04791666667</v>
      </c>
      <c r="D669" s="719" t="inlineStr">
        <is>
          <t>BINANCE</t>
        </is>
      </c>
      <c r="E669" s="719" t="inlineStr">
        <is>
          <t>ONGUSDT</t>
        </is>
      </c>
      <c r="F669" s="719" t="inlineStr">
        <is>
          <t>BUY</t>
        </is>
      </c>
      <c r="G669" s="720" t="n">
        <v>94.38</v>
      </c>
      <c r="H669" s="720" t="n">
        <v>0.2085</v>
      </c>
      <c r="I669" s="720" t="n">
        <v>0.1875</v>
      </c>
      <c r="J669" s="721" t="n">
        <v>0.1875</v>
      </c>
      <c r="K669" s="722" t="n">
        <v>0.1007194244604316</v>
      </c>
      <c r="L669" s="721" t="n">
        <v>0.2892</v>
      </c>
      <c r="M669" s="722" t="n">
        <v>0.3870503597122303</v>
      </c>
      <c r="N669" s="723" t="n">
        <v>0.02829755</v>
      </c>
      <c r="O669" s="724" t="n">
        <v>-2.01027755</v>
      </c>
      <c r="P669" s="725" t="n">
        <v>-0.009610032422487541</v>
      </c>
      <c r="Q669" s="726" t="n">
        <v>-1</v>
      </c>
      <c r="R669" s="727" t="n">
        <v>207.17502606</v>
      </c>
      <c r="S669" s="719" t="inlineStr">
        <is>
          <t>4D 17H 32M 0S</t>
        </is>
      </c>
      <c r="T669" s="717" t="n"/>
      <c r="U669" s="806" t="n"/>
      <c r="V669" s="807" t="n">
        <v>0.2569</v>
      </c>
      <c r="W669" s="725" t="n">
        <v>0.2321342925659474</v>
      </c>
      <c r="X669" s="722" t="n">
        <v>0.1116874135546334</v>
      </c>
      <c r="Y669" s="728" t="n"/>
      <c r="Z669" s="729" t="n"/>
      <c r="AA669" s="730" t="n"/>
      <c r="AB669" s="731" t="n"/>
      <c r="AC669" s="732" t="n"/>
      <c r="AD669" s="719" t="inlineStr">
        <is>
          <t>No</t>
        </is>
      </c>
      <c r="AE669" s="733" t="n"/>
      <c r="AF669" s="733" t="n"/>
      <c r="AG669" s="733" t="n"/>
      <c r="AH669" s="733" t="n"/>
      <c r="AI669" s="719" t="inlineStr">
        <is>
          <t>Limit</t>
        </is>
      </c>
      <c r="AJ669" s="733" t="n"/>
      <c r="AK669" s="733" t="n"/>
      <c r="AL669" s="733" t="n"/>
      <c r="AM669" s="733" t="n"/>
      <c r="AN669" s="733" t="n"/>
      <c r="AO669" s="733" t="n"/>
      <c r="AP669" s="719" t="inlineStr">
        <is>
          <t>Pullback</t>
        </is>
      </c>
      <c r="AQ669" s="719" t="inlineStr">
        <is>
          <t>4H</t>
        </is>
      </c>
      <c r="AR669" s="719" t="inlineStr">
        <is>
          <t>No</t>
        </is>
      </c>
      <c r="AS669" s="733" t="n"/>
      <c r="AT669" s="733" t="n"/>
      <c r="AU669" s="733" t="n"/>
      <c r="AV669" s="733" t="n"/>
      <c r="AW669" s="719" t="inlineStr">
        <is>
          <t>trade</t>
        </is>
      </c>
      <c r="AX669" s="734" t="inlineStr">
        <is>
          <t>sig:2c75d5cc5a6ee7e4503e48c3</t>
        </is>
      </c>
    </row>
    <row r="670" ht="15" customHeight="1">
      <c r="A670" s="716" t="inlineStr">
        <is>
          <t>C72</t>
        </is>
      </c>
      <c r="B670" s="717" t="n">
        <v>44018.35972222222</v>
      </c>
      <c r="C670" s="718" t="n">
        <v>44022.04444444444</v>
      </c>
      <c r="D670" s="719" t="inlineStr">
        <is>
          <t>BINANCE</t>
        </is>
      </c>
      <c r="E670" s="719" t="inlineStr">
        <is>
          <t>FTMUSDT</t>
        </is>
      </c>
      <c r="F670" s="719" t="inlineStr">
        <is>
          <t>BUY</t>
        </is>
      </c>
      <c r="G670" s="720" t="n">
        <v>2061</v>
      </c>
      <c r="H670" s="735" t="n">
        <v>0.01089</v>
      </c>
      <c r="I670" s="735" t="n">
        <v>0.01086</v>
      </c>
      <c r="J670" s="798" t="n">
        <v>0.009900000000000001</v>
      </c>
      <c r="K670" s="722" t="n">
        <v>0.09090909090909087</v>
      </c>
      <c r="L670" s="736" t="n">
        <v>0.01395</v>
      </c>
      <c r="M670" s="722" t="n">
        <v>0.2809917355371901</v>
      </c>
      <c r="N670" s="723" t="n">
        <v>0.03357101</v>
      </c>
      <c r="O670" s="777" t="n">
        <v>-0.09540100999999999</v>
      </c>
      <c r="P670" s="763" t="n">
        <v>-0.0004558519151262594</v>
      </c>
      <c r="Q670" s="781" t="n">
        <v>-0.03030303030303083</v>
      </c>
      <c r="R670" s="727" t="n">
        <v>209.18530361</v>
      </c>
      <c r="S670" s="719" t="inlineStr">
        <is>
          <t>3D 16H 26M 0S</t>
        </is>
      </c>
      <c r="T670" s="717" t="n">
        <v>44018.42916666667</v>
      </c>
      <c r="U670" s="806" t="inlineStr">
        <is>
          <t>11H 39M 20S</t>
        </is>
      </c>
      <c r="V670" s="817" t="n">
        <v>0.01249</v>
      </c>
      <c r="W670" s="725" t="n">
        <v>0.1469237832874196</v>
      </c>
      <c r="X670" s="722" t="n">
        <v>0.1046594982078854</v>
      </c>
      <c r="Y670" s="728" t="n"/>
      <c r="Z670" s="729" t="n"/>
      <c r="AA670" s="730" t="n"/>
      <c r="AB670" s="731" t="n"/>
      <c r="AC670" s="732" t="n"/>
      <c r="AD670" s="719" t="inlineStr">
        <is>
          <t>No</t>
        </is>
      </c>
      <c r="AE670" s="733" t="n"/>
      <c r="AF670" s="733" t="n"/>
      <c r="AG670" s="733" t="n"/>
      <c r="AH670" s="733" t="n"/>
      <c r="AI670" s="719" t="inlineStr">
        <is>
          <t>Limit</t>
        </is>
      </c>
      <c r="AJ670" s="733" t="n"/>
      <c r="AK670" s="733" t="n"/>
      <c r="AL670" s="733" t="n"/>
      <c r="AM670" s="733" t="n"/>
      <c r="AN670" s="733" t="n"/>
      <c r="AO670" s="733" t="n"/>
      <c r="AP670" s="719" t="inlineStr">
        <is>
          <t>Pullback</t>
        </is>
      </c>
      <c r="AQ670" s="719" t="inlineStr">
        <is>
          <t>4H</t>
        </is>
      </c>
      <c r="AR670" s="719" t="inlineStr">
        <is>
          <t>No</t>
        </is>
      </c>
      <c r="AS670" s="733" t="n"/>
      <c r="AT670" s="733" t="n"/>
      <c r="AU670" s="733" t="n"/>
      <c r="AV670" s="733" t="n"/>
      <c r="AW670" s="719" t="inlineStr">
        <is>
          <t>trade</t>
        </is>
      </c>
      <c r="AX670" s="734" t="inlineStr">
        <is>
          <t>sig:cdc095f3a584423b4fa61862</t>
        </is>
      </c>
    </row>
    <row r="671" ht="15" customHeight="1">
      <c r="A671" s="737" t="inlineStr">
        <is>
          <t>C70</t>
        </is>
      </c>
      <c r="B671" s="738" t="n">
        <v>44016.24513888889</v>
      </c>
      <c r="C671" s="739" t="n">
        <v>44016.73055555556</v>
      </c>
      <c r="D671" s="740" t="inlineStr">
        <is>
          <t>BINANCE</t>
        </is>
      </c>
      <c r="E671" s="740" t="inlineStr">
        <is>
          <t>FTMUSDT</t>
        </is>
      </c>
      <c r="F671" s="740" t="inlineStr">
        <is>
          <t>BUY</t>
        </is>
      </c>
      <c r="G671" s="742" t="n">
        <v>2380.6</v>
      </c>
      <c r="H671" s="775" t="n">
        <v>0.01098</v>
      </c>
      <c r="I671" s="775" t="n">
        <v>0.01387</v>
      </c>
      <c r="J671" s="797" t="n">
        <v>0.01017</v>
      </c>
      <c r="K671" s="744" t="n">
        <v>0.07377049180327869</v>
      </c>
      <c r="L671" s="797" t="n">
        <v>0.01344</v>
      </c>
      <c r="M671" s="744" t="n">
        <v>0.2240437158469946</v>
      </c>
      <c r="N671" s="802" t="n">
        <v>0.04438982</v>
      </c>
      <c r="O671" s="746" t="n">
        <v>6.83554418</v>
      </c>
      <c r="P671" s="747" t="n">
        <v>0.03376491769496211</v>
      </c>
      <c r="Q671" s="748" t="n">
        <v>3.567901234567902</v>
      </c>
      <c r="R671" s="749" t="n">
        <v>209.28070462</v>
      </c>
      <c r="S671" s="740" t="inlineStr">
        <is>
          <t>11H 39M 0S</t>
        </is>
      </c>
      <c r="T671" s="738" t="n">
        <v>44015.88888888889</v>
      </c>
      <c r="U671" s="809" t="inlineStr">
        <is>
          <t>1H 26M 34S</t>
        </is>
      </c>
      <c r="V671" s="821" t="n">
        <v>0.01261</v>
      </c>
      <c r="W671" s="747" t="n">
        <v>0.1484517304189435</v>
      </c>
      <c r="X671" s="744" t="n">
        <v>0.06175595238095245</v>
      </c>
      <c r="Y671" s="750" t="n"/>
      <c r="Z671" s="751" t="n"/>
      <c r="AA671" s="752" t="n"/>
      <c r="AB671" s="753" t="n"/>
      <c r="AC671" s="754" t="n"/>
      <c r="AD671" s="740" t="inlineStr">
        <is>
          <t>No</t>
        </is>
      </c>
      <c r="AE671" s="755" t="n"/>
      <c r="AF671" s="755" t="n"/>
      <c r="AG671" s="755" t="n"/>
      <c r="AH671" s="755" t="n"/>
      <c r="AI671" s="740" t="inlineStr">
        <is>
          <t>Limit</t>
        </is>
      </c>
      <c r="AJ671" s="755" t="n"/>
      <c r="AK671" s="755" t="n"/>
      <c r="AL671" s="755" t="n"/>
      <c r="AM671" s="755" t="n"/>
      <c r="AN671" s="755" t="n"/>
      <c r="AO671" s="755" t="n"/>
      <c r="AP671" s="740" t="inlineStr">
        <is>
          <t>Pullback</t>
        </is>
      </c>
      <c r="AQ671" s="740" t="inlineStr">
        <is>
          <t>4H</t>
        </is>
      </c>
      <c r="AR671" s="740" t="inlineStr">
        <is>
          <t>No</t>
        </is>
      </c>
      <c r="AS671" s="755" t="n"/>
      <c r="AT671" s="755" t="n"/>
      <c r="AU671" s="755" t="n"/>
      <c r="AV671" s="755" t="n"/>
      <c r="AW671" s="740" t="inlineStr">
        <is>
          <t>trade</t>
        </is>
      </c>
      <c r="AX671" s="756" t="inlineStr">
        <is>
          <t>sig:59f6e73c5adc8b06cc3d034a</t>
        </is>
      </c>
    </row>
    <row r="672" ht="15" customHeight="1">
      <c r="A672" s="716" t="inlineStr">
        <is>
          <t>C69</t>
        </is>
      </c>
      <c r="B672" s="717" t="n">
        <v>44016.20555555556</v>
      </c>
      <c r="C672" s="718" t="n">
        <v>44016.49166666667</v>
      </c>
      <c r="D672" s="719" t="inlineStr">
        <is>
          <t>BINANCE</t>
        </is>
      </c>
      <c r="E672" s="719" t="inlineStr">
        <is>
          <t>DENTUSDT</t>
        </is>
      </c>
      <c r="F672" s="719" t="inlineStr">
        <is>
          <t>BUY</t>
        </is>
      </c>
      <c r="G672" s="720" t="n">
        <v>175322</v>
      </c>
      <c r="H672" s="791" t="n">
        <v>0.0002172</v>
      </c>
      <c r="I672" s="791" t="n">
        <v>0.0002063</v>
      </c>
      <c r="J672" s="819" t="n">
        <v>0.0002062</v>
      </c>
      <c r="K672" s="722" t="n">
        <v>0.05064456721915284</v>
      </c>
      <c r="L672" s="819" t="n">
        <v>0.00025</v>
      </c>
      <c r="M672" s="722" t="n">
        <v>0.1510128913443831</v>
      </c>
      <c r="N672" s="723" t="n">
        <v>0.02856747</v>
      </c>
      <c r="O672" s="724" t="n">
        <v>-1.93957727</v>
      </c>
      <c r="P672" s="725" t="n">
        <v>-0.009489834181024084</v>
      </c>
      <c r="Q672" s="726" t="n">
        <v>-0.9909090909090907</v>
      </c>
      <c r="R672" s="727" t="n">
        <v>202.44516044</v>
      </c>
      <c r="S672" s="719" t="inlineStr">
        <is>
          <t>6H 52M 0S</t>
        </is>
      </c>
      <c r="T672" s="728" t="n"/>
      <c r="U672" s="729" t="n"/>
      <c r="V672" s="820" t="n">
        <v>0.0002356</v>
      </c>
      <c r="W672" s="725" t="n">
        <v>0.08471454880294665</v>
      </c>
      <c r="X672" s="722" t="n">
        <v>0.05985634477254594</v>
      </c>
      <c r="Y672" s="728" t="n"/>
      <c r="Z672" s="729" t="n"/>
      <c r="AA672" s="730" t="n"/>
      <c r="AB672" s="731" t="n"/>
      <c r="AC672" s="732" t="n"/>
      <c r="AD672" s="719" t="inlineStr">
        <is>
          <t>No</t>
        </is>
      </c>
      <c r="AE672" s="733" t="n"/>
      <c r="AF672" s="733" t="n"/>
      <c r="AG672" s="733" t="n"/>
      <c r="AH672" s="733" t="n"/>
      <c r="AI672" s="719" t="inlineStr">
        <is>
          <t>Limit</t>
        </is>
      </c>
      <c r="AJ672" s="733" t="n"/>
      <c r="AK672" s="733" t="n"/>
      <c r="AL672" s="733" t="n"/>
      <c r="AM672" s="733" t="n"/>
      <c r="AN672" s="733" t="n"/>
      <c r="AO672" s="733" t="n"/>
      <c r="AP672" s="719" t="inlineStr">
        <is>
          <t>Pullback</t>
        </is>
      </c>
      <c r="AQ672" s="719" t="inlineStr">
        <is>
          <t>4H</t>
        </is>
      </c>
      <c r="AR672" s="719" t="inlineStr">
        <is>
          <t>No</t>
        </is>
      </c>
      <c r="AS672" s="733" t="n"/>
      <c r="AT672" s="733" t="n"/>
      <c r="AU672" s="733" t="n"/>
      <c r="AV672" s="733" t="n"/>
      <c r="AW672" s="719" t="inlineStr">
        <is>
          <t>trade</t>
        </is>
      </c>
      <c r="AX672" s="734" t="inlineStr">
        <is>
          <t>sig:03b24f67683fde082752753a</t>
        </is>
      </c>
    </row>
    <row r="673" ht="15" customHeight="1">
      <c r="A673" s="42" t="n"/>
      <c r="B673" s="770" t="n">
        <v>44014</v>
      </c>
      <c r="C673" s="771" t="n">
        <v>44014</v>
      </c>
      <c r="D673" s="12" t="inlineStr">
        <is>
          <t>PEPPERSTONE DEMO</t>
        </is>
      </c>
      <c r="E673" s="12" t="inlineStr">
        <is>
          <t>CASHFLOW</t>
        </is>
      </c>
      <c r="F673" s="12" t="inlineStr">
        <is>
          <t>DEPOSIT</t>
        </is>
      </c>
      <c r="G673" s="262" t="n"/>
      <c r="H673" s="262" t="n"/>
      <c r="I673" s="262" t="n"/>
      <c r="J673" s="263" t="n"/>
      <c r="K673" s="36" t="n"/>
      <c r="L673" s="263" t="n"/>
      <c r="M673" s="36" t="n"/>
      <c r="N673" s="779" t="n"/>
      <c r="O673" s="773" t="n"/>
      <c r="P673" s="3" t="n"/>
      <c r="Q673" s="51" t="n"/>
      <c r="R673" s="54" t="n">
        <v>500</v>
      </c>
      <c r="S673" s="12" t="n"/>
      <c r="T673" s="774" t="n"/>
      <c r="U673" s="6" t="n"/>
      <c r="V673" s="269" t="n"/>
      <c r="W673" s="3" t="n"/>
      <c r="X673" s="36" t="n"/>
      <c r="Y673" s="774" t="n"/>
      <c r="Z673" s="6" t="n"/>
      <c r="AA673" s="264" t="n"/>
      <c r="AB673" s="9" t="n"/>
      <c r="AC673" s="46" t="n"/>
      <c r="AD673" s="12" t="inlineStr">
        <is>
          <t>No</t>
        </is>
      </c>
      <c r="AE673" s="45" t="n"/>
      <c r="AF673" s="45" t="n"/>
      <c r="AG673" s="45" t="n"/>
      <c r="AH673" s="45" t="n"/>
      <c r="AI673" s="12" t="n"/>
      <c r="AJ673" s="45" t="n"/>
      <c r="AK673" s="45" t="n"/>
      <c r="AL673" s="45" t="n"/>
      <c r="AM673" s="45" t="n"/>
      <c r="AN673" s="45" t="n"/>
      <c r="AO673" s="45" t="n"/>
      <c r="AP673" s="12" t="n"/>
      <c r="AQ673" s="12" t="n"/>
      <c r="AR673" s="12" t="n"/>
      <c r="AS673" s="56" t="inlineStr">
        <is>
          <t>Deposit 500.0 AUD. Source: user_txt. Imported from account_cashflows.xlsx row 58.</t>
        </is>
      </c>
      <c r="AT673" s="45" t="n"/>
      <c r="AU673" s="12" t="n">
        <v>500</v>
      </c>
      <c r="AV673" s="12" t="inlineStr">
        <is>
          <t>AUD</t>
        </is>
      </c>
      <c r="AW673" s="12" t="inlineStr">
        <is>
          <t>cashflow</t>
        </is>
      </c>
      <c r="AX673" s="57" t="inlineStr">
        <is>
          <t>cashflow:PEPPERSTONE DEMO:2020-07-02T00:00:00:44</t>
        </is>
      </c>
    </row>
    <row r="674" ht="15" customHeight="1">
      <c r="A674" s="42" t="n"/>
      <c r="B674" s="770" t="n">
        <v>44013</v>
      </c>
      <c r="C674" s="771" t="n">
        <v>44013</v>
      </c>
      <c r="D674" s="12" t="inlineStr">
        <is>
          <t>PEPPERSTONE DEMO</t>
        </is>
      </c>
      <c r="E674" s="12" t="inlineStr">
        <is>
          <t>CASHFLOW</t>
        </is>
      </c>
      <c r="F674" s="12" t="inlineStr">
        <is>
          <t>WITHDRAWAL</t>
        </is>
      </c>
      <c r="G674" s="262" t="n"/>
      <c r="H674" s="262" t="n"/>
      <c r="I674" s="262" t="n"/>
      <c r="J674" s="263" t="n"/>
      <c r="K674" s="36" t="n"/>
      <c r="L674" s="263" t="n"/>
      <c r="M674" s="36" t="n"/>
      <c r="N674" s="772" t="n"/>
      <c r="O674" s="773" t="n"/>
      <c r="P674" s="3" t="n"/>
      <c r="Q674" s="51" t="n"/>
      <c r="R674" s="54" t="n">
        <v>0</v>
      </c>
      <c r="S674" s="12" t="n"/>
      <c r="T674" s="774" t="n"/>
      <c r="U674" s="6" t="n"/>
      <c r="V674" s="269" t="n"/>
      <c r="W674" s="3" t="n"/>
      <c r="X674" s="36" t="n"/>
      <c r="Y674" s="774" t="n"/>
      <c r="Z674" s="6" t="n"/>
      <c r="AA674" s="264" t="n"/>
      <c r="AB674" s="9" t="n"/>
      <c r="AC674" s="46" t="n"/>
      <c r="AD674" s="12" t="inlineStr">
        <is>
          <t>No</t>
        </is>
      </c>
      <c r="AE674" s="45" t="n"/>
      <c r="AF674" s="45" t="n"/>
      <c r="AG674" s="45" t="n"/>
      <c r="AH674" s="45" t="n"/>
      <c r="AI674" s="12" t="n"/>
      <c r="AJ674" s="45" t="n"/>
      <c r="AK674" s="45" t="n"/>
      <c r="AL674" s="45" t="n"/>
      <c r="AM674" s="45" t="n"/>
      <c r="AN674" s="45" t="n"/>
      <c r="AO674" s="45" t="n"/>
      <c r="AP674" s="12" t="n"/>
      <c r="AQ674" s="12" t="n"/>
      <c r="AR674" s="12" t="n"/>
      <c r="AS674" s="56" t="inlineStr">
        <is>
          <t>Withdrawal -473.84 AUD. Source: user_txt. Imported from account_cashflows.xlsx row 57.</t>
        </is>
      </c>
      <c r="AT674" s="45" t="n"/>
      <c r="AU674" s="12" t="n">
        <v>0</v>
      </c>
      <c r="AV674" s="12" t="inlineStr">
        <is>
          <t>AUD</t>
        </is>
      </c>
      <c r="AW674" s="12" t="inlineStr">
        <is>
          <t>cashflow</t>
        </is>
      </c>
      <c r="AX674" s="57" t="inlineStr">
        <is>
          <t>cashflow:PEPPERSTONE DEMO:2020-07-01T00:00:00:43</t>
        </is>
      </c>
    </row>
    <row r="675" ht="15" customHeight="1">
      <c r="A675" s="716" t="inlineStr">
        <is>
          <t>C68</t>
        </is>
      </c>
      <c r="B675" s="717" t="n">
        <v>44006.28402777778</v>
      </c>
      <c r="C675" s="718" t="n">
        <v>44007.02916666667</v>
      </c>
      <c r="D675" s="719" t="inlineStr">
        <is>
          <t>BINANCE</t>
        </is>
      </c>
      <c r="E675" s="719" t="inlineStr">
        <is>
          <t>OGNUSDT</t>
        </is>
      </c>
      <c r="F675" s="719" t="inlineStr">
        <is>
          <t>BUY</t>
        </is>
      </c>
      <c r="G675" s="720" t="n">
        <v>162.5</v>
      </c>
      <c r="H675" s="720" t="n">
        <v>0.3176</v>
      </c>
      <c r="I675" s="720" t="n">
        <v>0.3056</v>
      </c>
      <c r="J675" s="721" t="n">
        <v>0.3056</v>
      </c>
      <c r="K675" s="722" t="n">
        <v>0.03778337531486149</v>
      </c>
      <c r="L675" s="721" t="n">
        <v>0.3595</v>
      </c>
      <c r="M675" s="722" t="n">
        <v>0.1319269521410579</v>
      </c>
      <c r="N675" s="723" t="n">
        <v>0.06614738000000001</v>
      </c>
      <c r="O675" s="724" t="n">
        <v>-2.01614738</v>
      </c>
      <c r="P675" s="725" t="n">
        <v>-0.00976811402296492</v>
      </c>
      <c r="Q675" s="726" t="n">
        <v>-1</v>
      </c>
      <c r="R675" s="727" t="n">
        <v>204.38473771</v>
      </c>
      <c r="S675" s="719" t="inlineStr">
        <is>
          <t>17H 53M 0S</t>
        </is>
      </c>
      <c r="T675" s="728" t="n"/>
      <c r="U675" s="729" t="n"/>
      <c r="V675" s="807" t="n">
        <v>0.3369</v>
      </c>
      <c r="W675" s="725" t="n">
        <v>0.06076826196473547</v>
      </c>
      <c r="X675" s="722" t="n">
        <v>0.062865090403338</v>
      </c>
      <c r="Y675" s="728" t="n"/>
      <c r="Z675" s="729" t="n"/>
      <c r="AA675" s="730" t="n"/>
      <c r="AB675" s="731" t="n"/>
      <c r="AC675" s="732" t="n"/>
      <c r="AD675" s="719" t="inlineStr">
        <is>
          <t>No</t>
        </is>
      </c>
      <c r="AE675" s="733" t="n"/>
      <c r="AF675" s="733" t="n"/>
      <c r="AG675" s="733" t="n"/>
      <c r="AH675" s="733" t="n"/>
      <c r="AI675" s="719" t="inlineStr">
        <is>
          <t>Limit</t>
        </is>
      </c>
      <c r="AJ675" s="733" t="n"/>
      <c r="AK675" s="733" t="n"/>
      <c r="AL675" s="733" t="n"/>
      <c r="AM675" s="733" t="n"/>
      <c r="AN675" s="733" t="n"/>
      <c r="AO675" s="733" t="n"/>
      <c r="AP675" s="719" t="inlineStr">
        <is>
          <t>Pullback</t>
        </is>
      </c>
      <c r="AQ675" s="719" t="inlineStr">
        <is>
          <t>1H</t>
        </is>
      </c>
      <c r="AR675" s="719" t="inlineStr">
        <is>
          <t>No</t>
        </is>
      </c>
      <c r="AS675" s="733" t="n"/>
      <c r="AT675" s="733" t="n"/>
      <c r="AU675" s="733" t="n"/>
      <c r="AV675" s="733" t="n"/>
      <c r="AW675" s="719" t="inlineStr">
        <is>
          <t>trade</t>
        </is>
      </c>
      <c r="AX675" s="734" t="inlineStr">
        <is>
          <t>sig:2ac29f9f0789c33cdcd9e349</t>
        </is>
      </c>
    </row>
    <row r="676" ht="15" customHeight="1">
      <c r="A676" s="716" t="inlineStr">
        <is>
          <t>F772</t>
        </is>
      </c>
      <c r="B676" s="717" t="n">
        <v>44006.61041666667</v>
      </c>
      <c r="C676" s="718" t="n">
        <v>44006.73888888889</v>
      </c>
      <c r="D676" s="719" t="inlineStr">
        <is>
          <t>PEPPERSTONE DEMO</t>
        </is>
      </c>
      <c r="E676" s="719" t="inlineStr">
        <is>
          <t>NZDCHF</t>
        </is>
      </c>
      <c r="F676" s="719" t="inlineStr">
        <is>
          <t>BUY</t>
        </is>
      </c>
      <c r="G676" s="735" t="n">
        <v>0.02</v>
      </c>
      <c r="H676" s="720" t="n">
        <v>0.6104000000000001</v>
      </c>
      <c r="I676" s="720" t="n">
        <v>0.60869</v>
      </c>
      <c r="J676" s="721" t="n">
        <v>0.6086</v>
      </c>
      <c r="K676" s="722" t="n">
        <v>0.002948885976408951</v>
      </c>
      <c r="L676" s="721" t="n">
        <v>0.616</v>
      </c>
      <c r="M676" s="722" t="n">
        <v>0.009174311926605403</v>
      </c>
      <c r="N676" s="761" t="n"/>
      <c r="O676" s="762" t="n">
        <v>-5.42</v>
      </c>
      <c r="P676" s="725" t="n">
        <v>-0.01130910153152777</v>
      </c>
      <c r="Q676" s="726" t="n">
        <v>-0.9500000000000431</v>
      </c>
      <c r="R676" s="764" t="n">
        <v>473.84</v>
      </c>
      <c r="S676" s="719" t="inlineStr">
        <is>
          <t>3H 5M 0S</t>
        </is>
      </c>
      <c r="T676" s="717" t="n"/>
      <c r="U676" s="806" t="n"/>
      <c r="V676" s="807" t="n">
        <v>0.6138</v>
      </c>
      <c r="W676" s="725" t="n">
        <v>-0.003399999999999959</v>
      </c>
      <c r="X676" s="722" t="n">
        <v>0.00219999999999998</v>
      </c>
      <c r="Y676" s="728" t="n"/>
      <c r="Z676" s="729" t="n"/>
      <c r="AA676" s="730" t="n"/>
      <c r="AB676" s="731" t="n"/>
      <c r="AC676" s="732" t="n"/>
      <c r="AD676" s="719" t="inlineStr">
        <is>
          <t>No</t>
        </is>
      </c>
      <c r="AE676" s="733" t="n"/>
      <c r="AF676" s="733" t="n"/>
      <c r="AG676" s="733" t="n"/>
      <c r="AH676" s="733" t="n"/>
      <c r="AI676" s="719" t="inlineStr">
        <is>
          <t>Limit</t>
        </is>
      </c>
      <c r="AJ676" s="733" t="n"/>
      <c r="AK676" s="733" t="n"/>
      <c r="AL676" s="733" t="n"/>
      <c r="AM676" s="733" t="n"/>
      <c r="AN676" s="733" t="n"/>
      <c r="AO676" s="733" t="n"/>
      <c r="AP676" s="719" t="inlineStr">
        <is>
          <t>Pullback</t>
        </is>
      </c>
      <c r="AQ676" s="719" t="inlineStr">
        <is>
          <t>1H</t>
        </is>
      </c>
      <c r="AR676" s="719" t="inlineStr">
        <is>
          <t>No</t>
        </is>
      </c>
      <c r="AS676" s="733" t="n"/>
      <c r="AT676" s="733" t="n"/>
      <c r="AU676" s="733" t="n"/>
      <c r="AV676" s="733" t="n"/>
      <c r="AW676" s="719" t="inlineStr">
        <is>
          <t>trade</t>
        </is>
      </c>
      <c r="AX676" s="734" t="inlineStr">
        <is>
          <t>sig:e3f9ad2b357bccb41d6fedd9</t>
        </is>
      </c>
    </row>
    <row r="677" ht="15" customHeight="1">
      <c r="A677" s="716" t="inlineStr">
        <is>
          <t>C66</t>
        </is>
      </c>
      <c r="B677" s="717" t="n">
        <v>44000.24583333333</v>
      </c>
      <c r="C677" s="718" t="n">
        <v>44006.29236111111</v>
      </c>
      <c r="D677" s="719" t="inlineStr">
        <is>
          <t>BINANCE</t>
        </is>
      </c>
      <c r="E677" s="719" t="inlineStr">
        <is>
          <t>FETUSDT</t>
        </is>
      </c>
      <c r="F677" s="719" t="inlineStr">
        <is>
          <t>BUY</t>
        </is>
      </c>
      <c r="G677" s="720" t="n">
        <v>1669.4</v>
      </c>
      <c r="H677" s="735" t="n">
        <v>0.03004</v>
      </c>
      <c r="I677" s="735" t="n">
        <v>0.03006</v>
      </c>
      <c r="J677" s="736" t="n">
        <v>0.02886</v>
      </c>
      <c r="K677" s="722" t="n">
        <v>0.03928095872170441</v>
      </c>
      <c r="L677" s="736" t="n">
        <v>0.03358</v>
      </c>
      <c r="M677" s="722" t="n">
        <v>0.1178428761651131</v>
      </c>
      <c r="N677" s="723" t="n">
        <v>0.07642647</v>
      </c>
      <c r="O677" s="777" t="n">
        <v>-0.04303847</v>
      </c>
      <c r="P677" s="763" t="n">
        <v>-0.0002084753537804734</v>
      </c>
      <c r="Q677" s="781" t="n">
        <v>0.01694915254237218</v>
      </c>
      <c r="R677" s="727" t="n">
        <v>206.40088509</v>
      </c>
      <c r="S677" s="719" t="inlineStr">
        <is>
          <t>6D 1H 7M 0S</t>
        </is>
      </c>
      <c r="T677" s="717" t="n">
        <v>44003.59444444445</v>
      </c>
      <c r="U677" s="806" t="inlineStr">
        <is>
          <t>3D 8H 22M 0S</t>
        </is>
      </c>
      <c r="V677" s="817" t="n">
        <v>0.03203</v>
      </c>
      <c r="W677" s="725" t="n">
        <v>0.06624500665778968</v>
      </c>
      <c r="X677" s="722" t="n">
        <v>0.0461584276354972</v>
      </c>
      <c r="Y677" s="728" t="n"/>
      <c r="Z677" s="729" t="n"/>
      <c r="AA677" s="730" t="n"/>
      <c r="AB677" s="731" t="n"/>
      <c r="AC677" s="732" t="n"/>
      <c r="AD677" s="719" t="inlineStr">
        <is>
          <t>No</t>
        </is>
      </c>
      <c r="AE677" s="733" t="n"/>
      <c r="AF677" s="733" t="n"/>
      <c r="AG677" s="733" t="n"/>
      <c r="AH677" s="733" t="n"/>
      <c r="AI677" s="719" t="inlineStr">
        <is>
          <t>Limit</t>
        </is>
      </c>
      <c r="AJ677" s="733" t="n"/>
      <c r="AK677" s="733" t="n"/>
      <c r="AL677" s="733" t="n"/>
      <c r="AM677" s="733" t="n"/>
      <c r="AN677" s="733" t="n"/>
      <c r="AO677" s="733" t="n"/>
      <c r="AP677" s="719" t="inlineStr">
        <is>
          <t>Pullback</t>
        </is>
      </c>
      <c r="AQ677" s="719" t="inlineStr">
        <is>
          <t>1H</t>
        </is>
      </c>
      <c r="AR677" s="719" t="inlineStr">
        <is>
          <t>No</t>
        </is>
      </c>
      <c r="AS677" s="733" t="n"/>
      <c r="AT677" s="733" t="n"/>
      <c r="AU677" s="733" t="n"/>
      <c r="AV677" s="733" t="n"/>
      <c r="AW677" s="719" t="inlineStr">
        <is>
          <t>trade</t>
        </is>
      </c>
      <c r="AX677" s="734" t="inlineStr">
        <is>
          <t>sig:69d0ecd24e4827423965e556</t>
        </is>
      </c>
    </row>
    <row r="678" ht="15" customHeight="1">
      <c r="A678" s="716" t="inlineStr">
        <is>
          <t>C67</t>
        </is>
      </c>
      <c r="B678" s="717" t="n">
        <v>44004.33819444444</v>
      </c>
      <c r="C678" s="718" t="n">
        <v>44004.99583333333</v>
      </c>
      <c r="D678" s="719" t="inlineStr">
        <is>
          <t>BINANCE</t>
        </is>
      </c>
      <c r="E678" s="719" t="inlineStr">
        <is>
          <t>ERDUSDT</t>
        </is>
      </c>
      <c r="F678" s="719" t="inlineStr">
        <is>
          <t>BUY</t>
        </is>
      </c>
      <c r="G678" s="720" t="n">
        <v>6769</v>
      </c>
      <c r="H678" s="757" t="n">
        <v>0.005137</v>
      </c>
      <c r="I678" s="757" t="n">
        <v>0.004846</v>
      </c>
      <c r="J678" s="798" t="n">
        <v>0.004846</v>
      </c>
      <c r="K678" s="722" t="n">
        <v>0.05664784893906959</v>
      </c>
      <c r="L678" s="798" t="n">
        <v>0.00645</v>
      </c>
      <c r="M678" s="722" t="n">
        <v>0.255596651742262</v>
      </c>
      <c r="N678" s="723" t="n">
        <v>0.05108668</v>
      </c>
      <c r="O678" s="724" t="n">
        <v>-2.02086568</v>
      </c>
      <c r="P678" s="725" t="n">
        <v>-0.009694038438661364</v>
      </c>
      <c r="Q678" s="726" t="n">
        <v>-1</v>
      </c>
      <c r="R678" s="727" t="n">
        <v>206.44392356</v>
      </c>
      <c r="S678" s="719" t="inlineStr">
        <is>
          <t>15H 47M 0S</t>
        </is>
      </c>
      <c r="T678" s="728" t="n"/>
      <c r="U678" s="729" t="n"/>
      <c r="V678" s="822" t="n">
        <v>0.005759</v>
      </c>
      <c r="W678" s="725" t="n">
        <v>0.1210823437804166</v>
      </c>
      <c r="X678" s="722" t="n">
        <v>0.1074085554866708</v>
      </c>
      <c r="Y678" s="728" t="n"/>
      <c r="Z678" s="729" t="n"/>
      <c r="AA678" s="730" t="n"/>
      <c r="AB678" s="731" t="n"/>
      <c r="AC678" s="732" t="n"/>
      <c r="AD678" s="719" t="inlineStr">
        <is>
          <t>No</t>
        </is>
      </c>
      <c r="AE678" s="733" t="n"/>
      <c r="AF678" s="733" t="n"/>
      <c r="AG678" s="733" t="n"/>
      <c r="AH678" s="733" t="n"/>
      <c r="AI678" s="719" t="inlineStr">
        <is>
          <t>Limit</t>
        </is>
      </c>
      <c r="AJ678" s="733" t="n"/>
      <c r="AK678" s="733" t="n"/>
      <c r="AL678" s="733" t="n"/>
      <c r="AM678" s="733" t="n"/>
      <c r="AN678" s="733" t="n"/>
      <c r="AO678" s="733" t="n"/>
      <c r="AP678" s="719" t="inlineStr">
        <is>
          <t>Pullback</t>
        </is>
      </c>
      <c r="AQ678" s="719" t="inlineStr">
        <is>
          <t>1H</t>
        </is>
      </c>
      <c r="AR678" s="719" t="inlineStr">
        <is>
          <t>No</t>
        </is>
      </c>
      <c r="AS678" s="733" t="n"/>
      <c r="AT678" s="733" t="n"/>
      <c r="AU678" s="733" t="n"/>
      <c r="AV678" s="733" t="n"/>
      <c r="AW678" s="719" t="inlineStr">
        <is>
          <t>trade</t>
        </is>
      </c>
      <c r="AX678" s="734" t="inlineStr">
        <is>
          <t>sig:3bf447a1480c25b8c9b9bb86</t>
        </is>
      </c>
    </row>
    <row r="679" ht="15" customHeight="1">
      <c r="A679" s="737" t="inlineStr">
        <is>
          <t>F771</t>
        </is>
      </c>
      <c r="B679" s="738" t="n">
        <v>44001.44930555556</v>
      </c>
      <c r="C679" s="739" t="n">
        <v>44002.22708333333</v>
      </c>
      <c r="D679" s="740" t="inlineStr">
        <is>
          <t>PEPPERSTONE DEMO</t>
        </is>
      </c>
      <c r="E679" s="740" t="inlineStr">
        <is>
          <t>NZDCHF</t>
        </is>
      </c>
      <c r="F679" s="740" t="inlineStr">
        <is>
          <t>BUY</t>
        </is>
      </c>
      <c r="G679" s="775" t="n">
        <v>0.02</v>
      </c>
      <c r="H679" s="742" t="n">
        <v>0.6103</v>
      </c>
      <c r="I679" s="742" t="n">
        <v>0.6107900000000001</v>
      </c>
      <c r="J679" s="743" t="n">
        <v>0.6087</v>
      </c>
      <c r="K679" s="744" t="n">
        <v>0.002621661477961551</v>
      </c>
      <c r="L679" s="743" t="n">
        <v>0.6159</v>
      </c>
      <c r="M679" s="744" t="n">
        <v>0.009175815172865885</v>
      </c>
      <c r="N679" s="796" t="n"/>
      <c r="O679" s="767" t="n">
        <v>1.38</v>
      </c>
      <c r="P679" s="747" t="n">
        <v>0.002887754247928349</v>
      </c>
      <c r="Q679" s="748" t="n">
        <v>0.3062500000000759</v>
      </c>
      <c r="R679" s="769" t="n">
        <v>479.26</v>
      </c>
      <c r="S679" s="740" t="inlineStr">
        <is>
          <t>18H 40M 0S</t>
        </is>
      </c>
      <c r="T679" s="750" t="n"/>
      <c r="U679" s="751" t="n"/>
      <c r="V679" s="810" t="n">
        <v>0.6132</v>
      </c>
      <c r="W679" s="747" t="n">
        <v>-0.002900000000000014</v>
      </c>
      <c r="X679" s="744" t="n">
        <v>0.002700000000000036</v>
      </c>
      <c r="Y679" s="750" t="n"/>
      <c r="Z679" s="751" t="n"/>
      <c r="AA679" s="752" t="n"/>
      <c r="AB679" s="753" t="n"/>
      <c r="AC679" s="754" t="n"/>
      <c r="AD679" s="740" t="inlineStr">
        <is>
          <t>No</t>
        </is>
      </c>
      <c r="AE679" s="755" t="n"/>
      <c r="AF679" s="755" t="n"/>
      <c r="AG679" s="755" t="n"/>
      <c r="AH679" s="755" t="n"/>
      <c r="AI679" s="740" t="inlineStr">
        <is>
          <t>Limit</t>
        </is>
      </c>
      <c r="AJ679" s="755" t="n"/>
      <c r="AK679" s="755" t="n"/>
      <c r="AL679" s="755" t="n"/>
      <c r="AM679" s="755" t="n"/>
      <c r="AN679" s="755" t="n"/>
      <c r="AO679" s="755" t="n"/>
      <c r="AP679" s="740" t="inlineStr">
        <is>
          <t>Pullback</t>
        </is>
      </c>
      <c r="AQ679" s="740" t="inlineStr">
        <is>
          <t>1H</t>
        </is>
      </c>
      <c r="AR679" s="740" t="inlineStr">
        <is>
          <t>No</t>
        </is>
      </c>
      <c r="AS679" s="755" t="n"/>
      <c r="AT679" s="755" t="n"/>
      <c r="AU679" s="755" t="n"/>
      <c r="AV679" s="755" t="n"/>
      <c r="AW679" s="740" t="inlineStr">
        <is>
          <t>trade</t>
        </is>
      </c>
      <c r="AX679" s="756" t="inlineStr">
        <is>
          <t>sig:23a78d3498a9b6cb539f9786</t>
        </is>
      </c>
    </row>
    <row r="680" ht="15" customHeight="1">
      <c r="A680" s="716" t="inlineStr">
        <is>
          <t>F1097</t>
        </is>
      </c>
      <c r="B680" s="717" t="n">
        <v>43999.02777777778</v>
      </c>
      <c r="C680" s="718" t="n">
        <v>43999.03611111111</v>
      </c>
      <c r="D680" s="719" t="inlineStr">
        <is>
          <t>PEPPERSTONE DEMO</t>
        </is>
      </c>
      <c r="E680" s="719" t="inlineStr">
        <is>
          <t>GBPJPY</t>
        </is>
      </c>
      <c r="F680" s="719" t="inlineStr">
        <is>
          <t>BUY</t>
        </is>
      </c>
      <c r="G680" s="735" t="n">
        <v>0.01</v>
      </c>
      <c r="H680" s="720" t="n">
        <v>135.38</v>
      </c>
      <c r="I680" s="720" t="n">
        <v>135.052</v>
      </c>
      <c r="J680" s="721" t="n">
        <v>135.05</v>
      </c>
      <c r="K680" s="722" t="n">
        <v>0.002437583099423726</v>
      </c>
      <c r="L680" s="721" t="n">
        <v>136.92</v>
      </c>
      <c r="M680" s="722" t="n">
        <v>0.01137538779731121</v>
      </c>
      <c r="N680" s="761" t="n"/>
      <c r="O680" s="762" t="n">
        <v>-4.47</v>
      </c>
      <c r="P680" s="725" t="n">
        <v>-0.009267129677619982</v>
      </c>
      <c r="Q680" s="726" t="n">
        <v>-0.9939393939394509</v>
      </c>
      <c r="R680" s="764" t="n">
        <v>477.8800000000001</v>
      </c>
      <c r="S680" s="719" t="inlineStr">
        <is>
          <t>12M 0S</t>
        </is>
      </c>
      <c r="T680" s="728" t="n"/>
      <c r="U680" s="729" t="n"/>
      <c r="V680" s="807" t="n"/>
      <c r="W680" s="725" t="n"/>
      <c r="X680" s="722" t="n"/>
      <c r="Y680" s="728" t="n"/>
      <c r="Z680" s="729" t="n"/>
      <c r="AA680" s="730" t="n"/>
      <c r="AB680" s="731" t="n"/>
      <c r="AC680" s="732" t="n"/>
      <c r="AD680" s="719" t="inlineStr">
        <is>
          <t>No</t>
        </is>
      </c>
      <c r="AE680" s="733" t="n"/>
      <c r="AF680" s="733" t="n"/>
      <c r="AG680" s="733" t="n"/>
      <c r="AH680" s="733" t="n"/>
      <c r="AI680" s="719" t="n"/>
      <c r="AJ680" s="733" t="n"/>
      <c r="AK680" s="733" t="n"/>
      <c r="AL680" s="733" t="n"/>
      <c r="AM680" s="733" t="n"/>
      <c r="AN680" s="733" t="n"/>
      <c r="AO680" s="733" t="n"/>
      <c r="AP680" s="719" t="inlineStr">
        <is>
          <t>Pullback</t>
        </is>
      </c>
      <c r="AQ680" s="719" t="n"/>
      <c r="AR680" s="719" t="inlineStr">
        <is>
          <t>No</t>
        </is>
      </c>
      <c r="AS680" s="733" t="n"/>
      <c r="AT680" s="733" t="n"/>
      <c r="AU680" s="733" t="n"/>
      <c r="AV680" s="733" t="n"/>
      <c r="AW680" s="719" t="inlineStr">
        <is>
          <t>trade</t>
        </is>
      </c>
      <c r="AX680" s="734" t="inlineStr">
        <is>
          <t>sig:3e9761baecb7a99ea1886be7</t>
        </is>
      </c>
    </row>
    <row r="681" ht="15" customHeight="1">
      <c r="A681" s="716" t="inlineStr">
        <is>
          <t>F769</t>
        </is>
      </c>
      <c r="B681" s="717" t="n">
        <v>43998.99166666667</v>
      </c>
      <c r="C681" s="718" t="n">
        <v>43999.0125</v>
      </c>
      <c r="D681" s="719" t="inlineStr">
        <is>
          <t>PEPPERSTONE DEMO</t>
        </is>
      </c>
      <c r="E681" s="719" t="inlineStr">
        <is>
          <t>EURCAD</t>
        </is>
      </c>
      <c r="F681" s="719" t="inlineStr">
        <is>
          <t>BUY</t>
        </is>
      </c>
      <c r="G681" s="735" t="n">
        <v>0.01</v>
      </c>
      <c r="H681" s="720" t="n">
        <v>1.5266</v>
      </c>
      <c r="I681" s="720" t="n">
        <v>1.52207</v>
      </c>
      <c r="J681" s="721" t="n">
        <v>1.522</v>
      </c>
      <c r="K681" s="722" t="n">
        <v>0.003013232018865412</v>
      </c>
      <c r="L681" s="721" t="n">
        <v>1.5446</v>
      </c>
      <c r="M681" s="722" t="n">
        <v>0.0117909078999083</v>
      </c>
      <c r="N681" s="761" t="n"/>
      <c r="O681" s="762" t="n">
        <v>-4.91</v>
      </c>
      <c r="P681" s="725" t="n">
        <v>-0.01007675573615729</v>
      </c>
      <c r="Q681" s="726" t="n">
        <v>-0.9847826086956488</v>
      </c>
      <c r="R681" s="764" t="n">
        <v>482.3500000000001</v>
      </c>
      <c r="S681" s="719" t="inlineStr">
        <is>
          <t>30M 0S</t>
        </is>
      </c>
      <c r="T681" s="728" t="n"/>
      <c r="U681" s="729" t="n"/>
      <c r="V681" s="807" t="n">
        <v>1.5358</v>
      </c>
      <c r="W681" s="725" t="n">
        <v>-0.009200000000000097</v>
      </c>
      <c r="X681" s="722" t="n">
        <v>0.008799999999999919</v>
      </c>
      <c r="Y681" s="728" t="n"/>
      <c r="Z681" s="729" t="n"/>
      <c r="AA681" s="730" t="n"/>
      <c r="AB681" s="731" t="n"/>
      <c r="AC681" s="732" t="n"/>
      <c r="AD681" s="719" t="inlineStr">
        <is>
          <t>No</t>
        </is>
      </c>
      <c r="AE681" s="733" t="n"/>
      <c r="AF681" s="733" t="n"/>
      <c r="AG681" s="733" t="n"/>
      <c r="AH681" s="733" t="n"/>
      <c r="AI681" s="719" t="inlineStr">
        <is>
          <t>Limit</t>
        </is>
      </c>
      <c r="AJ681" s="733" t="n"/>
      <c r="AK681" s="733" t="n"/>
      <c r="AL681" s="733" t="n"/>
      <c r="AM681" s="733" t="n"/>
      <c r="AN681" s="733" t="n"/>
      <c r="AO681" s="733" t="n"/>
      <c r="AP681" s="719" t="inlineStr">
        <is>
          <t>Pullback</t>
        </is>
      </c>
      <c r="AQ681" s="719" t="inlineStr">
        <is>
          <t>1H</t>
        </is>
      </c>
      <c r="AR681" s="719" t="inlineStr">
        <is>
          <t>No</t>
        </is>
      </c>
      <c r="AS681" s="733" t="n"/>
      <c r="AT681" s="733" t="n"/>
      <c r="AU681" s="733" t="n"/>
      <c r="AV681" s="733" t="n"/>
      <c r="AW681" s="719" t="inlineStr">
        <is>
          <t>trade</t>
        </is>
      </c>
      <c r="AX681" s="734" t="inlineStr">
        <is>
          <t>sig:0bbeee58b9c57e200d2ec908</t>
        </is>
      </c>
    </row>
    <row r="682" ht="15" customHeight="1">
      <c r="A682" s="716" t="inlineStr">
        <is>
          <t>C64</t>
        </is>
      </c>
      <c r="B682" s="717" t="n">
        <v>43994.25</v>
      </c>
      <c r="C682" s="718" t="n">
        <v>43997.58472222222</v>
      </c>
      <c r="D682" s="719" t="inlineStr">
        <is>
          <t>BINANCE</t>
        </is>
      </c>
      <c r="E682" s="719" t="inlineStr">
        <is>
          <t>BTCUSDT</t>
        </is>
      </c>
      <c r="F682" s="719" t="inlineStr">
        <is>
          <t>BUY</t>
        </is>
      </c>
      <c r="G682" s="735" t="n">
        <v>0.01</v>
      </c>
      <c r="H682" s="720" t="n">
        <v>9265.07</v>
      </c>
      <c r="I682" s="720" t="n">
        <v>9174.93</v>
      </c>
      <c r="J682" s="721" t="n">
        <v>9039.629999999999</v>
      </c>
      <c r="K682" s="722" t="n">
        <v>0.0243322500531567</v>
      </c>
      <c r="L682" s="721" t="n">
        <v>9985.209999999999</v>
      </c>
      <c r="M682" s="722" t="n">
        <v>0.07772634205677879</v>
      </c>
      <c r="N682" s="758" t="n">
        <v>0.12268515</v>
      </c>
      <c r="O682" s="724" t="n">
        <v>-0.92150583</v>
      </c>
      <c r="P682" s="725" t="n">
        <v>-0.004400984456465649</v>
      </c>
      <c r="Q682" s="726" t="n">
        <v>-0.399840312278208</v>
      </c>
      <c r="R682" s="727" t="n">
        <v>208.46478924</v>
      </c>
      <c r="S682" s="719" t="inlineStr">
        <is>
          <t>3D 8H 2M 0S</t>
        </is>
      </c>
      <c r="T682" s="728" t="n"/>
      <c r="U682" s="729" t="n"/>
      <c r="V682" s="807" t="n">
        <v>9626.75</v>
      </c>
      <c r="W682" s="725" t="n">
        <v>0.03903694197669314</v>
      </c>
      <c r="X682" s="722" t="n">
        <v>0.03589909476115166</v>
      </c>
      <c r="Y682" s="728" t="n"/>
      <c r="Z682" s="729" t="n"/>
      <c r="AA682" s="730" t="n"/>
      <c r="AB682" s="731" t="n"/>
      <c r="AC682" s="732" t="n"/>
      <c r="AD682" s="719" t="inlineStr">
        <is>
          <t>No</t>
        </is>
      </c>
      <c r="AE682" s="733" t="n"/>
      <c r="AF682" s="733" t="n"/>
      <c r="AG682" s="733" t="n"/>
      <c r="AH682" s="733" t="n"/>
      <c r="AI682" s="719" t="inlineStr">
        <is>
          <t>Limit</t>
        </is>
      </c>
      <c r="AJ682" s="733" t="n"/>
      <c r="AK682" s="733" t="n"/>
      <c r="AL682" s="733" t="n"/>
      <c r="AM682" s="733" t="n"/>
      <c r="AN682" s="733" t="n"/>
      <c r="AO682" s="733" t="n"/>
      <c r="AP682" s="719" t="inlineStr">
        <is>
          <t>Pullback</t>
        </is>
      </c>
      <c r="AQ682" s="719" t="inlineStr">
        <is>
          <t>1H</t>
        </is>
      </c>
      <c r="AR682" s="719" t="inlineStr">
        <is>
          <t>No</t>
        </is>
      </c>
      <c r="AS682" s="733" t="n"/>
      <c r="AT682" s="733" t="n"/>
      <c r="AU682" s="733" t="n"/>
      <c r="AV682" s="733" t="n"/>
      <c r="AW682" s="719" t="inlineStr">
        <is>
          <t>trade</t>
        </is>
      </c>
      <c r="AX682" s="734" t="inlineStr">
        <is>
          <t>sig:1e12e0b502fa3861d8b5f92d</t>
        </is>
      </c>
    </row>
    <row r="683" ht="15" customHeight="1">
      <c r="A683" s="716" t="inlineStr">
        <is>
          <t>C65</t>
        </is>
      </c>
      <c r="B683" s="717" t="n">
        <v>43997.34027777778</v>
      </c>
      <c r="C683" s="718" t="n">
        <v>43997.49236111111</v>
      </c>
      <c r="D683" s="719" t="inlineStr">
        <is>
          <t>BINANCE</t>
        </is>
      </c>
      <c r="E683" s="719" t="inlineStr">
        <is>
          <t>CTSIUSDT</t>
        </is>
      </c>
      <c r="F683" s="719" t="inlineStr">
        <is>
          <t>BUY</t>
        </is>
      </c>
      <c r="G683" s="720" t="n">
        <v>609.1</v>
      </c>
      <c r="H683" s="735" t="n">
        <v>0.0411</v>
      </c>
      <c r="I683" s="735" t="n">
        <v>0.03781</v>
      </c>
      <c r="J683" s="736" t="n">
        <v>0.03781</v>
      </c>
      <c r="K683" s="722" t="n">
        <v>0.08004866180048649</v>
      </c>
      <c r="L683" s="736" t="n">
        <v>0.05093</v>
      </c>
      <c r="M683" s="722" t="n">
        <v>0.2391727493917276</v>
      </c>
      <c r="N683" s="723" t="n">
        <v>0.01888351</v>
      </c>
      <c r="O683" s="724" t="n">
        <v>-2.02282251</v>
      </c>
      <c r="P683" s="725" t="n">
        <v>-0.009568284155173854</v>
      </c>
      <c r="Q683" s="726" t="n">
        <v>-1</v>
      </c>
      <c r="R683" s="727" t="n">
        <v>209.38629507</v>
      </c>
      <c r="S683" s="719" t="inlineStr">
        <is>
          <t>3H 39M 0S</t>
        </is>
      </c>
      <c r="T683" s="728" t="n"/>
      <c r="U683" s="729" t="n"/>
      <c r="V683" s="817" t="n">
        <v>0.04589</v>
      </c>
      <c r="W683" s="725" t="n">
        <v>0.1165450121654502</v>
      </c>
      <c r="X683" s="722" t="n">
        <v>0.09895935597879447</v>
      </c>
      <c r="Y683" s="728" t="n"/>
      <c r="Z683" s="729" t="n"/>
      <c r="AA683" s="730" t="n"/>
      <c r="AB683" s="731" t="n"/>
      <c r="AC683" s="732" t="n"/>
      <c r="AD683" s="719" t="inlineStr">
        <is>
          <t>No</t>
        </is>
      </c>
      <c r="AE683" s="733" t="n"/>
      <c r="AF683" s="733" t="n"/>
      <c r="AG683" s="733" t="n"/>
      <c r="AH683" s="733" t="n"/>
      <c r="AI683" s="719" t="inlineStr">
        <is>
          <t>Limit</t>
        </is>
      </c>
      <c r="AJ683" s="733" t="n"/>
      <c r="AK683" s="733" t="n"/>
      <c r="AL683" s="733" t="n"/>
      <c r="AM683" s="733" t="n"/>
      <c r="AN683" s="733" t="n"/>
      <c r="AO683" s="733" t="n"/>
      <c r="AP683" s="719" t="inlineStr">
        <is>
          <t>Pullback</t>
        </is>
      </c>
      <c r="AQ683" s="719" t="inlineStr">
        <is>
          <t>1H</t>
        </is>
      </c>
      <c r="AR683" s="719" t="inlineStr">
        <is>
          <t>No</t>
        </is>
      </c>
      <c r="AS683" s="733" t="n"/>
      <c r="AT683" s="733" t="n"/>
      <c r="AU683" s="733" t="n"/>
      <c r="AV683" s="733" t="n"/>
      <c r="AW683" s="719" t="inlineStr">
        <is>
          <t>trade</t>
        </is>
      </c>
      <c r="AX683" s="734" t="inlineStr">
        <is>
          <t>sig:75f575dc0daded4a728cf919</t>
        </is>
      </c>
    </row>
    <row r="684" ht="15" customHeight="1">
      <c r="A684" s="716" t="inlineStr">
        <is>
          <t>F768</t>
        </is>
      </c>
      <c r="B684" s="717" t="n">
        <v>43994.20694444444</v>
      </c>
      <c r="C684" s="718" t="n">
        <v>43995.21805555555</v>
      </c>
      <c r="D684" s="719" t="inlineStr">
        <is>
          <t>PEPPERSTONE DEMO</t>
        </is>
      </c>
      <c r="E684" s="719" t="inlineStr">
        <is>
          <t>AUDCAD</t>
        </is>
      </c>
      <c r="F684" s="719" t="inlineStr">
        <is>
          <t>BUY</t>
        </is>
      </c>
      <c r="G684" s="735" t="n">
        <v>0.01</v>
      </c>
      <c r="H684" s="720" t="n">
        <v>0.93152</v>
      </c>
      <c r="I684" s="720" t="n">
        <v>0.93152</v>
      </c>
      <c r="J684" s="721" t="n">
        <v>0.9268999999999999</v>
      </c>
      <c r="K684" s="722" t="n">
        <v>0.004959635863964347</v>
      </c>
      <c r="L684" s="721" t="n">
        <v>0.9415</v>
      </c>
      <c r="M684" s="722" t="n">
        <v>0.01071367227756783</v>
      </c>
      <c r="N684" s="792" t="n">
        <v>0.02</v>
      </c>
      <c r="O684" s="804" t="n">
        <v>-0.02</v>
      </c>
      <c r="P684" s="800" t="n">
        <v>-4.104416351994746e-05</v>
      </c>
      <c r="Q684" s="726" t="n">
        <v>0</v>
      </c>
      <c r="R684" s="764" t="n">
        <v>487.2600000000001</v>
      </c>
      <c r="S684" s="719" t="inlineStr">
        <is>
          <t>1D 0H 16M 0S</t>
        </is>
      </c>
      <c r="T684" s="717" t="n">
        <v>43995.2125</v>
      </c>
      <c r="U684" s="806" t="inlineStr">
        <is>
          <t>1D 0H 8M 0S</t>
        </is>
      </c>
      <c r="V684" s="807" t="n"/>
      <c r="W684" s="725" t="n"/>
      <c r="X684" s="722" t="n"/>
      <c r="Y684" s="728" t="n"/>
      <c r="Z684" s="729" t="n"/>
      <c r="AA684" s="730" t="n"/>
      <c r="AB684" s="731" t="n"/>
      <c r="AC684" s="732" t="n"/>
      <c r="AD684" s="719" t="inlineStr">
        <is>
          <t>No</t>
        </is>
      </c>
      <c r="AE684" s="733" t="n"/>
      <c r="AF684" s="733" t="n"/>
      <c r="AG684" s="733" t="n"/>
      <c r="AH684" s="733" t="n"/>
      <c r="AI684" s="719" t="inlineStr">
        <is>
          <t>Limit</t>
        </is>
      </c>
      <c r="AJ684" s="733" t="n"/>
      <c r="AK684" s="733" t="n"/>
      <c r="AL684" s="733" t="n"/>
      <c r="AM684" s="733" t="n"/>
      <c r="AN684" s="733" t="n"/>
      <c r="AO684" s="733" t="n"/>
      <c r="AP684" s="719" t="inlineStr">
        <is>
          <t>Pullback</t>
        </is>
      </c>
      <c r="AQ684" s="719" t="inlineStr">
        <is>
          <t>1H</t>
        </is>
      </c>
      <c r="AR684" s="719" t="inlineStr">
        <is>
          <t>No</t>
        </is>
      </c>
      <c r="AS684" s="733" t="n"/>
      <c r="AT684" s="733" t="n"/>
      <c r="AU684" s="733" t="n"/>
      <c r="AV684" s="733" t="n"/>
      <c r="AW684" s="719" t="inlineStr">
        <is>
          <t>trade</t>
        </is>
      </c>
      <c r="AX684" s="734" t="inlineStr">
        <is>
          <t>sig:df1a9ac705032b78af71ecef</t>
        </is>
      </c>
    </row>
    <row r="685" ht="15" customHeight="1">
      <c r="A685" s="716" t="inlineStr">
        <is>
          <t>C63</t>
        </is>
      </c>
      <c r="B685" s="717" t="n">
        <v>43993.20277777778</v>
      </c>
      <c r="C685" s="718" t="n">
        <v>43994.01527777778</v>
      </c>
      <c r="D685" s="719" t="inlineStr">
        <is>
          <t>BINANCE</t>
        </is>
      </c>
      <c r="E685" s="719" t="inlineStr">
        <is>
          <t>BNTUSDT</t>
        </is>
      </c>
      <c r="F685" s="719" t="inlineStr">
        <is>
          <t>BUY</t>
        </is>
      </c>
      <c r="G685" s="720" t="n">
        <v>58.6</v>
      </c>
      <c r="H685" s="720" t="n">
        <v>0.802</v>
      </c>
      <c r="I685" s="720" t="n">
        <v>0.7548</v>
      </c>
      <c r="J685" s="721" t="n">
        <v>0.7592</v>
      </c>
      <c r="K685" s="722" t="n">
        <v>0.05336658354114721</v>
      </c>
      <c r="L685" s="721" t="n">
        <v>0.9304</v>
      </c>
      <c r="M685" s="722" t="n">
        <v>0.1600997506234413</v>
      </c>
      <c r="N685" s="723" t="n">
        <v>0.06982649</v>
      </c>
      <c r="O685" s="724" t="n">
        <v>-1.35225049</v>
      </c>
      <c r="P685" s="725" t="n">
        <v>-0.006355714396210783</v>
      </c>
      <c r="Q685" s="726" t="n">
        <v>-1.102803738317756</v>
      </c>
      <c r="R685" s="727" t="n">
        <v>211.40911758</v>
      </c>
      <c r="S685" s="719" t="inlineStr">
        <is>
          <t>19H 30M 0S</t>
        </is>
      </c>
      <c r="T685" s="717" t="n">
        <v>43993.17083333333</v>
      </c>
      <c r="U685" s="806" t="inlineStr">
        <is>
          <t>9H 13M 7S</t>
        </is>
      </c>
      <c r="V685" s="807" t="n">
        <v>0.8675</v>
      </c>
      <c r="W685" s="725" t="n">
        <v>0.08167082294264338</v>
      </c>
      <c r="X685" s="722" t="n">
        <v>0.06760533104041268</v>
      </c>
      <c r="Y685" s="728" t="n"/>
      <c r="Z685" s="729" t="n"/>
      <c r="AA685" s="730" t="n"/>
      <c r="AB685" s="731" t="n"/>
      <c r="AC685" s="732" t="n"/>
      <c r="AD685" s="719" t="inlineStr">
        <is>
          <t>No</t>
        </is>
      </c>
      <c r="AE685" s="733" t="n"/>
      <c r="AF685" s="733" t="n"/>
      <c r="AG685" s="733" t="n"/>
      <c r="AH685" s="733" t="n"/>
      <c r="AI685" s="719" t="inlineStr">
        <is>
          <t>Limit</t>
        </is>
      </c>
      <c r="AJ685" s="733" t="n"/>
      <c r="AK685" s="733" t="n"/>
      <c r="AL685" s="733" t="n"/>
      <c r="AM685" s="733" t="n"/>
      <c r="AN685" s="733" t="n"/>
      <c r="AO685" s="733" t="n"/>
      <c r="AP685" s="719" t="inlineStr">
        <is>
          <t>Pullback</t>
        </is>
      </c>
      <c r="AQ685" s="719" t="inlineStr">
        <is>
          <t>1H</t>
        </is>
      </c>
      <c r="AR685" s="719" t="inlineStr">
        <is>
          <t>No</t>
        </is>
      </c>
      <c r="AS685" s="733" t="n"/>
      <c r="AT685" s="733" t="n"/>
      <c r="AU685" s="733" t="n"/>
      <c r="AV685" s="733" t="n"/>
      <c r="AW685" s="719" t="inlineStr">
        <is>
          <t>trade</t>
        </is>
      </c>
      <c r="AX685" s="734" t="inlineStr">
        <is>
          <t>sig:abe9922b59ebb0212e1e5984</t>
        </is>
      </c>
    </row>
    <row r="686" ht="15" customHeight="1">
      <c r="A686" s="716" t="inlineStr">
        <is>
          <t>F767</t>
        </is>
      </c>
      <c r="B686" s="717" t="n">
        <v>43992.06875</v>
      </c>
      <c r="C686" s="718" t="n">
        <v>43992.94930555556</v>
      </c>
      <c r="D686" s="719" t="inlineStr">
        <is>
          <t>PEPPERSTONE DEMO</t>
        </is>
      </c>
      <c r="E686" s="719" t="inlineStr">
        <is>
          <t>GBPCAD</t>
        </is>
      </c>
      <c r="F686" s="719" t="inlineStr">
        <is>
          <t>SELL</t>
        </is>
      </c>
      <c r="G686" s="735" t="n">
        <v>0.01</v>
      </c>
      <c r="H686" s="720" t="n">
        <v>1.7109</v>
      </c>
      <c r="I686" s="720" t="n">
        <v>1.71254</v>
      </c>
      <c r="J686" s="721" t="n">
        <v>1.7153</v>
      </c>
      <c r="K686" s="722" t="n">
        <v>0.002571745864749523</v>
      </c>
      <c r="L686" s="721" t="n">
        <v>1.688</v>
      </c>
      <c r="M686" s="722" t="n">
        <v>0.01338476825062841</v>
      </c>
      <c r="N686" s="792" t="n">
        <v>0.04</v>
      </c>
      <c r="O686" s="762" t="n">
        <v>-1.78</v>
      </c>
      <c r="P686" s="725" t="n">
        <v>-0.003639635218582586</v>
      </c>
      <c r="Q686" s="726" t="n">
        <v>-0.3727272727272452</v>
      </c>
      <c r="R686" s="764" t="n">
        <v>487.2800000000001</v>
      </c>
      <c r="S686" s="719" t="inlineStr">
        <is>
          <t>21H 8M 0S</t>
        </is>
      </c>
      <c r="T686" s="728" t="n"/>
      <c r="U686" s="729" t="n"/>
      <c r="V686" s="807" t="n">
        <v>1.7006</v>
      </c>
      <c r="W686" s="725" t="n">
        <v>0.0103000000000002</v>
      </c>
      <c r="X686" s="722" t="n">
        <v>-0.01259999999999994</v>
      </c>
      <c r="Y686" s="728" t="n"/>
      <c r="Z686" s="729" t="n"/>
      <c r="AA686" s="730" t="n"/>
      <c r="AB686" s="731" t="n"/>
      <c r="AC686" s="732" t="n"/>
      <c r="AD686" s="719" t="inlineStr">
        <is>
          <t>No</t>
        </is>
      </c>
      <c r="AE686" s="733" t="n"/>
      <c r="AF686" s="733" t="n"/>
      <c r="AG686" s="733" t="n"/>
      <c r="AH686" s="733" t="n"/>
      <c r="AI686" s="719" t="inlineStr">
        <is>
          <t>Limit</t>
        </is>
      </c>
      <c r="AJ686" s="733" t="n"/>
      <c r="AK686" s="733" t="n"/>
      <c r="AL686" s="733" t="n"/>
      <c r="AM686" s="733" t="n"/>
      <c r="AN686" s="733" t="n"/>
      <c r="AO686" s="733" t="n"/>
      <c r="AP686" s="719" t="inlineStr">
        <is>
          <t>Pullback</t>
        </is>
      </c>
      <c r="AQ686" s="719" t="inlineStr">
        <is>
          <t>1H</t>
        </is>
      </c>
      <c r="AR686" s="719" t="inlineStr">
        <is>
          <t>No</t>
        </is>
      </c>
      <c r="AS686" s="733" t="n"/>
      <c r="AT686" s="733" t="n"/>
      <c r="AU686" s="733" t="n"/>
      <c r="AV686" s="733" t="n"/>
      <c r="AW686" s="719" t="inlineStr">
        <is>
          <t>trade</t>
        </is>
      </c>
      <c r="AX686" s="734" t="inlineStr">
        <is>
          <t>sig:7ac25720258bcb31b28ce131</t>
        </is>
      </c>
    </row>
    <row r="687" ht="15" customHeight="1">
      <c r="A687" s="716" t="inlineStr">
        <is>
          <t>F766</t>
        </is>
      </c>
      <c r="B687" s="717" t="n">
        <v>43991.77638888889</v>
      </c>
      <c r="C687" s="718" t="n">
        <v>43991.77638888889</v>
      </c>
      <c r="D687" s="719" t="inlineStr">
        <is>
          <t>PEPPERSTONE DEMO</t>
        </is>
      </c>
      <c r="E687" s="719" t="inlineStr">
        <is>
          <t>GBPUSD</t>
        </is>
      </c>
      <c r="F687" s="719" t="inlineStr">
        <is>
          <t>BUY</t>
        </is>
      </c>
      <c r="G687" s="735" t="n">
        <v>0.01</v>
      </c>
      <c r="H687" s="720" t="n">
        <v>1.2637</v>
      </c>
      <c r="I687" s="720" t="n">
        <v>1.26356</v>
      </c>
      <c r="J687" s="721" t="n">
        <v>1.2595</v>
      </c>
      <c r="K687" s="722" t="n">
        <v>0.003323573632982497</v>
      </c>
      <c r="L687" s="721" t="n">
        <v>1.2721</v>
      </c>
      <c r="M687" s="722" t="n">
        <v>0.006647147265964994</v>
      </c>
      <c r="N687" s="788" t="n"/>
      <c r="O687" s="762" t="n">
        <v>-0.21</v>
      </c>
      <c r="P687" s="763" t="n">
        <v>-0.0004292108651664723</v>
      </c>
      <c r="Q687" s="781" t="n">
        <v>-0.03333333333334038</v>
      </c>
      <c r="R687" s="764" t="n">
        <v>489.0600000000001</v>
      </c>
      <c r="S687" s="719" t="inlineStr">
        <is>
          <t>1S</t>
        </is>
      </c>
      <c r="T687" s="728" t="n"/>
      <c r="U687" s="729" t="n"/>
      <c r="V687" s="730" t="n"/>
      <c r="W687" s="731" t="n"/>
      <c r="X687" s="732" t="n"/>
      <c r="Y687" s="728" t="n"/>
      <c r="Z687" s="729" t="n"/>
      <c r="AA687" s="730" t="n"/>
      <c r="AB687" s="731" t="n"/>
      <c r="AC687" s="732" t="n"/>
      <c r="AD687" s="719" t="inlineStr">
        <is>
          <t>No</t>
        </is>
      </c>
      <c r="AE687" s="733" t="n"/>
      <c r="AF687" s="733" t="n"/>
      <c r="AG687" s="733" t="n"/>
      <c r="AH687" s="733" t="n"/>
      <c r="AI687" s="719" t="inlineStr">
        <is>
          <t>Market</t>
        </is>
      </c>
      <c r="AJ687" s="733" t="n"/>
      <c r="AK687" s="733" t="n"/>
      <c r="AL687" s="733" t="n"/>
      <c r="AM687" s="733" t="n"/>
      <c r="AN687" s="733" t="n"/>
      <c r="AO687" s="733" t="n"/>
      <c r="AP687" s="719" t="inlineStr">
        <is>
          <t>Pullback</t>
        </is>
      </c>
      <c r="AQ687" s="719" t="inlineStr">
        <is>
          <t>1H</t>
        </is>
      </c>
      <c r="AR687" s="719" t="inlineStr">
        <is>
          <t>No</t>
        </is>
      </c>
      <c r="AS687" s="782" t="n"/>
      <c r="AT687" s="733" t="n"/>
      <c r="AU687" s="719" t="n"/>
      <c r="AV687" s="719" t="n"/>
      <c r="AW687" s="719" t="inlineStr">
        <is>
          <t>trade</t>
        </is>
      </c>
      <c r="AX687" s="734" t="inlineStr">
        <is>
          <t>sig:47b0df27aa4cfb282a9ce574</t>
        </is>
      </c>
    </row>
    <row r="688" ht="15" customHeight="1">
      <c r="A688" s="716" t="inlineStr">
        <is>
          <t>F765</t>
        </is>
      </c>
      <c r="B688" s="717" t="n">
        <v>43991.08194444444</v>
      </c>
      <c r="C688" s="718" t="n">
        <v>43991.44236111111</v>
      </c>
      <c r="D688" s="719" t="inlineStr">
        <is>
          <t>PEPPERSTONE DEMO</t>
        </is>
      </c>
      <c r="E688" s="719" t="inlineStr">
        <is>
          <t>USDJPY</t>
        </is>
      </c>
      <c r="F688" s="719" t="inlineStr">
        <is>
          <t>BUY</t>
        </is>
      </c>
      <c r="G688" s="735" t="n">
        <v>0.01</v>
      </c>
      <c r="H688" s="720" t="n">
        <v>108.44</v>
      </c>
      <c r="I688" s="720" t="n">
        <v>108.104</v>
      </c>
      <c r="J688" s="721" t="n">
        <v>108.1</v>
      </c>
      <c r="K688" s="722" t="n">
        <v>0.00313537440059022</v>
      </c>
      <c r="L688" s="721" t="n">
        <v>109.52</v>
      </c>
      <c r="M688" s="722" t="n">
        <v>0.009959424566580583</v>
      </c>
      <c r="N688" s="792" t="n">
        <v>0.02</v>
      </c>
      <c r="O688" s="762" t="n">
        <v>-4.5</v>
      </c>
      <c r="P688" s="725" t="n">
        <v>-0.009113554893978979</v>
      </c>
      <c r="Q688" s="726" t="n">
        <v>-0.9882352941176328</v>
      </c>
      <c r="R688" s="764" t="n">
        <v>489.27</v>
      </c>
      <c r="S688" s="719" t="inlineStr">
        <is>
          <t>8H 39M 0S</t>
        </is>
      </c>
      <c r="T688" s="717" t="n"/>
      <c r="U688" s="806" t="n"/>
      <c r="V688" s="807" t="n">
        <v>108.99</v>
      </c>
      <c r="W688" s="725" t="n">
        <v>-0.5499999999999972</v>
      </c>
      <c r="X688" s="722" t="n">
        <v>0.5300000000000011</v>
      </c>
      <c r="Y688" s="728" t="n"/>
      <c r="Z688" s="729" t="n"/>
      <c r="AA688" s="730" t="n"/>
      <c r="AB688" s="731" t="n"/>
      <c r="AC688" s="732" t="n"/>
      <c r="AD688" s="719" t="inlineStr">
        <is>
          <t>No</t>
        </is>
      </c>
      <c r="AE688" s="733" t="n"/>
      <c r="AF688" s="733" t="n"/>
      <c r="AG688" s="733" t="n"/>
      <c r="AH688" s="733" t="n"/>
      <c r="AI688" s="719" t="inlineStr">
        <is>
          <t>Limit</t>
        </is>
      </c>
      <c r="AJ688" s="733" t="n"/>
      <c r="AK688" s="719" t="n"/>
      <c r="AL688" s="733" t="n"/>
      <c r="AM688" s="733" t="n"/>
      <c r="AN688" s="733" t="n"/>
      <c r="AO688" s="733" t="n"/>
      <c r="AP688" s="719" t="inlineStr">
        <is>
          <t>Pullback</t>
        </is>
      </c>
      <c r="AQ688" s="719" t="inlineStr">
        <is>
          <t>1H</t>
        </is>
      </c>
      <c r="AR688" s="719" t="inlineStr">
        <is>
          <t>No</t>
        </is>
      </c>
      <c r="AS688" s="733" t="n"/>
      <c r="AT688" s="733" t="n"/>
      <c r="AU688" s="733" t="n"/>
      <c r="AV688" s="733" t="n"/>
      <c r="AW688" s="719" t="inlineStr">
        <is>
          <t>trade</t>
        </is>
      </c>
      <c r="AX688" s="734" t="inlineStr">
        <is>
          <t>sig:1b3e3f044a3786c624cab49a</t>
        </is>
      </c>
    </row>
    <row r="689" ht="15" customHeight="1">
      <c r="A689" s="716" t="inlineStr">
        <is>
          <t>C62</t>
        </is>
      </c>
      <c r="B689" s="717" t="n">
        <v>43987.62152777778</v>
      </c>
      <c r="C689" s="718" t="n">
        <v>43988.40833333333</v>
      </c>
      <c r="D689" s="719" t="inlineStr">
        <is>
          <t>BINANCE</t>
        </is>
      </c>
      <c r="E689" s="719" t="inlineStr">
        <is>
          <t>THETAUSDT</t>
        </is>
      </c>
      <c r="F689" s="719" t="inlineStr">
        <is>
          <t>BUY</t>
        </is>
      </c>
      <c r="G689" s="720" t="n">
        <v>144.8</v>
      </c>
      <c r="H689" s="720" t="n">
        <v>0.2917</v>
      </c>
      <c r="I689" s="720" t="n">
        <v>0.27764</v>
      </c>
      <c r="J689" s="721" t="n">
        <v>0.27782</v>
      </c>
      <c r="K689" s="722" t="n">
        <v>0.04758313335618787</v>
      </c>
      <c r="L689" s="721" t="n">
        <v>0.33406</v>
      </c>
      <c r="M689" s="722" t="n">
        <v>0.1452176894069249</v>
      </c>
      <c r="N689" s="723" t="n">
        <v>0.06228865</v>
      </c>
      <c r="O689" s="724" t="n">
        <v>-2.09817665</v>
      </c>
      <c r="P689" s="725" t="n">
        <v>-0.009765340668176019</v>
      </c>
      <c r="Q689" s="726" t="n">
        <v>-1.012968299711817</v>
      </c>
      <c r="R689" s="727" t="n">
        <v>212.76136807</v>
      </c>
      <c r="S689" s="719" t="inlineStr">
        <is>
          <t>18H 53M 0S</t>
        </is>
      </c>
      <c r="T689" s="717" t="n"/>
      <c r="U689" s="806" t="n"/>
      <c r="V689" s="807" t="n">
        <v>0.31486</v>
      </c>
      <c r="W689" s="725" t="n">
        <v>0.07939664038395597</v>
      </c>
      <c r="X689" s="722" t="n">
        <v>0.05747470514278886</v>
      </c>
      <c r="Y689" s="728" t="n"/>
      <c r="Z689" s="729" t="n"/>
      <c r="AA689" s="730" t="n"/>
      <c r="AB689" s="731" t="n"/>
      <c r="AC689" s="732" t="n"/>
      <c r="AD689" s="719" t="inlineStr">
        <is>
          <t>No</t>
        </is>
      </c>
      <c r="AE689" s="733" t="n"/>
      <c r="AF689" s="733" t="n"/>
      <c r="AG689" s="733" t="n"/>
      <c r="AH689" s="733" t="n"/>
      <c r="AI689" s="719" t="inlineStr">
        <is>
          <t>Market</t>
        </is>
      </c>
      <c r="AJ689" s="733" t="n"/>
      <c r="AK689" s="733" t="n"/>
      <c r="AL689" s="733" t="n"/>
      <c r="AM689" s="733" t="n"/>
      <c r="AN689" s="733" t="n"/>
      <c r="AO689" s="733" t="n"/>
      <c r="AP689" s="719" t="inlineStr">
        <is>
          <t>Pullback</t>
        </is>
      </c>
      <c r="AQ689" s="719" t="inlineStr">
        <is>
          <t>1H</t>
        </is>
      </c>
      <c r="AR689" s="719" t="inlineStr">
        <is>
          <t>No</t>
        </is>
      </c>
      <c r="AS689" s="733" t="n"/>
      <c r="AT689" s="733" t="n"/>
      <c r="AU689" s="733" t="n"/>
      <c r="AV689" s="733" t="n"/>
      <c r="AW689" s="719" t="inlineStr">
        <is>
          <t>trade</t>
        </is>
      </c>
      <c r="AX689" s="734" t="inlineStr">
        <is>
          <t>sig:99955a8da3ab454f1ee2a539</t>
        </is>
      </c>
    </row>
    <row r="690" ht="15" customHeight="1">
      <c r="A690" s="716" t="inlineStr">
        <is>
          <t>F764</t>
        </is>
      </c>
      <c r="B690" s="717" t="n">
        <v>43987.99722222222</v>
      </c>
      <c r="C690" s="718" t="n">
        <v>43988.16041666667</v>
      </c>
      <c r="D690" s="719" t="inlineStr">
        <is>
          <t>PEPPERSTONE DEMO</t>
        </is>
      </c>
      <c r="E690" s="719" t="inlineStr">
        <is>
          <t>GBPUSD</t>
        </is>
      </c>
      <c r="F690" s="719" t="inlineStr">
        <is>
          <t>BUY</t>
        </is>
      </c>
      <c r="G690" s="735" t="n">
        <v>0.01</v>
      </c>
      <c r="H690" s="720" t="n">
        <v>1.2671</v>
      </c>
      <c r="I690" s="720" t="n">
        <v>1.26638</v>
      </c>
      <c r="J690" s="721" t="n">
        <v>1.2635</v>
      </c>
      <c r="K690" s="722" t="n">
        <v>0.00284113329650369</v>
      </c>
      <c r="L690" s="721" t="n">
        <v>1.2779</v>
      </c>
      <c r="M690" s="722" t="n">
        <v>0.008523399889511596</v>
      </c>
      <c r="N690" s="788" t="n"/>
      <c r="O690" s="762" t="n">
        <v>-1.15</v>
      </c>
      <c r="P690" s="725" t="n">
        <v>-0.002323607855815081</v>
      </c>
      <c r="Q690" s="726" t="n">
        <v>-0.199999999999963</v>
      </c>
      <c r="R690" s="764" t="n">
        <v>493.77</v>
      </c>
      <c r="S690" s="719" t="inlineStr">
        <is>
          <t>3H 55M 0S</t>
        </is>
      </c>
      <c r="T690" s="728" t="n"/>
      <c r="U690" s="729" t="n"/>
      <c r="V690" s="807" t="n">
        <v>1.2733</v>
      </c>
      <c r="W690" s="725" t="n">
        <v>-0.006200000000000205</v>
      </c>
      <c r="X690" s="722" t="n">
        <v>0.004599999999999937</v>
      </c>
      <c r="Y690" s="728" t="n"/>
      <c r="Z690" s="729" t="n"/>
      <c r="AA690" s="730" t="n"/>
      <c r="AB690" s="731" t="n"/>
      <c r="AC690" s="732" t="n"/>
      <c r="AD690" s="719" t="inlineStr">
        <is>
          <t>No</t>
        </is>
      </c>
      <c r="AE690" s="733" t="n"/>
      <c r="AF690" s="733" t="n"/>
      <c r="AG690" s="733" t="n"/>
      <c r="AH690" s="733" t="n"/>
      <c r="AI690" s="719" t="inlineStr">
        <is>
          <t>Limit</t>
        </is>
      </c>
      <c r="AJ690" s="733" t="n"/>
      <c r="AK690" s="733" t="n"/>
      <c r="AL690" s="733" t="n"/>
      <c r="AM690" s="733" t="n"/>
      <c r="AN690" s="733" t="n"/>
      <c r="AO690" s="733" t="n"/>
      <c r="AP690" s="719" t="inlineStr">
        <is>
          <t>Pullback</t>
        </is>
      </c>
      <c r="AQ690" s="719" t="inlineStr">
        <is>
          <t>5MIN</t>
        </is>
      </c>
      <c r="AR690" s="719" t="inlineStr">
        <is>
          <t>No</t>
        </is>
      </c>
      <c r="AS690" s="782" t="n"/>
      <c r="AT690" s="733" t="n"/>
      <c r="AU690" s="719" t="n"/>
      <c r="AV690" s="719" t="n"/>
      <c r="AW690" s="719" t="inlineStr">
        <is>
          <t>trade</t>
        </is>
      </c>
      <c r="AX690" s="734" t="inlineStr">
        <is>
          <t>sig:5ea903a178a8a66c011c76d7</t>
        </is>
      </c>
    </row>
    <row r="691" ht="15" customHeight="1">
      <c r="A691" s="716" t="inlineStr">
        <is>
          <t>F763</t>
        </is>
      </c>
      <c r="B691" s="717" t="n">
        <v>43986.99375</v>
      </c>
      <c r="C691" s="718" t="n">
        <v>43987.04513888889</v>
      </c>
      <c r="D691" s="719" t="inlineStr">
        <is>
          <t>PEPPERSTONE DEMO</t>
        </is>
      </c>
      <c r="E691" s="719" t="inlineStr">
        <is>
          <t>GBPCAD</t>
        </is>
      </c>
      <c r="F691" s="719" t="inlineStr">
        <is>
          <t>SELL</t>
        </is>
      </c>
      <c r="G691" s="735" t="n">
        <v>0.01</v>
      </c>
      <c r="H691" s="720" t="n">
        <v>1.6972</v>
      </c>
      <c r="I691" s="720" t="n">
        <v>1.70205</v>
      </c>
      <c r="J691" s="721" t="n">
        <v>1.702</v>
      </c>
      <c r="K691" s="722" t="n">
        <v>0.002828187603110956</v>
      </c>
      <c r="L691" s="721" t="n">
        <v>1.6843</v>
      </c>
      <c r="M691" s="722" t="n">
        <v>0.007600754183360908</v>
      </c>
      <c r="N691" s="788" t="n"/>
      <c r="O691" s="762" t="n">
        <v>-5.08</v>
      </c>
      <c r="P691" s="725" t="n">
        <v>-0.01016</v>
      </c>
      <c r="Q691" s="726" t="n">
        <v>-1.010416666666689</v>
      </c>
      <c r="R691" s="764" t="n">
        <v>494.92</v>
      </c>
      <c r="S691" s="719" t="inlineStr">
        <is>
          <t>1H 14M 0S</t>
        </is>
      </c>
      <c r="T691" s="728" t="n"/>
      <c r="U691" s="729" t="n"/>
      <c r="V691" s="807" t="n">
        <v>1.6904</v>
      </c>
      <c r="W691" s="725" t="n">
        <v>0.006800000000000139</v>
      </c>
      <c r="X691" s="722" t="n">
        <v>-0.006099999999999994</v>
      </c>
      <c r="Y691" s="728" t="n"/>
      <c r="Z691" s="729" t="n"/>
      <c r="AA691" s="730" t="n"/>
      <c r="AB691" s="731" t="n"/>
      <c r="AC691" s="732" t="n"/>
      <c r="AD691" s="719" t="inlineStr">
        <is>
          <t>No</t>
        </is>
      </c>
      <c r="AE691" s="733" t="n"/>
      <c r="AF691" s="733" t="n"/>
      <c r="AG691" s="733" t="n"/>
      <c r="AH691" s="733" t="n"/>
      <c r="AI691" s="719" t="inlineStr">
        <is>
          <t>Limit</t>
        </is>
      </c>
      <c r="AJ691" s="733" t="n"/>
      <c r="AK691" s="733" t="n"/>
      <c r="AL691" s="733" t="n"/>
      <c r="AM691" s="733" t="n"/>
      <c r="AN691" s="733" t="n"/>
      <c r="AO691" s="733" t="n"/>
      <c r="AP691" s="719" t="inlineStr">
        <is>
          <t>Pullback</t>
        </is>
      </c>
      <c r="AQ691" s="719" t="inlineStr">
        <is>
          <t>1H</t>
        </is>
      </c>
      <c r="AR691" s="719" t="inlineStr">
        <is>
          <t>No</t>
        </is>
      </c>
      <c r="AS691" s="733" t="n"/>
      <c r="AT691" s="733" t="n"/>
      <c r="AU691" s="733" t="n"/>
      <c r="AV691" s="733" t="n"/>
      <c r="AW691" s="719" t="inlineStr">
        <is>
          <t>trade</t>
        </is>
      </c>
      <c r="AX691" s="734" t="inlineStr">
        <is>
          <t>sig:9b1b423f14b5ffd1180ff359</t>
        </is>
      </c>
    </row>
    <row r="692" ht="15" customHeight="1">
      <c r="A692" s="737" t="inlineStr">
        <is>
          <t>C61</t>
        </is>
      </c>
      <c r="B692" s="738" t="n">
        <v>43985.05555555555</v>
      </c>
      <c r="C692" s="739" t="n">
        <v>43986.95</v>
      </c>
      <c r="D692" s="740" t="inlineStr">
        <is>
          <t>BINANCE</t>
        </is>
      </c>
      <c r="E692" s="740" t="inlineStr">
        <is>
          <t>ERDUSDT</t>
        </is>
      </c>
      <c r="F692" s="740" t="inlineStr">
        <is>
          <t>BUY</t>
        </is>
      </c>
      <c r="G692" s="742" t="n">
        <v>12794</v>
      </c>
      <c r="H692" s="741" t="n">
        <v>0.002622</v>
      </c>
      <c r="I692" s="741" t="n">
        <v>0.002733</v>
      </c>
      <c r="J692" s="801" t="n">
        <v>0.002464</v>
      </c>
      <c r="K692" s="744" t="n">
        <v>0.06025934401220448</v>
      </c>
      <c r="L692" s="801" t="n">
        <v>0.0031</v>
      </c>
      <c r="M692" s="744" t="n">
        <v>0.1823035850495803</v>
      </c>
      <c r="N692" s="802" t="n">
        <v>0.05173696</v>
      </c>
      <c r="O692" s="746" t="n">
        <v>1.36839704</v>
      </c>
      <c r="P692" s="747" t="n">
        <v>0.006409619578471133</v>
      </c>
      <c r="Q692" s="748" t="n">
        <v>0.7025316455696194</v>
      </c>
      <c r="R692" s="749" t="n">
        <v>214.85954472</v>
      </c>
      <c r="S692" s="740" t="inlineStr">
        <is>
          <t>1D 21H 28M 0S</t>
        </is>
      </c>
      <c r="T692" s="738" t="n">
        <v>43984.73472222222</v>
      </c>
      <c r="U692" s="809" t="inlineStr">
        <is>
          <t>2H 17M 46S</t>
        </is>
      </c>
      <c r="V692" s="823" t="n">
        <v>0.002849</v>
      </c>
      <c r="W692" s="747" t="n">
        <v>0.08657513348588854</v>
      </c>
      <c r="X692" s="744" t="n">
        <v>0.07978036175710589</v>
      </c>
      <c r="Y692" s="750" t="n"/>
      <c r="Z692" s="751" t="n"/>
      <c r="AA692" s="752" t="n"/>
      <c r="AB692" s="753" t="n"/>
      <c r="AC692" s="754" t="n"/>
      <c r="AD692" s="740" t="inlineStr">
        <is>
          <t>No</t>
        </is>
      </c>
      <c r="AE692" s="755" t="n"/>
      <c r="AF692" s="755" t="n"/>
      <c r="AG692" s="755" t="n"/>
      <c r="AH692" s="755" t="n"/>
      <c r="AI692" s="740" t="inlineStr">
        <is>
          <t>Market</t>
        </is>
      </c>
      <c r="AJ692" s="755" t="n"/>
      <c r="AK692" s="755" t="n"/>
      <c r="AL692" s="755" t="n"/>
      <c r="AM692" s="755" t="n"/>
      <c r="AN692" s="755" t="n"/>
      <c r="AO692" s="755" t="n"/>
      <c r="AP692" s="740" t="inlineStr">
        <is>
          <t>Pullback</t>
        </is>
      </c>
      <c r="AQ692" s="740" t="inlineStr">
        <is>
          <t>1H</t>
        </is>
      </c>
      <c r="AR692" s="740" t="inlineStr">
        <is>
          <t>No</t>
        </is>
      </c>
      <c r="AS692" s="755" t="n"/>
      <c r="AT692" s="755" t="n"/>
      <c r="AU692" s="755" t="n"/>
      <c r="AV692" s="755" t="n"/>
      <c r="AW692" s="740" t="inlineStr">
        <is>
          <t>trade</t>
        </is>
      </c>
      <c r="AX692" s="756" t="inlineStr">
        <is>
          <t>sig:4188064405f0771f5fc3c0b5</t>
        </is>
      </c>
    </row>
    <row r="693" ht="15" customHeight="1">
      <c r="A693" s="716" t="inlineStr">
        <is>
          <t>C60</t>
        </is>
      </c>
      <c r="B693" s="717" t="n">
        <v>43984.79444444444</v>
      </c>
      <c r="C693" s="718" t="n">
        <v>43985.03333333333</v>
      </c>
      <c r="D693" s="719" t="inlineStr">
        <is>
          <t>BINANCE</t>
        </is>
      </c>
      <c r="E693" s="719" t="inlineStr">
        <is>
          <t>ZILUSDT</t>
        </is>
      </c>
      <c r="F693" s="719" t="inlineStr">
        <is>
          <t>BUY</t>
        </is>
      </c>
      <c r="G693" s="720" t="n">
        <v>1478</v>
      </c>
      <c r="H693" s="735" t="n">
        <v>0.01878</v>
      </c>
      <c r="I693" s="735" t="n">
        <v>0.01758</v>
      </c>
      <c r="J693" s="736" t="n">
        <v>0.0174</v>
      </c>
      <c r="K693" s="722" t="n">
        <v>0.07348242811501611</v>
      </c>
      <c r="L693" s="736" t="n">
        <v>0.02292</v>
      </c>
      <c r="M693" s="722" t="n">
        <v>0.2204472843450478</v>
      </c>
      <c r="N693" s="723" t="n">
        <v>0.04026741</v>
      </c>
      <c r="O693" s="724" t="n">
        <v>-1.80758541</v>
      </c>
      <c r="P693" s="725" t="n">
        <v>-0.008395708530455617</v>
      </c>
      <c r="Q693" s="726" t="n">
        <v>-0.8695652173913049</v>
      </c>
      <c r="R693" s="727" t="n">
        <v>213.49114768</v>
      </c>
      <c r="S693" s="719" t="inlineStr">
        <is>
          <t>5H 44M 0S</t>
        </is>
      </c>
      <c r="T693" s="717" t="n"/>
      <c r="U693" s="806" t="n"/>
      <c r="V693" s="817" t="n">
        <v>0.02104</v>
      </c>
      <c r="W693" s="725" t="n">
        <v>0.1203407880724174</v>
      </c>
      <c r="X693" s="722" t="n">
        <v>0.08202443280977312</v>
      </c>
      <c r="Y693" s="728" t="n"/>
      <c r="Z693" s="729" t="n"/>
      <c r="AA693" s="730" t="n"/>
      <c r="AB693" s="731" t="n"/>
      <c r="AC693" s="732" t="n"/>
      <c r="AD693" s="719" t="inlineStr">
        <is>
          <t>No</t>
        </is>
      </c>
      <c r="AE693" s="733" t="n"/>
      <c r="AF693" s="733" t="n"/>
      <c r="AG693" s="733" t="n"/>
      <c r="AH693" s="733" t="n"/>
      <c r="AI693" s="719" t="inlineStr">
        <is>
          <t>Market</t>
        </is>
      </c>
      <c r="AJ693" s="733" t="n"/>
      <c r="AK693" s="733" t="n"/>
      <c r="AL693" s="733" t="n"/>
      <c r="AM693" s="733" t="n"/>
      <c r="AN693" s="733" t="n"/>
      <c r="AO693" s="733" t="n"/>
      <c r="AP693" s="719" t="inlineStr">
        <is>
          <t>Pullback</t>
        </is>
      </c>
      <c r="AQ693" s="719" t="inlineStr">
        <is>
          <t>1H</t>
        </is>
      </c>
      <c r="AR693" s="719" t="inlineStr">
        <is>
          <t>No</t>
        </is>
      </c>
      <c r="AS693" s="733" t="n"/>
      <c r="AT693" s="733" t="n"/>
      <c r="AU693" s="733" t="n"/>
      <c r="AV693" s="733" t="n"/>
      <c r="AW693" s="719" t="inlineStr">
        <is>
          <t>trade</t>
        </is>
      </c>
      <c r="AX693" s="734" t="inlineStr">
        <is>
          <t>sig:a74f77f55e7fc8b99f88365a</t>
        </is>
      </c>
    </row>
    <row r="694" ht="15" customHeight="1">
      <c r="A694" s="716" t="inlineStr">
        <is>
          <t>C59</t>
        </is>
      </c>
      <c r="B694" s="717" t="n">
        <v>43983.84166666667</v>
      </c>
      <c r="C694" s="718" t="n">
        <v>43984.55694444444</v>
      </c>
      <c r="D694" s="719" t="inlineStr">
        <is>
          <t>BINANCE</t>
        </is>
      </c>
      <c r="E694" s="719" t="inlineStr">
        <is>
          <t>ONEUSDT</t>
        </is>
      </c>
      <c r="F694" s="719" t="inlineStr">
        <is>
          <t>BUY</t>
        </is>
      </c>
      <c r="G694" s="720" t="n">
        <v>6865.6</v>
      </c>
      <c r="H694" s="757" t="n">
        <v>0.00392</v>
      </c>
      <c r="I694" s="757" t="n">
        <v>0.00362</v>
      </c>
      <c r="J694" s="798" t="n">
        <v>0.00362</v>
      </c>
      <c r="K694" s="722" t="n">
        <v>0.07653061224489795</v>
      </c>
      <c r="L694" s="798" t="n">
        <v>0.00482</v>
      </c>
      <c r="M694" s="722" t="n">
        <v>0.2295918367346938</v>
      </c>
      <c r="N694" s="723" t="n">
        <v>0.03922966</v>
      </c>
      <c r="O694" s="724" t="n">
        <v>-2.09890966</v>
      </c>
      <c r="P694" s="725" t="n">
        <v>-0.009654702937205604</v>
      </c>
      <c r="Q694" s="726" t="n">
        <v>-1</v>
      </c>
      <c r="R694" s="727" t="n">
        <v>215.29873309</v>
      </c>
      <c r="S694" s="719" t="inlineStr">
        <is>
          <t>17H 10M 0S</t>
        </is>
      </c>
      <c r="T694" s="717" t="n"/>
      <c r="U694" s="806" t="n"/>
      <c r="V694" s="822" t="n">
        <v>0.0043</v>
      </c>
      <c r="W694" s="725" t="n">
        <v>0.09693877551020412</v>
      </c>
      <c r="X694" s="722" t="n">
        <v>0.1078838174273858</v>
      </c>
      <c r="Y694" s="728" t="n"/>
      <c r="Z694" s="729" t="n"/>
      <c r="AA694" s="730" t="n"/>
      <c r="AB694" s="731" t="n"/>
      <c r="AC694" s="732" t="n"/>
      <c r="AD694" s="719" t="inlineStr">
        <is>
          <t>No</t>
        </is>
      </c>
      <c r="AE694" s="733" t="n"/>
      <c r="AF694" s="733" t="n"/>
      <c r="AG694" s="733" t="n"/>
      <c r="AH694" s="733" t="n"/>
      <c r="AI694" s="719" t="inlineStr">
        <is>
          <t>Market</t>
        </is>
      </c>
      <c r="AJ694" s="733" t="n"/>
      <c r="AK694" s="733" t="n"/>
      <c r="AL694" s="733" t="n"/>
      <c r="AM694" s="733" t="n"/>
      <c r="AN694" s="733" t="n"/>
      <c r="AO694" s="733" t="n"/>
      <c r="AP694" s="719" t="inlineStr">
        <is>
          <t>Pullback</t>
        </is>
      </c>
      <c r="AQ694" s="719" t="inlineStr">
        <is>
          <t>1H</t>
        </is>
      </c>
      <c r="AR694" s="719" t="inlineStr">
        <is>
          <t>No</t>
        </is>
      </c>
      <c r="AS694" s="733" t="n"/>
      <c r="AT694" s="733" t="n"/>
      <c r="AU694" s="733" t="n"/>
      <c r="AV694" s="733" t="n"/>
      <c r="AW694" s="719" t="inlineStr">
        <is>
          <t>trade</t>
        </is>
      </c>
      <c r="AX694" s="734" t="inlineStr">
        <is>
          <t>sig:1b8b89f92fc5a755d48a4c3f</t>
        </is>
      </c>
    </row>
    <row r="695" ht="15" customHeight="1">
      <c r="A695" s="41" t="n"/>
      <c r="B695" s="770" t="n">
        <v>43984</v>
      </c>
      <c r="C695" s="771" t="n">
        <v>43984</v>
      </c>
      <c r="D695" s="12" t="inlineStr">
        <is>
          <t>PEPPERSTONE DEMO</t>
        </is>
      </c>
      <c r="E695" s="12" t="inlineStr">
        <is>
          <t>CASHFLOW</t>
        </is>
      </c>
      <c r="F695" s="12" t="inlineStr">
        <is>
          <t>DEPOSIT</t>
        </is>
      </c>
      <c r="G695" s="265" t="n"/>
      <c r="H695" s="265" t="n"/>
      <c r="I695" s="265" t="n"/>
      <c r="J695" s="266" t="n"/>
      <c r="K695" s="46" t="n"/>
      <c r="L695" s="266" t="n"/>
      <c r="M695" s="46" t="n"/>
      <c r="N695" s="779" t="n"/>
      <c r="O695" s="824" t="n"/>
      <c r="P695" s="9" t="n"/>
      <c r="Q695" s="49" t="n"/>
      <c r="R695" s="54" t="n">
        <v>500</v>
      </c>
      <c r="S695" s="45" t="n"/>
      <c r="T695" s="774" t="n"/>
      <c r="U695" s="6" t="n"/>
      <c r="V695" s="264" t="n"/>
      <c r="W695" s="9" t="n"/>
      <c r="X695" s="46" t="n"/>
      <c r="Y695" s="774" t="n"/>
      <c r="Z695" s="6" t="n"/>
      <c r="AA695" s="264" t="n"/>
      <c r="AB695" s="9" t="n"/>
      <c r="AC695" s="46" t="n"/>
      <c r="AD695" s="12" t="inlineStr">
        <is>
          <t>No</t>
        </is>
      </c>
      <c r="AE695" s="45" t="n"/>
      <c r="AF695" s="45" t="n"/>
      <c r="AG695" s="45" t="n"/>
      <c r="AH695" s="45" t="n"/>
      <c r="AI695" s="45" t="n"/>
      <c r="AJ695" s="45" t="n"/>
      <c r="AK695" s="45" t="n"/>
      <c r="AL695" s="45" t="n"/>
      <c r="AM695" s="45" t="n"/>
      <c r="AN695" s="45" t="n"/>
      <c r="AO695" s="45" t="n"/>
      <c r="AP695" s="45" t="n"/>
      <c r="AQ695" s="45" t="n"/>
      <c r="AR695" s="45" t="n"/>
      <c r="AS695" s="56" t="inlineStr">
        <is>
          <t>Deposit 500.0 AUD. Source: user_txt. Imported from account_cashflows.xlsx row 56.</t>
        </is>
      </c>
      <c r="AT695" s="45" t="n"/>
      <c r="AU695" s="12" t="n">
        <v>500</v>
      </c>
      <c r="AV695" s="12" t="inlineStr">
        <is>
          <t>AUD</t>
        </is>
      </c>
      <c r="AW695" s="12" t="inlineStr">
        <is>
          <t>cashflow</t>
        </is>
      </c>
      <c r="AX695" s="57" t="inlineStr">
        <is>
          <t>cashflow:PEPPERSTONE DEMO:2020-06-02T00:00:00:42</t>
        </is>
      </c>
    </row>
    <row r="696" ht="15" customHeight="1">
      <c r="A696" s="716" t="inlineStr">
        <is>
          <t>C58</t>
        </is>
      </c>
      <c r="B696" s="717" t="n">
        <v>43983.10833333333</v>
      </c>
      <c r="C696" s="718" t="n">
        <v>43983.41736111111</v>
      </c>
      <c r="D696" s="719" t="inlineStr">
        <is>
          <t>BINANCE</t>
        </is>
      </c>
      <c r="E696" s="719" t="inlineStr">
        <is>
          <t>ZILUSDT</t>
        </is>
      </c>
      <c r="F696" s="719" t="inlineStr">
        <is>
          <t>BUY</t>
        </is>
      </c>
      <c r="G696" s="720" t="n">
        <v>2434.7</v>
      </c>
      <c r="H696" s="735" t="n">
        <v>0.01425</v>
      </c>
      <c r="I696" s="735" t="n">
        <v>0.01425</v>
      </c>
      <c r="J696" s="736" t="n">
        <v>0.01341</v>
      </c>
      <c r="K696" s="722" t="n">
        <v>0.05894736842105266</v>
      </c>
      <c r="L696" s="736" t="n">
        <v>0.01677</v>
      </c>
      <c r="M696" s="722" t="n">
        <v>0.1768421052631579</v>
      </c>
      <c r="N696" s="723" t="n">
        <v>0.05192804</v>
      </c>
      <c r="O696" s="777" t="n">
        <v>-0.05192804</v>
      </c>
      <c r="P696" s="763" t="n">
        <v>-0.0002388049781443305</v>
      </c>
      <c r="Q696" s="726" t="n">
        <v>0</v>
      </c>
      <c r="R696" s="727" t="n">
        <v>217.39764275</v>
      </c>
      <c r="S696" s="719" t="inlineStr">
        <is>
          <t>7H 25M 0S</t>
        </is>
      </c>
      <c r="T696" s="717" t="n">
        <v>43982.84166666667</v>
      </c>
      <c r="U696" s="806" t="inlineStr">
        <is>
          <t>3H 35M 43S</t>
        </is>
      </c>
      <c r="V696" s="817" t="n">
        <v>0.01538</v>
      </c>
      <c r="W696" s="725" t="n">
        <v>0.07929824561403502</v>
      </c>
      <c r="X696" s="722" t="n">
        <v>0.08288610614192013</v>
      </c>
      <c r="Y696" s="728" t="n"/>
      <c r="Z696" s="729" t="n"/>
      <c r="AA696" s="730" t="n"/>
      <c r="AB696" s="731" t="n"/>
      <c r="AC696" s="732" t="n"/>
      <c r="AD696" s="719" t="inlineStr">
        <is>
          <t>No</t>
        </is>
      </c>
      <c r="AE696" s="733" t="n"/>
      <c r="AF696" s="733" t="n"/>
      <c r="AG696" s="733" t="n"/>
      <c r="AH696" s="733" t="n"/>
      <c r="AI696" s="719" t="inlineStr">
        <is>
          <t>Market</t>
        </is>
      </c>
      <c r="AJ696" s="733" t="n"/>
      <c r="AK696" s="719" t="inlineStr">
        <is>
          <t>Yes</t>
        </is>
      </c>
      <c r="AL696" s="733" t="n"/>
      <c r="AM696" s="733" t="n"/>
      <c r="AN696" s="733" t="n"/>
      <c r="AO696" s="733" t="n"/>
      <c r="AP696" s="719" t="inlineStr">
        <is>
          <t>Pullback</t>
        </is>
      </c>
      <c r="AQ696" s="719" t="inlineStr">
        <is>
          <t>1H</t>
        </is>
      </c>
      <c r="AR696" s="719" t="inlineStr">
        <is>
          <t>No</t>
        </is>
      </c>
      <c r="AS696" s="733" t="n"/>
      <c r="AT696" s="733" t="n"/>
      <c r="AU696" s="733" t="n"/>
      <c r="AV696" s="733" t="n"/>
      <c r="AW696" s="719" t="inlineStr">
        <is>
          <t>trade</t>
        </is>
      </c>
      <c r="AX696" s="734" t="inlineStr">
        <is>
          <t>sig:abce8f1b42f9a2781afd4a3b</t>
        </is>
      </c>
    </row>
    <row r="697" ht="15" customHeight="1">
      <c r="A697" s="737" t="inlineStr">
        <is>
          <t>C57</t>
        </is>
      </c>
      <c r="B697" s="738" t="n">
        <v>43980.70208333333</v>
      </c>
      <c r="C697" s="739" t="n">
        <v>43983.40902777778</v>
      </c>
      <c r="D697" s="740" t="inlineStr">
        <is>
          <t>BINANCE</t>
        </is>
      </c>
      <c r="E697" s="740" t="inlineStr">
        <is>
          <t>ANKRUSDT</t>
        </is>
      </c>
      <c r="F697" s="740" t="inlineStr">
        <is>
          <t>BUY</t>
        </is>
      </c>
      <c r="G697" s="742" t="n">
        <v>14609</v>
      </c>
      <c r="H697" s="741" t="n">
        <v>0.002106</v>
      </c>
      <c r="I697" s="741" t="n">
        <v>0.002204</v>
      </c>
      <c r="J697" s="801" t="n">
        <v>0.001966</v>
      </c>
      <c r="K697" s="744" t="n">
        <v>0.06647673314339979</v>
      </c>
      <c r="L697" s="801" t="n">
        <v>0.0026</v>
      </c>
      <c r="M697" s="744" t="n">
        <v>0.234567901234568</v>
      </c>
      <c r="N697" s="802" t="n">
        <v>0.04711082</v>
      </c>
      <c r="O697" s="746" t="n">
        <v>1.40039118</v>
      </c>
      <c r="P697" s="747" t="n">
        <v>0.006481816698068045</v>
      </c>
      <c r="Q697" s="748" t="n">
        <v>0.7000000000000003</v>
      </c>
      <c r="R697" s="749" t="n">
        <v>217.44957079</v>
      </c>
      <c r="S697" s="740" t="inlineStr">
        <is>
          <t>2D 16H 58M 0S</t>
        </is>
      </c>
      <c r="T697" s="738" t="n">
        <v>43982.09027777778</v>
      </c>
      <c r="U697" s="809" t="inlineStr">
        <is>
          <t>1D 9H 19M 0S</t>
        </is>
      </c>
      <c r="V697" s="823" t="n">
        <v>0.002321</v>
      </c>
      <c r="W697" s="747" t="n">
        <v>0.1020892687559356</v>
      </c>
      <c r="X697" s="744" t="n">
        <v>0.1073076923076922</v>
      </c>
      <c r="Y697" s="750" t="n"/>
      <c r="Z697" s="751" t="n"/>
      <c r="AA697" s="752" t="n"/>
      <c r="AB697" s="753" t="n"/>
      <c r="AC697" s="754" t="n"/>
      <c r="AD697" s="740" t="inlineStr">
        <is>
          <t>No</t>
        </is>
      </c>
      <c r="AE697" s="755" t="n"/>
      <c r="AF697" s="755" t="n"/>
      <c r="AG697" s="755" t="n"/>
      <c r="AH697" s="755" t="n"/>
      <c r="AI697" s="740" t="inlineStr">
        <is>
          <t>Market</t>
        </is>
      </c>
      <c r="AJ697" s="755" t="n"/>
      <c r="AK697" s="755" t="n"/>
      <c r="AL697" s="755" t="n"/>
      <c r="AM697" s="755" t="n"/>
      <c r="AN697" s="755" t="n"/>
      <c r="AO697" s="755" t="n"/>
      <c r="AP697" s="740" t="inlineStr">
        <is>
          <t>Pullback</t>
        </is>
      </c>
      <c r="AQ697" s="740" t="inlineStr">
        <is>
          <t>1H</t>
        </is>
      </c>
      <c r="AR697" s="740" t="inlineStr">
        <is>
          <t>No</t>
        </is>
      </c>
      <c r="AS697" s="755" t="n"/>
      <c r="AT697" s="755" t="n"/>
      <c r="AU697" s="755" t="n"/>
      <c r="AV697" s="755" t="n"/>
      <c r="AW697" s="740" t="inlineStr">
        <is>
          <t>trade</t>
        </is>
      </c>
      <c r="AX697" s="756" t="inlineStr">
        <is>
          <t>sig:7a8b0543f55d7f4bcafbba12</t>
        </is>
      </c>
    </row>
    <row r="698" ht="15" customHeight="1">
      <c r="A698" s="42" t="n"/>
      <c r="B698" s="770" t="n">
        <v>43981</v>
      </c>
      <c r="C698" s="771" t="n">
        <v>43981</v>
      </c>
      <c r="D698" s="12" t="inlineStr">
        <is>
          <t>PEPPERSTONE DEMO</t>
        </is>
      </c>
      <c r="E698" s="12" t="inlineStr">
        <is>
          <t>CASHFLOW</t>
        </is>
      </c>
      <c r="F698" s="12" t="inlineStr">
        <is>
          <t>WITHDRAWAL</t>
        </is>
      </c>
      <c r="G698" s="262" t="n"/>
      <c r="H698" s="262" t="n"/>
      <c r="I698" s="262" t="n"/>
      <c r="J698" s="263" t="n"/>
      <c r="K698" s="36" t="n"/>
      <c r="L698" s="263" t="n"/>
      <c r="M698" s="36" t="n"/>
      <c r="N698" s="779" t="n"/>
      <c r="O698" s="773" t="n"/>
      <c r="P698" s="3" t="n"/>
      <c r="Q698" s="51" t="n"/>
      <c r="R698" s="54" t="n">
        <v>0</v>
      </c>
      <c r="S698" s="12" t="n"/>
      <c r="T698" s="774" t="n"/>
      <c r="U698" s="6" t="n"/>
      <c r="V698" s="269" t="n"/>
      <c r="W698" s="3" t="n"/>
      <c r="X698" s="36" t="n"/>
      <c r="Y698" s="774" t="n"/>
      <c r="Z698" s="6" t="n"/>
      <c r="AA698" s="269" t="n"/>
      <c r="AB698" s="3" t="n"/>
      <c r="AC698" s="36" t="n"/>
      <c r="AD698" s="12" t="inlineStr">
        <is>
          <t>No</t>
        </is>
      </c>
      <c r="AE698" s="45" t="n"/>
      <c r="AF698" s="45" t="n"/>
      <c r="AG698" s="45" t="n"/>
      <c r="AH698" s="45" t="n"/>
      <c r="AI698" s="12" t="n"/>
      <c r="AJ698" s="45" t="n"/>
      <c r="AK698" s="45" t="n"/>
      <c r="AL698" s="45" t="n"/>
      <c r="AM698" s="45" t="n"/>
      <c r="AN698" s="45" t="n"/>
      <c r="AO698" s="45" t="n"/>
      <c r="AP698" s="12" t="n"/>
      <c r="AQ698" s="12" t="n"/>
      <c r="AR698" s="12" t="n"/>
      <c r="AS698" s="56" t="inlineStr">
        <is>
          <t>Withdrawal -485.49 AUD. Source: user_txt. Imported from account_cashflows.xlsx row 55.</t>
        </is>
      </c>
      <c r="AT698" s="45" t="n"/>
      <c r="AU698" s="12" t="n">
        <v>0</v>
      </c>
      <c r="AV698" s="12" t="inlineStr">
        <is>
          <t>AUD</t>
        </is>
      </c>
      <c r="AW698" s="12" t="inlineStr">
        <is>
          <t>cashflow</t>
        </is>
      </c>
      <c r="AX698" s="57" t="inlineStr">
        <is>
          <t>cashflow:PEPPERSTONE DEMO:2020-05-30T00:00:00:41</t>
        </is>
      </c>
    </row>
    <row r="699" ht="15" customHeight="1">
      <c r="A699" s="716" t="inlineStr">
        <is>
          <t>F762</t>
        </is>
      </c>
      <c r="B699" s="717" t="n">
        <v>43980.97361111111</v>
      </c>
      <c r="C699" s="718" t="n">
        <v>43980.98194444444</v>
      </c>
      <c r="D699" s="719" t="inlineStr">
        <is>
          <t>PEPPERSTONE DEMO</t>
        </is>
      </c>
      <c r="E699" s="719" t="inlineStr">
        <is>
          <t>CADCHF</t>
        </is>
      </c>
      <c r="F699" s="719" t="inlineStr">
        <is>
          <t>BUY</t>
        </is>
      </c>
      <c r="G699" s="735" t="n">
        <v>0.03</v>
      </c>
      <c r="H699" s="720" t="n">
        <v>0.6998</v>
      </c>
      <c r="I699" s="720" t="n">
        <v>0.69887</v>
      </c>
      <c r="J699" s="721" t="n">
        <v>0.6988</v>
      </c>
      <c r="K699" s="722" t="n">
        <v>0.001428979708488141</v>
      </c>
      <c r="L699" s="721" t="n">
        <v>0.7044</v>
      </c>
      <c r="M699" s="722" t="n">
        <v>0.006573306659045511</v>
      </c>
      <c r="N699" s="761" t="n"/>
      <c r="O699" s="762" t="n">
        <v>-4.69</v>
      </c>
      <c r="P699" s="725" t="n">
        <v>-0.009567913827573543</v>
      </c>
      <c r="Q699" s="726" t="n">
        <v>-0.9299999999999856</v>
      </c>
      <c r="R699" s="764" t="n">
        <v>485.4900000000001</v>
      </c>
      <c r="S699" s="719" t="inlineStr">
        <is>
          <t>12M 0S</t>
        </is>
      </c>
      <c r="T699" s="728" t="n"/>
      <c r="U699" s="729" t="n"/>
      <c r="V699" s="807" t="n">
        <v>0.7016</v>
      </c>
      <c r="W699" s="725" t="n">
        <v>-0.001800000000000024</v>
      </c>
      <c r="X699" s="722" t="n">
        <v>0.002800000000000025</v>
      </c>
      <c r="Y699" s="728" t="n"/>
      <c r="Z699" s="729" t="n"/>
      <c r="AA699" s="730" t="n"/>
      <c r="AB699" s="731" t="n"/>
      <c r="AC699" s="732" t="n"/>
      <c r="AD699" s="719" t="inlineStr">
        <is>
          <t>No</t>
        </is>
      </c>
      <c r="AE699" s="733" t="n"/>
      <c r="AF699" s="733" t="n"/>
      <c r="AG699" s="733" t="n"/>
      <c r="AH699" s="733" t="n"/>
      <c r="AI699" s="719" t="inlineStr">
        <is>
          <t>Limit</t>
        </is>
      </c>
      <c r="AJ699" s="733" t="n"/>
      <c r="AK699" s="733" t="n"/>
      <c r="AL699" s="733" t="n"/>
      <c r="AM699" s="733" t="n"/>
      <c r="AN699" s="733" t="n"/>
      <c r="AO699" s="733" t="n"/>
      <c r="AP699" s="719" t="inlineStr">
        <is>
          <t>Pullback</t>
        </is>
      </c>
      <c r="AQ699" s="719" t="inlineStr">
        <is>
          <t>5MIN</t>
        </is>
      </c>
      <c r="AR699" s="719" t="inlineStr">
        <is>
          <t>No</t>
        </is>
      </c>
      <c r="AS699" s="733" t="n"/>
      <c r="AT699" s="733" t="n"/>
      <c r="AU699" s="733" t="n"/>
      <c r="AV699" s="733" t="n"/>
      <c r="AW699" s="719" t="inlineStr">
        <is>
          <t>trade</t>
        </is>
      </c>
      <c r="AX699" s="734" t="inlineStr">
        <is>
          <t>sig:2b377bb437c96ad70e178e95</t>
        </is>
      </c>
    </row>
    <row r="700" ht="15" customHeight="1">
      <c r="A700" s="716" t="inlineStr">
        <is>
          <t>F761</t>
        </is>
      </c>
      <c r="B700" s="717" t="n">
        <v>43980.05069444444</v>
      </c>
      <c r="C700" s="718" t="n">
        <v>43980.61527777778</v>
      </c>
      <c r="D700" s="719" t="inlineStr">
        <is>
          <t>PEPPERSTONE DEMO</t>
        </is>
      </c>
      <c r="E700" s="719" t="inlineStr">
        <is>
          <t>USDCHF</t>
        </is>
      </c>
      <c r="F700" s="719" t="inlineStr">
        <is>
          <t>BUY</t>
        </is>
      </c>
      <c r="G700" s="735" t="n">
        <v>0.01</v>
      </c>
      <c r="H700" s="720" t="n">
        <v>0.9651999999999999</v>
      </c>
      <c r="I700" s="720" t="n">
        <v>0.9628</v>
      </c>
      <c r="J700" s="721" t="n">
        <v>0.9622000000000001</v>
      </c>
      <c r="K700" s="722" t="n">
        <v>0.003108164111064952</v>
      </c>
      <c r="L700" s="721" t="n">
        <v>0.9731</v>
      </c>
      <c r="M700" s="722" t="n">
        <v>0.008184832159138022</v>
      </c>
      <c r="N700" s="792" t="n">
        <v>0.01</v>
      </c>
      <c r="O700" s="762" t="n">
        <v>-3.85</v>
      </c>
      <c r="P700" s="725" t="n">
        <v>-0.007793049005121145</v>
      </c>
      <c r="Q700" s="726" t="n">
        <v>-0.8000000000000148</v>
      </c>
      <c r="R700" s="764" t="n">
        <v>490.1800000000001</v>
      </c>
      <c r="S700" s="719" t="inlineStr">
        <is>
          <t>13H 33M 0S</t>
        </is>
      </c>
      <c r="T700" s="717" t="n"/>
      <c r="U700" s="806" t="n"/>
      <c r="V700" s="807" t="n">
        <v>0.9697</v>
      </c>
      <c r="W700" s="725" t="n">
        <v>-0.00450000000000006</v>
      </c>
      <c r="X700" s="722" t="n">
        <v>0.003399999999999959</v>
      </c>
      <c r="Y700" s="728" t="n"/>
      <c r="Z700" s="729" t="n"/>
      <c r="AA700" s="807" t="n"/>
      <c r="AB700" s="731" t="n"/>
      <c r="AC700" s="722" t="n"/>
      <c r="AD700" s="719" t="inlineStr">
        <is>
          <t>No</t>
        </is>
      </c>
      <c r="AE700" s="733" t="n"/>
      <c r="AF700" s="733" t="n"/>
      <c r="AG700" s="733" t="n"/>
      <c r="AH700" s="733" t="n"/>
      <c r="AI700" s="719" t="inlineStr">
        <is>
          <t>Limit</t>
        </is>
      </c>
      <c r="AJ700" s="733" t="n"/>
      <c r="AK700" s="733" t="n"/>
      <c r="AL700" s="733" t="n"/>
      <c r="AM700" s="733" t="n"/>
      <c r="AN700" s="733" t="n"/>
      <c r="AO700" s="733" t="n"/>
      <c r="AP700" s="719" t="inlineStr">
        <is>
          <t>Pullback</t>
        </is>
      </c>
      <c r="AQ700" s="719" t="inlineStr">
        <is>
          <t>1H</t>
        </is>
      </c>
      <c r="AR700" s="719" t="inlineStr">
        <is>
          <t>No</t>
        </is>
      </c>
      <c r="AS700" s="733" t="n"/>
      <c r="AT700" s="733" t="n"/>
      <c r="AU700" s="733" t="n"/>
      <c r="AV700" s="733" t="n"/>
      <c r="AW700" s="719" t="inlineStr">
        <is>
          <t>trade</t>
        </is>
      </c>
      <c r="AX700" s="734" t="inlineStr">
        <is>
          <t>sig:604be667a16e2eeabae691ea</t>
        </is>
      </c>
    </row>
    <row r="701" ht="15" customHeight="1">
      <c r="A701" s="737" t="inlineStr">
        <is>
          <t>C56</t>
        </is>
      </c>
      <c r="B701" s="738" t="n">
        <v>43979.58333333334</v>
      </c>
      <c r="C701" s="739" t="n">
        <v>43980.36180555556</v>
      </c>
      <c r="D701" s="740" t="inlineStr">
        <is>
          <t>BINANCE</t>
        </is>
      </c>
      <c r="E701" s="740" t="inlineStr">
        <is>
          <t>BTCUSDT</t>
        </is>
      </c>
      <c r="F701" s="740" t="inlineStr">
        <is>
          <t>BUY</t>
        </is>
      </c>
      <c r="G701" s="775" t="n">
        <v>0.01</v>
      </c>
      <c r="H701" s="742" t="n">
        <v>9146.98</v>
      </c>
      <c r="I701" s="742" t="n">
        <v>9508.93</v>
      </c>
      <c r="J701" s="743" t="n">
        <v>9007.299999999999</v>
      </c>
      <c r="K701" s="744" t="n">
        <v>0.0152706139075411</v>
      </c>
      <c r="L701" s="743" t="n">
        <v>9503.91</v>
      </c>
      <c r="M701" s="744" t="n">
        <v>0.03902162243713229</v>
      </c>
      <c r="N701" s="745" t="n">
        <v>0.20000942</v>
      </c>
      <c r="O701" s="746" t="n">
        <v>4.96574098</v>
      </c>
      <c r="P701" s="747" t="n">
        <v>0.02352501462089716</v>
      </c>
      <c r="Q701" s="748" t="n">
        <v>2.591280068728522</v>
      </c>
      <c r="R701" s="749" t="n">
        <v>216.04917961</v>
      </c>
      <c r="S701" s="740" t="inlineStr">
        <is>
          <t>18H 41M 0S</t>
        </is>
      </c>
      <c r="T701" s="738" t="n">
        <v>43979.49791666667</v>
      </c>
      <c r="U701" s="809" t="inlineStr">
        <is>
          <t>7H 56M 27S</t>
        </is>
      </c>
      <c r="V701" s="810" t="n">
        <v>9274.360000000001</v>
      </c>
      <c r="W701" s="747" t="n">
        <v>0.01392590778595788</v>
      </c>
      <c r="X701" s="744" t="n">
        <v>0.0241532169391334</v>
      </c>
      <c r="Y701" s="750" t="n"/>
      <c r="Z701" s="751" t="n"/>
      <c r="AA701" s="752" t="n"/>
      <c r="AB701" s="753" t="n"/>
      <c r="AC701" s="754" t="n"/>
      <c r="AD701" s="740" t="inlineStr">
        <is>
          <t>No</t>
        </is>
      </c>
      <c r="AE701" s="755" t="n"/>
      <c r="AF701" s="755" t="n"/>
      <c r="AG701" s="755" t="n"/>
      <c r="AH701" s="755" t="n"/>
      <c r="AI701" s="740" t="inlineStr">
        <is>
          <t>Market</t>
        </is>
      </c>
      <c r="AJ701" s="755" t="n"/>
      <c r="AK701" s="755" t="n"/>
      <c r="AL701" s="755" t="n"/>
      <c r="AM701" s="755" t="n"/>
      <c r="AN701" s="755" t="n"/>
      <c r="AO701" s="755" t="n"/>
      <c r="AP701" s="740" t="inlineStr">
        <is>
          <t>Pullback</t>
        </is>
      </c>
      <c r="AQ701" s="740" t="inlineStr">
        <is>
          <t>1H</t>
        </is>
      </c>
      <c r="AR701" s="740" t="inlineStr">
        <is>
          <t>No</t>
        </is>
      </c>
      <c r="AS701" s="755" t="n"/>
      <c r="AT701" s="755" t="n"/>
      <c r="AU701" s="755" t="n"/>
      <c r="AV701" s="755" t="n"/>
      <c r="AW701" s="740" t="inlineStr">
        <is>
          <t>trade</t>
        </is>
      </c>
      <c r="AX701" s="756" t="inlineStr">
        <is>
          <t>sig:093ff9cd56ad2cfb5100500d</t>
        </is>
      </c>
    </row>
    <row r="702" ht="15" customHeight="1">
      <c r="A702" s="716" t="inlineStr">
        <is>
          <t>F760</t>
        </is>
      </c>
      <c r="B702" s="717" t="n">
        <v>43978.89513888889</v>
      </c>
      <c r="C702" s="718" t="n">
        <v>43979.93402777778</v>
      </c>
      <c r="D702" s="719" t="inlineStr">
        <is>
          <t>PEPPERSTONE DEMO</t>
        </is>
      </c>
      <c r="E702" s="719" t="inlineStr">
        <is>
          <t>USDJPY</t>
        </is>
      </c>
      <c r="F702" s="719" t="inlineStr">
        <is>
          <t>SELL</t>
        </is>
      </c>
      <c r="G702" s="735" t="n">
        <v>0.02</v>
      </c>
      <c r="H702" s="720" t="n">
        <v>107.786</v>
      </c>
      <c r="I702" s="720" t="n">
        <v>107.786</v>
      </c>
      <c r="J702" s="721" t="n">
        <v>107.98</v>
      </c>
      <c r="K702" s="722" t="n">
        <v>0.001799862690887524</v>
      </c>
      <c r="L702" s="721" t="n">
        <v>107.01</v>
      </c>
      <c r="M702" s="722" t="n">
        <v>0.007199450763549962</v>
      </c>
      <c r="N702" s="761" t="n">
        <v>0.27</v>
      </c>
      <c r="O702" s="762" t="n">
        <v>-0.27</v>
      </c>
      <c r="P702" s="763" t="n">
        <v>-0.0005462269876593161</v>
      </c>
      <c r="Q702" s="726" t="n">
        <v>0</v>
      </c>
      <c r="R702" s="764" t="n">
        <v>494.0300000000001</v>
      </c>
      <c r="S702" s="719" t="inlineStr">
        <is>
          <t>1D 0H 56M 0S</t>
        </is>
      </c>
      <c r="T702" s="717" t="n">
        <v>43979.92708333334</v>
      </c>
      <c r="U702" s="806" t="inlineStr">
        <is>
          <t>1D 0H 46M 0S</t>
        </is>
      </c>
      <c r="V702" s="807" t="n">
        <v>107.43</v>
      </c>
      <c r="W702" s="725" t="n">
        <v>0.3559999999999945</v>
      </c>
      <c r="X702" s="722" t="n">
        <v>-0.4200000000000017</v>
      </c>
      <c r="Y702" s="728" t="n"/>
      <c r="Z702" s="729" t="n"/>
      <c r="AA702" s="730" t="n"/>
      <c r="AB702" s="731" t="n"/>
      <c r="AC702" s="732" t="n"/>
      <c r="AD702" s="719" t="inlineStr">
        <is>
          <t>No</t>
        </is>
      </c>
      <c r="AE702" s="733" t="n"/>
      <c r="AF702" s="733" t="n"/>
      <c r="AG702" s="733" t="n"/>
      <c r="AH702" s="733" t="n"/>
      <c r="AI702" s="719" t="inlineStr">
        <is>
          <t>Limit</t>
        </is>
      </c>
      <c r="AJ702" s="733" t="n"/>
      <c r="AK702" s="733" t="n"/>
      <c r="AL702" s="733" t="n"/>
      <c r="AM702" s="733" t="n"/>
      <c r="AN702" s="733" t="n"/>
      <c r="AO702" s="733" t="n"/>
      <c r="AP702" s="719" t="inlineStr">
        <is>
          <t>Pullback</t>
        </is>
      </c>
      <c r="AQ702" s="719" t="inlineStr">
        <is>
          <t>1H</t>
        </is>
      </c>
      <c r="AR702" s="719" t="inlineStr">
        <is>
          <t>No</t>
        </is>
      </c>
      <c r="AS702" s="733" t="n"/>
      <c r="AT702" s="733" t="n"/>
      <c r="AU702" s="733" t="n"/>
      <c r="AV702" s="733" t="n"/>
      <c r="AW702" s="719" t="inlineStr">
        <is>
          <t>trade</t>
        </is>
      </c>
      <c r="AX702" s="734" t="inlineStr">
        <is>
          <t>sig:8657b010c92c8c057cc18418</t>
        </is>
      </c>
    </row>
    <row r="703" ht="15" customHeight="1">
      <c r="A703" s="42" t="n"/>
      <c r="B703" s="770" t="n">
        <v>43979</v>
      </c>
      <c r="C703" s="771" t="n">
        <v>43979</v>
      </c>
      <c r="D703" s="12" t="inlineStr">
        <is>
          <t>BINANCE</t>
        </is>
      </c>
      <c r="E703" s="12" t="inlineStr">
        <is>
          <t>CASHFLOW</t>
        </is>
      </c>
      <c r="F703" s="12" t="inlineStr">
        <is>
          <t>DEPOSIT</t>
        </is>
      </c>
      <c r="G703" s="262" t="n"/>
      <c r="H703" s="262" t="n"/>
      <c r="I703" s="262" t="n"/>
      <c r="J703" s="263" t="n"/>
      <c r="K703" s="36" t="n"/>
      <c r="L703" s="263" t="n"/>
      <c r="M703" s="36" t="n"/>
      <c r="N703" s="783" t="n"/>
      <c r="O703" s="784" t="n"/>
      <c r="P703" s="3" t="n"/>
      <c r="Q703" s="51" t="n"/>
      <c r="R703" s="53" t="n">
        <v>211.08343863</v>
      </c>
      <c r="S703" s="12" t="n"/>
      <c r="T703" s="770" t="n"/>
      <c r="U703" s="4" t="n"/>
      <c r="V703" s="269" t="n"/>
      <c r="W703" s="3" t="n"/>
      <c r="X703" s="36" t="n"/>
      <c r="Y703" s="774" t="n"/>
      <c r="Z703" s="6" t="n"/>
      <c r="AA703" s="264" t="n"/>
      <c r="AB703" s="9" t="n"/>
      <c r="AC703" s="46" t="n"/>
      <c r="AD703" s="12" t="inlineStr">
        <is>
          <t>No</t>
        </is>
      </c>
      <c r="AE703" s="45" t="n"/>
      <c r="AF703" s="45" t="n"/>
      <c r="AG703" s="45" t="n"/>
      <c r="AH703" s="45" t="n"/>
      <c r="AI703" s="12" t="n"/>
      <c r="AJ703" s="45" t="n"/>
      <c r="AK703" s="45" t="n"/>
      <c r="AL703" s="45" t="n"/>
      <c r="AM703" s="45" t="n"/>
      <c r="AN703" s="45" t="n"/>
      <c r="AO703" s="45" t="n"/>
      <c r="AP703" s="12" t="n"/>
      <c r="AQ703" s="12" t="n"/>
      <c r="AR703" s="12" t="n"/>
      <c r="AS703" s="56" t="inlineStr">
        <is>
          <t>Deposit 97.14967955 USDT. Source: screenshot_ocr. Imported from account_cashflows.xlsx row 4.</t>
        </is>
      </c>
      <c r="AT703" s="45" t="n"/>
      <c r="AU703" s="12" t="n">
        <v>211.08343863</v>
      </c>
      <c r="AV703" s="12" t="inlineStr">
        <is>
          <t>USDT</t>
        </is>
      </c>
      <c r="AW703" s="12" t="inlineStr">
        <is>
          <t>cashflow</t>
        </is>
      </c>
      <c r="AX703" s="57" t="inlineStr">
        <is>
          <t>cashflow:BINANCE:2020-05-28T00:00:00:2</t>
        </is>
      </c>
    </row>
    <row r="704" ht="15" customHeight="1">
      <c r="A704" s="716" t="inlineStr">
        <is>
          <t>C55</t>
        </is>
      </c>
      <c r="B704" s="717" t="n">
        <v>43978.35763888889</v>
      </c>
      <c r="C704" s="718" t="n">
        <v>43978.89236111111</v>
      </c>
      <c r="D704" s="719" t="inlineStr">
        <is>
          <t>BINANCE</t>
        </is>
      </c>
      <c r="E704" s="719" t="inlineStr">
        <is>
          <t>COSUSDT</t>
        </is>
      </c>
      <c r="F704" s="719" t="inlineStr">
        <is>
          <t>BUY</t>
        </is>
      </c>
      <c r="G704" s="720" t="n">
        <v>1189.2</v>
      </c>
      <c r="H704" s="735" t="n">
        <v>0.01018</v>
      </c>
      <c r="I704" s="735" t="n">
        <v>0.01011</v>
      </c>
      <c r="J704" s="798" t="n">
        <v>0.008800000000000001</v>
      </c>
      <c r="K704" s="722" t="n">
        <v>0.1355599214145382</v>
      </c>
      <c r="L704" s="736" t="n">
        <v>0.01275</v>
      </c>
      <c r="M704" s="722" t="n">
        <v>0.2524557956777996</v>
      </c>
      <c r="N704" s="723" t="n">
        <v>0.01813563</v>
      </c>
      <c r="O704" s="724" t="n">
        <v>-0.10137963</v>
      </c>
      <c r="P704" s="763" t="n">
        <v>-0.0008890209732441864</v>
      </c>
      <c r="Q704" s="781" t="n">
        <v>-0.0507246376811599</v>
      </c>
      <c r="R704" s="727" t="n">
        <v>113.93375908</v>
      </c>
      <c r="S704" s="719" t="inlineStr">
        <is>
          <t>12H 50M 0S</t>
        </is>
      </c>
      <c r="T704" s="728" t="n"/>
      <c r="U704" s="729" t="n"/>
      <c r="V704" s="817" t="n">
        <v>0.0115</v>
      </c>
      <c r="W704" s="725" t="n">
        <v>0.1296660117878193</v>
      </c>
      <c r="X704" s="722" t="n">
        <v>0.09803921568627447</v>
      </c>
      <c r="Y704" s="728" t="n"/>
      <c r="Z704" s="729" t="n"/>
      <c r="AA704" s="730" t="n"/>
      <c r="AB704" s="731" t="n"/>
      <c r="AC704" s="732" t="n"/>
      <c r="AD704" s="719" t="inlineStr">
        <is>
          <t>No</t>
        </is>
      </c>
      <c r="AE704" s="733" t="n"/>
      <c r="AF704" s="733" t="n"/>
      <c r="AG704" s="733" t="n"/>
      <c r="AH704" s="733" t="n"/>
      <c r="AI704" s="719" t="inlineStr">
        <is>
          <t>Market</t>
        </is>
      </c>
      <c r="AJ704" s="733" t="n"/>
      <c r="AK704" s="733" t="n"/>
      <c r="AL704" s="733" t="n"/>
      <c r="AM704" s="733" t="n"/>
      <c r="AN704" s="733" t="n"/>
      <c r="AO704" s="733" t="n"/>
      <c r="AP704" s="719" t="inlineStr">
        <is>
          <t>Pullback</t>
        </is>
      </c>
      <c r="AQ704" s="719" t="inlineStr">
        <is>
          <t>1H</t>
        </is>
      </c>
      <c r="AR704" s="719" t="inlineStr">
        <is>
          <t>No</t>
        </is>
      </c>
      <c r="AS704" s="733" t="n"/>
      <c r="AT704" s="733" t="n"/>
      <c r="AU704" s="733" t="n"/>
      <c r="AV704" s="733" t="n"/>
      <c r="AW704" s="719" t="inlineStr">
        <is>
          <t>trade</t>
        </is>
      </c>
      <c r="AX704" s="734" t="inlineStr">
        <is>
          <t>sig:d0cd0278046f226094376644</t>
        </is>
      </c>
    </row>
    <row r="705" ht="15" customHeight="1">
      <c r="A705" s="737" t="n"/>
      <c r="B705" s="738" t="n">
        <v>43978.07638888889</v>
      </c>
      <c r="C705" s="739" t="n">
        <v>43978.07777777778</v>
      </c>
      <c r="D705" s="740" t="inlineStr">
        <is>
          <t>BINANCE</t>
        </is>
      </c>
      <c r="E705" s="740" t="inlineStr">
        <is>
          <t>THETAUSDT</t>
        </is>
      </c>
      <c r="F705" s="740" t="inlineStr">
        <is>
          <t>BUY</t>
        </is>
      </c>
      <c r="G705" s="742" t="n">
        <v>24</v>
      </c>
      <c r="H705" s="742" t="n">
        <v>0.41803</v>
      </c>
      <c r="I705" s="742" t="n">
        <v>0.41878</v>
      </c>
      <c r="J705" s="743" t="n"/>
      <c r="K705" s="744" t="n"/>
      <c r="L705" s="743" t="n"/>
      <c r="M705" s="744" t="n"/>
      <c r="N705" s="802" t="n">
        <v>0.01509725</v>
      </c>
      <c r="O705" s="825" t="n">
        <v>0.00290275</v>
      </c>
      <c r="P705" s="768" t="n">
        <v>2.545487323325763e-05</v>
      </c>
      <c r="Q705" s="748" t="n"/>
      <c r="R705" s="749" t="n">
        <v>114.03513871</v>
      </c>
      <c r="S705" s="740" t="inlineStr">
        <is>
          <t>2M 0S</t>
        </is>
      </c>
      <c r="T705" s="750" t="n"/>
      <c r="U705" s="751" t="n"/>
      <c r="V705" s="810" t="n"/>
      <c r="W705" s="747" t="n"/>
      <c r="X705" s="744" t="n"/>
      <c r="Y705" s="750" t="n"/>
      <c r="Z705" s="751" t="n"/>
      <c r="AA705" s="752" t="n"/>
      <c r="AB705" s="753" t="n"/>
      <c r="AC705" s="754" t="n"/>
      <c r="AD705" s="740" t="inlineStr">
        <is>
          <t>Yes</t>
        </is>
      </c>
      <c r="AE705" s="755" t="n"/>
      <c r="AF705" s="755" t="n"/>
      <c r="AG705" s="755" t="n"/>
      <c r="AH705" s="755" t="n"/>
      <c r="AI705" s="740" t="n"/>
      <c r="AJ705" s="755" t="n"/>
      <c r="AK705" s="740" t="n"/>
      <c r="AL705" s="755" t="n"/>
      <c r="AM705" s="755" t="n"/>
      <c r="AN705" s="755" t="n"/>
      <c r="AO705" s="755" t="n"/>
      <c r="AP705" s="740" t="inlineStr">
        <is>
          <t>Pullback</t>
        </is>
      </c>
      <c r="AQ705" s="740" t="n"/>
      <c r="AR705" s="740" t="inlineStr">
        <is>
          <t>No</t>
        </is>
      </c>
      <c r="AS705" s="755" t="n"/>
      <c r="AT705" s="755" t="n"/>
      <c r="AU705" s="755" t="n"/>
      <c r="AV705" s="755" t="n"/>
      <c r="AW705" s="740" t="inlineStr">
        <is>
          <t>trade</t>
        </is>
      </c>
      <c r="AX705" s="756" t="inlineStr">
        <is>
          <t>sig:0fa08000541052f4efe5833e</t>
        </is>
      </c>
    </row>
    <row r="706" ht="15" customHeight="1">
      <c r="A706" s="716" t="inlineStr">
        <is>
          <t>F759</t>
        </is>
      </c>
      <c r="B706" s="717" t="n">
        <v>43977.91180555556</v>
      </c>
      <c r="C706" s="718" t="n">
        <v>43977.96875</v>
      </c>
      <c r="D706" s="719" t="inlineStr">
        <is>
          <t>PEPPERSTONE DEMO</t>
        </is>
      </c>
      <c r="E706" s="719" t="inlineStr">
        <is>
          <t>USDCAD</t>
        </is>
      </c>
      <c r="F706" s="719" t="inlineStr">
        <is>
          <t>BUY</t>
        </is>
      </c>
      <c r="G706" s="735" t="n">
        <v>0.01</v>
      </c>
      <c r="H706" s="720" t="n">
        <v>1.3856</v>
      </c>
      <c r="I706" s="720" t="n">
        <v>1.38292</v>
      </c>
      <c r="J706" s="721" t="n">
        <v>1.3812</v>
      </c>
      <c r="K706" s="722" t="n">
        <v>0.003175519630484959</v>
      </c>
      <c r="L706" s="721" t="n">
        <v>1.4048</v>
      </c>
      <c r="M706" s="722" t="n">
        <v>0.01385681293302548</v>
      </c>
      <c r="N706" s="761" t="n"/>
      <c r="O706" s="762" t="n">
        <v>-3.01</v>
      </c>
      <c r="P706" s="725" t="n">
        <v>-0.006052562787798354</v>
      </c>
      <c r="Q706" s="726" t="n">
        <v>-0.6090909090909182</v>
      </c>
      <c r="R706" s="764" t="n">
        <v>494.3000000000001</v>
      </c>
      <c r="S706" s="719" t="inlineStr">
        <is>
          <t>1H 22M 0S</t>
        </is>
      </c>
      <c r="T706" s="728" t="n"/>
      <c r="U706" s="729" t="n"/>
      <c r="V706" s="807" t="n">
        <v>1.3925</v>
      </c>
      <c r="W706" s="725" t="n">
        <v>-0.006900000000000128</v>
      </c>
      <c r="X706" s="722" t="n">
        <v>0.01229999999999998</v>
      </c>
      <c r="Y706" s="728" t="n"/>
      <c r="Z706" s="729" t="n"/>
      <c r="AA706" s="807" t="n">
        <v>1.3968</v>
      </c>
      <c r="AB706" s="725" t="n">
        <v>-0.0112000000000001</v>
      </c>
      <c r="AC706" s="722" t="n">
        <v>0.008000000000000007</v>
      </c>
      <c r="AD706" s="719" t="inlineStr">
        <is>
          <t>No</t>
        </is>
      </c>
      <c r="AE706" s="733" t="n"/>
      <c r="AF706" s="733" t="n"/>
      <c r="AG706" s="733" t="n"/>
      <c r="AH706" s="733" t="n"/>
      <c r="AI706" s="719" t="inlineStr">
        <is>
          <t>Limit</t>
        </is>
      </c>
      <c r="AJ706" s="733" t="n"/>
      <c r="AK706" s="733" t="n"/>
      <c r="AL706" s="733" t="n"/>
      <c r="AM706" s="733" t="n"/>
      <c r="AN706" s="733" t="n"/>
      <c r="AO706" s="733" t="n"/>
      <c r="AP706" s="719" t="inlineStr">
        <is>
          <t>Pullback</t>
        </is>
      </c>
      <c r="AQ706" s="719" t="inlineStr">
        <is>
          <t>1H</t>
        </is>
      </c>
      <c r="AR706" s="719" t="inlineStr">
        <is>
          <t>No</t>
        </is>
      </c>
      <c r="AS706" s="733" t="n"/>
      <c r="AT706" s="733" t="n"/>
      <c r="AU706" s="733" t="n"/>
      <c r="AV706" s="733" t="n"/>
      <c r="AW706" s="719" t="inlineStr">
        <is>
          <t>trade</t>
        </is>
      </c>
      <c r="AX706" s="734" t="inlineStr">
        <is>
          <t>sig:c255bb71da6f989185593c2a</t>
        </is>
      </c>
    </row>
    <row r="707" ht="15" customHeight="1">
      <c r="A707" s="716" t="inlineStr">
        <is>
          <t>C53</t>
        </is>
      </c>
      <c r="B707" s="717" t="n">
        <v>43977.59861111111</v>
      </c>
      <c r="C707" s="718" t="n">
        <v>43977.85486111111</v>
      </c>
      <c r="D707" s="719" t="inlineStr">
        <is>
          <t>BINANCE</t>
        </is>
      </c>
      <c r="E707" s="719" t="inlineStr">
        <is>
          <t>CTSIUSDT</t>
        </is>
      </c>
      <c r="F707" s="719" t="inlineStr">
        <is>
          <t>BUY</t>
        </is>
      </c>
      <c r="G707" s="720" t="n">
        <v>947.7</v>
      </c>
      <c r="H707" s="735" t="n">
        <v>0.03525</v>
      </c>
      <c r="I707" s="735" t="n">
        <v>0.03416</v>
      </c>
      <c r="J707" s="736" t="n">
        <v>0.03416</v>
      </c>
      <c r="K707" s="722" t="n">
        <v>0.03092198581560266</v>
      </c>
      <c r="L707" s="736" t="n">
        <v>0.03845</v>
      </c>
      <c r="M707" s="722" t="n">
        <v>0.09078014184397168</v>
      </c>
      <c r="N707" s="723" t="n">
        <v>0.04914324</v>
      </c>
      <c r="O707" s="724" t="n">
        <v>-1.08213624</v>
      </c>
      <c r="P707" s="725" t="n">
        <v>-0.009400531135416296</v>
      </c>
      <c r="Q707" s="726" t="n">
        <v>-1</v>
      </c>
      <c r="R707" s="727" t="n">
        <v>114.03223596</v>
      </c>
      <c r="S707" s="719" t="inlineStr">
        <is>
          <t>6H 9M 0S</t>
        </is>
      </c>
      <c r="T707" s="717" t="n"/>
      <c r="U707" s="806" t="n"/>
      <c r="V707" s="817" t="n">
        <v>0.03678</v>
      </c>
      <c r="W707" s="725" t="n">
        <v>0.04340425531914904</v>
      </c>
      <c r="X707" s="722" t="n">
        <v>0.04343302990897264</v>
      </c>
      <c r="Y707" s="728" t="n"/>
      <c r="Z707" s="729" t="n"/>
      <c r="AA707" s="730" t="n"/>
      <c r="AB707" s="731" t="n"/>
      <c r="AC707" s="732" t="n"/>
      <c r="AD707" s="719" t="inlineStr">
        <is>
          <t>No</t>
        </is>
      </c>
      <c r="AE707" s="733" t="n"/>
      <c r="AF707" s="733" t="n"/>
      <c r="AG707" s="733" t="n"/>
      <c r="AH707" s="733" t="n"/>
      <c r="AI707" s="719" t="inlineStr">
        <is>
          <t>Market</t>
        </is>
      </c>
      <c r="AJ707" s="733" t="n"/>
      <c r="AK707" s="733" t="n"/>
      <c r="AL707" s="733" t="n"/>
      <c r="AM707" s="733" t="n"/>
      <c r="AN707" s="733" t="n"/>
      <c r="AO707" s="733" t="n"/>
      <c r="AP707" s="719" t="inlineStr">
        <is>
          <t>Pullback</t>
        </is>
      </c>
      <c r="AQ707" s="719" t="inlineStr">
        <is>
          <t>1H</t>
        </is>
      </c>
      <c r="AR707" s="719" t="inlineStr">
        <is>
          <t>No</t>
        </is>
      </c>
      <c r="AS707" s="733" t="n"/>
      <c r="AT707" s="733" t="n"/>
      <c r="AU707" s="733" t="n"/>
      <c r="AV707" s="733" t="n"/>
      <c r="AW707" s="719" t="inlineStr">
        <is>
          <t>trade</t>
        </is>
      </c>
      <c r="AX707" s="734" t="inlineStr">
        <is>
          <t>sig:d06b60ac462a47ca375fe531</t>
        </is>
      </c>
    </row>
    <row r="708" ht="15" customHeight="1">
      <c r="A708" s="716" t="inlineStr">
        <is>
          <t>C52</t>
        </is>
      </c>
      <c r="B708" s="717" t="n">
        <v>43977.25208333333</v>
      </c>
      <c r="C708" s="718" t="n">
        <v>43977.43611111111</v>
      </c>
      <c r="D708" s="719" t="inlineStr">
        <is>
          <t>BINANCE</t>
        </is>
      </c>
      <c r="E708" s="719" t="inlineStr">
        <is>
          <t>ZILUSDT</t>
        </is>
      </c>
      <c r="F708" s="719" t="inlineStr">
        <is>
          <t>BUY</t>
        </is>
      </c>
      <c r="G708" s="720" t="n">
        <v>1147.8</v>
      </c>
      <c r="H708" s="735" t="n">
        <v>0.01214</v>
      </c>
      <c r="I708" s="735" t="n">
        <v>0.01214</v>
      </c>
      <c r="J708" s="736" t="n">
        <v>0.01119</v>
      </c>
      <c r="K708" s="722" t="n">
        <v>0.07825370675453043</v>
      </c>
      <c r="L708" s="736" t="n">
        <v>0.01479</v>
      </c>
      <c r="M708" s="722" t="n">
        <v>0.2182866556836902</v>
      </c>
      <c r="N708" s="723" t="n">
        <v>0.02088246</v>
      </c>
      <c r="O708" s="777" t="n">
        <v>-0.02088246</v>
      </c>
      <c r="P708" s="763" t="n">
        <v>-0.0001813732905847728</v>
      </c>
      <c r="Q708" s="726" t="n">
        <v>0</v>
      </c>
      <c r="R708" s="727" t="n">
        <v>115.1143722</v>
      </c>
      <c r="S708" s="719" t="inlineStr">
        <is>
          <t>4H 25M 0S</t>
        </is>
      </c>
      <c r="T708" s="717" t="n">
        <v>43976.94652777778</v>
      </c>
      <c r="U708" s="806" t="inlineStr">
        <is>
          <t>2H 39M 3S</t>
        </is>
      </c>
      <c r="V708" s="817" t="n">
        <v>0.01312</v>
      </c>
      <c r="W708" s="725" t="n">
        <v>0.08072487644151564</v>
      </c>
      <c r="X708" s="722" t="n">
        <v>0.1129141311697092</v>
      </c>
      <c r="Y708" s="728" t="n"/>
      <c r="Z708" s="729" t="n"/>
      <c r="AA708" s="817" t="n">
        <v>0.01395</v>
      </c>
      <c r="AB708" s="731" t="n"/>
      <c r="AC708" s="722" t="n">
        <v>0.0567951318458417</v>
      </c>
      <c r="AD708" s="719" t="inlineStr">
        <is>
          <t>No</t>
        </is>
      </c>
      <c r="AE708" s="733" t="n"/>
      <c r="AF708" s="733" t="n"/>
      <c r="AG708" s="733" t="n"/>
      <c r="AH708" s="733" t="n"/>
      <c r="AI708" s="719" t="inlineStr">
        <is>
          <t>Market</t>
        </is>
      </c>
      <c r="AJ708" s="733" t="n"/>
      <c r="AK708" s="733" t="n"/>
      <c r="AL708" s="733" t="n"/>
      <c r="AM708" s="733" t="n"/>
      <c r="AN708" s="733" t="n"/>
      <c r="AO708" s="733" t="n"/>
      <c r="AP708" s="719" t="inlineStr">
        <is>
          <t>Pullback</t>
        </is>
      </c>
      <c r="AQ708" s="719" t="inlineStr">
        <is>
          <t>1H</t>
        </is>
      </c>
      <c r="AR708" s="719" t="inlineStr">
        <is>
          <t>No</t>
        </is>
      </c>
      <c r="AS708" s="733" t="n"/>
      <c r="AT708" s="733" t="n"/>
      <c r="AU708" s="733" t="n"/>
      <c r="AV708" s="733" t="n"/>
      <c r="AW708" s="719" t="inlineStr">
        <is>
          <t>trade</t>
        </is>
      </c>
      <c r="AX708" s="734" t="inlineStr">
        <is>
          <t>sig:5850e43c99adaea3b73eee00</t>
        </is>
      </c>
    </row>
    <row r="709" ht="15" customHeight="1">
      <c r="A709" s="737" t="inlineStr">
        <is>
          <t>C51</t>
        </is>
      </c>
      <c r="B709" s="738" t="n">
        <v>43975.07708333333</v>
      </c>
      <c r="C709" s="739" t="n">
        <v>43975.76388888889</v>
      </c>
      <c r="D709" s="740" t="inlineStr">
        <is>
          <t>BINANCE</t>
        </is>
      </c>
      <c r="E709" s="740" t="inlineStr">
        <is>
          <t>BNTUSDT</t>
        </is>
      </c>
      <c r="F709" s="740" t="inlineStr">
        <is>
          <t>BUY</t>
        </is>
      </c>
      <c r="G709" s="742" t="n">
        <v>40.59</v>
      </c>
      <c r="H709" s="742" t="n">
        <v>0.3565</v>
      </c>
      <c r="I709" s="742" t="n">
        <v>0.42</v>
      </c>
      <c r="J709" s="743" t="n">
        <v>0.3317</v>
      </c>
      <c r="K709" s="744" t="n">
        <v>0.06956521739130432</v>
      </c>
      <c r="L709" s="743" t="n">
        <v>0.4219</v>
      </c>
      <c r="M709" s="744" t="n">
        <v>0.1834502103786817</v>
      </c>
      <c r="N709" s="802" t="n">
        <v>0.05074736</v>
      </c>
      <c r="O709" s="746" t="n">
        <v>2.52671764</v>
      </c>
      <c r="P709" s="747" t="n">
        <v>0.02243806470508749</v>
      </c>
      <c r="Q709" s="748" t="n">
        <v>2.560483870967743</v>
      </c>
      <c r="R709" s="749" t="n">
        <v>115.13525466</v>
      </c>
      <c r="S709" s="740" t="inlineStr">
        <is>
          <t>16H 29M 0S</t>
        </is>
      </c>
      <c r="T709" s="738" t="n">
        <v>43974.73333333333</v>
      </c>
      <c r="U709" s="809" t="inlineStr">
        <is>
          <t>1H 44M 48S</t>
        </is>
      </c>
      <c r="V709" s="810" t="n">
        <v>0.3917</v>
      </c>
      <c r="W709" s="747" t="n">
        <v>0.09873772791023847</v>
      </c>
      <c r="X709" s="744" t="n">
        <v>0.07158094335150511</v>
      </c>
      <c r="Y709" s="750" t="n"/>
      <c r="Z709" s="751" t="n"/>
      <c r="AA709" s="752" t="n"/>
      <c r="AB709" s="753" t="n"/>
      <c r="AC709" s="754" t="n"/>
      <c r="AD709" s="740" t="inlineStr">
        <is>
          <t>No</t>
        </is>
      </c>
      <c r="AE709" s="755" t="n"/>
      <c r="AF709" s="755" t="n"/>
      <c r="AG709" s="755" t="n"/>
      <c r="AH709" s="755" t="n"/>
      <c r="AI709" s="740" t="inlineStr">
        <is>
          <t>Market</t>
        </is>
      </c>
      <c r="AJ709" s="755" t="n"/>
      <c r="AK709" s="755" t="n"/>
      <c r="AL709" s="755" t="n"/>
      <c r="AM709" s="755" t="n"/>
      <c r="AN709" s="755" t="n"/>
      <c r="AO709" s="755" t="n"/>
      <c r="AP709" s="740" t="inlineStr">
        <is>
          <t>Pullback</t>
        </is>
      </c>
      <c r="AQ709" s="740" t="inlineStr">
        <is>
          <t>1H</t>
        </is>
      </c>
      <c r="AR709" s="740" t="inlineStr">
        <is>
          <t>No</t>
        </is>
      </c>
      <c r="AS709" s="755" t="n"/>
      <c r="AT709" s="755" t="n"/>
      <c r="AU709" s="755" t="n"/>
      <c r="AV709" s="755" t="n"/>
      <c r="AW709" s="740" t="inlineStr">
        <is>
          <t>trade</t>
        </is>
      </c>
      <c r="AX709" s="756" t="inlineStr">
        <is>
          <t>sig:7f7e2595616e25b94f47ec7a</t>
        </is>
      </c>
    </row>
    <row r="710" ht="15" customHeight="1">
      <c r="A710" s="716" t="inlineStr">
        <is>
          <t>F758</t>
        </is>
      </c>
      <c r="B710" s="717" t="n">
        <v>43974.02083333334</v>
      </c>
      <c r="C710" s="718" t="n">
        <v>43974.02152777778</v>
      </c>
      <c r="D710" s="719" t="inlineStr">
        <is>
          <t>PEPPERSTONE DEMO</t>
        </is>
      </c>
      <c r="E710" s="719" t="inlineStr">
        <is>
          <t>GBPUSD</t>
        </is>
      </c>
      <c r="F710" s="719" t="inlineStr">
        <is>
          <t>SELL</t>
        </is>
      </c>
      <c r="G710" s="735" t="n">
        <v>0.04</v>
      </c>
      <c r="H710" s="720" t="n">
        <v>1.2192</v>
      </c>
      <c r="I710" s="720" t="n">
        <v>1.22002</v>
      </c>
      <c r="J710" s="721" t="n">
        <v>1.22</v>
      </c>
      <c r="K710" s="760" t="n">
        <v>0.0006561679790025523</v>
      </c>
      <c r="L710" s="721" t="n">
        <v>1.2168</v>
      </c>
      <c r="M710" s="722" t="n">
        <v>0.001968503937007839</v>
      </c>
      <c r="N710" s="761" t="n"/>
      <c r="O710" s="762" t="n">
        <v>-4.9</v>
      </c>
      <c r="P710" s="725" t="n">
        <v>-0.009756874614205211</v>
      </c>
      <c r="Q710" s="726" t="n">
        <v>-1.025000000000166</v>
      </c>
      <c r="R710" s="764" t="n">
        <v>497.3100000000001</v>
      </c>
      <c r="S710" s="719" t="inlineStr">
        <is>
          <t>1M 0S</t>
        </is>
      </c>
      <c r="T710" s="717" t="n"/>
      <c r="U710" s="806" t="n"/>
      <c r="V710" s="807" t="n"/>
      <c r="W710" s="725" t="n"/>
      <c r="X710" s="722" t="n"/>
      <c r="Y710" s="728" t="n"/>
      <c r="Z710" s="729" t="n"/>
      <c r="AA710" s="730" t="n"/>
      <c r="AB710" s="731" t="n"/>
      <c r="AC710" s="732" t="n"/>
      <c r="AD710" s="719" t="inlineStr">
        <is>
          <t>No</t>
        </is>
      </c>
      <c r="AE710" s="733" t="n"/>
      <c r="AF710" s="733" t="n"/>
      <c r="AG710" s="733" t="n"/>
      <c r="AH710" s="733" t="n"/>
      <c r="AI710" s="719" t="inlineStr">
        <is>
          <t>Limit</t>
        </is>
      </c>
      <c r="AJ710" s="733" t="n"/>
      <c r="AK710" s="733" t="n"/>
      <c r="AL710" s="733" t="n"/>
      <c r="AM710" s="733" t="n"/>
      <c r="AN710" s="733" t="n"/>
      <c r="AO710" s="733" t="n"/>
      <c r="AP710" s="719" t="inlineStr">
        <is>
          <t>Pullback</t>
        </is>
      </c>
      <c r="AQ710" s="719" t="inlineStr">
        <is>
          <t>5MIN</t>
        </is>
      </c>
      <c r="AR710" s="719" t="inlineStr">
        <is>
          <t>No</t>
        </is>
      </c>
      <c r="AS710" s="733" t="n"/>
      <c r="AT710" s="733" t="n"/>
      <c r="AU710" s="733" t="n"/>
      <c r="AV710" s="733" t="n"/>
      <c r="AW710" s="719" t="inlineStr">
        <is>
          <t>trade</t>
        </is>
      </c>
      <c r="AX710" s="734" t="inlineStr">
        <is>
          <t>sig:805a1dd1f14211b5a945e575</t>
        </is>
      </c>
    </row>
    <row r="711" ht="15" customHeight="1">
      <c r="A711" s="42" t="inlineStr">
        <is>
          <t>F757</t>
        </is>
      </c>
      <c r="B711" s="770" t="n">
        <v>43973.7625</v>
      </c>
      <c r="C711" s="771" t="n">
        <v>43973.80694444444</v>
      </c>
      <c r="D711" s="12" t="inlineStr">
        <is>
          <t>PEPPERSTONE DEMO</t>
        </is>
      </c>
      <c r="E711" s="12" t="inlineStr">
        <is>
          <t>GBPUSD</t>
        </is>
      </c>
      <c r="F711" s="12" t="inlineStr">
        <is>
          <t>SELL</t>
        </is>
      </c>
      <c r="G711" s="272" t="n">
        <v>0.02</v>
      </c>
      <c r="H711" s="262" t="n">
        <v>1.21852</v>
      </c>
      <c r="I711" s="262" t="n">
        <v>1.21852</v>
      </c>
      <c r="J711" s="263" t="n">
        <v>1.2199</v>
      </c>
      <c r="K711" s="36" t="n">
        <v>0.001132521419426794</v>
      </c>
      <c r="L711" s="263" t="n">
        <v>1.2157</v>
      </c>
      <c r="M711" s="36" t="n">
        <v>0.002314282900567939</v>
      </c>
      <c r="N711" s="779" t="n"/>
      <c r="O711" s="773" t="n">
        <v>0</v>
      </c>
      <c r="P711" s="3" t="n">
        <v>0</v>
      </c>
      <c r="Q711" s="51" t="n">
        <v>0</v>
      </c>
      <c r="R711" s="54" t="n">
        <v>502.21</v>
      </c>
      <c r="S711" s="12" t="inlineStr">
        <is>
          <t>1H 4M 0S</t>
        </is>
      </c>
      <c r="T711" s="770" t="n">
        <v>43973.78263888889</v>
      </c>
      <c r="U711" s="4" t="inlineStr">
        <is>
          <t>29M 0S</t>
        </is>
      </c>
      <c r="V711" s="269" t="n">
        <v>1.2171</v>
      </c>
      <c r="W711" s="3" t="n">
        <v>0.001419999999999977</v>
      </c>
      <c r="X711" s="36" t="n">
        <v>-0.001400000000000068</v>
      </c>
      <c r="Y711" s="774" t="n"/>
      <c r="Z711" s="6" t="n"/>
      <c r="AA711" s="264" t="n"/>
      <c r="AB711" s="9" t="n"/>
      <c r="AC711" s="46" t="n"/>
      <c r="AD711" s="12" t="inlineStr">
        <is>
          <t>No</t>
        </is>
      </c>
      <c r="AE711" s="45" t="n"/>
      <c r="AF711" s="45" t="n"/>
      <c r="AG711" s="45" t="n"/>
      <c r="AH711" s="45" t="n"/>
      <c r="AI711" s="12" t="inlineStr">
        <is>
          <t>Limit</t>
        </is>
      </c>
      <c r="AJ711" s="45" t="n"/>
      <c r="AK711" s="45" t="n"/>
      <c r="AL711" s="45" t="n"/>
      <c r="AM711" s="45" t="n"/>
      <c r="AN711" s="45" t="n"/>
      <c r="AO711" s="45" t="n"/>
      <c r="AP711" s="12" t="inlineStr">
        <is>
          <t>Pullback</t>
        </is>
      </c>
      <c r="AQ711" s="12" t="inlineStr">
        <is>
          <t>5MIN</t>
        </is>
      </c>
      <c r="AR711" s="12" t="inlineStr">
        <is>
          <t>Yes</t>
        </is>
      </c>
      <c r="AS711" s="45" t="n"/>
      <c r="AT711" s="45" t="n"/>
      <c r="AU711" s="45" t="n"/>
      <c r="AV711" s="45" t="n"/>
      <c r="AW711" s="12" t="inlineStr">
        <is>
          <t>trade</t>
        </is>
      </c>
      <c r="AX711" s="57" t="inlineStr">
        <is>
          <t>sig:2ce2b88a7eeb468cbc33626c</t>
        </is>
      </c>
    </row>
    <row r="712" ht="15" customHeight="1">
      <c r="A712" s="716" t="inlineStr">
        <is>
          <t>F756</t>
        </is>
      </c>
      <c r="B712" s="717" t="n">
        <v>43973.63958333333</v>
      </c>
      <c r="C712" s="718" t="n">
        <v>43973.71111111111</v>
      </c>
      <c r="D712" s="719" t="inlineStr">
        <is>
          <t>PEPPERSTONE DEMO</t>
        </is>
      </c>
      <c r="E712" s="719" t="inlineStr">
        <is>
          <t>CADCHF</t>
        </is>
      </c>
      <c r="F712" s="719" t="inlineStr">
        <is>
          <t>BUY</t>
        </is>
      </c>
      <c r="G712" s="735" t="n">
        <v>0.01</v>
      </c>
      <c r="H712" s="720" t="n">
        <v>0.6935</v>
      </c>
      <c r="I712" s="720" t="n">
        <v>0.69184</v>
      </c>
      <c r="J712" s="721" t="n">
        <v>0.6918</v>
      </c>
      <c r="K712" s="722" t="n">
        <v>0.002451333813987073</v>
      </c>
      <c r="L712" s="721" t="n">
        <v>0.6969</v>
      </c>
      <c r="M712" s="722" t="n">
        <v>0.004902667627973985</v>
      </c>
      <c r="N712" s="788" t="n"/>
      <c r="O712" s="762" t="n">
        <v>-2.68</v>
      </c>
      <c r="P712" s="725" t="n">
        <v>-0.005308086910020005</v>
      </c>
      <c r="Q712" s="726" t="n">
        <v>-0.9764705882352711</v>
      </c>
      <c r="R712" s="764" t="n">
        <v>502.21</v>
      </c>
      <c r="S712" s="719" t="inlineStr">
        <is>
          <t>1H 43M 0S</t>
        </is>
      </c>
      <c r="T712" s="728" t="n"/>
      <c r="U712" s="729" t="n"/>
      <c r="V712" s="807" t="n">
        <v>0.6952</v>
      </c>
      <c r="W712" s="725" t="n">
        <v>-0.001700000000000035</v>
      </c>
      <c r="X712" s="722" t="n">
        <v>0.001699999999999924</v>
      </c>
      <c r="Y712" s="728" t="n"/>
      <c r="Z712" s="729" t="n"/>
      <c r="AA712" s="730" t="n"/>
      <c r="AB712" s="731" t="n"/>
      <c r="AC712" s="732" t="n"/>
      <c r="AD712" s="719" t="inlineStr">
        <is>
          <t>No</t>
        </is>
      </c>
      <c r="AE712" s="733" t="n"/>
      <c r="AF712" s="733" t="n"/>
      <c r="AG712" s="733" t="n"/>
      <c r="AH712" s="733" t="n"/>
      <c r="AI712" s="719" t="inlineStr">
        <is>
          <t>Limit</t>
        </is>
      </c>
      <c r="AJ712" s="733" t="n"/>
      <c r="AK712" s="733" t="n"/>
      <c r="AL712" s="733" t="n"/>
      <c r="AM712" s="733" t="n"/>
      <c r="AN712" s="733" t="n"/>
      <c r="AO712" s="733" t="n"/>
      <c r="AP712" s="719" t="inlineStr">
        <is>
          <t>Pullback</t>
        </is>
      </c>
      <c r="AQ712" s="719" t="inlineStr">
        <is>
          <t>1H</t>
        </is>
      </c>
      <c r="AR712" s="719" t="inlineStr">
        <is>
          <t>No</t>
        </is>
      </c>
      <c r="AS712" s="733" t="n"/>
      <c r="AT712" s="733" t="n"/>
      <c r="AU712" s="733" t="n"/>
      <c r="AV712" s="733" t="n"/>
      <c r="AW712" s="719" t="inlineStr">
        <is>
          <t>trade</t>
        </is>
      </c>
      <c r="AX712" s="734" t="inlineStr">
        <is>
          <t>sig:b89f4bf08ba504a006d0d27c</t>
        </is>
      </c>
    </row>
    <row r="713" ht="15" customHeight="1">
      <c r="A713" s="716" t="inlineStr">
        <is>
          <t>C50</t>
        </is>
      </c>
      <c r="B713" s="717" t="n">
        <v>43973.02638888889</v>
      </c>
      <c r="C713" s="718" t="n">
        <v>43973.03055555555</v>
      </c>
      <c r="D713" s="719" t="inlineStr">
        <is>
          <t>BINANCE</t>
        </is>
      </c>
      <c r="E713" s="719" t="inlineStr">
        <is>
          <t>ENJUSDT</t>
        </is>
      </c>
      <c r="F713" s="719" t="inlineStr">
        <is>
          <t>BUY</t>
        </is>
      </c>
      <c r="G713" s="720" t="n">
        <v>139.2</v>
      </c>
      <c r="H713" s="720" t="n">
        <v>0.17258</v>
      </c>
      <c r="I713" s="720" t="n">
        <v>0.16527</v>
      </c>
      <c r="J713" s="721" t="n">
        <v>0.16528</v>
      </c>
      <c r="K713" s="722" t="n">
        <v>0.04229922354849925</v>
      </c>
      <c r="L713" s="721" t="n">
        <v>0.18719</v>
      </c>
      <c r="M713" s="722" t="n">
        <v>0.08465639123884565</v>
      </c>
      <c r="N713" s="723" t="n">
        <v>0.03547529</v>
      </c>
      <c r="O713" s="724" t="n">
        <v>-1.05302729</v>
      </c>
      <c r="P713" s="725" t="n">
        <v>-0.009264585582580743</v>
      </c>
      <c r="Q713" s="726" t="n">
        <v>-1.0013698630137</v>
      </c>
      <c r="R713" s="727" t="n">
        <v>112.60853702</v>
      </c>
      <c r="S713" s="719" t="inlineStr">
        <is>
          <t>6M 0S</t>
        </is>
      </c>
      <c r="T713" s="728" t="n"/>
      <c r="U713" s="729" t="n"/>
      <c r="V713" s="807" t="n">
        <v>0.18022</v>
      </c>
      <c r="W713" s="725" t="n">
        <v>0.04426932437130594</v>
      </c>
      <c r="X713" s="722" t="n">
        <v>0.03723489502644374</v>
      </c>
      <c r="Y713" s="728" t="n"/>
      <c r="Z713" s="729" t="n"/>
      <c r="AA713" s="730" t="n"/>
      <c r="AB713" s="731" t="n"/>
      <c r="AC713" s="732" t="n"/>
      <c r="AD713" s="719" t="inlineStr">
        <is>
          <t>No</t>
        </is>
      </c>
      <c r="AE713" s="733" t="n"/>
      <c r="AF713" s="733" t="n"/>
      <c r="AG713" s="733" t="n"/>
      <c r="AH713" s="733" t="n"/>
      <c r="AI713" s="719" t="inlineStr">
        <is>
          <t>Limit</t>
        </is>
      </c>
      <c r="AJ713" s="733" t="n"/>
      <c r="AK713" s="719" t="inlineStr">
        <is>
          <t>Yes</t>
        </is>
      </c>
      <c r="AL713" s="733" t="n"/>
      <c r="AM713" s="733" t="n"/>
      <c r="AN713" s="733" t="n"/>
      <c r="AO713" s="733" t="n"/>
      <c r="AP713" s="719" t="inlineStr">
        <is>
          <t>Pullback</t>
        </is>
      </c>
      <c r="AQ713" s="719" t="inlineStr">
        <is>
          <t>1H</t>
        </is>
      </c>
      <c r="AR713" s="719" t="inlineStr">
        <is>
          <t>No</t>
        </is>
      </c>
      <c r="AS713" s="733" t="n"/>
      <c r="AT713" s="733" t="n"/>
      <c r="AU713" s="733" t="n"/>
      <c r="AV713" s="733" t="n"/>
      <c r="AW713" s="719" t="inlineStr">
        <is>
          <t>trade</t>
        </is>
      </c>
      <c r="AX713" s="734" t="inlineStr">
        <is>
          <t>sig:f35e19012d24324a1ba8cbfc</t>
        </is>
      </c>
    </row>
    <row r="714" ht="15" customHeight="1">
      <c r="A714" s="716" t="inlineStr">
        <is>
          <t>C49</t>
        </is>
      </c>
      <c r="B714" s="717" t="n">
        <v>43972.78888888889</v>
      </c>
      <c r="C714" s="718" t="n">
        <v>43972.99027777778</v>
      </c>
      <c r="D714" s="719" t="inlineStr">
        <is>
          <t>BINANCE</t>
        </is>
      </c>
      <c r="E714" s="719" t="inlineStr">
        <is>
          <t>KEYUSDT</t>
        </is>
      </c>
      <c r="F714" s="719" t="inlineStr">
        <is>
          <t>BUY</t>
        </is>
      </c>
      <c r="G714" s="720" t="n">
        <v>15535</v>
      </c>
      <c r="H714" s="757" t="n">
        <v>0.001073</v>
      </c>
      <c r="I714" s="757" t="n">
        <v>0.001021</v>
      </c>
      <c r="J714" s="798" t="n">
        <v>0.001007</v>
      </c>
      <c r="K714" s="722" t="n">
        <v>0.06150978564771657</v>
      </c>
      <c r="L714" s="798" t="n">
        <v>0.00121</v>
      </c>
      <c r="M714" s="722" t="n">
        <v>0.1276794035414725</v>
      </c>
      <c r="N714" s="723" t="n">
        <v>0.02446505</v>
      </c>
      <c r="O714" s="724" t="n">
        <v>-0.83228505</v>
      </c>
      <c r="P714" s="725" t="n">
        <v>-0.00726925555086429</v>
      </c>
      <c r="Q714" s="726" t="n">
        <v>-0.7878787878787888</v>
      </c>
      <c r="R714" s="727" t="n">
        <v>113.66156431</v>
      </c>
      <c r="S714" s="719" t="inlineStr">
        <is>
          <t>4H 50M 0S</t>
        </is>
      </c>
      <c r="T714" s="717" t="n"/>
      <c r="U714" s="806" t="n"/>
      <c r="V714" s="822" t="n">
        <v>0.001158</v>
      </c>
      <c r="W714" s="725" t="n">
        <v>0.07921714818266544</v>
      </c>
      <c r="X714" s="722" t="n">
        <v>0.03900414937759332</v>
      </c>
      <c r="Y714" s="728" t="n"/>
      <c r="Z714" s="729" t="n"/>
      <c r="AA714" s="730" t="n"/>
      <c r="AB714" s="731" t="n"/>
      <c r="AC714" s="732" t="n"/>
      <c r="AD714" s="719" t="inlineStr">
        <is>
          <t>No</t>
        </is>
      </c>
      <c r="AE714" s="733" t="n"/>
      <c r="AF714" s="733" t="n"/>
      <c r="AG714" s="733" t="n"/>
      <c r="AH714" s="733" t="n"/>
      <c r="AI714" s="719" t="inlineStr">
        <is>
          <t>Limit</t>
        </is>
      </c>
      <c r="AJ714" s="733" t="n"/>
      <c r="AK714" s="733" t="n"/>
      <c r="AL714" s="733" t="n"/>
      <c r="AM714" s="733" t="n"/>
      <c r="AN714" s="733" t="n"/>
      <c r="AO714" s="733" t="n"/>
      <c r="AP714" s="719" t="inlineStr">
        <is>
          <t>Pullback</t>
        </is>
      </c>
      <c r="AQ714" s="719" t="inlineStr">
        <is>
          <t>1H</t>
        </is>
      </c>
      <c r="AR714" s="719" t="inlineStr">
        <is>
          <t>No</t>
        </is>
      </c>
      <c r="AS714" s="733" t="n"/>
      <c r="AT714" s="733" t="n"/>
      <c r="AU714" s="733" t="n"/>
      <c r="AV714" s="733" t="n"/>
      <c r="AW714" s="719" t="inlineStr">
        <is>
          <t>trade</t>
        </is>
      </c>
      <c r="AX714" s="734" t="inlineStr">
        <is>
          <t>sig:fc1c0aebb3c65451bffe5b38</t>
        </is>
      </c>
    </row>
    <row r="715" ht="15" customHeight="1">
      <c r="A715" s="716" t="inlineStr">
        <is>
          <t>F755</t>
        </is>
      </c>
      <c r="B715" s="717" t="n">
        <v>43971.96875</v>
      </c>
      <c r="C715" s="718" t="n">
        <v>43972.79166666666</v>
      </c>
      <c r="D715" s="719" t="inlineStr">
        <is>
          <t>PEPPERSTONE DEMO</t>
        </is>
      </c>
      <c r="E715" s="719" t="inlineStr">
        <is>
          <t>USDCNH</t>
        </is>
      </c>
      <c r="F715" s="719" t="inlineStr">
        <is>
          <t>BUY</t>
        </is>
      </c>
      <c r="G715" s="735" t="n">
        <v>0.03</v>
      </c>
      <c r="H715" s="720" t="n">
        <v>7.10535</v>
      </c>
      <c r="I715" s="720" t="n">
        <v>7.10535</v>
      </c>
      <c r="J715" s="721" t="n">
        <v>7.0975</v>
      </c>
      <c r="K715" s="722" t="n">
        <v>0.001104801311687597</v>
      </c>
      <c r="L715" s="721" t="n">
        <v>7.1209</v>
      </c>
      <c r="M715" s="722" t="n">
        <v>0.002188491770285795</v>
      </c>
      <c r="N715" s="761" t="n">
        <v>1</v>
      </c>
      <c r="O715" s="762" t="n">
        <v>-1</v>
      </c>
      <c r="P715" s="725" t="n">
        <v>-0.001976714305481429</v>
      </c>
      <c r="Q715" s="726" t="n">
        <v>0</v>
      </c>
      <c r="R715" s="764" t="n">
        <v>504.89</v>
      </c>
      <c r="S715" s="719" t="inlineStr">
        <is>
          <t>19H 45M 0S</t>
        </is>
      </c>
      <c r="T715" s="717" t="n">
        <v>43972.48472222222</v>
      </c>
      <c r="U715" s="806" t="inlineStr">
        <is>
          <t>12H 23M 0S</t>
        </is>
      </c>
      <c r="V715" s="807" t="n">
        <v>7.1131</v>
      </c>
      <c r="W715" s="725" t="n">
        <v>-0.00775000000000059</v>
      </c>
      <c r="X715" s="722" t="n">
        <v>0.007799999999999585</v>
      </c>
      <c r="Y715" s="728" t="n"/>
      <c r="Z715" s="729" t="n"/>
      <c r="AA715" s="730" t="n"/>
      <c r="AB715" s="731" t="n"/>
      <c r="AC715" s="732" t="n"/>
      <c r="AD715" s="719" t="inlineStr">
        <is>
          <t>No</t>
        </is>
      </c>
      <c r="AE715" s="733" t="n"/>
      <c r="AF715" s="733" t="n"/>
      <c r="AG715" s="733" t="n"/>
      <c r="AH715" s="733" t="n"/>
      <c r="AI715" s="719" t="inlineStr">
        <is>
          <t>Limit</t>
        </is>
      </c>
      <c r="AJ715" s="733" t="n"/>
      <c r="AK715" s="733" t="n"/>
      <c r="AL715" s="733" t="n"/>
      <c r="AM715" s="733" t="n"/>
      <c r="AN715" s="733" t="n"/>
      <c r="AO715" s="733" t="n"/>
      <c r="AP715" s="719" t="inlineStr">
        <is>
          <t>Pullback</t>
        </is>
      </c>
      <c r="AQ715" s="719" t="inlineStr">
        <is>
          <t>1H</t>
        </is>
      </c>
      <c r="AR715" s="719" t="inlineStr">
        <is>
          <t>No</t>
        </is>
      </c>
      <c r="AS715" s="733" t="n"/>
      <c r="AT715" s="733" t="n"/>
      <c r="AU715" s="733" t="n"/>
      <c r="AV715" s="733" t="n"/>
      <c r="AW715" s="719" t="inlineStr">
        <is>
          <t>trade</t>
        </is>
      </c>
      <c r="AX715" s="734" t="inlineStr">
        <is>
          <t>sig:8d90810c4031a8da0fb78e76</t>
        </is>
      </c>
    </row>
    <row r="716" ht="15" customHeight="1">
      <c r="A716" s="737" t="inlineStr">
        <is>
          <t>C48</t>
        </is>
      </c>
      <c r="B716" s="738" t="n">
        <v>43972.07638888889</v>
      </c>
      <c r="C716" s="739" t="n">
        <v>43972.14027777778</v>
      </c>
      <c r="D716" s="740" t="inlineStr">
        <is>
          <t>BINANCE</t>
        </is>
      </c>
      <c r="E716" s="740" t="inlineStr">
        <is>
          <t>THETAUSDT</t>
        </is>
      </c>
      <c r="F716" s="740" t="inlineStr">
        <is>
          <t>BUY</t>
        </is>
      </c>
      <c r="G716" s="742" t="n">
        <v>78.2</v>
      </c>
      <c r="H716" s="742" t="n">
        <v>0.22939</v>
      </c>
      <c r="I716" s="742" t="n">
        <v>0.25607</v>
      </c>
      <c r="J716" s="743" t="n">
        <v>0.21657</v>
      </c>
      <c r="K716" s="744" t="n">
        <v>0.05588735341558044</v>
      </c>
      <c r="L716" s="743" t="n">
        <v>0.25504</v>
      </c>
      <c r="M716" s="744" t="n">
        <v>0.1118183007105801</v>
      </c>
      <c r="N716" s="802" t="n">
        <v>0.02866132</v>
      </c>
      <c r="O716" s="746" t="n">
        <v>2.05771468</v>
      </c>
      <c r="P716" s="747" t="n">
        <v>0.01830118658789169</v>
      </c>
      <c r="Q716" s="748" t="n">
        <v>2.081123244929798</v>
      </c>
      <c r="R716" s="749" t="n">
        <v>114.49384936</v>
      </c>
      <c r="S716" s="740" t="inlineStr">
        <is>
          <t>1H 32M 0S</t>
        </is>
      </c>
      <c r="T716" s="738" t="n">
        <v>43971.71666666667</v>
      </c>
      <c r="U716" s="809" t="inlineStr">
        <is>
          <t>1H 21M 22S</t>
        </is>
      </c>
      <c r="V716" s="810" t="n">
        <v>0.24583</v>
      </c>
      <c r="W716" s="747" t="n">
        <v>0.07166833776537766</v>
      </c>
      <c r="X716" s="744" t="n">
        <v>0.03611198243412796</v>
      </c>
      <c r="Y716" s="750" t="n"/>
      <c r="Z716" s="751" t="n"/>
      <c r="AA716" s="752" t="n"/>
      <c r="AB716" s="753" t="n"/>
      <c r="AC716" s="754" t="n"/>
      <c r="AD716" s="740" t="inlineStr">
        <is>
          <t>No</t>
        </is>
      </c>
      <c r="AE716" s="755" t="n"/>
      <c r="AF716" s="755" t="n"/>
      <c r="AG716" s="755" t="n"/>
      <c r="AH716" s="755" t="n"/>
      <c r="AI716" s="740" t="inlineStr">
        <is>
          <t>Limit</t>
        </is>
      </c>
      <c r="AJ716" s="755" t="n"/>
      <c r="AK716" s="755" t="n"/>
      <c r="AL716" s="755" t="n"/>
      <c r="AM716" s="755" t="n"/>
      <c r="AN716" s="755" t="n"/>
      <c r="AO716" s="755" t="n"/>
      <c r="AP716" s="740" t="inlineStr">
        <is>
          <t>Pullback</t>
        </is>
      </c>
      <c r="AQ716" s="740" t="inlineStr">
        <is>
          <t>1H</t>
        </is>
      </c>
      <c r="AR716" s="740" t="inlineStr">
        <is>
          <t>No</t>
        </is>
      </c>
      <c r="AS716" s="755" t="n"/>
      <c r="AT716" s="755" t="n"/>
      <c r="AU716" s="755" t="n"/>
      <c r="AV716" s="755" t="n"/>
      <c r="AW716" s="740" t="inlineStr">
        <is>
          <t>trade</t>
        </is>
      </c>
      <c r="AX716" s="756" t="inlineStr">
        <is>
          <t>sig:43c76c838bd770255a629b5d</t>
        </is>
      </c>
    </row>
    <row r="717" ht="15" customHeight="1">
      <c r="A717" s="716" t="inlineStr">
        <is>
          <t>C47</t>
        </is>
      </c>
      <c r="B717" s="717" t="n">
        <v>43970.94513888889</v>
      </c>
      <c r="C717" s="718" t="n">
        <v>43972.05416666667</v>
      </c>
      <c r="D717" s="719" t="inlineStr">
        <is>
          <t>BINANCE</t>
        </is>
      </c>
      <c r="E717" s="719" t="inlineStr">
        <is>
          <t>BTCUSDT</t>
        </is>
      </c>
      <c r="F717" s="719" t="inlineStr">
        <is>
          <t>BUY</t>
        </is>
      </c>
      <c r="G717" s="735" t="n">
        <v>0.01</v>
      </c>
      <c r="H717" s="720" t="n">
        <v>9597.790000000001</v>
      </c>
      <c r="I717" s="720" t="n">
        <v>9597.790000000001</v>
      </c>
      <c r="J717" s="721" t="n">
        <v>9448.540000000001</v>
      </c>
      <c r="K717" s="722" t="n">
        <v>0.01555045484429228</v>
      </c>
      <c r="L717" s="721" t="n">
        <v>9896.290000000001</v>
      </c>
      <c r="M717" s="722" t="n">
        <v>0.03110090968858456</v>
      </c>
      <c r="N717" s="723" t="n">
        <v>0.09701191000000001</v>
      </c>
      <c r="O717" s="777" t="n">
        <v>-0.09701191000000001</v>
      </c>
      <c r="P717" s="763" t="n">
        <v>-0.0008620740905206391</v>
      </c>
      <c r="Q717" s="726" t="n">
        <v>0</v>
      </c>
      <c r="R717" s="727" t="n">
        <v>112.43613468</v>
      </c>
      <c r="S717" s="719" t="inlineStr">
        <is>
          <t>1D 2H 37M 0S</t>
        </is>
      </c>
      <c r="T717" s="717" t="n">
        <v>43971.09861111111</v>
      </c>
      <c r="U717" s="806" t="inlineStr">
        <is>
          <t>13H 40M 44S</t>
        </is>
      </c>
      <c r="V717" s="807" t="n">
        <v>9735.690000000001</v>
      </c>
      <c r="W717" s="725" t="n">
        <v>0.01436789094156047</v>
      </c>
      <c r="X717" s="722" t="n">
        <v>0.01622830373806753</v>
      </c>
      <c r="Y717" s="728" t="n"/>
      <c r="Z717" s="729" t="n"/>
      <c r="AA717" s="730" t="n"/>
      <c r="AB717" s="731" t="n"/>
      <c r="AC717" s="732" t="n"/>
      <c r="AD717" s="719" t="inlineStr">
        <is>
          <t>No</t>
        </is>
      </c>
      <c r="AE717" s="733" t="n"/>
      <c r="AF717" s="733" t="n"/>
      <c r="AG717" s="733" t="n"/>
      <c r="AH717" s="733" t="n"/>
      <c r="AI717" s="719" t="inlineStr">
        <is>
          <t>Limit</t>
        </is>
      </c>
      <c r="AJ717" s="733" t="n"/>
      <c r="AK717" s="733" t="n"/>
      <c r="AL717" s="733" t="n"/>
      <c r="AM717" s="733" t="n"/>
      <c r="AN717" s="733" t="n"/>
      <c r="AO717" s="733" t="n"/>
      <c r="AP717" s="719" t="inlineStr">
        <is>
          <t>Pullback</t>
        </is>
      </c>
      <c r="AQ717" s="719" t="inlineStr">
        <is>
          <t>1H</t>
        </is>
      </c>
      <c r="AR717" s="719" t="inlineStr">
        <is>
          <t>No</t>
        </is>
      </c>
      <c r="AS717" s="733" t="n"/>
      <c r="AT717" s="733" t="n"/>
      <c r="AU717" s="733" t="n"/>
      <c r="AV717" s="733" t="n"/>
      <c r="AW717" s="719" t="inlineStr">
        <is>
          <t>trade</t>
        </is>
      </c>
      <c r="AX717" s="734" t="inlineStr">
        <is>
          <t>sig:74d5441edf698b14ab8d094a</t>
        </is>
      </c>
    </row>
    <row r="718" ht="15" customHeight="1">
      <c r="A718" s="737" t="inlineStr">
        <is>
          <t>F754</t>
        </is>
      </c>
      <c r="B718" s="738" t="n">
        <v>43970.07847222222</v>
      </c>
      <c r="C718" s="739" t="n">
        <v>43970.87430555555</v>
      </c>
      <c r="D718" s="740" t="inlineStr">
        <is>
          <t>PEPPERSTONE DEMO</t>
        </is>
      </c>
      <c r="E718" s="740" t="inlineStr">
        <is>
          <t>USDJPY</t>
        </is>
      </c>
      <c r="F718" s="740" t="inlineStr">
        <is>
          <t>BUY</t>
        </is>
      </c>
      <c r="G718" s="775" t="n">
        <v>0.02</v>
      </c>
      <c r="H718" s="742" t="n">
        <v>107.33</v>
      </c>
      <c r="I718" s="742" t="n">
        <v>107.633</v>
      </c>
      <c r="J718" s="743" t="n">
        <v>107.18</v>
      </c>
      <c r="K718" s="744" t="n">
        <v>0.001397558930401486</v>
      </c>
      <c r="L718" s="743" t="n">
        <v>107.63</v>
      </c>
      <c r="M718" s="744" t="n">
        <v>0.002795117860803104</v>
      </c>
      <c r="N718" s="808" t="n">
        <v>0.05</v>
      </c>
      <c r="O718" s="767" t="n">
        <v>8.460000000000001</v>
      </c>
      <c r="P718" s="747" t="n">
        <v>0.01700741812918401</v>
      </c>
      <c r="Q718" s="748" t="n">
        <v>2.020000000000097</v>
      </c>
      <c r="R718" s="769" t="n">
        <v>505.89</v>
      </c>
      <c r="S718" s="740" t="inlineStr">
        <is>
          <t>19H 6M 0S</t>
        </is>
      </c>
      <c r="T718" s="738" t="n">
        <v>43970.70694444444</v>
      </c>
      <c r="U718" s="809" t="inlineStr">
        <is>
          <t>15H 5M 0S</t>
        </is>
      </c>
      <c r="V718" s="810" t="n">
        <v>107.5</v>
      </c>
      <c r="W718" s="747" t="n">
        <v>-0.1700000000000017</v>
      </c>
      <c r="X718" s="744" t="n">
        <v>0.1299999999999955</v>
      </c>
      <c r="Y718" s="750" t="n"/>
      <c r="Z718" s="751" t="n"/>
      <c r="AA718" s="752" t="n"/>
      <c r="AB718" s="753" t="n"/>
      <c r="AC718" s="754" t="n"/>
      <c r="AD718" s="740" t="inlineStr">
        <is>
          <t>No</t>
        </is>
      </c>
      <c r="AE718" s="755" t="n"/>
      <c r="AF718" s="755" t="n"/>
      <c r="AG718" s="755" t="n"/>
      <c r="AH718" s="755" t="n"/>
      <c r="AI718" s="740" t="inlineStr">
        <is>
          <t>Limit</t>
        </is>
      </c>
      <c r="AJ718" s="755" t="n"/>
      <c r="AK718" s="755" t="n"/>
      <c r="AL718" s="755" t="n"/>
      <c r="AM718" s="755" t="n"/>
      <c r="AN718" s="755" t="n"/>
      <c r="AO718" s="755" t="n"/>
      <c r="AP718" s="740" t="inlineStr">
        <is>
          <t>Pullback</t>
        </is>
      </c>
      <c r="AQ718" s="740" t="inlineStr">
        <is>
          <t>1H</t>
        </is>
      </c>
      <c r="AR718" s="740" t="inlineStr">
        <is>
          <t>No</t>
        </is>
      </c>
      <c r="AS718" s="755" t="n"/>
      <c r="AT718" s="755" t="n"/>
      <c r="AU718" s="755" t="n"/>
      <c r="AV718" s="755" t="n"/>
      <c r="AW718" s="740" t="inlineStr">
        <is>
          <t>trade</t>
        </is>
      </c>
      <c r="AX718" s="756" t="inlineStr">
        <is>
          <t>sig:199b56e2f57f2430e5cca844</t>
        </is>
      </c>
    </row>
    <row r="719" ht="15" customHeight="1">
      <c r="A719" s="716" t="inlineStr">
        <is>
          <t>F753</t>
        </is>
      </c>
      <c r="B719" s="717" t="n">
        <v>43969.92291666667</v>
      </c>
      <c r="C719" s="718" t="n">
        <v>43969.92708333334</v>
      </c>
      <c r="D719" s="719" t="inlineStr">
        <is>
          <t>PEPPERSTONE DEMO</t>
        </is>
      </c>
      <c r="E719" s="719" t="inlineStr">
        <is>
          <t>USDCHF</t>
        </is>
      </c>
      <c r="F719" s="719" t="inlineStr">
        <is>
          <t>BUY</t>
        </is>
      </c>
      <c r="G719" s="735" t="n">
        <v>0.03</v>
      </c>
      <c r="H719" s="720" t="n">
        <v>0.9717</v>
      </c>
      <c r="I719" s="720" t="n">
        <v>0.97111</v>
      </c>
      <c r="J719" s="721" t="n">
        <v>0.9708</v>
      </c>
      <c r="K719" s="760" t="n">
        <v>0.0009262117937635195</v>
      </c>
      <c r="L719" s="721" t="n">
        <v>0.9735</v>
      </c>
      <c r="M719" s="722" t="n">
        <v>0.001852423587527039</v>
      </c>
      <c r="N719" s="788" t="n"/>
      <c r="O719" s="762" t="n">
        <v>-3.25</v>
      </c>
      <c r="P719" s="725" t="n">
        <v>-0.006491172006071741</v>
      </c>
      <c r="Q719" s="726" t="n">
        <v>-0.655555555555524</v>
      </c>
      <c r="R719" s="764" t="n">
        <v>497.4300000000001</v>
      </c>
      <c r="S719" s="719" t="inlineStr">
        <is>
          <t>6M 0S</t>
        </is>
      </c>
      <c r="T719" s="728" t="n"/>
      <c r="U719" s="729" t="n"/>
      <c r="V719" s="807" t="n">
        <v>0.9727</v>
      </c>
      <c r="W719" s="725" t="n">
        <v>-0.001000000000000001</v>
      </c>
      <c r="X719" s="760" t="n">
        <v>0.0008000000000000229</v>
      </c>
      <c r="Y719" s="728" t="n"/>
      <c r="Z719" s="729" t="n"/>
      <c r="AA719" s="730" t="n"/>
      <c r="AB719" s="731" t="n"/>
      <c r="AC719" s="732" t="n"/>
      <c r="AD719" s="719" t="inlineStr">
        <is>
          <t>No</t>
        </is>
      </c>
      <c r="AE719" s="733" t="n"/>
      <c r="AF719" s="733" t="n"/>
      <c r="AG719" s="733" t="n"/>
      <c r="AH719" s="733" t="n"/>
      <c r="AI719" s="719" t="inlineStr">
        <is>
          <t>Limit</t>
        </is>
      </c>
      <c r="AJ719" s="733" t="n"/>
      <c r="AK719" s="733" t="n"/>
      <c r="AL719" s="733" t="n"/>
      <c r="AM719" s="733" t="n"/>
      <c r="AN719" s="733" t="n"/>
      <c r="AO719" s="733" t="n"/>
      <c r="AP719" s="719" t="inlineStr">
        <is>
          <t>Pullback</t>
        </is>
      </c>
      <c r="AQ719" s="719" t="inlineStr">
        <is>
          <t>15MIN</t>
        </is>
      </c>
      <c r="AR719" s="719" t="inlineStr">
        <is>
          <t>No</t>
        </is>
      </c>
      <c r="AS719" s="733" t="n"/>
      <c r="AT719" s="733" t="n"/>
      <c r="AU719" s="733" t="n"/>
      <c r="AV719" s="733" t="n"/>
      <c r="AW719" s="719" t="inlineStr">
        <is>
          <t>trade</t>
        </is>
      </c>
      <c r="AX719" s="734" t="inlineStr">
        <is>
          <t>sig:8ca0f9044f5e95f4e572fa59</t>
        </is>
      </c>
    </row>
    <row r="720" ht="15" customHeight="1">
      <c r="A720" s="716" t="inlineStr">
        <is>
          <t>F752</t>
        </is>
      </c>
      <c r="B720" s="717" t="n">
        <v>43969.72569444445</v>
      </c>
      <c r="C720" s="718" t="n">
        <v>43969.73125</v>
      </c>
      <c r="D720" s="719" t="inlineStr">
        <is>
          <t>PEPPERSTONE DEMO</t>
        </is>
      </c>
      <c r="E720" s="719" t="inlineStr">
        <is>
          <t>EURUSD</t>
        </is>
      </c>
      <c r="F720" s="719" t="inlineStr">
        <is>
          <t>BUY</t>
        </is>
      </c>
      <c r="G720" s="735" t="n">
        <v>0.06</v>
      </c>
      <c r="H720" s="720" t="n">
        <v>1.0819</v>
      </c>
      <c r="I720" s="720" t="n">
        <v>1.0814</v>
      </c>
      <c r="J720" s="721" t="n">
        <v>1.0814</v>
      </c>
      <c r="K720" s="760" t="n">
        <v>0.0004621499214346676</v>
      </c>
      <c r="L720" s="721" t="n">
        <v>1.0829</v>
      </c>
      <c r="M720" s="760" t="n">
        <v>0.0009242998428689249</v>
      </c>
      <c r="N720" s="788" t="n"/>
      <c r="O720" s="762" t="n">
        <v>-4.65</v>
      </c>
      <c r="P720" s="725" t="n">
        <v>-0.009201907664298577</v>
      </c>
      <c r="Q720" s="726" t="n">
        <v>-1</v>
      </c>
      <c r="R720" s="764" t="n">
        <v>500.6800000000001</v>
      </c>
      <c r="S720" s="719" t="inlineStr">
        <is>
          <t>8M 0S</t>
        </is>
      </c>
      <c r="T720" s="717" t="n"/>
      <c r="U720" s="806" t="n"/>
      <c r="V720" s="807" t="n">
        <v>1.0825</v>
      </c>
      <c r="W720" s="763" t="n">
        <v>-0.0005999999999999339</v>
      </c>
      <c r="X720" s="760" t="n">
        <v>0.0003999999999999559</v>
      </c>
      <c r="Y720" s="728" t="n"/>
      <c r="Z720" s="729" t="n"/>
      <c r="AA720" s="730" t="n"/>
      <c r="AB720" s="731" t="n"/>
      <c r="AC720" s="732" t="n"/>
      <c r="AD720" s="719" t="inlineStr">
        <is>
          <t>No</t>
        </is>
      </c>
      <c r="AE720" s="733" t="n"/>
      <c r="AF720" s="733" t="n"/>
      <c r="AG720" s="733" t="n"/>
      <c r="AH720" s="733" t="n"/>
      <c r="AI720" s="719" t="inlineStr">
        <is>
          <t>Limit</t>
        </is>
      </c>
      <c r="AJ720" s="733" t="n"/>
      <c r="AK720" s="733" t="n"/>
      <c r="AL720" s="733" t="n"/>
      <c r="AM720" s="733" t="n"/>
      <c r="AN720" s="733" t="n"/>
      <c r="AO720" s="733" t="n"/>
      <c r="AP720" s="719" t="inlineStr">
        <is>
          <t>Pullback</t>
        </is>
      </c>
      <c r="AQ720" s="719" t="inlineStr">
        <is>
          <t>5MIN</t>
        </is>
      </c>
      <c r="AR720" s="719" t="inlineStr">
        <is>
          <t>No</t>
        </is>
      </c>
      <c r="AS720" s="733" t="n"/>
      <c r="AT720" s="733" t="n"/>
      <c r="AU720" s="733" t="n"/>
      <c r="AV720" s="733" t="n"/>
      <c r="AW720" s="719" t="inlineStr">
        <is>
          <t>trade</t>
        </is>
      </c>
      <c r="AX720" s="734" t="inlineStr">
        <is>
          <t>sig:be564007bbf1e9fb4896131c</t>
        </is>
      </c>
    </row>
    <row r="721" ht="15" customHeight="1">
      <c r="A721" s="716" t="inlineStr">
        <is>
          <t>C46</t>
        </is>
      </c>
      <c r="B721" s="717" t="n">
        <v>43968.83541666667</v>
      </c>
      <c r="C721" s="718" t="n">
        <v>43969.08472222222</v>
      </c>
      <c r="D721" s="719" t="inlineStr">
        <is>
          <t>BINANCE</t>
        </is>
      </c>
      <c r="E721" s="719" t="inlineStr">
        <is>
          <t>COSUSDT</t>
        </is>
      </c>
      <c r="F721" s="719" t="inlineStr">
        <is>
          <t>BUY</t>
        </is>
      </c>
      <c r="G721" s="720" t="n">
        <v>2042.5</v>
      </c>
      <c r="H721" s="757" t="n">
        <v>0.00682</v>
      </c>
      <c r="I721" s="757" t="n">
        <v>0.00649</v>
      </c>
      <c r="J721" s="798" t="n">
        <v>0.00633</v>
      </c>
      <c r="K721" s="722" t="n">
        <v>0.0718475073313783</v>
      </c>
      <c r="L721" s="798" t="n">
        <v>0.00781</v>
      </c>
      <c r="M721" s="722" t="n">
        <v>0.1451612903225807</v>
      </c>
      <c r="N721" s="723" t="n">
        <v>0.02056786</v>
      </c>
      <c r="O721" s="724" t="n">
        <v>-0.69459286</v>
      </c>
      <c r="P721" s="725" t="n">
        <v>-0.00613447608663709</v>
      </c>
      <c r="Q721" s="726" t="n">
        <v>-0.6734693877551011</v>
      </c>
      <c r="R721" s="727" t="n">
        <v>112.53314659</v>
      </c>
      <c r="S721" s="719" t="inlineStr">
        <is>
          <t>5H 59M 0S</t>
        </is>
      </c>
      <c r="T721" s="717" t="n"/>
      <c r="U721" s="806" t="n"/>
      <c r="V721" s="822" t="n">
        <v>0.00736</v>
      </c>
      <c r="W721" s="725" t="n">
        <v>0.07917888563049862</v>
      </c>
      <c r="X721" s="722" t="n">
        <v>0.05761843790012802</v>
      </c>
      <c r="Y721" s="728" t="n"/>
      <c r="Z721" s="729" t="n"/>
      <c r="AA721" s="730" t="n"/>
      <c r="AB721" s="731" t="n"/>
      <c r="AC721" s="732" t="n"/>
      <c r="AD721" s="719" t="inlineStr">
        <is>
          <t>No</t>
        </is>
      </c>
      <c r="AE721" s="733" t="n"/>
      <c r="AF721" s="733" t="n"/>
      <c r="AG721" s="733" t="n"/>
      <c r="AH721" s="733" t="n"/>
      <c r="AI721" s="719" t="inlineStr">
        <is>
          <t>Limit</t>
        </is>
      </c>
      <c r="AJ721" s="733" t="n"/>
      <c r="AK721" s="733" t="n"/>
      <c r="AL721" s="733" t="n"/>
      <c r="AM721" s="733" t="n"/>
      <c r="AN721" s="733" t="n"/>
      <c r="AO721" s="733" t="n"/>
      <c r="AP721" s="719" t="inlineStr">
        <is>
          <t>Pullback</t>
        </is>
      </c>
      <c r="AQ721" s="719" t="inlineStr">
        <is>
          <t>1H</t>
        </is>
      </c>
      <c r="AR721" s="719" t="inlineStr">
        <is>
          <t>No</t>
        </is>
      </c>
      <c r="AS721" s="733" t="n"/>
      <c r="AT721" s="733" t="n"/>
      <c r="AU721" s="733" t="n"/>
      <c r="AV721" s="733" t="n"/>
      <c r="AW721" s="719" t="inlineStr">
        <is>
          <t>trade</t>
        </is>
      </c>
      <c r="AX721" s="734" t="inlineStr">
        <is>
          <t>sig:2ef96c1caa08857feb15b199</t>
        </is>
      </c>
    </row>
    <row r="722" ht="15" customHeight="1">
      <c r="A722" s="716" t="inlineStr">
        <is>
          <t>C45</t>
        </is>
      </c>
      <c r="B722" s="717" t="n">
        <v>43967.30347222222</v>
      </c>
      <c r="C722" s="718" t="n">
        <v>43968.05694444444</v>
      </c>
      <c r="D722" s="719" t="inlineStr">
        <is>
          <t>BINANCE</t>
        </is>
      </c>
      <c r="E722" s="719" t="inlineStr">
        <is>
          <t>ZRXUSDT</t>
        </is>
      </c>
      <c r="F722" s="719" t="inlineStr">
        <is>
          <t>BUY</t>
        </is>
      </c>
      <c r="G722" s="720" t="n">
        <v>51.46</v>
      </c>
      <c r="H722" s="720" t="n">
        <v>0.3859</v>
      </c>
      <c r="I722" s="720" t="n">
        <v>0.386</v>
      </c>
      <c r="J722" s="721" t="n">
        <v>0.3663</v>
      </c>
      <c r="K722" s="722" t="n">
        <v>0.05079036019694223</v>
      </c>
      <c r="L722" s="721" t="n">
        <v>0.4252</v>
      </c>
      <c r="M722" s="722" t="n">
        <v>0.1018398548846852</v>
      </c>
      <c r="N722" s="723" t="n">
        <v>0.05443353</v>
      </c>
      <c r="O722" s="777" t="n">
        <v>-0.04928753</v>
      </c>
      <c r="P722" s="763" t="n">
        <v>-0.000435106140353614</v>
      </c>
      <c r="Q722" s="759" t="n">
        <v>0.005102040816325967</v>
      </c>
      <c r="R722" s="727" t="n">
        <v>113.22773945</v>
      </c>
      <c r="S722" s="719" t="inlineStr">
        <is>
          <t>18H 5M 0S</t>
        </is>
      </c>
      <c r="T722" s="717" t="n">
        <v>43967.34652777778</v>
      </c>
      <c r="U722" s="806" t="inlineStr">
        <is>
          <t>11H 1M 9S</t>
        </is>
      </c>
      <c r="V722" s="807" t="n">
        <v>0.4057</v>
      </c>
      <c r="W722" s="725" t="n">
        <v>0.05130862917854362</v>
      </c>
      <c r="X722" s="722" t="n">
        <v>0.04586077140169336</v>
      </c>
      <c r="Y722" s="728" t="n"/>
      <c r="Z722" s="729" t="n"/>
      <c r="AA722" s="730" t="n"/>
      <c r="AB722" s="731" t="n"/>
      <c r="AC722" s="732" t="n"/>
      <c r="AD722" s="719" t="inlineStr">
        <is>
          <t>No</t>
        </is>
      </c>
      <c r="AE722" s="733" t="n"/>
      <c r="AF722" s="733" t="n"/>
      <c r="AG722" s="733" t="n"/>
      <c r="AH722" s="733" t="n"/>
      <c r="AI722" s="719" t="inlineStr">
        <is>
          <t>Limit</t>
        </is>
      </c>
      <c r="AJ722" s="733" t="n"/>
      <c r="AK722" s="733" t="n"/>
      <c r="AL722" s="733" t="n"/>
      <c r="AM722" s="733" t="n"/>
      <c r="AN722" s="733" t="n"/>
      <c r="AO722" s="733" t="n"/>
      <c r="AP722" s="719" t="inlineStr">
        <is>
          <t>Pullback</t>
        </is>
      </c>
      <c r="AQ722" s="719" t="inlineStr">
        <is>
          <t>1H</t>
        </is>
      </c>
      <c r="AR722" s="719" t="inlineStr">
        <is>
          <t>No</t>
        </is>
      </c>
      <c r="AS722" s="733" t="n"/>
      <c r="AT722" s="733" t="n"/>
      <c r="AU722" s="733" t="n"/>
      <c r="AV722" s="733" t="n"/>
      <c r="AW722" s="719" t="inlineStr">
        <is>
          <t>trade</t>
        </is>
      </c>
      <c r="AX722" s="734" t="inlineStr">
        <is>
          <t>sig:8203f7602fbdbd7900586e9b</t>
        </is>
      </c>
    </row>
    <row r="723" ht="15" customHeight="1">
      <c r="A723" s="716" t="inlineStr">
        <is>
          <t>F751</t>
        </is>
      </c>
      <c r="B723" s="717" t="n">
        <v>43967.03888888889</v>
      </c>
      <c r="C723" s="718" t="n">
        <v>43967.11944444444</v>
      </c>
      <c r="D723" s="719" t="inlineStr">
        <is>
          <t>PEPPERSTONE DEMO</t>
        </is>
      </c>
      <c r="E723" s="719" t="inlineStr">
        <is>
          <t>EURUSD</t>
        </is>
      </c>
      <c r="F723" s="719" t="inlineStr">
        <is>
          <t>BUY</t>
        </is>
      </c>
      <c r="G723" s="735" t="n">
        <v>0.02</v>
      </c>
      <c r="H723" s="720" t="n">
        <v>1.0816</v>
      </c>
      <c r="I723" s="720" t="n">
        <v>1.08068</v>
      </c>
      <c r="J723" s="721" t="n">
        <v>1.0802</v>
      </c>
      <c r="K723" s="722" t="n">
        <v>0.00129437869822471</v>
      </c>
      <c r="L723" s="721" t="n">
        <v>1.0844</v>
      </c>
      <c r="M723" s="722" t="n">
        <v>0.00258875739644983</v>
      </c>
      <c r="N723" s="788" t="n"/>
      <c r="O723" s="762" t="n">
        <v>-3.06</v>
      </c>
      <c r="P723" s="725" t="n">
        <v>-0.006019001160526369</v>
      </c>
      <c r="Q723" s="726" t="n">
        <v>-0.6571428571427937</v>
      </c>
      <c r="R723" s="764" t="n">
        <v>505.33</v>
      </c>
      <c r="S723" s="719" t="inlineStr">
        <is>
          <t>1H 56M 0S</t>
        </is>
      </c>
      <c r="T723" s="728" t="n"/>
      <c r="U723" s="729" t="n"/>
      <c r="V723" s="807" t="n">
        <v>1.0832</v>
      </c>
      <c r="W723" s="725" t="n">
        <v>-0.001600000000000046</v>
      </c>
      <c r="X723" s="722" t="n">
        <v>0.00120000000000009</v>
      </c>
      <c r="Y723" s="728" t="n"/>
      <c r="Z723" s="729" t="n"/>
      <c r="AA723" s="730" t="n"/>
      <c r="AB723" s="731" t="n"/>
      <c r="AC723" s="732" t="n"/>
      <c r="AD723" s="719" t="inlineStr">
        <is>
          <t>No</t>
        </is>
      </c>
      <c r="AE723" s="733" t="n"/>
      <c r="AF723" s="733" t="n"/>
      <c r="AG723" s="733" t="n"/>
      <c r="AH723" s="733" t="n"/>
      <c r="AI723" s="719" t="inlineStr">
        <is>
          <t>Limit</t>
        </is>
      </c>
      <c r="AJ723" s="733" t="n"/>
      <c r="AK723" s="733" t="n"/>
      <c r="AL723" s="733" t="n"/>
      <c r="AM723" s="733" t="n"/>
      <c r="AN723" s="733" t="n"/>
      <c r="AO723" s="733" t="n"/>
      <c r="AP723" s="719" t="inlineStr">
        <is>
          <t>Pullback</t>
        </is>
      </c>
      <c r="AQ723" s="719" t="inlineStr">
        <is>
          <t>5MIN</t>
        </is>
      </c>
      <c r="AR723" s="719" t="inlineStr">
        <is>
          <t>No</t>
        </is>
      </c>
      <c r="AS723" s="733" t="n"/>
      <c r="AT723" s="733" t="n"/>
      <c r="AU723" s="733" t="n"/>
      <c r="AV723" s="733" t="n"/>
      <c r="AW723" s="719" t="inlineStr">
        <is>
          <t>trade</t>
        </is>
      </c>
      <c r="AX723" s="734" t="inlineStr">
        <is>
          <t>sig:11143c9a0dab8da8262ed740</t>
        </is>
      </c>
    </row>
    <row r="724" ht="15" customHeight="1">
      <c r="A724" s="737" t="inlineStr">
        <is>
          <t>F750</t>
        </is>
      </c>
      <c r="B724" s="738" t="n">
        <v>43965.99097222222</v>
      </c>
      <c r="C724" s="739" t="n">
        <v>43966.15555555555</v>
      </c>
      <c r="D724" s="740" t="inlineStr">
        <is>
          <t>PEPPERSTONE DEMO</t>
        </is>
      </c>
      <c r="E724" s="740" t="inlineStr">
        <is>
          <t>USDJPY</t>
        </is>
      </c>
      <c r="F724" s="740" t="inlineStr">
        <is>
          <t>BUY</t>
        </is>
      </c>
      <c r="G724" s="775" t="n">
        <v>0.02</v>
      </c>
      <c r="H724" s="742" t="n">
        <v>106.95</v>
      </c>
      <c r="I724" s="742" t="n">
        <v>107.251</v>
      </c>
      <c r="J724" s="743" t="n">
        <v>106.8</v>
      </c>
      <c r="K724" s="744" t="n">
        <v>0.001402524544179576</v>
      </c>
      <c r="L724" s="743" t="n">
        <v>107.25</v>
      </c>
      <c r="M724" s="744" t="n">
        <v>0.00280504908835902</v>
      </c>
      <c r="N724" s="796" t="n"/>
      <c r="O724" s="767" t="n">
        <v>8.699999999999999</v>
      </c>
      <c r="P724" s="747" t="n">
        <v>0.01741079469270948</v>
      </c>
      <c r="Q724" s="748" t="n">
        <v>2.006666666666603</v>
      </c>
      <c r="R724" s="769" t="n">
        <v>508.39</v>
      </c>
      <c r="S724" s="740" t="inlineStr">
        <is>
          <t>3H 57M 0S</t>
        </is>
      </c>
      <c r="T724" s="738" t="n">
        <v>43966.05833333333</v>
      </c>
      <c r="U724" s="809" t="inlineStr">
        <is>
          <t>1H 37M 0S</t>
        </is>
      </c>
      <c r="V724" s="810" t="n">
        <v>107.12</v>
      </c>
      <c r="W724" s="747" t="n">
        <v>-0.1700000000000017</v>
      </c>
      <c r="X724" s="744" t="n">
        <v>0.1299999999999955</v>
      </c>
      <c r="Y724" s="750" t="n"/>
      <c r="Z724" s="751" t="n"/>
      <c r="AA724" s="752" t="n"/>
      <c r="AB724" s="753" t="n"/>
      <c r="AC724" s="754" t="n"/>
      <c r="AD724" s="740" t="inlineStr">
        <is>
          <t>No</t>
        </is>
      </c>
      <c r="AE724" s="755" t="n"/>
      <c r="AF724" s="755" t="n"/>
      <c r="AG724" s="755" t="n"/>
      <c r="AH724" s="755" t="n"/>
      <c r="AI724" s="740" t="inlineStr">
        <is>
          <t>Limit</t>
        </is>
      </c>
      <c r="AJ724" s="755" t="n"/>
      <c r="AK724" s="755" t="n"/>
      <c r="AL724" s="755" t="n"/>
      <c r="AM724" s="755" t="n"/>
      <c r="AN724" s="755" t="n"/>
      <c r="AO724" s="755" t="n"/>
      <c r="AP724" s="740" t="inlineStr">
        <is>
          <t>Pullback</t>
        </is>
      </c>
      <c r="AQ724" s="740" t="inlineStr">
        <is>
          <t>1H</t>
        </is>
      </c>
      <c r="AR724" s="740" t="inlineStr">
        <is>
          <t>No</t>
        </is>
      </c>
      <c r="AS724" s="755" t="n"/>
      <c r="AT724" s="755" t="n"/>
      <c r="AU724" s="755" t="n"/>
      <c r="AV724" s="755" t="n"/>
      <c r="AW724" s="740" t="inlineStr">
        <is>
          <t>trade</t>
        </is>
      </c>
      <c r="AX724" s="756" t="inlineStr">
        <is>
          <t>sig:6848dc60f98322a516d70c9d</t>
        </is>
      </c>
    </row>
    <row r="725" ht="15" customHeight="1">
      <c r="A725" s="737" t="inlineStr">
        <is>
          <t>F749</t>
        </is>
      </c>
      <c r="B725" s="738" t="n">
        <v>43965.90833333333</v>
      </c>
      <c r="C725" s="739" t="n">
        <v>43965.94097222222</v>
      </c>
      <c r="D725" s="740" t="inlineStr">
        <is>
          <t>PEPPERSTONE DEMO</t>
        </is>
      </c>
      <c r="E725" s="740" t="inlineStr">
        <is>
          <t>USDCAD</t>
        </is>
      </c>
      <c r="F725" s="740" t="inlineStr">
        <is>
          <t>BUY</t>
        </is>
      </c>
      <c r="G725" s="775" t="n">
        <v>0.03</v>
      </c>
      <c r="H725" s="742" t="n">
        <v>1.40951</v>
      </c>
      <c r="I725" s="742" t="n">
        <v>1.41191</v>
      </c>
      <c r="J725" s="743" t="n">
        <v>1.4083</v>
      </c>
      <c r="K725" s="765" t="n">
        <v>0.0008584543564784452</v>
      </c>
      <c r="L725" s="743" t="n">
        <v>1.4119</v>
      </c>
      <c r="M725" s="744" t="n">
        <v>0.001695624720647524</v>
      </c>
      <c r="N725" s="766" t="n"/>
      <c r="O725" s="767" t="n">
        <v>7.95</v>
      </c>
      <c r="P725" s="747" t="n">
        <v>0.01616708016431447</v>
      </c>
      <c r="Q725" s="748" t="n">
        <v>1.98347107438024</v>
      </c>
      <c r="R725" s="769" t="n">
        <v>499.6900000000001</v>
      </c>
      <c r="S725" s="740" t="inlineStr">
        <is>
          <t>47M 0S</t>
        </is>
      </c>
      <c r="T725" s="738" t="n">
        <v>43965.91666666666</v>
      </c>
      <c r="U725" s="809" t="inlineStr">
        <is>
          <t>12M 0S</t>
        </is>
      </c>
      <c r="V725" s="810" t="n">
        <v>1.4108</v>
      </c>
      <c r="W725" s="747" t="n">
        <v>-0.001290000000000013</v>
      </c>
      <c r="X725" s="744" t="n">
        <v>0.001099999999999879</v>
      </c>
      <c r="Y725" s="750" t="n"/>
      <c r="Z725" s="751" t="n"/>
      <c r="AA725" s="752" t="n"/>
      <c r="AB725" s="753" t="n"/>
      <c r="AC725" s="754" t="n"/>
      <c r="AD725" s="740" t="inlineStr">
        <is>
          <t>No</t>
        </is>
      </c>
      <c r="AE725" s="755" t="n"/>
      <c r="AF725" s="755" t="n"/>
      <c r="AG725" s="755" t="n"/>
      <c r="AH725" s="755" t="n"/>
      <c r="AI725" s="740" t="inlineStr">
        <is>
          <t>Limit</t>
        </is>
      </c>
      <c r="AJ725" s="755" t="n"/>
      <c r="AK725" s="755" t="n"/>
      <c r="AL725" s="755" t="n"/>
      <c r="AM725" s="755" t="n"/>
      <c r="AN725" s="755" t="n"/>
      <c r="AO725" s="755" t="n"/>
      <c r="AP725" s="740" t="inlineStr">
        <is>
          <t>Pullback</t>
        </is>
      </c>
      <c r="AQ725" s="740" t="inlineStr">
        <is>
          <t>5MIN</t>
        </is>
      </c>
      <c r="AR725" s="740" t="inlineStr">
        <is>
          <t>No</t>
        </is>
      </c>
      <c r="AS725" s="755" t="n"/>
      <c r="AT725" s="755" t="n"/>
      <c r="AU725" s="755" t="n"/>
      <c r="AV725" s="755" t="n"/>
      <c r="AW725" s="740" t="inlineStr">
        <is>
          <t>trade</t>
        </is>
      </c>
      <c r="AX725" s="756" t="inlineStr">
        <is>
          <t>sig:adb5c16a220e27cc4b46bd4a</t>
        </is>
      </c>
    </row>
    <row r="726" ht="15" customHeight="1">
      <c r="A726" s="737" t="inlineStr">
        <is>
          <t>F748</t>
        </is>
      </c>
      <c r="B726" s="738" t="n">
        <v>43965.74583333333</v>
      </c>
      <c r="C726" s="739" t="n">
        <v>43965.81458333333</v>
      </c>
      <c r="D726" s="740" t="inlineStr">
        <is>
          <t>PEPPERSTONE DEMO</t>
        </is>
      </c>
      <c r="E726" s="740" t="inlineStr">
        <is>
          <t>GBPNZD</t>
        </is>
      </c>
      <c r="F726" s="740" t="inlineStr">
        <is>
          <t>BUY</t>
        </is>
      </c>
      <c r="G726" s="775" t="n">
        <v>0.02</v>
      </c>
      <c r="H726" s="742" t="n">
        <v>2.037</v>
      </c>
      <c r="I726" s="742" t="n">
        <v>2.0412</v>
      </c>
      <c r="J726" s="743" t="n">
        <v>2.0349</v>
      </c>
      <c r="K726" s="744" t="n">
        <v>0.001030927835051542</v>
      </c>
      <c r="L726" s="743" t="n">
        <v>2.0412</v>
      </c>
      <c r="M726" s="744" t="n">
        <v>0.002061855670103084</v>
      </c>
      <c r="N726" s="766" t="n"/>
      <c r="O726" s="767" t="n">
        <v>7.81</v>
      </c>
      <c r="P726" s="747" t="n">
        <v>0.01613869774554171</v>
      </c>
      <c r="Q726" s="748" t="n">
        <v>2</v>
      </c>
      <c r="R726" s="769" t="n">
        <v>491.7400000000001</v>
      </c>
      <c r="S726" s="740" t="inlineStr">
        <is>
          <t>1H 39M 0S</t>
        </is>
      </c>
      <c r="T726" s="738" t="n">
        <v>43965.75555555556</v>
      </c>
      <c r="U726" s="809" t="inlineStr">
        <is>
          <t>14M 0S</t>
        </is>
      </c>
      <c r="V726" s="810" t="n">
        <v>2.0393</v>
      </c>
      <c r="W726" s="747" t="n">
        <v>-0.002299999999999969</v>
      </c>
      <c r="X726" s="744" t="n">
        <v>0.001900000000000013</v>
      </c>
      <c r="Y726" s="750" t="n"/>
      <c r="Z726" s="751" t="n"/>
      <c r="AA726" s="752" t="n"/>
      <c r="AB726" s="753" t="n"/>
      <c r="AC726" s="754" t="n"/>
      <c r="AD726" s="740" t="inlineStr">
        <is>
          <t>No</t>
        </is>
      </c>
      <c r="AE726" s="755" t="n"/>
      <c r="AF726" s="755" t="n"/>
      <c r="AG726" s="755" t="n"/>
      <c r="AH726" s="755" t="n"/>
      <c r="AI726" s="740" t="inlineStr">
        <is>
          <t>Limit</t>
        </is>
      </c>
      <c r="AJ726" s="755" t="n"/>
      <c r="AK726" s="755" t="n"/>
      <c r="AL726" s="755" t="n"/>
      <c r="AM726" s="755" t="n"/>
      <c r="AN726" s="755" t="n"/>
      <c r="AO726" s="755" t="n"/>
      <c r="AP726" s="740" t="inlineStr">
        <is>
          <t>Pullback</t>
        </is>
      </c>
      <c r="AQ726" s="740" t="inlineStr">
        <is>
          <t>5MIN</t>
        </is>
      </c>
      <c r="AR726" s="740" t="inlineStr">
        <is>
          <t>No</t>
        </is>
      </c>
      <c r="AS726" s="755" t="n"/>
      <c r="AT726" s="755" t="n"/>
      <c r="AU726" s="755" t="n"/>
      <c r="AV726" s="755" t="n"/>
      <c r="AW726" s="740" t="inlineStr">
        <is>
          <t>trade</t>
        </is>
      </c>
      <c r="AX726" s="756" t="inlineStr">
        <is>
          <t>sig:59c2837fd4f15680497a2625</t>
        </is>
      </c>
    </row>
    <row r="727" ht="15" customHeight="1">
      <c r="A727" s="716" t="inlineStr">
        <is>
          <t>F747</t>
        </is>
      </c>
      <c r="B727" s="717" t="n">
        <v>43965.71944444445</v>
      </c>
      <c r="C727" s="718" t="n">
        <v>43965.73263888889</v>
      </c>
      <c r="D727" s="719" t="inlineStr">
        <is>
          <t>PEPPERSTONE DEMO</t>
        </is>
      </c>
      <c r="E727" s="719" t="inlineStr">
        <is>
          <t>GBPJPY</t>
        </is>
      </c>
      <c r="F727" s="719" t="inlineStr">
        <is>
          <t>SELL</t>
        </is>
      </c>
      <c r="G727" s="735" t="n">
        <v>0.02</v>
      </c>
      <c r="H727" s="720" t="n">
        <v>130.38</v>
      </c>
      <c r="I727" s="720" t="n">
        <v>130.466</v>
      </c>
      <c r="J727" s="721" t="n">
        <v>130.52</v>
      </c>
      <c r="K727" s="722" t="n">
        <v>0.001073784322749001</v>
      </c>
      <c r="L727" s="721" t="n">
        <v>130.1</v>
      </c>
      <c r="M727" s="722" t="n">
        <v>0.002147568645497784</v>
      </c>
      <c r="N727" s="788" t="n"/>
      <c r="O727" s="762" t="n">
        <v>-2.5</v>
      </c>
      <c r="P727" s="725" t="n">
        <v>-0.00513948564027712</v>
      </c>
      <c r="Q727" s="726" t="n">
        <v>-0.6142857142857404</v>
      </c>
      <c r="R727" s="764" t="n">
        <v>483.9300000000001</v>
      </c>
      <c r="S727" s="719" t="inlineStr">
        <is>
          <t>19M 0S</t>
        </is>
      </c>
      <c r="T727" s="728" t="n"/>
      <c r="U727" s="729" t="n"/>
      <c r="V727" s="807" t="n">
        <v>130.22</v>
      </c>
      <c r="W727" s="725" t="n">
        <v>0.1599999999999966</v>
      </c>
      <c r="X727" s="722" t="n">
        <v>-0.1200000000000045</v>
      </c>
      <c r="Y727" s="728" t="n"/>
      <c r="Z727" s="729" t="n"/>
      <c r="AA727" s="730" t="n"/>
      <c r="AB727" s="731" t="n"/>
      <c r="AC727" s="732" t="n"/>
      <c r="AD727" s="719" t="inlineStr">
        <is>
          <t>No</t>
        </is>
      </c>
      <c r="AE727" s="733" t="n"/>
      <c r="AF727" s="733" t="n"/>
      <c r="AG727" s="733" t="n"/>
      <c r="AH727" s="733" t="n"/>
      <c r="AI727" s="719" t="inlineStr">
        <is>
          <t>Limit</t>
        </is>
      </c>
      <c r="AJ727" s="733" t="n"/>
      <c r="AK727" s="733" t="n"/>
      <c r="AL727" s="733" t="n"/>
      <c r="AM727" s="733" t="n"/>
      <c r="AN727" s="733" t="n"/>
      <c r="AO727" s="733" t="n"/>
      <c r="AP727" s="719" t="inlineStr">
        <is>
          <t>Pullback</t>
        </is>
      </c>
      <c r="AQ727" s="719" t="inlineStr">
        <is>
          <t>5MIN</t>
        </is>
      </c>
      <c r="AR727" s="719" t="inlineStr">
        <is>
          <t>No</t>
        </is>
      </c>
      <c r="AS727" s="733" t="n"/>
      <c r="AT727" s="733" t="n"/>
      <c r="AU727" s="733" t="n"/>
      <c r="AV727" s="733" t="n"/>
      <c r="AW727" s="719" t="inlineStr">
        <is>
          <t>trade</t>
        </is>
      </c>
      <c r="AX727" s="734" t="inlineStr">
        <is>
          <t>sig:a99eb4b9f40ccd9267f9a0ca</t>
        </is>
      </c>
    </row>
    <row r="728" ht="15" customHeight="1">
      <c r="A728" s="737" t="inlineStr">
        <is>
          <t>F746</t>
        </is>
      </c>
      <c r="B728" s="738" t="n">
        <v>43965.54097222222</v>
      </c>
      <c r="C728" s="739" t="n">
        <v>43965.65694444445</v>
      </c>
      <c r="D728" s="740" t="inlineStr">
        <is>
          <t>PEPPERSTONE DEMO</t>
        </is>
      </c>
      <c r="E728" s="740" t="inlineStr">
        <is>
          <t>AUDUSD</t>
        </is>
      </c>
      <c r="F728" s="740" t="inlineStr">
        <is>
          <t>SELL</t>
        </is>
      </c>
      <c r="G728" s="775" t="n">
        <v>0.02</v>
      </c>
      <c r="H728" s="742" t="n">
        <v>0.6441</v>
      </c>
      <c r="I728" s="742" t="n">
        <v>0.6435999999999999</v>
      </c>
      <c r="J728" s="743" t="n">
        <v>0.6452</v>
      </c>
      <c r="K728" s="744" t="n">
        <v>0.001707809346374771</v>
      </c>
      <c r="L728" s="743" t="n">
        <v>0.6419</v>
      </c>
      <c r="M728" s="744" t="n">
        <v>0.003415618692749541</v>
      </c>
      <c r="N728" s="766" t="n"/>
      <c r="O728" s="767" t="n">
        <v>1.83</v>
      </c>
      <c r="P728" s="747" t="n">
        <v>0.003776310359059016</v>
      </c>
      <c r="Q728" s="748" t="n">
        <v>0.4545454545455096</v>
      </c>
      <c r="R728" s="769" t="n">
        <v>486.4300000000001</v>
      </c>
      <c r="S728" s="740" t="inlineStr">
        <is>
          <t>2H 47M 0S</t>
        </is>
      </c>
      <c r="T728" s="738" t="n">
        <v>43965.60555555556</v>
      </c>
      <c r="U728" s="809" t="inlineStr">
        <is>
          <t>1H 33M 0S</t>
        </is>
      </c>
      <c r="V728" s="810" t="n">
        <v>0.643</v>
      </c>
      <c r="W728" s="747" t="n">
        <v>0.00109999999999999</v>
      </c>
      <c r="X728" s="744" t="n">
        <v>-0.00109999999999999</v>
      </c>
      <c r="Y728" s="750" t="n"/>
      <c r="Z728" s="751" t="n"/>
      <c r="AA728" s="752" t="n"/>
      <c r="AB728" s="753" t="n"/>
      <c r="AC728" s="754" t="n"/>
      <c r="AD728" s="740" t="inlineStr">
        <is>
          <t>No</t>
        </is>
      </c>
      <c r="AE728" s="755" t="n"/>
      <c r="AF728" s="755" t="n"/>
      <c r="AG728" s="755" t="n"/>
      <c r="AH728" s="755" t="n"/>
      <c r="AI728" s="740" t="inlineStr">
        <is>
          <t>Limit</t>
        </is>
      </c>
      <c r="AJ728" s="755" t="n"/>
      <c r="AK728" s="755" t="n"/>
      <c r="AL728" s="755" t="n"/>
      <c r="AM728" s="755" t="n"/>
      <c r="AN728" s="755" t="n"/>
      <c r="AO728" s="755" t="n"/>
      <c r="AP728" s="740" t="inlineStr">
        <is>
          <t>Pullback</t>
        </is>
      </c>
      <c r="AQ728" s="740" t="inlineStr">
        <is>
          <t>5MIN</t>
        </is>
      </c>
      <c r="AR728" s="740" t="inlineStr">
        <is>
          <t>No</t>
        </is>
      </c>
      <c r="AS728" s="755" t="n"/>
      <c r="AT728" s="755" t="n"/>
      <c r="AU728" s="755" t="n"/>
      <c r="AV728" s="755" t="n"/>
      <c r="AW728" s="740" t="inlineStr">
        <is>
          <t>trade</t>
        </is>
      </c>
      <c r="AX728" s="756" t="inlineStr">
        <is>
          <t>sig:57132c27a4ed8926424b94df</t>
        </is>
      </c>
    </row>
    <row r="729" ht="15" customHeight="1">
      <c r="A729" s="737" t="inlineStr">
        <is>
          <t>C44</t>
        </is>
      </c>
      <c r="B729" s="738" t="n">
        <v>43964.60138888889</v>
      </c>
      <c r="C729" s="739" t="n">
        <v>43965.46736111111</v>
      </c>
      <c r="D729" s="740" t="inlineStr">
        <is>
          <t>BINANCE</t>
        </is>
      </c>
      <c r="E729" s="740" t="inlineStr">
        <is>
          <t>THETAUSDT</t>
        </is>
      </c>
      <c r="F729" s="740" t="inlineStr">
        <is>
          <t>BUY</t>
        </is>
      </c>
      <c r="G729" s="742" t="n">
        <v>112</v>
      </c>
      <c r="H729" s="742" t="n">
        <v>0.16665</v>
      </c>
      <c r="I729" s="742" t="n">
        <v>0.16854</v>
      </c>
      <c r="J729" s="743" t="n">
        <v>0.15765</v>
      </c>
      <c r="K729" s="744" t="n">
        <v>0.05400540054005389</v>
      </c>
      <c r="L729" s="743" t="n">
        <v>0.18465</v>
      </c>
      <c r="M729" s="744" t="n">
        <v>0.1080108010801081</v>
      </c>
      <c r="N729" s="802" t="n">
        <v>0.02831517</v>
      </c>
      <c r="O729" s="746" t="n">
        <v>0.18229583</v>
      </c>
      <c r="P729" s="747" t="n">
        <v>0.001611886143114988</v>
      </c>
      <c r="Q729" s="748" t="n">
        <v>0.2100000000000008</v>
      </c>
      <c r="R729" s="749" t="n">
        <v>113.27702698</v>
      </c>
      <c r="S729" s="740" t="inlineStr">
        <is>
          <t>20H 47M 0S</t>
        </is>
      </c>
      <c r="T729" s="738" t="n">
        <v>43964.51319444444</v>
      </c>
      <c r="U729" s="809" t="inlineStr">
        <is>
          <t>7H 52M 25S</t>
        </is>
      </c>
      <c r="V729" s="810" t="n">
        <v>0.17573</v>
      </c>
      <c r="W729" s="747" t="n">
        <v>0.05448544854485451</v>
      </c>
      <c r="X729" s="744" t="n">
        <v>0.04830760898998111</v>
      </c>
      <c r="Y729" s="750" t="n"/>
      <c r="Z729" s="751" t="n"/>
      <c r="AA729" s="752" t="n"/>
      <c r="AB729" s="753" t="n"/>
      <c r="AC729" s="754" t="n"/>
      <c r="AD729" s="740" t="inlineStr">
        <is>
          <t>No</t>
        </is>
      </c>
      <c r="AE729" s="755" t="n"/>
      <c r="AF729" s="755" t="n"/>
      <c r="AG729" s="755" t="n"/>
      <c r="AH729" s="755" t="n"/>
      <c r="AI729" s="740" t="inlineStr">
        <is>
          <t>Limit</t>
        </is>
      </c>
      <c r="AJ729" s="755" t="n"/>
      <c r="AK729" s="755" t="n"/>
      <c r="AL729" s="755" t="n"/>
      <c r="AM729" s="755" t="n"/>
      <c r="AN729" s="755" t="n"/>
      <c r="AO729" s="755" t="n"/>
      <c r="AP729" s="740" t="inlineStr">
        <is>
          <t>Pullback</t>
        </is>
      </c>
      <c r="AQ729" s="740" t="inlineStr">
        <is>
          <t>1H</t>
        </is>
      </c>
      <c r="AR729" s="740" t="inlineStr">
        <is>
          <t>No</t>
        </is>
      </c>
      <c r="AS729" s="755" t="n"/>
      <c r="AT729" s="755" t="n"/>
      <c r="AU729" s="755" t="n"/>
      <c r="AV729" s="755" t="n"/>
      <c r="AW729" s="740" t="inlineStr">
        <is>
          <t>trade</t>
        </is>
      </c>
      <c r="AX729" s="756" t="inlineStr">
        <is>
          <t>sig:22d51eff0f6d6057d95e9b00</t>
        </is>
      </c>
    </row>
    <row r="730" ht="15" customHeight="1">
      <c r="A730" s="716" t="inlineStr">
        <is>
          <t>F745</t>
        </is>
      </c>
      <c r="B730" s="717" t="n">
        <v>43965.04027777778</v>
      </c>
      <c r="C730" s="718" t="n">
        <v>43965.125</v>
      </c>
      <c r="D730" s="719" t="inlineStr">
        <is>
          <t>PEPPERSTONE DEMO</t>
        </is>
      </c>
      <c r="E730" s="719" t="inlineStr">
        <is>
          <t>EURUSD</t>
        </is>
      </c>
      <c r="F730" s="719" t="inlineStr">
        <is>
          <t>BUY</t>
        </is>
      </c>
      <c r="G730" s="735" t="n">
        <v>0.01</v>
      </c>
      <c r="H730" s="720" t="n">
        <v>1.0838</v>
      </c>
      <c r="I730" s="720" t="n">
        <v>1.08175</v>
      </c>
      <c r="J730" s="721" t="n">
        <v>1.0817</v>
      </c>
      <c r="K730" s="722" t="n">
        <v>0.0019376268684259</v>
      </c>
      <c r="L730" s="721" t="n">
        <v>1.088</v>
      </c>
      <c r="M730" s="722" t="n">
        <v>0.0038752537368518</v>
      </c>
      <c r="N730" s="761" t="n"/>
      <c r="O730" s="762" t="n">
        <v>-3.26</v>
      </c>
      <c r="P730" s="725" t="n">
        <v>-0.006682244906325584</v>
      </c>
      <c r="Q730" s="726" t="n">
        <v>-0.9761904761905316</v>
      </c>
      <c r="R730" s="764" t="n">
        <v>484.6000000000001</v>
      </c>
      <c r="S730" s="719" t="inlineStr">
        <is>
          <t>2H 2M 0S</t>
        </is>
      </c>
      <c r="T730" s="717" t="n"/>
      <c r="U730" s="806" t="n"/>
      <c r="V730" s="807" t="n">
        <v>1.0862</v>
      </c>
      <c r="W730" s="725" t="n">
        <v>-0.002399999999999958</v>
      </c>
      <c r="X730" s="722" t="n">
        <v>0.001800000000000024</v>
      </c>
      <c r="Y730" s="728" t="n"/>
      <c r="Z730" s="729" t="n"/>
      <c r="AA730" s="730" t="n"/>
      <c r="AB730" s="731" t="n"/>
      <c r="AC730" s="732" t="n"/>
      <c r="AD730" s="719" t="inlineStr">
        <is>
          <t>No</t>
        </is>
      </c>
      <c r="AE730" s="733" t="n"/>
      <c r="AF730" s="733" t="n"/>
      <c r="AG730" s="733" t="n"/>
      <c r="AH730" s="733" t="n"/>
      <c r="AI730" s="719" t="inlineStr">
        <is>
          <t>Limit</t>
        </is>
      </c>
      <c r="AJ730" s="733" t="n"/>
      <c r="AK730" s="733" t="n"/>
      <c r="AL730" s="733" t="n"/>
      <c r="AM730" s="733" t="n"/>
      <c r="AN730" s="733" t="n"/>
      <c r="AO730" s="733" t="n"/>
      <c r="AP730" s="719" t="inlineStr">
        <is>
          <t>Pullback</t>
        </is>
      </c>
      <c r="AQ730" s="719" t="inlineStr">
        <is>
          <t>1H</t>
        </is>
      </c>
      <c r="AR730" s="719" t="inlineStr">
        <is>
          <t>No</t>
        </is>
      </c>
      <c r="AS730" s="733" t="n"/>
      <c r="AT730" s="733" t="n"/>
      <c r="AU730" s="733" t="n"/>
      <c r="AV730" s="733" t="n"/>
      <c r="AW730" s="719" t="inlineStr">
        <is>
          <t>trade</t>
        </is>
      </c>
      <c r="AX730" s="734" t="inlineStr">
        <is>
          <t>sig:37ececf6e2cb216a16b2caf6</t>
        </is>
      </c>
    </row>
    <row r="731" ht="15" customHeight="1">
      <c r="A731" s="716" t="inlineStr">
        <is>
          <t>F744</t>
        </is>
      </c>
      <c r="B731" s="717" t="n">
        <v>43964.71944444445</v>
      </c>
      <c r="C731" s="718" t="n">
        <v>43964.73055555556</v>
      </c>
      <c r="D731" s="719" t="inlineStr">
        <is>
          <t>PEPPERSTONE DEMO</t>
        </is>
      </c>
      <c r="E731" s="719" t="inlineStr">
        <is>
          <t>GBPUSD</t>
        </is>
      </c>
      <c r="F731" s="719" t="inlineStr">
        <is>
          <t>BUY</t>
        </is>
      </c>
      <c r="G731" s="735" t="n">
        <v>0.02</v>
      </c>
      <c r="H731" s="720" t="n">
        <v>1.2283</v>
      </c>
      <c r="I731" s="720" t="n">
        <v>1.22721</v>
      </c>
      <c r="J731" s="721" t="n">
        <v>1.2272</v>
      </c>
      <c r="K731" s="760" t="n">
        <v>0.0008955466905478132</v>
      </c>
      <c r="L731" s="721" t="n">
        <v>1.2305</v>
      </c>
      <c r="M731" s="722" t="n">
        <v>0.001791093381095807</v>
      </c>
      <c r="N731" s="761" t="n"/>
      <c r="O731" s="762" t="n">
        <v>-3.4</v>
      </c>
      <c r="P731" s="725" t="n">
        <v>-0.006920978707812562</v>
      </c>
      <c r="Q731" s="726" t="n">
        <v>-0.9909090909092322</v>
      </c>
      <c r="R731" s="764" t="n">
        <v>487.8600000000001</v>
      </c>
      <c r="S731" s="719" t="inlineStr">
        <is>
          <t>16M 0S</t>
        </is>
      </c>
      <c r="T731" s="728" t="n"/>
      <c r="U731" s="729" t="n"/>
      <c r="V731" s="807" t="n">
        <v>1.2292</v>
      </c>
      <c r="W731" s="763" t="n">
        <v>-0.0009000000000001229</v>
      </c>
      <c r="X731" s="722" t="n">
        <v>0.001299999999999857</v>
      </c>
      <c r="Y731" s="728" t="n"/>
      <c r="Z731" s="729" t="n"/>
      <c r="AA731" s="730" t="n"/>
      <c r="AB731" s="731" t="n"/>
      <c r="AC731" s="732" t="n"/>
      <c r="AD731" s="719" t="inlineStr">
        <is>
          <t>No</t>
        </is>
      </c>
      <c r="AE731" s="733" t="n"/>
      <c r="AF731" s="733" t="n"/>
      <c r="AG731" s="733" t="n"/>
      <c r="AH731" s="733" t="n"/>
      <c r="AI731" s="719" t="inlineStr">
        <is>
          <t>Limit</t>
        </is>
      </c>
      <c r="AJ731" s="733" t="n"/>
      <c r="AK731" s="733" t="n"/>
      <c r="AL731" s="733" t="n"/>
      <c r="AM731" s="733" t="n"/>
      <c r="AN731" s="733" t="n"/>
      <c r="AO731" s="733" t="n"/>
      <c r="AP731" s="719" t="inlineStr">
        <is>
          <t>Pullback</t>
        </is>
      </c>
      <c r="AQ731" s="719" t="inlineStr">
        <is>
          <t>5MIN</t>
        </is>
      </c>
      <c r="AR731" s="719" t="inlineStr">
        <is>
          <t>No</t>
        </is>
      </c>
      <c r="AS731" s="733" t="n"/>
      <c r="AT731" s="733" t="n"/>
      <c r="AU731" s="733" t="n"/>
      <c r="AV731" s="733" t="n"/>
      <c r="AW731" s="719" t="inlineStr">
        <is>
          <t>trade</t>
        </is>
      </c>
      <c r="AX731" s="734" t="inlineStr">
        <is>
          <t>sig:553fad6441c9ba3f5f439cc2</t>
        </is>
      </c>
    </row>
    <row r="732" ht="15" customHeight="1">
      <c r="A732" s="716" t="inlineStr">
        <is>
          <t>F743</t>
        </is>
      </c>
      <c r="B732" s="717" t="n">
        <v>43964.08958333333</v>
      </c>
      <c r="C732" s="718" t="n">
        <v>43964.17986111111</v>
      </c>
      <c r="D732" s="719" t="inlineStr">
        <is>
          <t>PEPPERSTONE DEMO</t>
        </is>
      </c>
      <c r="E732" s="719" t="inlineStr">
        <is>
          <t>USDCAD</t>
        </is>
      </c>
      <c r="F732" s="719" t="inlineStr">
        <is>
          <t>SELL</t>
        </is>
      </c>
      <c r="G732" s="735" t="n">
        <v>0.01</v>
      </c>
      <c r="H732" s="720" t="n">
        <v>1.4017</v>
      </c>
      <c r="I732" s="720" t="n">
        <v>1.40446</v>
      </c>
      <c r="J732" s="721" t="n">
        <v>1.4044</v>
      </c>
      <c r="K732" s="722" t="n">
        <v>0.001926232432046905</v>
      </c>
      <c r="L732" s="721" t="n">
        <v>1.3963</v>
      </c>
      <c r="M732" s="722" t="n">
        <v>0.003852464864093493</v>
      </c>
      <c r="N732" s="788" t="n"/>
      <c r="O732" s="762" t="n">
        <v>-2.96</v>
      </c>
      <c r="P732" s="725" t="n">
        <v>-0.005989235563109546</v>
      </c>
      <c r="Q732" s="726" t="n">
        <v>-1.022222222222202</v>
      </c>
      <c r="R732" s="764" t="n">
        <v>491.26</v>
      </c>
      <c r="S732" s="719" t="inlineStr">
        <is>
          <t>2H 10M 0S</t>
        </is>
      </c>
      <c r="T732" s="728" t="n"/>
      <c r="U732" s="729" t="n"/>
      <c r="V732" s="807" t="n">
        <v>1.3987</v>
      </c>
      <c r="W732" s="725" t="n">
        <v>0.002999999999999892</v>
      </c>
      <c r="X732" s="722" t="n">
        <v>-0.002399999999999958</v>
      </c>
      <c r="Y732" s="728" t="n"/>
      <c r="Z732" s="729" t="n"/>
      <c r="AA732" s="730" t="n"/>
      <c r="AB732" s="731" t="n"/>
      <c r="AC732" s="732" t="n"/>
      <c r="AD732" s="719" t="inlineStr">
        <is>
          <t>No</t>
        </is>
      </c>
      <c r="AE732" s="733" t="n"/>
      <c r="AF732" s="733" t="n"/>
      <c r="AG732" s="733" t="n"/>
      <c r="AH732" s="733" t="n"/>
      <c r="AI732" s="719" t="inlineStr">
        <is>
          <t>Limit</t>
        </is>
      </c>
      <c r="AJ732" s="733" t="n"/>
      <c r="AK732" s="733" t="n"/>
      <c r="AL732" s="733" t="n"/>
      <c r="AM732" s="733" t="n"/>
      <c r="AN732" s="733" t="n"/>
      <c r="AO732" s="733" t="n"/>
      <c r="AP732" s="719" t="inlineStr">
        <is>
          <t>Pullback</t>
        </is>
      </c>
      <c r="AQ732" s="719" t="inlineStr">
        <is>
          <t>1H</t>
        </is>
      </c>
      <c r="AR732" s="719" t="inlineStr">
        <is>
          <t>No</t>
        </is>
      </c>
      <c r="AS732" s="733" t="n"/>
      <c r="AT732" s="733" t="n"/>
      <c r="AU732" s="733" t="n"/>
      <c r="AV732" s="733" t="n"/>
      <c r="AW732" s="719" t="inlineStr">
        <is>
          <t>trade</t>
        </is>
      </c>
      <c r="AX732" s="734" t="inlineStr">
        <is>
          <t>sig:6ef14a60c61f781f6a961697</t>
        </is>
      </c>
    </row>
    <row r="733" ht="15" customHeight="1">
      <c r="A733" s="716" t="inlineStr">
        <is>
          <t>C43</t>
        </is>
      </c>
      <c r="B733" s="717" t="n">
        <v>43963.14236111111</v>
      </c>
      <c r="C733" s="718" t="n">
        <v>43963.17916666667</v>
      </c>
      <c r="D733" s="719" t="inlineStr">
        <is>
          <t>BINANCE</t>
        </is>
      </c>
      <c r="E733" s="719" t="inlineStr">
        <is>
          <t>ARPAUSDT</t>
        </is>
      </c>
      <c r="F733" s="719" t="inlineStr">
        <is>
          <t>BUY</t>
        </is>
      </c>
      <c r="G733" s="720" t="n">
        <v>1857.5</v>
      </c>
      <c r="H733" s="735" t="n">
        <v>0.01152</v>
      </c>
      <c r="I733" s="735" t="n">
        <v>0.01096</v>
      </c>
      <c r="J733" s="736" t="n">
        <v>0.01097</v>
      </c>
      <c r="K733" s="722" t="n">
        <v>0.04774305555555557</v>
      </c>
      <c r="L733" s="736" t="n">
        <v>0.01263</v>
      </c>
      <c r="M733" s="722" t="n">
        <v>0.09635416666666664</v>
      </c>
      <c r="N733" s="723" t="n">
        <v>0.01615838</v>
      </c>
      <c r="O733" s="724" t="n">
        <v>-1.05635838</v>
      </c>
      <c r="P733" s="725" t="n">
        <v>-0.009254036771347495</v>
      </c>
      <c r="Q733" s="726" t="n">
        <v>-1.018181818181821</v>
      </c>
      <c r="R733" s="727" t="n">
        <v>113.09473115</v>
      </c>
      <c r="S733" s="719" t="inlineStr">
        <is>
          <t>53M 0S</t>
        </is>
      </c>
      <c r="T733" s="717" t="n"/>
      <c r="U733" s="806" t="n"/>
      <c r="V733" s="817" t="n">
        <v>0.01208</v>
      </c>
      <c r="W733" s="725" t="n">
        <v>0.04861111111111108</v>
      </c>
      <c r="X733" s="722" t="n">
        <v>0.0435471100554236</v>
      </c>
      <c r="Y733" s="728" t="n"/>
      <c r="Z733" s="729" t="n"/>
      <c r="AA733" s="730" t="n"/>
      <c r="AB733" s="731" t="n"/>
      <c r="AC733" s="732" t="n"/>
      <c r="AD733" s="719" t="inlineStr">
        <is>
          <t>No</t>
        </is>
      </c>
      <c r="AE733" s="733" t="n"/>
      <c r="AF733" s="733" t="n"/>
      <c r="AG733" s="733" t="n"/>
      <c r="AH733" s="733" t="n"/>
      <c r="AI733" s="719" t="inlineStr">
        <is>
          <t>Limit</t>
        </is>
      </c>
      <c r="AJ733" s="733" t="n"/>
      <c r="AK733" s="733" t="n"/>
      <c r="AL733" s="733" t="n"/>
      <c r="AM733" s="733" t="n"/>
      <c r="AN733" s="733" t="n"/>
      <c r="AO733" s="733" t="n"/>
      <c r="AP733" s="719" t="inlineStr">
        <is>
          <t>Pullback</t>
        </is>
      </c>
      <c r="AQ733" s="719" t="inlineStr">
        <is>
          <t>1H</t>
        </is>
      </c>
      <c r="AR733" s="719" t="inlineStr">
        <is>
          <t>No</t>
        </is>
      </c>
      <c r="AS733" s="733" t="n"/>
      <c r="AT733" s="733" t="n"/>
      <c r="AU733" s="733" t="n"/>
      <c r="AV733" s="733" t="n"/>
      <c r="AW733" s="719" t="inlineStr">
        <is>
          <t>trade</t>
        </is>
      </c>
      <c r="AX733" s="734" t="inlineStr">
        <is>
          <t>sig:a6033b5db6042c8539510288</t>
        </is>
      </c>
    </row>
    <row r="734" ht="15" customHeight="1">
      <c r="A734" s="716" t="inlineStr">
        <is>
          <t>C42</t>
        </is>
      </c>
      <c r="B734" s="717" t="n">
        <v>43962.95486111111</v>
      </c>
      <c r="C734" s="718" t="n">
        <v>43963.11041666667</v>
      </c>
      <c r="D734" s="719" t="inlineStr">
        <is>
          <t>BINANCE</t>
        </is>
      </c>
      <c r="E734" s="719" t="inlineStr">
        <is>
          <t>HIVEUSDT</t>
        </is>
      </c>
      <c r="F734" s="719" t="inlineStr">
        <is>
          <t>BUY</t>
        </is>
      </c>
      <c r="G734" s="720" t="n">
        <v>61.37</v>
      </c>
      <c r="H734" s="720" t="n">
        <v>0.3289</v>
      </c>
      <c r="I734" s="720" t="n">
        <v>0.3105</v>
      </c>
      <c r="J734" s="721" t="n">
        <v>0.3121</v>
      </c>
      <c r="K734" s="722" t="n">
        <v>0.05107935542718162</v>
      </c>
      <c r="L734" s="721" t="n">
        <v>0.3625</v>
      </c>
      <c r="M734" s="722" t="n">
        <v>0.1021587108543629</v>
      </c>
      <c r="N734" s="723" t="n">
        <v>0.02955325</v>
      </c>
      <c r="O734" s="724" t="n">
        <v>-1.15876125</v>
      </c>
      <c r="P734" s="725" t="n">
        <v>-0.01004910891967768</v>
      </c>
      <c r="Q734" s="726" t="n">
        <v>-1.095238095238094</v>
      </c>
      <c r="R734" s="727" t="n">
        <v>114.15108953</v>
      </c>
      <c r="S734" s="719" t="inlineStr">
        <is>
          <t>3H 44M 0S</t>
        </is>
      </c>
      <c r="T734" s="717" t="n"/>
      <c r="U734" s="806" t="n"/>
      <c r="V734" s="807" t="n">
        <v>0.3482</v>
      </c>
      <c r="W734" s="725" t="n">
        <v>0.05868044998479776</v>
      </c>
      <c r="X734" s="722" t="n">
        <v>0.03944827586206891</v>
      </c>
      <c r="Y734" s="728" t="n"/>
      <c r="Z734" s="729" t="n"/>
      <c r="AA734" s="730" t="n"/>
      <c r="AB734" s="731" t="n"/>
      <c r="AC734" s="732" t="n"/>
      <c r="AD734" s="719" t="inlineStr">
        <is>
          <t>No</t>
        </is>
      </c>
      <c r="AE734" s="733" t="n"/>
      <c r="AF734" s="733" t="n"/>
      <c r="AG734" s="733" t="n"/>
      <c r="AH734" s="733" t="n"/>
      <c r="AI734" s="719" t="inlineStr">
        <is>
          <t>Limit</t>
        </is>
      </c>
      <c r="AJ734" s="733" t="n"/>
      <c r="AK734" s="733" t="n"/>
      <c r="AL734" s="733" t="n"/>
      <c r="AM734" s="733" t="n"/>
      <c r="AN734" s="733" t="n"/>
      <c r="AO734" s="733" t="n"/>
      <c r="AP734" s="719" t="inlineStr">
        <is>
          <t>Pullback</t>
        </is>
      </c>
      <c r="AQ734" s="719" t="inlineStr">
        <is>
          <t>1H</t>
        </is>
      </c>
      <c r="AR734" s="719" t="inlineStr">
        <is>
          <t>No</t>
        </is>
      </c>
      <c r="AS734" s="733" t="n"/>
      <c r="AT734" s="733" t="n"/>
      <c r="AU734" s="733" t="n"/>
      <c r="AV734" s="733" t="n"/>
      <c r="AW734" s="719" t="inlineStr">
        <is>
          <t>trade</t>
        </is>
      </c>
      <c r="AX734" s="734" t="inlineStr">
        <is>
          <t>sig:3d4add4ba576118ae2aa35e0</t>
        </is>
      </c>
    </row>
    <row r="735" ht="15" customHeight="1">
      <c r="A735" s="716" t="inlineStr">
        <is>
          <t>F742</t>
        </is>
      </c>
      <c r="B735" s="717" t="n">
        <v>43962.75972222222</v>
      </c>
      <c r="C735" s="718" t="n">
        <v>43962.84513888889</v>
      </c>
      <c r="D735" s="719" t="inlineStr">
        <is>
          <t>PEPPERSTONE DEMO</t>
        </is>
      </c>
      <c r="E735" s="719" t="inlineStr">
        <is>
          <t>GBPUSD</t>
        </is>
      </c>
      <c r="F735" s="719" t="inlineStr">
        <is>
          <t>BUY</t>
        </is>
      </c>
      <c r="G735" s="735" t="n">
        <v>0.01</v>
      </c>
      <c r="H735" s="720" t="n">
        <v>1.2368</v>
      </c>
      <c r="I735" s="720" t="n">
        <v>1.23454</v>
      </c>
      <c r="J735" s="721" t="n">
        <v>1.2345</v>
      </c>
      <c r="K735" s="722" t="n">
        <v>0.00185963777490295</v>
      </c>
      <c r="L735" s="721" t="n">
        <v>1.2414</v>
      </c>
      <c r="M735" s="722" t="n">
        <v>0.00371927554980608</v>
      </c>
      <c r="N735" s="788" t="n"/>
      <c r="O735" s="762" t="n">
        <v>-3.54</v>
      </c>
      <c r="P735" s="725" t="n">
        <v>-0.007111861137897781</v>
      </c>
      <c r="Q735" s="726" t="n">
        <v>-0.9826086956521562</v>
      </c>
      <c r="R735" s="764" t="n">
        <v>494.22</v>
      </c>
      <c r="S735" s="719" t="inlineStr">
        <is>
          <t>2H 3M 0S</t>
        </is>
      </c>
      <c r="T735" s="728" t="n"/>
      <c r="U735" s="729" t="n"/>
      <c r="V735" s="807" t="n">
        <v>1.2391</v>
      </c>
      <c r="W735" s="725" t="n">
        <v>-0.002300000000000191</v>
      </c>
      <c r="X735" s="722" t="n">
        <v>0.002299999999999969</v>
      </c>
      <c r="Y735" s="728" t="n"/>
      <c r="Z735" s="729" t="n"/>
      <c r="AA735" s="730" t="n"/>
      <c r="AB735" s="731" t="n"/>
      <c r="AC735" s="732" t="n"/>
      <c r="AD735" s="719" t="inlineStr">
        <is>
          <t>No</t>
        </is>
      </c>
      <c r="AE735" s="733" t="n"/>
      <c r="AF735" s="733" t="n"/>
      <c r="AG735" s="733" t="n"/>
      <c r="AH735" s="733" t="n"/>
      <c r="AI735" s="719" t="inlineStr">
        <is>
          <t>Limit</t>
        </is>
      </c>
      <c r="AJ735" s="733" t="n"/>
      <c r="AK735" s="733" t="n"/>
      <c r="AL735" s="733" t="n"/>
      <c r="AM735" s="733" t="n"/>
      <c r="AN735" s="733" t="n"/>
      <c r="AO735" s="733" t="n"/>
      <c r="AP735" s="719" t="inlineStr">
        <is>
          <t>Pullback</t>
        </is>
      </c>
      <c r="AQ735" s="719" t="inlineStr">
        <is>
          <t>1H</t>
        </is>
      </c>
      <c r="AR735" s="719" t="inlineStr">
        <is>
          <t>No</t>
        </is>
      </c>
      <c r="AS735" s="782" t="n"/>
      <c r="AT735" s="733" t="n"/>
      <c r="AU735" s="719" t="n"/>
      <c r="AV735" s="719" t="n"/>
      <c r="AW735" s="719" t="inlineStr">
        <is>
          <t>trade</t>
        </is>
      </c>
      <c r="AX735" s="734" t="inlineStr">
        <is>
          <t>sig:cc61bc2dba4b13534e6da966</t>
        </is>
      </c>
    </row>
    <row r="736" ht="15" customHeight="1">
      <c r="A736" s="716" t="inlineStr">
        <is>
          <t>C41</t>
        </is>
      </c>
      <c r="B736" s="717" t="n">
        <v>43962.03819444445</v>
      </c>
      <c r="C736" s="718" t="n">
        <v>43962.10833333333</v>
      </c>
      <c r="D736" s="719" t="inlineStr">
        <is>
          <t>BINANCE</t>
        </is>
      </c>
      <c r="E736" s="719" t="inlineStr">
        <is>
          <t>ONGUSDT</t>
        </is>
      </c>
      <c r="F736" s="719" t="inlineStr">
        <is>
          <t>BUY</t>
        </is>
      </c>
      <c r="G736" s="720" t="n">
        <v>135.92</v>
      </c>
      <c r="H736" s="720" t="n">
        <v>0.1048</v>
      </c>
      <c r="I736" s="735" t="n">
        <v>0.0983</v>
      </c>
      <c r="J736" s="736" t="n">
        <v>0.0973</v>
      </c>
      <c r="K736" s="722" t="n">
        <v>0.07156488549618327</v>
      </c>
      <c r="L736" s="721" t="n">
        <v>0.1202</v>
      </c>
      <c r="M736" s="722" t="n">
        <v>0.1469465648854962</v>
      </c>
      <c r="N736" s="723" t="n">
        <v>0.02085018</v>
      </c>
      <c r="O736" s="724" t="n">
        <v>-0.90433018</v>
      </c>
      <c r="P736" s="725" t="n">
        <v>-0.00778158201115975</v>
      </c>
      <c r="Q736" s="726" t="n">
        <v>-0.8666666666666667</v>
      </c>
      <c r="R736" s="727" t="n">
        <v>115.30985078</v>
      </c>
      <c r="S736" s="719" t="inlineStr">
        <is>
          <t>1H 41M 0S</t>
        </is>
      </c>
      <c r="T736" s="728" t="n"/>
      <c r="U736" s="729" t="n"/>
      <c r="V736" s="807" t="n">
        <v>0.1147</v>
      </c>
      <c r="W736" s="725" t="n">
        <v>0.09446564885496175</v>
      </c>
      <c r="X736" s="722" t="n">
        <v>0.04575707154742101</v>
      </c>
      <c r="Y736" s="728" t="n"/>
      <c r="Z736" s="729" t="n"/>
      <c r="AA736" s="730" t="n"/>
      <c r="AB736" s="731" t="n"/>
      <c r="AC736" s="732" t="n"/>
      <c r="AD736" s="719" t="inlineStr">
        <is>
          <t>No</t>
        </is>
      </c>
      <c r="AE736" s="733" t="n"/>
      <c r="AF736" s="733" t="n"/>
      <c r="AG736" s="733" t="n"/>
      <c r="AH736" s="733" t="n"/>
      <c r="AI736" s="719" t="inlineStr">
        <is>
          <t>Limit</t>
        </is>
      </c>
      <c r="AJ736" s="733" t="n"/>
      <c r="AK736" s="733" t="n"/>
      <c r="AL736" s="733" t="n"/>
      <c r="AM736" s="733" t="n"/>
      <c r="AN736" s="733" t="n"/>
      <c r="AO736" s="733" t="n"/>
      <c r="AP736" s="719" t="inlineStr">
        <is>
          <t>Pullback</t>
        </is>
      </c>
      <c r="AQ736" s="719" t="inlineStr">
        <is>
          <t>1H</t>
        </is>
      </c>
      <c r="AR736" s="719" t="inlineStr">
        <is>
          <t>No</t>
        </is>
      </c>
      <c r="AS736" s="733" t="n"/>
      <c r="AT736" s="733" t="n"/>
      <c r="AU736" s="733" t="n"/>
      <c r="AV736" s="733" t="n"/>
      <c r="AW736" s="719" t="inlineStr">
        <is>
          <t>trade</t>
        </is>
      </c>
      <c r="AX736" s="734" t="inlineStr">
        <is>
          <t>sig:c46d469b8edec6f9a40b576a</t>
        </is>
      </c>
    </row>
    <row r="737" ht="15" customHeight="1">
      <c r="A737" s="716" t="inlineStr">
        <is>
          <t>C40</t>
        </is>
      </c>
      <c r="B737" s="717" t="n">
        <v>43960.40902777778</v>
      </c>
      <c r="C737" s="718" t="n">
        <v>43960.63819444444</v>
      </c>
      <c r="D737" s="719" t="inlineStr">
        <is>
          <t>BINANCE</t>
        </is>
      </c>
      <c r="E737" s="719" t="inlineStr">
        <is>
          <t>ICXUSDT</t>
        </is>
      </c>
      <c r="F737" s="719" t="inlineStr">
        <is>
          <t>BUY</t>
        </is>
      </c>
      <c r="G737" s="720" t="n">
        <v>76.16</v>
      </c>
      <c r="H737" s="720" t="n">
        <v>0.3008</v>
      </c>
      <c r="I737" s="720" t="n">
        <v>0.2994</v>
      </c>
      <c r="J737" s="721" t="n">
        <v>0.2885</v>
      </c>
      <c r="K737" s="722" t="n">
        <v>0.04089095744680862</v>
      </c>
      <c r="L737" s="721" t="n">
        <v>0.3254</v>
      </c>
      <c r="M737" s="722" t="n">
        <v>0.08178191489361705</v>
      </c>
      <c r="N737" s="723" t="n">
        <v>0.03430159</v>
      </c>
      <c r="O737" s="724" t="n">
        <v>-0.14092559</v>
      </c>
      <c r="P737" s="725" t="n">
        <v>-0.001211168071419724</v>
      </c>
      <c r="Q737" s="726" t="n">
        <v>-0.1138211382113828</v>
      </c>
      <c r="R737" s="727" t="n">
        <v>116.21418096</v>
      </c>
      <c r="S737" s="719" t="inlineStr">
        <is>
          <t>5H 30M 0S</t>
        </is>
      </c>
      <c r="T737" s="728" t="n"/>
      <c r="U737" s="729" t="n"/>
      <c r="V737" s="807" t="n">
        <v>0.3148</v>
      </c>
      <c r="W737" s="725" t="n">
        <v>0.0465425531914894</v>
      </c>
      <c r="X737" s="722" t="n">
        <v>0.03257529194837123</v>
      </c>
      <c r="Y737" s="728" t="n"/>
      <c r="Z737" s="729" t="n"/>
      <c r="AA737" s="730" t="n"/>
      <c r="AB737" s="731" t="n"/>
      <c r="AC737" s="732" t="n"/>
      <c r="AD737" s="719" t="inlineStr">
        <is>
          <t>No</t>
        </is>
      </c>
      <c r="AE737" s="733" t="n"/>
      <c r="AF737" s="733" t="n"/>
      <c r="AG737" s="733" t="n"/>
      <c r="AH737" s="733" t="n"/>
      <c r="AI737" s="719" t="inlineStr">
        <is>
          <t>Limit</t>
        </is>
      </c>
      <c r="AJ737" s="733" t="n"/>
      <c r="AK737" s="733" t="n"/>
      <c r="AL737" s="733" t="n"/>
      <c r="AM737" s="733" t="n"/>
      <c r="AN737" s="733" t="n"/>
      <c r="AO737" s="733" t="n"/>
      <c r="AP737" s="719" t="inlineStr">
        <is>
          <t>Pullback</t>
        </is>
      </c>
      <c r="AQ737" s="719" t="inlineStr">
        <is>
          <t>1H</t>
        </is>
      </c>
      <c r="AR737" s="719" t="inlineStr">
        <is>
          <t>No</t>
        </is>
      </c>
      <c r="AS737" s="733" t="n"/>
      <c r="AT737" s="733" t="n"/>
      <c r="AU737" s="733" t="n"/>
      <c r="AV737" s="733" t="n"/>
      <c r="AW737" s="719" t="inlineStr">
        <is>
          <t>trade</t>
        </is>
      </c>
      <c r="AX737" s="734" t="inlineStr">
        <is>
          <t>sig:7f8d29ed7ce31021551a4524</t>
        </is>
      </c>
    </row>
    <row r="738" ht="15" customHeight="1">
      <c r="A738" s="737" t="inlineStr">
        <is>
          <t>C38</t>
        </is>
      </c>
      <c r="B738" s="738" t="n">
        <v>43959.63958333333</v>
      </c>
      <c r="C738" s="739" t="n">
        <v>43960.11111111111</v>
      </c>
      <c r="D738" s="740" t="inlineStr">
        <is>
          <t>BINANCE</t>
        </is>
      </c>
      <c r="E738" s="740" t="inlineStr">
        <is>
          <t>BCHUSDT</t>
        </is>
      </c>
      <c r="F738" s="740" t="inlineStr">
        <is>
          <t>BUY</t>
        </is>
      </c>
      <c r="G738" s="742" t="n">
        <v>0.18</v>
      </c>
      <c r="H738" s="742" t="n">
        <v>251.56</v>
      </c>
      <c r="I738" s="742" t="n">
        <v>262.01</v>
      </c>
      <c r="J738" s="743" t="n">
        <v>246.62</v>
      </c>
      <c r="K738" s="744" t="n">
        <v>0.01963746223564954</v>
      </c>
      <c r="L738" s="743" t="n">
        <v>262.22</v>
      </c>
      <c r="M738" s="744" t="n">
        <v>0.04237557640324386</v>
      </c>
      <c r="N738" s="802" t="n">
        <v>0.06905809</v>
      </c>
      <c r="O738" s="746" t="n">
        <v>1.79501291</v>
      </c>
      <c r="P738" s="747" t="n">
        <v>0.0156687451359873</v>
      </c>
      <c r="Q738" s="748" t="n">
        <v>2.115384615384614</v>
      </c>
      <c r="R738" s="749" t="n">
        <v>116.35510655</v>
      </c>
      <c r="S738" s="740" t="inlineStr">
        <is>
          <t>11H 19M 0S</t>
        </is>
      </c>
      <c r="T738" s="738" t="n">
        <v>43959.67083333333</v>
      </c>
      <c r="U738" s="809" t="inlineStr">
        <is>
          <t>10H 44M 10S</t>
        </is>
      </c>
      <c r="V738" s="810" t="n">
        <v>256.16</v>
      </c>
      <c r="W738" s="747" t="n">
        <v>0.01828589600890453</v>
      </c>
      <c r="X738" s="744" t="n">
        <v>0.02311036534207917</v>
      </c>
      <c r="Y738" s="750" t="n"/>
      <c r="Z738" s="751" t="n"/>
      <c r="AA738" s="752" t="n"/>
      <c r="AB738" s="753" t="n"/>
      <c r="AC738" s="754" t="n"/>
      <c r="AD738" s="740" t="inlineStr">
        <is>
          <t>No</t>
        </is>
      </c>
      <c r="AE738" s="755" t="n"/>
      <c r="AF738" s="755" t="n"/>
      <c r="AG738" s="755" t="n"/>
      <c r="AH738" s="755" t="n"/>
      <c r="AI738" s="740" t="inlineStr">
        <is>
          <t>Limit</t>
        </is>
      </c>
      <c r="AJ738" s="755" t="n"/>
      <c r="AK738" s="755" t="n"/>
      <c r="AL738" s="755" t="n"/>
      <c r="AM738" s="755" t="n"/>
      <c r="AN738" s="755" t="n"/>
      <c r="AO738" s="755" t="n"/>
      <c r="AP738" s="740" t="inlineStr">
        <is>
          <t>Pullback</t>
        </is>
      </c>
      <c r="AQ738" s="740" t="inlineStr">
        <is>
          <t>1H</t>
        </is>
      </c>
      <c r="AR738" s="740" t="inlineStr">
        <is>
          <t>No</t>
        </is>
      </c>
      <c r="AS738" s="755" t="n"/>
      <c r="AT738" s="755" t="n"/>
      <c r="AU738" s="755" t="n"/>
      <c r="AV738" s="755" t="n"/>
      <c r="AW738" s="740" t="inlineStr">
        <is>
          <t>trade</t>
        </is>
      </c>
      <c r="AX738" s="756" t="inlineStr">
        <is>
          <t>sig:bb21d6ca8ada462f7b2159d1</t>
        </is>
      </c>
    </row>
    <row r="739" ht="15" customHeight="1">
      <c r="A739" s="716" t="inlineStr">
        <is>
          <t>C39</t>
        </is>
      </c>
      <c r="B739" s="717" t="n">
        <v>43959.70694444444</v>
      </c>
      <c r="C739" s="718" t="n">
        <v>43960.04097222222</v>
      </c>
      <c r="D739" s="719" t="inlineStr">
        <is>
          <t>BINANCE</t>
        </is>
      </c>
      <c r="E739" s="719" t="inlineStr">
        <is>
          <t>THETAUSDT</t>
        </is>
      </c>
      <c r="F739" s="719" t="inlineStr">
        <is>
          <t>BUY</t>
        </is>
      </c>
      <c r="G739" s="720" t="n">
        <v>147.9</v>
      </c>
      <c r="H739" s="720" t="n">
        <v>0.15864</v>
      </c>
      <c r="I739" s="720" t="n">
        <v>0.15828</v>
      </c>
      <c r="J739" s="721" t="n">
        <v>0.15242</v>
      </c>
      <c r="K739" s="722" t="n">
        <v>0.03920827029752902</v>
      </c>
      <c r="L739" s="721" t="n">
        <v>0.17109</v>
      </c>
      <c r="M739" s="722" t="n">
        <v>0.07847957639939479</v>
      </c>
      <c r="N739" s="723" t="n">
        <v>0.03517386</v>
      </c>
      <c r="O739" s="777" t="n">
        <v>-0.08841786</v>
      </c>
      <c r="P739" s="763" t="n">
        <v>-0.0007712080937047317</v>
      </c>
      <c r="Q739" s="781" t="n">
        <v>-0.057877813504823</v>
      </c>
      <c r="R739" s="727" t="n">
        <v>114.56009364</v>
      </c>
      <c r="S739" s="719" t="inlineStr">
        <is>
          <t>8H 1M 0S</t>
        </is>
      </c>
      <c r="T739" s="717" t="n"/>
      <c r="U739" s="806" t="n"/>
      <c r="V739" s="807" t="n">
        <v>0.16516</v>
      </c>
      <c r="W739" s="725" t="n">
        <v>0.04109934442763488</v>
      </c>
      <c r="X739" s="722" t="n">
        <v>0.03466012040446544</v>
      </c>
      <c r="Y739" s="728" t="n"/>
      <c r="Z739" s="729" t="n"/>
      <c r="AA739" s="730" t="n"/>
      <c r="AB739" s="731" t="n"/>
      <c r="AC739" s="732" t="n"/>
      <c r="AD739" s="719" t="inlineStr">
        <is>
          <t>No</t>
        </is>
      </c>
      <c r="AE739" s="733" t="n"/>
      <c r="AF739" s="733" t="n"/>
      <c r="AG739" s="733" t="n"/>
      <c r="AH739" s="733" t="n"/>
      <c r="AI739" s="719" t="inlineStr">
        <is>
          <t>Limit</t>
        </is>
      </c>
      <c r="AJ739" s="733" t="n"/>
      <c r="AK739" s="733" t="n"/>
      <c r="AL739" s="733" t="n"/>
      <c r="AM739" s="733" t="n"/>
      <c r="AN739" s="733" t="n"/>
      <c r="AO739" s="733" t="n"/>
      <c r="AP739" s="719" t="inlineStr">
        <is>
          <t>Pullback</t>
        </is>
      </c>
      <c r="AQ739" s="719" t="inlineStr">
        <is>
          <t>1H</t>
        </is>
      </c>
      <c r="AR739" s="719" t="inlineStr">
        <is>
          <t>No</t>
        </is>
      </c>
      <c r="AS739" s="733" t="n"/>
      <c r="AT739" s="733" t="n"/>
      <c r="AU739" s="733" t="n"/>
      <c r="AV739" s="733" t="n"/>
      <c r="AW739" s="719" t="inlineStr">
        <is>
          <t>trade</t>
        </is>
      </c>
      <c r="AX739" s="734" t="inlineStr">
        <is>
          <t>sig:7657a549d672f453632aff29</t>
        </is>
      </c>
    </row>
    <row r="740" ht="15" customHeight="1">
      <c r="A740" s="716" t="inlineStr">
        <is>
          <t>F741</t>
        </is>
      </c>
      <c r="B740" s="717" t="n">
        <v>43959.9375</v>
      </c>
      <c r="C740" s="718" t="n">
        <v>43959.93958333333</v>
      </c>
      <c r="D740" s="719" t="inlineStr">
        <is>
          <t>PEPPERSTONE DEMO</t>
        </is>
      </c>
      <c r="E740" s="719" t="inlineStr">
        <is>
          <t>USDCAD</t>
        </is>
      </c>
      <c r="F740" s="719" t="inlineStr">
        <is>
          <t>SELL</t>
        </is>
      </c>
      <c r="G740" s="735" t="n">
        <v>0.04</v>
      </c>
      <c r="H740" s="720" t="n">
        <v>1.3927</v>
      </c>
      <c r="I740" s="720" t="n">
        <v>1.39376</v>
      </c>
      <c r="J740" s="721" t="n">
        <v>1.3937</v>
      </c>
      <c r="K740" s="760" t="n">
        <v>0.0007180297264305952</v>
      </c>
      <c r="L740" s="721" t="n">
        <v>1.3907</v>
      </c>
      <c r="M740" s="722" t="n">
        <v>0.00143605945286135</v>
      </c>
      <c r="N740" s="788" t="n"/>
      <c r="O740" s="762" t="n">
        <v>-4.4</v>
      </c>
      <c r="P740" s="725" t="n">
        <v>-0.008762147522701928</v>
      </c>
      <c r="Q740" s="726" t="n">
        <v>-1.060000000000178</v>
      </c>
      <c r="R740" s="764" t="n">
        <v>497.76</v>
      </c>
      <c r="S740" s="719" t="inlineStr">
        <is>
          <t>3M 0S</t>
        </is>
      </c>
      <c r="T740" s="728" t="n"/>
      <c r="U740" s="729" t="n"/>
      <c r="V740" s="807" t="n"/>
      <c r="W740" s="725" t="n"/>
      <c r="X740" s="722" t="n"/>
      <c r="Y740" s="728" t="n"/>
      <c r="Z740" s="729" t="n"/>
      <c r="AA740" s="730" t="n"/>
      <c r="AB740" s="731" t="n"/>
      <c r="AC740" s="732" t="n"/>
      <c r="AD740" s="719" t="inlineStr">
        <is>
          <t>No</t>
        </is>
      </c>
      <c r="AE740" s="733" t="n"/>
      <c r="AF740" s="733" t="n"/>
      <c r="AG740" s="733" t="n"/>
      <c r="AH740" s="733" t="n"/>
      <c r="AI740" s="719" t="inlineStr">
        <is>
          <t>Limit</t>
        </is>
      </c>
      <c r="AJ740" s="733" t="n"/>
      <c r="AK740" s="733" t="n"/>
      <c r="AL740" s="733" t="n"/>
      <c r="AM740" s="733" t="n"/>
      <c r="AN740" s="733" t="n"/>
      <c r="AO740" s="733" t="n"/>
      <c r="AP740" s="719" t="inlineStr">
        <is>
          <t>News Scalp</t>
        </is>
      </c>
      <c r="AQ740" s="719" t="inlineStr">
        <is>
          <t>1MIN</t>
        </is>
      </c>
      <c r="AR740" s="719" t="inlineStr">
        <is>
          <t>No</t>
        </is>
      </c>
      <c r="AS740" s="733" t="n"/>
      <c r="AT740" s="733" t="n"/>
      <c r="AU740" s="733" t="n"/>
      <c r="AV740" s="733" t="n"/>
      <c r="AW740" s="719" t="inlineStr">
        <is>
          <t>trade</t>
        </is>
      </c>
      <c r="AX740" s="734" t="inlineStr">
        <is>
          <t>sig:fec6b5008c8a870e73587582</t>
        </is>
      </c>
    </row>
    <row r="741" ht="15" customHeight="1">
      <c r="A741" s="737" t="inlineStr">
        <is>
          <t>F740</t>
        </is>
      </c>
      <c r="B741" s="738" t="n">
        <v>43959.23125</v>
      </c>
      <c r="C741" s="739" t="n">
        <v>43959.52708333333</v>
      </c>
      <c r="D741" s="740" t="inlineStr">
        <is>
          <t>PEPPERSTONE DEMO</t>
        </is>
      </c>
      <c r="E741" s="740" t="inlineStr">
        <is>
          <t>NZDJPY</t>
        </is>
      </c>
      <c r="F741" s="740" t="inlineStr">
        <is>
          <t>BUY</t>
        </is>
      </c>
      <c r="G741" s="775" t="n">
        <v>0.01</v>
      </c>
      <c r="H741" s="742" t="n">
        <v>64.59</v>
      </c>
      <c r="I741" s="742" t="n">
        <v>65.17100000000001</v>
      </c>
      <c r="J741" s="743" t="n">
        <v>64.3</v>
      </c>
      <c r="K741" s="744" t="n">
        <v>0.004489859111317638</v>
      </c>
      <c r="L741" s="743" t="n">
        <v>65.17</v>
      </c>
      <c r="M741" s="744" t="n">
        <v>0.008979718222635056</v>
      </c>
      <c r="N741" s="766" t="n"/>
      <c r="O741" s="767" t="n">
        <v>8.33</v>
      </c>
      <c r="P741" s="747" t="n">
        <v>0.0168681530081202</v>
      </c>
      <c r="Q741" s="748" t="n">
        <v>2.003448275862036</v>
      </c>
      <c r="R741" s="769" t="n">
        <v>502.16</v>
      </c>
      <c r="S741" s="740" t="inlineStr">
        <is>
          <t>7H 6M 0S</t>
        </is>
      </c>
      <c r="T741" s="738" t="n">
        <v>43959.47013888889</v>
      </c>
      <c r="U741" s="809" t="inlineStr">
        <is>
          <t>5H 44M 0S</t>
        </is>
      </c>
      <c r="V741" s="810" t="n">
        <v>64.92</v>
      </c>
      <c r="W741" s="747" t="n">
        <v>-0.3299999999999983</v>
      </c>
      <c r="X741" s="744" t="n">
        <v>0.25</v>
      </c>
      <c r="Y741" s="750" t="n"/>
      <c r="Z741" s="751" t="n"/>
      <c r="AA741" s="752" t="n"/>
      <c r="AB741" s="753" t="n"/>
      <c r="AC741" s="754" t="n"/>
      <c r="AD741" s="740" t="inlineStr">
        <is>
          <t>No</t>
        </is>
      </c>
      <c r="AE741" s="755" t="n"/>
      <c r="AF741" s="755" t="n"/>
      <c r="AG741" s="755" t="n"/>
      <c r="AH741" s="755" t="n"/>
      <c r="AI741" s="740" t="inlineStr">
        <is>
          <t>Limit</t>
        </is>
      </c>
      <c r="AJ741" s="755" t="n"/>
      <c r="AK741" s="755" t="n"/>
      <c r="AL741" s="755" t="n"/>
      <c r="AM741" s="755" t="n"/>
      <c r="AN741" s="755" t="n"/>
      <c r="AO741" s="755" t="n"/>
      <c r="AP741" s="740" t="inlineStr">
        <is>
          <t>Pullback</t>
        </is>
      </c>
      <c r="AQ741" s="740" t="inlineStr">
        <is>
          <t>1H</t>
        </is>
      </c>
      <c r="AR741" s="740" t="inlineStr">
        <is>
          <t>No</t>
        </is>
      </c>
      <c r="AS741" s="755" t="n"/>
      <c r="AT741" s="755" t="n"/>
      <c r="AU741" s="755" t="n"/>
      <c r="AV741" s="755" t="n"/>
      <c r="AW741" s="740" t="inlineStr">
        <is>
          <t>trade</t>
        </is>
      </c>
      <c r="AX741" s="756" t="inlineStr">
        <is>
          <t>sig:ca777577c8339ed26d93b4f1</t>
        </is>
      </c>
    </row>
    <row r="742" ht="15" customHeight="1">
      <c r="A742" s="737" t="inlineStr">
        <is>
          <t>C37</t>
        </is>
      </c>
      <c r="B742" s="738" t="n">
        <v>43958.97569444445</v>
      </c>
      <c r="C742" s="739" t="n">
        <v>43959.15694444445</v>
      </c>
      <c r="D742" s="740" t="inlineStr">
        <is>
          <t>BINANCE</t>
        </is>
      </c>
      <c r="E742" s="740" t="inlineStr">
        <is>
          <t>ZRXUSDT</t>
        </is>
      </c>
      <c r="F742" s="740" t="inlineStr">
        <is>
          <t>BUY</t>
        </is>
      </c>
      <c r="G742" s="742" t="n">
        <v>92.73</v>
      </c>
      <c r="H742" s="742" t="n">
        <v>0.242</v>
      </c>
      <c r="I742" s="742" t="n">
        <v>0.2616</v>
      </c>
      <c r="J742" s="743" t="n">
        <v>0.2323</v>
      </c>
      <c r="K742" s="744" t="n">
        <v>0.04008264462809912</v>
      </c>
      <c r="L742" s="743" t="n">
        <v>0.2615</v>
      </c>
      <c r="M742" s="744" t="n">
        <v>0.08057851239669429</v>
      </c>
      <c r="N742" s="802" t="n">
        <v>0.03511242</v>
      </c>
      <c r="O742" s="746" t="n">
        <v>1.78239558</v>
      </c>
      <c r="P742" s="747" t="n">
        <v>0.01579212295445136</v>
      </c>
      <c r="Q742" s="748" t="n">
        <v>2.020618556701034</v>
      </c>
      <c r="R742" s="749" t="n">
        <v>114.6485115</v>
      </c>
      <c r="S742" s="740" t="inlineStr">
        <is>
          <t>4H 21M 0S</t>
        </is>
      </c>
      <c r="T742" s="738" t="n">
        <v>43958.73819444444</v>
      </c>
      <c r="U742" s="809" t="inlineStr">
        <is>
          <t>4H 17M 33S</t>
        </is>
      </c>
      <c r="V742" s="810" t="n">
        <v>0.2489</v>
      </c>
      <c r="W742" s="747" t="n">
        <v>0.02851239669421495</v>
      </c>
      <c r="X742" s="744" t="n">
        <v>0.04818355640535373</v>
      </c>
      <c r="Y742" s="750" t="n"/>
      <c r="Z742" s="751" t="n"/>
      <c r="AA742" s="752" t="n"/>
      <c r="AB742" s="753" t="n"/>
      <c r="AC742" s="754" t="n"/>
      <c r="AD742" s="740" t="inlineStr">
        <is>
          <t>No</t>
        </is>
      </c>
      <c r="AE742" s="755" t="n"/>
      <c r="AF742" s="755" t="n"/>
      <c r="AG742" s="755" t="n"/>
      <c r="AH742" s="755" t="n"/>
      <c r="AI742" s="740" t="inlineStr">
        <is>
          <t>Limit</t>
        </is>
      </c>
      <c r="AJ742" s="755" t="n"/>
      <c r="AK742" s="755" t="n"/>
      <c r="AL742" s="755" t="n"/>
      <c r="AM742" s="755" t="n"/>
      <c r="AN742" s="755" t="n"/>
      <c r="AO742" s="755" t="n"/>
      <c r="AP742" s="740" t="inlineStr">
        <is>
          <t>Pullback</t>
        </is>
      </c>
      <c r="AQ742" s="740" t="inlineStr">
        <is>
          <t>1H</t>
        </is>
      </c>
      <c r="AR742" s="740" t="inlineStr">
        <is>
          <t>No</t>
        </is>
      </c>
      <c r="AS742" s="755" t="n"/>
      <c r="AT742" s="755" t="n"/>
      <c r="AU742" s="755" t="n"/>
      <c r="AV742" s="755" t="n"/>
      <c r="AW742" s="740" t="inlineStr">
        <is>
          <t>trade</t>
        </is>
      </c>
      <c r="AX742" s="756" t="inlineStr">
        <is>
          <t>sig:58c5ae2022ee13cd67586865</t>
        </is>
      </c>
    </row>
    <row r="743" ht="15" customHeight="1">
      <c r="A743" s="42" t="n"/>
      <c r="B743" s="770" t="n">
        <v>43959</v>
      </c>
      <c r="C743" s="771" t="n">
        <v>43959</v>
      </c>
      <c r="D743" s="12" t="inlineStr">
        <is>
          <t>PEPPERSTONE LIVE</t>
        </is>
      </c>
      <c r="E743" s="12" t="inlineStr">
        <is>
          <t>CASHFLOW</t>
        </is>
      </c>
      <c r="F743" s="12" t="inlineStr">
        <is>
          <t>WITHDRAWAL</t>
        </is>
      </c>
      <c r="G743" s="262" t="n"/>
      <c r="H743" s="262" t="n"/>
      <c r="I743" s="262" t="n"/>
      <c r="J743" s="263" t="n"/>
      <c r="K743" s="36" t="n"/>
      <c r="L743" s="263" t="n"/>
      <c r="M743" s="36" t="n"/>
      <c r="N743" s="772" t="n"/>
      <c r="O743" s="773" t="n"/>
      <c r="P743" s="3" t="n"/>
      <c r="Q743" s="51" t="n"/>
      <c r="R743" s="54" t="n">
        <v>0</v>
      </c>
      <c r="S743" s="12" t="n"/>
      <c r="T743" s="774" t="n"/>
      <c r="U743" s="6" t="n"/>
      <c r="V743" s="269" t="n"/>
      <c r="W743" s="3" t="n"/>
      <c r="X743" s="36" t="n"/>
      <c r="Y743" s="774" t="n"/>
      <c r="Z743" s="6" t="n"/>
      <c r="AA743" s="264" t="n"/>
      <c r="AB743" s="9" t="n"/>
      <c r="AC743" s="46" t="n"/>
      <c r="AD743" s="12" t="inlineStr">
        <is>
          <t>No</t>
        </is>
      </c>
      <c r="AE743" s="45" t="n"/>
      <c r="AF743" s="45" t="n"/>
      <c r="AG743" s="45" t="n"/>
      <c r="AH743" s="45" t="n"/>
      <c r="AI743" s="12" t="n"/>
      <c r="AJ743" s="45" t="n"/>
      <c r="AK743" s="45" t="n"/>
      <c r="AL743" s="45" t="n"/>
      <c r="AM743" s="45" t="n"/>
      <c r="AN743" s="45" t="n"/>
      <c r="AO743" s="45" t="n"/>
      <c r="AP743" s="12" t="n"/>
      <c r="AQ743" s="12" t="n"/>
      <c r="AR743" s="12" t="n"/>
      <c r="AS743" s="56" t="inlineStr">
        <is>
          <t>Withdrawal -445.62 AUD. Source: screenshot_ocr. Imported from account_cashflows.xlsx row 88.</t>
        </is>
      </c>
      <c r="AT743" s="45" t="n"/>
      <c r="AU743" s="12" t="n">
        <v>0</v>
      </c>
      <c r="AV743" s="12" t="inlineStr">
        <is>
          <t>AUD</t>
        </is>
      </c>
      <c r="AW743" s="12" t="inlineStr">
        <is>
          <t>cashflow</t>
        </is>
      </c>
      <c r="AX743" s="57" t="inlineStr">
        <is>
          <t>cashflow:PEPPERSTONE LIVE:2020-05-08T00:00:00:9</t>
        </is>
      </c>
    </row>
    <row r="744" ht="15" customHeight="1">
      <c r="A744" s="716" t="inlineStr">
        <is>
          <t>C35</t>
        </is>
      </c>
      <c r="B744" s="717" t="n">
        <v>43958.04930555556</v>
      </c>
      <c r="C744" s="718" t="n">
        <v>43958.28888888889</v>
      </c>
      <c r="D744" s="719" t="inlineStr">
        <is>
          <t>BINANCE</t>
        </is>
      </c>
      <c r="E744" s="719" t="inlineStr">
        <is>
          <t>TROYUSDT</t>
        </is>
      </c>
      <c r="F744" s="719" t="inlineStr">
        <is>
          <t>BUY</t>
        </is>
      </c>
      <c r="G744" s="720" t="n">
        <v>6632</v>
      </c>
      <c r="H744" s="757" t="n">
        <v>0.0027106</v>
      </c>
      <c r="I744" s="757" t="n">
        <v>0.002639</v>
      </c>
      <c r="J744" s="798" t="n">
        <v>0.0025681</v>
      </c>
      <c r="K744" s="722" t="n">
        <v>0.05257138640891326</v>
      </c>
      <c r="L744" s="798" t="n">
        <v>0.003</v>
      </c>
      <c r="M744" s="722" t="n">
        <v>0.1067660296613296</v>
      </c>
      <c r="N744" s="723" t="n">
        <v>0.02694262</v>
      </c>
      <c r="O744" s="724" t="n">
        <v>-0.5017938199999999</v>
      </c>
      <c r="P744" s="725" t="n">
        <v>-0.004426242145161033</v>
      </c>
      <c r="Q744" s="726" t="n">
        <v>-0.5024561403508778</v>
      </c>
      <c r="R744" s="727" t="n">
        <v>112.86611592</v>
      </c>
      <c r="S744" s="719" t="inlineStr">
        <is>
          <t>5H 45M 0S</t>
        </is>
      </c>
      <c r="T744" s="728" t="n"/>
      <c r="U744" s="729" t="n"/>
      <c r="V744" s="822" t="n">
        <v>0.0028654</v>
      </c>
      <c r="W744" s="725" t="n">
        <v>0.05710912713052464</v>
      </c>
      <c r="X744" s="722" t="n">
        <v>0.04346374682868207</v>
      </c>
      <c r="Y744" s="728" t="n"/>
      <c r="Z744" s="729" t="n"/>
      <c r="AA744" s="730" t="n"/>
      <c r="AB744" s="731" t="n"/>
      <c r="AC744" s="732" t="n"/>
      <c r="AD744" s="719" t="inlineStr">
        <is>
          <t>No</t>
        </is>
      </c>
      <c r="AE744" s="733" t="n"/>
      <c r="AF744" s="733" t="n"/>
      <c r="AG744" s="733" t="n"/>
      <c r="AH744" s="733" t="n"/>
      <c r="AI744" s="719" t="inlineStr">
        <is>
          <t>Limit</t>
        </is>
      </c>
      <c r="AJ744" s="733" t="n"/>
      <c r="AK744" s="733" t="n"/>
      <c r="AL744" s="733" t="n"/>
      <c r="AM744" s="733" t="n"/>
      <c r="AN744" s="733" t="n"/>
      <c r="AO744" s="733" t="n"/>
      <c r="AP744" s="719" t="inlineStr">
        <is>
          <t>Pullback</t>
        </is>
      </c>
      <c r="AQ744" s="719" t="inlineStr">
        <is>
          <t>1H</t>
        </is>
      </c>
      <c r="AR744" s="719" t="inlineStr">
        <is>
          <t>No</t>
        </is>
      </c>
      <c r="AS744" s="733" t="n"/>
      <c r="AT744" s="733" t="n"/>
      <c r="AU744" s="733" t="n"/>
      <c r="AV744" s="733" t="n"/>
      <c r="AW744" s="719" t="inlineStr">
        <is>
          <t>trade</t>
        </is>
      </c>
      <c r="AX744" s="734" t="inlineStr">
        <is>
          <t>sig:11459bcc8aa6e091d67b9c99</t>
        </is>
      </c>
    </row>
    <row r="745" ht="15" customHeight="1">
      <c r="A745" s="716" t="inlineStr">
        <is>
          <t>C36</t>
        </is>
      </c>
      <c r="B745" s="717" t="n">
        <v>43958.17708333334</v>
      </c>
      <c r="C745" s="718" t="n">
        <v>43958.28819444445</v>
      </c>
      <c r="D745" s="719" t="inlineStr">
        <is>
          <t>BINANCE</t>
        </is>
      </c>
      <c r="E745" s="719" t="inlineStr">
        <is>
          <t>BCHUSDT</t>
        </is>
      </c>
      <c r="F745" s="719" t="inlineStr">
        <is>
          <t>BUY</t>
        </is>
      </c>
      <c r="G745" s="720" t="n">
        <v>0.25</v>
      </c>
      <c r="H745" s="720" t="n">
        <v>248.1</v>
      </c>
      <c r="I745" s="720" t="n">
        <v>246.27</v>
      </c>
      <c r="J745" s="721" t="n">
        <v>244.26</v>
      </c>
      <c r="K745" s="722" t="n">
        <v>0.01547762998790812</v>
      </c>
      <c r="L745" s="721" t="n">
        <v>255.78</v>
      </c>
      <c r="M745" s="722" t="n">
        <v>0.03095525997581623</v>
      </c>
      <c r="N745" s="723" t="n">
        <v>0.09146471</v>
      </c>
      <c r="O745" s="724" t="n">
        <v>-0.54257201</v>
      </c>
      <c r="P745" s="725" t="n">
        <v>-0.004763143844749827</v>
      </c>
      <c r="Q745" s="726" t="n">
        <v>-0.4765624999999954</v>
      </c>
      <c r="R745" s="727" t="n">
        <v>113.36790974</v>
      </c>
      <c r="S745" s="719" t="inlineStr">
        <is>
          <t>2H 40M 0S</t>
        </is>
      </c>
      <c r="T745" s="728" t="n"/>
      <c r="U745" s="729" t="n"/>
      <c r="V745" s="807" t="n">
        <v>252.42</v>
      </c>
      <c r="W745" s="725" t="n">
        <v>0.01741233373639659</v>
      </c>
      <c r="X745" s="722" t="n">
        <v>0.01313628899835802</v>
      </c>
      <c r="Y745" s="728" t="n"/>
      <c r="Z745" s="729" t="n"/>
      <c r="AA745" s="730" t="n"/>
      <c r="AB745" s="731" t="n"/>
      <c r="AC745" s="732" t="n"/>
      <c r="AD745" s="719" t="inlineStr">
        <is>
          <t>No</t>
        </is>
      </c>
      <c r="AE745" s="733" t="n"/>
      <c r="AF745" s="733" t="n"/>
      <c r="AG745" s="733" t="n"/>
      <c r="AH745" s="733" t="n"/>
      <c r="AI745" s="719" t="inlineStr">
        <is>
          <t>Limit</t>
        </is>
      </c>
      <c r="AJ745" s="733" t="n"/>
      <c r="AK745" s="733" t="n"/>
      <c r="AL745" s="733" t="n"/>
      <c r="AM745" s="733" t="n"/>
      <c r="AN745" s="733" t="n"/>
      <c r="AO745" s="733" t="n"/>
      <c r="AP745" s="719" t="inlineStr">
        <is>
          <t>Pullback</t>
        </is>
      </c>
      <c r="AQ745" s="719" t="inlineStr">
        <is>
          <t>1H</t>
        </is>
      </c>
      <c r="AR745" s="719" t="inlineStr">
        <is>
          <t>No</t>
        </is>
      </c>
      <c r="AS745" s="733" t="n"/>
      <c r="AT745" s="733" t="n"/>
      <c r="AU745" s="733" t="n"/>
      <c r="AV745" s="733" t="n"/>
      <c r="AW745" s="719" t="inlineStr">
        <is>
          <t>trade</t>
        </is>
      </c>
      <c r="AX745" s="734" t="inlineStr">
        <is>
          <t>sig:f8efaac2fe4043907acfe4b8</t>
        </is>
      </c>
    </row>
    <row r="746" ht="15" customHeight="1">
      <c r="A746" s="716" t="inlineStr">
        <is>
          <t>C34</t>
        </is>
      </c>
      <c r="B746" s="717" t="n">
        <v>43957.84791666667</v>
      </c>
      <c r="C746" s="718" t="n">
        <v>43957.92222222222</v>
      </c>
      <c r="D746" s="719" t="inlineStr">
        <is>
          <t>BINANCE</t>
        </is>
      </c>
      <c r="E746" s="719" t="inlineStr">
        <is>
          <t>CTSIUSDT</t>
        </is>
      </c>
      <c r="F746" s="719" t="inlineStr">
        <is>
          <t>BUY</t>
        </is>
      </c>
      <c r="G746" s="720" t="n">
        <v>587.1</v>
      </c>
      <c r="H746" s="735" t="n">
        <v>0.03752</v>
      </c>
      <c r="I746" s="735" t="n">
        <v>0.0365</v>
      </c>
      <c r="J746" s="736" t="n">
        <v>0.03593</v>
      </c>
      <c r="K746" s="722" t="n">
        <v>0.04237739872068234</v>
      </c>
      <c r="L746" s="736" t="n">
        <v>0.0407</v>
      </c>
      <c r="M746" s="722" t="n">
        <v>0.08475479744136467</v>
      </c>
      <c r="N746" s="723" t="n">
        <v>0.03274806</v>
      </c>
      <c r="O746" s="724" t="n">
        <v>-0.63159006</v>
      </c>
      <c r="P746" s="725" t="n">
        <v>-0.005514044315940683</v>
      </c>
      <c r="Q746" s="726" t="n">
        <v>-0.6415094339622638</v>
      </c>
      <c r="R746" s="727" t="n">
        <v>113.91048175</v>
      </c>
      <c r="S746" s="719" t="inlineStr">
        <is>
          <t>1H 47M 0S</t>
        </is>
      </c>
      <c r="T746" s="717" t="n"/>
      <c r="U746" s="806" t="n"/>
      <c r="V746" s="817" t="n">
        <v>0.03908</v>
      </c>
      <c r="W746" s="725" t="n">
        <v>0.04157782515991468</v>
      </c>
      <c r="X746" s="722" t="n">
        <v>0.03980343980343989</v>
      </c>
      <c r="Y746" s="728" t="n"/>
      <c r="Z746" s="729" t="n"/>
      <c r="AA746" s="730" t="n"/>
      <c r="AB746" s="731" t="n"/>
      <c r="AC746" s="732" t="n"/>
      <c r="AD746" s="719" t="inlineStr">
        <is>
          <t>No</t>
        </is>
      </c>
      <c r="AE746" s="733" t="n"/>
      <c r="AF746" s="733" t="n"/>
      <c r="AG746" s="733" t="n"/>
      <c r="AH746" s="733" t="n"/>
      <c r="AI746" s="719" t="inlineStr">
        <is>
          <t>Limit</t>
        </is>
      </c>
      <c r="AJ746" s="733" t="n"/>
      <c r="AK746" s="733" t="n"/>
      <c r="AL746" s="733" t="n"/>
      <c r="AM746" s="733" t="n"/>
      <c r="AN746" s="733" t="n"/>
      <c r="AO746" s="733" t="n"/>
      <c r="AP746" s="719" t="inlineStr">
        <is>
          <t>Pullback</t>
        </is>
      </c>
      <c r="AQ746" s="719" t="inlineStr">
        <is>
          <t>1H</t>
        </is>
      </c>
      <c r="AR746" s="719" t="inlineStr">
        <is>
          <t>No</t>
        </is>
      </c>
      <c r="AS746" s="733" t="n"/>
      <c r="AT746" s="733" t="n"/>
      <c r="AU746" s="733" t="n"/>
      <c r="AV746" s="733" t="n"/>
      <c r="AW746" s="719" t="inlineStr">
        <is>
          <t>trade</t>
        </is>
      </c>
      <c r="AX746" s="734" t="inlineStr">
        <is>
          <t>sig:63600a745237c06abdeb29a3</t>
        </is>
      </c>
    </row>
    <row r="747" ht="15" customHeight="1">
      <c r="A747" s="737" t="inlineStr">
        <is>
          <t>C33</t>
        </is>
      </c>
      <c r="B747" s="738" t="n">
        <v>43957.83194444444</v>
      </c>
      <c r="C747" s="739" t="n">
        <v>43957.90833333333</v>
      </c>
      <c r="D747" s="740" t="inlineStr">
        <is>
          <t>BINANCE</t>
        </is>
      </c>
      <c r="E747" s="740" t="inlineStr">
        <is>
          <t>CHZUSDT</t>
        </is>
      </c>
      <c r="F747" s="740" t="inlineStr">
        <is>
          <t>BUY</t>
        </is>
      </c>
      <c r="G747" s="742" t="n">
        <v>1949</v>
      </c>
      <c r="H747" s="775" t="n">
        <v>0.0102</v>
      </c>
      <c r="I747" s="775" t="n">
        <v>0.011205</v>
      </c>
      <c r="J747" s="801" t="n">
        <v>0.009729</v>
      </c>
      <c r="K747" s="744" t="n">
        <v>0.04617647058823538</v>
      </c>
      <c r="L747" s="797" t="n">
        <v>0.01121</v>
      </c>
      <c r="M747" s="744" t="n">
        <v>0.09901960784313713</v>
      </c>
      <c r="N747" s="802" t="n">
        <v>0.01498435</v>
      </c>
      <c r="O747" s="746" t="n">
        <v>1.94376065</v>
      </c>
      <c r="P747" s="747" t="n">
        <v>0.01726278689240689</v>
      </c>
      <c r="Q747" s="748" t="n">
        <v>2.133757961783433</v>
      </c>
      <c r="R747" s="749" t="n">
        <v>114.54207181</v>
      </c>
      <c r="S747" s="740" t="inlineStr">
        <is>
          <t>1H 50M 0S</t>
        </is>
      </c>
      <c r="T747" s="738" t="n">
        <v>43957.48888888889</v>
      </c>
      <c r="U747" s="809" t="inlineStr">
        <is>
          <t>1H 45M 32S</t>
        </is>
      </c>
      <c r="V747" s="821" t="n">
        <v>0.010737</v>
      </c>
      <c r="W747" s="747" t="n">
        <v>0.05264705882352934</v>
      </c>
      <c r="X747" s="744" t="n">
        <v>0.04176706827309234</v>
      </c>
      <c r="Y747" s="750" t="n"/>
      <c r="Z747" s="751" t="n"/>
      <c r="AA747" s="752" t="n"/>
      <c r="AB747" s="753" t="n"/>
      <c r="AC747" s="754" t="n"/>
      <c r="AD747" s="740" t="inlineStr">
        <is>
          <t>No</t>
        </is>
      </c>
      <c r="AE747" s="755" t="n"/>
      <c r="AF747" s="755" t="n"/>
      <c r="AG747" s="755" t="n"/>
      <c r="AH747" s="755" t="n"/>
      <c r="AI747" s="740" t="inlineStr">
        <is>
          <t>Limit</t>
        </is>
      </c>
      <c r="AJ747" s="755" t="n"/>
      <c r="AK747" s="755" t="n"/>
      <c r="AL747" s="755" t="n"/>
      <c r="AM747" s="755" t="n"/>
      <c r="AN747" s="755" t="n"/>
      <c r="AO747" s="755" t="n"/>
      <c r="AP747" s="740" t="inlineStr">
        <is>
          <t>Pullback</t>
        </is>
      </c>
      <c r="AQ747" s="740" t="inlineStr">
        <is>
          <t>1H</t>
        </is>
      </c>
      <c r="AR747" s="740" t="inlineStr">
        <is>
          <t>No</t>
        </is>
      </c>
      <c r="AS747" s="755" t="n"/>
      <c r="AT747" s="755" t="n"/>
      <c r="AU747" s="755" t="n"/>
      <c r="AV747" s="755" t="n"/>
      <c r="AW747" s="740" t="inlineStr">
        <is>
          <t>trade</t>
        </is>
      </c>
      <c r="AX747" s="756" t="inlineStr">
        <is>
          <t>sig:6012cbba0da10b9ba65b9e47</t>
        </is>
      </c>
    </row>
    <row r="748" ht="15" customHeight="1">
      <c r="A748" s="716" t="inlineStr">
        <is>
          <t>F739</t>
        </is>
      </c>
      <c r="B748" s="717" t="n">
        <v>43957.83958333333</v>
      </c>
      <c r="C748" s="718" t="n">
        <v>43957.84166666667</v>
      </c>
      <c r="D748" s="719" t="inlineStr">
        <is>
          <t>PEPPERSTONE DEMO</t>
        </is>
      </c>
      <c r="E748" s="719" t="inlineStr">
        <is>
          <t>EURJPY</t>
        </is>
      </c>
      <c r="F748" s="719" t="inlineStr">
        <is>
          <t>SELL</t>
        </is>
      </c>
      <c r="G748" s="735" t="n">
        <v>0.06</v>
      </c>
      <c r="H748" s="720" t="n">
        <v>114.69</v>
      </c>
      <c r="I748" s="720" t="n">
        <v>114.742</v>
      </c>
      <c r="J748" s="721" t="n">
        <v>114.74</v>
      </c>
      <c r="K748" s="760" t="n">
        <v>0.0004359577992850044</v>
      </c>
      <c r="L748" s="721" t="n">
        <v>114.59</v>
      </c>
      <c r="M748" s="760" t="n">
        <v>0.0008719155985700089</v>
      </c>
      <c r="N748" s="761" t="n"/>
      <c r="O748" s="762" t="n">
        <v>-3.77</v>
      </c>
      <c r="P748" s="725" t="n">
        <v>-0.007576366559485531</v>
      </c>
      <c r="Q748" s="726" t="n">
        <v>-1.040000000000193</v>
      </c>
      <c r="R748" s="764" t="n">
        <v>493.83</v>
      </c>
      <c r="S748" s="719" t="inlineStr">
        <is>
          <t>3M 0S</t>
        </is>
      </c>
      <c r="T748" s="728" t="n"/>
      <c r="U748" s="729" t="n"/>
      <c r="V748" s="807" t="n">
        <v>114.64</v>
      </c>
      <c r="W748" s="725" t="n">
        <v>0.04999999999999716</v>
      </c>
      <c r="X748" s="722" t="n">
        <v>-0.04999999999999716</v>
      </c>
      <c r="Y748" s="728" t="n"/>
      <c r="Z748" s="729" t="n"/>
      <c r="AA748" s="730" t="n"/>
      <c r="AB748" s="731" t="n"/>
      <c r="AC748" s="732" t="n"/>
      <c r="AD748" s="719" t="inlineStr">
        <is>
          <t>No</t>
        </is>
      </c>
      <c r="AE748" s="733" t="n"/>
      <c r="AF748" s="733" t="n"/>
      <c r="AG748" s="733" t="n"/>
      <c r="AH748" s="733" t="n"/>
      <c r="AI748" s="719" t="inlineStr">
        <is>
          <t>Limit</t>
        </is>
      </c>
      <c r="AJ748" s="733" t="n"/>
      <c r="AK748" s="733" t="n"/>
      <c r="AL748" s="733" t="n"/>
      <c r="AM748" s="733" t="n"/>
      <c r="AN748" s="733" t="n"/>
      <c r="AO748" s="733" t="n"/>
      <c r="AP748" s="719" t="inlineStr">
        <is>
          <t>Pullback</t>
        </is>
      </c>
      <c r="AQ748" s="719" t="inlineStr">
        <is>
          <t>1MIN</t>
        </is>
      </c>
      <c r="AR748" s="719" t="inlineStr">
        <is>
          <t>No</t>
        </is>
      </c>
      <c r="AS748" s="733" t="n"/>
      <c r="AT748" s="733" t="n"/>
      <c r="AU748" s="733" t="n"/>
      <c r="AV748" s="733" t="n"/>
      <c r="AW748" s="719" t="inlineStr">
        <is>
          <t>trade</t>
        </is>
      </c>
      <c r="AX748" s="734" t="inlineStr">
        <is>
          <t>sig:4e8298e00a3728470d3c903b</t>
        </is>
      </c>
    </row>
    <row r="749" ht="15" customHeight="1">
      <c r="A749" s="716" t="inlineStr">
        <is>
          <t>C31</t>
        </is>
      </c>
      <c r="B749" s="717" t="n">
        <v>43956.95555555556</v>
      </c>
      <c r="C749" s="718" t="n">
        <v>43957.66736111111</v>
      </c>
      <c r="D749" s="719" t="inlineStr">
        <is>
          <t>BINANCE</t>
        </is>
      </c>
      <c r="E749" s="719" t="inlineStr">
        <is>
          <t>ANKRUSDT</t>
        </is>
      </c>
      <c r="F749" s="719" t="inlineStr">
        <is>
          <t>BUY</t>
        </is>
      </c>
      <c r="G749" s="720" t="n">
        <v>7953</v>
      </c>
      <c r="H749" s="757" t="n">
        <v>0.001823</v>
      </c>
      <c r="I749" s="757" t="n">
        <v>0.0018</v>
      </c>
      <c r="J749" s="798" t="n">
        <v>0.001708</v>
      </c>
      <c r="K749" s="722" t="n">
        <v>0.06308283049917711</v>
      </c>
      <c r="L749" s="798" t="n">
        <v>0.00205</v>
      </c>
      <c r="M749" s="722" t="n">
        <v>0.1245200219418542</v>
      </c>
      <c r="N749" s="723" t="n">
        <v>0.02183777</v>
      </c>
      <c r="O749" s="724" t="n">
        <v>-0.20475677</v>
      </c>
      <c r="P749" s="725" t="n">
        <v>-0.001815170223269654</v>
      </c>
      <c r="Q749" s="726" t="n">
        <v>-0.2000000000000004</v>
      </c>
      <c r="R749" s="727" t="n">
        <v>112.59831116</v>
      </c>
      <c r="S749" s="719" t="inlineStr">
        <is>
          <t>17H 5M 0S</t>
        </is>
      </c>
      <c r="T749" s="728" t="n"/>
      <c r="U749" s="729" t="n"/>
      <c r="V749" s="822" t="n">
        <v>0.001939</v>
      </c>
      <c r="W749" s="725" t="n">
        <v>0.06363137685134394</v>
      </c>
      <c r="X749" s="722" t="n">
        <v>0.05598831548198631</v>
      </c>
      <c r="Y749" s="728" t="n"/>
      <c r="Z749" s="729" t="n"/>
      <c r="AA749" s="730" t="n"/>
      <c r="AB749" s="731" t="n"/>
      <c r="AC749" s="732" t="n"/>
      <c r="AD749" s="719" t="inlineStr">
        <is>
          <t>No</t>
        </is>
      </c>
      <c r="AE749" s="733" t="n"/>
      <c r="AF749" s="733" t="n"/>
      <c r="AG749" s="733" t="n"/>
      <c r="AH749" s="733" t="n"/>
      <c r="AI749" s="719" t="inlineStr">
        <is>
          <t>Limit</t>
        </is>
      </c>
      <c r="AJ749" s="733" t="n"/>
      <c r="AK749" s="733" t="n"/>
      <c r="AL749" s="733" t="n"/>
      <c r="AM749" s="733" t="n"/>
      <c r="AN749" s="733" t="n"/>
      <c r="AO749" s="733" t="n"/>
      <c r="AP749" s="719" t="inlineStr">
        <is>
          <t>Pullback</t>
        </is>
      </c>
      <c r="AQ749" s="719" t="inlineStr">
        <is>
          <t>1H</t>
        </is>
      </c>
      <c r="AR749" s="719" t="inlineStr">
        <is>
          <t>No</t>
        </is>
      </c>
      <c r="AS749" s="782" t="n"/>
      <c r="AT749" s="733" t="n"/>
      <c r="AU749" s="719" t="n"/>
      <c r="AV749" s="719" t="n"/>
      <c r="AW749" s="719" t="inlineStr">
        <is>
          <t>trade</t>
        </is>
      </c>
      <c r="AX749" s="734" t="inlineStr">
        <is>
          <t>sig:7864f4034aa90c3ca91a9859</t>
        </is>
      </c>
    </row>
    <row r="750" ht="15" customHeight="1">
      <c r="A750" s="737" t="inlineStr">
        <is>
          <t>C32</t>
        </is>
      </c>
      <c r="B750" s="738" t="n">
        <v>43957.10277777778</v>
      </c>
      <c r="C750" s="739" t="n">
        <v>43957.53055555555</v>
      </c>
      <c r="D750" s="740" t="inlineStr">
        <is>
          <t>BINANCE</t>
        </is>
      </c>
      <c r="E750" s="740" t="inlineStr">
        <is>
          <t>CHZUSDT</t>
        </is>
      </c>
      <c r="F750" s="740" t="inlineStr">
        <is>
          <t>BUY</t>
        </is>
      </c>
      <c r="G750" s="742" t="n">
        <v>2328</v>
      </c>
      <c r="H750" s="741" t="n">
        <v>0.009180000000000001</v>
      </c>
      <c r="I750" s="741" t="n">
        <v>0.009969</v>
      </c>
      <c r="J750" s="801" t="n">
        <v>0.008786</v>
      </c>
      <c r="K750" s="744" t="n">
        <v>0.04291938997821353</v>
      </c>
      <c r="L750" s="801" t="n">
        <v>0.00997</v>
      </c>
      <c r="M750" s="744" t="n">
        <v>0.08605664488017419</v>
      </c>
      <c r="N750" s="802" t="n">
        <v>0.03335954</v>
      </c>
      <c r="O750" s="746" t="n">
        <v>1.80343246</v>
      </c>
      <c r="P750" s="747" t="n">
        <v>0.01624719263593812</v>
      </c>
      <c r="Q750" s="748" t="n">
        <v>2.002538071065988</v>
      </c>
      <c r="R750" s="749" t="n">
        <v>112.80306793</v>
      </c>
      <c r="S750" s="740" t="inlineStr">
        <is>
          <t>10H 16M 0S</t>
        </is>
      </c>
      <c r="T750" s="750" t="n"/>
      <c r="U750" s="751" t="n"/>
      <c r="V750" s="823" t="n">
        <v>0.009571</v>
      </c>
      <c r="W750" s="747" t="n">
        <v>0.04259259259259248</v>
      </c>
      <c r="X750" s="744" t="n">
        <v>0.03992376366736892</v>
      </c>
      <c r="Y750" s="750" t="n"/>
      <c r="Z750" s="751" t="n"/>
      <c r="AA750" s="752" t="n"/>
      <c r="AB750" s="753" t="n"/>
      <c r="AC750" s="754" t="n"/>
      <c r="AD750" s="740" t="inlineStr">
        <is>
          <t>No</t>
        </is>
      </c>
      <c r="AE750" s="755" t="n"/>
      <c r="AF750" s="755" t="n"/>
      <c r="AG750" s="755" t="n"/>
      <c r="AH750" s="755" t="n"/>
      <c r="AI750" s="740" t="inlineStr">
        <is>
          <t>Limit</t>
        </is>
      </c>
      <c r="AJ750" s="755" t="n"/>
      <c r="AK750" s="755" t="n"/>
      <c r="AL750" s="755" t="n"/>
      <c r="AM750" s="755" t="n"/>
      <c r="AN750" s="755" t="n"/>
      <c r="AO750" s="755" t="n"/>
      <c r="AP750" s="740" t="inlineStr">
        <is>
          <t>Pullback</t>
        </is>
      </c>
      <c r="AQ750" s="740" t="inlineStr">
        <is>
          <t>1H</t>
        </is>
      </c>
      <c r="AR750" s="740" t="inlineStr">
        <is>
          <t>No</t>
        </is>
      </c>
      <c r="AS750" s="755" t="n"/>
      <c r="AT750" s="755" t="n"/>
      <c r="AU750" s="755" t="n"/>
      <c r="AV750" s="755" t="n"/>
      <c r="AW750" s="740" t="inlineStr">
        <is>
          <t>trade</t>
        </is>
      </c>
      <c r="AX750" s="756" t="inlineStr">
        <is>
          <t>sig:86d73030788bd139ee01a71a</t>
        </is>
      </c>
    </row>
    <row r="751" ht="15" customHeight="1">
      <c r="A751" s="716" t="inlineStr">
        <is>
          <t>C30</t>
        </is>
      </c>
      <c r="B751" s="717" t="n">
        <v>43956.73333333333</v>
      </c>
      <c r="C751" s="718" t="n">
        <v>43956.84166666667</v>
      </c>
      <c r="D751" s="719" t="inlineStr">
        <is>
          <t>BINANCE</t>
        </is>
      </c>
      <c r="E751" s="719" t="inlineStr">
        <is>
          <t>AIONUSDT</t>
        </is>
      </c>
      <c r="F751" s="719" t="inlineStr">
        <is>
          <t>BUY</t>
        </is>
      </c>
      <c r="G751" s="720" t="n">
        <v>257.48</v>
      </c>
      <c r="H751" s="735" t="n">
        <v>0.0921</v>
      </c>
      <c r="I751" s="735" t="n">
        <v>0.0885</v>
      </c>
      <c r="J751" s="736" t="n">
        <v>0.0885</v>
      </c>
      <c r="K751" s="722" t="n">
        <v>0.03908794788273622</v>
      </c>
      <c r="L751" s="736" t="n">
        <v>0.0993</v>
      </c>
      <c r="M751" s="722" t="n">
        <v>0.07817589576547229</v>
      </c>
      <c r="N751" s="723" t="n">
        <v>0.03492581</v>
      </c>
      <c r="O751" s="724" t="n">
        <v>-0.96185381</v>
      </c>
      <c r="P751" s="725" t="n">
        <v>-0.008590934402404549</v>
      </c>
      <c r="Q751" s="726" t="n">
        <v>-1</v>
      </c>
      <c r="R751" s="727" t="n">
        <v>110.99963547</v>
      </c>
      <c r="S751" s="719" t="inlineStr">
        <is>
          <t>2H 36M 0S</t>
        </is>
      </c>
      <c r="T751" s="728" t="n"/>
      <c r="U751" s="729" t="n"/>
      <c r="V751" s="817" t="n">
        <v>0.0955</v>
      </c>
      <c r="W751" s="725" t="n">
        <v>0.03691639522258415</v>
      </c>
      <c r="X751" s="722" t="n">
        <v>0.03826787512588115</v>
      </c>
      <c r="Y751" s="728" t="n"/>
      <c r="Z751" s="729" t="n"/>
      <c r="AA751" s="730" t="n"/>
      <c r="AB751" s="731" t="n"/>
      <c r="AC751" s="732" t="n"/>
      <c r="AD751" s="719" t="inlineStr">
        <is>
          <t>No</t>
        </is>
      </c>
      <c r="AE751" s="733" t="n"/>
      <c r="AF751" s="733" t="n"/>
      <c r="AG751" s="733" t="n"/>
      <c r="AH751" s="733" t="n"/>
      <c r="AI751" s="719" t="inlineStr">
        <is>
          <t>Limit</t>
        </is>
      </c>
      <c r="AJ751" s="733" t="n"/>
      <c r="AK751" s="733" t="n"/>
      <c r="AL751" s="733" t="n"/>
      <c r="AM751" s="733" t="n"/>
      <c r="AN751" s="733" t="n"/>
      <c r="AO751" s="733" t="n"/>
      <c r="AP751" s="719" t="inlineStr">
        <is>
          <t>Pullback</t>
        </is>
      </c>
      <c r="AQ751" s="719" t="inlineStr">
        <is>
          <t>1H</t>
        </is>
      </c>
      <c r="AR751" s="719" t="inlineStr">
        <is>
          <t>No</t>
        </is>
      </c>
      <c r="AS751" s="733" t="n"/>
      <c r="AT751" s="733" t="n"/>
      <c r="AU751" s="733" t="n"/>
      <c r="AV751" s="733" t="n"/>
      <c r="AW751" s="719" t="inlineStr">
        <is>
          <t>trade</t>
        </is>
      </c>
      <c r="AX751" s="734" t="inlineStr">
        <is>
          <t>sig:9ca5df0ea46d986356c1f14b</t>
        </is>
      </c>
    </row>
    <row r="752" ht="15" customHeight="1">
      <c r="A752" s="716" t="inlineStr">
        <is>
          <t>C29</t>
        </is>
      </c>
      <c r="B752" s="717" t="n">
        <v>43956.48333333333</v>
      </c>
      <c r="C752" s="718" t="n">
        <v>43956.66805555556</v>
      </c>
      <c r="D752" s="719" t="inlineStr">
        <is>
          <t>BINANCE</t>
        </is>
      </c>
      <c r="E752" s="719" t="inlineStr">
        <is>
          <t>HBARUSDT</t>
        </is>
      </c>
      <c r="F752" s="719" t="inlineStr">
        <is>
          <t>BUY</t>
        </is>
      </c>
      <c r="G752" s="720" t="n">
        <v>632</v>
      </c>
      <c r="H752" s="735" t="n">
        <v>0.04125</v>
      </c>
      <c r="I752" s="735" t="n">
        <v>0.04115</v>
      </c>
      <c r="J752" s="736" t="n">
        <v>0.03978</v>
      </c>
      <c r="K752" s="722" t="n">
        <v>0.03563636363636361</v>
      </c>
      <c r="L752" s="736" t="n">
        <v>0.04419</v>
      </c>
      <c r="M752" s="722" t="n">
        <v>0.07127272727272722</v>
      </c>
      <c r="N752" s="723" t="n">
        <v>0.03907086</v>
      </c>
      <c r="O752" s="724" t="n">
        <v>-0.10510286</v>
      </c>
      <c r="P752" s="763" t="n">
        <v>-0.0009378607664690963</v>
      </c>
      <c r="Q752" s="781" t="n">
        <v>-0.06802721088435573</v>
      </c>
      <c r="R752" s="727" t="n">
        <v>111.96148928</v>
      </c>
      <c r="S752" s="719" t="inlineStr">
        <is>
          <t>4H 26M 0S</t>
        </is>
      </c>
      <c r="T752" s="728" t="n"/>
      <c r="U752" s="729" t="n"/>
      <c r="V752" s="817" t="n">
        <v>0.04292</v>
      </c>
      <c r="W752" s="725" t="n">
        <v>0.04048484848484843</v>
      </c>
      <c r="X752" s="722" t="n">
        <v>0.02873953383118353</v>
      </c>
      <c r="Y752" s="728" t="n"/>
      <c r="Z752" s="729" t="n"/>
      <c r="AA752" s="730" t="n"/>
      <c r="AB752" s="731" t="n"/>
      <c r="AC752" s="732" t="n"/>
      <c r="AD752" s="719" t="inlineStr">
        <is>
          <t>No</t>
        </is>
      </c>
      <c r="AE752" s="733" t="n"/>
      <c r="AF752" s="733" t="n"/>
      <c r="AG752" s="733" t="n"/>
      <c r="AH752" s="733" t="n"/>
      <c r="AI752" s="719" t="inlineStr">
        <is>
          <t>Limit</t>
        </is>
      </c>
      <c r="AJ752" s="733" t="n"/>
      <c r="AK752" s="733" t="n"/>
      <c r="AL752" s="733" t="n"/>
      <c r="AM752" s="733" t="n"/>
      <c r="AN752" s="733" t="n"/>
      <c r="AO752" s="733" t="n"/>
      <c r="AP752" s="719" t="inlineStr">
        <is>
          <t>Pullback</t>
        </is>
      </c>
      <c r="AQ752" s="719" t="inlineStr">
        <is>
          <t>1H</t>
        </is>
      </c>
      <c r="AR752" s="719" t="inlineStr">
        <is>
          <t>No</t>
        </is>
      </c>
      <c r="AS752" s="782" t="n"/>
      <c r="AT752" s="733" t="n"/>
      <c r="AU752" s="719" t="n"/>
      <c r="AV752" s="719" t="n"/>
      <c r="AW752" s="719" t="inlineStr">
        <is>
          <t>trade</t>
        </is>
      </c>
      <c r="AX752" s="734" t="inlineStr">
        <is>
          <t>sig:78ed923fb7a6d31aaf637dec</t>
        </is>
      </c>
    </row>
    <row r="753" ht="15" customHeight="1">
      <c r="A753" s="716" t="inlineStr">
        <is>
          <t>F738</t>
        </is>
      </c>
      <c r="B753" s="717" t="n">
        <v>43956.61041666667</v>
      </c>
      <c r="C753" s="718" t="n">
        <v>43956.62222222222</v>
      </c>
      <c r="D753" s="719" t="inlineStr">
        <is>
          <t>PEPPERSTONE DEMO</t>
        </is>
      </c>
      <c r="E753" s="719" t="inlineStr">
        <is>
          <t>AUDUSD</t>
        </is>
      </c>
      <c r="F753" s="719" t="inlineStr">
        <is>
          <t>SELL</t>
        </is>
      </c>
      <c r="G753" s="735" t="n">
        <v>0.05</v>
      </c>
      <c r="H753" s="720" t="n">
        <v>0.6443</v>
      </c>
      <c r="I753" s="720" t="n">
        <v>0.64468</v>
      </c>
      <c r="J753" s="721" t="n">
        <v>0.6449</v>
      </c>
      <c r="K753" s="760" t="n">
        <v>0.0009312432096849992</v>
      </c>
      <c r="L753" s="721" t="n">
        <v>0.6431</v>
      </c>
      <c r="M753" s="722" t="n">
        <v>0.001862486419369826</v>
      </c>
      <c r="N753" s="788" t="n"/>
      <c r="O753" s="762" t="n">
        <v>-2.4</v>
      </c>
      <c r="P753" s="725" t="n">
        <v>-0.0048</v>
      </c>
      <c r="Q753" s="726" t="n">
        <v>-0.6333333333333642</v>
      </c>
      <c r="R753" s="764" t="n">
        <v>497.6</v>
      </c>
      <c r="S753" s="719" t="inlineStr">
        <is>
          <t>17M 0S</t>
        </is>
      </c>
      <c r="T753" s="728" t="n"/>
      <c r="U753" s="729" t="n"/>
      <c r="V753" s="807" t="n">
        <v>0.64375</v>
      </c>
      <c r="W753" s="763" t="n">
        <v>0.0005499999999999394</v>
      </c>
      <c r="X753" s="760" t="n">
        <v>-0.0006500000000000394</v>
      </c>
      <c r="Y753" s="728" t="n"/>
      <c r="Z753" s="729" t="n"/>
      <c r="AA753" s="730" t="n"/>
      <c r="AB753" s="731" t="n"/>
      <c r="AC753" s="732" t="n"/>
      <c r="AD753" s="719" t="inlineStr">
        <is>
          <t>No</t>
        </is>
      </c>
      <c r="AE753" s="733" t="n"/>
      <c r="AF753" s="733" t="n"/>
      <c r="AG753" s="733" t="n"/>
      <c r="AH753" s="733" t="n"/>
      <c r="AI753" s="719" t="inlineStr">
        <is>
          <t>Limit</t>
        </is>
      </c>
      <c r="AJ753" s="733" t="n"/>
      <c r="AK753" s="733" t="n"/>
      <c r="AL753" s="733" t="n"/>
      <c r="AM753" s="733" t="n"/>
      <c r="AN753" s="733" t="n"/>
      <c r="AO753" s="733" t="n"/>
      <c r="AP753" s="719" t="inlineStr">
        <is>
          <t>Pullback</t>
        </is>
      </c>
      <c r="AQ753" s="719" t="inlineStr">
        <is>
          <t>1MIN</t>
        </is>
      </c>
      <c r="AR753" s="719" t="inlineStr">
        <is>
          <t>No</t>
        </is>
      </c>
      <c r="AS753" s="733" t="n"/>
      <c r="AT753" s="733" t="n"/>
      <c r="AU753" s="733" t="n"/>
      <c r="AV753" s="733" t="n"/>
      <c r="AW753" s="719" t="inlineStr">
        <is>
          <t>trade</t>
        </is>
      </c>
      <c r="AX753" s="734" t="inlineStr">
        <is>
          <t>sig:6e437fdd0fed0cfbe17374b6</t>
        </is>
      </c>
    </row>
    <row r="754" ht="15" customHeight="1">
      <c r="A754" s="737" t="inlineStr">
        <is>
          <t>C28</t>
        </is>
      </c>
      <c r="B754" s="738" t="n">
        <v>43955.63541666666</v>
      </c>
      <c r="C754" s="739" t="n">
        <v>43956.08333333334</v>
      </c>
      <c r="D754" s="740" t="inlineStr">
        <is>
          <t>BINANCE</t>
        </is>
      </c>
      <c r="E754" s="740" t="inlineStr">
        <is>
          <t>HIVEUSDT</t>
        </is>
      </c>
      <c r="F754" s="740" t="inlineStr">
        <is>
          <t>BUY</t>
        </is>
      </c>
      <c r="G754" s="742" t="n">
        <v>30.52</v>
      </c>
      <c r="H754" s="742" t="n">
        <v>0.3792</v>
      </c>
      <c r="I754" s="742" t="n">
        <v>0.4394</v>
      </c>
      <c r="J754" s="743" t="n">
        <v>0.3499</v>
      </c>
      <c r="K754" s="744" t="n">
        <v>0.07726793248945146</v>
      </c>
      <c r="L754" s="743" t="n">
        <v>0.4394</v>
      </c>
      <c r="M754" s="744" t="n">
        <v>0.1587552742616035</v>
      </c>
      <c r="N754" s="802" t="n">
        <v>0.01879657</v>
      </c>
      <c r="O754" s="746" t="n">
        <v>1.81850743</v>
      </c>
      <c r="P754" s="747" t="n">
        <v>0.01649468500775736</v>
      </c>
      <c r="Q754" s="748" t="n">
        <v>2.054607508532425</v>
      </c>
      <c r="R754" s="749" t="n">
        <v>112.06659214</v>
      </c>
      <c r="S754" s="740" t="inlineStr">
        <is>
          <t>10H 45M 0S</t>
        </is>
      </c>
      <c r="T754" s="738" t="n">
        <v>43955.64513888889</v>
      </c>
      <c r="U754" s="809" t="inlineStr">
        <is>
          <t>10H 13M 25S</t>
        </is>
      </c>
      <c r="V754" s="810" t="n">
        <v>0.408</v>
      </c>
      <c r="W754" s="747" t="n">
        <v>0.07594936708860758</v>
      </c>
      <c r="X754" s="744" t="n">
        <v>0.07146108329540291</v>
      </c>
      <c r="Y754" s="750" t="n"/>
      <c r="Z754" s="751" t="n"/>
      <c r="AA754" s="752" t="n"/>
      <c r="AB754" s="753" t="n"/>
      <c r="AC754" s="754" t="n"/>
      <c r="AD754" s="740" t="inlineStr">
        <is>
          <t>No</t>
        </is>
      </c>
      <c r="AE754" s="755" t="n"/>
      <c r="AF754" s="755" t="n"/>
      <c r="AG754" s="755" t="n"/>
      <c r="AH754" s="755" t="n"/>
      <c r="AI754" s="740" t="inlineStr">
        <is>
          <t>Limit</t>
        </is>
      </c>
      <c r="AJ754" s="755" t="n"/>
      <c r="AK754" s="755" t="n"/>
      <c r="AL754" s="755" t="n"/>
      <c r="AM754" s="755" t="n"/>
      <c r="AN754" s="755" t="n"/>
      <c r="AO754" s="755" t="n"/>
      <c r="AP754" s="740" t="inlineStr">
        <is>
          <t>Pullback</t>
        </is>
      </c>
      <c r="AQ754" s="740" t="inlineStr">
        <is>
          <t>1H</t>
        </is>
      </c>
      <c r="AR754" s="740" t="inlineStr">
        <is>
          <t>No</t>
        </is>
      </c>
      <c r="AS754" s="755" t="n"/>
      <c r="AT754" s="755" t="n"/>
      <c r="AU754" s="755" t="n"/>
      <c r="AV754" s="755" t="n"/>
      <c r="AW754" s="740" t="inlineStr">
        <is>
          <t>trade</t>
        </is>
      </c>
      <c r="AX754" s="756" t="inlineStr">
        <is>
          <t>sig:39f6ef0a1601cbebefeaec12</t>
        </is>
      </c>
    </row>
    <row r="755" ht="15" customHeight="1">
      <c r="A755" s="716" t="inlineStr">
        <is>
          <t>C27</t>
        </is>
      </c>
      <c r="B755" s="717" t="n">
        <v>43955.13611111111</v>
      </c>
      <c r="C755" s="718" t="n">
        <v>43955.45416666667</v>
      </c>
      <c r="D755" s="719" t="inlineStr">
        <is>
          <t>BINANCE</t>
        </is>
      </c>
      <c r="E755" s="719" t="inlineStr">
        <is>
          <t>MATICUSDT</t>
        </is>
      </c>
      <c r="F755" s="719" t="inlineStr">
        <is>
          <t>BUY</t>
        </is>
      </c>
      <c r="G755" s="720" t="n">
        <v>2783.3</v>
      </c>
      <c r="H755" s="735" t="n">
        <v>0.01707</v>
      </c>
      <c r="I755" s="735" t="n">
        <v>0.01677</v>
      </c>
      <c r="J755" s="736" t="n">
        <v>0.01675</v>
      </c>
      <c r="K755" s="722" t="n">
        <v>0.01874633860574091</v>
      </c>
      <c r="L755" s="736" t="n">
        <v>0.01774</v>
      </c>
      <c r="M755" s="722" t="n">
        <v>0.03925014645577039</v>
      </c>
      <c r="N755" s="723" t="n">
        <v>0.07072587</v>
      </c>
      <c r="O755" s="724" t="n">
        <v>-0.90571587</v>
      </c>
      <c r="P755" s="725" t="n">
        <v>-0.008148312205916297</v>
      </c>
      <c r="Q755" s="726" t="n">
        <v>-0.937500000000002</v>
      </c>
      <c r="R755" s="727" t="n">
        <v>110.24808471</v>
      </c>
      <c r="S755" s="719" t="inlineStr">
        <is>
          <t>7H 38M 0S</t>
        </is>
      </c>
      <c r="T755" s="728" t="n"/>
      <c r="U755" s="729" t="n"/>
      <c r="V755" s="817" t="n">
        <v>0.01745</v>
      </c>
      <c r="W755" s="725" t="n">
        <v>0.02226127709431763</v>
      </c>
      <c r="X755" s="722" t="n">
        <v>0.01634723788049598</v>
      </c>
      <c r="Y755" s="728" t="n"/>
      <c r="Z755" s="729" t="n"/>
      <c r="AA755" s="730" t="n"/>
      <c r="AB755" s="731" t="n"/>
      <c r="AC755" s="732" t="n"/>
      <c r="AD755" s="719" t="inlineStr">
        <is>
          <t>No</t>
        </is>
      </c>
      <c r="AE755" s="733" t="n"/>
      <c r="AF755" s="733" t="n"/>
      <c r="AG755" s="733" t="n"/>
      <c r="AH755" s="733" t="n"/>
      <c r="AI755" s="719" t="inlineStr">
        <is>
          <t>Limit</t>
        </is>
      </c>
      <c r="AJ755" s="733" t="n"/>
      <c r="AK755" s="733" t="n"/>
      <c r="AL755" s="733" t="n"/>
      <c r="AM755" s="733" t="n"/>
      <c r="AN755" s="733" t="n"/>
      <c r="AO755" s="733" t="n"/>
      <c r="AP755" s="719" t="inlineStr">
        <is>
          <t>Pullback</t>
        </is>
      </c>
      <c r="AQ755" s="719" t="inlineStr">
        <is>
          <t>1H</t>
        </is>
      </c>
      <c r="AR755" s="719" t="inlineStr">
        <is>
          <t>No</t>
        </is>
      </c>
      <c r="AS755" s="733" t="n"/>
      <c r="AT755" s="733" t="n"/>
      <c r="AU755" s="733" t="n"/>
      <c r="AV755" s="733" t="n"/>
      <c r="AW755" s="719" t="inlineStr">
        <is>
          <t>trade</t>
        </is>
      </c>
      <c r="AX755" s="734" t="inlineStr">
        <is>
          <t>sig:ad32cec38c7e2b5c88df3c32</t>
        </is>
      </c>
    </row>
    <row r="756" ht="15" customHeight="1">
      <c r="A756" s="716" t="inlineStr">
        <is>
          <t>C26</t>
        </is>
      </c>
      <c r="B756" s="717" t="n">
        <v>43955.03819444445</v>
      </c>
      <c r="C756" s="718" t="n">
        <v>43955.08055555556</v>
      </c>
      <c r="D756" s="719" t="inlineStr">
        <is>
          <t>BINANCE</t>
        </is>
      </c>
      <c r="E756" s="719" t="inlineStr">
        <is>
          <t>MATICUSDT</t>
        </is>
      </c>
      <c r="F756" s="719" t="inlineStr">
        <is>
          <t>BUY</t>
        </is>
      </c>
      <c r="G756" s="720" t="n">
        <v>2809.4</v>
      </c>
      <c r="H756" s="735" t="n">
        <v>0.01725</v>
      </c>
      <c r="I756" s="735" t="n">
        <v>0.01691</v>
      </c>
      <c r="J756" s="736" t="n">
        <v>0.01692</v>
      </c>
      <c r="K756" s="722" t="n">
        <v>0.01913043478260872</v>
      </c>
      <c r="L756" s="736" t="n">
        <v>0.01791</v>
      </c>
      <c r="M756" s="722" t="n">
        <v>0.03826086956521724</v>
      </c>
      <c r="N756" s="723" t="n">
        <v>0.07216535</v>
      </c>
      <c r="O756" s="724" t="n">
        <v>-1.02736135</v>
      </c>
      <c r="P756" s="725" t="n">
        <v>-0.009158055883224528</v>
      </c>
      <c r="Q756" s="726" t="n">
        <v>-1.030303030303029</v>
      </c>
      <c r="R756" s="727" t="n">
        <v>111.15380058</v>
      </c>
      <c r="S756" s="719" t="inlineStr">
        <is>
          <t>1H 1M 0S</t>
        </is>
      </c>
      <c r="T756" s="728" t="n"/>
      <c r="U756" s="729" t="n"/>
      <c r="V756" s="817" t="n">
        <v>0.01758</v>
      </c>
      <c r="W756" s="725" t="n">
        <v>0.01913043478260852</v>
      </c>
      <c r="X756" s="722" t="n">
        <v>0.01842546063651594</v>
      </c>
      <c r="Y756" s="728" t="n"/>
      <c r="Z756" s="729" t="n"/>
      <c r="AA756" s="730" t="n"/>
      <c r="AB756" s="731" t="n"/>
      <c r="AC756" s="732" t="n"/>
      <c r="AD756" s="719" t="inlineStr">
        <is>
          <t>No</t>
        </is>
      </c>
      <c r="AE756" s="733" t="n"/>
      <c r="AF756" s="733" t="n"/>
      <c r="AG756" s="733" t="n"/>
      <c r="AH756" s="733" t="n"/>
      <c r="AI756" s="719" t="inlineStr">
        <is>
          <t>Limit</t>
        </is>
      </c>
      <c r="AJ756" s="733" t="n"/>
      <c r="AK756" s="733" t="n"/>
      <c r="AL756" s="733" t="n"/>
      <c r="AM756" s="733" t="n"/>
      <c r="AN756" s="733" t="n"/>
      <c r="AO756" s="733" t="n"/>
      <c r="AP756" s="719" t="inlineStr">
        <is>
          <t>Pullback</t>
        </is>
      </c>
      <c r="AQ756" s="719" t="inlineStr">
        <is>
          <t>1H</t>
        </is>
      </c>
      <c r="AR756" s="719" t="inlineStr">
        <is>
          <t>No</t>
        </is>
      </c>
      <c r="AS756" s="733" t="n"/>
      <c r="AT756" s="733" t="n"/>
      <c r="AU756" s="733" t="n"/>
      <c r="AV756" s="733" t="n"/>
      <c r="AW756" s="719" t="inlineStr">
        <is>
          <t>trade</t>
        </is>
      </c>
      <c r="AX756" s="734" t="inlineStr">
        <is>
          <t>sig:12564c3b2ec56260f4e81064</t>
        </is>
      </c>
    </row>
    <row r="757" ht="15" customHeight="1">
      <c r="A757" s="42" t="n"/>
      <c r="B757" s="770" t="n">
        <v>43955</v>
      </c>
      <c r="C757" s="771" t="n">
        <v>43955</v>
      </c>
      <c r="D757" s="12" t="inlineStr">
        <is>
          <t>PEPPERSTONE DEMO</t>
        </is>
      </c>
      <c r="E757" s="12" t="inlineStr">
        <is>
          <t>CASHFLOW</t>
        </is>
      </c>
      <c r="F757" s="12" t="inlineStr">
        <is>
          <t>DEPOSIT</t>
        </is>
      </c>
      <c r="G757" s="262" t="n"/>
      <c r="H757" s="262" t="n"/>
      <c r="I757" s="262" t="n"/>
      <c r="J757" s="263" t="n"/>
      <c r="K757" s="36" t="n"/>
      <c r="L757" s="263" t="n"/>
      <c r="M757" s="36" t="n"/>
      <c r="N757" s="772" t="n"/>
      <c r="O757" s="773" t="n"/>
      <c r="P757" s="3" t="n"/>
      <c r="Q757" s="51" t="n"/>
      <c r="R757" s="54" t="n">
        <v>500</v>
      </c>
      <c r="S757" s="12" t="n"/>
      <c r="T757" s="774" t="n"/>
      <c r="U757" s="6" t="n"/>
      <c r="V757" s="269" t="n"/>
      <c r="W757" s="3" t="n"/>
      <c r="X757" s="36" t="n"/>
      <c r="Y757" s="774" t="n"/>
      <c r="Z757" s="6" t="n"/>
      <c r="AA757" s="264" t="n"/>
      <c r="AB757" s="9" t="n"/>
      <c r="AC757" s="46" t="n"/>
      <c r="AD757" s="12" t="inlineStr">
        <is>
          <t>No</t>
        </is>
      </c>
      <c r="AE757" s="45" t="n"/>
      <c r="AF757" s="45" t="n"/>
      <c r="AG757" s="45" t="n"/>
      <c r="AH757" s="45" t="n"/>
      <c r="AI757" s="12" t="n"/>
      <c r="AJ757" s="45" t="n"/>
      <c r="AK757" s="45" t="n"/>
      <c r="AL757" s="45" t="n"/>
      <c r="AM757" s="45" t="n"/>
      <c r="AN757" s="45" t="n"/>
      <c r="AO757" s="45" t="n"/>
      <c r="AP757" s="12" t="n"/>
      <c r="AQ757" s="12" t="n"/>
      <c r="AR757" s="12" t="n"/>
      <c r="AS757" s="56" t="inlineStr">
        <is>
          <t>Deposit 500.0 AUD. Source: user_txt. Imported from account_cashflows.xlsx row 54.</t>
        </is>
      </c>
      <c r="AT757" s="45" t="n"/>
      <c r="AU757" s="12" t="n">
        <v>500</v>
      </c>
      <c r="AV757" s="12" t="inlineStr">
        <is>
          <t>AUD</t>
        </is>
      </c>
      <c r="AW757" s="12" t="inlineStr">
        <is>
          <t>cashflow</t>
        </is>
      </c>
      <c r="AX757" s="57" t="inlineStr">
        <is>
          <t>cashflow:PEPPERSTONE DEMO:2020-05-04T00:00:00:40</t>
        </is>
      </c>
    </row>
    <row r="758" ht="15" customHeight="1">
      <c r="A758" s="716" t="inlineStr">
        <is>
          <t>C25</t>
        </is>
      </c>
      <c r="B758" s="717" t="n">
        <v>43954.94930555556</v>
      </c>
      <c r="C758" s="718" t="n">
        <v>43954.99305555555</v>
      </c>
      <c r="D758" s="719" t="inlineStr">
        <is>
          <t>BINANCE</t>
        </is>
      </c>
      <c r="E758" s="719" t="inlineStr">
        <is>
          <t>KEYUSDT</t>
        </is>
      </c>
      <c r="F758" s="719" t="inlineStr">
        <is>
          <t>BUY</t>
        </is>
      </c>
      <c r="G758" s="720" t="n">
        <v>10616</v>
      </c>
      <c r="H758" s="757" t="n">
        <v>0.0012</v>
      </c>
      <c r="I758" s="757" t="n">
        <v>0.001126</v>
      </c>
      <c r="J758" s="798" t="n">
        <v>0.001114</v>
      </c>
      <c r="K758" s="722" t="n">
        <v>0.07166666666666661</v>
      </c>
      <c r="L758" s="798" t="n">
        <v>0.00138</v>
      </c>
      <c r="M758" s="722" t="n">
        <v>0.15</v>
      </c>
      <c r="N758" s="723" t="n">
        <v>0.01867901</v>
      </c>
      <c r="O758" s="724" t="n">
        <v>-0.80426301</v>
      </c>
      <c r="P758" s="725" t="n">
        <v>-0.007118289907101711</v>
      </c>
      <c r="Q758" s="726" t="n">
        <v>-0.8604651162790687</v>
      </c>
      <c r="R758" s="727" t="n">
        <v>112.18116193</v>
      </c>
      <c r="S758" s="719" t="inlineStr">
        <is>
          <t>1H 3M 0S</t>
        </is>
      </c>
      <c r="T758" s="728" t="n"/>
      <c r="U758" s="729" t="n"/>
      <c r="V758" s="822" t="n">
        <v>0.001295</v>
      </c>
      <c r="W758" s="725" t="n">
        <v>0.0791666666666667</v>
      </c>
      <c r="X758" s="722" t="n">
        <v>0.06023222060957922</v>
      </c>
      <c r="Y758" s="728" t="n"/>
      <c r="Z758" s="729" t="n"/>
      <c r="AA758" s="730" t="n"/>
      <c r="AB758" s="731" t="n"/>
      <c r="AC758" s="732" t="n"/>
      <c r="AD758" s="719" t="inlineStr">
        <is>
          <t>No</t>
        </is>
      </c>
      <c r="AE758" s="733" t="n"/>
      <c r="AF758" s="733" t="n"/>
      <c r="AG758" s="733" t="n"/>
      <c r="AH758" s="733" t="n"/>
      <c r="AI758" s="719" t="inlineStr">
        <is>
          <t>Limit</t>
        </is>
      </c>
      <c r="AJ758" s="733" t="n"/>
      <c r="AK758" s="733" t="n"/>
      <c r="AL758" s="733" t="n"/>
      <c r="AM758" s="733" t="n"/>
      <c r="AN758" s="733" t="n"/>
      <c r="AO758" s="733" t="n"/>
      <c r="AP758" s="719" t="inlineStr">
        <is>
          <t>Pullback</t>
        </is>
      </c>
      <c r="AQ758" s="719" t="inlineStr">
        <is>
          <t>1H</t>
        </is>
      </c>
      <c r="AR758" s="719" t="inlineStr">
        <is>
          <t>No</t>
        </is>
      </c>
      <c r="AS758" s="733" t="n"/>
      <c r="AT758" s="733" t="n"/>
      <c r="AU758" s="733" t="n"/>
      <c r="AV758" s="733" t="n"/>
      <c r="AW758" s="719" t="inlineStr">
        <is>
          <t>trade</t>
        </is>
      </c>
      <c r="AX758" s="734" t="inlineStr">
        <is>
          <t>sig:1200ad74851f07fd6da6dfda</t>
        </is>
      </c>
    </row>
    <row r="759" ht="15" customHeight="1">
      <c r="A759" s="716" t="inlineStr">
        <is>
          <t>C24</t>
        </is>
      </c>
      <c r="B759" s="717" t="n">
        <v>43954.17430555556</v>
      </c>
      <c r="C759" s="718" t="n">
        <v>43954.55972222222</v>
      </c>
      <c r="D759" s="719" t="inlineStr">
        <is>
          <t>BINANCE</t>
        </is>
      </c>
      <c r="E759" s="719" t="inlineStr">
        <is>
          <t>KEYUSDT</t>
        </is>
      </c>
      <c r="F759" s="719" t="inlineStr">
        <is>
          <t>BUY</t>
        </is>
      </c>
      <c r="G759" s="720" t="n">
        <v>9106</v>
      </c>
      <c r="H759" s="757" t="n">
        <v>0.001208</v>
      </c>
      <c r="I759" s="757" t="n">
        <v>0.001126</v>
      </c>
      <c r="J759" s="798" t="n">
        <v>0.001105</v>
      </c>
      <c r="K759" s="722" t="n">
        <v>0.08526490066225166</v>
      </c>
      <c r="L759" s="798" t="n">
        <v>0.00141</v>
      </c>
      <c r="M759" s="722" t="n">
        <v>0.1672185430463575</v>
      </c>
      <c r="N759" s="723" t="n">
        <v>0.02124215</v>
      </c>
      <c r="O759" s="724" t="n">
        <v>-0.76793415</v>
      </c>
      <c r="P759" s="725" t="n">
        <v>-0.00675087009423978</v>
      </c>
      <c r="Q759" s="726" t="n">
        <v>-0.7961165048543692</v>
      </c>
      <c r="R759" s="727" t="n">
        <v>112.98542494</v>
      </c>
      <c r="S759" s="719" t="inlineStr">
        <is>
          <t>9H 15M 0S</t>
        </is>
      </c>
      <c r="T759" s="728" t="n"/>
      <c r="U759" s="729" t="n"/>
      <c r="V759" s="822" t="n">
        <v>0.001312</v>
      </c>
      <c r="W759" s="725" t="n">
        <v>0.08609271523178801</v>
      </c>
      <c r="X759" s="722" t="n">
        <v>0.07213578500707206</v>
      </c>
      <c r="Y759" s="728" t="n"/>
      <c r="Z759" s="729" t="n"/>
      <c r="AA759" s="730" t="n"/>
      <c r="AB759" s="731" t="n"/>
      <c r="AC759" s="732" t="n"/>
      <c r="AD759" s="719" t="inlineStr">
        <is>
          <t>No</t>
        </is>
      </c>
      <c r="AE759" s="733" t="n"/>
      <c r="AF759" s="733" t="n"/>
      <c r="AG759" s="733" t="n"/>
      <c r="AH759" s="733" t="n"/>
      <c r="AI759" s="719" t="inlineStr">
        <is>
          <t>Limit</t>
        </is>
      </c>
      <c r="AJ759" s="733" t="n"/>
      <c r="AK759" s="733" t="n"/>
      <c r="AL759" s="733" t="n"/>
      <c r="AM759" s="733" t="n"/>
      <c r="AN759" s="733" t="n"/>
      <c r="AO759" s="733" t="n"/>
      <c r="AP759" s="719" t="inlineStr">
        <is>
          <t>Pullback</t>
        </is>
      </c>
      <c r="AQ759" s="719" t="inlineStr">
        <is>
          <t>1H</t>
        </is>
      </c>
      <c r="AR759" s="719" t="inlineStr">
        <is>
          <t>No</t>
        </is>
      </c>
      <c r="AS759" s="733" t="n"/>
      <c r="AT759" s="733" t="n"/>
      <c r="AU759" s="733" t="n"/>
      <c r="AV759" s="733" t="n"/>
      <c r="AW759" s="719" t="inlineStr">
        <is>
          <t>trade</t>
        </is>
      </c>
      <c r="AX759" s="734" t="inlineStr">
        <is>
          <t>sig:26d83b0ddbc88e0f98b41c9f</t>
        </is>
      </c>
    </row>
    <row r="760" ht="15" customHeight="1">
      <c r="A760" s="42" t="n"/>
      <c r="B760" s="770" t="n">
        <v>43953</v>
      </c>
      <c r="C760" s="771" t="n">
        <v>43953</v>
      </c>
      <c r="D760" s="12" t="inlineStr">
        <is>
          <t>PEPPERSTONE DEMO</t>
        </is>
      </c>
      <c r="E760" s="12" t="inlineStr">
        <is>
          <t>CASHFLOW</t>
        </is>
      </c>
      <c r="F760" s="12" t="inlineStr">
        <is>
          <t>WITHDRAWAL</t>
        </is>
      </c>
      <c r="G760" s="262" t="n"/>
      <c r="H760" s="262" t="n"/>
      <c r="I760" s="262" t="n"/>
      <c r="J760" s="263" t="n"/>
      <c r="K760" s="36" t="n"/>
      <c r="L760" s="263" t="n"/>
      <c r="M760" s="36" t="n"/>
      <c r="N760" s="772" t="n"/>
      <c r="O760" s="773" t="n"/>
      <c r="P760" s="3" t="n"/>
      <c r="Q760" s="51" t="n"/>
      <c r="R760" s="54" t="n">
        <v>0</v>
      </c>
      <c r="S760" s="12" t="n"/>
      <c r="T760" s="774" t="n"/>
      <c r="U760" s="6" t="n"/>
      <c r="V760" s="269" t="n"/>
      <c r="W760" s="3" t="n"/>
      <c r="X760" s="36" t="n"/>
      <c r="Y760" s="774" t="n"/>
      <c r="Z760" s="6" t="n"/>
      <c r="AA760" s="264" t="n"/>
      <c r="AB760" s="9" t="n"/>
      <c r="AC760" s="46" t="n"/>
      <c r="AD760" s="12" t="inlineStr">
        <is>
          <t>No</t>
        </is>
      </c>
      <c r="AE760" s="45" t="n"/>
      <c r="AF760" s="45" t="n"/>
      <c r="AG760" s="45" t="n"/>
      <c r="AH760" s="45" t="n"/>
      <c r="AI760" s="12" t="n"/>
      <c r="AJ760" s="45" t="n"/>
      <c r="AK760" s="45" t="n"/>
      <c r="AL760" s="45" t="n"/>
      <c r="AM760" s="45" t="n"/>
      <c r="AN760" s="45" t="n"/>
      <c r="AO760" s="45" t="n"/>
      <c r="AP760" s="12" t="n"/>
      <c r="AQ760" s="12" t="n"/>
      <c r="AR760" s="12" t="n"/>
      <c r="AS760" s="56" t="inlineStr">
        <is>
          <t>Withdrawal -499.04 AUD. Source: user_txt. Imported from account_cashflows.xlsx row 53.</t>
        </is>
      </c>
      <c r="AT760" s="45" t="n"/>
      <c r="AU760" s="12" t="n">
        <v>0</v>
      </c>
      <c r="AV760" s="12" t="inlineStr">
        <is>
          <t>AUD</t>
        </is>
      </c>
      <c r="AW760" s="12" t="inlineStr">
        <is>
          <t>cashflow</t>
        </is>
      </c>
      <c r="AX760" s="57" t="inlineStr">
        <is>
          <t>cashflow:PEPPERSTONE DEMO:2020-05-02T00:00:00:39</t>
        </is>
      </c>
    </row>
    <row r="761" ht="15" customHeight="1">
      <c r="A761" s="716" t="inlineStr">
        <is>
          <t>F737</t>
        </is>
      </c>
      <c r="B761" s="717" t="n">
        <v>43950.9375</v>
      </c>
      <c r="C761" s="718" t="n">
        <v>43950.94652777778</v>
      </c>
      <c r="D761" s="719" t="inlineStr">
        <is>
          <t>PEPPERSTONE DEMO</t>
        </is>
      </c>
      <c r="E761" s="719" t="inlineStr">
        <is>
          <t>USDCAD</t>
        </is>
      </c>
      <c r="F761" s="719" t="inlineStr">
        <is>
          <t>SELL</t>
        </is>
      </c>
      <c r="G761" s="735" t="n">
        <v>0.04</v>
      </c>
      <c r="H761" s="720" t="n">
        <v>1.3943</v>
      </c>
      <c r="I761" s="720" t="n">
        <v>1.3952</v>
      </c>
      <c r="J761" s="721" t="n">
        <v>1.3953</v>
      </c>
      <c r="K761" s="760" t="n">
        <v>0.0007172057663342823</v>
      </c>
      <c r="L761" s="721" t="n">
        <v>1.3923</v>
      </c>
      <c r="M761" s="722" t="n">
        <v>0.001434411532668724</v>
      </c>
      <c r="N761" s="761" t="n"/>
      <c r="O761" s="762" t="n">
        <v>-3.56</v>
      </c>
      <c r="P761" s="725" t="n">
        <v>-0.00708316752884998</v>
      </c>
      <c r="Q761" s="726" t="n">
        <v>-0.9</v>
      </c>
      <c r="R761" s="764" t="n">
        <v>499.04</v>
      </c>
      <c r="S761" s="719" t="inlineStr">
        <is>
          <t>13M 0S</t>
        </is>
      </c>
      <c r="T761" s="728" t="n"/>
      <c r="U761" s="729" t="n"/>
      <c r="V761" s="807" t="n"/>
      <c r="W761" s="725" t="n"/>
      <c r="X761" s="722" t="n"/>
      <c r="Y761" s="728" t="n"/>
      <c r="Z761" s="729" t="n"/>
      <c r="AA761" s="730" t="n"/>
      <c r="AB761" s="731" t="n"/>
      <c r="AC761" s="732" t="n"/>
      <c r="AD761" s="719" t="inlineStr">
        <is>
          <t>No</t>
        </is>
      </c>
      <c r="AE761" s="733" t="n"/>
      <c r="AF761" s="733" t="n"/>
      <c r="AG761" s="733" t="n"/>
      <c r="AH761" s="733" t="n"/>
      <c r="AI761" s="719" t="inlineStr">
        <is>
          <t>Limit</t>
        </is>
      </c>
      <c r="AJ761" s="733" t="n"/>
      <c r="AK761" s="733" t="n"/>
      <c r="AL761" s="733" t="n"/>
      <c r="AM761" s="733" t="n"/>
      <c r="AN761" s="733" t="n"/>
      <c r="AO761" s="733" t="n"/>
      <c r="AP761" s="719" t="inlineStr">
        <is>
          <t>News Scalp</t>
        </is>
      </c>
      <c r="AQ761" s="719" t="inlineStr">
        <is>
          <t>1MIN</t>
        </is>
      </c>
      <c r="AR761" s="719" t="inlineStr">
        <is>
          <t>No</t>
        </is>
      </c>
      <c r="AS761" s="733" t="n"/>
      <c r="AT761" s="733" t="n"/>
      <c r="AU761" s="733" t="n"/>
      <c r="AV761" s="733" t="n"/>
      <c r="AW761" s="719" t="inlineStr">
        <is>
          <t>trade</t>
        </is>
      </c>
      <c r="AX761" s="734" t="inlineStr">
        <is>
          <t>sig:48d956b4dc99c7a8b8f10ad4</t>
        </is>
      </c>
    </row>
    <row r="762" ht="15" customHeight="1">
      <c r="A762" s="737" t="inlineStr">
        <is>
          <t>C23</t>
        </is>
      </c>
      <c r="B762" s="738" t="n">
        <v>43950.04027777778</v>
      </c>
      <c r="C762" s="739" t="n">
        <v>43950.50138888889</v>
      </c>
      <c r="D762" s="740" t="inlineStr">
        <is>
          <t>BINANCE</t>
        </is>
      </c>
      <c r="E762" s="740" t="inlineStr">
        <is>
          <t>BCHUSDT</t>
        </is>
      </c>
      <c r="F762" s="740" t="inlineStr">
        <is>
          <t>BUY</t>
        </is>
      </c>
      <c r="G762" s="742" t="n">
        <v>0.33</v>
      </c>
      <c r="H762" s="742" t="n">
        <v>238.24</v>
      </c>
      <c r="I762" s="742" t="n">
        <v>244.11</v>
      </c>
      <c r="J762" s="743" t="n">
        <v>235.81</v>
      </c>
      <c r="K762" s="744" t="n">
        <v>0.01019979852249835</v>
      </c>
      <c r="L762" s="743" t="n">
        <v>243.1</v>
      </c>
      <c r="M762" s="744" t="n">
        <v>0.02039959704499658</v>
      </c>
      <c r="N762" s="745" t="n">
        <v>0.1538331</v>
      </c>
      <c r="O762" s="746" t="n">
        <v>1.7539756</v>
      </c>
      <c r="P762" s="747" t="n">
        <v>0.01566058263308749</v>
      </c>
      <c r="Q762" s="748" t="n">
        <v>2.415637860082299</v>
      </c>
      <c r="R762" s="749" t="n">
        <v>113.75335909</v>
      </c>
      <c r="S762" s="740" t="inlineStr">
        <is>
          <t>11H 4M 0S</t>
        </is>
      </c>
      <c r="T762" s="738" t="n">
        <v>43949.68194444444</v>
      </c>
      <c r="U762" s="809" t="inlineStr">
        <is>
          <t>1H 23M 28S</t>
        </is>
      </c>
      <c r="V762" s="810" t="n">
        <v>240.72</v>
      </c>
      <c r="W762" s="747" t="n">
        <v>0.01040967092008055</v>
      </c>
      <c r="X762" s="744" t="n">
        <v>0.009790209790209772</v>
      </c>
      <c r="Y762" s="750" t="n"/>
      <c r="Z762" s="751" t="n"/>
      <c r="AA762" s="752" t="n"/>
      <c r="AB762" s="753" t="n"/>
      <c r="AC762" s="754" t="n"/>
      <c r="AD762" s="740" t="inlineStr">
        <is>
          <t>No</t>
        </is>
      </c>
      <c r="AE762" s="755" t="n"/>
      <c r="AF762" s="755" t="n"/>
      <c r="AG762" s="755" t="n"/>
      <c r="AH762" s="755" t="n"/>
      <c r="AI762" s="740" t="inlineStr">
        <is>
          <t>Limit</t>
        </is>
      </c>
      <c r="AJ762" s="755" t="n"/>
      <c r="AK762" s="755" t="n"/>
      <c r="AL762" s="755" t="n"/>
      <c r="AM762" s="755" t="n"/>
      <c r="AN762" s="755" t="n"/>
      <c r="AO762" s="755" t="n"/>
      <c r="AP762" s="740" t="inlineStr">
        <is>
          <t>Pullback</t>
        </is>
      </c>
      <c r="AQ762" s="740" t="inlineStr">
        <is>
          <t>1H</t>
        </is>
      </c>
      <c r="AR762" s="740" t="inlineStr">
        <is>
          <t>No</t>
        </is>
      </c>
      <c r="AS762" s="755" t="n"/>
      <c r="AT762" s="755" t="n"/>
      <c r="AU762" s="755" t="n"/>
      <c r="AV762" s="755" t="n"/>
      <c r="AW762" s="740" t="inlineStr">
        <is>
          <t>trade</t>
        </is>
      </c>
      <c r="AX762" s="756" t="inlineStr">
        <is>
          <t>sig:351bea9446e718d6a32f0fef</t>
        </is>
      </c>
    </row>
    <row r="763" ht="15" customHeight="1">
      <c r="A763" s="716" t="inlineStr">
        <is>
          <t>F736</t>
        </is>
      </c>
      <c r="B763" s="717" t="n">
        <v>43949.85972222222</v>
      </c>
      <c r="C763" s="718" t="n">
        <v>43950.00277777778</v>
      </c>
      <c r="D763" s="719" t="inlineStr">
        <is>
          <t>PEPPERSTONE DEMO</t>
        </is>
      </c>
      <c r="E763" s="719" t="inlineStr">
        <is>
          <t>EURNZD</t>
        </is>
      </c>
      <c r="F763" s="719" t="inlineStr">
        <is>
          <t>BUY</t>
        </is>
      </c>
      <c r="G763" s="735" t="n">
        <v>0.01</v>
      </c>
      <c r="H763" s="720" t="n">
        <v>1.795</v>
      </c>
      <c r="I763" s="720" t="n">
        <v>1.79129</v>
      </c>
      <c r="J763" s="721" t="n">
        <v>1.7912</v>
      </c>
      <c r="K763" s="722" t="n">
        <v>0.002116991643454053</v>
      </c>
      <c r="L763" s="721" t="n">
        <v>1.8026</v>
      </c>
      <c r="M763" s="722" t="n">
        <v>0.004233983286908107</v>
      </c>
      <c r="N763" s="761" t="n"/>
      <c r="O763" s="762" t="n">
        <v>-3.55</v>
      </c>
      <c r="P763" s="725" t="n">
        <v>-0.007013731107379234</v>
      </c>
      <c r="Q763" s="726" t="n">
        <v>-0.9763157894736461</v>
      </c>
      <c r="R763" s="764" t="n">
        <v>502.6</v>
      </c>
      <c r="S763" s="719" t="inlineStr">
        <is>
          <t>3H 26M 0S</t>
        </is>
      </c>
      <c r="T763" s="717" t="n"/>
      <c r="U763" s="806" t="n"/>
      <c r="V763" s="807" t="n">
        <v>1.7993</v>
      </c>
      <c r="W763" s="725" t="n">
        <v>-0.004299999999999971</v>
      </c>
      <c r="X763" s="722" t="n">
        <v>0.003300000000000081</v>
      </c>
      <c r="Y763" s="728" t="n"/>
      <c r="Z763" s="729" t="n"/>
      <c r="AA763" s="730" t="n"/>
      <c r="AB763" s="731" t="n"/>
      <c r="AC763" s="732" t="n"/>
      <c r="AD763" s="719" t="inlineStr">
        <is>
          <t>No</t>
        </is>
      </c>
      <c r="AE763" s="733" t="n"/>
      <c r="AF763" s="733" t="n"/>
      <c r="AG763" s="733" t="n"/>
      <c r="AH763" s="733" t="n"/>
      <c r="AI763" s="719" t="inlineStr">
        <is>
          <t>Limit</t>
        </is>
      </c>
      <c r="AJ763" s="733" t="n"/>
      <c r="AK763" s="733" t="n"/>
      <c r="AL763" s="733" t="n"/>
      <c r="AM763" s="733" t="n"/>
      <c r="AN763" s="733" t="n"/>
      <c r="AO763" s="733" t="n"/>
      <c r="AP763" s="719" t="inlineStr">
        <is>
          <t>Pullback</t>
        </is>
      </c>
      <c r="AQ763" s="719" t="inlineStr">
        <is>
          <t>1H</t>
        </is>
      </c>
      <c r="AR763" s="719" t="inlineStr">
        <is>
          <t>No</t>
        </is>
      </c>
      <c r="AS763" s="733" t="n"/>
      <c r="AT763" s="733" t="n"/>
      <c r="AU763" s="733" t="n"/>
      <c r="AV763" s="733" t="n"/>
      <c r="AW763" s="719" t="inlineStr">
        <is>
          <t>trade</t>
        </is>
      </c>
      <c r="AX763" s="734" t="inlineStr">
        <is>
          <t>sig:03ab53a0e9f88114c678b198</t>
        </is>
      </c>
    </row>
    <row r="764" ht="15" customHeight="1">
      <c r="A764" s="716" t="inlineStr">
        <is>
          <t>C22</t>
        </is>
      </c>
      <c r="B764" s="717" t="n">
        <v>43946</v>
      </c>
      <c r="C764" s="718" t="n">
        <v>43946.01111111111</v>
      </c>
      <c r="D764" s="719" t="inlineStr">
        <is>
          <t>BINANCE</t>
        </is>
      </c>
      <c r="E764" s="719" t="inlineStr">
        <is>
          <t>EOSUSDT</t>
        </is>
      </c>
      <c r="F764" s="719" t="inlineStr">
        <is>
          <t>BUY</t>
        </is>
      </c>
      <c r="G764" s="720" t="n">
        <v>81.06999999999999</v>
      </c>
      <c r="H764" s="720" t="n">
        <v>2.6975</v>
      </c>
      <c r="I764" s="720" t="n">
        <v>2.6835</v>
      </c>
      <c r="J764" s="721" t="n">
        <v>2.6835</v>
      </c>
      <c r="K764" s="722" t="n">
        <v>0.00518999073215933</v>
      </c>
      <c r="L764" s="721" t="n">
        <v>2.7255</v>
      </c>
      <c r="M764" s="722" t="n">
        <v>0.01037998146431882</v>
      </c>
      <c r="N764" s="758" t="n">
        <v>0.43599616</v>
      </c>
      <c r="O764" s="724" t="n">
        <v>-1.57097616</v>
      </c>
      <c r="P764" s="725" t="n">
        <v>-0.01383262468166358</v>
      </c>
      <c r="Q764" s="726" t="n">
        <v>-1</v>
      </c>
      <c r="R764" s="727" t="n">
        <v>111.99938349</v>
      </c>
      <c r="S764" s="719" t="inlineStr">
        <is>
          <t>16M 0S</t>
        </is>
      </c>
      <c r="T764" s="728" t="n"/>
      <c r="U764" s="729" t="n"/>
      <c r="V764" s="807" t="n">
        <v>2.712</v>
      </c>
      <c r="W764" s="725" t="n">
        <v>0.005375347544022392</v>
      </c>
      <c r="X764" s="722" t="n">
        <v>0.004953219592735141</v>
      </c>
      <c r="Y764" s="728" t="n"/>
      <c r="Z764" s="729" t="n"/>
      <c r="AA764" s="730" t="n"/>
      <c r="AB764" s="731" t="n"/>
      <c r="AC764" s="732" t="n"/>
      <c r="AD764" s="719" t="inlineStr">
        <is>
          <t>No</t>
        </is>
      </c>
      <c r="AE764" s="733" t="n"/>
      <c r="AF764" s="733" t="n"/>
      <c r="AG764" s="733" t="n"/>
      <c r="AH764" s="733" t="n"/>
      <c r="AI764" s="719" t="inlineStr">
        <is>
          <t>Limit</t>
        </is>
      </c>
      <c r="AJ764" s="733" t="n"/>
      <c r="AK764" s="733" t="n"/>
      <c r="AL764" s="733" t="n"/>
      <c r="AM764" s="733" t="n"/>
      <c r="AN764" s="733" t="n"/>
      <c r="AO764" s="733" t="n"/>
      <c r="AP764" s="719" t="inlineStr">
        <is>
          <t>Pullback</t>
        </is>
      </c>
      <c r="AQ764" s="719" t="inlineStr">
        <is>
          <t>15MIN</t>
        </is>
      </c>
      <c r="AR764" s="719" t="inlineStr">
        <is>
          <t>No</t>
        </is>
      </c>
      <c r="AS764" s="733" t="n"/>
      <c r="AT764" s="733" t="n"/>
      <c r="AU764" s="733" t="n"/>
      <c r="AV764" s="733" t="n"/>
      <c r="AW764" s="719" t="inlineStr">
        <is>
          <t>trade</t>
        </is>
      </c>
      <c r="AX764" s="734" t="inlineStr">
        <is>
          <t>sig:ef22746eb331cbaef41d6b5c</t>
        </is>
      </c>
    </row>
    <row r="765" ht="15" customHeight="1">
      <c r="A765" s="716" t="inlineStr">
        <is>
          <t>C21</t>
        </is>
      </c>
      <c r="B765" s="717" t="n">
        <v>43945.88263888889</v>
      </c>
      <c r="C765" s="718" t="n">
        <v>43945.91666666666</v>
      </c>
      <c r="D765" s="719" t="inlineStr">
        <is>
          <t>BINANCE</t>
        </is>
      </c>
      <c r="E765" s="719" t="inlineStr">
        <is>
          <t>BCHUSDT</t>
        </is>
      </c>
      <c r="F765" s="719" t="inlineStr">
        <is>
          <t>BUY</t>
        </is>
      </c>
      <c r="G765" s="720" t="n">
        <v>0.79</v>
      </c>
      <c r="H765" s="720" t="n">
        <v>238.08</v>
      </c>
      <c r="I765" s="720" t="n">
        <v>236.6</v>
      </c>
      <c r="J765" s="721" t="n">
        <v>236.59</v>
      </c>
      <c r="K765" s="722" t="n">
        <v>0.006258400537634446</v>
      </c>
      <c r="L765" s="721" t="n">
        <v>241.06</v>
      </c>
      <c r="M765" s="722" t="n">
        <v>0.01251680107526877</v>
      </c>
      <c r="N765" s="758" t="n">
        <v>0.37292399</v>
      </c>
      <c r="O765" s="724" t="n">
        <v>-1.53624839</v>
      </c>
      <c r="P765" s="725" t="n">
        <v>-0.01334630927067321</v>
      </c>
      <c r="Q765" s="726" t="n">
        <v>-0.993288590604033</v>
      </c>
      <c r="R765" s="727" t="n">
        <v>113.57035965</v>
      </c>
      <c r="S765" s="719" t="inlineStr">
        <is>
          <t>49M 0S</t>
        </is>
      </c>
      <c r="T765" s="717" t="n"/>
      <c r="U765" s="806" t="n"/>
      <c r="V765" s="807" t="n">
        <v>239.47</v>
      </c>
      <c r="W765" s="725" t="n">
        <v>0.005838373655913921</v>
      </c>
      <c r="X765" s="722" t="n">
        <v>0.006595868248568835</v>
      </c>
      <c r="Y765" s="728" t="n"/>
      <c r="Z765" s="729" t="n"/>
      <c r="AA765" s="730" t="n"/>
      <c r="AB765" s="731" t="n"/>
      <c r="AC765" s="732" t="n"/>
      <c r="AD765" s="719" t="inlineStr">
        <is>
          <t>No</t>
        </is>
      </c>
      <c r="AE765" s="733" t="n"/>
      <c r="AF765" s="733" t="n"/>
      <c r="AG765" s="733" t="n"/>
      <c r="AH765" s="733" t="n"/>
      <c r="AI765" s="719" t="inlineStr">
        <is>
          <t>Limit</t>
        </is>
      </c>
      <c r="AJ765" s="733" t="n"/>
      <c r="AK765" s="733" t="n"/>
      <c r="AL765" s="733" t="n"/>
      <c r="AM765" s="733" t="n"/>
      <c r="AN765" s="733" t="n"/>
      <c r="AO765" s="733" t="n"/>
      <c r="AP765" s="719" t="inlineStr">
        <is>
          <t>Pullback</t>
        </is>
      </c>
      <c r="AQ765" s="719" t="inlineStr">
        <is>
          <t>15MIN</t>
        </is>
      </c>
      <c r="AR765" s="719" t="inlineStr">
        <is>
          <t>No</t>
        </is>
      </c>
      <c r="AS765" s="733" t="n"/>
      <c r="AT765" s="733" t="n"/>
      <c r="AU765" s="733" t="n"/>
      <c r="AV765" s="733" t="n"/>
      <c r="AW765" s="719" t="inlineStr">
        <is>
          <t>trade</t>
        </is>
      </c>
      <c r="AX765" s="734" t="inlineStr">
        <is>
          <t>sig:8a061cc934f7a2ab344d40c2</t>
        </is>
      </c>
    </row>
    <row r="766" ht="15" customHeight="1">
      <c r="A766" s="716" t="inlineStr">
        <is>
          <t>F735</t>
        </is>
      </c>
      <c r="B766" s="717" t="n">
        <v>43944.87430555555</v>
      </c>
      <c r="C766" s="718" t="n">
        <v>43944.88680555556</v>
      </c>
      <c r="D766" s="719" t="inlineStr">
        <is>
          <t>PEPPERSTONE DEMO</t>
        </is>
      </c>
      <c r="E766" s="719" t="inlineStr">
        <is>
          <t>GBPNZD</t>
        </is>
      </c>
      <c r="F766" s="719" t="inlineStr">
        <is>
          <t>BUY</t>
        </is>
      </c>
      <c r="G766" s="735" t="n">
        <v>0.01</v>
      </c>
      <c r="H766" s="720" t="n">
        <v>2.0646</v>
      </c>
      <c r="I766" s="720" t="n">
        <v>2.0601</v>
      </c>
      <c r="J766" s="721" t="n">
        <v>2.0601</v>
      </c>
      <c r="K766" s="722" t="n">
        <v>0.002179598953792585</v>
      </c>
      <c r="L766" s="721" t="n">
        <v>2.0736</v>
      </c>
      <c r="M766" s="722" t="n">
        <v>0.004359197907584955</v>
      </c>
      <c r="N766" s="761" t="n"/>
      <c r="O766" s="762" t="n">
        <v>-4.24</v>
      </c>
      <c r="P766" s="725" t="n">
        <v>-0.008307372793354103</v>
      </c>
      <c r="Q766" s="726" t="n">
        <v>-1</v>
      </c>
      <c r="R766" s="764" t="n">
        <v>506.15</v>
      </c>
      <c r="S766" s="719" t="inlineStr">
        <is>
          <t>18M 0S</t>
        </is>
      </c>
      <c r="T766" s="728" t="n"/>
      <c r="U766" s="729" t="n"/>
      <c r="V766" s="807" t="n">
        <v>2.0674</v>
      </c>
      <c r="W766" s="725" t="n">
        <v>-0.002800000000000136</v>
      </c>
      <c r="X766" s="722" t="n">
        <v>0.006199999999999761</v>
      </c>
      <c r="Y766" s="728" t="n"/>
      <c r="Z766" s="729" t="n"/>
      <c r="AA766" s="730" t="n"/>
      <c r="AB766" s="731" t="n"/>
      <c r="AC766" s="732" t="n"/>
      <c r="AD766" s="719" t="inlineStr">
        <is>
          <t>No</t>
        </is>
      </c>
      <c r="AE766" s="733" t="n"/>
      <c r="AF766" s="733" t="n"/>
      <c r="AG766" s="733" t="n"/>
      <c r="AH766" s="733" t="n"/>
      <c r="AI766" s="719" t="inlineStr">
        <is>
          <t>Limit</t>
        </is>
      </c>
      <c r="AJ766" s="733" t="n"/>
      <c r="AK766" s="733" t="n"/>
      <c r="AL766" s="733" t="n"/>
      <c r="AM766" s="733" t="n"/>
      <c r="AN766" s="733" t="n"/>
      <c r="AO766" s="733" t="n"/>
      <c r="AP766" s="719" t="inlineStr">
        <is>
          <t>Pullback</t>
        </is>
      </c>
      <c r="AQ766" s="719" t="inlineStr">
        <is>
          <t>1H</t>
        </is>
      </c>
      <c r="AR766" s="719" t="inlineStr">
        <is>
          <t>No</t>
        </is>
      </c>
      <c r="AS766" s="733" t="n"/>
      <c r="AT766" s="733" t="n"/>
      <c r="AU766" s="733" t="n"/>
      <c r="AV766" s="733" t="n"/>
      <c r="AW766" s="719" t="inlineStr">
        <is>
          <t>trade</t>
        </is>
      </c>
      <c r="AX766" s="734" t="inlineStr">
        <is>
          <t>sig:31f3970a51c50e0bfc436473</t>
        </is>
      </c>
    </row>
    <row r="767" ht="15" customHeight="1">
      <c r="A767" s="716" t="inlineStr">
        <is>
          <t>C20</t>
        </is>
      </c>
      <c r="B767" s="717" t="n">
        <v>43944.66666666666</v>
      </c>
      <c r="C767" s="718" t="n">
        <v>43944.66736111111</v>
      </c>
      <c r="D767" s="719" t="inlineStr">
        <is>
          <t>BINANCE</t>
        </is>
      </c>
      <c r="E767" s="719" t="inlineStr">
        <is>
          <t>LTCUSDT</t>
        </is>
      </c>
      <c r="F767" s="719" t="inlineStr">
        <is>
          <t>BUY</t>
        </is>
      </c>
      <c r="G767" s="720" t="n">
        <v>6.89</v>
      </c>
      <c r="H767" s="720" t="n">
        <v>41.37</v>
      </c>
      <c r="I767" s="720" t="n">
        <v>41.17</v>
      </c>
      <c r="J767" s="721" t="n">
        <v>41.21</v>
      </c>
      <c r="K767" s="722" t="n">
        <v>0.003867536862460638</v>
      </c>
      <c r="L767" s="721" t="n">
        <v>41.71</v>
      </c>
      <c r="M767" s="722" t="n">
        <v>0.008218515832729114</v>
      </c>
      <c r="N767" s="758" t="n">
        <v>0.56833853</v>
      </c>
      <c r="O767" s="724" t="n">
        <v>-1.94614853</v>
      </c>
      <c r="P767" s="725" t="n">
        <v>-0.01662625116253595</v>
      </c>
      <c r="Q767" s="726" t="n">
        <v>-1.25</v>
      </c>
      <c r="R767" s="727" t="n">
        <v>115.10660804</v>
      </c>
      <c r="S767" s="719" t="inlineStr">
        <is>
          <t>1M 0S</t>
        </is>
      </c>
      <c r="T767" s="717" t="n"/>
      <c r="U767" s="806" t="n"/>
      <c r="V767" s="807" t="n">
        <v>41.53</v>
      </c>
      <c r="W767" s="725" t="n">
        <v>0.00386753686246081</v>
      </c>
      <c r="X767" s="722" t="n">
        <v>0.004315511867657629</v>
      </c>
      <c r="Y767" s="728" t="n"/>
      <c r="Z767" s="729" t="n"/>
      <c r="AA767" s="730" t="n"/>
      <c r="AB767" s="731" t="n"/>
      <c r="AC767" s="732" t="n"/>
      <c r="AD767" s="719" t="inlineStr">
        <is>
          <t>No</t>
        </is>
      </c>
      <c r="AE767" s="733" t="n"/>
      <c r="AF767" s="733" t="n"/>
      <c r="AG767" s="733" t="n"/>
      <c r="AH767" s="733" t="n"/>
      <c r="AI767" s="719" t="inlineStr">
        <is>
          <t>Limit</t>
        </is>
      </c>
      <c r="AJ767" s="733" t="n"/>
      <c r="AK767" s="733" t="n"/>
      <c r="AL767" s="733" t="n"/>
      <c r="AM767" s="733" t="n"/>
      <c r="AN767" s="733" t="n"/>
      <c r="AO767" s="733" t="n"/>
      <c r="AP767" s="719" t="inlineStr">
        <is>
          <t>Pullback</t>
        </is>
      </c>
      <c r="AQ767" s="719" t="inlineStr">
        <is>
          <t>15MIN</t>
        </is>
      </c>
      <c r="AR767" s="719" t="inlineStr">
        <is>
          <t>No</t>
        </is>
      </c>
      <c r="AS767" s="733" t="n"/>
      <c r="AT767" s="733" t="n"/>
      <c r="AU767" s="733" t="n"/>
      <c r="AV767" s="733" t="n"/>
      <c r="AW767" s="719" t="inlineStr">
        <is>
          <t>trade</t>
        </is>
      </c>
      <c r="AX767" s="734" t="inlineStr">
        <is>
          <t>sig:cee2fbe74672c76844297b9c</t>
        </is>
      </c>
    </row>
    <row r="768" ht="15" customHeight="1">
      <c r="A768" s="716" t="inlineStr">
        <is>
          <t>C19</t>
        </is>
      </c>
      <c r="B768" s="717" t="n">
        <v>43944.56458333333</v>
      </c>
      <c r="C768" s="718" t="n">
        <v>43944.58194444444</v>
      </c>
      <c r="D768" s="719" t="inlineStr">
        <is>
          <t>BINANCE</t>
        </is>
      </c>
      <c r="E768" s="719" t="inlineStr">
        <is>
          <t>ETHUSDT</t>
        </is>
      </c>
      <c r="F768" s="719" t="inlineStr">
        <is>
          <t>BUY</t>
        </is>
      </c>
      <c r="G768" s="720" t="n">
        <v>1.04</v>
      </c>
      <c r="H768" s="720" t="n">
        <v>183.9</v>
      </c>
      <c r="I768" s="720" t="n">
        <v>182.89</v>
      </c>
      <c r="J768" s="721" t="n">
        <v>182.77</v>
      </c>
      <c r="K768" s="722" t="n">
        <v>0.006144643828167457</v>
      </c>
      <c r="L768" s="721" t="n">
        <v>186.16</v>
      </c>
      <c r="M768" s="722" t="n">
        <v>0.01228928765633491</v>
      </c>
      <c r="N768" s="758" t="n">
        <v>0.37997971</v>
      </c>
      <c r="O768" s="724" t="n">
        <v>-1.42682451</v>
      </c>
      <c r="P768" s="725" t="n">
        <v>-0.01204278827620581</v>
      </c>
      <c r="Q768" s="726" t="n">
        <v>-0.893805309734534</v>
      </c>
      <c r="R768" s="727" t="n">
        <v>117.05275657</v>
      </c>
      <c r="S768" s="719" t="inlineStr">
        <is>
          <t>25M 0S</t>
        </is>
      </c>
      <c r="T768" s="728" t="n"/>
      <c r="U768" s="729" t="n"/>
      <c r="V768" s="807" t="n">
        <v>185.09</v>
      </c>
      <c r="W768" s="725" t="n">
        <v>0.00647090810222946</v>
      </c>
      <c r="X768" s="722" t="n">
        <v>0.00574774387623546</v>
      </c>
      <c r="Y768" s="728" t="n"/>
      <c r="Z768" s="729" t="n"/>
      <c r="AA768" s="730" t="n"/>
      <c r="AB768" s="731" t="n"/>
      <c r="AC768" s="732" t="n"/>
      <c r="AD768" s="719" t="inlineStr">
        <is>
          <t>No</t>
        </is>
      </c>
      <c r="AE768" s="733" t="n"/>
      <c r="AF768" s="733" t="n"/>
      <c r="AG768" s="733" t="n"/>
      <c r="AH768" s="733" t="n"/>
      <c r="AI768" s="719" t="inlineStr">
        <is>
          <t>Limit</t>
        </is>
      </c>
      <c r="AJ768" s="733" t="n"/>
      <c r="AK768" s="733" t="n"/>
      <c r="AL768" s="733" t="n"/>
      <c r="AM768" s="733" t="n"/>
      <c r="AN768" s="733" t="n"/>
      <c r="AO768" s="733" t="n"/>
      <c r="AP768" s="719" t="inlineStr">
        <is>
          <t>Pullback</t>
        </is>
      </c>
      <c r="AQ768" s="719" t="inlineStr">
        <is>
          <t>15MIN</t>
        </is>
      </c>
      <c r="AR768" s="719" t="inlineStr">
        <is>
          <t>No</t>
        </is>
      </c>
      <c r="AS768" s="733" t="n"/>
      <c r="AT768" s="733" t="n"/>
      <c r="AU768" s="733" t="n"/>
      <c r="AV768" s="733" t="n"/>
      <c r="AW768" s="719" t="inlineStr">
        <is>
          <t>trade</t>
        </is>
      </c>
      <c r="AX768" s="734" t="inlineStr">
        <is>
          <t>sig:b12677a17581f4143bc4772f</t>
        </is>
      </c>
    </row>
    <row r="769" ht="15" customHeight="1">
      <c r="A769" s="737" t="inlineStr">
        <is>
          <t>C18</t>
        </is>
      </c>
      <c r="B769" s="738" t="n">
        <v>43944.15694444445</v>
      </c>
      <c r="C769" s="739" t="n">
        <v>43944.31736111111</v>
      </c>
      <c r="D769" s="740" t="inlineStr">
        <is>
          <t>BINANCE</t>
        </is>
      </c>
      <c r="E769" s="740" t="inlineStr">
        <is>
          <t>ZECUSDT</t>
        </is>
      </c>
      <c r="F769" s="740" t="inlineStr">
        <is>
          <t>BUY</t>
        </is>
      </c>
      <c r="G769" s="742" t="n">
        <v>2.93</v>
      </c>
      <c r="H769" s="742" t="n">
        <v>44.74</v>
      </c>
      <c r="I769" s="742" t="n">
        <v>45.54</v>
      </c>
      <c r="J769" s="743" t="n">
        <v>44.34</v>
      </c>
      <c r="K769" s="744" t="n">
        <v>0.008940545373267737</v>
      </c>
      <c r="L769" s="743" t="n">
        <v>45.54</v>
      </c>
      <c r="M769" s="744" t="n">
        <v>0.01788109074653547</v>
      </c>
      <c r="N769" s="745" t="n">
        <v>0.23183852</v>
      </c>
      <c r="O769" s="746" t="n">
        <v>2.11057748</v>
      </c>
      <c r="P769" s="747" t="n">
        <v>0.01813693865812219</v>
      </c>
      <c r="Q769" s="748" t="n">
        <v>2</v>
      </c>
      <c r="R769" s="749" t="n">
        <v>118.47958108</v>
      </c>
      <c r="S769" s="740" t="inlineStr">
        <is>
          <t>3H 51M 0S</t>
        </is>
      </c>
      <c r="T769" s="750" t="n"/>
      <c r="U769" s="751" t="n"/>
      <c r="V769" s="810" t="n">
        <v>45.13</v>
      </c>
      <c r="W769" s="747" t="n">
        <v>0.008717031738936088</v>
      </c>
      <c r="X769" s="744" t="n">
        <v>0.00900307422046545</v>
      </c>
      <c r="Y769" s="750" t="n"/>
      <c r="Z769" s="751" t="n"/>
      <c r="AA769" s="752" t="n"/>
      <c r="AB769" s="753" t="n"/>
      <c r="AC769" s="754" t="n"/>
      <c r="AD769" s="740" t="inlineStr">
        <is>
          <t>No</t>
        </is>
      </c>
      <c r="AE769" s="755" t="n"/>
      <c r="AF769" s="755" t="n"/>
      <c r="AG769" s="755" t="n"/>
      <c r="AH769" s="755" t="n"/>
      <c r="AI769" s="740" t="inlineStr">
        <is>
          <t>Limit</t>
        </is>
      </c>
      <c r="AJ769" s="755" t="n"/>
      <c r="AK769" s="755" t="n"/>
      <c r="AL769" s="755" t="n"/>
      <c r="AM769" s="755" t="n"/>
      <c r="AN769" s="755" t="n"/>
      <c r="AO769" s="755" t="n"/>
      <c r="AP769" s="740" t="inlineStr">
        <is>
          <t>Pullback</t>
        </is>
      </c>
      <c r="AQ769" s="740" t="inlineStr">
        <is>
          <t>15MIN</t>
        </is>
      </c>
      <c r="AR769" s="740" t="inlineStr">
        <is>
          <t>No</t>
        </is>
      </c>
      <c r="AS769" s="755" t="n"/>
      <c r="AT769" s="755" t="n"/>
      <c r="AU769" s="755" t="n"/>
      <c r="AV769" s="755" t="n"/>
      <c r="AW769" s="740" t="inlineStr">
        <is>
          <t>trade</t>
        </is>
      </c>
      <c r="AX769" s="756" t="inlineStr">
        <is>
          <t>sig:7cf763e673a3028a0b9230f0</t>
        </is>
      </c>
    </row>
    <row r="770" ht="15" customHeight="1">
      <c r="A770" s="737" t="inlineStr">
        <is>
          <t>C17</t>
        </is>
      </c>
      <c r="B770" s="738" t="n">
        <v>43942.57638888889</v>
      </c>
      <c r="C770" s="739" t="n">
        <v>43942.68472222222</v>
      </c>
      <c r="D770" s="740" t="inlineStr">
        <is>
          <t>BINANCE</t>
        </is>
      </c>
      <c r="E770" s="740" t="inlineStr">
        <is>
          <t>LINKUSDT</t>
        </is>
      </c>
      <c r="F770" s="740" t="inlineStr">
        <is>
          <t>BUY</t>
        </is>
      </c>
      <c r="G770" s="742" t="n">
        <v>33.75</v>
      </c>
      <c r="H770" s="742" t="n">
        <v>3.4788</v>
      </c>
      <c r="I770" s="742" t="n">
        <v>3.5492</v>
      </c>
      <c r="J770" s="743" t="n">
        <v>3.4448</v>
      </c>
      <c r="K770" s="744" t="n">
        <v>0.009773485109808052</v>
      </c>
      <c r="L770" s="743" t="n">
        <v>3.5468</v>
      </c>
      <c r="M770" s="744" t="n">
        <v>0.01954697021961598</v>
      </c>
      <c r="N770" s="745" t="n">
        <v>0.23708852</v>
      </c>
      <c r="O770" s="746" t="n">
        <v>2.13891148</v>
      </c>
      <c r="P770" s="747" t="n">
        <v>0.01872458859398493</v>
      </c>
      <c r="Q770" s="748" t="n">
        <v>2.070588235294096</v>
      </c>
      <c r="R770" s="749" t="n">
        <v>116.3690036</v>
      </c>
      <c r="S770" s="740" t="inlineStr">
        <is>
          <t>2H 36M 0S</t>
        </is>
      </c>
      <c r="T770" s="738" t="n">
        <v>43942.18333333333</v>
      </c>
      <c r="U770" s="809" t="inlineStr">
        <is>
          <t>33M 35S</t>
        </is>
      </c>
      <c r="V770" s="810" t="n">
        <v>3.5138</v>
      </c>
      <c r="W770" s="747" t="n">
        <v>0.01006094055421401</v>
      </c>
      <c r="X770" s="744" t="n">
        <v>0.009304161497688158</v>
      </c>
      <c r="Y770" s="750" t="n"/>
      <c r="Z770" s="751" t="n"/>
      <c r="AA770" s="752" t="n"/>
      <c r="AB770" s="753" t="n"/>
      <c r="AC770" s="754" t="n"/>
      <c r="AD770" s="740" t="inlineStr">
        <is>
          <t>No</t>
        </is>
      </c>
      <c r="AE770" s="755" t="n"/>
      <c r="AF770" s="755" t="n"/>
      <c r="AG770" s="755" t="n"/>
      <c r="AH770" s="755" t="n"/>
      <c r="AI770" s="740" t="inlineStr">
        <is>
          <t>Limit</t>
        </is>
      </c>
      <c r="AJ770" s="755" t="n"/>
      <c r="AK770" s="755" t="n"/>
      <c r="AL770" s="755" t="n"/>
      <c r="AM770" s="755" t="n"/>
      <c r="AN770" s="755" t="n"/>
      <c r="AO770" s="755" t="n"/>
      <c r="AP770" s="740" t="inlineStr">
        <is>
          <t>Pullback</t>
        </is>
      </c>
      <c r="AQ770" s="740" t="inlineStr">
        <is>
          <t>15MIN</t>
        </is>
      </c>
      <c r="AR770" s="740" t="inlineStr">
        <is>
          <t>No</t>
        </is>
      </c>
      <c r="AS770" s="755" t="n"/>
      <c r="AT770" s="755" t="n"/>
      <c r="AU770" s="755" t="n"/>
      <c r="AV770" s="755" t="n"/>
      <c r="AW770" s="740" t="inlineStr">
        <is>
          <t>trade</t>
        </is>
      </c>
      <c r="AX770" s="756" t="inlineStr">
        <is>
          <t>sig:da62b76dd2afe7a05fd0b502</t>
        </is>
      </c>
    </row>
    <row r="771" ht="15" customHeight="1">
      <c r="A771" s="737" t="inlineStr">
        <is>
          <t>F734</t>
        </is>
      </c>
      <c r="B771" s="738" t="n">
        <v>43942.00763888889</v>
      </c>
      <c r="C771" s="739" t="n">
        <v>43942.42708333334</v>
      </c>
      <c r="D771" s="740" t="inlineStr">
        <is>
          <t>PEPPERSTONE DEMO</t>
        </is>
      </c>
      <c r="E771" s="740" t="inlineStr">
        <is>
          <t>EURJPY</t>
        </is>
      </c>
      <c r="F771" s="740" t="inlineStr">
        <is>
          <t>SELL</t>
        </is>
      </c>
      <c r="G771" s="775" t="n">
        <v>0.02</v>
      </c>
      <c r="H771" s="742" t="n">
        <v>117.15</v>
      </c>
      <c r="I771" s="742" t="n">
        <v>116.898</v>
      </c>
      <c r="J771" s="743" t="n">
        <v>117.28</v>
      </c>
      <c r="K771" s="744" t="n">
        <v>0.001109688433632057</v>
      </c>
      <c r="L771" s="743" t="n">
        <v>116.89</v>
      </c>
      <c r="M771" s="744" t="n">
        <v>0.002219376867264235</v>
      </c>
      <c r="N771" s="808" t="n">
        <v>0.09</v>
      </c>
      <c r="O771" s="767" t="n">
        <v>7.54</v>
      </c>
      <c r="P771" s="747" t="n">
        <v>0.01499453117231779</v>
      </c>
      <c r="Q771" s="748" t="n">
        <v>1.93846153846168</v>
      </c>
      <c r="R771" s="769" t="n">
        <v>510.39</v>
      </c>
      <c r="S771" s="740" t="inlineStr">
        <is>
          <t>10H 4M 0S</t>
        </is>
      </c>
      <c r="T771" s="738" t="n">
        <v>43942.12013888889</v>
      </c>
      <c r="U771" s="809" t="inlineStr">
        <is>
          <t>2H 42M 0S</t>
        </is>
      </c>
      <c r="V771" s="810" t="n">
        <v>117.02</v>
      </c>
      <c r="W771" s="747" t="n">
        <v>0.1300000000000097</v>
      </c>
      <c r="X771" s="744" t="n">
        <v>-0.1299999999999955</v>
      </c>
      <c r="Y771" s="750" t="n"/>
      <c r="Z771" s="751" t="n"/>
      <c r="AA771" s="752" t="n"/>
      <c r="AB771" s="753" t="n"/>
      <c r="AC771" s="754" t="n"/>
      <c r="AD771" s="740" t="inlineStr">
        <is>
          <t>No</t>
        </is>
      </c>
      <c r="AE771" s="755" t="n"/>
      <c r="AF771" s="755" t="n"/>
      <c r="AG771" s="755" t="n"/>
      <c r="AH771" s="755" t="n"/>
      <c r="AI771" s="740" t="inlineStr">
        <is>
          <t>Limit</t>
        </is>
      </c>
      <c r="AJ771" s="755" t="n"/>
      <c r="AK771" s="755" t="n"/>
      <c r="AL771" s="755" t="n"/>
      <c r="AM771" s="755" t="n"/>
      <c r="AN771" s="755" t="n"/>
      <c r="AO771" s="755" t="n"/>
      <c r="AP771" s="740" t="inlineStr">
        <is>
          <t>Pullback</t>
        </is>
      </c>
      <c r="AQ771" s="740" t="inlineStr">
        <is>
          <t>1H</t>
        </is>
      </c>
      <c r="AR771" s="740" t="inlineStr">
        <is>
          <t>No</t>
        </is>
      </c>
      <c r="AS771" s="755" t="n"/>
      <c r="AT771" s="755" t="n"/>
      <c r="AU771" s="755" t="n"/>
      <c r="AV771" s="755" t="n"/>
      <c r="AW771" s="740" t="inlineStr">
        <is>
          <t>trade</t>
        </is>
      </c>
      <c r="AX771" s="756" t="inlineStr">
        <is>
          <t>sig:52058cae9cac22ee37395304</t>
        </is>
      </c>
    </row>
    <row r="772" ht="15" customHeight="1">
      <c r="A772" s="716" t="inlineStr">
        <is>
          <t>C16</t>
        </is>
      </c>
      <c r="B772" s="717" t="n">
        <v>43942.09236111111</v>
      </c>
      <c r="C772" s="718" t="n">
        <v>43942.11388888889</v>
      </c>
      <c r="D772" s="719" t="inlineStr">
        <is>
          <t>BINANCE</t>
        </is>
      </c>
      <c r="E772" s="719" t="inlineStr">
        <is>
          <t>BTCUSDT</t>
        </is>
      </c>
      <c r="F772" s="719" t="inlineStr">
        <is>
          <t>BUY</t>
        </is>
      </c>
      <c r="G772" s="735" t="n">
        <v>0.04</v>
      </c>
      <c r="H772" s="720" t="n">
        <v>7066.59</v>
      </c>
      <c r="I772" s="720" t="n">
        <v>7035.3</v>
      </c>
      <c r="J772" s="721" t="n">
        <v>7035.3</v>
      </c>
      <c r="K772" s="722" t="n">
        <v>0.004427878226980759</v>
      </c>
      <c r="L772" s="721" t="n">
        <v>7129.17</v>
      </c>
      <c r="M772" s="722" t="n">
        <v>0.008855756453961519</v>
      </c>
      <c r="N772" s="758" t="n">
        <v>0.52353439</v>
      </c>
      <c r="O772" s="724" t="n">
        <v>-1.69008817</v>
      </c>
      <c r="P772" s="725" t="n">
        <v>-0.01457975794871842</v>
      </c>
      <c r="Q772" s="726" t="n">
        <v>-1</v>
      </c>
      <c r="R772" s="727" t="n">
        <v>114.23009212</v>
      </c>
      <c r="S772" s="719" t="inlineStr">
        <is>
          <t>31M 0S</t>
        </is>
      </c>
      <c r="T772" s="728" t="n"/>
      <c r="U772" s="729" t="n"/>
      <c r="V772" s="807" t="n">
        <v>7095.88</v>
      </c>
      <c r="W772" s="725" t="n">
        <v>0.004144856288535201</v>
      </c>
      <c r="X772" s="722" t="n">
        <v>0.004669547787470345</v>
      </c>
      <c r="Y772" s="728" t="n"/>
      <c r="Z772" s="729" t="n"/>
      <c r="AA772" s="730" t="n"/>
      <c r="AB772" s="731" t="n"/>
      <c r="AC772" s="732" t="n"/>
      <c r="AD772" s="719" t="inlineStr">
        <is>
          <t>No</t>
        </is>
      </c>
      <c r="AE772" s="733" t="n"/>
      <c r="AF772" s="733" t="n"/>
      <c r="AG772" s="733" t="n"/>
      <c r="AH772" s="733" t="n"/>
      <c r="AI772" s="719" t="inlineStr">
        <is>
          <t>Limit</t>
        </is>
      </c>
      <c r="AJ772" s="733" t="n"/>
      <c r="AK772" s="733" t="n"/>
      <c r="AL772" s="733" t="n"/>
      <c r="AM772" s="733" t="n"/>
      <c r="AN772" s="733" t="n"/>
      <c r="AO772" s="733" t="n"/>
      <c r="AP772" s="719" t="inlineStr">
        <is>
          <t>Pullback</t>
        </is>
      </c>
      <c r="AQ772" s="719" t="inlineStr">
        <is>
          <t>15MIN</t>
        </is>
      </c>
      <c r="AR772" s="719" t="inlineStr">
        <is>
          <t>No</t>
        </is>
      </c>
      <c r="AS772" s="733" t="n"/>
      <c r="AT772" s="733" t="n"/>
      <c r="AU772" s="733" t="n"/>
      <c r="AV772" s="733" t="n"/>
      <c r="AW772" s="719" t="inlineStr">
        <is>
          <t>trade</t>
        </is>
      </c>
      <c r="AX772" s="734" t="inlineStr">
        <is>
          <t>sig:cf58577311d70e8c5906357b</t>
        </is>
      </c>
    </row>
    <row r="773" ht="15" customHeight="1">
      <c r="A773" s="737" t="inlineStr">
        <is>
          <t>C15</t>
        </is>
      </c>
      <c r="B773" s="738" t="n">
        <v>43941.96875</v>
      </c>
      <c r="C773" s="739" t="n">
        <v>43942.04861111111</v>
      </c>
      <c r="D773" s="740" t="inlineStr">
        <is>
          <t>BINANCE</t>
        </is>
      </c>
      <c r="E773" s="740" t="inlineStr">
        <is>
          <t>LINKUSDT</t>
        </is>
      </c>
      <c r="F773" s="740" t="inlineStr">
        <is>
          <t>BUY</t>
        </is>
      </c>
      <c r="G773" s="742" t="n">
        <v>33.25</v>
      </c>
      <c r="H773" s="742" t="n">
        <v>3.6187</v>
      </c>
      <c r="I773" s="742" t="n">
        <v>3.6882</v>
      </c>
      <c r="J773" s="743" t="n">
        <v>3.5838</v>
      </c>
      <c r="K773" s="744" t="n">
        <v>0.009644347417580881</v>
      </c>
      <c r="L773" s="743" t="n">
        <v>3.6885</v>
      </c>
      <c r="M773" s="744" t="n">
        <v>0.01928869483516176</v>
      </c>
      <c r="N773" s="745" t="n">
        <v>0.2428069</v>
      </c>
      <c r="O773" s="746" t="n">
        <v>2.0680681</v>
      </c>
      <c r="P773" s="747" t="n">
        <v>0.018164512368016</v>
      </c>
      <c r="Q773" s="748" t="n">
        <v>1.991404011461325</v>
      </c>
      <c r="R773" s="749" t="n">
        <v>115.92018029</v>
      </c>
      <c r="S773" s="740" t="inlineStr">
        <is>
          <t>1H 55M 0S</t>
        </is>
      </c>
      <c r="T773" s="738" t="n">
        <v>43941.56875</v>
      </c>
      <c r="U773" s="809" t="inlineStr">
        <is>
          <t>23M 50S</t>
        </is>
      </c>
      <c r="V773" s="810" t="n">
        <v>3.649</v>
      </c>
      <c r="W773" s="747" t="n">
        <v>0.008373172686323815</v>
      </c>
      <c r="X773" s="744" t="n">
        <v>0.0107089602819574</v>
      </c>
      <c r="Y773" s="750" t="n"/>
      <c r="Z773" s="751" t="n"/>
      <c r="AA773" s="752" t="n"/>
      <c r="AB773" s="753" t="n"/>
      <c r="AC773" s="754" t="n"/>
      <c r="AD773" s="740" t="inlineStr">
        <is>
          <t>No</t>
        </is>
      </c>
      <c r="AE773" s="755" t="n"/>
      <c r="AF773" s="755" t="n"/>
      <c r="AG773" s="755" t="n"/>
      <c r="AH773" s="755" t="n"/>
      <c r="AI773" s="740" t="inlineStr">
        <is>
          <t>Limit</t>
        </is>
      </c>
      <c r="AJ773" s="755" t="n"/>
      <c r="AK773" s="755" t="n"/>
      <c r="AL773" s="755" t="n"/>
      <c r="AM773" s="755" t="n"/>
      <c r="AN773" s="755" t="n"/>
      <c r="AO773" s="755" t="n"/>
      <c r="AP773" s="740" t="inlineStr">
        <is>
          <t>Pullback</t>
        </is>
      </c>
      <c r="AQ773" s="740" t="inlineStr">
        <is>
          <t>15MIN</t>
        </is>
      </c>
      <c r="AR773" s="740" t="inlineStr">
        <is>
          <t>No</t>
        </is>
      </c>
      <c r="AS773" s="755" t="n"/>
      <c r="AT773" s="755" t="n"/>
      <c r="AU773" s="755" t="n"/>
      <c r="AV773" s="755" t="n"/>
      <c r="AW773" s="740" t="inlineStr">
        <is>
          <t>trade</t>
        </is>
      </c>
      <c r="AX773" s="756" t="inlineStr">
        <is>
          <t>sig:787f08be825b663e6eb20e34</t>
        </is>
      </c>
    </row>
    <row r="774" ht="15" customHeight="1">
      <c r="A774" s="716" t="inlineStr">
        <is>
          <t>C14</t>
        </is>
      </c>
      <c r="B774" s="717" t="n">
        <v>43941.68819444445</v>
      </c>
      <c r="C774" s="718" t="n">
        <v>43941.75347222222</v>
      </c>
      <c r="D774" s="719" t="inlineStr">
        <is>
          <t>BINANCE</t>
        </is>
      </c>
      <c r="E774" s="719" t="inlineStr">
        <is>
          <t>LINKUSDT</t>
        </is>
      </c>
      <c r="F774" s="719" t="inlineStr">
        <is>
          <t>BUY</t>
        </is>
      </c>
      <c r="G774" s="720" t="n">
        <v>38.56</v>
      </c>
      <c r="H774" s="720" t="n">
        <v>3.7269</v>
      </c>
      <c r="I774" s="720" t="n">
        <v>3.6968</v>
      </c>
      <c r="J774" s="721" t="n">
        <v>3.6968</v>
      </c>
      <c r="K774" s="722" t="n">
        <v>0.008076417397837349</v>
      </c>
      <c r="L774" s="721" t="n">
        <v>3.7871</v>
      </c>
      <c r="M774" s="722" t="n">
        <v>0.0161528347956747</v>
      </c>
      <c r="N774" s="758" t="n">
        <v>0.28611</v>
      </c>
      <c r="O774" s="724" t="n">
        <v>-1.446766</v>
      </c>
      <c r="P774" s="725" t="n">
        <v>-0.01254796250155953</v>
      </c>
      <c r="Q774" s="726" t="n">
        <v>-1</v>
      </c>
      <c r="R774" s="727" t="n">
        <v>113.85211219</v>
      </c>
      <c r="S774" s="719" t="inlineStr">
        <is>
          <t>1H 34M 0S</t>
        </is>
      </c>
      <c r="T774" s="728" t="n"/>
      <c r="U774" s="729" t="n"/>
      <c r="V774" s="807" t="n">
        <v>3.7567</v>
      </c>
      <c r="W774" s="725" t="n">
        <v>0.007995921543373802</v>
      </c>
      <c r="X774" s="722" t="n">
        <v>0.008027250402682845</v>
      </c>
      <c r="Y774" s="728" t="n"/>
      <c r="Z774" s="729" t="n"/>
      <c r="AA774" s="730" t="n"/>
      <c r="AB774" s="731" t="n"/>
      <c r="AC774" s="732" t="n"/>
      <c r="AD774" s="719" t="inlineStr">
        <is>
          <t>No</t>
        </is>
      </c>
      <c r="AE774" s="733" t="n"/>
      <c r="AF774" s="733" t="n"/>
      <c r="AG774" s="733" t="n"/>
      <c r="AH774" s="733" t="n"/>
      <c r="AI774" s="719" t="inlineStr">
        <is>
          <t>Limit</t>
        </is>
      </c>
      <c r="AJ774" s="733" t="n"/>
      <c r="AK774" s="733" t="n"/>
      <c r="AL774" s="733" t="n"/>
      <c r="AM774" s="733" t="n"/>
      <c r="AN774" s="733" t="n"/>
      <c r="AO774" s="733" t="n"/>
      <c r="AP774" s="719" t="inlineStr">
        <is>
          <t>Pullback</t>
        </is>
      </c>
      <c r="AQ774" s="719" t="inlineStr">
        <is>
          <t>15MIN</t>
        </is>
      </c>
      <c r="AR774" s="719" t="inlineStr">
        <is>
          <t>No</t>
        </is>
      </c>
      <c r="AS774" s="733" t="n"/>
      <c r="AT774" s="733" t="n"/>
      <c r="AU774" s="733" t="n"/>
      <c r="AV774" s="733" t="n"/>
      <c r="AW774" s="719" t="inlineStr">
        <is>
          <t>trade</t>
        </is>
      </c>
      <c r="AX774" s="734" t="inlineStr">
        <is>
          <t>sig:8756cc2d54a26b5cd628df25</t>
        </is>
      </c>
    </row>
    <row r="775" ht="15" customHeight="1">
      <c r="A775" s="716" t="inlineStr">
        <is>
          <t>C13</t>
        </is>
      </c>
      <c r="B775" s="717" t="n">
        <v>43940.10486111111</v>
      </c>
      <c r="C775" s="718" t="n">
        <v>43940.17152777778</v>
      </c>
      <c r="D775" s="719" t="inlineStr">
        <is>
          <t>BINANCE</t>
        </is>
      </c>
      <c r="E775" s="719" t="inlineStr">
        <is>
          <t>LINKUSDT</t>
        </is>
      </c>
      <c r="F775" s="719" t="inlineStr">
        <is>
          <t>BUY</t>
        </is>
      </c>
      <c r="G775" s="720" t="n">
        <v>41.13</v>
      </c>
      <c r="H775" s="720" t="n">
        <v>3.6465</v>
      </c>
      <c r="I775" s="720" t="n">
        <v>3.6465</v>
      </c>
      <c r="J775" s="721" t="n">
        <v>3.6182</v>
      </c>
      <c r="K775" s="722" t="n">
        <v>0.007760866584396055</v>
      </c>
      <c r="L775" s="721" t="n">
        <v>3.7031</v>
      </c>
      <c r="M775" s="722" t="n">
        <v>0.01552173316879199</v>
      </c>
      <c r="N775" s="758" t="n">
        <v>0.29970585</v>
      </c>
      <c r="O775" s="724" t="n">
        <v>-0.29970585</v>
      </c>
      <c r="P775" s="725" t="n">
        <v>-0.002592642915905391</v>
      </c>
      <c r="Q775" s="726" t="n">
        <v>0</v>
      </c>
      <c r="R775" s="727" t="n">
        <v>115.29887819</v>
      </c>
      <c r="S775" s="719" t="inlineStr">
        <is>
          <t>1H 36M 0S</t>
        </is>
      </c>
      <c r="T775" s="717" t="n">
        <v>43939.73125</v>
      </c>
      <c r="U775" s="806" t="inlineStr">
        <is>
          <t>1H 1M 8S</t>
        </is>
      </c>
      <c r="V775" s="807" t="n">
        <v>3.6784</v>
      </c>
      <c r="W775" s="725" t="n">
        <v>0.008748114630467521</v>
      </c>
      <c r="X775" s="722" t="n">
        <v>0.006670087224217592</v>
      </c>
      <c r="Y775" s="728" t="n"/>
      <c r="Z775" s="729" t="n"/>
      <c r="AA775" s="730" t="n"/>
      <c r="AB775" s="731" t="n"/>
      <c r="AC775" s="732" t="n"/>
      <c r="AD775" s="719" t="inlineStr">
        <is>
          <t>No</t>
        </is>
      </c>
      <c r="AE775" s="733" t="n"/>
      <c r="AF775" s="733" t="n"/>
      <c r="AG775" s="733" t="n"/>
      <c r="AH775" s="733" t="n"/>
      <c r="AI775" s="719" t="inlineStr">
        <is>
          <t>Limit</t>
        </is>
      </c>
      <c r="AJ775" s="733" t="n"/>
      <c r="AK775" s="733" t="n"/>
      <c r="AL775" s="733" t="n"/>
      <c r="AM775" s="733" t="n"/>
      <c r="AN775" s="733" t="n"/>
      <c r="AO775" s="733" t="n"/>
      <c r="AP775" s="719" t="inlineStr">
        <is>
          <t>Pullback</t>
        </is>
      </c>
      <c r="AQ775" s="719" t="inlineStr">
        <is>
          <t>15MIN</t>
        </is>
      </c>
      <c r="AR775" s="719" t="inlineStr">
        <is>
          <t>No</t>
        </is>
      </c>
      <c r="AS775" s="733" t="n"/>
      <c r="AT775" s="733" t="n"/>
      <c r="AU775" s="733" t="n"/>
      <c r="AV775" s="733" t="n"/>
      <c r="AW775" s="719" t="inlineStr">
        <is>
          <t>trade</t>
        </is>
      </c>
      <c r="AX775" s="734" t="inlineStr">
        <is>
          <t>sig:67241441a3ec781a1dae92b3</t>
        </is>
      </c>
    </row>
    <row r="776" ht="15" customHeight="1">
      <c r="A776" s="716" t="inlineStr">
        <is>
          <t>C12</t>
        </is>
      </c>
      <c r="B776" s="717" t="n">
        <v>43939.69722222222</v>
      </c>
      <c r="C776" s="718" t="n">
        <v>43939.70694444444</v>
      </c>
      <c r="D776" s="719" t="inlineStr">
        <is>
          <t>BINANCE</t>
        </is>
      </c>
      <c r="E776" s="719" t="inlineStr">
        <is>
          <t>BNBUSDT</t>
        </is>
      </c>
      <c r="F776" s="719" t="inlineStr">
        <is>
          <t>BUY</t>
        </is>
      </c>
      <c r="G776" s="720" t="n">
        <v>15.23</v>
      </c>
      <c r="H776" s="720" t="n">
        <v>15.8993</v>
      </c>
      <c r="I776" s="720" t="n">
        <v>15.8396</v>
      </c>
      <c r="J776" s="721" t="n">
        <v>15.822</v>
      </c>
      <c r="K776" s="722" t="n">
        <v>0.004861849263804132</v>
      </c>
      <c r="L776" s="721" t="n">
        <v>16.0539</v>
      </c>
      <c r="M776" s="722" t="n">
        <v>0.00972369852760804</v>
      </c>
      <c r="N776" s="758" t="n">
        <v>0.3959726</v>
      </c>
      <c r="O776" s="724" t="n">
        <v>-1.2991116</v>
      </c>
      <c r="P776" s="725" t="n">
        <v>-0.0111132353198883</v>
      </c>
      <c r="Q776" s="726" t="n">
        <v>-0.7723156532988179</v>
      </c>
      <c r="R776" s="727" t="n">
        <v>115.59858404</v>
      </c>
      <c r="S776" s="719" t="inlineStr">
        <is>
          <t>14M 0S</t>
        </is>
      </c>
      <c r="T776" s="728" t="n"/>
      <c r="U776" s="729" t="n"/>
      <c r="V776" s="807" t="n">
        <v>15.9739</v>
      </c>
      <c r="W776" s="725" t="n">
        <v>0.004692030466750123</v>
      </c>
      <c r="X776" s="722" t="n">
        <v>0.004983212801873582</v>
      </c>
      <c r="Y776" s="728" t="n"/>
      <c r="Z776" s="729" t="n"/>
      <c r="AA776" s="730" t="n"/>
      <c r="AB776" s="731" t="n"/>
      <c r="AC776" s="732" t="n"/>
      <c r="AD776" s="719" t="inlineStr">
        <is>
          <t>No</t>
        </is>
      </c>
      <c r="AE776" s="733" t="n"/>
      <c r="AF776" s="733" t="n"/>
      <c r="AG776" s="733" t="n"/>
      <c r="AH776" s="733" t="n"/>
      <c r="AI776" s="719" t="inlineStr">
        <is>
          <t>Limit</t>
        </is>
      </c>
      <c r="AJ776" s="733" t="n"/>
      <c r="AK776" s="733" t="n"/>
      <c r="AL776" s="733" t="n"/>
      <c r="AM776" s="733" t="n"/>
      <c r="AN776" s="733" t="n"/>
      <c r="AO776" s="733" t="n"/>
      <c r="AP776" s="719" t="inlineStr">
        <is>
          <t>Pullback</t>
        </is>
      </c>
      <c r="AQ776" s="719" t="inlineStr">
        <is>
          <t>15MIN</t>
        </is>
      </c>
      <c r="AR776" s="719" t="inlineStr">
        <is>
          <t>No</t>
        </is>
      </c>
      <c r="AS776" s="733" t="n"/>
      <c r="AT776" s="733" t="n"/>
      <c r="AU776" s="733" t="n"/>
      <c r="AV776" s="733" t="n"/>
      <c r="AW776" s="719" t="inlineStr">
        <is>
          <t>trade</t>
        </is>
      </c>
      <c r="AX776" s="734" t="inlineStr">
        <is>
          <t>sig:5a917098206cac1c2d5090bb</t>
        </is>
      </c>
    </row>
    <row r="777" ht="15" customHeight="1">
      <c r="A777" s="716" t="inlineStr">
        <is>
          <t>F733</t>
        </is>
      </c>
      <c r="B777" s="717" t="n">
        <v>43938.79930555556</v>
      </c>
      <c r="C777" s="718" t="n">
        <v>43938.93402777778</v>
      </c>
      <c r="D777" s="719" t="inlineStr">
        <is>
          <t>PEPPERSTONE DEMO</t>
        </is>
      </c>
      <c r="E777" s="719" t="inlineStr">
        <is>
          <t>AUDNZD</t>
        </is>
      </c>
      <c r="F777" s="719" t="inlineStr">
        <is>
          <t>BUY</t>
        </is>
      </c>
      <c r="G777" s="735" t="n">
        <v>0.02</v>
      </c>
      <c r="H777" s="720" t="n">
        <v>1.0572</v>
      </c>
      <c r="I777" s="720" t="n">
        <v>1.0553</v>
      </c>
      <c r="J777" s="721" t="n">
        <v>1.0553</v>
      </c>
      <c r="K777" s="722" t="n">
        <v>0.001797200151343183</v>
      </c>
      <c r="L777" s="721" t="n">
        <v>1.061</v>
      </c>
      <c r="M777" s="722" t="n">
        <v>0.003594400302686366</v>
      </c>
      <c r="N777" s="788" t="n"/>
      <c r="O777" s="762" t="n">
        <v>-3.6</v>
      </c>
      <c r="P777" s="725" t="n">
        <v>-0.007108302892684371</v>
      </c>
      <c r="Q777" s="726" t="n">
        <v>-1</v>
      </c>
      <c r="R777" s="764" t="n">
        <v>502.85</v>
      </c>
      <c r="S777" s="719" t="inlineStr">
        <is>
          <t>3H 14M 0S</t>
        </is>
      </c>
      <c r="T777" s="728" t="n"/>
      <c r="U777" s="729" t="n"/>
      <c r="V777" s="807" t="n">
        <v>1.0592</v>
      </c>
      <c r="W777" s="725" t="n">
        <v>-0.002000000000000002</v>
      </c>
      <c r="X777" s="722" t="n">
        <v>0.001800000000000024</v>
      </c>
      <c r="Y777" s="728" t="n"/>
      <c r="Z777" s="729" t="n"/>
      <c r="AA777" s="730" t="n"/>
      <c r="AB777" s="731" t="n"/>
      <c r="AC777" s="732" t="n"/>
      <c r="AD777" s="719" t="inlineStr">
        <is>
          <t>No</t>
        </is>
      </c>
      <c r="AE777" s="733" t="n"/>
      <c r="AF777" s="733" t="n"/>
      <c r="AG777" s="733" t="n"/>
      <c r="AH777" s="733" t="n"/>
      <c r="AI777" s="719" t="inlineStr">
        <is>
          <t>Limit</t>
        </is>
      </c>
      <c r="AJ777" s="733" t="n"/>
      <c r="AK777" s="733" t="n"/>
      <c r="AL777" s="733" t="n"/>
      <c r="AM777" s="733" t="n"/>
      <c r="AN777" s="733" t="n"/>
      <c r="AO777" s="733" t="n"/>
      <c r="AP777" s="719" t="inlineStr">
        <is>
          <t>Pullback</t>
        </is>
      </c>
      <c r="AQ777" s="719" t="inlineStr">
        <is>
          <t>1H</t>
        </is>
      </c>
      <c r="AR777" s="719" t="inlineStr">
        <is>
          <t>No</t>
        </is>
      </c>
      <c r="AS777" s="733" t="n"/>
      <c r="AT777" s="733" t="n"/>
      <c r="AU777" s="733" t="n"/>
      <c r="AV777" s="733" t="n"/>
      <c r="AW777" s="719" t="inlineStr">
        <is>
          <t>trade</t>
        </is>
      </c>
      <c r="AX777" s="734" t="inlineStr">
        <is>
          <t>sig:f6381ddbe8f451eb603b4ac6</t>
        </is>
      </c>
    </row>
    <row r="778" ht="15" customHeight="1">
      <c r="A778" s="716" t="inlineStr">
        <is>
          <t>C11</t>
        </is>
      </c>
      <c r="B778" s="717" t="n">
        <v>43938.89166666667</v>
      </c>
      <c r="C778" s="718" t="n">
        <v>43938.90625</v>
      </c>
      <c r="D778" s="719" t="inlineStr">
        <is>
          <t>BINANCE</t>
        </is>
      </c>
      <c r="E778" s="719" t="inlineStr">
        <is>
          <t>BTCUSDT</t>
        </is>
      </c>
      <c r="F778" s="719" t="inlineStr">
        <is>
          <t>BUY</t>
        </is>
      </c>
      <c r="G778" s="735" t="n">
        <v>0.04</v>
      </c>
      <c r="H778" s="720" t="n">
        <v>7082.8</v>
      </c>
      <c r="I778" s="720" t="n">
        <v>7057.63</v>
      </c>
      <c r="J778" s="721" t="n">
        <v>7055.64</v>
      </c>
      <c r="K778" s="722" t="n">
        <v>0.00383464166713727</v>
      </c>
      <c r="L778" s="721" t="n">
        <v>7137.12</v>
      </c>
      <c r="M778" s="722" t="n">
        <v>0.007669283334274539</v>
      </c>
      <c r="N778" s="758" t="n">
        <v>0.61613914</v>
      </c>
      <c r="O778" s="724" t="n">
        <v>-1.73092176</v>
      </c>
      <c r="P778" s="725" t="n">
        <v>-0.01459109781380627</v>
      </c>
      <c r="Q778" s="726" t="n">
        <v>-0.9267304860088442</v>
      </c>
      <c r="R778" s="727" t="n">
        <v>116.89769564</v>
      </c>
      <c r="S778" s="719" t="inlineStr">
        <is>
          <t>21M 0S</t>
        </is>
      </c>
      <c r="T778" s="728" t="n"/>
      <c r="U778" s="729" t="n"/>
      <c r="V778" s="807" t="n">
        <v>7106.93</v>
      </c>
      <c r="W778" s="725" t="n">
        <v>0.003406844750663595</v>
      </c>
      <c r="X778" s="722" t="n">
        <v>0.004229997534019268</v>
      </c>
      <c r="Y778" s="728" t="n"/>
      <c r="Z778" s="729" t="n"/>
      <c r="AA778" s="730" t="n"/>
      <c r="AB778" s="731" t="n"/>
      <c r="AC778" s="732" t="n"/>
      <c r="AD778" s="719" t="inlineStr">
        <is>
          <t>No</t>
        </is>
      </c>
      <c r="AE778" s="733" t="n"/>
      <c r="AF778" s="733" t="n"/>
      <c r="AG778" s="733" t="n"/>
      <c r="AH778" s="733" t="n"/>
      <c r="AI778" s="719" t="inlineStr">
        <is>
          <t>Limit</t>
        </is>
      </c>
      <c r="AJ778" s="733" t="n"/>
      <c r="AK778" s="733" t="n"/>
      <c r="AL778" s="733" t="n"/>
      <c r="AM778" s="733" t="n"/>
      <c r="AN778" s="733" t="n"/>
      <c r="AO778" s="733" t="n"/>
      <c r="AP778" s="719" t="inlineStr">
        <is>
          <t>Pullback</t>
        </is>
      </c>
      <c r="AQ778" s="719" t="inlineStr">
        <is>
          <t>15MIN</t>
        </is>
      </c>
      <c r="AR778" s="719" t="inlineStr">
        <is>
          <t>No</t>
        </is>
      </c>
      <c r="AS778" s="733" t="n"/>
      <c r="AT778" s="733" t="n"/>
      <c r="AU778" s="733" t="n"/>
      <c r="AV778" s="733" t="n"/>
      <c r="AW778" s="719" t="inlineStr">
        <is>
          <t>trade</t>
        </is>
      </c>
      <c r="AX778" s="734" t="inlineStr">
        <is>
          <t>sig:a73fd97a2c17b01b25055061</t>
        </is>
      </c>
    </row>
    <row r="779" ht="15" customHeight="1">
      <c r="A779" s="716" t="inlineStr">
        <is>
          <t>C10</t>
        </is>
      </c>
      <c r="B779" s="717" t="n">
        <v>43938.66805555556</v>
      </c>
      <c r="C779" s="718" t="n">
        <v>43938.69097222222</v>
      </c>
      <c r="D779" s="719" t="inlineStr">
        <is>
          <t>BINANCE</t>
        </is>
      </c>
      <c r="E779" s="719" t="inlineStr">
        <is>
          <t>BCHUSDT</t>
        </is>
      </c>
      <c r="F779" s="719" t="inlineStr">
        <is>
          <t>BUY</t>
        </is>
      </c>
      <c r="G779" s="720" t="n">
        <v>0.7</v>
      </c>
      <c r="H779" s="720" t="n">
        <v>230.96</v>
      </c>
      <c r="I779" s="720" t="n">
        <v>230.3</v>
      </c>
      <c r="J779" s="721" t="n">
        <v>229.25</v>
      </c>
      <c r="K779" s="722" t="n">
        <v>0.007403879459646726</v>
      </c>
      <c r="L779" s="721" t="n">
        <v>234.38</v>
      </c>
      <c r="M779" s="722" t="n">
        <v>0.01480775891929333</v>
      </c>
      <c r="N779" s="758" t="n">
        <v>0.31671484</v>
      </c>
      <c r="O779" s="724" t="n">
        <v>-0.80901084</v>
      </c>
      <c r="P779" s="725" t="n">
        <v>-0.006773500545191336</v>
      </c>
      <c r="Q779" s="726" t="n">
        <v>-0.385964912280698</v>
      </c>
      <c r="R779" s="727" t="n">
        <v>118.6286174</v>
      </c>
      <c r="S779" s="719" t="inlineStr">
        <is>
          <t>33M 0S</t>
        </is>
      </c>
      <c r="T779" s="728" t="n"/>
      <c r="U779" s="729" t="n"/>
      <c r="V779" s="807" t="n">
        <v>232.79</v>
      </c>
      <c r="W779" s="725" t="n">
        <v>0.007923449948042881</v>
      </c>
      <c r="X779" s="722" t="n">
        <v>0.006783855277754089</v>
      </c>
      <c r="Y779" s="728" t="n"/>
      <c r="Z779" s="729" t="n"/>
      <c r="AA779" s="730" t="n"/>
      <c r="AB779" s="731" t="n"/>
      <c r="AC779" s="732" t="n"/>
      <c r="AD779" s="719" t="inlineStr">
        <is>
          <t>No</t>
        </is>
      </c>
      <c r="AE779" s="733" t="n"/>
      <c r="AF779" s="733" t="n"/>
      <c r="AG779" s="733" t="n"/>
      <c r="AH779" s="733" t="n"/>
      <c r="AI779" s="719" t="inlineStr">
        <is>
          <t>Limit</t>
        </is>
      </c>
      <c r="AJ779" s="733" t="n"/>
      <c r="AK779" s="733" t="n"/>
      <c r="AL779" s="733" t="n"/>
      <c r="AM779" s="733" t="n"/>
      <c r="AN779" s="733" t="n"/>
      <c r="AO779" s="733" t="n"/>
      <c r="AP779" s="719" t="inlineStr">
        <is>
          <t>Pullback</t>
        </is>
      </c>
      <c r="AQ779" s="719" t="inlineStr">
        <is>
          <t>15MIN</t>
        </is>
      </c>
      <c r="AR779" s="719" t="inlineStr">
        <is>
          <t>No</t>
        </is>
      </c>
      <c r="AS779" s="733" t="n"/>
      <c r="AT779" s="733" t="n"/>
      <c r="AU779" s="733" t="n"/>
      <c r="AV779" s="733" t="n"/>
      <c r="AW779" s="719" t="inlineStr">
        <is>
          <t>trade</t>
        </is>
      </c>
      <c r="AX779" s="734" t="inlineStr">
        <is>
          <t>sig:e78397477034ce6c40a6cd7d</t>
        </is>
      </c>
    </row>
    <row r="780" ht="15" customHeight="1">
      <c r="A780" s="716" t="inlineStr">
        <is>
          <t>C9</t>
        </is>
      </c>
      <c r="B780" s="717" t="n">
        <v>43938.54097222222</v>
      </c>
      <c r="C780" s="718" t="n">
        <v>43938.62152777778</v>
      </c>
      <c r="D780" s="719" t="inlineStr">
        <is>
          <t>BINANCE</t>
        </is>
      </c>
      <c r="E780" s="719" t="inlineStr">
        <is>
          <t>BTCUSDT</t>
        </is>
      </c>
      <c r="F780" s="719" t="inlineStr">
        <is>
          <t>BUY</t>
        </is>
      </c>
      <c r="G780" s="735" t="n">
        <v>0.03</v>
      </c>
      <c r="H780" s="720" t="n">
        <v>7062.89</v>
      </c>
      <c r="I780" s="720" t="n">
        <v>7020.86</v>
      </c>
      <c r="J780" s="721" t="n">
        <v>7020.86</v>
      </c>
      <c r="K780" s="722" t="n">
        <v>0.005950821830723776</v>
      </c>
      <c r="L780" s="721" t="n">
        <v>7146.95</v>
      </c>
      <c r="M780" s="722" t="n">
        <v>0.01190164366144729</v>
      </c>
      <c r="N780" s="758" t="n">
        <v>0.40822515</v>
      </c>
      <c r="O780" s="724" t="n">
        <v>-1.62709515</v>
      </c>
      <c r="P780" s="725" t="n">
        <v>-0.01343987831003791</v>
      </c>
      <c r="Q780" s="726" t="n">
        <v>-1</v>
      </c>
      <c r="R780" s="727" t="n">
        <v>119.43762824</v>
      </c>
      <c r="S780" s="719" t="inlineStr">
        <is>
          <t>1H 56M 0S</t>
        </is>
      </c>
      <c r="T780" s="728" t="n"/>
      <c r="U780" s="729" t="n"/>
      <c r="V780" s="807" t="n">
        <v>7107.06</v>
      </c>
      <c r="W780" s="725" t="n">
        <v>0.006253813948681074</v>
      </c>
      <c r="X780" s="722" t="n">
        <v>0.005581401856736009</v>
      </c>
      <c r="Y780" s="728" t="n"/>
      <c r="Z780" s="729" t="n"/>
      <c r="AA780" s="730" t="n"/>
      <c r="AB780" s="731" t="n"/>
      <c r="AC780" s="732" t="n"/>
      <c r="AD780" s="719" t="inlineStr">
        <is>
          <t>No</t>
        </is>
      </c>
      <c r="AE780" s="733" t="n"/>
      <c r="AF780" s="733" t="n"/>
      <c r="AG780" s="733" t="n"/>
      <c r="AH780" s="733" t="n"/>
      <c r="AI780" s="719" t="inlineStr">
        <is>
          <t>Limit</t>
        </is>
      </c>
      <c r="AJ780" s="733" t="n"/>
      <c r="AK780" s="733" t="n"/>
      <c r="AL780" s="733" t="n"/>
      <c r="AM780" s="733" t="n"/>
      <c r="AN780" s="733" t="n"/>
      <c r="AO780" s="733" t="n"/>
      <c r="AP780" s="719" t="inlineStr">
        <is>
          <t>Pullback</t>
        </is>
      </c>
      <c r="AQ780" s="719" t="inlineStr">
        <is>
          <t>15MIN</t>
        </is>
      </c>
      <c r="AR780" s="719" t="inlineStr">
        <is>
          <t>No</t>
        </is>
      </c>
      <c r="AS780" s="733" t="n"/>
      <c r="AT780" s="733" t="n"/>
      <c r="AU780" s="733" t="n"/>
      <c r="AV780" s="733" t="n"/>
      <c r="AW780" s="719" t="inlineStr">
        <is>
          <t>trade</t>
        </is>
      </c>
      <c r="AX780" s="734" t="inlineStr">
        <is>
          <t>sig:a3cbbe7bb69f858ed0555f3e</t>
        </is>
      </c>
    </row>
    <row r="781" ht="15" customHeight="1">
      <c r="A781" s="737" t="inlineStr">
        <is>
          <t>C8</t>
        </is>
      </c>
      <c r="B781" s="738" t="n">
        <v>43938.08402777778</v>
      </c>
      <c r="C781" s="739" t="n">
        <v>43938.33333333334</v>
      </c>
      <c r="D781" s="740" t="inlineStr">
        <is>
          <t>BINANCE</t>
        </is>
      </c>
      <c r="E781" s="740" t="inlineStr">
        <is>
          <t>BTCUSDT</t>
        </is>
      </c>
      <c r="F781" s="740" t="inlineStr">
        <is>
          <t>BUY</t>
        </is>
      </c>
      <c r="G781" s="775" t="n">
        <v>0.02</v>
      </c>
      <c r="H781" s="742" t="n">
        <v>6978.61</v>
      </c>
      <c r="I781" s="742" t="n">
        <v>7102.36</v>
      </c>
      <c r="J781" s="743" t="n">
        <v>6930.71</v>
      </c>
      <c r="K781" s="744" t="n">
        <v>0.006863831049449624</v>
      </c>
      <c r="L781" s="743" t="n">
        <v>7074.41</v>
      </c>
      <c r="M781" s="744" t="n">
        <v>0.01372766209889938</v>
      </c>
      <c r="N781" s="745" t="n">
        <v>0.35013567</v>
      </c>
      <c r="O781" s="746" t="n">
        <v>2.72839308</v>
      </c>
      <c r="P781" s="747" t="n">
        <v>0.02305625899377275</v>
      </c>
      <c r="Q781" s="748" t="n">
        <v>2.583507306889373</v>
      </c>
      <c r="R781" s="749" t="n">
        <v>121.06472339</v>
      </c>
      <c r="S781" s="740" t="inlineStr">
        <is>
          <t>5H 59M 0S</t>
        </is>
      </c>
      <c r="T781" s="738" t="n">
        <v>43937.87986111111</v>
      </c>
      <c r="U781" s="809" t="inlineStr">
        <is>
          <t>5H 5M 44S</t>
        </is>
      </c>
      <c r="V781" s="810" t="n">
        <v>7026.14</v>
      </c>
      <c r="W781" s="747" t="n">
        <v>0.006810811895205587</v>
      </c>
      <c r="X781" s="744" t="n">
        <v>0.006823183841479293</v>
      </c>
      <c r="Y781" s="750" t="n"/>
      <c r="Z781" s="751" t="n"/>
      <c r="AA781" s="752" t="n"/>
      <c r="AB781" s="753" t="n"/>
      <c r="AC781" s="754" t="n"/>
      <c r="AD781" s="740" t="inlineStr">
        <is>
          <t>No</t>
        </is>
      </c>
      <c r="AE781" s="755" t="n"/>
      <c r="AF781" s="755" t="n"/>
      <c r="AG781" s="755" t="n"/>
      <c r="AH781" s="755" t="n"/>
      <c r="AI781" s="740" t="inlineStr">
        <is>
          <t>Limit</t>
        </is>
      </c>
      <c r="AJ781" s="755" t="n"/>
      <c r="AK781" s="755" t="n"/>
      <c r="AL781" s="755" t="n"/>
      <c r="AM781" s="755" t="n"/>
      <c r="AN781" s="755" t="n"/>
      <c r="AO781" s="755" t="n"/>
      <c r="AP781" s="740" t="inlineStr">
        <is>
          <t>Pullback</t>
        </is>
      </c>
      <c r="AQ781" s="740" t="inlineStr">
        <is>
          <t>15MIN</t>
        </is>
      </c>
      <c r="AR781" s="740" t="inlineStr">
        <is>
          <t>No</t>
        </is>
      </c>
      <c r="AS781" s="755" t="n"/>
      <c r="AT781" s="755" t="n"/>
      <c r="AU781" s="755" t="n"/>
      <c r="AV781" s="755" t="n"/>
      <c r="AW781" s="740" t="inlineStr">
        <is>
          <t>trade</t>
        </is>
      </c>
      <c r="AX781" s="756" t="inlineStr">
        <is>
          <t>sig:2c8e3b3fb2531c24ea25a8af</t>
        </is>
      </c>
    </row>
    <row r="782" ht="15" customHeight="1">
      <c r="A782" s="716" t="inlineStr">
        <is>
          <t>F732</t>
        </is>
      </c>
      <c r="B782" s="717" t="n">
        <v>43937.99375</v>
      </c>
      <c r="C782" s="718" t="n">
        <v>43938.10555555556</v>
      </c>
      <c r="D782" s="719" t="inlineStr">
        <is>
          <t>PEPPERSTONE DEMO</t>
        </is>
      </c>
      <c r="E782" s="719" t="inlineStr">
        <is>
          <t>NZDCHF</t>
        </is>
      </c>
      <c r="F782" s="719" t="inlineStr">
        <is>
          <t>BUY</t>
        </is>
      </c>
      <c r="G782" s="735" t="n">
        <v>0.02</v>
      </c>
      <c r="H782" s="720" t="n">
        <v>0.5767</v>
      </c>
      <c r="I782" s="720" t="n">
        <v>0.57538</v>
      </c>
      <c r="J782" s="721" t="n">
        <v>0.5753</v>
      </c>
      <c r="K782" s="722" t="n">
        <v>0.002427605340731675</v>
      </c>
      <c r="L782" s="721" t="n">
        <v>0.5795</v>
      </c>
      <c r="M782" s="722" t="n">
        <v>0.004855210681463542</v>
      </c>
      <c r="N782" s="761" t="n"/>
      <c r="O782" s="762" t="n">
        <v>-4.59</v>
      </c>
      <c r="P782" s="725" t="n">
        <v>-0.008981684408265498</v>
      </c>
      <c r="Q782" s="726" t="n">
        <v>-0.9428571428571633</v>
      </c>
      <c r="R782" s="764" t="n">
        <v>506.45</v>
      </c>
      <c r="S782" s="719" t="inlineStr">
        <is>
          <t>2H 41M 0S</t>
        </is>
      </c>
      <c r="T782" s="717" t="n"/>
      <c r="U782" s="806" t="n"/>
      <c r="V782" s="807" t="n">
        <v>0.5782</v>
      </c>
      <c r="W782" s="725" t="n"/>
      <c r="X782" s="722" t="n"/>
      <c r="Y782" s="728" t="n"/>
      <c r="Z782" s="729" t="n"/>
      <c r="AA782" s="730" t="n"/>
      <c r="AB782" s="731" t="n"/>
      <c r="AC782" s="732" t="n"/>
      <c r="AD782" s="719" t="inlineStr">
        <is>
          <t>No</t>
        </is>
      </c>
      <c r="AE782" s="733" t="n"/>
      <c r="AF782" s="733" t="n"/>
      <c r="AG782" s="733" t="n"/>
      <c r="AH782" s="733" t="n"/>
      <c r="AI782" s="719" t="inlineStr">
        <is>
          <t>Limit</t>
        </is>
      </c>
      <c r="AJ782" s="733" t="n"/>
      <c r="AK782" s="733" t="n"/>
      <c r="AL782" s="733" t="n"/>
      <c r="AM782" s="733" t="n"/>
      <c r="AN782" s="733" t="n"/>
      <c r="AO782" s="733" t="n"/>
      <c r="AP782" s="719" t="inlineStr">
        <is>
          <t>Pullback</t>
        </is>
      </c>
      <c r="AQ782" s="719" t="inlineStr">
        <is>
          <t>1H</t>
        </is>
      </c>
      <c r="AR782" s="719" t="inlineStr">
        <is>
          <t>No</t>
        </is>
      </c>
      <c r="AS782" s="733" t="n"/>
      <c r="AT782" s="733" t="n"/>
      <c r="AU782" s="733" t="n"/>
      <c r="AV782" s="733" t="n"/>
      <c r="AW782" s="719" t="inlineStr">
        <is>
          <t>trade</t>
        </is>
      </c>
      <c r="AX782" s="734" t="inlineStr">
        <is>
          <t>sig:472253036e6be7340fbadc02</t>
        </is>
      </c>
    </row>
    <row r="783" ht="15" customHeight="1">
      <c r="A783" s="42" t="inlineStr">
        <is>
          <t>F731</t>
        </is>
      </c>
      <c r="B783" s="770" t="n">
        <v>43937.77222222222</v>
      </c>
      <c r="C783" s="771" t="n">
        <v>43937.85069444445</v>
      </c>
      <c r="D783" s="12" t="inlineStr">
        <is>
          <t>PEPPERSTONE DEMO</t>
        </is>
      </c>
      <c r="E783" s="12" t="inlineStr">
        <is>
          <t>USDCHF</t>
        </is>
      </c>
      <c r="F783" s="12" t="inlineStr">
        <is>
          <t>BUY</t>
        </is>
      </c>
      <c r="G783" s="272" t="n">
        <v>0.03</v>
      </c>
      <c r="H783" s="262" t="n">
        <v>0.96648</v>
      </c>
      <c r="I783" s="262" t="n">
        <v>0.96648</v>
      </c>
      <c r="J783" s="263" t="n">
        <v>0.9651999999999999</v>
      </c>
      <c r="K783" s="36" t="n">
        <v>0.001324393676020258</v>
      </c>
      <c r="L783" s="263" t="n">
        <v>0.9688</v>
      </c>
      <c r="M783" s="36" t="n">
        <v>0.002400463537786595</v>
      </c>
      <c r="N783" s="772" t="n"/>
      <c r="O783" s="773" t="n">
        <v>0</v>
      </c>
      <c r="P783" s="3" t="n">
        <v>0</v>
      </c>
      <c r="Q783" s="51" t="n">
        <v>0</v>
      </c>
      <c r="R783" s="54" t="n">
        <v>511.04</v>
      </c>
      <c r="S783" s="12" t="inlineStr">
        <is>
          <t>1H 53M 0S</t>
        </is>
      </c>
      <c r="T783" s="770" t="n">
        <v>43937.81041666667</v>
      </c>
      <c r="U783" s="4" t="inlineStr">
        <is>
          <t>55M 0S</t>
        </is>
      </c>
      <c r="V783" s="269" t="n">
        <v>0.9676</v>
      </c>
      <c r="W783" s="3" t="n">
        <v>-0.00112000000000001</v>
      </c>
      <c r="X783" s="36" t="n">
        <v>0.001199999999999979</v>
      </c>
      <c r="Y783" s="774" t="n"/>
      <c r="Z783" s="6" t="n"/>
      <c r="AA783" s="264" t="n"/>
      <c r="AB783" s="9" t="n"/>
      <c r="AC783" s="46" t="n"/>
      <c r="AD783" s="12" t="inlineStr">
        <is>
          <t>No</t>
        </is>
      </c>
      <c r="AE783" s="45" t="n"/>
      <c r="AF783" s="45" t="n"/>
      <c r="AG783" s="45" t="n"/>
      <c r="AH783" s="45" t="n"/>
      <c r="AI783" s="12" t="inlineStr">
        <is>
          <t>Limit</t>
        </is>
      </c>
      <c r="AJ783" s="45" t="n"/>
      <c r="AK783" s="45" t="n"/>
      <c r="AL783" s="45" t="n"/>
      <c r="AM783" s="45" t="n"/>
      <c r="AN783" s="45" t="n"/>
      <c r="AO783" s="45" t="n"/>
      <c r="AP783" s="12" t="inlineStr">
        <is>
          <t>Pullback</t>
        </is>
      </c>
      <c r="AQ783" s="12" t="inlineStr">
        <is>
          <t>1H</t>
        </is>
      </c>
      <c r="AR783" s="12" t="inlineStr">
        <is>
          <t>Yes</t>
        </is>
      </c>
      <c r="AS783" s="45" t="n"/>
      <c r="AT783" s="45" t="n"/>
      <c r="AU783" s="45" t="n"/>
      <c r="AV783" s="45" t="n"/>
      <c r="AW783" s="12" t="inlineStr">
        <is>
          <t>trade</t>
        </is>
      </c>
      <c r="AX783" s="57" t="inlineStr">
        <is>
          <t>sig:952bd83b88da6cfbf629f9b8</t>
        </is>
      </c>
    </row>
    <row r="784" ht="15" customHeight="1">
      <c r="A784" s="716" t="inlineStr">
        <is>
          <t>F730</t>
        </is>
      </c>
      <c r="B784" s="717" t="n">
        <v>43937.47916666666</v>
      </c>
      <c r="C784" s="718" t="n">
        <v>43937.48819444444</v>
      </c>
      <c r="D784" s="719" t="inlineStr">
        <is>
          <t>PEPPERSTONE LIVE</t>
        </is>
      </c>
      <c r="E784" s="719" t="inlineStr">
        <is>
          <t>AUDUSD</t>
        </is>
      </c>
      <c r="F784" s="719" t="inlineStr">
        <is>
          <t>BUY</t>
        </is>
      </c>
      <c r="G784" s="735" t="n">
        <v>0.02</v>
      </c>
      <c r="H784" s="720" t="n">
        <v>0.6298</v>
      </c>
      <c r="I784" s="720" t="n">
        <v>0.62929</v>
      </c>
      <c r="J784" s="721" t="n">
        <v>0.6288</v>
      </c>
      <c r="K784" s="722" t="n">
        <v>0.001587805652588124</v>
      </c>
      <c r="L784" s="721" t="n">
        <v>0.6318</v>
      </c>
      <c r="M784" s="722" t="n">
        <v>0.003175611305176249</v>
      </c>
      <c r="N784" s="788" t="n"/>
      <c r="O784" s="762" t="n">
        <v>-1.81</v>
      </c>
      <c r="P784" s="725" t="n">
        <v>-0.004045325525780569</v>
      </c>
      <c r="Q784" s="726" t="n">
        <v>-0.51000000000001</v>
      </c>
      <c r="R784" s="764" t="n">
        <v>445.62</v>
      </c>
      <c r="S784" s="719" t="inlineStr">
        <is>
          <t>13M 0S</t>
        </is>
      </c>
      <c r="T784" s="728" t="n"/>
      <c r="U784" s="729" t="n"/>
      <c r="V784" s="807" t="n">
        <v>0.631</v>
      </c>
      <c r="W784" s="725" t="n">
        <v>-0.001199999999999979</v>
      </c>
      <c r="X784" s="760" t="n">
        <v>0.0008000000000000229</v>
      </c>
      <c r="Y784" s="728" t="n"/>
      <c r="Z784" s="729" t="n"/>
      <c r="AA784" s="730" t="n"/>
      <c r="AB784" s="731" t="n"/>
      <c r="AC784" s="732" t="n"/>
      <c r="AD784" s="719" t="inlineStr">
        <is>
          <t>No</t>
        </is>
      </c>
      <c r="AE784" s="733" t="n"/>
      <c r="AF784" s="733" t="n"/>
      <c r="AG784" s="733" t="n"/>
      <c r="AH784" s="733" t="n"/>
      <c r="AI784" s="719" t="inlineStr">
        <is>
          <t>Limit</t>
        </is>
      </c>
      <c r="AJ784" s="733" t="n"/>
      <c r="AK784" s="733" t="n"/>
      <c r="AL784" s="733" t="n"/>
      <c r="AM784" s="733" t="n"/>
      <c r="AN784" s="733" t="n"/>
      <c r="AO784" s="733" t="n"/>
      <c r="AP784" s="719" t="inlineStr">
        <is>
          <t>News Scalp</t>
        </is>
      </c>
      <c r="AQ784" s="719" t="inlineStr">
        <is>
          <t>1MIN</t>
        </is>
      </c>
      <c r="AR784" s="719" t="inlineStr">
        <is>
          <t>No</t>
        </is>
      </c>
      <c r="AS784" s="782" t="n"/>
      <c r="AT784" s="733" t="n"/>
      <c r="AU784" s="719" t="n"/>
      <c r="AV784" s="719" t="n"/>
      <c r="AW784" s="719" t="inlineStr">
        <is>
          <t>trade</t>
        </is>
      </c>
      <c r="AX784" s="734" t="inlineStr">
        <is>
          <t>sig:6f22ddbd79e18e119f453228</t>
        </is>
      </c>
    </row>
    <row r="785" ht="15" customHeight="1">
      <c r="A785" s="716" t="inlineStr">
        <is>
          <t>F729</t>
        </is>
      </c>
      <c r="B785" s="717" t="n">
        <v>43937.01041666666</v>
      </c>
      <c r="C785" s="718" t="n">
        <v>43937.01319444444</v>
      </c>
      <c r="D785" s="719" t="inlineStr">
        <is>
          <t>PEPPERSTONE DEMO</t>
        </is>
      </c>
      <c r="E785" s="719" t="inlineStr">
        <is>
          <t>USDCAD</t>
        </is>
      </c>
      <c r="F785" s="719" t="inlineStr">
        <is>
          <t>BUY</t>
        </is>
      </c>
      <c r="G785" s="735" t="n">
        <v>0.03</v>
      </c>
      <c r="H785" s="720" t="n">
        <v>1.4089</v>
      </c>
      <c r="I785" s="720" t="n">
        <v>1.40775</v>
      </c>
      <c r="J785" s="721" t="n">
        <v>1.4077</v>
      </c>
      <c r="K785" s="760" t="n">
        <v>0.0008517282986727872</v>
      </c>
      <c r="L785" s="721" t="n">
        <v>1.4113</v>
      </c>
      <c r="M785" s="722" t="n">
        <v>0.001703456597345417</v>
      </c>
      <c r="N785" s="761" t="n"/>
      <c r="O785" s="762" t="n">
        <v>-4.06</v>
      </c>
      <c r="P785" s="725" t="n">
        <v>-0.007881964667054939</v>
      </c>
      <c r="Q785" s="726" t="n">
        <v>-0.9583333333332485</v>
      </c>
      <c r="R785" s="764" t="n">
        <v>511.04</v>
      </c>
      <c r="S785" s="719" t="inlineStr">
        <is>
          <t>4M 0S</t>
        </is>
      </c>
      <c r="T785" s="728" t="n"/>
      <c r="U785" s="729" t="n"/>
      <c r="V785" s="807" t="n">
        <v>1.4102</v>
      </c>
      <c r="W785" s="725" t="n">
        <v>-0.001299999999999857</v>
      </c>
      <c r="X785" s="722" t="n">
        <v>0.001100000000000101</v>
      </c>
      <c r="Y785" s="728" t="n"/>
      <c r="Z785" s="729" t="n"/>
      <c r="AA785" s="730" t="n"/>
      <c r="AB785" s="731" t="n"/>
      <c r="AC785" s="732" t="n"/>
      <c r="AD785" s="719" t="inlineStr">
        <is>
          <t>No</t>
        </is>
      </c>
      <c r="AE785" s="733" t="n"/>
      <c r="AF785" s="733" t="n"/>
      <c r="AG785" s="733" t="n"/>
      <c r="AH785" s="733" t="n"/>
      <c r="AI785" s="719" t="inlineStr">
        <is>
          <t>Limit</t>
        </is>
      </c>
      <c r="AJ785" s="733" t="n"/>
      <c r="AK785" s="733" t="n"/>
      <c r="AL785" s="733" t="n"/>
      <c r="AM785" s="733" t="n"/>
      <c r="AN785" s="733" t="n"/>
      <c r="AO785" s="733" t="n"/>
      <c r="AP785" s="719" t="inlineStr">
        <is>
          <t>Pullback</t>
        </is>
      </c>
      <c r="AQ785" s="719" t="inlineStr">
        <is>
          <t>1MIN</t>
        </is>
      </c>
      <c r="AR785" s="719" t="inlineStr">
        <is>
          <t>No</t>
        </is>
      </c>
      <c r="AS785" s="733" t="n"/>
      <c r="AT785" s="733" t="n"/>
      <c r="AU785" s="733" t="n"/>
      <c r="AV785" s="733" t="n"/>
      <c r="AW785" s="719" t="inlineStr">
        <is>
          <t>trade</t>
        </is>
      </c>
      <c r="AX785" s="734" t="inlineStr">
        <is>
          <t>sig:19d8c36fce75e1a45a23442a</t>
        </is>
      </c>
    </row>
    <row r="786" ht="15" customHeight="1">
      <c r="A786" s="716" t="inlineStr">
        <is>
          <t>F728</t>
        </is>
      </c>
      <c r="B786" s="717" t="n">
        <v>43937.00016203704</v>
      </c>
      <c r="C786" s="718" t="n">
        <v>43937.00060185185</v>
      </c>
      <c r="D786" s="719" t="inlineStr">
        <is>
          <t>PEPPERSTONE LIVE</t>
        </is>
      </c>
      <c r="E786" s="719" t="inlineStr">
        <is>
          <t>USDCAD</t>
        </is>
      </c>
      <c r="F786" s="719" t="inlineStr">
        <is>
          <t>SELL</t>
        </is>
      </c>
      <c r="G786" s="735" t="n">
        <v>0.04</v>
      </c>
      <c r="H786" s="720" t="n">
        <v>1.4073</v>
      </c>
      <c r="I786" s="720" t="n">
        <v>1.4086</v>
      </c>
      <c r="J786" s="721" t="n">
        <v>1.4086</v>
      </c>
      <c r="K786" s="760" t="n">
        <v>0.000923754707596162</v>
      </c>
      <c r="L786" s="721" t="n">
        <v>1.4056</v>
      </c>
      <c r="M786" s="722" t="n">
        <v>0.00120798692531801</v>
      </c>
      <c r="N786" s="761" t="n"/>
      <c r="O786" s="762" t="n">
        <v>-5.69</v>
      </c>
      <c r="P786" s="725" t="n">
        <v>-0.01255737994350282</v>
      </c>
      <c r="Q786" s="726" t="n">
        <v>-1</v>
      </c>
      <c r="R786" s="764" t="n">
        <v>447.43</v>
      </c>
      <c r="S786" s="719" t="inlineStr">
        <is>
          <t>38S</t>
        </is>
      </c>
      <c r="T786" s="728" t="n"/>
      <c r="U786" s="729" t="n"/>
      <c r="V786" s="730" t="n"/>
      <c r="W786" s="731" t="n"/>
      <c r="X786" s="732" t="n"/>
      <c r="Y786" s="728" t="n"/>
      <c r="Z786" s="729" t="n"/>
      <c r="AA786" s="730" t="n"/>
      <c r="AB786" s="731" t="n"/>
      <c r="AC786" s="732" t="n"/>
      <c r="AD786" s="719" t="inlineStr">
        <is>
          <t>No</t>
        </is>
      </c>
      <c r="AE786" s="733" t="n"/>
      <c r="AF786" s="733" t="n"/>
      <c r="AG786" s="733" t="n"/>
      <c r="AH786" s="733" t="n"/>
      <c r="AI786" s="719" t="inlineStr">
        <is>
          <t>Limit</t>
        </is>
      </c>
      <c r="AJ786" s="733" t="n"/>
      <c r="AK786" s="733" t="n"/>
      <c r="AL786" s="733" t="n"/>
      <c r="AM786" s="733" t="n"/>
      <c r="AN786" s="733" t="n"/>
      <c r="AO786" s="733" t="n"/>
      <c r="AP786" s="719" t="inlineStr">
        <is>
          <t>News Scalp</t>
        </is>
      </c>
      <c r="AQ786" s="719" t="inlineStr">
        <is>
          <t>1MIN</t>
        </is>
      </c>
      <c r="AR786" s="719" t="inlineStr">
        <is>
          <t>No</t>
        </is>
      </c>
      <c r="AS786" s="733" t="n"/>
      <c r="AT786" s="733" t="n"/>
      <c r="AU786" s="733" t="n"/>
      <c r="AV786" s="733" t="n"/>
      <c r="AW786" s="719" t="inlineStr">
        <is>
          <t>trade</t>
        </is>
      </c>
      <c r="AX786" s="734" t="inlineStr">
        <is>
          <t>sig:38545af9457f5bc618cf4c4f</t>
        </is>
      </c>
    </row>
    <row r="787" ht="15" customHeight="1">
      <c r="A787" s="716" t="inlineStr">
        <is>
          <t>C7</t>
        </is>
      </c>
      <c r="B787" s="717" t="n">
        <v>43936.70347222222</v>
      </c>
      <c r="C787" s="718" t="n">
        <v>43936.74861111111</v>
      </c>
      <c r="D787" s="719" t="inlineStr">
        <is>
          <t>BINANCE</t>
        </is>
      </c>
      <c r="E787" s="719" t="inlineStr">
        <is>
          <t>BTCUSDT</t>
        </is>
      </c>
      <c r="F787" s="719" t="inlineStr">
        <is>
          <t>BUY</t>
        </is>
      </c>
      <c r="G787" s="735" t="n">
        <v>0.05</v>
      </c>
      <c r="H787" s="720" t="n">
        <v>6884.13</v>
      </c>
      <c r="I787" s="720" t="n">
        <v>6861.64</v>
      </c>
      <c r="J787" s="721" t="n">
        <v>6861.64</v>
      </c>
      <c r="K787" s="722" t="n">
        <v>0.003266934238603829</v>
      </c>
      <c r="L787" s="721" t="n">
        <v>6929.11</v>
      </c>
      <c r="M787" s="722" t="n">
        <v>0.006533868477207659</v>
      </c>
      <c r="N787" s="758" t="n">
        <v>0.72755998</v>
      </c>
      <c r="O787" s="724" t="n">
        <v>-1.92483762</v>
      </c>
      <c r="P787" s="725" t="n">
        <v>-0.01600547918443952</v>
      </c>
      <c r="Q787" s="726" t="n">
        <v>-1</v>
      </c>
      <c r="R787" s="727" t="n">
        <v>118.33633031</v>
      </c>
      <c r="S787" s="719" t="inlineStr">
        <is>
          <t>1H 5M 0S</t>
        </is>
      </c>
      <c r="T787" s="728" t="n"/>
      <c r="U787" s="729" t="n"/>
      <c r="V787" s="807" t="n">
        <v>6908.09</v>
      </c>
      <c r="W787" s="725" t="n">
        <v>0.003480468846462812</v>
      </c>
      <c r="X787" s="722" t="n">
        <v>0.003033578626980886</v>
      </c>
      <c r="Y787" s="728" t="n"/>
      <c r="Z787" s="729" t="n"/>
      <c r="AA787" s="730" t="n"/>
      <c r="AB787" s="731" t="n"/>
      <c r="AC787" s="732" t="n"/>
      <c r="AD787" s="719" t="inlineStr">
        <is>
          <t>No</t>
        </is>
      </c>
      <c r="AE787" s="733" t="n"/>
      <c r="AF787" s="733" t="n"/>
      <c r="AG787" s="733" t="n"/>
      <c r="AH787" s="733" t="n"/>
      <c r="AI787" s="719" t="inlineStr">
        <is>
          <t>Limit</t>
        </is>
      </c>
      <c r="AJ787" s="733" t="n"/>
      <c r="AK787" s="733" t="n"/>
      <c r="AL787" s="733" t="n"/>
      <c r="AM787" s="733" t="n"/>
      <c r="AN787" s="733" t="n"/>
      <c r="AO787" s="733" t="n"/>
      <c r="AP787" s="719" t="inlineStr">
        <is>
          <t>Pullback</t>
        </is>
      </c>
      <c r="AQ787" s="719" t="inlineStr">
        <is>
          <t>15MIN</t>
        </is>
      </c>
      <c r="AR787" s="719" t="inlineStr">
        <is>
          <t>No</t>
        </is>
      </c>
      <c r="AS787" s="782" t="n"/>
      <c r="AT787" s="733" t="n"/>
      <c r="AU787" s="719" t="n"/>
      <c r="AV787" s="719" t="n"/>
      <c r="AW787" s="719" t="inlineStr">
        <is>
          <t>trade</t>
        </is>
      </c>
      <c r="AX787" s="734" t="inlineStr">
        <is>
          <t>sig:a0393776e54ed3d23050328e</t>
        </is>
      </c>
    </row>
    <row r="788" ht="15" customHeight="1">
      <c r="A788" s="716" t="inlineStr">
        <is>
          <t>C6</t>
        </is>
      </c>
      <c r="B788" s="717" t="n">
        <v>43936.18263888889</v>
      </c>
      <c r="C788" s="718" t="n">
        <v>43936.21805555555</v>
      </c>
      <c r="D788" s="719" t="inlineStr">
        <is>
          <t>BINANCE</t>
        </is>
      </c>
      <c r="E788" s="719" t="inlineStr">
        <is>
          <t>BTCUSDT</t>
        </is>
      </c>
      <c r="F788" s="719" t="inlineStr">
        <is>
          <t>BUY</t>
        </is>
      </c>
      <c r="G788" s="735" t="n">
        <v>0.04</v>
      </c>
      <c r="H788" s="720" t="n">
        <v>6920.08</v>
      </c>
      <c r="I788" s="720" t="n">
        <v>6888.6</v>
      </c>
      <c r="J788" s="721" t="n">
        <v>6887.3</v>
      </c>
      <c r="K788" s="722" t="n">
        <v>0.004736939457347277</v>
      </c>
      <c r="L788" s="721" t="n">
        <v>6985.64</v>
      </c>
      <c r="M788" s="722" t="n">
        <v>0.009473878914694686</v>
      </c>
      <c r="N788" s="758" t="n">
        <v>0.48461096</v>
      </c>
      <c r="O788" s="724" t="n">
        <v>-1.63438648</v>
      </c>
      <c r="P788" s="725" t="n">
        <v>-0.01340808930982572</v>
      </c>
      <c r="Q788" s="726" t="n">
        <v>-0.9603416717510619</v>
      </c>
      <c r="R788" s="727" t="n">
        <v>120.26116793</v>
      </c>
      <c r="S788" s="719" t="inlineStr">
        <is>
          <t>51M 0S</t>
        </is>
      </c>
      <c r="T788" s="728" t="n"/>
      <c r="U788" s="729" t="n"/>
      <c r="V788" s="807" t="n">
        <v>6946.85</v>
      </c>
      <c r="W788" s="725" t="n">
        <v>0.00386845238783373</v>
      </c>
      <c r="X788" s="722" t="n">
        <v>0.005552819784586661</v>
      </c>
      <c r="Y788" s="728" t="n"/>
      <c r="Z788" s="729" t="n"/>
      <c r="AA788" s="730" t="n"/>
      <c r="AB788" s="731" t="n"/>
      <c r="AC788" s="732" t="n"/>
      <c r="AD788" s="719" t="inlineStr">
        <is>
          <t>No</t>
        </is>
      </c>
      <c r="AE788" s="733" t="n"/>
      <c r="AF788" s="733" t="n"/>
      <c r="AG788" s="733" t="n"/>
      <c r="AH788" s="733" t="n"/>
      <c r="AI788" s="719" t="inlineStr">
        <is>
          <t>Limit</t>
        </is>
      </c>
      <c r="AJ788" s="733" t="n"/>
      <c r="AK788" s="733" t="n"/>
      <c r="AL788" s="733" t="n"/>
      <c r="AM788" s="733" t="n"/>
      <c r="AN788" s="733" t="n"/>
      <c r="AO788" s="733" t="n"/>
      <c r="AP788" s="719" t="inlineStr">
        <is>
          <t>Pullback</t>
        </is>
      </c>
      <c r="AQ788" s="719" t="inlineStr">
        <is>
          <t>15MIN</t>
        </is>
      </c>
      <c r="AR788" s="719" t="inlineStr">
        <is>
          <t>No</t>
        </is>
      </c>
      <c r="AS788" s="733" t="n"/>
      <c r="AT788" s="733" t="n"/>
      <c r="AU788" s="733" t="n"/>
      <c r="AV788" s="733" t="n"/>
      <c r="AW788" s="719" t="inlineStr">
        <is>
          <t>trade</t>
        </is>
      </c>
      <c r="AX788" s="734" t="inlineStr">
        <is>
          <t>sig:1863ee8243f8eb52636379b5</t>
        </is>
      </c>
    </row>
    <row r="789" ht="15" customHeight="1">
      <c r="A789" s="737" t="inlineStr">
        <is>
          <t>C5</t>
        </is>
      </c>
      <c r="B789" s="738" t="n">
        <v>43936.08611111111</v>
      </c>
      <c r="C789" s="739" t="n">
        <v>43936.12569444445</v>
      </c>
      <c r="D789" s="740" t="inlineStr">
        <is>
          <t>BINANCE</t>
        </is>
      </c>
      <c r="E789" s="740" t="inlineStr">
        <is>
          <t>BTCUSDT</t>
        </is>
      </c>
      <c r="F789" s="740" t="inlineStr">
        <is>
          <t>BUY</t>
        </is>
      </c>
      <c r="G789" s="775" t="n">
        <v>0.04</v>
      </c>
      <c r="H789" s="742" t="n">
        <v>6885.79</v>
      </c>
      <c r="I789" s="742" t="n">
        <v>6969.07</v>
      </c>
      <c r="J789" s="743" t="n">
        <v>6851.69</v>
      </c>
      <c r="K789" s="744" t="n">
        <v>0.004952227703720323</v>
      </c>
      <c r="L789" s="743" t="n">
        <v>6953.99</v>
      </c>
      <c r="M789" s="744" t="n">
        <v>0.009904455407440515</v>
      </c>
      <c r="N789" s="745" t="n">
        <v>0.36519217</v>
      </c>
      <c r="O789" s="746" t="n">
        <v>2.55868535</v>
      </c>
      <c r="P789" s="747" t="n">
        <v>0.02144086207518607</v>
      </c>
      <c r="Q789" s="748" t="n">
        <v>2.442228739002899</v>
      </c>
      <c r="R789" s="749" t="n">
        <v>121.89555441</v>
      </c>
      <c r="S789" s="740" t="inlineStr">
        <is>
          <t>57M 0S</t>
        </is>
      </c>
      <c r="T789" s="738" t="n">
        <v>43935.67638888889</v>
      </c>
      <c r="U789" s="809" t="inlineStr">
        <is>
          <t>9M 46S</t>
        </is>
      </c>
      <c r="V789" s="810" t="n">
        <v>6916.28</v>
      </c>
      <c r="W789" s="747" t="n">
        <v>0.004427959609572726</v>
      </c>
      <c r="X789" s="744" t="n">
        <v>0.005422786055199969</v>
      </c>
      <c r="Y789" s="750" t="n"/>
      <c r="Z789" s="751" t="n"/>
      <c r="AA789" s="752" t="n"/>
      <c r="AB789" s="753" t="n"/>
      <c r="AC789" s="754" t="n"/>
      <c r="AD789" s="740" t="inlineStr">
        <is>
          <t>No</t>
        </is>
      </c>
      <c r="AE789" s="755" t="n"/>
      <c r="AF789" s="755" t="n"/>
      <c r="AG789" s="755" t="n"/>
      <c r="AH789" s="755" t="n"/>
      <c r="AI789" s="740" t="inlineStr">
        <is>
          <t>Limit</t>
        </is>
      </c>
      <c r="AJ789" s="755" t="n"/>
      <c r="AK789" s="755" t="n"/>
      <c r="AL789" s="755" t="n"/>
      <c r="AM789" s="755" t="n"/>
      <c r="AN789" s="755" t="n"/>
      <c r="AO789" s="755" t="n"/>
      <c r="AP789" s="740" t="inlineStr">
        <is>
          <t>Pullback</t>
        </is>
      </c>
      <c r="AQ789" s="740" t="inlineStr">
        <is>
          <t>15MIN</t>
        </is>
      </c>
      <c r="AR789" s="740" t="inlineStr">
        <is>
          <t>No</t>
        </is>
      </c>
      <c r="AS789" s="755" t="n"/>
      <c r="AT789" s="755" t="n"/>
      <c r="AU789" s="755" t="n"/>
      <c r="AV789" s="755" t="n"/>
      <c r="AW789" s="740" t="inlineStr">
        <is>
          <t>trade</t>
        </is>
      </c>
      <c r="AX789" s="756" t="inlineStr">
        <is>
          <t>sig:d66b3edf4dc322aa711c8702</t>
        </is>
      </c>
    </row>
    <row r="790" ht="15" customHeight="1">
      <c r="A790" s="716" t="inlineStr">
        <is>
          <t>C4</t>
        </is>
      </c>
      <c r="B790" s="717" t="n">
        <v>43934.74166666667</v>
      </c>
      <c r="C790" s="718" t="n">
        <v>43934.80625</v>
      </c>
      <c r="D790" s="719" t="inlineStr">
        <is>
          <t>BINANCE</t>
        </is>
      </c>
      <c r="E790" s="719" t="inlineStr">
        <is>
          <t>BNBUSDT</t>
        </is>
      </c>
      <c r="F790" s="719" t="inlineStr">
        <is>
          <t>BUY</t>
        </is>
      </c>
      <c r="G790" s="720" t="n">
        <v>13.4</v>
      </c>
      <c r="H790" s="720" t="n">
        <v>13.8322</v>
      </c>
      <c r="I790" s="720" t="n">
        <v>13.8522</v>
      </c>
      <c r="J790" s="721" t="n">
        <v>13.7431</v>
      </c>
      <c r="K790" s="722" t="n">
        <v>0.006441491592082255</v>
      </c>
      <c r="L790" s="721" t="n">
        <v>14.0104</v>
      </c>
      <c r="M790" s="722" t="n">
        <v>0.01288298318416451</v>
      </c>
      <c r="N790" s="758" t="n">
        <v>0.2782785</v>
      </c>
      <c r="O790" s="777" t="n">
        <v>-0.0102785</v>
      </c>
      <c r="P790" s="800" t="n">
        <v>-8.612271185478176e-05</v>
      </c>
      <c r="Q790" s="726" t="n">
        <v>0.2244668911335526</v>
      </c>
      <c r="R790" s="727" t="n">
        <v>119.33686906</v>
      </c>
      <c r="S790" s="719" t="inlineStr">
        <is>
          <t>1H 33M 0S</t>
        </is>
      </c>
      <c r="T790" s="717" t="n">
        <v>43934.33958333333</v>
      </c>
      <c r="U790" s="806" t="inlineStr">
        <is>
          <t>20M 12S</t>
        </is>
      </c>
      <c r="V790" s="807" t="n">
        <v>13.9184</v>
      </c>
      <c r="W790" s="725" t="n">
        <v>0.006231835861251271</v>
      </c>
      <c r="X790" s="722" t="n">
        <v>0.006566550562439368</v>
      </c>
      <c r="Y790" s="728" t="n"/>
      <c r="Z790" s="729" t="n"/>
      <c r="AA790" s="730" t="n"/>
      <c r="AB790" s="731" t="n"/>
      <c r="AC790" s="732" t="n"/>
      <c r="AD790" s="719" t="inlineStr">
        <is>
          <t>No</t>
        </is>
      </c>
      <c r="AE790" s="733" t="n"/>
      <c r="AF790" s="733" t="n"/>
      <c r="AG790" s="733" t="n"/>
      <c r="AH790" s="733" t="n"/>
      <c r="AI790" s="719" t="inlineStr">
        <is>
          <t>Limit</t>
        </is>
      </c>
      <c r="AJ790" s="733" t="n"/>
      <c r="AK790" s="733" t="n"/>
      <c r="AL790" s="733" t="n"/>
      <c r="AM790" s="733" t="n"/>
      <c r="AN790" s="733" t="n"/>
      <c r="AO790" s="733" t="n"/>
      <c r="AP790" s="719" t="inlineStr">
        <is>
          <t>Pullback</t>
        </is>
      </c>
      <c r="AQ790" s="719" t="inlineStr">
        <is>
          <t>15MIN</t>
        </is>
      </c>
      <c r="AR790" s="719" t="inlineStr">
        <is>
          <t>No</t>
        </is>
      </c>
      <c r="AS790" s="733" t="n"/>
      <c r="AT790" s="733" t="n"/>
      <c r="AU790" s="733" t="n"/>
      <c r="AV790" s="733" t="n"/>
      <c r="AW790" s="719" t="inlineStr">
        <is>
          <t>trade</t>
        </is>
      </c>
      <c r="AX790" s="734" t="inlineStr">
        <is>
          <t>sig:cf8cfd36c7e485afdb18858a</t>
        </is>
      </c>
    </row>
    <row r="791" ht="15" customHeight="1">
      <c r="A791" s="716" t="inlineStr">
        <is>
          <t>C3</t>
        </is>
      </c>
      <c r="B791" s="717" t="n">
        <v>43933.67152777778</v>
      </c>
      <c r="C791" s="718" t="n">
        <v>43933.69583333333</v>
      </c>
      <c r="D791" s="719" t="inlineStr">
        <is>
          <t>BINANCE</t>
        </is>
      </c>
      <c r="E791" s="719" t="inlineStr">
        <is>
          <t>BTCUSDT</t>
        </is>
      </c>
      <c r="F791" s="719" t="inlineStr">
        <is>
          <t>BUY</t>
        </is>
      </c>
      <c r="G791" s="735" t="n">
        <v>0.05</v>
      </c>
      <c r="H791" s="720" t="n">
        <v>6819.96</v>
      </c>
      <c r="I791" s="720" t="n">
        <v>6819.32</v>
      </c>
      <c r="J791" s="721" t="n">
        <v>6808.36</v>
      </c>
      <c r="K791" s="722" t="n">
        <v>0.001700889741288859</v>
      </c>
      <c r="L791" s="721" t="n">
        <v>6843.16</v>
      </c>
      <c r="M791" s="722" t="n">
        <v>0.003401779482577584</v>
      </c>
      <c r="N791" s="758" t="n">
        <v>0.7049087000000001</v>
      </c>
      <c r="O791" s="724" t="n">
        <v>-0.74162067</v>
      </c>
      <c r="P791" s="725" t="n">
        <v>-0.006175603938076966</v>
      </c>
      <c r="Q791" s="781" t="n">
        <v>-0.05517241379312994</v>
      </c>
      <c r="R791" s="727" t="n">
        <v>119.34714756</v>
      </c>
      <c r="S791" s="719" t="inlineStr">
        <is>
          <t>35M 0S</t>
        </is>
      </c>
      <c r="T791" s="717" t="n">
        <v>43933.27222222222</v>
      </c>
      <c r="U791" s="806" t="inlineStr">
        <is>
          <t>24M 25S</t>
        </is>
      </c>
      <c r="V791" s="807" t="n">
        <v>6835.15</v>
      </c>
      <c r="W791" s="725" t="n">
        <v>0.002227285790532437</v>
      </c>
      <c r="X791" s="722" t="n">
        <v>0.001170511868785798</v>
      </c>
      <c r="Y791" s="728" t="n"/>
      <c r="Z791" s="729" t="n"/>
      <c r="AA791" s="730" t="n"/>
      <c r="AB791" s="731" t="n"/>
      <c r="AC791" s="732" t="n"/>
      <c r="AD791" s="719" t="inlineStr">
        <is>
          <t>No</t>
        </is>
      </c>
      <c r="AE791" s="733" t="n"/>
      <c r="AF791" s="733" t="n"/>
      <c r="AG791" s="733" t="n"/>
      <c r="AH791" s="733" t="n"/>
      <c r="AI791" s="719" t="inlineStr">
        <is>
          <t>Limit</t>
        </is>
      </c>
      <c r="AJ791" s="733" t="n"/>
      <c r="AK791" s="733" t="n"/>
      <c r="AL791" s="733" t="n"/>
      <c r="AM791" s="733" t="n"/>
      <c r="AN791" s="733" t="n"/>
      <c r="AO791" s="733" t="n"/>
      <c r="AP791" s="719" t="inlineStr">
        <is>
          <t>Pullback</t>
        </is>
      </c>
      <c r="AQ791" s="719" t="inlineStr">
        <is>
          <t>5MIN</t>
        </is>
      </c>
      <c r="AR791" s="719" t="inlineStr">
        <is>
          <t>No</t>
        </is>
      </c>
      <c r="AS791" s="733" t="n"/>
      <c r="AT791" s="733" t="n"/>
      <c r="AU791" s="733" t="n"/>
      <c r="AV791" s="733" t="n"/>
      <c r="AW791" s="719" t="inlineStr">
        <is>
          <t>trade</t>
        </is>
      </c>
      <c r="AX791" s="734" t="inlineStr">
        <is>
          <t>sig:f564591f09bf94dadbc1d360</t>
        </is>
      </c>
    </row>
    <row r="792" ht="15" customHeight="1">
      <c r="A792" s="42" t="n"/>
      <c r="B792" s="770" t="n">
        <v>43933</v>
      </c>
      <c r="C792" s="771" t="n">
        <v>43933</v>
      </c>
      <c r="D792" s="12" t="inlineStr">
        <is>
          <t>BINANCE</t>
        </is>
      </c>
      <c r="E792" s="12" t="inlineStr">
        <is>
          <t>CASHFLOW</t>
        </is>
      </c>
      <c r="F792" s="12" t="inlineStr">
        <is>
          <t>DEPOSIT</t>
        </is>
      </c>
      <c r="G792" s="262" t="n"/>
      <c r="H792" s="262" t="n"/>
      <c r="I792" s="262" t="n"/>
      <c r="J792" s="263" t="n"/>
      <c r="K792" s="36" t="n"/>
      <c r="L792" s="263" t="n"/>
      <c r="M792" s="36" t="n"/>
      <c r="N792" s="783" t="n"/>
      <c r="O792" s="784" t="n"/>
      <c r="P792" s="3" t="n"/>
      <c r="Q792" s="51" t="n"/>
      <c r="R792" s="53" t="n">
        <v>120.08876823</v>
      </c>
      <c r="S792" s="12" t="n"/>
      <c r="T792" s="770" t="n"/>
      <c r="U792" s="4" t="n"/>
      <c r="V792" s="269" t="n"/>
      <c r="W792" s="3" t="n"/>
      <c r="X792" s="36" t="n"/>
      <c r="Y792" s="774" t="n"/>
      <c r="Z792" s="6" t="n"/>
      <c r="AA792" s="264" t="n"/>
      <c r="AB792" s="9" t="n"/>
      <c r="AC792" s="46" t="n"/>
      <c r="AD792" s="12" t="inlineStr">
        <is>
          <t>No</t>
        </is>
      </c>
      <c r="AE792" s="45" t="n"/>
      <c r="AF792" s="45" t="n"/>
      <c r="AG792" s="45" t="n"/>
      <c r="AH792" s="45" t="n"/>
      <c r="AI792" s="12" t="n"/>
      <c r="AJ792" s="45" t="n"/>
      <c r="AK792" s="45" t="n"/>
      <c r="AL792" s="45" t="n"/>
      <c r="AM792" s="45" t="n"/>
      <c r="AN792" s="45" t="n"/>
      <c r="AO792" s="45" t="n"/>
      <c r="AP792" s="12" t="n"/>
      <c r="AQ792" s="12" t="n"/>
      <c r="AR792" s="12" t="n"/>
      <c r="AS792" s="56" t="inlineStr">
        <is>
          <t>Deposit 60.22774624 USDT. Source: screenshot_ocr. Imported from account_cashflows.xlsx row 3.</t>
        </is>
      </c>
      <c r="AT792" s="45" t="n"/>
      <c r="AU792" s="12" t="n">
        <v>120.08876823</v>
      </c>
      <c r="AV792" s="12" t="inlineStr">
        <is>
          <t>USDT</t>
        </is>
      </c>
      <c r="AW792" s="12" t="inlineStr">
        <is>
          <t>cashflow</t>
        </is>
      </c>
      <c r="AX792" s="57" t="inlineStr">
        <is>
          <t>cashflow:BINANCE:2020-04-12T00:00:00:1</t>
        </is>
      </c>
    </row>
    <row r="793" ht="15" customHeight="1">
      <c r="A793" s="716" t="inlineStr">
        <is>
          <t>C2</t>
        </is>
      </c>
      <c r="B793" s="717" t="n">
        <v>43932.70902777778</v>
      </c>
      <c r="C793" s="718" t="n">
        <v>43932.7125</v>
      </c>
      <c r="D793" s="719" t="inlineStr">
        <is>
          <t>BINANCE</t>
        </is>
      </c>
      <c r="E793" s="719" t="inlineStr">
        <is>
          <t>ETHUSDT</t>
        </is>
      </c>
      <c r="F793" s="719" t="inlineStr">
        <is>
          <t>BUY</t>
        </is>
      </c>
      <c r="G793" s="720" t="n">
        <v>0.25</v>
      </c>
      <c r="H793" s="720" t="n">
        <v>159.92</v>
      </c>
      <c r="I793" s="720" t="n">
        <v>159.29</v>
      </c>
      <c r="J793" s="721" t="n">
        <v>159.44</v>
      </c>
      <c r="K793" s="722" t="n">
        <v>0.003001500750375124</v>
      </c>
      <c r="L793" s="721" t="n">
        <v>160.93</v>
      </c>
      <c r="M793" s="722" t="n">
        <v>0.006315657828914578</v>
      </c>
      <c r="N793" s="723" t="n">
        <v>0.0607266</v>
      </c>
      <c r="O793" s="724" t="n">
        <v>-0.2204694</v>
      </c>
      <c r="P793" s="725" t="n">
        <v>-0.003669506114102472</v>
      </c>
      <c r="Q793" s="726" t="n">
        <v>-1.312500000000018</v>
      </c>
      <c r="R793" s="727" t="n">
        <v>59.86102199</v>
      </c>
      <c r="S793" s="719" t="inlineStr">
        <is>
          <t>5M 0S</t>
        </is>
      </c>
      <c r="T793" s="728" t="n"/>
      <c r="U793" s="729" t="n"/>
      <c r="V793" s="807" t="n">
        <v>160.45</v>
      </c>
      <c r="W793" s="725" t="n">
        <v>0.003314157078539277</v>
      </c>
      <c r="X793" s="722" t="n">
        <v>0.002982663269744722</v>
      </c>
      <c r="Y793" s="728" t="n"/>
      <c r="Z793" s="729" t="n"/>
      <c r="AA793" s="730" t="n"/>
      <c r="AB793" s="731" t="n"/>
      <c r="AC793" s="732" t="n"/>
      <c r="AD793" s="719" t="inlineStr">
        <is>
          <t>No</t>
        </is>
      </c>
      <c r="AE793" s="733" t="n"/>
      <c r="AF793" s="733" t="n"/>
      <c r="AG793" s="733" t="n"/>
      <c r="AH793" s="733" t="n"/>
      <c r="AI793" s="719" t="inlineStr">
        <is>
          <t>Limit</t>
        </is>
      </c>
      <c r="AJ793" s="733" t="n"/>
      <c r="AK793" s="733" t="n"/>
      <c r="AL793" s="733" t="n"/>
      <c r="AM793" s="733" t="n"/>
      <c r="AN793" s="733" t="n"/>
      <c r="AO793" s="733" t="n"/>
      <c r="AP793" s="719" t="inlineStr">
        <is>
          <t>Pullback</t>
        </is>
      </c>
      <c r="AQ793" s="719" t="inlineStr">
        <is>
          <t>5MIN</t>
        </is>
      </c>
      <c r="AR793" s="719" t="inlineStr">
        <is>
          <t>No</t>
        </is>
      </c>
      <c r="AS793" s="782" t="n"/>
      <c r="AT793" s="733" t="n"/>
      <c r="AU793" s="719" t="n"/>
      <c r="AV793" s="719" t="n"/>
      <c r="AW793" s="719" t="inlineStr">
        <is>
          <t>trade</t>
        </is>
      </c>
      <c r="AX793" s="734" t="inlineStr">
        <is>
          <t>sig:7fea29b49ad91cfb0b56dae2</t>
        </is>
      </c>
    </row>
    <row r="794" ht="15" customHeight="1">
      <c r="A794" s="716" t="inlineStr">
        <is>
          <t>C1</t>
        </is>
      </c>
      <c r="B794" s="717" t="n">
        <v>43932.70555555556</v>
      </c>
      <c r="C794" s="718" t="n">
        <v>43932.70625</v>
      </c>
      <c r="D794" s="719" t="inlineStr">
        <is>
          <t>BINANCE</t>
        </is>
      </c>
      <c r="E794" s="719" t="inlineStr">
        <is>
          <t>ETHUSDT</t>
        </is>
      </c>
      <c r="F794" s="719" t="inlineStr">
        <is>
          <t>BUY</t>
        </is>
      </c>
      <c r="G794" s="720" t="n">
        <v>0.26</v>
      </c>
      <c r="H794" s="720" t="n">
        <v>160.13</v>
      </c>
      <c r="I794" s="720" t="n">
        <v>160.13</v>
      </c>
      <c r="J794" s="789" t="n"/>
      <c r="K794" s="732" t="n"/>
      <c r="L794" s="789" t="n"/>
      <c r="M794" s="732" t="n"/>
      <c r="N794" s="723" t="n">
        <v>0.06232776</v>
      </c>
      <c r="O794" s="777" t="n">
        <v>-0.06232776</v>
      </c>
      <c r="P794" s="725" t="n">
        <v>-0.001036311974877305</v>
      </c>
      <c r="Q794" s="790" t="n"/>
      <c r="R794" s="727" t="n">
        <v>60.08149139</v>
      </c>
      <c r="S794" s="719" t="inlineStr">
        <is>
          <t>1M 0S</t>
        </is>
      </c>
      <c r="T794" s="728" t="n"/>
      <c r="U794" s="729" t="n"/>
      <c r="V794" s="730" t="n"/>
      <c r="W794" s="731" t="n"/>
      <c r="X794" s="732" t="n"/>
      <c r="Y794" s="728" t="n"/>
      <c r="Z794" s="729" t="n"/>
      <c r="AA794" s="730" t="n"/>
      <c r="AB794" s="731" t="n"/>
      <c r="AC794" s="732" t="n"/>
      <c r="AD794" s="719" t="inlineStr">
        <is>
          <t>No</t>
        </is>
      </c>
      <c r="AE794" s="733" t="n"/>
      <c r="AF794" s="733" t="n"/>
      <c r="AG794" s="733" t="n"/>
      <c r="AH794" s="733" t="n"/>
      <c r="AI794" s="719" t="inlineStr">
        <is>
          <t>Limit</t>
        </is>
      </c>
      <c r="AJ794" s="733" t="n"/>
      <c r="AK794" s="733" t="n"/>
      <c r="AL794" s="733" t="n"/>
      <c r="AM794" s="733" t="n"/>
      <c r="AN794" s="733" t="n"/>
      <c r="AO794" s="733" t="n"/>
      <c r="AP794" s="719" t="inlineStr">
        <is>
          <t>Pullback</t>
        </is>
      </c>
      <c r="AQ794" s="719" t="inlineStr">
        <is>
          <t>5MIN</t>
        </is>
      </c>
      <c r="AR794" s="719" t="inlineStr">
        <is>
          <t>No</t>
        </is>
      </c>
      <c r="AS794" s="782" t="n"/>
      <c r="AT794" s="733" t="n"/>
      <c r="AU794" s="719" t="n"/>
      <c r="AV794" s="719" t="n"/>
      <c r="AW794" s="719" t="inlineStr">
        <is>
          <t>trade</t>
        </is>
      </c>
      <c r="AX794" s="734" t="inlineStr">
        <is>
          <t>sig:470c1aa44709e559701b8246</t>
        </is>
      </c>
    </row>
    <row r="795" ht="15" customHeight="1">
      <c r="A795" s="42" t="n"/>
      <c r="B795" s="770" t="n">
        <v>43932</v>
      </c>
      <c r="C795" s="771" t="n">
        <v>43932</v>
      </c>
      <c r="D795" s="12" t="inlineStr">
        <is>
          <t>BINANCE</t>
        </is>
      </c>
      <c r="E795" s="12" t="inlineStr">
        <is>
          <t>CASHFLOW</t>
        </is>
      </c>
      <c r="F795" s="12" t="inlineStr">
        <is>
          <t>DEPOSIT</t>
        </is>
      </c>
      <c r="G795" s="262" t="n"/>
      <c r="H795" s="262" t="n"/>
      <c r="I795" s="262" t="n"/>
      <c r="J795" s="263" t="n"/>
      <c r="K795" s="36" t="n"/>
      <c r="L795" s="263" t="n"/>
      <c r="M795" s="36" t="n"/>
      <c r="N795" s="815" t="n"/>
      <c r="O795" s="784" t="n"/>
      <c r="P795" s="3" t="n"/>
      <c r="Q795" s="51" t="n"/>
      <c r="R795" s="53" t="n">
        <v>60.14381915</v>
      </c>
      <c r="S795" s="12" t="n"/>
      <c r="T795" s="770" t="n"/>
      <c r="U795" s="4" t="n"/>
      <c r="V795" s="269" t="n"/>
      <c r="W795" s="3" t="n"/>
      <c r="X795" s="36" t="n"/>
      <c r="Y795" s="774" t="n"/>
      <c r="Z795" s="6" t="n"/>
      <c r="AA795" s="264" t="n"/>
      <c r="AB795" s="9" t="n"/>
      <c r="AC795" s="46" t="n"/>
      <c r="AD795" s="12" t="inlineStr">
        <is>
          <t>No</t>
        </is>
      </c>
      <c r="AE795" s="45" t="n"/>
      <c r="AF795" s="45" t="n"/>
      <c r="AG795" s="45" t="n"/>
      <c r="AH795" s="45" t="n"/>
      <c r="AI795" s="12" t="n"/>
      <c r="AJ795" s="45" t="n"/>
      <c r="AK795" s="45" t="n"/>
      <c r="AL795" s="45" t="n"/>
      <c r="AM795" s="45" t="n"/>
      <c r="AN795" s="45" t="n"/>
      <c r="AO795" s="45" t="n"/>
      <c r="AP795" s="12" t="n"/>
      <c r="AQ795" s="12" t="n"/>
      <c r="AR795" s="12" t="n"/>
      <c r="AS795" s="56" t="inlineStr">
        <is>
          <t>Deposit 60.14381915 USDT. Source: screenshot_ocr. Imported from account_cashflows.xlsx row 2.</t>
        </is>
      </c>
      <c r="AT795" s="45" t="n"/>
      <c r="AU795" s="12" t="n">
        <v>60.14381915</v>
      </c>
      <c r="AV795" s="12" t="inlineStr">
        <is>
          <t>USDT</t>
        </is>
      </c>
      <c r="AW795" s="12" t="inlineStr">
        <is>
          <t>cashflow</t>
        </is>
      </c>
      <c r="AX795" s="57" t="inlineStr">
        <is>
          <t>cashflow:BINANCE:2020-04-11T00:00:00:0</t>
        </is>
      </c>
    </row>
    <row r="796" ht="15" customHeight="1">
      <c r="A796" s="716" t="inlineStr">
        <is>
          <t>F727</t>
        </is>
      </c>
      <c r="B796" s="717" t="n">
        <v>43930.93753472222</v>
      </c>
      <c r="C796" s="718" t="n">
        <v>43930.93775462963</v>
      </c>
      <c r="D796" s="719" t="inlineStr">
        <is>
          <t>PEPPERSTONE LIVE</t>
        </is>
      </c>
      <c r="E796" s="719" t="inlineStr">
        <is>
          <t>USDCAD</t>
        </is>
      </c>
      <c r="F796" s="719" t="inlineStr">
        <is>
          <t>SELL</t>
        </is>
      </c>
      <c r="G796" s="735" t="n">
        <v>0.04</v>
      </c>
      <c r="H796" s="720" t="n">
        <v>1.4042</v>
      </c>
      <c r="I796" s="720" t="n">
        <v>1.40528</v>
      </c>
      <c r="J796" s="721" t="n">
        <v>1.4052</v>
      </c>
      <c r="K796" s="760" t="n">
        <v>0.0007121492664863353</v>
      </c>
      <c r="L796" s="721" t="n">
        <v>1.4022</v>
      </c>
      <c r="M796" s="722" t="n">
        <v>0.001424298532972512</v>
      </c>
      <c r="N796" s="788" t="n"/>
      <c r="O796" s="762" t="n">
        <v>-4.62</v>
      </c>
      <c r="P796" s="725" t="n">
        <v>-0.01009306593262551</v>
      </c>
      <c r="Q796" s="726" t="n">
        <v>-1.080000000000071</v>
      </c>
      <c r="R796" s="764" t="n">
        <v>453.12</v>
      </c>
      <c r="S796" s="719" t="inlineStr">
        <is>
          <t>19S</t>
        </is>
      </c>
      <c r="T796" s="728" t="n"/>
      <c r="U796" s="729" t="n"/>
      <c r="V796" s="807" t="n"/>
      <c r="W796" s="725" t="n"/>
      <c r="X796" s="722" t="n"/>
      <c r="Y796" s="728" t="n"/>
      <c r="Z796" s="729" t="n"/>
      <c r="AA796" s="730" t="n"/>
      <c r="AB796" s="731" t="n"/>
      <c r="AC796" s="732" t="n"/>
      <c r="AD796" s="719" t="inlineStr">
        <is>
          <t>No</t>
        </is>
      </c>
      <c r="AE796" s="733" t="n"/>
      <c r="AF796" s="733" t="n"/>
      <c r="AG796" s="733" t="n"/>
      <c r="AH796" s="733" t="n"/>
      <c r="AI796" s="719" t="inlineStr">
        <is>
          <t>Limit</t>
        </is>
      </c>
      <c r="AJ796" s="733" t="n"/>
      <c r="AK796" s="733" t="n"/>
      <c r="AL796" s="733" t="n"/>
      <c r="AM796" s="733" t="n"/>
      <c r="AN796" s="733" t="n"/>
      <c r="AO796" s="733" t="n"/>
      <c r="AP796" s="719" t="inlineStr">
        <is>
          <t>News Scalp</t>
        </is>
      </c>
      <c r="AQ796" s="719" t="inlineStr">
        <is>
          <t>1MIN</t>
        </is>
      </c>
      <c r="AR796" s="719" t="inlineStr">
        <is>
          <t>No</t>
        </is>
      </c>
      <c r="AS796" s="733" t="n"/>
      <c r="AT796" s="733" t="n"/>
      <c r="AU796" s="733" t="n"/>
      <c r="AV796" s="733" t="n"/>
      <c r="AW796" s="719" t="inlineStr">
        <is>
          <t>trade</t>
        </is>
      </c>
      <c r="AX796" s="734" t="inlineStr">
        <is>
          <t>sig:cf4ba50349ebcd0018e6ee71</t>
        </is>
      </c>
    </row>
    <row r="797" ht="15" customHeight="1">
      <c r="A797" s="737" t="inlineStr">
        <is>
          <t>F726</t>
        </is>
      </c>
      <c r="B797" s="738" t="n">
        <v>43927.78541666667</v>
      </c>
      <c r="C797" s="739" t="n">
        <v>43928.2875</v>
      </c>
      <c r="D797" s="740" t="inlineStr">
        <is>
          <t>PEPPERSTONE DEMO</t>
        </is>
      </c>
      <c r="E797" s="740" t="inlineStr">
        <is>
          <t>AUDNZD</t>
        </is>
      </c>
      <c r="F797" s="740" t="inlineStr">
        <is>
          <t>BUY</t>
        </is>
      </c>
      <c r="G797" s="775" t="n">
        <v>0.03</v>
      </c>
      <c r="H797" s="742" t="n">
        <v>1.0236</v>
      </c>
      <c r="I797" s="742" t="n">
        <v>1.02689</v>
      </c>
      <c r="J797" s="743" t="n">
        <v>1.022</v>
      </c>
      <c r="K797" s="744" t="n">
        <v>0.001563110590074293</v>
      </c>
      <c r="L797" s="743" t="n">
        <v>1.0268</v>
      </c>
      <c r="M797" s="744" t="n">
        <v>0.003126221180148368</v>
      </c>
      <c r="N797" s="796" t="n"/>
      <c r="O797" s="767" t="n">
        <v>9.35</v>
      </c>
      <c r="P797" s="747" t="n">
        <v>0.01848739495798319</v>
      </c>
      <c r="Q797" s="748" t="n">
        <v>2.056249999999951</v>
      </c>
      <c r="R797" s="769" t="n">
        <v>515.1</v>
      </c>
      <c r="S797" s="740" t="inlineStr">
        <is>
          <t>12H 3M 0S</t>
        </is>
      </c>
      <c r="T797" s="738" t="n">
        <v>43928.27638888889</v>
      </c>
      <c r="U797" s="809" t="inlineStr">
        <is>
          <t>11H 47M 0S</t>
        </is>
      </c>
      <c r="V797" s="810" t="n">
        <v>1.0255</v>
      </c>
      <c r="W797" s="747" t="n">
        <v>-0.001900000000000013</v>
      </c>
      <c r="X797" s="744" t="n">
        <v>0.001299999999999857</v>
      </c>
      <c r="Y797" s="750" t="n"/>
      <c r="Z797" s="751" t="n"/>
      <c r="AA797" s="752" t="n"/>
      <c r="AB797" s="753" t="n"/>
      <c r="AC797" s="754" t="n"/>
      <c r="AD797" s="740" t="inlineStr">
        <is>
          <t>No</t>
        </is>
      </c>
      <c r="AE797" s="755" t="n"/>
      <c r="AF797" s="755" t="n"/>
      <c r="AG797" s="755" t="n"/>
      <c r="AH797" s="755" t="n"/>
      <c r="AI797" s="740" t="inlineStr">
        <is>
          <t>Limit</t>
        </is>
      </c>
      <c r="AJ797" s="755" t="n"/>
      <c r="AK797" s="755" t="n"/>
      <c r="AL797" s="755" t="n"/>
      <c r="AM797" s="755" t="n"/>
      <c r="AN797" s="755" t="n"/>
      <c r="AO797" s="755" t="n"/>
      <c r="AP797" s="740" t="inlineStr">
        <is>
          <t>Pullback</t>
        </is>
      </c>
      <c r="AQ797" s="740" t="inlineStr">
        <is>
          <t>1H</t>
        </is>
      </c>
      <c r="AR797" s="740" t="inlineStr">
        <is>
          <t>No</t>
        </is>
      </c>
      <c r="AS797" s="755" t="n"/>
      <c r="AT797" s="755" t="n"/>
      <c r="AU797" s="755" t="n"/>
      <c r="AV797" s="755" t="n"/>
      <c r="AW797" s="740" t="inlineStr">
        <is>
          <t>trade</t>
        </is>
      </c>
      <c r="AX797" s="756" t="inlineStr">
        <is>
          <t>sig:ce0d8fcf8a99db8aa2401b07</t>
        </is>
      </c>
    </row>
    <row r="798" ht="15" customHeight="1">
      <c r="A798" s="716" t="inlineStr">
        <is>
          <t>F725</t>
        </is>
      </c>
      <c r="B798" s="717" t="n">
        <v>43925.06736111111</v>
      </c>
      <c r="C798" s="718" t="n">
        <v>43927.44097222222</v>
      </c>
      <c r="D798" s="719" t="inlineStr">
        <is>
          <t>PEPPERSTONE DEMO</t>
        </is>
      </c>
      <c r="E798" s="719" t="inlineStr">
        <is>
          <t>EURAUD</t>
        </is>
      </c>
      <c r="F798" s="719" t="inlineStr">
        <is>
          <t>BUY</t>
        </is>
      </c>
      <c r="G798" s="735" t="n">
        <v>0.01</v>
      </c>
      <c r="H798" s="720" t="n">
        <v>1.7952</v>
      </c>
      <c r="I798" s="720" t="n">
        <v>1.7952</v>
      </c>
      <c r="J798" s="721" t="n">
        <v>1.79</v>
      </c>
      <c r="K798" s="722" t="n">
        <v>0.002896613190730766</v>
      </c>
      <c r="L798" s="721" t="n">
        <v>1.8056</v>
      </c>
      <c r="M798" s="722" t="n">
        <v>0.00579322638146178</v>
      </c>
      <c r="N798" s="792" t="n">
        <v>0.07000000000000001</v>
      </c>
      <c r="O798" s="804" t="n">
        <v>-0.07000000000000001</v>
      </c>
      <c r="P798" s="763" t="n">
        <v>-0.0001383891502906172</v>
      </c>
      <c r="Q798" s="726" t="n">
        <v>0</v>
      </c>
      <c r="R798" s="764" t="n">
        <v>505.75</v>
      </c>
      <c r="S798" s="719" t="inlineStr">
        <is>
          <t>2D 8H 58M 0S</t>
        </is>
      </c>
      <c r="T798" s="717" t="n">
        <v>43927.33611111111</v>
      </c>
      <c r="U798" s="806" t="inlineStr">
        <is>
          <t>2D 6H 27M 0S</t>
        </is>
      </c>
      <c r="V798" s="807" t="n">
        <v>1.8005</v>
      </c>
      <c r="W798" s="725" t="n">
        <v>-0.005300000000000082</v>
      </c>
      <c r="X798" s="722" t="n">
        <v>0.005100000000000104</v>
      </c>
      <c r="Y798" s="728" t="n"/>
      <c r="Z798" s="729" t="n"/>
      <c r="AA798" s="730" t="n"/>
      <c r="AB798" s="731" t="n"/>
      <c r="AC798" s="732" t="n"/>
      <c r="AD798" s="719" t="inlineStr">
        <is>
          <t>No</t>
        </is>
      </c>
      <c r="AE798" s="733" t="n"/>
      <c r="AF798" s="733" t="n"/>
      <c r="AG798" s="733" t="n"/>
      <c r="AH798" s="733" t="n"/>
      <c r="AI798" s="719" t="inlineStr">
        <is>
          <t>Limit</t>
        </is>
      </c>
      <c r="AJ798" s="733" t="n"/>
      <c r="AK798" s="733" t="n"/>
      <c r="AL798" s="733" t="n"/>
      <c r="AM798" s="733" t="n"/>
      <c r="AN798" s="733" t="n"/>
      <c r="AO798" s="733" t="n"/>
      <c r="AP798" s="719" t="inlineStr">
        <is>
          <t>Pullback</t>
        </is>
      </c>
      <c r="AQ798" s="719" t="inlineStr">
        <is>
          <t>1H</t>
        </is>
      </c>
      <c r="AR798" s="719" t="inlineStr">
        <is>
          <t>No</t>
        </is>
      </c>
      <c r="AS798" s="733" t="n"/>
      <c r="AT798" s="733" t="n"/>
      <c r="AU798" s="733" t="n"/>
      <c r="AV798" s="733" t="n"/>
      <c r="AW798" s="719" t="inlineStr">
        <is>
          <t>trade</t>
        </is>
      </c>
      <c r="AX798" s="734" t="inlineStr">
        <is>
          <t>sig:c3219552e606d594347cd1bb</t>
        </is>
      </c>
    </row>
    <row r="799" ht="15" customHeight="1">
      <c r="A799" s="716" t="inlineStr">
        <is>
          <t>F724</t>
        </is>
      </c>
      <c r="B799" s="717" t="n">
        <v>43924.93819444445</v>
      </c>
      <c r="C799" s="718" t="n">
        <v>43924.94166666667</v>
      </c>
      <c r="D799" s="719" t="inlineStr">
        <is>
          <t>PEPPERSTONE LIVE</t>
        </is>
      </c>
      <c r="E799" s="719" t="inlineStr">
        <is>
          <t>EURUSD</t>
        </is>
      </c>
      <c r="F799" s="719" t="inlineStr">
        <is>
          <t>SELL</t>
        </is>
      </c>
      <c r="G799" s="735" t="n">
        <v>0.02</v>
      </c>
      <c r="H799" s="720" t="n">
        <v>1.0787</v>
      </c>
      <c r="I799" s="720" t="n">
        <v>1.07986</v>
      </c>
      <c r="J799" s="721" t="n">
        <v>1.0798</v>
      </c>
      <c r="K799" s="722" t="n">
        <v>0.001019745990544267</v>
      </c>
      <c r="L799" s="721" t="n">
        <v>1.0765</v>
      </c>
      <c r="M799" s="722" t="n">
        <v>0.002039491981088328</v>
      </c>
      <c r="N799" s="788" t="n"/>
      <c r="O799" s="762" t="n">
        <v>-3.56</v>
      </c>
      <c r="P799" s="725" t="n">
        <v>-0.007717320615651421</v>
      </c>
      <c r="Q799" s="726" t="n">
        <v>-1.054545454545403</v>
      </c>
      <c r="R799" s="764" t="n">
        <v>457.74</v>
      </c>
      <c r="S799" s="719" t="inlineStr">
        <is>
          <t>5M 0S</t>
        </is>
      </c>
      <c r="T799" s="728" t="n"/>
      <c r="U799" s="729" t="n"/>
      <c r="V799" s="807" t="n"/>
      <c r="W799" s="725" t="n"/>
      <c r="X799" s="722" t="n"/>
      <c r="Y799" s="728" t="n"/>
      <c r="Z799" s="729" t="n"/>
      <c r="AA799" s="730" t="n"/>
      <c r="AB799" s="731" t="n"/>
      <c r="AC799" s="732" t="n"/>
      <c r="AD799" s="719" t="inlineStr">
        <is>
          <t>No</t>
        </is>
      </c>
      <c r="AE799" s="733" t="n"/>
      <c r="AF799" s="733" t="n"/>
      <c r="AG799" s="733" t="n"/>
      <c r="AH799" s="733" t="n"/>
      <c r="AI799" s="719" t="inlineStr">
        <is>
          <t>Limit</t>
        </is>
      </c>
      <c r="AJ799" s="733" t="n"/>
      <c r="AK799" s="733" t="n"/>
      <c r="AL799" s="733" t="n"/>
      <c r="AM799" s="733" t="n"/>
      <c r="AN799" s="733" t="n"/>
      <c r="AO799" s="733" t="n"/>
      <c r="AP799" s="719" t="inlineStr">
        <is>
          <t>News Scalp</t>
        </is>
      </c>
      <c r="AQ799" s="719" t="inlineStr">
        <is>
          <t>1MIN</t>
        </is>
      </c>
      <c r="AR799" s="719" t="inlineStr">
        <is>
          <t>No</t>
        </is>
      </c>
      <c r="AS799" s="733" t="n"/>
      <c r="AT799" s="733" t="n"/>
      <c r="AU799" s="733" t="n"/>
      <c r="AV799" s="733" t="n"/>
      <c r="AW799" s="719" t="inlineStr">
        <is>
          <t>trade</t>
        </is>
      </c>
      <c r="AX799" s="734" t="inlineStr">
        <is>
          <t>sig:1a48de62aafe56b78ec296eb</t>
        </is>
      </c>
    </row>
    <row r="800" ht="15" customHeight="1">
      <c r="A800" s="737" t="inlineStr">
        <is>
          <t>F723</t>
        </is>
      </c>
      <c r="B800" s="738" t="n">
        <v>43924.66944444444</v>
      </c>
      <c r="C800" s="739" t="n">
        <v>43924.76319444444</v>
      </c>
      <c r="D800" s="740" t="inlineStr">
        <is>
          <t>PEPPERSTONE DEMO</t>
        </is>
      </c>
      <c r="E800" s="740" t="inlineStr">
        <is>
          <t>CADJPY</t>
        </is>
      </c>
      <c r="F800" s="740" t="inlineStr">
        <is>
          <t>BUY</t>
        </is>
      </c>
      <c r="G800" s="775" t="n">
        <v>0.01</v>
      </c>
      <c r="H800" s="742" t="n">
        <v>76.166</v>
      </c>
      <c r="I800" s="742" t="n">
        <v>76.54600000000001</v>
      </c>
      <c r="J800" s="743" t="n">
        <v>75.97</v>
      </c>
      <c r="K800" s="744" t="n">
        <v>0.002573326681196308</v>
      </c>
      <c r="L800" s="743" t="n">
        <v>76.54600000000001</v>
      </c>
      <c r="M800" s="744" t="n">
        <v>0.004989102749258326</v>
      </c>
      <c r="N800" s="796" t="n"/>
      <c r="O800" s="767" t="n">
        <v>5.82</v>
      </c>
      <c r="P800" s="747" t="n">
        <v>0.01164</v>
      </c>
      <c r="Q800" s="748" t="n">
        <v>1.938775510204151</v>
      </c>
      <c r="R800" s="769" t="n">
        <v>505.82</v>
      </c>
      <c r="S800" s="740" t="inlineStr">
        <is>
          <t>2H 15M 0S</t>
        </is>
      </c>
      <c r="T800" s="738" t="n">
        <v>43924.73611111111</v>
      </c>
      <c r="U800" s="809" t="inlineStr">
        <is>
          <t>1H 36M 0S</t>
        </is>
      </c>
      <c r="V800" s="810" t="n">
        <v>76.34999999999999</v>
      </c>
      <c r="W800" s="747" t="n">
        <v>-0.1839999999999975</v>
      </c>
      <c r="X800" s="744" t="n">
        <v>0.1960000000000122</v>
      </c>
      <c r="Y800" s="750" t="n"/>
      <c r="Z800" s="751" t="n"/>
      <c r="AA800" s="752" t="n"/>
      <c r="AB800" s="753" t="n"/>
      <c r="AC800" s="754" t="n"/>
      <c r="AD800" s="740" t="inlineStr">
        <is>
          <t>No</t>
        </is>
      </c>
      <c r="AE800" s="755" t="n"/>
      <c r="AF800" s="755" t="n"/>
      <c r="AG800" s="755" t="n"/>
      <c r="AH800" s="755" t="n"/>
      <c r="AI800" s="740" t="inlineStr">
        <is>
          <t>Limit</t>
        </is>
      </c>
      <c r="AJ800" s="755" t="n"/>
      <c r="AK800" s="755" t="n"/>
      <c r="AL800" s="755" t="n"/>
      <c r="AM800" s="755" t="n"/>
      <c r="AN800" s="755" t="n"/>
      <c r="AO800" s="755" t="n"/>
      <c r="AP800" s="740" t="inlineStr">
        <is>
          <t>Pullback</t>
        </is>
      </c>
      <c r="AQ800" s="740" t="inlineStr">
        <is>
          <t>1H</t>
        </is>
      </c>
      <c r="AR800" s="740" t="inlineStr">
        <is>
          <t>No</t>
        </is>
      </c>
      <c r="AS800" s="755" t="n"/>
      <c r="AT800" s="755" t="n"/>
      <c r="AU800" s="755" t="n"/>
      <c r="AV800" s="755" t="n"/>
      <c r="AW800" s="740" t="inlineStr">
        <is>
          <t>trade</t>
        </is>
      </c>
      <c r="AX800" s="756" t="inlineStr">
        <is>
          <t>sig:a300ea6b9d6d0b9e09821359</t>
        </is>
      </c>
    </row>
    <row r="801" ht="15" customHeight="1">
      <c r="A801" s="42" t="n"/>
      <c r="B801" s="770" t="n">
        <v>43924</v>
      </c>
      <c r="C801" s="771" t="n">
        <v>43924</v>
      </c>
      <c r="D801" s="12" t="inlineStr">
        <is>
          <t>PEPPERSTONE DEMO</t>
        </is>
      </c>
      <c r="E801" s="12" t="inlineStr">
        <is>
          <t>CASHFLOW</t>
        </is>
      </c>
      <c r="F801" s="12" t="inlineStr">
        <is>
          <t>WITHDRAWAL</t>
        </is>
      </c>
      <c r="G801" s="262" t="n"/>
      <c r="H801" s="262" t="n"/>
      <c r="I801" s="262" t="n"/>
      <c r="J801" s="263" t="n"/>
      <c r="K801" s="36" t="n"/>
      <c r="L801" s="263" t="n"/>
      <c r="M801" s="36" t="n"/>
      <c r="N801" s="779" t="n"/>
      <c r="O801" s="773" t="n"/>
      <c r="P801" s="3" t="n"/>
      <c r="Q801" s="51" t="n"/>
      <c r="R801" s="54" t="n">
        <v>0</v>
      </c>
      <c r="S801" s="12" t="n"/>
      <c r="T801" s="774" t="n"/>
      <c r="U801" s="6" t="n"/>
      <c r="V801" s="269" t="n"/>
      <c r="W801" s="3" t="n"/>
      <c r="X801" s="36" t="n"/>
      <c r="Y801" s="774" t="n"/>
      <c r="Z801" s="6" t="n"/>
      <c r="AA801" s="264" t="n"/>
      <c r="AB801" s="9" t="n"/>
      <c r="AC801" s="46" t="n"/>
      <c r="AD801" s="12" t="inlineStr">
        <is>
          <t>No</t>
        </is>
      </c>
      <c r="AE801" s="45" t="n"/>
      <c r="AF801" s="45" t="n"/>
      <c r="AG801" s="45" t="n"/>
      <c r="AH801" s="45" t="n"/>
      <c r="AI801" s="12" t="n"/>
      <c r="AJ801" s="45" t="n"/>
      <c r="AK801" s="45" t="n"/>
      <c r="AL801" s="45" t="n"/>
      <c r="AM801" s="45" t="n"/>
      <c r="AN801" s="45" t="n"/>
      <c r="AO801" s="45" t="n"/>
      <c r="AP801" s="12" t="n"/>
      <c r="AQ801" s="12" t="n"/>
      <c r="AR801" s="12" t="n"/>
      <c r="AS801" s="56" t="inlineStr">
        <is>
          <t>Withdrawal -546.22 AUD. Source: user_txt. Imported from account_cashflows.xlsx row 51.</t>
        </is>
      </c>
      <c r="AT801" s="45" t="n"/>
      <c r="AU801" s="12" t="n">
        <v>0</v>
      </c>
      <c r="AV801" s="12" t="inlineStr">
        <is>
          <t>AUD</t>
        </is>
      </c>
      <c r="AW801" s="12" t="inlineStr">
        <is>
          <t>cashflow</t>
        </is>
      </c>
      <c r="AX801" s="57" t="inlineStr">
        <is>
          <t>cashflow:PEPPERSTONE DEMO:2020-04-03T00:00:00:37</t>
        </is>
      </c>
    </row>
    <row r="802" ht="15" customHeight="1">
      <c r="A802" s="42" t="n"/>
      <c r="B802" s="770" t="n">
        <v>43924</v>
      </c>
      <c r="C802" s="771" t="n">
        <v>43924</v>
      </c>
      <c r="D802" s="12" t="inlineStr">
        <is>
          <t>PEPPERSTONE DEMO</t>
        </is>
      </c>
      <c r="E802" s="12" t="inlineStr">
        <is>
          <t>CASHFLOW</t>
        </is>
      </c>
      <c r="F802" s="12" t="inlineStr">
        <is>
          <t>DEPOSIT</t>
        </is>
      </c>
      <c r="G802" s="262" t="n"/>
      <c r="H802" s="262" t="n"/>
      <c r="I802" s="262" t="n"/>
      <c r="J802" s="263" t="n"/>
      <c r="K802" s="36" t="n"/>
      <c r="L802" s="263" t="n"/>
      <c r="M802" s="36" t="n"/>
      <c r="N802" s="779" t="n"/>
      <c r="O802" s="773" t="n"/>
      <c r="P802" s="3" t="n"/>
      <c r="Q802" s="51" t="n"/>
      <c r="R802" s="54" t="n">
        <v>500</v>
      </c>
      <c r="S802" s="12" t="n"/>
      <c r="T802" s="774" t="n"/>
      <c r="U802" s="6" t="n"/>
      <c r="V802" s="269" t="n"/>
      <c r="W802" s="3" t="n"/>
      <c r="X802" s="36" t="n"/>
      <c r="Y802" s="774" t="n"/>
      <c r="Z802" s="6" t="n"/>
      <c r="AA802" s="264" t="n"/>
      <c r="AB802" s="9" t="n"/>
      <c r="AC802" s="46" t="n"/>
      <c r="AD802" s="12" t="inlineStr">
        <is>
          <t>No</t>
        </is>
      </c>
      <c r="AE802" s="45" t="n"/>
      <c r="AF802" s="45" t="n"/>
      <c r="AG802" s="45" t="n"/>
      <c r="AH802" s="45" t="n"/>
      <c r="AI802" s="12" t="n"/>
      <c r="AJ802" s="45" t="n"/>
      <c r="AK802" s="45" t="n"/>
      <c r="AL802" s="45" t="n"/>
      <c r="AM802" s="45" t="n"/>
      <c r="AN802" s="45" t="n"/>
      <c r="AO802" s="45" t="n"/>
      <c r="AP802" s="12" t="n"/>
      <c r="AQ802" s="12" t="n"/>
      <c r="AR802" s="12" t="n"/>
      <c r="AS802" s="56" t="inlineStr">
        <is>
          <t>Deposit 500.0 AUD. Source: user_txt. Imported from account_cashflows.xlsx row 52.</t>
        </is>
      </c>
      <c r="AT802" s="45" t="n"/>
      <c r="AU802" s="12" t="n">
        <v>500</v>
      </c>
      <c r="AV802" s="12" t="inlineStr">
        <is>
          <t>AUD</t>
        </is>
      </c>
      <c r="AW802" s="12" t="inlineStr">
        <is>
          <t>cashflow</t>
        </is>
      </c>
      <c r="AX802" s="57" t="inlineStr">
        <is>
          <t>cashflow:PEPPERSTONE DEMO:2020-04-03T00:00:00:38</t>
        </is>
      </c>
    </row>
    <row r="803" ht="15" customHeight="1">
      <c r="A803" s="737" t="inlineStr">
        <is>
          <t>F722</t>
        </is>
      </c>
      <c r="B803" s="738" t="n">
        <v>43923.18125</v>
      </c>
      <c r="C803" s="739" t="n">
        <v>43923.65138888889</v>
      </c>
      <c r="D803" s="740" t="inlineStr">
        <is>
          <t>PEPPERSTONE DEMO</t>
        </is>
      </c>
      <c r="E803" s="740" t="inlineStr">
        <is>
          <t>CADCHF</t>
        </is>
      </c>
      <c r="F803" s="740" t="inlineStr">
        <is>
          <t>BUY</t>
        </is>
      </c>
      <c r="G803" s="775" t="n">
        <v>0.02</v>
      </c>
      <c r="H803" s="742" t="n">
        <v>0.67988</v>
      </c>
      <c r="I803" s="742" t="n">
        <v>0.6841</v>
      </c>
      <c r="J803" s="743" t="n">
        <v>0.6778</v>
      </c>
      <c r="K803" s="744" t="n">
        <v>0.003059363417073721</v>
      </c>
      <c r="L803" s="743" t="n">
        <v>0.6841</v>
      </c>
      <c r="M803" s="744" t="n">
        <v>0.006206977701947405</v>
      </c>
      <c r="N803" s="766" t="n">
        <v>0.86</v>
      </c>
      <c r="O803" s="767" t="n">
        <v>15.19</v>
      </c>
      <c r="P803" s="747" t="n">
        <v>0.02860478692352598</v>
      </c>
      <c r="Q803" s="748" t="n">
        <v>2.028846153846075</v>
      </c>
      <c r="R803" s="769" t="n">
        <v>546.2199999999999</v>
      </c>
      <c r="S803" s="740" t="inlineStr">
        <is>
          <t>11H 17M 0S</t>
        </is>
      </c>
      <c r="T803" s="738" t="n">
        <v>43923.41736111111</v>
      </c>
      <c r="U803" s="809" t="inlineStr">
        <is>
          <t>5H 40M 0S</t>
        </is>
      </c>
      <c r="V803" s="810" t="n">
        <v>0.6821</v>
      </c>
      <c r="W803" s="747" t="n">
        <v>-0.00222</v>
      </c>
      <c r="X803" s="744" t="n">
        <v>0.002000000000000002</v>
      </c>
      <c r="Y803" s="750" t="n"/>
      <c r="Z803" s="751" t="n"/>
      <c r="AA803" s="752" t="n"/>
      <c r="AB803" s="753" t="n"/>
      <c r="AC803" s="754" t="n"/>
      <c r="AD803" s="740" t="inlineStr">
        <is>
          <t>No</t>
        </is>
      </c>
      <c r="AE803" s="755" t="n"/>
      <c r="AF803" s="755" t="n"/>
      <c r="AG803" s="755" t="n"/>
      <c r="AH803" s="755" t="n"/>
      <c r="AI803" s="740" t="inlineStr">
        <is>
          <t>Limit</t>
        </is>
      </c>
      <c r="AJ803" s="755" t="n"/>
      <c r="AK803" s="755" t="n"/>
      <c r="AL803" s="755" t="n"/>
      <c r="AM803" s="755" t="n"/>
      <c r="AN803" s="755" t="n"/>
      <c r="AO803" s="755" t="n"/>
      <c r="AP803" s="740" t="inlineStr">
        <is>
          <t>Pullback</t>
        </is>
      </c>
      <c r="AQ803" s="740" t="inlineStr">
        <is>
          <t>1H</t>
        </is>
      </c>
      <c r="AR803" s="740" t="inlineStr">
        <is>
          <t>No</t>
        </is>
      </c>
      <c r="AS803" s="755" t="n"/>
      <c r="AT803" s="755" t="n"/>
      <c r="AU803" s="755" t="n"/>
      <c r="AV803" s="755" t="n"/>
      <c r="AW803" s="740" t="inlineStr">
        <is>
          <t>trade</t>
        </is>
      </c>
      <c r="AX803" s="756" t="inlineStr">
        <is>
          <t>sig:778bed68257f1e1811517b44</t>
        </is>
      </c>
    </row>
    <row r="804" ht="15" customHeight="1">
      <c r="A804" s="737" t="inlineStr">
        <is>
          <t>F721</t>
        </is>
      </c>
      <c r="B804" s="738" t="n">
        <v>43923.01666666667</v>
      </c>
      <c r="C804" s="739" t="n">
        <v>43923.03402777778</v>
      </c>
      <c r="D804" s="740" t="inlineStr">
        <is>
          <t>PEPPERSTONE DEMO</t>
        </is>
      </c>
      <c r="E804" s="740" t="inlineStr">
        <is>
          <t>AUDNZD</t>
        </is>
      </c>
      <c r="F804" s="740" t="inlineStr">
        <is>
          <t>BUY</t>
        </is>
      </c>
      <c r="G804" s="775" t="n">
        <v>0.03</v>
      </c>
      <c r="H804" s="742" t="n">
        <v>1.02602</v>
      </c>
      <c r="I804" s="742" t="n">
        <v>1.02985</v>
      </c>
      <c r="J804" s="743" t="n">
        <v>1.0241</v>
      </c>
      <c r="K804" s="744" t="n">
        <v>0.001871308551490148</v>
      </c>
      <c r="L804" s="743" t="n">
        <v>1.02985</v>
      </c>
      <c r="M804" s="744" t="n">
        <v>0.003732870704274771</v>
      </c>
      <c r="N804" s="766" t="n"/>
      <c r="O804" s="767" t="n">
        <v>11.16</v>
      </c>
      <c r="P804" s="747" t="n">
        <v>0.02146690518783543</v>
      </c>
      <c r="Q804" s="748" t="n">
        <v>1.994791666666748</v>
      </c>
      <c r="R804" s="769" t="n">
        <v>531.0299999999999</v>
      </c>
      <c r="S804" s="740" t="inlineStr">
        <is>
          <t>25M 0S</t>
        </is>
      </c>
      <c r="T804" s="750" t="n"/>
      <c r="U804" s="751" t="n"/>
      <c r="V804" s="810" t="n">
        <v>1.0281</v>
      </c>
      <c r="W804" s="747" t="n">
        <v>-0.002080000000000082</v>
      </c>
      <c r="X804" s="744" t="n">
        <v>0.001749999999999918</v>
      </c>
      <c r="Y804" s="750" t="n"/>
      <c r="Z804" s="751" t="n"/>
      <c r="AA804" s="752" t="n"/>
      <c r="AB804" s="753" t="n"/>
      <c r="AC804" s="754" t="n"/>
      <c r="AD804" s="740" t="inlineStr">
        <is>
          <t>No</t>
        </is>
      </c>
      <c r="AE804" s="755" t="n"/>
      <c r="AF804" s="755" t="n"/>
      <c r="AG804" s="755" t="n"/>
      <c r="AH804" s="755" t="n"/>
      <c r="AI804" s="740" t="inlineStr">
        <is>
          <t>Limit</t>
        </is>
      </c>
      <c r="AJ804" s="755" t="n"/>
      <c r="AK804" s="755" t="n"/>
      <c r="AL804" s="755" t="n"/>
      <c r="AM804" s="755" t="n"/>
      <c r="AN804" s="755" t="n"/>
      <c r="AO804" s="755" t="n"/>
      <c r="AP804" s="740" t="inlineStr">
        <is>
          <t>Pullback</t>
        </is>
      </c>
      <c r="AQ804" s="740" t="inlineStr">
        <is>
          <t>1H</t>
        </is>
      </c>
      <c r="AR804" s="740" t="inlineStr">
        <is>
          <t>No</t>
        </is>
      </c>
      <c r="AS804" s="755" t="n"/>
      <c r="AT804" s="755" t="n"/>
      <c r="AU804" s="755" t="n"/>
      <c r="AV804" s="755" t="n"/>
      <c r="AW804" s="740" t="inlineStr">
        <is>
          <t>trade</t>
        </is>
      </c>
      <c r="AX804" s="756" t="inlineStr">
        <is>
          <t>sig:e63185d55ca232c221ddf500</t>
        </is>
      </c>
    </row>
    <row r="805" ht="15" customHeight="1">
      <c r="A805" s="716" t="inlineStr">
        <is>
          <t>F720</t>
        </is>
      </c>
      <c r="B805" s="717" t="n">
        <v>43916.9375</v>
      </c>
      <c r="C805" s="718" t="n">
        <v>43916.93791666667</v>
      </c>
      <c r="D805" s="719" t="inlineStr">
        <is>
          <t>PEPPERSTONE DEMO</t>
        </is>
      </c>
      <c r="E805" s="719" t="inlineStr">
        <is>
          <t>EURUSD</t>
        </is>
      </c>
      <c r="F805" s="719" t="inlineStr">
        <is>
          <t>BUY</t>
        </is>
      </c>
      <c r="G805" s="735" t="n">
        <v>0.03</v>
      </c>
      <c r="H805" s="720" t="n">
        <v>1.0956</v>
      </c>
      <c r="I805" s="720" t="n">
        <v>1.09462</v>
      </c>
      <c r="J805" s="721" t="n">
        <v>1.0946</v>
      </c>
      <c r="K805" s="760" t="n">
        <v>0.0009127418765971978</v>
      </c>
      <c r="L805" s="721" t="n">
        <v>1.0976</v>
      </c>
      <c r="M805" s="722" t="n">
        <v>0.001825483753194598</v>
      </c>
      <c r="N805" s="788" t="n"/>
      <c r="O805" s="762" t="n">
        <v>-5</v>
      </c>
      <c r="P805" s="725" t="n">
        <v>-0.009526168384552367</v>
      </c>
      <c r="Q805" s="726" t="n">
        <v>-0.9800000000000888</v>
      </c>
      <c r="R805" s="764" t="n">
        <v>519.8699999999999</v>
      </c>
      <c r="S805" s="719" t="inlineStr">
        <is>
          <t>36S</t>
        </is>
      </c>
      <c r="T805" s="728" t="n"/>
      <c r="U805" s="729" t="n"/>
      <c r="V805" s="807" t="n"/>
      <c r="W805" s="725" t="n"/>
      <c r="X805" s="722" t="n"/>
      <c r="Y805" s="728" t="n"/>
      <c r="Z805" s="729" t="n"/>
      <c r="AA805" s="730" t="n"/>
      <c r="AB805" s="731" t="n"/>
      <c r="AC805" s="732" t="n"/>
      <c r="AD805" s="719" t="inlineStr">
        <is>
          <t>No</t>
        </is>
      </c>
      <c r="AE805" s="733" t="n"/>
      <c r="AF805" s="733" t="n"/>
      <c r="AG805" s="733" t="n"/>
      <c r="AH805" s="733" t="n"/>
      <c r="AI805" s="719" t="inlineStr">
        <is>
          <t>Limit</t>
        </is>
      </c>
      <c r="AJ805" s="733" t="n"/>
      <c r="AK805" s="733" t="n"/>
      <c r="AL805" s="733" t="n"/>
      <c r="AM805" s="733" t="n"/>
      <c r="AN805" s="733" t="n"/>
      <c r="AO805" s="733" t="n"/>
      <c r="AP805" s="719" t="inlineStr">
        <is>
          <t>News Scalp</t>
        </is>
      </c>
      <c r="AQ805" s="719" t="inlineStr">
        <is>
          <t>1MIN</t>
        </is>
      </c>
      <c r="AR805" s="719" t="inlineStr">
        <is>
          <t>No</t>
        </is>
      </c>
      <c r="AS805" s="733" t="n"/>
      <c r="AT805" s="733" t="n"/>
      <c r="AU805" s="733" t="n"/>
      <c r="AV805" s="733" t="n"/>
      <c r="AW805" s="719" t="inlineStr">
        <is>
          <t>trade</t>
        </is>
      </c>
      <c r="AX805" s="734" t="inlineStr">
        <is>
          <t>sig:e99489ecbec56d8ce8689394</t>
        </is>
      </c>
    </row>
    <row r="806" ht="15" customHeight="1">
      <c r="A806" s="716" t="inlineStr">
        <is>
          <t>F719</t>
        </is>
      </c>
      <c r="B806" s="717" t="n">
        <v>43916.91668981482</v>
      </c>
      <c r="C806" s="718" t="n">
        <v>43916.91670138889</v>
      </c>
      <c r="D806" s="719" t="inlineStr">
        <is>
          <t>PEPPERSTONE DEMO</t>
        </is>
      </c>
      <c r="E806" s="719" t="inlineStr">
        <is>
          <t>GBPUSD</t>
        </is>
      </c>
      <c r="F806" s="719" t="inlineStr">
        <is>
          <t>SELL</t>
        </is>
      </c>
      <c r="G806" s="735" t="n">
        <v>0.02</v>
      </c>
      <c r="H806" s="720" t="n">
        <v>1.1953</v>
      </c>
      <c r="I806" s="720" t="n">
        <v>1.19689</v>
      </c>
      <c r="J806" s="721" t="n">
        <v>1.1968</v>
      </c>
      <c r="K806" s="722" t="n">
        <v>0.001254915084079358</v>
      </c>
      <c r="L806" s="721" t="n">
        <v>1.1923</v>
      </c>
      <c r="M806" s="722" t="n">
        <v>0.002509830168158716</v>
      </c>
      <c r="N806" s="788" t="n"/>
      <c r="O806" s="762" t="n">
        <v>-5</v>
      </c>
      <c r="P806" s="725" t="n">
        <v>-0.009436276822616871</v>
      </c>
      <c r="Q806" s="726" t="n">
        <v>-1.059999999999947</v>
      </c>
      <c r="R806" s="764" t="n">
        <v>524.8699999999999</v>
      </c>
      <c r="S806" s="719" t="inlineStr">
        <is>
          <t>1S</t>
        </is>
      </c>
      <c r="T806" s="728" t="n"/>
      <c r="U806" s="729" t="n"/>
      <c r="V806" s="730" t="n"/>
      <c r="W806" s="731" t="n"/>
      <c r="X806" s="732" t="n"/>
      <c r="Y806" s="728" t="n"/>
      <c r="Z806" s="729" t="n"/>
      <c r="AA806" s="730" t="n"/>
      <c r="AB806" s="731" t="n"/>
      <c r="AC806" s="732" t="n"/>
      <c r="AD806" s="719" t="inlineStr">
        <is>
          <t>No</t>
        </is>
      </c>
      <c r="AE806" s="733" t="n"/>
      <c r="AF806" s="733" t="n"/>
      <c r="AG806" s="733" t="n"/>
      <c r="AH806" s="733" t="n"/>
      <c r="AI806" s="719" t="inlineStr">
        <is>
          <t>Limit</t>
        </is>
      </c>
      <c r="AJ806" s="733" t="n"/>
      <c r="AK806" s="733" t="n"/>
      <c r="AL806" s="733" t="n"/>
      <c r="AM806" s="733" t="n"/>
      <c r="AN806" s="733" t="n"/>
      <c r="AO806" s="733" t="n"/>
      <c r="AP806" s="719" t="inlineStr">
        <is>
          <t>News Scalp</t>
        </is>
      </c>
      <c r="AQ806" s="719" t="inlineStr">
        <is>
          <t>1MIN</t>
        </is>
      </c>
      <c r="AR806" s="719" t="inlineStr">
        <is>
          <t>No</t>
        </is>
      </c>
      <c r="AS806" s="733" t="n"/>
      <c r="AT806" s="733" t="n"/>
      <c r="AU806" s="733" t="n"/>
      <c r="AV806" s="733" t="n"/>
      <c r="AW806" s="719" t="inlineStr">
        <is>
          <t>trade</t>
        </is>
      </c>
      <c r="AX806" s="734" t="inlineStr">
        <is>
          <t>sig:5921421af97206009fbf220b</t>
        </is>
      </c>
    </row>
    <row r="807" ht="15" customHeight="1">
      <c r="A807" s="716" t="inlineStr">
        <is>
          <t>F718</t>
        </is>
      </c>
      <c r="B807" s="717" t="n">
        <v>43916.88125</v>
      </c>
      <c r="C807" s="718" t="n">
        <v>43916.88333333333</v>
      </c>
      <c r="D807" s="719" t="inlineStr">
        <is>
          <t>PEPPERSTONE LIVE</t>
        </is>
      </c>
      <c r="E807" s="719" t="inlineStr">
        <is>
          <t>AUDCHF</t>
        </is>
      </c>
      <c r="F807" s="719" t="inlineStr">
        <is>
          <t>SELL</t>
        </is>
      </c>
      <c r="G807" s="735" t="n">
        <v>0.01</v>
      </c>
      <c r="H807" s="720" t="n">
        <v>0.5812</v>
      </c>
      <c r="I807" s="720" t="n">
        <v>0.5838100000000001</v>
      </c>
      <c r="J807" s="721" t="n">
        <v>0.5837</v>
      </c>
      <c r="K807" s="722" t="n">
        <v>0.004301445285615875</v>
      </c>
      <c r="L807" s="721" t="n">
        <v>0.5762</v>
      </c>
      <c r="M807" s="722" t="n">
        <v>0.00860289057123194</v>
      </c>
      <c r="N807" s="788" t="n"/>
      <c r="O807" s="762" t="n">
        <v>-4.42</v>
      </c>
      <c r="P807" s="725" t="n">
        <v>-0.009490681095937472</v>
      </c>
      <c r="Q807" s="726" t="n">
        <v>-1.044000000000023</v>
      </c>
      <c r="R807" s="764" t="n">
        <v>461.3</v>
      </c>
      <c r="S807" s="719" t="inlineStr">
        <is>
          <t>3M 0S</t>
        </is>
      </c>
      <c r="T807" s="717" t="n"/>
      <c r="U807" s="806" t="n"/>
      <c r="V807" s="807" t="n">
        <v>0.5783</v>
      </c>
      <c r="W807" s="725" t="n">
        <v>0.002900000000000014</v>
      </c>
      <c r="X807" s="722" t="n">
        <v>-0.002099999999999991</v>
      </c>
      <c r="Y807" s="728" t="n"/>
      <c r="Z807" s="729" t="n"/>
      <c r="AA807" s="730" t="n"/>
      <c r="AB807" s="731" t="n"/>
      <c r="AC807" s="732" t="n"/>
      <c r="AD807" s="719" t="inlineStr">
        <is>
          <t>No</t>
        </is>
      </c>
      <c r="AE807" s="733" t="n"/>
      <c r="AF807" s="733" t="n"/>
      <c r="AG807" s="733" t="n"/>
      <c r="AH807" s="733" t="n"/>
      <c r="AI807" s="719" t="inlineStr">
        <is>
          <t>Limit</t>
        </is>
      </c>
      <c r="AJ807" s="733" t="n"/>
      <c r="AK807" s="733" t="n"/>
      <c r="AL807" s="733" t="n"/>
      <c r="AM807" s="733" t="n"/>
      <c r="AN807" s="733" t="n"/>
      <c r="AO807" s="733" t="n"/>
      <c r="AP807" s="719" t="inlineStr">
        <is>
          <t>Pullback</t>
        </is>
      </c>
      <c r="AQ807" s="719" t="inlineStr">
        <is>
          <t>1H</t>
        </is>
      </c>
      <c r="AR807" s="719" t="inlineStr">
        <is>
          <t>No</t>
        </is>
      </c>
      <c r="AS807" s="733" t="n"/>
      <c r="AT807" s="733" t="n"/>
      <c r="AU807" s="733" t="n"/>
      <c r="AV807" s="733" t="n"/>
      <c r="AW807" s="719" t="inlineStr">
        <is>
          <t>trade</t>
        </is>
      </c>
      <c r="AX807" s="734" t="inlineStr">
        <is>
          <t>sig:f7054ba2d30dd528b4415807</t>
        </is>
      </c>
    </row>
    <row r="808" ht="15" customHeight="1">
      <c r="A808" s="42" t="inlineStr">
        <is>
          <t>F717</t>
        </is>
      </c>
      <c r="B808" s="770" t="n">
        <v>43915.06458333333</v>
      </c>
      <c r="C808" s="771" t="n">
        <v>43915.19027777778</v>
      </c>
      <c r="D808" s="12" t="inlineStr">
        <is>
          <t>PEPPERSTONE LIVE</t>
        </is>
      </c>
      <c r="E808" s="12" t="inlineStr">
        <is>
          <t>CHFJPY</t>
        </is>
      </c>
      <c r="F808" s="12" t="inlineStr">
        <is>
          <t>BUY</t>
        </is>
      </c>
      <c r="G808" s="272" t="n">
        <v>0.01</v>
      </c>
      <c r="H808" s="262" t="n">
        <v>113.244</v>
      </c>
      <c r="I808" s="262" t="n">
        <v>113.244</v>
      </c>
      <c r="J808" s="263" t="n">
        <v>112.9</v>
      </c>
      <c r="K808" s="36" t="n">
        <v>0.003037688530959645</v>
      </c>
      <c r="L808" s="263" t="n">
        <v>113.91</v>
      </c>
      <c r="M808" s="36" t="n">
        <v>0.005881106283776596</v>
      </c>
      <c r="N808" s="779" t="n"/>
      <c r="O808" s="773" t="n">
        <v>0</v>
      </c>
      <c r="P808" s="3" t="n">
        <v>0</v>
      </c>
      <c r="Q808" s="51" t="n">
        <v>0</v>
      </c>
      <c r="R808" s="54" t="n">
        <v>465.72</v>
      </c>
      <c r="S808" s="12" t="inlineStr">
        <is>
          <t>3H 1M 0S</t>
        </is>
      </c>
      <c r="T808" s="770" t="n">
        <v>43915.08333333334</v>
      </c>
      <c r="U808" s="4" t="inlineStr">
        <is>
          <t>27M 0S</t>
        </is>
      </c>
      <c r="V808" s="269" t="n">
        <v>113.61</v>
      </c>
      <c r="W808" s="3" t="n">
        <v>-0.3659999999999997</v>
      </c>
      <c r="X808" s="36" t="n">
        <v>0.2999999999999972</v>
      </c>
      <c r="Y808" s="774" t="n"/>
      <c r="Z808" s="6" t="n"/>
      <c r="AA808" s="264" t="n"/>
      <c r="AB808" s="9" t="n"/>
      <c r="AC808" s="46" t="n"/>
      <c r="AD808" s="12" t="inlineStr">
        <is>
          <t>No</t>
        </is>
      </c>
      <c r="AE808" s="45" t="n"/>
      <c r="AF808" s="45" t="n"/>
      <c r="AG808" s="45" t="n"/>
      <c r="AH808" s="45" t="n"/>
      <c r="AI808" s="12" t="inlineStr">
        <is>
          <t>Limit</t>
        </is>
      </c>
      <c r="AJ808" s="45" t="n"/>
      <c r="AK808" s="45" t="n"/>
      <c r="AL808" s="45" t="n"/>
      <c r="AM808" s="45" t="n"/>
      <c r="AN808" s="45" t="n"/>
      <c r="AO808" s="45" t="n"/>
      <c r="AP808" s="12" t="inlineStr">
        <is>
          <t>Pullback</t>
        </is>
      </c>
      <c r="AQ808" s="12" t="inlineStr">
        <is>
          <t>1H</t>
        </is>
      </c>
      <c r="AR808" s="12" t="inlineStr">
        <is>
          <t>Yes</t>
        </is>
      </c>
      <c r="AS808" s="45" t="n"/>
      <c r="AT808" s="45" t="n"/>
      <c r="AU808" s="45" t="n"/>
      <c r="AV808" s="45" t="n"/>
      <c r="AW808" s="12" t="inlineStr">
        <is>
          <t>trade</t>
        </is>
      </c>
      <c r="AX808" s="57" t="inlineStr">
        <is>
          <t>sig:34b4babd22a0ff7df9db0242</t>
        </is>
      </c>
    </row>
    <row r="809" ht="15" customHeight="1">
      <c r="A809" s="716" t="inlineStr">
        <is>
          <t>F716</t>
        </is>
      </c>
      <c r="B809" s="717" t="n">
        <v>43914.36180555556</v>
      </c>
      <c r="C809" s="718" t="n">
        <v>43914.64722222222</v>
      </c>
      <c r="D809" s="719" t="inlineStr">
        <is>
          <t>PEPPERSTONE LIVE</t>
        </is>
      </c>
      <c r="E809" s="719" t="inlineStr">
        <is>
          <t>EURJPY</t>
        </is>
      </c>
      <c r="F809" s="719" t="inlineStr">
        <is>
          <t>BUY</t>
        </is>
      </c>
      <c r="G809" s="735" t="n">
        <v>0.01</v>
      </c>
      <c r="H809" s="720" t="n">
        <v>119.24</v>
      </c>
      <c r="I809" s="720" t="n">
        <v>118.867</v>
      </c>
      <c r="J809" s="721" t="n">
        <v>118.86</v>
      </c>
      <c r="K809" s="722" t="n">
        <v>0.003186850050318647</v>
      </c>
      <c r="L809" s="721" t="n">
        <v>120</v>
      </c>
      <c r="M809" s="722" t="n">
        <v>0.006373700100637413</v>
      </c>
      <c r="N809" s="788" t="n"/>
      <c r="O809" s="762" t="n">
        <v>-5.87</v>
      </c>
      <c r="P809" s="725" t="n">
        <v>-0.01244725291036705</v>
      </c>
      <c r="Q809" s="726" t="n">
        <v>-0.9815789473684077</v>
      </c>
      <c r="R809" s="764" t="n">
        <v>465.72</v>
      </c>
      <c r="S809" s="719" t="inlineStr">
        <is>
          <t>6H 51M 0S</t>
        </is>
      </c>
      <c r="T809" s="728" t="n"/>
      <c r="U809" s="729" t="n"/>
      <c r="V809" s="807" t="n">
        <v>119.66</v>
      </c>
      <c r="W809" s="725" t="n">
        <v>-0.4200000000000017</v>
      </c>
      <c r="X809" s="722" t="n">
        <v>0.3400000000000034</v>
      </c>
      <c r="Y809" s="728" t="n"/>
      <c r="Z809" s="729" t="n"/>
      <c r="AA809" s="730" t="n"/>
      <c r="AB809" s="731" t="n"/>
      <c r="AC809" s="732" t="n"/>
      <c r="AD809" s="719" t="inlineStr">
        <is>
          <t>No</t>
        </is>
      </c>
      <c r="AE809" s="733" t="n"/>
      <c r="AF809" s="733" t="n"/>
      <c r="AG809" s="733" t="n"/>
      <c r="AH809" s="733" t="n"/>
      <c r="AI809" s="719" t="inlineStr">
        <is>
          <t>Limit</t>
        </is>
      </c>
      <c r="AJ809" s="733" t="n"/>
      <c r="AK809" s="733" t="n"/>
      <c r="AL809" s="733" t="n"/>
      <c r="AM809" s="733" t="n"/>
      <c r="AN809" s="733" t="n"/>
      <c r="AO809" s="733" t="n"/>
      <c r="AP809" s="719" t="inlineStr">
        <is>
          <t>Pullback</t>
        </is>
      </c>
      <c r="AQ809" s="719" t="inlineStr">
        <is>
          <t>1H</t>
        </is>
      </c>
      <c r="AR809" s="719" t="inlineStr">
        <is>
          <t>No</t>
        </is>
      </c>
      <c r="AS809" s="733" t="n"/>
      <c r="AT809" s="733" t="n"/>
      <c r="AU809" s="733" t="n"/>
      <c r="AV809" s="733" t="n"/>
      <c r="AW809" s="719" t="inlineStr">
        <is>
          <t>trade</t>
        </is>
      </c>
      <c r="AX809" s="734" t="inlineStr">
        <is>
          <t>sig:4983ac6b103f16afc0f02e92</t>
        </is>
      </c>
    </row>
    <row r="810" ht="15" customHeight="1">
      <c r="A810" s="716" t="inlineStr">
        <is>
          <t>F715</t>
        </is>
      </c>
      <c r="B810" s="717" t="n">
        <v>43913.84305555555</v>
      </c>
      <c r="C810" s="718" t="n">
        <v>43914.01666666667</v>
      </c>
      <c r="D810" s="719" t="inlineStr">
        <is>
          <t>PEPPERSTONE LIVE</t>
        </is>
      </c>
      <c r="E810" s="719" t="inlineStr">
        <is>
          <t>CADCHF</t>
        </is>
      </c>
      <c r="F810" s="719" t="inlineStr">
        <is>
          <t>BUY</t>
        </is>
      </c>
      <c r="G810" s="735" t="n">
        <v>0.01</v>
      </c>
      <c r="H810" s="720" t="n">
        <v>0.6817</v>
      </c>
      <c r="I810" s="720" t="n">
        <v>0.67901</v>
      </c>
      <c r="J810" s="721" t="n">
        <v>0.679</v>
      </c>
      <c r="K810" s="722" t="n">
        <v>0.003960686518996516</v>
      </c>
      <c r="L810" s="721" t="n">
        <v>0.6871</v>
      </c>
      <c r="M810" s="722" t="n">
        <v>0.007921373037993357</v>
      </c>
      <c r="N810" s="788" t="n"/>
      <c r="O810" s="762" t="n">
        <v>-4.75</v>
      </c>
      <c r="P810" s="725" t="n">
        <v>-0.009971868833186379</v>
      </c>
      <c r="Q810" s="726" t="n">
        <v>-0.996296296296313</v>
      </c>
      <c r="R810" s="764" t="n">
        <v>471.59</v>
      </c>
      <c r="S810" s="719" t="inlineStr">
        <is>
          <t>4H 10M 0S</t>
        </is>
      </c>
      <c r="T810" s="728" t="n"/>
      <c r="U810" s="729" t="n"/>
      <c r="V810" s="807" t="n">
        <v>0.6846</v>
      </c>
      <c r="W810" s="725" t="n">
        <v>-0.002900000000000014</v>
      </c>
      <c r="X810" s="722" t="n">
        <v>0.002500000000000058</v>
      </c>
      <c r="Y810" s="728" t="n"/>
      <c r="Z810" s="729" t="n"/>
      <c r="AA810" s="730" t="n"/>
      <c r="AB810" s="731" t="n"/>
      <c r="AC810" s="732" t="n"/>
      <c r="AD810" s="719" t="inlineStr">
        <is>
          <t>No</t>
        </is>
      </c>
      <c r="AE810" s="733" t="n"/>
      <c r="AF810" s="733" t="n"/>
      <c r="AG810" s="733" t="n"/>
      <c r="AH810" s="733" t="n"/>
      <c r="AI810" s="719" t="inlineStr">
        <is>
          <t>Limit</t>
        </is>
      </c>
      <c r="AJ810" s="733" t="n"/>
      <c r="AK810" s="733" t="n"/>
      <c r="AL810" s="733" t="n"/>
      <c r="AM810" s="733" t="n"/>
      <c r="AN810" s="733" t="n"/>
      <c r="AO810" s="733" t="n"/>
      <c r="AP810" s="719" t="inlineStr">
        <is>
          <t>Pullback</t>
        </is>
      </c>
      <c r="AQ810" s="719" t="inlineStr">
        <is>
          <t>1H</t>
        </is>
      </c>
      <c r="AR810" s="719" t="inlineStr">
        <is>
          <t>No</t>
        </is>
      </c>
      <c r="AS810" s="733" t="n"/>
      <c r="AT810" s="733" t="n"/>
      <c r="AU810" s="733" t="n"/>
      <c r="AV810" s="733" t="n"/>
      <c r="AW810" s="719" t="inlineStr">
        <is>
          <t>trade</t>
        </is>
      </c>
      <c r="AX810" s="734" t="inlineStr">
        <is>
          <t>sig:16fbe5253b55878501d5c805</t>
        </is>
      </c>
    </row>
    <row r="811" ht="15" customHeight="1">
      <c r="A811" s="737" t="inlineStr">
        <is>
          <t>F714</t>
        </is>
      </c>
      <c r="B811" s="738" t="n">
        <v>43910.93680555555</v>
      </c>
      <c r="C811" s="739" t="n">
        <v>43910.93958333333</v>
      </c>
      <c r="D811" s="740" t="inlineStr">
        <is>
          <t>PEPPERSTONE DEMO</t>
        </is>
      </c>
      <c r="E811" s="740" t="inlineStr">
        <is>
          <t>USDCAD</t>
        </is>
      </c>
      <c r="F811" s="740" t="inlineStr">
        <is>
          <t>BUY</t>
        </is>
      </c>
      <c r="G811" s="775" t="n">
        <v>0.04</v>
      </c>
      <c r="H811" s="742" t="n">
        <v>1.4261</v>
      </c>
      <c r="I811" s="742" t="n">
        <v>1.42813</v>
      </c>
      <c r="J811" s="743" t="n">
        <v>1.4251</v>
      </c>
      <c r="K811" s="765" t="n">
        <v>0.0007012130986606058</v>
      </c>
      <c r="L811" s="743" t="n">
        <v>1.4281</v>
      </c>
      <c r="M811" s="744" t="n">
        <v>0.001402426197321367</v>
      </c>
      <c r="N811" s="796" t="n"/>
      <c r="O811" s="767" t="n">
        <v>9.49</v>
      </c>
      <c r="P811" s="747" t="n">
        <v>0.01823667320035359</v>
      </c>
      <c r="Q811" s="748" t="n">
        <v>2.0300000000002</v>
      </c>
      <c r="R811" s="769" t="n">
        <v>529.8699999999999</v>
      </c>
      <c r="S811" s="740" t="inlineStr">
        <is>
          <t>4M 0S</t>
        </is>
      </c>
      <c r="T811" s="738" t="n">
        <v>43910.93819444445</v>
      </c>
      <c r="U811" s="809" t="inlineStr">
        <is>
          <t>2M 0S</t>
        </is>
      </c>
      <c r="V811" s="810" t="n">
        <v>1.4275</v>
      </c>
      <c r="W811" s="747" t="n">
        <v>-0.001400000000000068</v>
      </c>
      <c r="X811" s="765" t="n">
        <v>0.0005999999999999339</v>
      </c>
      <c r="Y811" s="750" t="n"/>
      <c r="Z811" s="751" t="n"/>
      <c r="AA811" s="752" t="n"/>
      <c r="AB811" s="753" t="n"/>
      <c r="AC811" s="754" t="n"/>
      <c r="AD811" s="740" t="inlineStr">
        <is>
          <t>No</t>
        </is>
      </c>
      <c r="AE811" s="755" t="n"/>
      <c r="AF811" s="755" t="n"/>
      <c r="AG811" s="755" t="n"/>
      <c r="AH811" s="755" t="n"/>
      <c r="AI811" s="740" t="inlineStr">
        <is>
          <t>Limit</t>
        </is>
      </c>
      <c r="AJ811" s="755" t="n"/>
      <c r="AK811" s="755" t="n"/>
      <c r="AL811" s="755" t="n"/>
      <c r="AM811" s="755" t="n"/>
      <c r="AN811" s="755" t="n"/>
      <c r="AO811" s="755" t="n"/>
      <c r="AP811" s="740" t="inlineStr">
        <is>
          <t>News Scalp</t>
        </is>
      </c>
      <c r="AQ811" s="740" t="inlineStr">
        <is>
          <t>1MIN</t>
        </is>
      </c>
      <c r="AR811" s="740" t="inlineStr">
        <is>
          <t>No</t>
        </is>
      </c>
      <c r="AS811" s="755" t="n"/>
      <c r="AT811" s="755" t="n"/>
      <c r="AU811" s="755" t="n"/>
      <c r="AV811" s="755" t="n"/>
      <c r="AW811" s="740" t="inlineStr">
        <is>
          <t>trade</t>
        </is>
      </c>
      <c r="AX811" s="756" t="inlineStr">
        <is>
          <t>sig:7588f69755b7b671c30d9e28</t>
        </is>
      </c>
    </row>
    <row r="812" ht="15" customHeight="1">
      <c r="A812" s="716" t="inlineStr">
        <is>
          <t>F713</t>
        </is>
      </c>
      <c r="B812" s="717" t="n">
        <v>43908.18055555555</v>
      </c>
      <c r="C812" s="718" t="n">
        <v>43908.42777777778</v>
      </c>
      <c r="D812" s="719" t="inlineStr">
        <is>
          <t>PEPPERSTONE LIVE</t>
        </is>
      </c>
      <c r="E812" s="719" t="inlineStr">
        <is>
          <t>USDCNH</t>
        </is>
      </c>
      <c r="F812" s="719" t="inlineStr">
        <is>
          <t>BUY</t>
        </is>
      </c>
      <c r="G812" s="735" t="n">
        <v>0.02</v>
      </c>
      <c r="H812" s="720" t="n">
        <v>7.0314</v>
      </c>
      <c r="I812" s="720" t="n">
        <v>7.02218</v>
      </c>
      <c r="J812" s="721" t="n">
        <v>7.0225</v>
      </c>
      <c r="K812" s="722" t="n">
        <v>0.001265750775094531</v>
      </c>
      <c r="L812" s="721" t="n">
        <v>7.0495</v>
      </c>
      <c r="M812" s="722" t="n">
        <v>0.002574167306653078</v>
      </c>
      <c r="N812" s="792" t="n">
        <v>0.07000000000000001</v>
      </c>
      <c r="O812" s="762" t="n">
        <v>-4.49</v>
      </c>
      <c r="P812" s="725" t="n">
        <v>-0.009338019674313167</v>
      </c>
      <c r="Q812" s="726" t="n">
        <v>-1.035955056179813</v>
      </c>
      <c r="R812" s="764" t="n">
        <v>476.34</v>
      </c>
      <c r="S812" s="719" t="inlineStr">
        <is>
          <t>5H 56M 0S</t>
        </is>
      </c>
      <c r="T812" s="728" t="n"/>
      <c r="U812" s="729" t="n"/>
      <c r="V812" s="807" t="n">
        <v>7.0443</v>
      </c>
      <c r="W812" s="725" t="n">
        <v>-0.01290000000000013</v>
      </c>
      <c r="X812" s="722" t="n">
        <v>0.005200000000000315</v>
      </c>
      <c r="Y812" s="728" t="n"/>
      <c r="Z812" s="729" t="n"/>
      <c r="AA812" s="730" t="n"/>
      <c r="AB812" s="731" t="n"/>
      <c r="AC812" s="732" t="n"/>
      <c r="AD812" s="719" t="inlineStr">
        <is>
          <t>No</t>
        </is>
      </c>
      <c r="AE812" s="733" t="n"/>
      <c r="AF812" s="733" t="n"/>
      <c r="AG812" s="733" t="n"/>
      <c r="AH812" s="733" t="n"/>
      <c r="AI812" s="719" t="inlineStr">
        <is>
          <t>Limit</t>
        </is>
      </c>
      <c r="AJ812" s="733" t="n"/>
      <c r="AK812" s="733" t="n"/>
      <c r="AL812" s="733" t="n"/>
      <c r="AM812" s="733" t="n"/>
      <c r="AN812" s="733" t="n"/>
      <c r="AO812" s="733" t="n"/>
      <c r="AP812" s="719" t="inlineStr">
        <is>
          <t>Pullback</t>
        </is>
      </c>
      <c r="AQ812" s="719" t="inlineStr">
        <is>
          <t>1H</t>
        </is>
      </c>
      <c r="AR812" s="719" t="inlineStr">
        <is>
          <t>No</t>
        </is>
      </c>
      <c r="AS812" s="733" t="n"/>
      <c r="AT812" s="733" t="n"/>
      <c r="AU812" s="733" t="n"/>
      <c r="AV812" s="733" t="n"/>
      <c r="AW812" s="719" t="inlineStr">
        <is>
          <t>trade</t>
        </is>
      </c>
      <c r="AX812" s="734" t="inlineStr">
        <is>
          <t>sig:d96f13e6717e46abc63bb74a</t>
        </is>
      </c>
    </row>
    <row r="813" ht="15" customHeight="1">
      <c r="A813" s="716" t="inlineStr">
        <is>
          <t>F712</t>
        </is>
      </c>
      <c r="B813" s="717" t="n">
        <v>43908.04791666667</v>
      </c>
      <c r="C813" s="718" t="n">
        <v>43908.06111111111</v>
      </c>
      <c r="D813" s="719" t="inlineStr">
        <is>
          <t>PEPPERSTONE LIVE</t>
        </is>
      </c>
      <c r="E813" s="719" t="inlineStr">
        <is>
          <t>USDCNH</t>
        </is>
      </c>
      <c r="F813" s="719" t="inlineStr">
        <is>
          <t>BUY</t>
        </is>
      </c>
      <c r="G813" s="735" t="n">
        <v>0.02</v>
      </c>
      <c r="H813" s="720" t="n">
        <v>7.0336</v>
      </c>
      <c r="I813" s="720" t="n">
        <v>7.0248</v>
      </c>
      <c r="J813" s="721" t="n">
        <v>7.025</v>
      </c>
      <c r="K813" s="722" t="n">
        <v>0.001222702456778818</v>
      </c>
      <c r="L813" s="721" t="n">
        <v>7.0508</v>
      </c>
      <c r="M813" s="722" t="n">
        <v>0.002445404913557763</v>
      </c>
      <c r="N813" s="788" t="n"/>
      <c r="O813" s="762" t="n">
        <v>-4.18</v>
      </c>
      <c r="P813" s="725" t="n">
        <v>-0.008618379002494793</v>
      </c>
      <c r="Q813" s="726" t="n">
        <v>-1.023255813953539</v>
      </c>
      <c r="R813" s="764" t="n">
        <v>480.83</v>
      </c>
      <c r="S813" s="719" t="inlineStr">
        <is>
          <t>19M 0S</t>
        </is>
      </c>
      <c r="T813" s="728" t="n"/>
      <c r="U813" s="729" t="n"/>
      <c r="V813" s="807" t="n">
        <v>7.0442</v>
      </c>
      <c r="W813" s="725" t="n">
        <v>-0.01060000000000016</v>
      </c>
      <c r="X813" s="722" t="n">
        <v>0.005300000000000082</v>
      </c>
      <c r="Y813" s="728" t="n"/>
      <c r="Z813" s="729" t="n"/>
      <c r="AA813" s="730" t="n"/>
      <c r="AB813" s="731" t="n"/>
      <c r="AC813" s="732" t="n"/>
      <c r="AD813" s="719" t="inlineStr">
        <is>
          <t>No</t>
        </is>
      </c>
      <c r="AE813" s="733" t="n"/>
      <c r="AF813" s="733" t="n"/>
      <c r="AG813" s="733" t="n"/>
      <c r="AH813" s="733" t="n"/>
      <c r="AI813" s="719" t="inlineStr">
        <is>
          <t>Limit</t>
        </is>
      </c>
      <c r="AJ813" s="733" t="n"/>
      <c r="AK813" s="733" t="n"/>
      <c r="AL813" s="733" t="n"/>
      <c r="AM813" s="733" t="n"/>
      <c r="AN813" s="733" t="n"/>
      <c r="AO813" s="733" t="n"/>
      <c r="AP813" s="719" t="inlineStr">
        <is>
          <t>Pullback</t>
        </is>
      </c>
      <c r="AQ813" s="719" t="inlineStr">
        <is>
          <t>1H</t>
        </is>
      </c>
      <c r="AR813" s="719" t="inlineStr">
        <is>
          <t>No</t>
        </is>
      </c>
      <c r="AS813" s="782" t="n"/>
      <c r="AT813" s="733" t="n"/>
      <c r="AU813" s="719" t="n"/>
      <c r="AV813" s="719" t="n"/>
      <c r="AW813" s="719" t="inlineStr">
        <is>
          <t>trade</t>
        </is>
      </c>
      <c r="AX813" s="734" t="inlineStr">
        <is>
          <t>sig:bac7cf6e458f954993bde380</t>
        </is>
      </c>
    </row>
    <row r="814" ht="15" customHeight="1">
      <c r="A814" s="737" t="inlineStr">
        <is>
          <t>F711</t>
        </is>
      </c>
      <c r="B814" s="738" t="n">
        <v>43907.93680555555</v>
      </c>
      <c r="C814" s="739" t="n">
        <v>43907.93819444445</v>
      </c>
      <c r="D814" s="740" t="inlineStr">
        <is>
          <t>PEPPERSTONE DEMO</t>
        </is>
      </c>
      <c r="E814" s="740" t="inlineStr">
        <is>
          <t>EURUSD</t>
        </is>
      </c>
      <c r="F814" s="740" t="inlineStr">
        <is>
          <t>SELL</t>
        </is>
      </c>
      <c r="G814" s="775" t="n">
        <v>0.03</v>
      </c>
      <c r="H814" s="742" t="n">
        <v>1.0991</v>
      </c>
      <c r="I814" s="742" t="n">
        <v>1.09885</v>
      </c>
      <c r="J814" s="743" t="n">
        <v>1.1001</v>
      </c>
      <c r="K814" s="765" t="n">
        <v>0.0009098353198072167</v>
      </c>
      <c r="L814" s="743" t="n">
        <v>1.0971</v>
      </c>
      <c r="M814" s="744" t="n">
        <v>0.001819670639614232</v>
      </c>
      <c r="N814" s="796" t="n"/>
      <c r="O814" s="767" t="n">
        <v>1.3</v>
      </c>
      <c r="P814" s="747" t="n">
        <v>0.002504430916236419</v>
      </c>
      <c r="Q814" s="748" t="n">
        <v>0.2499999999998335</v>
      </c>
      <c r="R814" s="769" t="n">
        <v>520.3799999999999</v>
      </c>
      <c r="S814" s="740" t="inlineStr">
        <is>
          <t>2M 0S</t>
        </is>
      </c>
      <c r="T814" s="738" t="n"/>
      <c r="U814" s="809" t="n"/>
      <c r="V814" s="810" t="n"/>
      <c r="W814" s="747" t="n"/>
      <c r="X814" s="744" t="n"/>
      <c r="Y814" s="750" t="n"/>
      <c r="Z814" s="751" t="n"/>
      <c r="AA814" s="810" t="n"/>
      <c r="AB814" s="747" t="n"/>
      <c r="AC814" s="744" t="n"/>
      <c r="AD814" s="740" t="inlineStr">
        <is>
          <t>No</t>
        </is>
      </c>
      <c r="AE814" s="755" t="n"/>
      <c r="AF814" s="755" t="n"/>
      <c r="AG814" s="755" t="n"/>
      <c r="AH814" s="755" t="n"/>
      <c r="AI814" s="740" t="inlineStr">
        <is>
          <t>Limit</t>
        </is>
      </c>
      <c r="AJ814" s="755" t="n"/>
      <c r="AK814" s="755" t="n"/>
      <c r="AL814" s="755" t="n"/>
      <c r="AM814" s="755" t="n"/>
      <c r="AN814" s="755" t="n"/>
      <c r="AO814" s="755" t="n"/>
      <c r="AP814" s="740" t="inlineStr">
        <is>
          <t>News Scalp</t>
        </is>
      </c>
      <c r="AQ814" s="740" t="inlineStr">
        <is>
          <t>1H</t>
        </is>
      </c>
      <c r="AR814" s="740" t="inlineStr">
        <is>
          <t>No</t>
        </is>
      </c>
      <c r="AS814" s="755" t="n"/>
      <c r="AT814" s="755" t="n"/>
      <c r="AU814" s="755" t="n"/>
      <c r="AV814" s="755" t="n"/>
      <c r="AW814" s="740" t="inlineStr">
        <is>
          <t>trade</t>
        </is>
      </c>
      <c r="AX814" s="756" t="inlineStr">
        <is>
          <t>sig:9d94d479ee32069150909081</t>
        </is>
      </c>
    </row>
    <row r="815" ht="15" customHeight="1">
      <c r="A815" s="737" t="inlineStr">
        <is>
          <t>F710</t>
        </is>
      </c>
      <c r="B815" s="738" t="n">
        <v>43903.98125</v>
      </c>
      <c r="C815" s="739" t="n">
        <v>43904.07430555556</v>
      </c>
      <c r="D815" s="740" t="inlineStr">
        <is>
          <t>PEPPERSTONE LIVE</t>
        </is>
      </c>
      <c r="E815" s="740" t="inlineStr">
        <is>
          <t>AUDCAD</t>
        </is>
      </c>
      <c r="F815" s="740" t="inlineStr">
        <is>
          <t>SELL</t>
        </is>
      </c>
      <c r="G815" s="775" t="n">
        <v>0.01</v>
      </c>
      <c r="H815" s="742" t="n">
        <v>0.8715000000000001</v>
      </c>
      <c r="I815" s="742" t="n">
        <v>0.86467</v>
      </c>
      <c r="J815" s="743" t="n">
        <v>0.8749</v>
      </c>
      <c r="K815" s="744" t="n">
        <v>0.003901319563970119</v>
      </c>
      <c r="L815" s="743" t="n">
        <v>0.8647</v>
      </c>
      <c r="M815" s="744" t="n">
        <v>0.007802639127940365</v>
      </c>
      <c r="N815" s="796" t="n"/>
      <c r="O815" s="767" t="n">
        <v>7.9</v>
      </c>
      <c r="P815" s="747" t="n">
        <v>0.01655802645092327</v>
      </c>
      <c r="Q815" s="748" t="n">
        <v>2.00882352941179</v>
      </c>
      <c r="R815" s="769" t="n">
        <v>485.01</v>
      </c>
      <c r="S815" s="740" t="inlineStr">
        <is>
          <t>2H 14M 0S</t>
        </is>
      </c>
      <c r="T815" s="738" t="n">
        <v>43904.06805555556</v>
      </c>
      <c r="U815" s="809" t="inlineStr">
        <is>
          <t>2H 5M 0S</t>
        </is>
      </c>
      <c r="V815" s="810" t="n">
        <v>0.8678</v>
      </c>
      <c r="W815" s="747" t="n">
        <v>0.003700000000000037</v>
      </c>
      <c r="X815" s="744" t="n">
        <v>-0.003099999999999992</v>
      </c>
      <c r="Y815" s="750" t="n"/>
      <c r="Z815" s="751" t="n"/>
      <c r="AA815" s="810" t="n"/>
      <c r="AB815" s="747" t="n"/>
      <c r="AC815" s="744" t="n"/>
      <c r="AD815" s="740" t="inlineStr">
        <is>
          <t>No</t>
        </is>
      </c>
      <c r="AE815" s="755" t="n"/>
      <c r="AF815" s="755" t="n"/>
      <c r="AG815" s="755" t="n"/>
      <c r="AH815" s="755" t="n"/>
      <c r="AI815" s="740" t="inlineStr">
        <is>
          <t>Limit</t>
        </is>
      </c>
      <c r="AJ815" s="755" t="n"/>
      <c r="AK815" s="755" t="n"/>
      <c r="AL815" s="755" t="n"/>
      <c r="AM815" s="755" t="n"/>
      <c r="AN815" s="755" t="n"/>
      <c r="AO815" s="755" t="n"/>
      <c r="AP815" s="740" t="inlineStr">
        <is>
          <t>Pullback</t>
        </is>
      </c>
      <c r="AQ815" s="740" t="inlineStr">
        <is>
          <t>1H</t>
        </is>
      </c>
      <c r="AR815" s="740" t="inlineStr">
        <is>
          <t>No</t>
        </is>
      </c>
      <c r="AS815" s="755" t="n"/>
      <c r="AT815" s="755" t="n"/>
      <c r="AU815" s="755" t="n"/>
      <c r="AV815" s="755" t="n"/>
      <c r="AW815" s="740" t="inlineStr">
        <is>
          <t>trade</t>
        </is>
      </c>
      <c r="AX815" s="756" t="inlineStr">
        <is>
          <t>sig:0e5c4f71c69728fbd7d392b0</t>
        </is>
      </c>
    </row>
    <row r="816" ht="15" customHeight="1">
      <c r="A816" s="737" t="inlineStr">
        <is>
          <t>F709</t>
        </is>
      </c>
      <c r="B816" s="738" t="n">
        <v>43902.94811342593</v>
      </c>
      <c r="C816" s="739" t="n">
        <v>43902.94822916666</v>
      </c>
      <c r="D816" s="740" t="inlineStr">
        <is>
          <t>PEPPERSTONE DEMO</t>
        </is>
      </c>
      <c r="E816" s="740" t="inlineStr">
        <is>
          <t>EURUSD</t>
        </is>
      </c>
      <c r="F816" s="740" t="inlineStr">
        <is>
          <t>BUY</t>
        </is>
      </c>
      <c r="G816" s="775" t="n">
        <v>0.02</v>
      </c>
      <c r="H816" s="742" t="n">
        <v>1.1225</v>
      </c>
      <c r="I816" s="742" t="n">
        <v>1.12553</v>
      </c>
      <c r="J816" s="743" t="n">
        <v>1.121</v>
      </c>
      <c r="K816" s="744" t="n">
        <v>0.00133630289532299</v>
      </c>
      <c r="L816" s="743" t="n">
        <v>1.1255</v>
      </c>
      <c r="M816" s="744" t="n">
        <v>0.002672605790645783</v>
      </c>
      <c r="N816" s="766" t="n"/>
      <c r="O816" s="767" t="n">
        <v>9.42</v>
      </c>
      <c r="P816" s="747" t="n">
        <v>0.01848291017541106</v>
      </c>
      <c r="Q816" s="748" t="n">
        <v>2.019999999999834</v>
      </c>
      <c r="R816" s="769" t="n">
        <v>519.0799999999999</v>
      </c>
      <c r="S816" s="740" t="inlineStr">
        <is>
          <t>10S</t>
        </is>
      </c>
      <c r="T816" s="750" t="n"/>
      <c r="U816" s="751" t="n"/>
      <c r="V816" s="810" t="n"/>
      <c r="W816" s="747" t="n"/>
      <c r="X816" s="744" t="n"/>
      <c r="Y816" s="750" t="n"/>
      <c r="Z816" s="751" t="n"/>
      <c r="AA816" s="810" t="n"/>
      <c r="AB816" s="747" t="n"/>
      <c r="AC816" s="744" t="n"/>
      <c r="AD816" s="740" t="inlineStr">
        <is>
          <t>No</t>
        </is>
      </c>
      <c r="AE816" s="755" t="n"/>
      <c r="AF816" s="755" t="n"/>
      <c r="AG816" s="755" t="n"/>
      <c r="AH816" s="755" t="n"/>
      <c r="AI816" s="740" t="inlineStr">
        <is>
          <t>Limit</t>
        </is>
      </c>
      <c r="AJ816" s="755" t="n"/>
      <c r="AK816" s="755" t="n"/>
      <c r="AL816" s="755" t="n"/>
      <c r="AM816" s="755" t="n"/>
      <c r="AN816" s="755" t="n"/>
      <c r="AO816" s="755" t="n"/>
      <c r="AP816" s="740" t="inlineStr">
        <is>
          <t>News Scalp</t>
        </is>
      </c>
      <c r="AQ816" s="740" t="inlineStr">
        <is>
          <t>1H</t>
        </is>
      </c>
      <c r="AR816" s="740" t="inlineStr">
        <is>
          <t>No</t>
        </is>
      </c>
      <c r="AS816" s="755" t="n"/>
      <c r="AT816" s="755" t="n"/>
      <c r="AU816" s="755" t="n"/>
      <c r="AV816" s="755" t="n"/>
      <c r="AW816" s="740" t="inlineStr">
        <is>
          <t>trade</t>
        </is>
      </c>
      <c r="AX816" s="756" t="inlineStr">
        <is>
          <t>sig:93735d073296b72ad69d639e</t>
        </is>
      </c>
    </row>
    <row r="817" ht="15" customHeight="1">
      <c r="A817" s="716" t="inlineStr">
        <is>
          <t>F708</t>
        </is>
      </c>
      <c r="B817" s="717" t="n">
        <v>43896.97847222222</v>
      </c>
      <c r="C817" s="718" t="n">
        <v>43896.97986111111</v>
      </c>
      <c r="D817" s="719" t="inlineStr">
        <is>
          <t>PEPPERSTONE DEMO</t>
        </is>
      </c>
      <c r="E817" s="719" t="inlineStr">
        <is>
          <t>USDCAD</t>
        </is>
      </c>
      <c r="F817" s="719" t="inlineStr">
        <is>
          <t>SELL</t>
        </is>
      </c>
      <c r="G817" s="735" t="n">
        <v>0.03</v>
      </c>
      <c r="H817" s="720" t="n">
        <v>1.3403</v>
      </c>
      <c r="I817" s="720" t="n">
        <v>1.34189</v>
      </c>
      <c r="J817" s="721" t="n">
        <v>1.3418</v>
      </c>
      <c r="K817" s="722" t="n">
        <v>0.001119152428560812</v>
      </c>
      <c r="L817" s="721" t="n">
        <v>1.3358</v>
      </c>
      <c r="M817" s="722" t="n">
        <v>0.003357457285682272</v>
      </c>
      <c r="N817" s="761" t="n"/>
      <c r="O817" s="762" t="n">
        <v>-5.06</v>
      </c>
      <c r="P817" s="725" t="n">
        <v>-0.009830587503885609</v>
      </c>
      <c r="Q817" s="726" t="n">
        <v>-1.059999999999947</v>
      </c>
      <c r="R817" s="764" t="n">
        <v>509.6599999999999</v>
      </c>
      <c r="S817" s="719" t="inlineStr">
        <is>
          <t>2M 0S</t>
        </is>
      </c>
      <c r="T817" s="728" t="n"/>
      <c r="U817" s="729" t="n"/>
      <c r="V817" s="807" t="n"/>
      <c r="W817" s="725" t="n"/>
      <c r="X817" s="722" t="n"/>
      <c r="Y817" s="728" t="n"/>
      <c r="Z817" s="729" t="n"/>
      <c r="AA817" s="807" t="n"/>
      <c r="AB817" s="725" t="n"/>
      <c r="AC817" s="722" t="n"/>
      <c r="AD817" s="719" t="inlineStr">
        <is>
          <t>No</t>
        </is>
      </c>
      <c r="AE817" s="733" t="n"/>
      <c r="AF817" s="733" t="n"/>
      <c r="AG817" s="733" t="n"/>
      <c r="AH817" s="733" t="n"/>
      <c r="AI817" s="719" t="inlineStr">
        <is>
          <t>Limit</t>
        </is>
      </c>
      <c r="AJ817" s="733" t="n"/>
      <c r="AK817" s="733" t="n"/>
      <c r="AL817" s="733" t="n"/>
      <c r="AM817" s="733" t="n"/>
      <c r="AN817" s="733" t="n"/>
      <c r="AO817" s="733" t="n"/>
      <c r="AP817" s="719" t="inlineStr">
        <is>
          <t>News Scalp</t>
        </is>
      </c>
      <c r="AQ817" s="719" t="inlineStr">
        <is>
          <t>1H</t>
        </is>
      </c>
      <c r="AR817" s="719" t="inlineStr">
        <is>
          <t>No</t>
        </is>
      </c>
      <c r="AS817" s="733" t="n"/>
      <c r="AT817" s="733" t="n"/>
      <c r="AU817" s="733" t="n"/>
      <c r="AV817" s="733" t="n"/>
      <c r="AW817" s="719" t="inlineStr">
        <is>
          <t>trade</t>
        </is>
      </c>
      <c r="AX817" s="734" t="inlineStr">
        <is>
          <t>sig:d608de8270510a4bee41d025</t>
        </is>
      </c>
    </row>
    <row r="818" ht="15" customHeight="1">
      <c r="A818" s="737" t="inlineStr">
        <is>
          <t>F707</t>
        </is>
      </c>
      <c r="B818" s="738" t="n">
        <v>43895.04166666666</v>
      </c>
      <c r="C818" s="739" t="n">
        <v>43895.04188657407</v>
      </c>
      <c r="D818" s="740" t="inlineStr">
        <is>
          <t>PEPPERSTONE DEMO</t>
        </is>
      </c>
      <c r="E818" s="740" t="inlineStr">
        <is>
          <t>USDCAD</t>
        </is>
      </c>
      <c r="F818" s="740" t="inlineStr">
        <is>
          <t>BUY</t>
        </is>
      </c>
      <c r="G818" s="775" t="n">
        <v>0.03</v>
      </c>
      <c r="H818" s="742" t="n">
        <v>1.3352</v>
      </c>
      <c r="I818" s="742" t="n">
        <v>1.33826</v>
      </c>
      <c r="J818" s="743" t="n">
        <v>1.3337</v>
      </c>
      <c r="K818" s="744" t="n">
        <v>0.001123427201917192</v>
      </c>
      <c r="L818" s="743" t="n">
        <v>1.3382</v>
      </c>
      <c r="M818" s="744" t="n">
        <v>0.002246854403834717</v>
      </c>
      <c r="N818" s="766" t="n"/>
      <c r="O818" s="767" t="n">
        <v>10.17</v>
      </c>
      <c r="P818" s="747" t="n">
        <v>0.0201565751659895</v>
      </c>
      <c r="Q818" s="748" t="n">
        <v>2.040000000000266</v>
      </c>
      <c r="R818" s="769" t="n">
        <v>514.7199999999999</v>
      </c>
      <c r="S818" s="740" t="inlineStr">
        <is>
          <t>19S</t>
        </is>
      </c>
      <c r="T818" s="750" t="n"/>
      <c r="U818" s="751" t="n"/>
      <c r="V818" s="810" t="n"/>
      <c r="W818" s="747" t="n"/>
      <c r="X818" s="744" t="n"/>
      <c r="Y818" s="750" t="n"/>
      <c r="Z818" s="751" t="n"/>
      <c r="AA818" s="810" t="n"/>
      <c r="AB818" s="747" t="n"/>
      <c r="AC818" s="744" t="n"/>
      <c r="AD818" s="740" t="inlineStr">
        <is>
          <t>No</t>
        </is>
      </c>
      <c r="AE818" s="755" t="n"/>
      <c r="AF818" s="755" t="n"/>
      <c r="AG818" s="755" t="n"/>
      <c r="AH818" s="755" t="n"/>
      <c r="AI818" s="740" t="inlineStr">
        <is>
          <t>Limit</t>
        </is>
      </c>
      <c r="AJ818" s="755" t="n"/>
      <c r="AK818" s="755" t="n"/>
      <c r="AL818" s="755" t="n"/>
      <c r="AM818" s="755" t="n"/>
      <c r="AN818" s="755" t="n"/>
      <c r="AO818" s="755" t="n"/>
      <c r="AP818" s="740" t="inlineStr">
        <is>
          <t>News Scalp</t>
        </is>
      </c>
      <c r="AQ818" s="740" t="inlineStr">
        <is>
          <t>1H</t>
        </is>
      </c>
      <c r="AR818" s="740" t="inlineStr">
        <is>
          <t>No</t>
        </is>
      </c>
      <c r="AS818" s="755" t="n"/>
      <c r="AT818" s="755" t="n"/>
      <c r="AU818" s="755" t="n"/>
      <c r="AV818" s="755" t="n"/>
      <c r="AW818" s="740" t="inlineStr">
        <is>
          <t>trade</t>
        </is>
      </c>
      <c r="AX818" s="756" t="inlineStr">
        <is>
          <t>sig:ca5d05fb944aac25a9164fe3</t>
        </is>
      </c>
    </row>
    <row r="819" ht="15" customHeight="1">
      <c r="A819" s="737" t="inlineStr">
        <is>
          <t>F706</t>
        </is>
      </c>
      <c r="B819" s="738" t="n">
        <v>43893.56262731482</v>
      </c>
      <c r="C819" s="739" t="n">
        <v>43893.56273148148</v>
      </c>
      <c r="D819" s="740" t="inlineStr">
        <is>
          <t>PEPPERSTONE DEMO</t>
        </is>
      </c>
      <c r="E819" s="740" t="inlineStr">
        <is>
          <t>AUDUSD</t>
        </is>
      </c>
      <c r="F819" s="740" t="inlineStr">
        <is>
          <t>BUY</t>
        </is>
      </c>
      <c r="G819" s="775" t="n">
        <v>0.03</v>
      </c>
      <c r="H819" s="742" t="n">
        <v>0.6539</v>
      </c>
      <c r="I819" s="742" t="n">
        <v>0.65595</v>
      </c>
      <c r="J819" s="743" t="n">
        <v>0.6529</v>
      </c>
      <c r="K819" s="744" t="n">
        <v>0.001529285823520417</v>
      </c>
      <c r="L819" s="743" t="n">
        <v>0.6559</v>
      </c>
      <c r="M819" s="744" t="n">
        <v>0.003058571647040834</v>
      </c>
      <c r="N819" s="796" t="n"/>
      <c r="O819" s="767" t="n">
        <v>9.15</v>
      </c>
      <c r="P819" s="747" t="n">
        <v>0.01846992329430763</v>
      </c>
      <c r="Q819" s="748" t="n">
        <v>2.049999999999994</v>
      </c>
      <c r="R819" s="769" t="n">
        <v>504.55</v>
      </c>
      <c r="S819" s="740" t="inlineStr">
        <is>
          <t>9S</t>
        </is>
      </c>
      <c r="T819" s="750" t="n"/>
      <c r="U819" s="751" t="n"/>
      <c r="V819" s="810" t="n"/>
      <c r="W819" s="747" t="n"/>
      <c r="X819" s="744" t="n"/>
      <c r="Y819" s="750" t="n"/>
      <c r="Z819" s="751" t="n"/>
      <c r="AA819" s="752" t="n"/>
      <c r="AB819" s="753" t="n"/>
      <c r="AC819" s="754" t="n"/>
      <c r="AD819" s="740" t="inlineStr">
        <is>
          <t>No</t>
        </is>
      </c>
      <c r="AE819" s="755" t="n"/>
      <c r="AF819" s="755" t="n"/>
      <c r="AG819" s="755" t="n"/>
      <c r="AH819" s="755" t="n"/>
      <c r="AI819" s="740" t="inlineStr">
        <is>
          <t>Limit</t>
        </is>
      </c>
      <c r="AJ819" s="755" t="n"/>
      <c r="AK819" s="755" t="n"/>
      <c r="AL819" s="755" t="n"/>
      <c r="AM819" s="755" t="n"/>
      <c r="AN819" s="755" t="n"/>
      <c r="AO819" s="755" t="n"/>
      <c r="AP819" s="740" t="inlineStr">
        <is>
          <t>News Scalp</t>
        </is>
      </c>
      <c r="AQ819" s="740" t="inlineStr">
        <is>
          <t>1H</t>
        </is>
      </c>
      <c r="AR819" s="740" t="inlineStr">
        <is>
          <t>No</t>
        </is>
      </c>
      <c r="AS819" s="755" t="n"/>
      <c r="AT819" s="755" t="n"/>
      <c r="AU819" s="755" t="n"/>
      <c r="AV819" s="755" t="n"/>
      <c r="AW819" s="740" t="inlineStr">
        <is>
          <t>trade</t>
        </is>
      </c>
      <c r="AX819" s="756" t="inlineStr">
        <is>
          <t>sig:9b91fe586e627e683f72df86</t>
        </is>
      </c>
    </row>
    <row r="820" ht="15" customHeight="1">
      <c r="A820" s="716" t="inlineStr">
        <is>
          <t>F705</t>
        </is>
      </c>
      <c r="B820" s="717" t="n">
        <v>43893.56252314815</v>
      </c>
      <c r="C820" s="718" t="n">
        <v>43893.56255787037</v>
      </c>
      <c r="D820" s="719" t="inlineStr">
        <is>
          <t>PEPPERSTONE DEMO</t>
        </is>
      </c>
      <c r="E820" s="719" t="inlineStr">
        <is>
          <t>AUDUSD</t>
        </is>
      </c>
      <c r="F820" s="719" t="inlineStr">
        <is>
          <t>SELL</t>
        </is>
      </c>
      <c r="G820" s="735" t="n">
        <v>0.03</v>
      </c>
      <c r="H820" s="720" t="n">
        <v>0.6516999999999999</v>
      </c>
      <c r="I820" s="720" t="n">
        <v>0.65276</v>
      </c>
      <c r="J820" s="721" t="n">
        <v>0.6526999999999999</v>
      </c>
      <c r="K820" s="722" t="n">
        <v>0.001534448365812492</v>
      </c>
      <c r="L820" s="721" t="n">
        <v>0.6497000000000001</v>
      </c>
      <c r="M820" s="722" t="n">
        <v>0.003068896731624813</v>
      </c>
      <c r="N820" s="761" t="n"/>
      <c r="O820" s="762" t="n">
        <v>-4.6</v>
      </c>
      <c r="P820" s="725" t="n">
        <v>-0.0092</v>
      </c>
      <c r="Q820" s="726" t="n">
        <v>-1.06000000000006</v>
      </c>
      <c r="R820" s="764" t="n">
        <v>495.4</v>
      </c>
      <c r="S820" s="719" t="inlineStr">
        <is>
          <t>3S</t>
        </is>
      </c>
      <c r="T820" s="728" t="n"/>
      <c r="U820" s="729" t="n"/>
      <c r="V820" s="807" t="n"/>
      <c r="W820" s="725" t="n"/>
      <c r="X820" s="722" t="n"/>
      <c r="Y820" s="728" t="n"/>
      <c r="Z820" s="729" t="n"/>
      <c r="AA820" s="730" t="n"/>
      <c r="AB820" s="731" t="n"/>
      <c r="AC820" s="732" t="n"/>
      <c r="AD820" s="719" t="inlineStr">
        <is>
          <t>No</t>
        </is>
      </c>
      <c r="AE820" s="733" t="n"/>
      <c r="AF820" s="733" t="n"/>
      <c r="AG820" s="733" t="n"/>
      <c r="AH820" s="733" t="n"/>
      <c r="AI820" s="719" t="inlineStr">
        <is>
          <t>Limit</t>
        </is>
      </c>
      <c r="AJ820" s="733" t="n"/>
      <c r="AK820" s="733" t="n"/>
      <c r="AL820" s="733" t="n"/>
      <c r="AM820" s="733" t="n"/>
      <c r="AN820" s="733" t="n"/>
      <c r="AO820" s="733" t="n"/>
      <c r="AP820" s="719" t="inlineStr">
        <is>
          <t>News Scalp</t>
        </is>
      </c>
      <c r="AQ820" s="719" t="inlineStr">
        <is>
          <t>1H</t>
        </is>
      </c>
      <c r="AR820" s="719" t="inlineStr">
        <is>
          <t>No</t>
        </is>
      </c>
      <c r="AS820" s="733" t="n"/>
      <c r="AT820" s="733" t="n"/>
      <c r="AU820" s="733" t="n"/>
      <c r="AV820" s="733" t="n"/>
      <c r="AW820" s="719" t="inlineStr">
        <is>
          <t>trade</t>
        </is>
      </c>
      <c r="AX820" s="734" t="inlineStr">
        <is>
          <t>sig:e4d235d318ca6fcc8faf5bbe</t>
        </is>
      </c>
    </row>
    <row r="821" ht="15" customHeight="1">
      <c r="A821" s="41" t="n"/>
      <c r="B821" s="770" t="n">
        <v>43893</v>
      </c>
      <c r="C821" s="771" t="n">
        <v>43893</v>
      </c>
      <c r="D821" s="12" t="inlineStr">
        <is>
          <t>PEPPERSTONE DEMO</t>
        </is>
      </c>
      <c r="E821" s="12" t="inlineStr">
        <is>
          <t>CASHFLOW</t>
        </is>
      </c>
      <c r="F821" s="12" t="inlineStr">
        <is>
          <t>DEPOSIT</t>
        </is>
      </c>
      <c r="G821" s="265" t="n"/>
      <c r="H821" s="265" t="n"/>
      <c r="I821" s="265" t="n"/>
      <c r="J821" s="266" t="n"/>
      <c r="K821" s="46" t="n"/>
      <c r="L821" s="266" t="n"/>
      <c r="M821" s="46" t="n"/>
      <c r="N821" s="779" t="n"/>
      <c r="O821" s="824" t="n"/>
      <c r="P821" s="9" t="n"/>
      <c r="Q821" s="49" t="n"/>
      <c r="R821" s="54" t="n">
        <v>500</v>
      </c>
      <c r="S821" s="45" t="n"/>
      <c r="T821" s="774" t="n"/>
      <c r="U821" s="6" t="n"/>
      <c r="V821" s="264" t="n"/>
      <c r="W821" s="9" t="n"/>
      <c r="X821" s="46" t="n"/>
      <c r="Y821" s="774" t="n"/>
      <c r="Z821" s="6" t="n"/>
      <c r="AA821" s="264" t="n"/>
      <c r="AB821" s="9" t="n"/>
      <c r="AC821" s="46" t="n"/>
      <c r="AD821" s="12" t="inlineStr">
        <is>
          <t>No</t>
        </is>
      </c>
      <c r="AE821" s="45" t="n"/>
      <c r="AF821" s="45" t="n"/>
      <c r="AG821" s="45" t="n"/>
      <c r="AH821" s="45" t="n"/>
      <c r="AI821" s="45" t="n"/>
      <c r="AJ821" s="45" t="n"/>
      <c r="AK821" s="45" t="n"/>
      <c r="AL821" s="45" t="n"/>
      <c r="AM821" s="45" t="n"/>
      <c r="AN821" s="45" t="n"/>
      <c r="AO821" s="45" t="n"/>
      <c r="AP821" s="45" t="n"/>
      <c r="AQ821" s="45" t="n"/>
      <c r="AR821" s="45" t="n"/>
      <c r="AS821" s="56" t="inlineStr">
        <is>
          <t>Deposit 500.0 AUD. Source: user_txt. Imported from account_cashflows.xlsx row 50.</t>
        </is>
      </c>
      <c r="AT821" s="45" t="n"/>
      <c r="AU821" s="12" t="n">
        <v>500</v>
      </c>
      <c r="AV821" s="12" t="inlineStr">
        <is>
          <t>AUD</t>
        </is>
      </c>
      <c r="AW821" s="12" t="inlineStr">
        <is>
          <t>cashflow</t>
        </is>
      </c>
      <c r="AX821" s="57" t="inlineStr">
        <is>
          <t>cashflow:PEPPERSTONE DEMO:2020-03-03T00:00:00:36</t>
        </is>
      </c>
    </row>
    <row r="822" ht="15" customHeight="1">
      <c r="A822" s="42" t="inlineStr">
        <is>
          <t>F704</t>
        </is>
      </c>
      <c r="B822" s="770" t="n">
        <v>43889.05625</v>
      </c>
      <c r="C822" s="771" t="n">
        <v>43889.29444444444</v>
      </c>
      <c r="D822" s="12" t="inlineStr">
        <is>
          <t>PEPPERSTONE LIVE</t>
        </is>
      </c>
      <c r="E822" s="12" t="inlineStr">
        <is>
          <t>USDJPY</t>
        </is>
      </c>
      <c r="F822" s="12" t="inlineStr">
        <is>
          <t>BUY</t>
        </is>
      </c>
      <c r="G822" s="272" t="n">
        <v>0.01</v>
      </c>
      <c r="H822" s="262" t="n">
        <v>109.8</v>
      </c>
      <c r="I822" s="262" t="n">
        <v>109.8</v>
      </c>
      <c r="J822" s="263" t="n">
        <v>109.44</v>
      </c>
      <c r="K822" s="36" t="n">
        <v>0.003278688524590159</v>
      </c>
      <c r="L822" s="263" t="n">
        <v>110.88</v>
      </c>
      <c r="M822" s="36" t="n">
        <v>0.009836065573770477</v>
      </c>
      <c r="N822" s="772" t="n"/>
      <c r="O822" s="773" t="n">
        <v>0</v>
      </c>
      <c r="P822" s="3" t="n">
        <v>0</v>
      </c>
      <c r="Q822" s="51" t="n">
        <v>0</v>
      </c>
      <c r="R822" s="54" t="n">
        <v>477.1100000000001</v>
      </c>
      <c r="S822" s="12" t="inlineStr">
        <is>
          <t>5H 43M 0S</t>
        </is>
      </c>
      <c r="T822" s="770" t="n">
        <v>43889.13541666666</v>
      </c>
      <c r="U822" s="4" t="inlineStr">
        <is>
          <t>1H 54M 0S</t>
        </is>
      </c>
      <c r="V822" s="269" t="n">
        <v>110.28</v>
      </c>
      <c r="W822" s="3" t="n">
        <v>-0.480000000000004</v>
      </c>
      <c r="X822" s="36" t="n">
        <v>0.5999999999999943</v>
      </c>
      <c r="Y822" s="774" t="n"/>
      <c r="Z822" s="6" t="n"/>
      <c r="AA822" s="269" t="n">
        <v>110.73</v>
      </c>
      <c r="AB822" s="3" t="n">
        <v>-0.9300000000000068</v>
      </c>
      <c r="AC822" s="36" t="n">
        <v>0.1499999999999915</v>
      </c>
      <c r="AD822" s="12" t="inlineStr">
        <is>
          <t>No</t>
        </is>
      </c>
      <c r="AE822" s="45" t="n"/>
      <c r="AF822" s="45" t="n"/>
      <c r="AG822" s="45" t="n"/>
      <c r="AH822" s="45" t="n"/>
      <c r="AI822" s="12" t="inlineStr">
        <is>
          <t>Limit</t>
        </is>
      </c>
      <c r="AJ822" s="45" t="n"/>
      <c r="AK822" s="45" t="n"/>
      <c r="AL822" s="45" t="n"/>
      <c r="AM822" s="45" t="n"/>
      <c r="AN822" s="45" t="n"/>
      <c r="AO822" s="45" t="n"/>
      <c r="AP822" s="12" t="inlineStr">
        <is>
          <t>Pullback</t>
        </is>
      </c>
      <c r="AQ822" s="12" t="inlineStr">
        <is>
          <t>4H</t>
        </is>
      </c>
      <c r="AR822" s="12" t="inlineStr">
        <is>
          <t>Yes</t>
        </is>
      </c>
      <c r="AS822" s="45" t="n"/>
      <c r="AT822" s="45" t="n"/>
      <c r="AU822" s="45" t="n"/>
      <c r="AV822" s="45" t="n"/>
      <c r="AW822" s="12" t="inlineStr">
        <is>
          <t>trade</t>
        </is>
      </c>
      <c r="AX822" s="57" t="inlineStr">
        <is>
          <t>sig:bc5ed8eb426645823de674ff</t>
        </is>
      </c>
    </row>
    <row r="823" ht="15" customHeight="1">
      <c r="A823" s="716" t="inlineStr">
        <is>
          <t>F703</t>
        </is>
      </c>
      <c r="B823" s="717" t="n">
        <v>43887.05</v>
      </c>
      <c r="C823" s="718" t="n">
        <v>43887.08263888889</v>
      </c>
      <c r="D823" s="719" t="inlineStr">
        <is>
          <t>PEPPERSTONE LIVE</t>
        </is>
      </c>
      <c r="E823" s="719" t="inlineStr">
        <is>
          <t>GBPCAD</t>
        </is>
      </c>
      <c r="F823" s="719" t="inlineStr">
        <is>
          <t>SELL</t>
        </is>
      </c>
      <c r="G823" s="735" t="n">
        <v>0.01</v>
      </c>
      <c r="H823" s="720" t="n">
        <v>1.7249</v>
      </c>
      <c r="I823" s="720" t="n">
        <v>1.7296</v>
      </c>
      <c r="J823" s="721" t="n">
        <v>1.7295</v>
      </c>
      <c r="K823" s="722" t="n">
        <v>0.002666821265000833</v>
      </c>
      <c r="L823" s="721" t="n">
        <v>1.705</v>
      </c>
      <c r="M823" s="722" t="n">
        <v>0.01153690068989508</v>
      </c>
      <c r="N823" s="788" t="n"/>
      <c r="O823" s="762" t="n">
        <v>-5.25</v>
      </c>
      <c r="P823" s="725" t="n">
        <v>-0.01088398706360394</v>
      </c>
      <c r="Q823" s="726" t="n">
        <v>-1.02173913043478</v>
      </c>
      <c r="R823" s="764" t="n">
        <v>477.1100000000001</v>
      </c>
      <c r="S823" s="719" t="inlineStr">
        <is>
          <t>47M 0S</t>
        </is>
      </c>
      <c r="T823" s="717" t="n"/>
      <c r="U823" s="806" t="n"/>
      <c r="V823" s="807" t="n">
        <v>1.7173</v>
      </c>
      <c r="W823" s="725" t="n">
        <v>0.007600000000000051</v>
      </c>
      <c r="X823" s="722" t="n">
        <v>-0.01229999999999998</v>
      </c>
      <c r="Y823" s="728" t="n"/>
      <c r="Z823" s="729" t="n"/>
      <c r="AA823" s="807" t="n">
        <v>1.709</v>
      </c>
      <c r="AB823" s="725" t="n">
        <v>0.01590000000000003</v>
      </c>
      <c r="AC823" s="722" t="n">
        <v>-0.004000000000000004</v>
      </c>
      <c r="AD823" s="719" t="inlineStr">
        <is>
          <t>No</t>
        </is>
      </c>
      <c r="AE823" s="733" t="n"/>
      <c r="AF823" s="733" t="n"/>
      <c r="AG823" s="733" t="n"/>
      <c r="AH823" s="733" t="n"/>
      <c r="AI823" s="719" t="inlineStr">
        <is>
          <t>Limit</t>
        </is>
      </c>
      <c r="AJ823" s="733" t="n"/>
      <c r="AK823" s="733" t="n"/>
      <c r="AL823" s="733" t="n"/>
      <c r="AM823" s="733" t="n"/>
      <c r="AN823" s="733" t="n"/>
      <c r="AO823" s="733" t="n"/>
      <c r="AP823" s="719" t="inlineStr">
        <is>
          <t>Pullback</t>
        </is>
      </c>
      <c r="AQ823" s="719" t="inlineStr">
        <is>
          <t>4H</t>
        </is>
      </c>
      <c r="AR823" s="719" t="inlineStr">
        <is>
          <t>No</t>
        </is>
      </c>
      <c r="AS823" s="733" t="n"/>
      <c r="AT823" s="733" t="n"/>
      <c r="AU823" s="733" t="n"/>
      <c r="AV823" s="733" t="n"/>
      <c r="AW823" s="719" t="inlineStr">
        <is>
          <t>trade</t>
        </is>
      </c>
      <c r="AX823" s="734" t="inlineStr">
        <is>
          <t>sig:89680385ada8ba54e4ae38a5</t>
        </is>
      </c>
    </row>
    <row r="824" ht="15" customHeight="1">
      <c r="A824" s="716" t="inlineStr">
        <is>
          <t>F702</t>
        </is>
      </c>
      <c r="B824" s="717" t="n">
        <v>43885.75486111111</v>
      </c>
      <c r="C824" s="718" t="n">
        <v>43886.78680555556</v>
      </c>
      <c r="D824" s="719" t="inlineStr">
        <is>
          <t>PEPPERSTONE LIVE</t>
        </is>
      </c>
      <c r="E824" s="719" t="inlineStr">
        <is>
          <t>GBPCAD</t>
        </is>
      </c>
      <c r="F824" s="719" t="inlineStr">
        <is>
          <t>SELL</t>
        </is>
      </c>
      <c r="G824" s="735" t="n">
        <v>0.01</v>
      </c>
      <c r="H824" s="720" t="n">
        <v>1.7187</v>
      </c>
      <c r="I824" s="720" t="n">
        <v>1.72289</v>
      </c>
      <c r="J824" s="721" t="n">
        <v>1.7228</v>
      </c>
      <c r="K824" s="722" t="n">
        <v>0.002385523942514816</v>
      </c>
      <c r="L824" s="721" t="n">
        <v>1.7019</v>
      </c>
      <c r="M824" s="722" t="n">
        <v>0.009774829813230888</v>
      </c>
      <c r="N824" s="792" t="n">
        <v>0.01</v>
      </c>
      <c r="O824" s="762" t="n">
        <v>-4.69</v>
      </c>
      <c r="P824" s="725" t="n">
        <v>-0.009629401498819421</v>
      </c>
      <c r="Q824" s="726" t="n">
        <v>-1.021951219512175</v>
      </c>
      <c r="R824" s="764" t="n">
        <v>482.3600000000001</v>
      </c>
      <c r="S824" s="719" t="inlineStr">
        <is>
          <t>1D 0H 46M 0S</t>
        </is>
      </c>
      <c r="T824" s="717" t="n"/>
      <c r="U824" s="806" t="n"/>
      <c r="V824" s="807" t="n">
        <v>1.7112</v>
      </c>
      <c r="W824" s="725" t="n">
        <v>0.00749999999999984</v>
      </c>
      <c r="X824" s="722" t="n">
        <v>-0.009300000000000086</v>
      </c>
      <c r="Y824" s="728" t="n"/>
      <c r="Z824" s="729" t="n"/>
      <c r="AA824" s="807" t="n">
        <v>1.7049</v>
      </c>
      <c r="AB824" s="725" t="n">
        <v>0.01379999999999981</v>
      </c>
      <c r="AC824" s="722" t="n">
        <v>-0.003000000000000114</v>
      </c>
      <c r="AD824" s="719" t="inlineStr">
        <is>
          <t>No</t>
        </is>
      </c>
      <c r="AE824" s="733" t="n"/>
      <c r="AF824" s="733" t="n"/>
      <c r="AG824" s="733" t="n"/>
      <c r="AH824" s="733" t="n"/>
      <c r="AI824" s="719" t="inlineStr">
        <is>
          <t>Limit</t>
        </is>
      </c>
      <c r="AJ824" s="733" t="n"/>
      <c r="AK824" s="733" t="n"/>
      <c r="AL824" s="733" t="n"/>
      <c r="AM824" s="733" t="n"/>
      <c r="AN824" s="733" t="n"/>
      <c r="AO824" s="733" t="n"/>
      <c r="AP824" s="719" t="inlineStr">
        <is>
          <t>Pullback</t>
        </is>
      </c>
      <c r="AQ824" s="719" t="inlineStr">
        <is>
          <t>4H</t>
        </is>
      </c>
      <c r="AR824" s="719" t="inlineStr">
        <is>
          <t>No</t>
        </is>
      </c>
      <c r="AS824" s="733" t="n"/>
      <c r="AT824" s="733" t="n"/>
      <c r="AU824" s="733" t="n"/>
      <c r="AV824" s="733" t="n"/>
      <c r="AW824" s="719" t="inlineStr">
        <is>
          <t>trade</t>
        </is>
      </c>
      <c r="AX824" s="734" t="inlineStr">
        <is>
          <t>sig:bc10b3590394c4eb9c84d1fa</t>
        </is>
      </c>
    </row>
    <row r="825" ht="15" customHeight="1">
      <c r="A825" s="716" t="inlineStr">
        <is>
          <t>F701</t>
        </is>
      </c>
      <c r="B825" s="717" t="n">
        <v>43882.09722222222</v>
      </c>
      <c r="C825" s="718" t="n">
        <v>43882.51319444444</v>
      </c>
      <c r="D825" s="719" t="inlineStr">
        <is>
          <t>PEPPERSTONE LIVE</t>
        </is>
      </c>
      <c r="E825" s="719" t="inlineStr">
        <is>
          <t>AUDSGD</t>
        </is>
      </c>
      <c r="F825" s="719" t="inlineStr">
        <is>
          <t>BUY</t>
        </is>
      </c>
      <c r="G825" s="735" t="n">
        <v>0.01</v>
      </c>
      <c r="H825" s="720" t="n">
        <v>0.9267</v>
      </c>
      <c r="I825" s="720" t="n">
        <v>0.92417</v>
      </c>
      <c r="J825" s="721" t="n">
        <v>0.9241</v>
      </c>
      <c r="K825" s="722" t="n">
        <v>0.002805654472860619</v>
      </c>
      <c r="L825" s="721" t="n">
        <v>0.9342</v>
      </c>
      <c r="M825" s="722" t="n">
        <v>0.008093234056328976</v>
      </c>
      <c r="N825" s="792" t="n">
        <v>0.04</v>
      </c>
      <c r="O825" s="762" t="n">
        <v>-2.78</v>
      </c>
      <c r="P825" s="725" t="n">
        <v>-0.00567543841741012</v>
      </c>
      <c r="Q825" s="726" t="n">
        <v>-0.9730769230769168</v>
      </c>
      <c r="R825" s="764" t="n">
        <v>487.0500000000001</v>
      </c>
      <c r="S825" s="719" t="inlineStr">
        <is>
          <t>9H 59M 0S</t>
        </is>
      </c>
      <c r="T825" s="728" t="n"/>
      <c r="U825" s="729" t="n"/>
      <c r="V825" s="807" t="n">
        <v>0.9303</v>
      </c>
      <c r="W825" s="725" t="n">
        <v>-0.003600000000000048</v>
      </c>
      <c r="X825" s="722" t="n">
        <v>0.003900000000000015</v>
      </c>
      <c r="Y825" s="728" t="n"/>
      <c r="Z825" s="729" t="n"/>
      <c r="AA825" s="807" t="n">
        <v>0.9323</v>
      </c>
      <c r="AB825" s="725" t="n">
        <v>-0.005600000000000049</v>
      </c>
      <c r="AC825" s="722" t="n">
        <v>0.001900000000000013</v>
      </c>
      <c r="AD825" s="719" t="inlineStr">
        <is>
          <t>No</t>
        </is>
      </c>
      <c r="AE825" s="733" t="n"/>
      <c r="AF825" s="733" t="n"/>
      <c r="AG825" s="733" t="n"/>
      <c r="AH825" s="733" t="n"/>
      <c r="AI825" s="719" t="inlineStr">
        <is>
          <t>Limit</t>
        </is>
      </c>
      <c r="AJ825" s="733" t="n"/>
      <c r="AK825" s="733" t="n"/>
      <c r="AL825" s="733" t="n"/>
      <c r="AM825" s="733" t="n"/>
      <c r="AN825" s="733" t="n"/>
      <c r="AO825" s="733" t="n"/>
      <c r="AP825" s="719" t="inlineStr">
        <is>
          <t>Pullback</t>
        </is>
      </c>
      <c r="AQ825" s="719" t="inlineStr">
        <is>
          <t>4H</t>
        </is>
      </c>
      <c r="AR825" s="719" t="inlineStr">
        <is>
          <t>No</t>
        </is>
      </c>
      <c r="AS825" s="733" t="n"/>
      <c r="AT825" s="733" t="n"/>
      <c r="AU825" s="733" t="n"/>
      <c r="AV825" s="733" t="n"/>
      <c r="AW825" s="719" t="inlineStr">
        <is>
          <t>trade</t>
        </is>
      </c>
      <c r="AX825" s="734" t="inlineStr">
        <is>
          <t>sig:05a0f404970e1df0e75b3317</t>
        </is>
      </c>
    </row>
    <row r="826" ht="15" customHeight="1">
      <c r="A826" s="716" t="inlineStr">
        <is>
          <t>F700</t>
        </is>
      </c>
      <c r="B826" s="717" t="n">
        <v>43881.07361111111</v>
      </c>
      <c r="C826" s="718" t="n">
        <v>43881.49097222222</v>
      </c>
      <c r="D826" s="719" t="inlineStr">
        <is>
          <t>PEPPERSTONE LIVE</t>
        </is>
      </c>
      <c r="E826" s="719" t="inlineStr">
        <is>
          <t>EURNZD</t>
        </is>
      </c>
      <c r="F826" s="719" t="inlineStr">
        <is>
          <t>SELL</t>
        </is>
      </c>
      <c r="G826" s="735" t="n">
        <v>0.01</v>
      </c>
      <c r="H826" s="720" t="n">
        <v>1.692</v>
      </c>
      <c r="I826" s="720" t="n">
        <v>1.69593</v>
      </c>
      <c r="J826" s="721" t="n">
        <v>1.6959</v>
      </c>
      <c r="K826" s="722" t="n">
        <v>0.002304964539007101</v>
      </c>
      <c r="L826" s="721" t="n">
        <v>1.6811</v>
      </c>
      <c r="M826" s="722" t="n">
        <v>0.006442080378250538</v>
      </c>
      <c r="N826" s="761" t="n">
        <v>0.17</v>
      </c>
      <c r="O826" s="762" t="n">
        <v>-3.59</v>
      </c>
      <c r="P826" s="725" t="n">
        <v>-0.007275748854930891</v>
      </c>
      <c r="Q826" s="726" t="n">
        <v>-1.007692307692301</v>
      </c>
      <c r="R826" s="764" t="n">
        <v>489.83</v>
      </c>
      <c r="S826" s="719" t="inlineStr">
        <is>
          <t>10H 1M 0S</t>
        </is>
      </c>
      <c r="T826" s="728" t="n"/>
      <c r="U826" s="729" t="n"/>
      <c r="V826" s="807" t="n">
        <v>1.6872</v>
      </c>
      <c r="W826" s="725" t="n">
        <v>0.004799999999999915</v>
      </c>
      <c r="X826" s="722" t="n">
        <v>-0.006099999999999994</v>
      </c>
      <c r="Y826" s="728" t="n"/>
      <c r="Z826" s="729" t="n"/>
      <c r="AA826" s="807" t="n">
        <v>1.6833</v>
      </c>
      <c r="AB826" s="725" t="n">
        <v>0.00869999999999993</v>
      </c>
      <c r="AC826" s="722" t="n">
        <v>-0.00219999999999998</v>
      </c>
      <c r="AD826" s="719" t="inlineStr">
        <is>
          <t>No</t>
        </is>
      </c>
      <c r="AE826" s="733" t="n"/>
      <c r="AF826" s="733" t="n"/>
      <c r="AG826" s="733" t="n"/>
      <c r="AH826" s="733" t="n"/>
      <c r="AI826" s="719" t="inlineStr">
        <is>
          <t>Limit</t>
        </is>
      </c>
      <c r="AJ826" s="733" t="n"/>
      <c r="AK826" s="733" t="n"/>
      <c r="AL826" s="733" t="n"/>
      <c r="AM826" s="733" t="n"/>
      <c r="AN826" s="733" t="n"/>
      <c r="AO826" s="733" t="n"/>
      <c r="AP826" s="719" t="inlineStr">
        <is>
          <t>Pullback</t>
        </is>
      </c>
      <c r="AQ826" s="719" t="inlineStr">
        <is>
          <t>4H</t>
        </is>
      </c>
      <c r="AR826" s="719" t="inlineStr">
        <is>
          <t>No</t>
        </is>
      </c>
      <c r="AS826" s="733" t="n"/>
      <c r="AT826" s="733" t="n"/>
      <c r="AU826" s="733" t="n"/>
      <c r="AV826" s="733" t="n"/>
      <c r="AW826" s="719" t="inlineStr">
        <is>
          <t>trade</t>
        </is>
      </c>
      <c r="AX826" s="734" t="inlineStr">
        <is>
          <t>sig:a52d9c052efc2765827f99ce</t>
        </is>
      </c>
    </row>
    <row r="827" ht="15" customHeight="1">
      <c r="A827" s="716" t="inlineStr">
        <is>
          <t>F699</t>
        </is>
      </c>
      <c r="B827" s="717" t="n">
        <v>43868.06180555555</v>
      </c>
      <c r="C827" s="718" t="n">
        <v>43868.1</v>
      </c>
      <c r="D827" s="719" t="inlineStr">
        <is>
          <t>PEPPERSTONE LIVE</t>
        </is>
      </c>
      <c r="E827" s="719" t="inlineStr">
        <is>
          <t>GBPCAD</t>
        </is>
      </c>
      <c r="F827" s="719" t="inlineStr">
        <is>
          <t>BUY</t>
        </is>
      </c>
      <c r="G827" s="735" t="n">
        <v>0.01</v>
      </c>
      <c r="H827" s="720" t="n">
        <v>1.7219</v>
      </c>
      <c r="I827" s="720" t="n">
        <v>1.71784</v>
      </c>
      <c r="J827" s="721" t="n">
        <v>1.7178</v>
      </c>
      <c r="K827" s="722" t="n">
        <v>0.002381090655671057</v>
      </c>
      <c r="L827" s="721" t="n">
        <v>1.7397</v>
      </c>
      <c r="M827" s="722" t="n">
        <v>0.01033741796852317</v>
      </c>
      <c r="N827" s="788" t="n"/>
      <c r="O827" s="762" t="n">
        <v>-4.56</v>
      </c>
      <c r="P827" s="725" t="n">
        <v>-0.00915699425679746</v>
      </c>
      <c r="Q827" s="726" t="n">
        <v>-0.9902439024390146</v>
      </c>
      <c r="R827" s="764" t="n">
        <v>493.42</v>
      </c>
      <c r="S827" s="719" t="inlineStr">
        <is>
          <t>55M 0S</t>
        </is>
      </c>
      <c r="T827" s="728" t="n"/>
      <c r="U827" s="729" t="n"/>
      <c r="V827" s="807" t="n">
        <v>1.7298</v>
      </c>
      <c r="W827" s="725" t="n">
        <v>-0.007900000000000018</v>
      </c>
      <c r="X827" s="722" t="n">
        <v>0.00990000000000002</v>
      </c>
      <c r="Y827" s="728" t="n"/>
      <c r="Z827" s="729" t="n"/>
      <c r="AA827" s="730" t="n"/>
      <c r="AB827" s="731" t="n"/>
      <c r="AC827" s="732" t="n"/>
      <c r="AD827" s="719" t="inlineStr">
        <is>
          <t>No</t>
        </is>
      </c>
      <c r="AE827" s="733" t="n"/>
      <c r="AF827" s="733" t="n"/>
      <c r="AG827" s="733" t="n"/>
      <c r="AH827" s="733" t="n"/>
      <c r="AI827" s="719" t="inlineStr">
        <is>
          <t>Limit</t>
        </is>
      </c>
      <c r="AJ827" s="733" t="n"/>
      <c r="AK827" s="733" t="n"/>
      <c r="AL827" s="733" t="n"/>
      <c r="AM827" s="733" t="n"/>
      <c r="AN827" s="733" t="n"/>
      <c r="AO827" s="733" t="n"/>
      <c r="AP827" s="719" t="inlineStr">
        <is>
          <t>Pullback</t>
        </is>
      </c>
      <c r="AQ827" s="719" t="inlineStr">
        <is>
          <t>4H</t>
        </is>
      </c>
      <c r="AR827" s="719" t="inlineStr">
        <is>
          <t>No</t>
        </is>
      </c>
      <c r="AS827" s="782" t="n"/>
      <c r="AT827" s="733" t="n"/>
      <c r="AU827" s="719" t="n"/>
      <c r="AV827" s="719" t="n"/>
      <c r="AW827" s="719" t="inlineStr">
        <is>
          <t>trade</t>
        </is>
      </c>
      <c r="AX827" s="734" t="inlineStr">
        <is>
          <t>sig:d7b8a06bbb9a7f772e788ce4</t>
        </is>
      </c>
    </row>
    <row r="828" ht="15" customHeight="1">
      <c r="A828" s="716" t="inlineStr">
        <is>
          <t>F698</t>
        </is>
      </c>
      <c r="B828" s="717" t="n">
        <v>43867.23888888889</v>
      </c>
      <c r="C828" s="718" t="n">
        <v>43868.04236111111</v>
      </c>
      <c r="D828" s="719" t="inlineStr">
        <is>
          <t>PEPPERSTONE LIVE</t>
        </is>
      </c>
      <c r="E828" s="719" t="inlineStr">
        <is>
          <t>USDCHF</t>
        </is>
      </c>
      <c r="F828" s="719" t="inlineStr">
        <is>
          <t>SELL</t>
        </is>
      </c>
      <c r="G828" s="735" t="n">
        <v>0.01</v>
      </c>
      <c r="H828" s="720" t="n">
        <v>0.9736</v>
      </c>
      <c r="I828" s="720" t="n">
        <v>0.97475</v>
      </c>
      <c r="J828" s="721" t="n">
        <v>0.9754</v>
      </c>
      <c r="K828" s="722" t="n">
        <v>0.001848808545603968</v>
      </c>
      <c r="L828" s="721" t="n">
        <v>0.9681999999999999</v>
      </c>
      <c r="M828" s="722" t="n">
        <v>0.005546425636811906</v>
      </c>
      <c r="N828" s="761" t="n">
        <v>0.38</v>
      </c>
      <c r="O828" s="762" t="n">
        <v>-2.02</v>
      </c>
      <c r="P828" s="725" t="n">
        <v>-0.00404</v>
      </c>
      <c r="Q828" s="726" t="n">
        <v>-0.6388888888888717</v>
      </c>
      <c r="R828" s="764" t="n">
        <v>497.98</v>
      </c>
      <c r="S828" s="719" t="inlineStr">
        <is>
          <t>19H 17M 0S</t>
        </is>
      </c>
      <c r="T828" s="728" t="n"/>
      <c r="U828" s="729" t="n"/>
      <c r="V828" s="807" t="n">
        <v>0.9705</v>
      </c>
      <c r="W828" s="725" t="n">
        <v>0.003099999999999992</v>
      </c>
      <c r="X828" s="722" t="n">
        <v>-0.00230000000000008</v>
      </c>
      <c r="Y828" s="728" t="n"/>
      <c r="Z828" s="729" t="n"/>
      <c r="AA828" s="730" t="n"/>
      <c r="AB828" s="731" t="n"/>
      <c r="AC828" s="732" t="n"/>
      <c r="AD828" s="719" t="inlineStr">
        <is>
          <t>No</t>
        </is>
      </c>
      <c r="AE828" s="733" t="n"/>
      <c r="AF828" s="733" t="n"/>
      <c r="AG828" s="733" t="n"/>
      <c r="AH828" s="733" t="n"/>
      <c r="AI828" s="719" t="inlineStr">
        <is>
          <t>Limit</t>
        </is>
      </c>
      <c r="AJ828" s="733" t="n"/>
      <c r="AK828" s="733" t="n"/>
      <c r="AL828" s="733" t="n"/>
      <c r="AM828" s="733" t="n"/>
      <c r="AN828" s="733" t="n"/>
      <c r="AO828" s="733" t="n"/>
      <c r="AP828" s="719" t="inlineStr">
        <is>
          <t>Pullback</t>
        </is>
      </c>
      <c r="AQ828" s="719" t="inlineStr">
        <is>
          <t>4H</t>
        </is>
      </c>
      <c r="AR828" s="719" t="inlineStr">
        <is>
          <t>No</t>
        </is>
      </c>
      <c r="AS828" s="782" t="n"/>
      <c r="AT828" s="733" t="n"/>
      <c r="AU828" s="719" t="n"/>
      <c r="AV828" s="719" t="n"/>
      <c r="AW828" s="719" t="inlineStr">
        <is>
          <t>trade</t>
        </is>
      </c>
      <c r="AX828" s="734" t="inlineStr">
        <is>
          <t>sig:0662a8589b039fffad7f376b</t>
        </is>
      </c>
    </row>
    <row r="829" ht="15" customHeight="1">
      <c r="A829" s="42" t="n"/>
      <c r="B829" s="770" t="n">
        <v>43865</v>
      </c>
      <c r="C829" s="771" t="n">
        <v>43865</v>
      </c>
      <c r="D829" s="12" t="inlineStr">
        <is>
          <t>PEPPERSTONE LIVE</t>
        </is>
      </c>
      <c r="E829" s="12" t="inlineStr">
        <is>
          <t>CASHFLOW</t>
        </is>
      </c>
      <c r="F829" s="12" t="inlineStr">
        <is>
          <t>DEPOSIT</t>
        </is>
      </c>
      <c r="G829" s="262" t="n"/>
      <c r="H829" s="262" t="n"/>
      <c r="I829" s="262" t="n"/>
      <c r="J829" s="263" t="n"/>
      <c r="K829" s="36" t="n"/>
      <c r="L829" s="263" t="n"/>
      <c r="M829" s="36" t="n"/>
      <c r="N829" s="779" t="n"/>
      <c r="O829" s="773" t="n"/>
      <c r="P829" s="3" t="n"/>
      <c r="Q829" s="51" t="n"/>
      <c r="R829" s="54" t="n">
        <v>500</v>
      </c>
      <c r="S829" s="12" t="n"/>
      <c r="T829" s="774" t="n"/>
      <c r="U829" s="6" t="n"/>
      <c r="V829" s="264" t="n"/>
      <c r="W829" s="9" t="n"/>
      <c r="X829" s="46" t="n"/>
      <c r="Y829" s="774" t="n"/>
      <c r="Z829" s="6" t="n"/>
      <c r="AA829" s="264" t="n"/>
      <c r="AB829" s="9" t="n"/>
      <c r="AC829" s="46" t="n"/>
      <c r="AD829" s="12" t="inlineStr">
        <is>
          <t>No</t>
        </is>
      </c>
      <c r="AE829" s="45" t="n"/>
      <c r="AF829" s="45" t="n"/>
      <c r="AG829" s="45" t="n"/>
      <c r="AH829" s="45" t="n"/>
      <c r="AI829" s="12" t="n"/>
      <c r="AJ829" s="45" t="n"/>
      <c r="AK829" s="45" t="n"/>
      <c r="AL829" s="45" t="n"/>
      <c r="AM829" s="45" t="n"/>
      <c r="AN829" s="45" t="n"/>
      <c r="AO829" s="45" t="n"/>
      <c r="AP829" s="12" t="n"/>
      <c r="AQ829" s="12" t="n"/>
      <c r="AR829" s="12" t="n"/>
      <c r="AS829" s="56" t="inlineStr">
        <is>
          <t>Deposit 308.0 AUD. Source: screenshot_ocr. Imported from account_cashflows.xlsx row 87.</t>
        </is>
      </c>
      <c r="AT829" s="45" t="n"/>
      <c r="AU829" s="12" t="n">
        <v>500</v>
      </c>
      <c r="AV829" s="12" t="inlineStr">
        <is>
          <t>AUD</t>
        </is>
      </c>
      <c r="AW829" s="12" t="inlineStr">
        <is>
          <t>cashflow</t>
        </is>
      </c>
      <c r="AX829" s="57" t="inlineStr">
        <is>
          <t>cashflow:PEPPERSTONE LIVE:2020-02-04T00:00:00:8</t>
        </is>
      </c>
    </row>
    <row r="830" ht="15" customHeight="1">
      <c r="A830" s="716" t="inlineStr">
        <is>
          <t>F697</t>
        </is>
      </c>
      <c r="B830" s="717" t="n">
        <v>43858.07152777778</v>
      </c>
      <c r="C830" s="718" t="n">
        <v>43858.73194444444</v>
      </c>
      <c r="D830" s="719" t="inlineStr">
        <is>
          <t>PEPPERSTONE LIVE</t>
        </is>
      </c>
      <c r="E830" s="719" t="inlineStr">
        <is>
          <t>GBPCAD</t>
        </is>
      </c>
      <c r="F830" s="719" t="inlineStr">
        <is>
          <t>BUY</t>
        </is>
      </c>
      <c r="G830" s="735" t="n">
        <v>0.01</v>
      </c>
      <c r="H830" s="720" t="n">
        <v>1.7219</v>
      </c>
      <c r="I830" s="720" t="n">
        <v>1.71742</v>
      </c>
      <c r="J830" s="721" t="n">
        <v>1.7174</v>
      </c>
      <c r="K830" s="722" t="n">
        <v>0.002613392183053574</v>
      </c>
      <c r="L830" s="721" t="n">
        <v>1.737</v>
      </c>
      <c r="M830" s="722" t="n">
        <v>0.008769382658691047</v>
      </c>
      <c r="N830" s="761" t="n">
        <v>0.1</v>
      </c>
      <c r="O830" s="762" t="n">
        <v>-5.16</v>
      </c>
      <c r="P830" s="725" t="n">
        <v>-0.02617163724893488</v>
      </c>
      <c r="Q830" s="726" t="n">
        <v>-0.9955555555555757</v>
      </c>
      <c r="R830" s="764" t="n">
        <v>192</v>
      </c>
      <c r="S830" s="719" t="inlineStr">
        <is>
          <t>15H 51M 0S</t>
        </is>
      </c>
      <c r="T830" s="717" t="n"/>
      <c r="U830" s="806" t="n"/>
      <c r="V830" s="807" t="n">
        <v>1.7299</v>
      </c>
      <c r="W830" s="725" t="n">
        <v>-0.008000000000000007</v>
      </c>
      <c r="X830" s="722" t="n">
        <v>0.007100000000000106</v>
      </c>
      <c r="Y830" s="728" t="n"/>
      <c r="Z830" s="729" t="n"/>
      <c r="AA830" s="730" t="n"/>
      <c r="AB830" s="731" t="n"/>
      <c r="AC830" s="732" t="n"/>
      <c r="AD830" s="719" t="inlineStr">
        <is>
          <t>No</t>
        </is>
      </c>
      <c r="AE830" s="733" t="n"/>
      <c r="AF830" s="733" t="n"/>
      <c r="AG830" s="733" t="n"/>
      <c r="AH830" s="733" t="n"/>
      <c r="AI830" s="719" t="inlineStr">
        <is>
          <t>Limit</t>
        </is>
      </c>
      <c r="AJ830" s="733" t="n"/>
      <c r="AK830" s="733" t="n"/>
      <c r="AL830" s="733" t="n"/>
      <c r="AM830" s="733" t="n"/>
      <c r="AN830" s="733" t="n"/>
      <c r="AO830" s="733" t="n"/>
      <c r="AP830" s="719" t="inlineStr">
        <is>
          <t>Pullback</t>
        </is>
      </c>
      <c r="AQ830" s="719" t="inlineStr">
        <is>
          <t>4H</t>
        </is>
      </c>
      <c r="AR830" s="719" t="inlineStr">
        <is>
          <t>No</t>
        </is>
      </c>
      <c r="AS830" s="733" t="n"/>
      <c r="AT830" s="733" t="n"/>
      <c r="AU830" s="733" t="n"/>
      <c r="AV830" s="733" t="n"/>
      <c r="AW830" s="719" t="inlineStr">
        <is>
          <t>trade</t>
        </is>
      </c>
      <c r="AX830" s="734" t="inlineStr">
        <is>
          <t>sig:399413beb88e5d3a5db43e03</t>
        </is>
      </c>
    </row>
    <row r="831" ht="15" customHeight="1">
      <c r="A831" s="716" t="inlineStr">
        <is>
          <t>F696</t>
        </is>
      </c>
      <c r="B831" s="717" t="n">
        <v>43857.63333333333</v>
      </c>
      <c r="C831" s="718" t="n">
        <v>43857.94027777778</v>
      </c>
      <c r="D831" s="719" t="inlineStr">
        <is>
          <t>PEPPERSTONE LIVE</t>
        </is>
      </c>
      <c r="E831" s="719" t="inlineStr">
        <is>
          <t>GBPUSD</t>
        </is>
      </c>
      <c r="F831" s="719" t="inlineStr">
        <is>
          <t>BUY</t>
        </is>
      </c>
      <c r="G831" s="735" t="n">
        <v>0.01</v>
      </c>
      <c r="H831" s="720" t="n">
        <v>1.30604</v>
      </c>
      <c r="I831" s="720" t="n">
        <v>1.30601</v>
      </c>
      <c r="J831" s="721" t="n">
        <v>1.3032</v>
      </c>
      <c r="K831" s="722" t="n">
        <v>0.002174512266086931</v>
      </c>
      <c r="L831" s="721" t="n">
        <v>1.3144</v>
      </c>
      <c r="M831" s="722" t="n">
        <v>0.006401029064959666</v>
      </c>
      <c r="N831" s="761" t="n"/>
      <c r="O831" s="804" t="n">
        <v>-0.04</v>
      </c>
      <c r="P831" s="763" t="n">
        <v>-0.0002028397565922921</v>
      </c>
      <c r="Q831" s="781" t="n">
        <v>-0.01056338028175869</v>
      </c>
      <c r="R831" s="764" t="n">
        <v>197.16</v>
      </c>
      <c r="S831" s="719" t="inlineStr">
        <is>
          <t>7H 22M 0S</t>
        </is>
      </c>
      <c r="T831" s="717" t="n">
        <v>43857.88541666666</v>
      </c>
      <c r="U831" s="806" t="inlineStr">
        <is>
          <t>6H 3M 0S</t>
        </is>
      </c>
      <c r="V831" s="807" t="n">
        <v>1.3099</v>
      </c>
      <c r="W831" s="725" t="n">
        <v>-0.003859999999999975</v>
      </c>
      <c r="X831" s="722" t="n">
        <v>0.004499999999999948</v>
      </c>
      <c r="Y831" s="728" t="n"/>
      <c r="Z831" s="729" t="n"/>
      <c r="AA831" s="807" t="n">
        <v>1.3131</v>
      </c>
      <c r="AB831" s="731" t="n"/>
      <c r="AC831" s="732" t="n"/>
      <c r="AD831" s="719" t="inlineStr">
        <is>
          <t>No</t>
        </is>
      </c>
      <c r="AE831" s="733" t="n"/>
      <c r="AF831" s="733" t="n"/>
      <c r="AG831" s="733" t="n"/>
      <c r="AH831" s="733" t="n"/>
      <c r="AI831" s="719" t="inlineStr">
        <is>
          <t>Limit</t>
        </is>
      </c>
      <c r="AJ831" s="733" t="n"/>
      <c r="AK831" s="733" t="n"/>
      <c r="AL831" s="733" t="n"/>
      <c r="AM831" s="733" t="n"/>
      <c r="AN831" s="733" t="n"/>
      <c r="AO831" s="733" t="n"/>
      <c r="AP831" s="719" t="inlineStr">
        <is>
          <t>Pullback</t>
        </is>
      </c>
      <c r="AQ831" s="719" t="inlineStr">
        <is>
          <t>4H</t>
        </is>
      </c>
      <c r="AR831" s="719" t="inlineStr">
        <is>
          <t>No</t>
        </is>
      </c>
      <c r="AS831" s="733" t="n"/>
      <c r="AT831" s="733" t="n"/>
      <c r="AU831" s="733" t="n"/>
      <c r="AV831" s="733" t="n"/>
      <c r="AW831" s="719" t="inlineStr">
        <is>
          <t>trade</t>
        </is>
      </c>
      <c r="AX831" s="734" t="inlineStr">
        <is>
          <t>sig:250287d4e15cfb54f212f540</t>
        </is>
      </c>
    </row>
    <row r="832" ht="15" customHeight="1">
      <c r="A832" s="737" t="inlineStr">
        <is>
          <t>F695</t>
        </is>
      </c>
      <c r="B832" s="738" t="n">
        <v>43854.08888888889</v>
      </c>
      <c r="C832" s="739" t="n">
        <v>43855.05486111111</v>
      </c>
      <c r="D832" s="740" t="inlineStr">
        <is>
          <t>PEPPERSTONE LIVE</t>
        </is>
      </c>
      <c r="E832" s="740" t="inlineStr">
        <is>
          <t>USDJPY</t>
        </is>
      </c>
      <c r="F832" s="740" t="inlineStr">
        <is>
          <t>BUY</t>
        </is>
      </c>
      <c r="G832" s="775" t="n">
        <v>0.01</v>
      </c>
      <c r="H832" s="742" t="n">
        <v>109.353</v>
      </c>
      <c r="I832" s="742" t="n">
        <v>109.353</v>
      </c>
      <c r="J832" s="743" t="n">
        <v>109.19</v>
      </c>
      <c r="K832" s="744" t="n">
        <v>0.001490585534918994</v>
      </c>
      <c r="L832" s="743" t="n">
        <v>110.22</v>
      </c>
      <c r="M832" s="744" t="n">
        <v>0.007928451894323927</v>
      </c>
      <c r="N832" s="808" t="n">
        <v>0.04</v>
      </c>
      <c r="O832" s="803" t="n">
        <v>0.04</v>
      </c>
      <c r="P832" s="776" t="n">
        <v>0.0002028809089064719</v>
      </c>
      <c r="Q832" s="748" t="n">
        <v>0</v>
      </c>
      <c r="R832" s="769" t="n">
        <v>197.2</v>
      </c>
      <c r="S832" s="740" t="inlineStr">
        <is>
          <t>23H 11M 0S</t>
        </is>
      </c>
      <c r="T832" s="738" t="n">
        <v>43854.80069444444</v>
      </c>
      <c r="U832" s="809" t="inlineStr">
        <is>
          <t>17H 5M 0S</t>
        </is>
      </c>
      <c r="V832" s="810" t="n">
        <v>109.67</v>
      </c>
      <c r="W832" s="747" t="n">
        <v>-0.3170000000000073</v>
      </c>
      <c r="X832" s="744" t="n">
        <v>0.5499999999999972</v>
      </c>
      <c r="Y832" s="750" t="n"/>
      <c r="Z832" s="751" t="n"/>
      <c r="AA832" s="810" t="n">
        <v>110.01</v>
      </c>
      <c r="AB832" s="753" t="n"/>
      <c r="AC832" s="754" t="n"/>
      <c r="AD832" s="740" t="inlineStr">
        <is>
          <t>No</t>
        </is>
      </c>
      <c r="AE832" s="755" t="n"/>
      <c r="AF832" s="755" t="n"/>
      <c r="AG832" s="755" t="n"/>
      <c r="AH832" s="755" t="n"/>
      <c r="AI832" s="740" t="inlineStr">
        <is>
          <t>Limit</t>
        </is>
      </c>
      <c r="AJ832" s="755" t="n"/>
      <c r="AK832" s="755" t="n"/>
      <c r="AL832" s="755" t="n"/>
      <c r="AM832" s="755" t="n"/>
      <c r="AN832" s="755" t="n"/>
      <c r="AO832" s="755" t="n"/>
      <c r="AP832" s="740" t="inlineStr">
        <is>
          <t>Pullback</t>
        </is>
      </c>
      <c r="AQ832" s="740" t="inlineStr">
        <is>
          <t>4H</t>
        </is>
      </c>
      <c r="AR832" s="740" t="inlineStr">
        <is>
          <t>No</t>
        </is>
      </c>
      <c r="AS832" s="755" t="n"/>
      <c r="AT832" s="755" t="n"/>
      <c r="AU832" s="755" t="n"/>
      <c r="AV832" s="755" t="n"/>
      <c r="AW832" s="740" t="inlineStr">
        <is>
          <t>trade</t>
        </is>
      </c>
      <c r="AX832" s="756" t="inlineStr">
        <is>
          <t>sig:b80aacfb2bfd68793dc5894d</t>
        </is>
      </c>
    </row>
    <row r="833" ht="15" customHeight="1">
      <c r="A833" s="716" t="inlineStr">
        <is>
          <t>F694</t>
        </is>
      </c>
      <c r="B833" s="717" t="n">
        <v>43846.95138888889</v>
      </c>
      <c r="C833" s="718" t="n">
        <v>43847.02222222222</v>
      </c>
      <c r="D833" s="719" t="inlineStr">
        <is>
          <t>PEPPERSTONE LIVE</t>
        </is>
      </c>
      <c r="E833" s="719" t="inlineStr">
        <is>
          <t>AUDNZD</t>
        </is>
      </c>
      <c r="F833" s="719" t="inlineStr">
        <is>
          <t>BUY</t>
        </is>
      </c>
      <c r="G833" s="735" t="n">
        <v>0.01</v>
      </c>
      <c r="H833" s="720" t="n">
        <v>1.0409</v>
      </c>
      <c r="I833" s="720" t="n">
        <v>1.0392</v>
      </c>
      <c r="J833" s="721" t="n">
        <v>1.0392</v>
      </c>
      <c r="K833" s="722" t="n">
        <v>0.001633202036699044</v>
      </c>
      <c r="L833" s="721" t="n">
        <v>1.0446</v>
      </c>
      <c r="M833" s="722" t="n">
        <v>0.003554616197521411</v>
      </c>
      <c r="N833" s="788" t="n"/>
      <c r="O833" s="762" t="n">
        <v>-1.72</v>
      </c>
      <c r="P833" s="725" t="n">
        <v>-0.008648431214802896</v>
      </c>
      <c r="Q833" s="726" t="n">
        <v>-1</v>
      </c>
      <c r="R833" s="764" t="n">
        <v>197.16</v>
      </c>
      <c r="S833" s="719" t="inlineStr">
        <is>
          <t>1H 42M 0S</t>
        </is>
      </c>
      <c r="T833" s="728" t="n"/>
      <c r="U833" s="729" t="n"/>
      <c r="V833" s="807" t="n">
        <v>1.0434</v>
      </c>
      <c r="W833" s="725" t="n">
        <v>-0.002500000000000169</v>
      </c>
      <c r="X833" s="722" t="n">
        <v>0.001199999999999868</v>
      </c>
      <c r="Y833" s="728" t="n"/>
      <c r="Z833" s="729" t="n"/>
      <c r="AA833" s="730" t="n"/>
      <c r="AB833" s="731" t="n"/>
      <c r="AC833" s="732" t="n"/>
      <c r="AD833" s="719" t="inlineStr">
        <is>
          <t>No</t>
        </is>
      </c>
      <c r="AE833" s="733" t="n"/>
      <c r="AF833" s="733" t="n"/>
      <c r="AG833" s="733" t="n"/>
      <c r="AH833" s="733" t="n"/>
      <c r="AI833" s="719" t="inlineStr">
        <is>
          <t>Limit</t>
        </is>
      </c>
      <c r="AJ833" s="733" t="n"/>
      <c r="AK833" s="733" t="n"/>
      <c r="AL833" s="733" t="n"/>
      <c r="AM833" s="733" t="n"/>
      <c r="AN833" s="733" t="n"/>
      <c r="AO833" s="733" t="n"/>
      <c r="AP833" s="719" t="inlineStr">
        <is>
          <t>Pullback</t>
        </is>
      </c>
      <c r="AQ833" s="719" t="inlineStr">
        <is>
          <t>4H</t>
        </is>
      </c>
      <c r="AR833" s="719" t="inlineStr">
        <is>
          <t>No</t>
        </is>
      </c>
      <c r="AS833" s="782" t="n"/>
      <c r="AT833" s="733" t="n"/>
      <c r="AU833" s="719" t="n"/>
      <c r="AV833" s="719" t="n"/>
      <c r="AW833" s="719" t="inlineStr">
        <is>
          <t>trade</t>
        </is>
      </c>
      <c r="AX833" s="734" t="inlineStr">
        <is>
          <t>sig:1806469de24a1052e06c0bec</t>
        </is>
      </c>
    </row>
    <row r="834" ht="15" customHeight="1">
      <c r="A834" s="716" t="inlineStr">
        <is>
          <t>F693</t>
        </is>
      </c>
      <c r="B834" s="717" t="n">
        <v>43845.10902777778</v>
      </c>
      <c r="C834" s="718" t="n">
        <v>43846.11041666667</v>
      </c>
      <c r="D834" s="719" t="inlineStr">
        <is>
          <t>PEPPERSTONE LIVE</t>
        </is>
      </c>
      <c r="E834" s="719" t="inlineStr">
        <is>
          <t>AUDUSD</t>
        </is>
      </c>
      <c r="F834" s="719" t="inlineStr">
        <is>
          <t>SELL</t>
        </is>
      </c>
      <c r="G834" s="735" t="n">
        <v>0.01</v>
      </c>
      <c r="H834" s="720" t="n">
        <v>0.6903</v>
      </c>
      <c r="I834" s="720" t="n">
        <v>0.69112</v>
      </c>
      <c r="J834" s="721" t="n">
        <v>0.6919999999999999</v>
      </c>
      <c r="K834" s="722" t="n">
        <v>0.002462697377951505</v>
      </c>
      <c r="L834" s="721" t="n">
        <v>0.6851</v>
      </c>
      <c r="M834" s="722" t="n">
        <v>0.007532956685499033</v>
      </c>
      <c r="N834" s="792" t="n">
        <v>0.02</v>
      </c>
      <c r="O834" s="762" t="n">
        <v>-1.12</v>
      </c>
      <c r="P834" s="725" t="n">
        <v>-0.005600000000000001</v>
      </c>
      <c r="Q834" s="726" t="n">
        <v>-0.4823529411764522</v>
      </c>
      <c r="R834" s="764" t="n">
        <v>198.88</v>
      </c>
      <c r="S834" s="719" t="inlineStr">
        <is>
          <t>1D 0H 2M 0S</t>
        </is>
      </c>
      <c r="T834" s="728" t="n"/>
      <c r="U834" s="729" t="n"/>
      <c r="V834" s="807" t="n">
        <v>0.6869</v>
      </c>
      <c r="W834" s="725" t="n">
        <v>0.00340000000000007</v>
      </c>
      <c r="X834" s="722" t="n">
        <v>-0.001799999999999913</v>
      </c>
      <c r="Y834" s="728" t="n"/>
      <c r="Z834" s="729" t="n"/>
      <c r="AA834" s="730" t="n"/>
      <c r="AB834" s="731" t="n"/>
      <c r="AC834" s="732" t="n"/>
      <c r="AD834" s="719" t="inlineStr">
        <is>
          <t>No</t>
        </is>
      </c>
      <c r="AE834" s="733" t="n"/>
      <c r="AF834" s="733" t="n"/>
      <c r="AG834" s="733" t="n"/>
      <c r="AH834" s="733" t="n"/>
      <c r="AI834" s="719" t="inlineStr">
        <is>
          <t>Limit</t>
        </is>
      </c>
      <c r="AJ834" s="733" t="n"/>
      <c r="AK834" s="733" t="n"/>
      <c r="AL834" s="733" t="n"/>
      <c r="AM834" s="733" t="n"/>
      <c r="AN834" s="733" t="n"/>
      <c r="AO834" s="733" t="n"/>
      <c r="AP834" s="719" t="inlineStr">
        <is>
          <t>Pullback</t>
        </is>
      </c>
      <c r="AQ834" s="719" t="inlineStr">
        <is>
          <t>4H</t>
        </is>
      </c>
      <c r="AR834" s="719" t="inlineStr">
        <is>
          <t>No</t>
        </is>
      </c>
      <c r="AS834" s="733" t="n"/>
      <c r="AT834" s="733" t="n"/>
      <c r="AU834" s="733" t="n"/>
      <c r="AV834" s="733" t="n"/>
      <c r="AW834" s="719" t="inlineStr">
        <is>
          <t>trade</t>
        </is>
      </c>
      <c r="AX834" s="734" t="inlineStr">
        <is>
          <t>sig:896b274671e31b5d363ef9ae</t>
        </is>
      </c>
    </row>
    <row r="835" ht="15" customHeight="1">
      <c r="A835" s="42" t="n"/>
      <c r="B835" s="770" t="n">
        <v>43841</v>
      </c>
      <c r="C835" s="771" t="n">
        <v>43841</v>
      </c>
      <c r="D835" s="12" t="inlineStr">
        <is>
          <t>PEPPERSTONE LIVE</t>
        </is>
      </c>
      <c r="E835" s="12" t="inlineStr">
        <is>
          <t>CASHFLOW</t>
        </is>
      </c>
      <c r="F835" s="12" t="inlineStr">
        <is>
          <t>DEPOSIT</t>
        </is>
      </c>
      <c r="G835" s="262" t="n"/>
      <c r="H835" s="262" t="n"/>
      <c r="I835" s="262" t="n"/>
      <c r="J835" s="263" t="n"/>
      <c r="K835" s="36" t="n"/>
      <c r="L835" s="263" t="n"/>
      <c r="M835" s="36" t="n"/>
      <c r="N835" s="779" t="n"/>
      <c r="O835" s="773" t="n"/>
      <c r="P835" s="3" t="n"/>
      <c r="Q835" s="51" t="n"/>
      <c r="R835" s="54" t="n">
        <v>200</v>
      </c>
      <c r="S835" s="12" t="n"/>
      <c r="T835" s="774" t="n"/>
      <c r="U835" s="6" t="n"/>
      <c r="V835" s="264" t="n"/>
      <c r="W835" s="9" t="n"/>
      <c r="X835" s="46" t="n"/>
      <c r="Y835" s="774" t="n"/>
      <c r="Z835" s="6" t="n"/>
      <c r="AA835" s="264" t="n"/>
      <c r="AB835" s="9" t="n"/>
      <c r="AC835" s="46" t="n"/>
      <c r="AD835" s="12" t="inlineStr">
        <is>
          <t>No</t>
        </is>
      </c>
      <c r="AE835" s="45" t="n"/>
      <c r="AF835" s="45" t="n"/>
      <c r="AG835" s="45" t="n"/>
      <c r="AH835" s="45" t="n"/>
      <c r="AI835" s="12" t="n"/>
      <c r="AJ835" s="45" t="n"/>
      <c r="AK835" s="45" t="n"/>
      <c r="AL835" s="45" t="n"/>
      <c r="AM835" s="45" t="n"/>
      <c r="AN835" s="45" t="n"/>
      <c r="AO835" s="45" t="n"/>
      <c r="AP835" s="12" t="n"/>
      <c r="AQ835" s="12" t="n"/>
      <c r="AR835" s="12" t="n"/>
      <c r="AS835" s="56" t="inlineStr">
        <is>
          <t>Deposit 200.0 AUD. Source: screenshot_ocr. Imported from account_cashflows.xlsx row 86.</t>
        </is>
      </c>
      <c r="AT835" s="45" t="n"/>
      <c r="AU835" s="12" t="n">
        <v>200</v>
      </c>
      <c r="AV835" s="12" t="inlineStr">
        <is>
          <t>AUD</t>
        </is>
      </c>
      <c r="AW835" s="12" t="inlineStr">
        <is>
          <t>cashflow</t>
        </is>
      </c>
      <c r="AX835" s="57" t="inlineStr">
        <is>
          <t>cashflow:PEPPERSTONE LIVE:2020-01-11T00:00:00:7</t>
        </is>
      </c>
    </row>
    <row r="836" ht="15" customHeight="1">
      <c r="A836" s="41" t="n"/>
      <c r="B836" s="770" t="n">
        <v>43800</v>
      </c>
      <c r="C836" s="771" t="n">
        <v>43800</v>
      </c>
      <c r="D836" s="12" t="inlineStr">
        <is>
          <t>PEPPERSTONE DEMO</t>
        </is>
      </c>
      <c r="E836" s="12" t="inlineStr">
        <is>
          <t>CASHFLOW</t>
        </is>
      </c>
      <c r="F836" s="12" t="inlineStr">
        <is>
          <t>WITHDRAWAL</t>
        </is>
      </c>
      <c r="G836" s="265" t="n"/>
      <c r="H836" s="265" t="n"/>
      <c r="I836" s="265" t="n"/>
      <c r="J836" s="266" t="n"/>
      <c r="K836" s="46" t="n"/>
      <c r="L836" s="266" t="n"/>
      <c r="M836" s="46" t="n"/>
      <c r="N836" s="779" t="n"/>
      <c r="O836" s="824" t="n"/>
      <c r="P836" s="9" t="n"/>
      <c r="Q836" s="49" t="n"/>
      <c r="R836" s="54" t="n">
        <v>0</v>
      </c>
      <c r="S836" s="45" t="n"/>
      <c r="T836" s="774" t="n"/>
      <c r="U836" s="6" t="n"/>
      <c r="V836" s="264" t="n"/>
      <c r="W836" s="9" t="n"/>
      <c r="X836" s="46" t="n"/>
      <c r="Y836" s="774" t="n"/>
      <c r="Z836" s="6" t="n"/>
      <c r="AA836" s="264" t="n"/>
      <c r="AB836" s="9" t="n"/>
      <c r="AC836" s="46" t="n"/>
      <c r="AD836" s="12" t="inlineStr">
        <is>
          <t>No</t>
        </is>
      </c>
      <c r="AE836" s="45" t="n"/>
      <c r="AF836" s="45" t="n"/>
      <c r="AG836" s="45" t="n"/>
      <c r="AH836" s="45" t="n"/>
      <c r="AI836" s="45" t="n"/>
      <c r="AJ836" s="45" t="n"/>
      <c r="AK836" s="45" t="n"/>
      <c r="AL836" s="45" t="n"/>
      <c r="AM836" s="45" t="n"/>
      <c r="AN836" s="45" t="n"/>
      <c r="AO836" s="45" t="n"/>
      <c r="AP836" s="45" t="n"/>
      <c r="AQ836" s="45" t="n"/>
      <c r="AR836" s="45" t="n"/>
      <c r="AS836" s="56" t="inlineStr">
        <is>
          <t>Withdrawal -479.02 AUD. Source: user_txt. Imported from account_cashflows.xlsx row 49.</t>
        </is>
      </c>
      <c r="AT836" s="45" t="n"/>
      <c r="AU836" s="12" t="n">
        <v>0</v>
      </c>
      <c r="AV836" s="12" t="inlineStr">
        <is>
          <t>AUD</t>
        </is>
      </c>
      <c r="AW836" s="12" t="inlineStr">
        <is>
          <t>cashflow</t>
        </is>
      </c>
      <c r="AX836" s="57" t="inlineStr">
        <is>
          <t>cashflow:PEPPERSTONE DEMO:2019-12-01T00:00:00:35</t>
        </is>
      </c>
    </row>
    <row r="837" ht="15" customHeight="1">
      <c r="A837" s="716" t="inlineStr">
        <is>
          <t>F174</t>
        </is>
      </c>
      <c r="B837" s="717" t="n">
        <v>43796.06597222222</v>
      </c>
      <c r="C837" s="718" t="n">
        <v>43796.08263888889</v>
      </c>
      <c r="D837" s="719" t="inlineStr">
        <is>
          <t>PEPPERSTONE DEMO</t>
        </is>
      </c>
      <c r="E837" s="719" t="inlineStr">
        <is>
          <t>CADCHF</t>
        </is>
      </c>
      <c r="F837" s="719" t="inlineStr">
        <is>
          <t>SELL</t>
        </is>
      </c>
      <c r="G837" s="735" t="n">
        <v>0.02</v>
      </c>
      <c r="H837" s="720" t="n">
        <v>0.7497</v>
      </c>
      <c r="I837" s="720" t="n">
        <v>0.75115</v>
      </c>
      <c r="J837" s="721" t="n">
        <v>0.7511</v>
      </c>
      <c r="K837" s="722" t="n">
        <v>0.001867413632119457</v>
      </c>
      <c r="L837" s="721" t="n">
        <v>0.7445000000000001</v>
      </c>
      <c r="M837" s="722" t="n">
        <v>0.006936107776443887</v>
      </c>
      <c r="N837" s="761" t="n"/>
      <c r="O837" s="762" t="n">
        <v>-4.13</v>
      </c>
      <c r="P837" s="725" t="n">
        <v>-0.00854806995757011</v>
      </c>
      <c r="Q837" s="726" t="n">
        <v>-1.035714285714283</v>
      </c>
      <c r="R837" s="764" t="n">
        <v>479.0200000000001</v>
      </c>
      <c r="S837" s="719" t="inlineStr">
        <is>
          <t>24M 0S</t>
        </is>
      </c>
      <c r="T837" s="717" t="n"/>
      <c r="U837" s="806" t="n"/>
      <c r="V837" s="730" t="n"/>
      <c r="W837" s="731" t="n"/>
      <c r="X837" s="732" t="n"/>
      <c r="Y837" s="728" t="n"/>
      <c r="Z837" s="729" t="n"/>
      <c r="AA837" s="730" t="n"/>
      <c r="AB837" s="731" t="n"/>
      <c r="AC837" s="732" t="n"/>
      <c r="AD837" s="719" t="inlineStr">
        <is>
          <t>No</t>
        </is>
      </c>
      <c r="AE837" s="733" t="n"/>
      <c r="AF837" s="733" t="n"/>
      <c r="AG837" s="733" t="n"/>
      <c r="AH837" s="733" t="n"/>
      <c r="AI837" s="719" t="inlineStr">
        <is>
          <t>Limit</t>
        </is>
      </c>
      <c r="AJ837" s="733" t="n"/>
      <c r="AK837" s="733" t="n"/>
      <c r="AL837" s="733" t="n"/>
      <c r="AM837" s="733" t="n"/>
      <c r="AN837" s="733" t="n"/>
      <c r="AO837" s="733" t="n"/>
      <c r="AP837" s="719" t="inlineStr">
        <is>
          <t>Pullback</t>
        </is>
      </c>
      <c r="AQ837" s="719" t="inlineStr">
        <is>
          <t>4H</t>
        </is>
      </c>
      <c r="AR837" s="719" t="inlineStr">
        <is>
          <t>No</t>
        </is>
      </c>
      <c r="AS837" s="733" t="n"/>
      <c r="AT837" s="733" t="n"/>
      <c r="AU837" s="733" t="n"/>
      <c r="AV837" s="733" t="n"/>
      <c r="AW837" s="719" t="inlineStr">
        <is>
          <t>trade</t>
        </is>
      </c>
      <c r="AX837" s="734" t="inlineStr">
        <is>
          <t>sig:0c4b0e1611a4b70bc7593c0a</t>
        </is>
      </c>
    </row>
    <row r="838" ht="15" customHeight="1">
      <c r="A838" s="737" t="inlineStr">
        <is>
          <t>F172</t>
        </is>
      </c>
      <c r="B838" s="738" t="n">
        <v>43795.47569444445</v>
      </c>
      <c r="C838" s="739" t="n">
        <v>43796.03125</v>
      </c>
      <c r="D838" s="740" t="inlineStr">
        <is>
          <t>PEPPERSTONE DEMO</t>
        </is>
      </c>
      <c r="E838" s="740" t="inlineStr">
        <is>
          <t>GBPUSD</t>
        </is>
      </c>
      <c r="F838" s="740" t="inlineStr">
        <is>
          <t>SELL</t>
        </is>
      </c>
      <c r="G838" s="775" t="n">
        <v>0.01</v>
      </c>
      <c r="H838" s="742" t="n">
        <v>1.2899</v>
      </c>
      <c r="I838" s="742" t="n">
        <v>1.28455</v>
      </c>
      <c r="J838" s="743" t="n">
        <v>1.2926</v>
      </c>
      <c r="K838" s="744" t="n">
        <v>0.002093185518257171</v>
      </c>
      <c r="L838" s="743" t="n">
        <v>1.2826</v>
      </c>
      <c r="M838" s="744" t="n">
        <v>0.005659353438251092</v>
      </c>
      <c r="N838" s="796" t="n"/>
      <c r="O838" s="767" t="n">
        <v>7.92</v>
      </c>
      <c r="P838" s="747" t="n">
        <v>0.01666561454453633</v>
      </c>
      <c r="Q838" s="748" t="n">
        <v>1.981481481481524</v>
      </c>
      <c r="R838" s="769" t="n">
        <v>483.1500000000001</v>
      </c>
      <c r="S838" s="740" t="inlineStr">
        <is>
          <t>13H 20M 0S</t>
        </is>
      </c>
      <c r="T838" s="738" t="n">
        <v>43795.89444444444</v>
      </c>
      <c r="U838" s="809" t="inlineStr">
        <is>
          <t>10H 3M 0S</t>
        </is>
      </c>
      <c r="V838" s="752" t="n"/>
      <c r="W838" s="753" t="n"/>
      <c r="X838" s="754" t="n"/>
      <c r="Y838" s="750" t="n"/>
      <c r="Z838" s="751" t="n"/>
      <c r="AA838" s="752" t="n"/>
      <c r="AB838" s="753" t="n"/>
      <c r="AC838" s="754" t="n"/>
      <c r="AD838" s="740" t="inlineStr">
        <is>
          <t>No</t>
        </is>
      </c>
      <c r="AE838" s="755" t="n"/>
      <c r="AF838" s="755" t="n"/>
      <c r="AG838" s="755" t="n"/>
      <c r="AH838" s="755" t="n"/>
      <c r="AI838" s="740" t="inlineStr">
        <is>
          <t>Limit</t>
        </is>
      </c>
      <c r="AJ838" s="755" t="n"/>
      <c r="AK838" s="755" t="n"/>
      <c r="AL838" s="755" t="n"/>
      <c r="AM838" s="755" t="n"/>
      <c r="AN838" s="755" t="n"/>
      <c r="AO838" s="755" t="n"/>
      <c r="AP838" s="740" t="inlineStr">
        <is>
          <t>Pullback</t>
        </is>
      </c>
      <c r="AQ838" s="740" t="inlineStr">
        <is>
          <t>4H</t>
        </is>
      </c>
      <c r="AR838" s="740" t="inlineStr">
        <is>
          <t>No</t>
        </is>
      </c>
      <c r="AS838" s="755" t="n"/>
      <c r="AT838" s="755" t="n"/>
      <c r="AU838" s="755" t="n"/>
      <c r="AV838" s="755" t="n"/>
      <c r="AW838" s="740" t="inlineStr">
        <is>
          <t>trade</t>
        </is>
      </c>
      <c r="AX838" s="756" t="inlineStr">
        <is>
          <t>sig:2b3c726249e034610f6299b3</t>
        </is>
      </c>
    </row>
    <row r="839" ht="15" customHeight="1">
      <c r="A839" s="737" t="inlineStr">
        <is>
          <t>F687</t>
        </is>
      </c>
      <c r="B839" s="738" t="n">
        <v>43789.98888888889</v>
      </c>
      <c r="C839" s="739" t="n">
        <v>43792.00763888889</v>
      </c>
      <c r="D839" s="740" t="inlineStr">
        <is>
          <t>PEPPERSTONE DEMO</t>
        </is>
      </c>
      <c r="E839" s="740" t="inlineStr">
        <is>
          <t>AUDCHF</t>
        </is>
      </c>
      <c r="F839" s="740" t="inlineStr">
        <is>
          <t>SELL</t>
        </is>
      </c>
      <c r="G839" s="775" t="n">
        <v>0.01</v>
      </c>
      <c r="H839" s="742" t="n">
        <v>0.6767</v>
      </c>
      <c r="I839" s="742" t="n">
        <v>0.67574</v>
      </c>
      <c r="J839" s="743" t="n">
        <v>0.6785</v>
      </c>
      <c r="K839" s="744" t="n">
        <v>0.002659967489286277</v>
      </c>
      <c r="L839" s="743" t="n">
        <v>0.6698</v>
      </c>
      <c r="M839" s="744" t="n">
        <v>0.01019654204226395</v>
      </c>
      <c r="N839" s="766" t="n">
        <v>0.27</v>
      </c>
      <c r="O839" s="767" t="n">
        <v>1.2</v>
      </c>
      <c r="P839" s="747" t="n">
        <v>0.002531485349028542</v>
      </c>
      <c r="Q839" s="748" t="n">
        <v>0.5333333333333046</v>
      </c>
      <c r="R839" s="769" t="n">
        <v>475.2300000000001</v>
      </c>
      <c r="S839" s="740" t="inlineStr">
        <is>
          <t>2D 0H 27M 0S</t>
        </is>
      </c>
      <c r="T839" s="738" t="n">
        <v>43790.46597222222</v>
      </c>
      <c r="U839" s="809" t="inlineStr">
        <is>
          <t>11H 27M 0S</t>
        </is>
      </c>
      <c r="V839" s="752" t="n"/>
      <c r="W839" s="753" t="n"/>
      <c r="X839" s="754" t="n"/>
      <c r="Y839" s="750" t="n"/>
      <c r="Z839" s="751" t="n"/>
      <c r="AA839" s="752" t="n"/>
      <c r="AB839" s="753" t="n"/>
      <c r="AC839" s="754" t="n"/>
      <c r="AD839" s="740" t="inlineStr">
        <is>
          <t>No</t>
        </is>
      </c>
      <c r="AE839" s="755" t="n"/>
      <c r="AF839" s="755" t="n"/>
      <c r="AG839" s="755" t="n"/>
      <c r="AH839" s="755" t="n"/>
      <c r="AI839" s="740" t="inlineStr">
        <is>
          <t>Limit</t>
        </is>
      </c>
      <c r="AJ839" s="755" t="n"/>
      <c r="AK839" s="755" t="n"/>
      <c r="AL839" s="755" t="n"/>
      <c r="AM839" s="755" t="n"/>
      <c r="AN839" s="755" t="n"/>
      <c r="AO839" s="755" t="n"/>
      <c r="AP839" s="740" t="inlineStr">
        <is>
          <t>Pullback</t>
        </is>
      </c>
      <c r="AQ839" s="740" t="inlineStr">
        <is>
          <t>4H</t>
        </is>
      </c>
      <c r="AR839" s="740" t="inlineStr">
        <is>
          <t>No</t>
        </is>
      </c>
      <c r="AS839" s="755" t="n"/>
      <c r="AT839" s="755" t="n"/>
      <c r="AU839" s="755" t="n"/>
      <c r="AV839" s="755" t="n"/>
      <c r="AW839" s="740" t="inlineStr">
        <is>
          <t>trade</t>
        </is>
      </c>
      <c r="AX839" s="756" t="inlineStr">
        <is>
          <t>sig:cc179e9fff30ab665f707363</t>
        </is>
      </c>
    </row>
    <row r="840" ht="15" customHeight="1">
      <c r="A840" s="716" t="inlineStr">
        <is>
          <t>F686</t>
        </is>
      </c>
      <c r="B840" s="717" t="n">
        <v>43789.06319444445</v>
      </c>
      <c r="C840" s="718" t="n">
        <v>43789.22222222222</v>
      </c>
      <c r="D840" s="719" t="inlineStr">
        <is>
          <t>PEPPERSTONE DEMO</t>
        </is>
      </c>
      <c r="E840" s="719" t="inlineStr">
        <is>
          <t>GBPJPY</t>
        </is>
      </c>
      <c r="F840" s="719" t="inlineStr">
        <is>
          <t>BUY</t>
        </is>
      </c>
      <c r="G840" s="735" t="n">
        <v>0.01</v>
      </c>
      <c r="H840" s="720" t="n">
        <v>140.47</v>
      </c>
      <c r="I840" s="720" t="n">
        <v>140.144</v>
      </c>
      <c r="J840" s="721" t="n">
        <v>140.14</v>
      </c>
      <c r="K840" s="722" t="n">
        <v>0.0023492560689116</v>
      </c>
      <c r="L840" s="721" t="n">
        <v>141.62</v>
      </c>
      <c r="M840" s="722" t="n">
        <v>0.008186801452267429</v>
      </c>
      <c r="N840" s="761" t="n"/>
      <c r="O840" s="762" t="n">
        <v>-4.46</v>
      </c>
      <c r="P840" s="725" t="n">
        <v>-0.009320988944387551</v>
      </c>
      <c r="Q840" s="726" t="n">
        <v>-0.9878787878787305</v>
      </c>
      <c r="R840" s="764" t="n">
        <v>474.0300000000001</v>
      </c>
      <c r="S840" s="719" t="inlineStr">
        <is>
          <t>3H 49M 0S</t>
        </is>
      </c>
      <c r="T840" s="717" t="n"/>
      <c r="U840" s="806" t="n"/>
      <c r="V840" s="730" t="n"/>
      <c r="W840" s="731" t="n"/>
      <c r="X840" s="732" t="n"/>
      <c r="Y840" s="728" t="n"/>
      <c r="Z840" s="729" t="n"/>
      <c r="AA840" s="730" t="n"/>
      <c r="AB840" s="731" t="n"/>
      <c r="AC840" s="732" t="n"/>
      <c r="AD840" s="719" t="inlineStr">
        <is>
          <t>No</t>
        </is>
      </c>
      <c r="AE840" s="733" t="n"/>
      <c r="AF840" s="733" t="n"/>
      <c r="AG840" s="733" t="n"/>
      <c r="AH840" s="733" t="n"/>
      <c r="AI840" s="719" t="inlineStr">
        <is>
          <t>Limit</t>
        </is>
      </c>
      <c r="AJ840" s="733" t="n"/>
      <c r="AK840" s="733" t="n"/>
      <c r="AL840" s="733" t="n"/>
      <c r="AM840" s="733" t="n"/>
      <c r="AN840" s="733" t="n"/>
      <c r="AO840" s="733" t="n"/>
      <c r="AP840" s="719" t="inlineStr">
        <is>
          <t>Pullback</t>
        </is>
      </c>
      <c r="AQ840" s="719" t="inlineStr">
        <is>
          <t>4H</t>
        </is>
      </c>
      <c r="AR840" s="719" t="inlineStr">
        <is>
          <t>No</t>
        </is>
      </c>
      <c r="AS840" s="733" t="n"/>
      <c r="AT840" s="733" t="n"/>
      <c r="AU840" s="733" t="n"/>
      <c r="AV840" s="733" t="n"/>
      <c r="AW840" s="719" t="inlineStr">
        <is>
          <t>trade</t>
        </is>
      </c>
      <c r="AX840" s="734" t="inlineStr">
        <is>
          <t>sig:71ae9ddbd07c4dcc6b1d771a</t>
        </is>
      </c>
    </row>
    <row r="841" ht="15" customHeight="1">
      <c r="A841" s="42" t="n"/>
      <c r="B841" s="770" t="n">
        <v>43789</v>
      </c>
      <c r="C841" s="771" t="n">
        <v>43789</v>
      </c>
      <c r="D841" s="12" t="inlineStr">
        <is>
          <t>PEPPERSTONE LIVE</t>
        </is>
      </c>
      <c r="E841" s="12" t="inlineStr">
        <is>
          <t>CASHFLOW</t>
        </is>
      </c>
      <c r="F841" s="12" t="inlineStr">
        <is>
          <t>WITHDRAWAL</t>
        </is>
      </c>
      <c r="G841" s="262" t="n"/>
      <c r="H841" s="262" t="n"/>
      <c r="I841" s="262" t="n"/>
      <c r="J841" s="263" t="n"/>
      <c r="K841" s="36" t="n"/>
      <c r="L841" s="263" t="n"/>
      <c r="M841" s="36" t="n"/>
      <c r="N841" s="779" t="n"/>
      <c r="O841" s="773" t="n"/>
      <c r="P841" s="3" t="n"/>
      <c r="Q841" s="51" t="n"/>
      <c r="R841" s="54" t="n">
        <v>0</v>
      </c>
      <c r="S841" s="12" t="n"/>
      <c r="T841" s="774" t="n"/>
      <c r="U841" s="6" t="n"/>
      <c r="V841" s="264" t="n"/>
      <c r="W841" s="9" t="n"/>
      <c r="X841" s="46" t="n"/>
      <c r="Y841" s="774" t="n"/>
      <c r="Z841" s="6" t="n"/>
      <c r="AA841" s="264" t="n"/>
      <c r="AB841" s="9" t="n"/>
      <c r="AC841" s="46" t="n"/>
      <c r="AD841" s="12" t="inlineStr">
        <is>
          <t>No</t>
        </is>
      </c>
      <c r="AE841" s="45" t="n"/>
      <c r="AF841" s="45" t="n"/>
      <c r="AG841" s="45" t="n"/>
      <c r="AH841" s="45" t="n"/>
      <c r="AI841" s="12" t="n"/>
      <c r="AJ841" s="45" t="n"/>
      <c r="AK841" s="45" t="n"/>
      <c r="AL841" s="45" t="n"/>
      <c r="AM841" s="45" t="n"/>
      <c r="AN841" s="45" t="n"/>
      <c r="AO841" s="45" t="n"/>
      <c r="AP841" s="12" t="n"/>
      <c r="AQ841" s="12" t="n"/>
      <c r="AR841" s="12" t="n"/>
      <c r="AS841" s="56" t="inlineStr">
        <is>
          <t>Withdrawal -500.0 AUD. Source: screenshot_ocr. Imported from account_cashflows.xlsx row 85.</t>
        </is>
      </c>
      <c r="AT841" s="45" t="n"/>
      <c r="AU841" s="12" t="n">
        <v>0</v>
      </c>
      <c r="AV841" s="12" t="inlineStr">
        <is>
          <t>AUD</t>
        </is>
      </c>
      <c r="AW841" s="12" t="inlineStr">
        <is>
          <t>cashflow</t>
        </is>
      </c>
      <c r="AX841" s="57" t="inlineStr">
        <is>
          <t>cashflow:PEPPERSTONE LIVE:2019-11-20T00:00:00:6</t>
        </is>
      </c>
    </row>
    <row r="842" ht="15" customHeight="1">
      <c r="A842" s="716" t="inlineStr">
        <is>
          <t>F685</t>
        </is>
      </c>
      <c r="B842" s="717" t="n">
        <v>43784.67916666667</v>
      </c>
      <c r="C842" s="718" t="n">
        <v>43785.24791666667</v>
      </c>
      <c r="D842" s="719" t="inlineStr">
        <is>
          <t>PEPPERSTONE DEMO</t>
        </is>
      </c>
      <c r="E842" s="719" t="inlineStr">
        <is>
          <t>GBPAUD</t>
        </is>
      </c>
      <c r="F842" s="719" t="inlineStr">
        <is>
          <t>BUY</t>
        </is>
      </c>
      <c r="G842" s="735" t="n">
        <v>0.01</v>
      </c>
      <c r="H842" s="720" t="n">
        <v>1.8957</v>
      </c>
      <c r="I842" s="720" t="n">
        <v>1.89299</v>
      </c>
      <c r="J842" s="721" t="n">
        <v>1.8907</v>
      </c>
      <c r="K842" s="722" t="n">
        <v>0.002637548135253412</v>
      </c>
      <c r="L842" s="721" t="n">
        <v>1.9057</v>
      </c>
      <c r="M842" s="722" t="n">
        <v>0.005275096270506941</v>
      </c>
      <c r="N842" s="788" t="n"/>
      <c r="O842" s="762" t="n">
        <v>-2.71</v>
      </c>
      <c r="P842" s="725" t="n">
        <v>-0.005631753948462177</v>
      </c>
      <c r="Q842" s="726" t="n">
        <v>-0.5420000000000096</v>
      </c>
      <c r="R842" s="764" t="n">
        <v>478.4900000000001</v>
      </c>
      <c r="S842" s="719" t="inlineStr">
        <is>
          <t>13H 39M 0S</t>
        </is>
      </c>
      <c r="T842" s="728" t="n"/>
      <c r="U842" s="729" t="n"/>
      <c r="V842" s="730" t="n"/>
      <c r="W842" s="731" t="n"/>
      <c r="X842" s="732" t="n"/>
      <c r="Y842" s="728" t="n"/>
      <c r="Z842" s="729" t="n"/>
      <c r="AA842" s="730" t="n"/>
      <c r="AB842" s="731" t="n"/>
      <c r="AC842" s="732" t="n"/>
      <c r="AD842" s="719" t="inlineStr">
        <is>
          <t>No</t>
        </is>
      </c>
      <c r="AE842" s="733" t="n"/>
      <c r="AF842" s="733" t="n"/>
      <c r="AG842" s="733" t="n"/>
      <c r="AH842" s="733" t="n"/>
      <c r="AI842" s="719" t="inlineStr">
        <is>
          <t>Limit</t>
        </is>
      </c>
      <c r="AJ842" s="733" t="n"/>
      <c r="AK842" s="733" t="n"/>
      <c r="AL842" s="733" t="n"/>
      <c r="AM842" s="733" t="n"/>
      <c r="AN842" s="733" t="n"/>
      <c r="AO842" s="733" t="n"/>
      <c r="AP842" s="719" t="inlineStr">
        <is>
          <t>Pullback</t>
        </is>
      </c>
      <c r="AQ842" s="719" t="inlineStr">
        <is>
          <t>4H</t>
        </is>
      </c>
      <c r="AR842" s="719" t="inlineStr">
        <is>
          <t>No</t>
        </is>
      </c>
      <c r="AS842" s="782" t="n"/>
      <c r="AT842" s="733" t="n"/>
      <c r="AU842" s="719" t="n"/>
      <c r="AV842" s="719" t="n"/>
      <c r="AW842" s="719" t="inlineStr">
        <is>
          <t>trade</t>
        </is>
      </c>
      <c r="AX842" s="734" t="inlineStr">
        <is>
          <t>sig:e412145fc196cb9299ffeacc</t>
        </is>
      </c>
    </row>
    <row r="843" ht="15" customHeight="1">
      <c r="A843" s="716" t="inlineStr">
        <is>
          <t>F684</t>
        </is>
      </c>
      <c r="B843" s="717" t="n">
        <v>43784.00694444445</v>
      </c>
      <c r="C843" s="718" t="n">
        <v>43784.05833333333</v>
      </c>
      <c r="D843" s="719" t="inlineStr">
        <is>
          <t>PEPPERSTONE DEMO</t>
        </is>
      </c>
      <c r="E843" s="719" t="inlineStr">
        <is>
          <t>GBPNZD</t>
        </is>
      </c>
      <c r="F843" s="719" t="inlineStr">
        <is>
          <t>SELL</t>
        </is>
      </c>
      <c r="G843" s="735" t="n">
        <v>0.01</v>
      </c>
      <c r="H843" s="720" t="n">
        <v>2.0118</v>
      </c>
      <c r="I843" s="720" t="n">
        <v>2.0186</v>
      </c>
      <c r="J843" s="721" t="n">
        <v>2.0186</v>
      </c>
      <c r="K843" s="722" t="n">
        <v>0.003380057659807207</v>
      </c>
      <c r="L843" s="721" t="n">
        <v>1.9982</v>
      </c>
      <c r="M843" s="722" t="n">
        <v>0.006760115319614303</v>
      </c>
      <c r="N843" s="788" t="n"/>
      <c r="O843" s="762" t="n">
        <v>-6.4</v>
      </c>
      <c r="P843" s="725" t="n">
        <v>-0.01312551271534044</v>
      </c>
      <c r="Q843" s="726" t="n">
        <v>-1</v>
      </c>
      <c r="R843" s="764" t="n">
        <v>481.2</v>
      </c>
      <c r="S843" s="719" t="inlineStr">
        <is>
          <t>1H 14M 0S</t>
        </is>
      </c>
      <c r="T843" s="728" t="n"/>
      <c r="U843" s="729" t="n"/>
      <c r="V843" s="730" t="n"/>
      <c r="W843" s="731" t="n"/>
      <c r="X843" s="732" t="n"/>
      <c r="Y843" s="728" t="n"/>
      <c r="Z843" s="729" t="n"/>
      <c r="AA843" s="730" t="n"/>
      <c r="AB843" s="731" t="n"/>
      <c r="AC843" s="732" t="n"/>
      <c r="AD843" s="719" t="inlineStr">
        <is>
          <t>No</t>
        </is>
      </c>
      <c r="AE843" s="733" t="n"/>
      <c r="AF843" s="733" t="n"/>
      <c r="AG843" s="733" t="n"/>
      <c r="AH843" s="733" t="n"/>
      <c r="AI843" s="719" t="inlineStr">
        <is>
          <t>Limit</t>
        </is>
      </c>
      <c r="AJ843" s="733" t="n"/>
      <c r="AK843" s="733" t="n"/>
      <c r="AL843" s="733" t="n"/>
      <c r="AM843" s="733" t="n"/>
      <c r="AN843" s="733" t="n"/>
      <c r="AO843" s="733" t="n"/>
      <c r="AP843" s="719" t="inlineStr">
        <is>
          <t>Pullback</t>
        </is>
      </c>
      <c r="AQ843" s="719" t="inlineStr">
        <is>
          <t>4H</t>
        </is>
      </c>
      <c r="AR843" s="719" t="inlineStr">
        <is>
          <t>No</t>
        </is>
      </c>
      <c r="AS843" s="782" t="n"/>
      <c r="AT843" s="733" t="n"/>
      <c r="AU843" s="719" t="n"/>
      <c r="AV843" s="719" t="n"/>
      <c r="AW843" s="719" t="inlineStr">
        <is>
          <t>trade</t>
        </is>
      </c>
      <c r="AX843" s="734" t="inlineStr">
        <is>
          <t>sig:462bee88280be4cd740a3678</t>
        </is>
      </c>
    </row>
    <row r="844" ht="15" customHeight="1">
      <c r="A844" s="42" t="n"/>
      <c r="B844" s="770" t="n">
        <v>43784</v>
      </c>
      <c r="C844" s="771" t="n">
        <v>43784</v>
      </c>
      <c r="D844" s="12" t="inlineStr">
        <is>
          <t>PEPPERSTONE LIVE</t>
        </is>
      </c>
      <c r="E844" s="12" t="inlineStr">
        <is>
          <t>CASHFLOW</t>
        </is>
      </c>
      <c r="F844" s="12" t="inlineStr">
        <is>
          <t>DEPOSIT</t>
        </is>
      </c>
      <c r="G844" s="262" t="n"/>
      <c r="H844" s="262" t="n"/>
      <c r="I844" s="262" t="n"/>
      <c r="J844" s="263" t="n"/>
      <c r="K844" s="36" t="n"/>
      <c r="L844" s="263" t="n"/>
      <c r="M844" s="36" t="n"/>
      <c r="N844" s="772" t="n"/>
      <c r="O844" s="773" t="n"/>
      <c r="P844" s="3" t="n"/>
      <c r="Q844" s="51" t="n"/>
      <c r="R844" s="54" t="n">
        <v>500</v>
      </c>
      <c r="S844" s="12" t="n"/>
      <c r="T844" s="770" t="n"/>
      <c r="U844" s="4" t="n"/>
      <c r="V844" s="264" t="n"/>
      <c r="W844" s="9" t="n"/>
      <c r="X844" s="46" t="n"/>
      <c r="Y844" s="774" t="n"/>
      <c r="Z844" s="6" t="n"/>
      <c r="AA844" s="264" t="n"/>
      <c r="AB844" s="9" t="n"/>
      <c r="AC844" s="46" t="n"/>
      <c r="AD844" s="12" t="inlineStr">
        <is>
          <t>No</t>
        </is>
      </c>
      <c r="AE844" s="45" t="n"/>
      <c r="AF844" s="45" t="n"/>
      <c r="AG844" s="45" t="n"/>
      <c r="AH844" s="45" t="n"/>
      <c r="AI844" s="12" t="n"/>
      <c r="AJ844" s="45" t="n"/>
      <c r="AK844" s="45" t="n"/>
      <c r="AL844" s="45" t="n"/>
      <c r="AM844" s="45" t="n"/>
      <c r="AN844" s="45" t="n"/>
      <c r="AO844" s="45" t="n"/>
      <c r="AP844" s="12" t="n"/>
      <c r="AQ844" s="12" t="n"/>
      <c r="AR844" s="12" t="n"/>
      <c r="AS844" s="56" t="inlineStr">
        <is>
          <t>Deposit 500.0 AUD. Source: screenshot_ocr. Imported from account_cashflows.xlsx row 84.</t>
        </is>
      </c>
      <c r="AT844" s="45" t="n"/>
      <c r="AU844" s="12" t="n">
        <v>500</v>
      </c>
      <c r="AV844" s="12" t="inlineStr">
        <is>
          <t>AUD</t>
        </is>
      </c>
      <c r="AW844" s="12" t="inlineStr">
        <is>
          <t>cashflow</t>
        </is>
      </c>
      <c r="AX844" s="57" t="inlineStr">
        <is>
          <t>cashflow:PEPPERSTONE LIVE:2019-11-15T00:00:00:5</t>
        </is>
      </c>
    </row>
    <row r="845" ht="15" customHeight="1">
      <c r="A845" s="716" t="inlineStr">
        <is>
          <t>F682</t>
        </is>
      </c>
      <c r="B845" s="717" t="n">
        <v>43781.16944444444</v>
      </c>
      <c r="C845" s="718" t="n">
        <v>43783.03958333333</v>
      </c>
      <c r="D845" s="719" t="inlineStr">
        <is>
          <t>PEPPERSTONE DEMO</t>
        </is>
      </c>
      <c r="E845" s="719" t="inlineStr">
        <is>
          <t>GBPCAD</t>
        </is>
      </c>
      <c r="F845" s="719" t="inlineStr">
        <is>
          <t>BUY</t>
        </is>
      </c>
      <c r="G845" s="735" t="n">
        <v>0.01</v>
      </c>
      <c r="H845" s="720" t="n">
        <v>1.6992</v>
      </c>
      <c r="I845" s="720" t="n">
        <v>1.6992</v>
      </c>
      <c r="J845" s="721" t="n">
        <v>1.6952</v>
      </c>
      <c r="K845" s="722" t="n">
        <v>0.002354048964218458</v>
      </c>
      <c r="L845" s="721" t="n">
        <v>1.7072</v>
      </c>
      <c r="M845" s="722" t="n">
        <v>0.004708097928436916</v>
      </c>
      <c r="N845" s="761" t="n">
        <v>0.2</v>
      </c>
      <c r="O845" s="762" t="n">
        <v>-0.2</v>
      </c>
      <c r="P845" s="763" t="n">
        <v>-0.0004100041000410004</v>
      </c>
      <c r="Q845" s="726" t="n">
        <v>0</v>
      </c>
      <c r="R845" s="764" t="n">
        <v>487.6</v>
      </c>
      <c r="S845" s="719" t="inlineStr">
        <is>
          <t>1D 20H 53M 0S</t>
        </is>
      </c>
      <c r="T845" s="717" t="n">
        <v>43782.75208333333</v>
      </c>
      <c r="U845" s="806" t="inlineStr">
        <is>
          <t>1D 13H 59M 0S</t>
        </is>
      </c>
      <c r="V845" s="730" t="n"/>
      <c r="W845" s="731" t="n"/>
      <c r="X845" s="732" t="n"/>
      <c r="Y845" s="728" t="n"/>
      <c r="Z845" s="729" t="n"/>
      <c r="AA845" s="730" t="n"/>
      <c r="AB845" s="731" t="n"/>
      <c r="AC845" s="732" t="n"/>
      <c r="AD845" s="719" t="inlineStr">
        <is>
          <t>No</t>
        </is>
      </c>
      <c r="AE845" s="733" t="n"/>
      <c r="AF845" s="733" t="n"/>
      <c r="AG845" s="733" t="n"/>
      <c r="AH845" s="733" t="n"/>
      <c r="AI845" s="719" t="inlineStr">
        <is>
          <t>Limit</t>
        </is>
      </c>
      <c r="AJ845" s="733" t="n"/>
      <c r="AK845" s="733" t="n"/>
      <c r="AL845" s="733" t="n"/>
      <c r="AM845" s="733" t="n"/>
      <c r="AN845" s="733" t="n"/>
      <c r="AO845" s="733" t="n"/>
      <c r="AP845" s="719" t="inlineStr">
        <is>
          <t>Pullback</t>
        </is>
      </c>
      <c r="AQ845" s="719" t="inlineStr">
        <is>
          <t>4H</t>
        </is>
      </c>
      <c r="AR845" s="719" t="inlineStr">
        <is>
          <t>No</t>
        </is>
      </c>
      <c r="AS845" s="733" t="n"/>
      <c r="AT845" s="733" t="n"/>
      <c r="AU845" s="733" t="n"/>
      <c r="AV845" s="733" t="n"/>
      <c r="AW845" s="719" t="inlineStr">
        <is>
          <t>trade</t>
        </is>
      </c>
      <c r="AX845" s="734" t="inlineStr">
        <is>
          <t>sig:dd5c5b6a40eacdc52e331190</t>
        </is>
      </c>
    </row>
    <row r="846" ht="15" customHeight="1">
      <c r="A846" s="716" t="inlineStr">
        <is>
          <t>F681</t>
        </is>
      </c>
      <c r="B846" s="717" t="n">
        <v>43780.65208333333</v>
      </c>
      <c r="C846" s="718" t="n">
        <v>43781.10416666666</v>
      </c>
      <c r="D846" s="719" t="inlineStr">
        <is>
          <t>PEPPERSTONE DEMO</t>
        </is>
      </c>
      <c r="E846" s="719" t="inlineStr">
        <is>
          <t>EURAUD</t>
        </is>
      </c>
      <c r="F846" s="719" t="inlineStr">
        <is>
          <t>SELL</t>
        </is>
      </c>
      <c r="G846" s="735" t="n">
        <v>0.01</v>
      </c>
      <c r="H846" s="720" t="n">
        <v>1.6078</v>
      </c>
      <c r="I846" s="720" t="n">
        <v>1.6116</v>
      </c>
      <c r="J846" s="721" t="n">
        <v>1.6116</v>
      </c>
      <c r="K846" s="722" t="n">
        <v>0.002363478044532918</v>
      </c>
      <c r="L846" s="721" t="n">
        <v>1.6002</v>
      </c>
      <c r="M846" s="722" t="n">
        <v>0.004726956089065698</v>
      </c>
      <c r="N846" s="788" t="n"/>
      <c r="O846" s="762" t="n">
        <v>-3.8</v>
      </c>
      <c r="P846" s="725" t="n">
        <v>-0.007729861676159478</v>
      </c>
      <c r="Q846" s="726" t="n">
        <v>-1</v>
      </c>
      <c r="R846" s="764" t="n">
        <v>487.8</v>
      </c>
      <c r="S846" s="719" t="inlineStr">
        <is>
          <t>10H 51M 0S</t>
        </is>
      </c>
      <c r="T846" s="728" t="n"/>
      <c r="U846" s="729" t="n"/>
      <c r="V846" s="730" t="n"/>
      <c r="W846" s="731" t="n"/>
      <c r="X846" s="732" t="n"/>
      <c r="Y846" s="728" t="n"/>
      <c r="Z846" s="729" t="n"/>
      <c r="AA846" s="730" t="n"/>
      <c r="AB846" s="731" t="n"/>
      <c r="AC846" s="732" t="n"/>
      <c r="AD846" s="719" t="inlineStr">
        <is>
          <t>No</t>
        </is>
      </c>
      <c r="AE846" s="733" t="n"/>
      <c r="AF846" s="733" t="n"/>
      <c r="AG846" s="733" t="n"/>
      <c r="AH846" s="733" t="n"/>
      <c r="AI846" s="719" t="inlineStr">
        <is>
          <t>Limit</t>
        </is>
      </c>
      <c r="AJ846" s="733" t="n"/>
      <c r="AK846" s="733" t="n"/>
      <c r="AL846" s="733" t="n"/>
      <c r="AM846" s="733" t="n"/>
      <c r="AN846" s="733" t="n"/>
      <c r="AO846" s="733" t="n"/>
      <c r="AP846" s="719" t="inlineStr">
        <is>
          <t>Pullback</t>
        </is>
      </c>
      <c r="AQ846" s="719" t="inlineStr">
        <is>
          <t>4H</t>
        </is>
      </c>
      <c r="AR846" s="719" t="inlineStr">
        <is>
          <t>No</t>
        </is>
      </c>
      <c r="AS846" s="733" t="n"/>
      <c r="AT846" s="733" t="n"/>
      <c r="AU846" s="733" t="n"/>
      <c r="AV846" s="733" t="n"/>
      <c r="AW846" s="719" t="inlineStr">
        <is>
          <t>trade</t>
        </is>
      </c>
      <c r="AX846" s="734" t="inlineStr">
        <is>
          <t>sig:706ce6bc4a9cb17fcb3b5c45</t>
        </is>
      </c>
    </row>
    <row r="847" ht="15" customHeight="1">
      <c r="A847" s="716" t="inlineStr">
        <is>
          <t>F680</t>
        </is>
      </c>
      <c r="B847" s="717" t="n">
        <v>43777.66666666666</v>
      </c>
      <c r="C847" s="718" t="n">
        <v>43778.04166666666</v>
      </c>
      <c r="D847" s="719" t="inlineStr">
        <is>
          <t>PEPPERSTONE DEMO</t>
        </is>
      </c>
      <c r="E847" s="719" t="inlineStr">
        <is>
          <t>AUDCHF</t>
        </is>
      </c>
      <c r="F847" s="719" t="inlineStr">
        <is>
          <t>BUY</t>
        </is>
      </c>
      <c r="G847" s="735" t="n">
        <v>0.01</v>
      </c>
      <c r="H847" s="720" t="n">
        <v>0.6846</v>
      </c>
      <c r="I847" s="720" t="n">
        <v>0.6823</v>
      </c>
      <c r="J847" s="721" t="n">
        <v>0.6823</v>
      </c>
      <c r="K847" s="722" t="n">
        <v>0.003359626059012516</v>
      </c>
      <c r="L847" s="721" t="n">
        <v>0.6892</v>
      </c>
      <c r="M847" s="722" t="n">
        <v>0.006719252118025195</v>
      </c>
      <c r="N847" s="761" t="n"/>
      <c r="O847" s="762" t="n">
        <v>-3.37</v>
      </c>
      <c r="P847" s="725" t="n">
        <v>-0.006808493444047114</v>
      </c>
      <c r="Q847" s="726" t="n">
        <v>-1</v>
      </c>
      <c r="R847" s="764" t="n">
        <v>491.6</v>
      </c>
      <c r="S847" s="719" t="inlineStr">
        <is>
          <t>9H 0M 0S</t>
        </is>
      </c>
      <c r="T847" s="728" t="n"/>
      <c r="U847" s="729" t="n"/>
      <c r="V847" s="730" t="n"/>
      <c r="W847" s="731" t="n"/>
      <c r="X847" s="732" t="n"/>
      <c r="Y847" s="728" t="n"/>
      <c r="Z847" s="729" t="n"/>
      <c r="AA847" s="730" t="n"/>
      <c r="AB847" s="731" t="n"/>
      <c r="AC847" s="732" t="n"/>
      <c r="AD847" s="719" t="inlineStr">
        <is>
          <t>No</t>
        </is>
      </c>
      <c r="AE847" s="733" t="n"/>
      <c r="AF847" s="733" t="n"/>
      <c r="AG847" s="733" t="n"/>
      <c r="AH847" s="733" t="n"/>
      <c r="AI847" s="719" t="inlineStr">
        <is>
          <t>Market</t>
        </is>
      </c>
      <c r="AJ847" s="733" t="n"/>
      <c r="AK847" s="733" t="n"/>
      <c r="AL847" s="733" t="n"/>
      <c r="AM847" s="733" t="n"/>
      <c r="AN847" s="733" t="n"/>
      <c r="AO847" s="733" t="n"/>
      <c r="AP847" s="719" t="inlineStr">
        <is>
          <t>Pullback</t>
        </is>
      </c>
      <c r="AQ847" s="719" t="inlineStr">
        <is>
          <t>4H</t>
        </is>
      </c>
      <c r="AR847" s="719" t="inlineStr">
        <is>
          <t>No</t>
        </is>
      </c>
      <c r="AS847" s="733" t="n"/>
      <c r="AT847" s="733" t="n"/>
      <c r="AU847" s="733" t="n"/>
      <c r="AV847" s="733" t="n"/>
      <c r="AW847" s="719" t="inlineStr">
        <is>
          <t>trade</t>
        </is>
      </c>
      <c r="AX847" s="734" t="inlineStr">
        <is>
          <t>sig:2d4bce40acedd73e8d2433f8</t>
        </is>
      </c>
    </row>
    <row r="848" ht="15" customHeight="1">
      <c r="A848" s="737" t="inlineStr">
        <is>
          <t>F679</t>
        </is>
      </c>
      <c r="B848" s="738" t="n">
        <v>43777.06527777778</v>
      </c>
      <c r="C848" s="739" t="n">
        <v>43777.62916666667</v>
      </c>
      <c r="D848" s="740" t="inlineStr">
        <is>
          <t>PEPPERSTONE DEMO</t>
        </is>
      </c>
      <c r="E848" s="740" t="inlineStr">
        <is>
          <t>EURNZD</t>
        </is>
      </c>
      <c r="F848" s="740" t="inlineStr">
        <is>
          <t>SELL</t>
        </is>
      </c>
      <c r="G848" s="775" t="n">
        <v>0.01</v>
      </c>
      <c r="H848" s="742" t="n">
        <v>1.7375</v>
      </c>
      <c r="I848" s="742" t="n">
        <v>1.7375</v>
      </c>
      <c r="J848" s="743" t="n">
        <v>1.7417</v>
      </c>
      <c r="K848" s="744" t="n">
        <v>0.002417266187050349</v>
      </c>
      <c r="L848" s="743" t="n">
        <v>1.7291</v>
      </c>
      <c r="M848" s="744" t="n">
        <v>0.004834532374100698</v>
      </c>
      <c r="N848" s="808" t="n">
        <v>0.04</v>
      </c>
      <c r="O848" s="803" t="n">
        <v>0.04</v>
      </c>
      <c r="P848" s="768" t="n">
        <v>8.081950982967288e-05</v>
      </c>
      <c r="Q848" s="748" t="n">
        <v>0</v>
      </c>
      <c r="R848" s="769" t="n">
        <v>494.97</v>
      </c>
      <c r="S848" s="740" t="inlineStr">
        <is>
          <t>13H 32M 0S</t>
        </is>
      </c>
      <c r="T848" s="738" t="n">
        <v>43777.42291666667</v>
      </c>
      <c r="U848" s="809" t="inlineStr">
        <is>
          <t>8H 35M 0S</t>
        </is>
      </c>
      <c r="V848" s="752" t="n"/>
      <c r="W848" s="753" t="n"/>
      <c r="X848" s="754" t="n"/>
      <c r="Y848" s="750" t="n"/>
      <c r="Z848" s="751" t="n"/>
      <c r="AA848" s="752" t="n"/>
      <c r="AB848" s="753" t="n"/>
      <c r="AC848" s="754" t="n"/>
      <c r="AD848" s="740" t="inlineStr">
        <is>
          <t>No</t>
        </is>
      </c>
      <c r="AE848" s="755" t="n"/>
      <c r="AF848" s="755" t="n"/>
      <c r="AG848" s="755" t="n"/>
      <c r="AH848" s="755" t="n"/>
      <c r="AI848" s="740" t="inlineStr">
        <is>
          <t>Limit</t>
        </is>
      </c>
      <c r="AJ848" s="755" t="n"/>
      <c r="AK848" s="755" t="n"/>
      <c r="AL848" s="755" t="n"/>
      <c r="AM848" s="755" t="n"/>
      <c r="AN848" s="755" t="n"/>
      <c r="AO848" s="755" t="n"/>
      <c r="AP848" s="740" t="inlineStr">
        <is>
          <t>Pullback</t>
        </is>
      </c>
      <c r="AQ848" s="740" t="inlineStr">
        <is>
          <t>4H</t>
        </is>
      </c>
      <c r="AR848" s="740" t="inlineStr">
        <is>
          <t>No</t>
        </is>
      </c>
      <c r="AS848" s="755" t="n"/>
      <c r="AT848" s="755" t="n"/>
      <c r="AU848" s="755" t="n"/>
      <c r="AV848" s="755" t="n"/>
      <c r="AW848" s="740" t="inlineStr">
        <is>
          <t>trade</t>
        </is>
      </c>
      <c r="AX848" s="756" t="inlineStr">
        <is>
          <t>sig:7271436736cb4494220ce584</t>
        </is>
      </c>
    </row>
    <row r="849" ht="15" customHeight="1">
      <c r="A849" s="716" t="inlineStr">
        <is>
          <t>F678</t>
        </is>
      </c>
      <c r="B849" s="717" t="n">
        <v>43776.01597222222</v>
      </c>
      <c r="C849" s="718" t="n">
        <v>43776.11875</v>
      </c>
      <c r="D849" s="719" t="inlineStr">
        <is>
          <t>PEPPERSTONE DEMO</t>
        </is>
      </c>
      <c r="E849" s="719" t="inlineStr">
        <is>
          <t>AUDJPY</t>
        </is>
      </c>
      <c r="F849" s="719" t="inlineStr">
        <is>
          <t>BUY</t>
        </is>
      </c>
      <c r="G849" s="735" t="n">
        <v>0.02</v>
      </c>
      <c r="H849" s="720" t="n">
        <v>75.17</v>
      </c>
      <c r="I849" s="720" t="n">
        <v>74.98699999999999</v>
      </c>
      <c r="J849" s="721" t="n">
        <v>74.98</v>
      </c>
      <c r="K849" s="722" t="n">
        <v>0.002527604097379243</v>
      </c>
      <c r="L849" s="721" t="n">
        <v>75.55</v>
      </c>
      <c r="M849" s="722" t="n">
        <v>0.005055208194758487</v>
      </c>
      <c r="N849" s="761" t="n"/>
      <c r="O849" s="762" t="n">
        <v>-5.07</v>
      </c>
      <c r="P849" s="725" t="n">
        <v>-0.01014</v>
      </c>
      <c r="Q849" s="726" t="n">
        <v>-0.9631578947368902</v>
      </c>
      <c r="R849" s="764" t="n">
        <v>494.93</v>
      </c>
      <c r="S849" s="719" t="inlineStr">
        <is>
          <t>2H 28M 0S</t>
        </is>
      </c>
      <c r="T849" s="728" t="n"/>
      <c r="U849" s="729" t="n"/>
      <c r="V849" s="730" t="n"/>
      <c r="W849" s="731" t="n"/>
      <c r="X849" s="732" t="n"/>
      <c r="Y849" s="728" t="n"/>
      <c r="Z849" s="729" t="n"/>
      <c r="AA849" s="730" t="n"/>
      <c r="AB849" s="731" t="n"/>
      <c r="AC849" s="732" t="n"/>
      <c r="AD849" s="719" t="inlineStr">
        <is>
          <t>No</t>
        </is>
      </c>
      <c r="AE849" s="733" t="n"/>
      <c r="AF849" s="733" t="n"/>
      <c r="AG849" s="733" t="n"/>
      <c r="AH849" s="733" t="n"/>
      <c r="AI849" s="719" t="inlineStr">
        <is>
          <t>Market</t>
        </is>
      </c>
      <c r="AJ849" s="733" t="n"/>
      <c r="AK849" s="733" t="n"/>
      <c r="AL849" s="733" t="n"/>
      <c r="AM849" s="733" t="n"/>
      <c r="AN849" s="733" t="n"/>
      <c r="AO849" s="733" t="n"/>
      <c r="AP849" s="719" t="inlineStr">
        <is>
          <t>Pullback</t>
        </is>
      </c>
      <c r="AQ849" s="719" t="inlineStr">
        <is>
          <t>4H</t>
        </is>
      </c>
      <c r="AR849" s="719" t="inlineStr">
        <is>
          <t>No</t>
        </is>
      </c>
      <c r="AS849" s="733" t="n"/>
      <c r="AT849" s="733" t="n"/>
      <c r="AU849" s="733" t="n"/>
      <c r="AV849" s="733" t="n"/>
      <c r="AW849" s="719" t="inlineStr">
        <is>
          <t>trade</t>
        </is>
      </c>
      <c r="AX849" s="734" t="inlineStr">
        <is>
          <t>sig:f31407228bd7487b7eeb269e</t>
        </is>
      </c>
    </row>
    <row r="850" ht="15" customHeight="1">
      <c r="A850" s="42" t="n"/>
      <c r="B850" s="770" t="n">
        <v>43772</v>
      </c>
      <c r="C850" s="771" t="n">
        <v>43772</v>
      </c>
      <c r="D850" s="12" t="inlineStr">
        <is>
          <t>PEPPERSTONE DEMO</t>
        </is>
      </c>
      <c r="E850" s="12" t="inlineStr">
        <is>
          <t>CASHFLOW</t>
        </is>
      </c>
      <c r="F850" s="12" t="inlineStr">
        <is>
          <t>WITHDRAWAL</t>
        </is>
      </c>
      <c r="G850" s="262" t="n"/>
      <c r="H850" s="262" t="n"/>
      <c r="I850" s="262" t="n"/>
      <c r="J850" s="263" t="n"/>
      <c r="K850" s="36" t="n"/>
      <c r="L850" s="263" t="n"/>
      <c r="M850" s="36" t="n"/>
      <c r="N850" s="779" t="n"/>
      <c r="O850" s="773" t="n"/>
      <c r="P850" s="3" t="n"/>
      <c r="Q850" s="51" t="n"/>
      <c r="R850" s="54" t="n">
        <v>0</v>
      </c>
      <c r="S850" s="12" t="n"/>
      <c r="T850" s="774" t="n"/>
      <c r="U850" s="6" t="n"/>
      <c r="V850" s="264" t="n"/>
      <c r="W850" s="9" t="n"/>
      <c r="X850" s="46" t="n"/>
      <c r="Y850" s="774" t="n"/>
      <c r="Z850" s="6" t="n"/>
      <c r="AA850" s="264" t="n"/>
      <c r="AB850" s="9" t="n"/>
      <c r="AC850" s="46" t="n"/>
      <c r="AD850" s="12" t="inlineStr">
        <is>
          <t>No</t>
        </is>
      </c>
      <c r="AE850" s="45" t="n"/>
      <c r="AF850" s="45" t="n"/>
      <c r="AG850" s="45" t="n"/>
      <c r="AH850" s="45" t="n"/>
      <c r="AI850" s="12" t="n"/>
      <c r="AJ850" s="45" t="n"/>
      <c r="AK850" s="45" t="n"/>
      <c r="AL850" s="45" t="n"/>
      <c r="AM850" s="45" t="n"/>
      <c r="AN850" s="45" t="n"/>
      <c r="AO850" s="45" t="n"/>
      <c r="AP850" s="12" t="n"/>
      <c r="AQ850" s="12" t="n"/>
      <c r="AR850" s="12" t="n"/>
      <c r="AS850" s="56" t="inlineStr">
        <is>
          <t>Withdrawal -522.38 AUD. Source: user_txt. Imported from account_cashflows.xlsx row 47.</t>
        </is>
      </c>
      <c r="AT850" s="45" t="n"/>
      <c r="AU850" s="12" t="n">
        <v>0</v>
      </c>
      <c r="AV850" s="12" t="inlineStr">
        <is>
          <t>AUD</t>
        </is>
      </c>
      <c r="AW850" s="12" t="inlineStr">
        <is>
          <t>cashflow</t>
        </is>
      </c>
      <c r="AX850" s="57" t="inlineStr">
        <is>
          <t>cashflow:PEPPERSTONE DEMO:2019-11-03T00:00:00:33</t>
        </is>
      </c>
    </row>
    <row r="851" ht="15" customHeight="1">
      <c r="A851" s="42" t="n"/>
      <c r="B851" s="770" t="n">
        <v>43772</v>
      </c>
      <c r="C851" s="771" t="n">
        <v>43772</v>
      </c>
      <c r="D851" s="12" t="inlineStr">
        <is>
          <t>PEPPERSTONE DEMO</t>
        </is>
      </c>
      <c r="E851" s="12" t="inlineStr">
        <is>
          <t>CASHFLOW</t>
        </is>
      </c>
      <c r="F851" s="12" t="inlineStr">
        <is>
          <t>DEPOSIT</t>
        </is>
      </c>
      <c r="G851" s="262" t="n"/>
      <c r="H851" s="262" t="n"/>
      <c r="I851" s="262" t="n"/>
      <c r="J851" s="263" t="n"/>
      <c r="K851" s="36" t="n"/>
      <c r="L851" s="263" t="n"/>
      <c r="M851" s="36" t="n"/>
      <c r="N851" s="772" t="n"/>
      <c r="O851" s="773" t="n"/>
      <c r="P851" s="3" t="n"/>
      <c r="Q851" s="51" t="n"/>
      <c r="R851" s="54" t="n">
        <v>500</v>
      </c>
      <c r="S851" s="12" t="n"/>
      <c r="T851" s="770" t="n"/>
      <c r="U851" s="4" t="n"/>
      <c r="V851" s="264" t="n"/>
      <c r="W851" s="9" t="n"/>
      <c r="X851" s="46" t="n"/>
      <c r="Y851" s="774" t="n"/>
      <c r="Z851" s="6" t="n"/>
      <c r="AA851" s="264" t="n"/>
      <c r="AB851" s="9" t="n"/>
      <c r="AC851" s="46" t="n"/>
      <c r="AD851" s="12" t="inlineStr">
        <is>
          <t>No</t>
        </is>
      </c>
      <c r="AE851" s="45" t="n"/>
      <c r="AF851" s="45" t="n"/>
      <c r="AG851" s="45" t="n"/>
      <c r="AH851" s="45" t="n"/>
      <c r="AI851" s="12" t="n"/>
      <c r="AJ851" s="45" t="n"/>
      <c r="AK851" s="45" t="n"/>
      <c r="AL851" s="45" t="n"/>
      <c r="AM851" s="45" t="n"/>
      <c r="AN851" s="45" t="n"/>
      <c r="AO851" s="45" t="n"/>
      <c r="AP851" s="12" t="n"/>
      <c r="AQ851" s="12" t="n"/>
      <c r="AR851" s="12" t="n"/>
      <c r="AS851" s="56" t="inlineStr">
        <is>
          <t>Deposit 500.0 AUD. Source: user_txt. Imported from account_cashflows.xlsx row 48.</t>
        </is>
      </c>
      <c r="AT851" s="45" t="n"/>
      <c r="AU851" s="12" t="n">
        <v>500</v>
      </c>
      <c r="AV851" s="12" t="inlineStr">
        <is>
          <t>AUD</t>
        </is>
      </c>
      <c r="AW851" s="12" t="inlineStr">
        <is>
          <t>cashflow</t>
        </is>
      </c>
      <c r="AX851" s="57" t="inlineStr">
        <is>
          <t>cashflow:PEPPERSTONE DEMO:2019-11-03T00:00:00:34</t>
        </is>
      </c>
    </row>
    <row r="852" ht="15" customHeight="1">
      <c r="A852" s="737" t="inlineStr">
        <is>
          <t>F676</t>
        </is>
      </c>
      <c r="B852" s="738" t="n">
        <v>43770.13333333333</v>
      </c>
      <c r="C852" s="739" t="n">
        <v>43771.25069444445</v>
      </c>
      <c r="D852" s="740" t="inlineStr">
        <is>
          <t>PEPPERSTONE DEMO</t>
        </is>
      </c>
      <c r="E852" s="740" t="inlineStr">
        <is>
          <t>AUDCAD</t>
        </is>
      </c>
      <c r="F852" s="740" t="inlineStr">
        <is>
          <t>BUY</t>
        </is>
      </c>
      <c r="G852" s="775" t="n">
        <v>0.01</v>
      </c>
      <c r="H852" s="742" t="n">
        <v>0.9064</v>
      </c>
      <c r="I852" s="742" t="n">
        <v>0.90862</v>
      </c>
      <c r="J852" s="743" t="n">
        <v>0.9033</v>
      </c>
      <c r="K852" s="744" t="n">
        <v>0.003420123565754625</v>
      </c>
      <c r="L852" s="743" t="n">
        <v>0.9126</v>
      </c>
      <c r="M852" s="744" t="n">
        <v>0.006840247131509249</v>
      </c>
      <c r="N852" s="808" t="n">
        <v>0.01</v>
      </c>
      <c r="O852" s="767" t="n">
        <v>2.37</v>
      </c>
      <c r="P852" s="747" t="n">
        <v>0.004557604661448819</v>
      </c>
      <c r="Q852" s="748" t="n">
        <v>0.7161290322580663</v>
      </c>
      <c r="R852" s="769" t="n">
        <v>522.3799999999999</v>
      </c>
      <c r="S852" s="740" t="inlineStr">
        <is>
          <t>1D 2H 49M 0S</t>
        </is>
      </c>
      <c r="T852" s="738" t="n">
        <v>43771.02638888889</v>
      </c>
      <c r="U852" s="809" t="inlineStr">
        <is>
          <t>21H 26M 0S</t>
        </is>
      </c>
      <c r="V852" s="752" t="n"/>
      <c r="W852" s="753" t="n"/>
      <c r="X852" s="754" t="n"/>
      <c r="Y852" s="750" t="n"/>
      <c r="Z852" s="751" t="n"/>
      <c r="AA852" s="752" t="n"/>
      <c r="AB852" s="753" t="n"/>
      <c r="AC852" s="754" t="n"/>
      <c r="AD852" s="740" t="inlineStr">
        <is>
          <t>No</t>
        </is>
      </c>
      <c r="AE852" s="755" t="n"/>
      <c r="AF852" s="755" t="n"/>
      <c r="AG852" s="755" t="n"/>
      <c r="AH852" s="755" t="n"/>
      <c r="AI852" s="740" t="inlineStr">
        <is>
          <t>Market</t>
        </is>
      </c>
      <c r="AJ852" s="755" t="n"/>
      <c r="AK852" s="755" t="n"/>
      <c r="AL852" s="755" t="n"/>
      <c r="AM852" s="755" t="n"/>
      <c r="AN852" s="755" t="n"/>
      <c r="AO852" s="755" t="n"/>
      <c r="AP852" s="740" t="inlineStr">
        <is>
          <t>Pullback</t>
        </is>
      </c>
      <c r="AQ852" s="740" t="inlineStr">
        <is>
          <t>4H</t>
        </is>
      </c>
      <c r="AR852" s="740" t="inlineStr">
        <is>
          <t>No</t>
        </is>
      </c>
      <c r="AS852" s="755" t="n"/>
      <c r="AT852" s="755" t="n"/>
      <c r="AU852" s="755" t="n"/>
      <c r="AV852" s="755" t="n"/>
      <c r="AW852" s="740" t="inlineStr">
        <is>
          <t>trade</t>
        </is>
      </c>
      <c r="AX852" s="756" t="inlineStr">
        <is>
          <t>sig:4a7a8395f0520c85ec5f0637</t>
        </is>
      </c>
    </row>
    <row r="853" ht="15" customHeight="1">
      <c r="A853" s="716" t="inlineStr">
        <is>
          <t>F677</t>
        </is>
      </c>
      <c r="B853" s="717" t="n">
        <v>43770.46180555555</v>
      </c>
      <c r="C853" s="718" t="n">
        <v>43770.9375</v>
      </c>
      <c r="D853" s="719" t="inlineStr">
        <is>
          <t>PEPPERSTONE DEMO</t>
        </is>
      </c>
      <c r="E853" s="719" t="inlineStr">
        <is>
          <t>EURCHF</t>
        </is>
      </c>
      <c r="F853" s="719" t="inlineStr">
        <is>
          <t>SELL</t>
        </is>
      </c>
      <c r="G853" s="735" t="n">
        <v>0.02</v>
      </c>
      <c r="H853" s="720" t="n">
        <v>1.1003</v>
      </c>
      <c r="I853" s="720" t="n">
        <v>1.10186</v>
      </c>
      <c r="J853" s="721" t="n">
        <v>1.1018</v>
      </c>
      <c r="K853" s="722" t="n">
        <v>0.001363264564209611</v>
      </c>
      <c r="L853" s="721" t="n">
        <v>1.0973</v>
      </c>
      <c r="M853" s="722" t="n">
        <v>0.002726529128419625</v>
      </c>
      <c r="N853" s="788" t="n"/>
      <c r="O853" s="762" t="n">
        <v>-4.4</v>
      </c>
      <c r="P853" s="725" t="n">
        <v>-0.008390381571671024</v>
      </c>
      <c r="Q853" s="726" t="n">
        <v>-1.040000000000118</v>
      </c>
      <c r="R853" s="764" t="n">
        <v>520.0099999999999</v>
      </c>
      <c r="S853" s="719" t="inlineStr">
        <is>
          <t>11H 25M 0S</t>
        </is>
      </c>
      <c r="T853" s="728" t="n"/>
      <c r="U853" s="729" t="n"/>
      <c r="V853" s="730" t="n"/>
      <c r="W853" s="731" t="n"/>
      <c r="X853" s="732" t="n"/>
      <c r="Y853" s="728" t="n"/>
      <c r="Z853" s="729" t="n"/>
      <c r="AA853" s="730" t="n"/>
      <c r="AB853" s="731" t="n"/>
      <c r="AC853" s="732" t="n"/>
      <c r="AD853" s="719" t="inlineStr">
        <is>
          <t>No</t>
        </is>
      </c>
      <c r="AE853" s="733" t="n"/>
      <c r="AF853" s="733" t="n"/>
      <c r="AG853" s="733" t="n"/>
      <c r="AH853" s="733" t="n"/>
      <c r="AI853" s="719" t="inlineStr">
        <is>
          <t>Market</t>
        </is>
      </c>
      <c r="AJ853" s="733" t="n"/>
      <c r="AK853" s="733" t="n"/>
      <c r="AL853" s="733" t="n"/>
      <c r="AM853" s="733" t="n"/>
      <c r="AN853" s="733" t="n"/>
      <c r="AO853" s="733" t="n"/>
      <c r="AP853" s="719" t="inlineStr">
        <is>
          <t>Pullback</t>
        </is>
      </c>
      <c r="AQ853" s="719" t="inlineStr">
        <is>
          <t>4H</t>
        </is>
      </c>
      <c r="AR853" s="719" t="inlineStr">
        <is>
          <t>No</t>
        </is>
      </c>
      <c r="AS853" s="733" t="n"/>
      <c r="AT853" s="733" t="n"/>
      <c r="AU853" s="733" t="n"/>
      <c r="AV853" s="733" t="n"/>
      <c r="AW853" s="719" t="inlineStr">
        <is>
          <t>trade</t>
        </is>
      </c>
      <c r="AX853" s="734" t="inlineStr">
        <is>
          <t>sig:3532728b814a50c1de831945</t>
        </is>
      </c>
    </row>
    <row r="854" ht="15" customHeight="1">
      <c r="A854" s="737" t="inlineStr">
        <is>
          <t>F675</t>
        </is>
      </c>
      <c r="B854" s="738" t="n">
        <v>43768.44861111111</v>
      </c>
      <c r="C854" s="739" t="n">
        <v>43768.99305555555</v>
      </c>
      <c r="D854" s="740" t="inlineStr">
        <is>
          <t>PEPPERSTONE DEMO</t>
        </is>
      </c>
      <c r="E854" s="740" t="inlineStr">
        <is>
          <t>GBPCAD</t>
        </is>
      </c>
      <c r="F854" s="740" t="inlineStr">
        <is>
          <t>BUY</t>
        </is>
      </c>
      <c r="G854" s="775" t="n">
        <v>0.01</v>
      </c>
      <c r="H854" s="742" t="n">
        <v>1.6837</v>
      </c>
      <c r="I854" s="742" t="n">
        <v>1.68593</v>
      </c>
      <c r="J854" s="743" t="n">
        <v>1.6796</v>
      </c>
      <c r="K854" s="744" t="n">
        <v>0.002435113143671671</v>
      </c>
      <c r="L854" s="743" t="n">
        <v>1.6919</v>
      </c>
      <c r="M854" s="744" t="n">
        <v>0.004870226287343342</v>
      </c>
      <c r="N854" s="766" t="n"/>
      <c r="O854" s="767" t="n">
        <v>2.48</v>
      </c>
      <c r="P854" s="747" t="n">
        <v>0.00475159504148066</v>
      </c>
      <c r="Q854" s="748" t="n">
        <v>0.5439024390243801</v>
      </c>
      <c r="R854" s="769" t="n">
        <v>524.4099999999999</v>
      </c>
      <c r="S854" s="740" t="inlineStr">
        <is>
          <t>13H 4M 0S</t>
        </is>
      </c>
      <c r="T854" s="750" t="n"/>
      <c r="U854" s="751" t="n"/>
      <c r="V854" s="752" t="n"/>
      <c r="W854" s="753" t="n"/>
      <c r="X854" s="754" t="n"/>
      <c r="Y854" s="750" t="n"/>
      <c r="Z854" s="751" t="n"/>
      <c r="AA854" s="752" t="n"/>
      <c r="AB854" s="753" t="n"/>
      <c r="AC854" s="754" t="n"/>
      <c r="AD854" s="740" t="inlineStr">
        <is>
          <t>No</t>
        </is>
      </c>
      <c r="AE854" s="755" t="n"/>
      <c r="AF854" s="755" t="n"/>
      <c r="AG854" s="755" t="n"/>
      <c r="AH854" s="755" t="n"/>
      <c r="AI854" s="740" t="inlineStr">
        <is>
          <t>Limit</t>
        </is>
      </c>
      <c r="AJ854" s="755" t="n"/>
      <c r="AK854" s="755" t="n"/>
      <c r="AL854" s="755" t="n"/>
      <c r="AM854" s="755" t="n"/>
      <c r="AN854" s="755" t="n"/>
      <c r="AO854" s="755" t="n"/>
      <c r="AP854" s="740" t="inlineStr">
        <is>
          <t>Pullback</t>
        </is>
      </c>
      <c r="AQ854" s="740" t="inlineStr">
        <is>
          <t>4H</t>
        </is>
      </c>
      <c r="AR854" s="740" t="inlineStr">
        <is>
          <t>No</t>
        </is>
      </c>
      <c r="AS854" s="755" t="n"/>
      <c r="AT854" s="755" t="n"/>
      <c r="AU854" s="755" t="n"/>
      <c r="AV854" s="755" t="n"/>
      <c r="AW854" s="740" t="inlineStr">
        <is>
          <t>trade</t>
        </is>
      </c>
      <c r="AX854" s="756" t="inlineStr">
        <is>
          <t>sig:8adb9ec3d90f43c0f2812b36</t>
        </is>
      </c>
    </row>
    <row r="855" ht="15" customHeight="1">
      <c r="A855" s="716" t="inlineStr">
        <is>
          <t>F674</t>
        </is>
      </c>
      <c r="B855" s="717" t="n">
        <v>43767.97152777778</v>
      </c>
      <c r="C855" s="718" t="n">
        <v>43768.7</v>
      </c>
      <c r="D855" s="719" t="inlineStr">
        <is>
          <t>PEPPERSTONE DEMO</t>
        </is>
      </c>
      <c r="E855" s="719" t="inlineStr">
        <is>
          <t>NZDCHF</t>
        </is>
      </c>
      <c r="F855" s="719" t="inlineStr">
        <is>
          <t>BUY</t>
        </is>
      </c>
      <c r="G855" s="735" t="n">
        <v>0.02</v>
      </c>
      <c r="H855" s="720" t="n">
        <v>0.6317</v>
      </c>
      <c r="I855" s="720" t="n">
        <v>0.6302</v>
      </c>
      <c r="J855" s="721" t="n">
        <v>0.6302</v>
      </c>
      <c r="K855" s="722" t="n">
        <v>0.002374544878898301</v>
      </c>
      <c r="L855" s="721" t="n">
        <v>0.6347</v>
      </c>
      <c r="M855" s="722" t="n">
        <v>0.004749089757796426</v>
      </c>
      <c r="N855" s="792" t="n">
        <v>0.07000000000000001</v>
      </c>
      <c r="O855" s="762" t="n">
        <v>-4.33</v>
      </c>
      <c r="P855" s="725" t="n">
        <v>-0.008227872154448373</v>
      </c>
      <c r="Q855" s="726" t="n">
        <v>-1</v>
      </c>
      <c r="R855" s="764" t="n">
        <v>521.9299999999998</v>
      </c>
      <c r="S855" s="719" t="inlineStr">
        <is>
          <t>17H 29M 0S</t>
        </is>
      </c>
      <c r="T855" s="728" t="n"/>
      <c r="U855" s="729" t="n"/>
      <c r="V855" s="730" t="n"/>
      <c r="W855" s="731" t="n"/>
      <c r="X855" s="732" t="n"/>
      <c r="Y855" s="728" t="n"/>
      <c r="Z855" s="729" t="n"/>
      <c r="AA855" s="730" t="n"/>
      <c r="AB855" s="731" t="n"/>
      <c r="AC855" s="732" t="n"/>
      <c r="AD855" s="719" t="inlineStr">
        <is>
          <t>No</t>
        </is>
      </c>
      <c r="AE855" s="733" t="n"/>
      <c r="AF855" s="733" t="n"/>
      <c r="AG855" s="733" t="n"/>
      <c r="AH855" s="733" t="n"/>
      <c r="AI855" s="719" t="inlineStr">
        <is>
          <t>Limit</t>
        </is>
      </c>
      <c r="AJ855" s="733" t="n"/>
      <c r="AK855" s="733" t="n"/>
      <c r="AL855" s="733" t="n"/>
      <c r="AM855" s="733" t="n"/>
      <c r="AN855" s="733" t="n"/>
      <c r="AO855" s="733" t="n"/>
      <c r="AP855" s="719" t="inlineStr">
        <is>
          <t>Pullback</t>
        </is>
      </c>
      <c r="AQ855" s="719" t="inlineStr">
        <is>
          <t>4H</t>
        </is>
      </c>
      <c r="AR855" s="719" t="inlineStr">
        <is>
          <t>No</t>
        </is>
      </c>
      <c r="AS855" s="733" t="n"/>
      <c r="AT855" s="733" t="n"/>
      <c r="AU855" s="733" t="n"/>
      <c r="AV855" s="733" t="n"/>
      <c r="AW855" s="719" t="inlineStr">
        <is>
          <t>trade</t>
        </is>
      </c>
      <c r="AX855" s="734" t="inlineStr">
        <is>
          <t>sig:71efd39d90a396af255b6233</t>
        </is>
      </c>
    </row>
    <row r="856" ht="15" customHeight="1">
      <c r="A856" s="737" t="inlineStr">
        <is>
          <t>F673</t>
        </is>
      </c>
      <c r="B856" s="738" t="n">
        <v>43767.07916666667</v>
      </c>
      <c r="C856" s="739" t="n">
        <v>43767.97152777778</v>
      </c>
      <c r="D856" s="740" t="inlineStr">
        <is>
          <t>PEPPERSTONE DEMO</t>
        </is>
      </c>
      <c r="E856" s="740" t="inlineStr">
        <is>
          <t>EURCAD</t>
        </is>
      </c>
      <c r="F856" s="740" t="inlineStr">
        <is>
          <t>SELL</t>
        </is>
      </c>
      <c r="G856" s="775" t="n">
        <v>0.02</v>
      </c>
      <c r="H856" s="742" t="n">
        <v>1.4491</v>
      </c>
      <c r="I856" s="742" t="n">
        <v>1.4491</v>
      </c>
      <c r="J856" s="743" t="n">
        <v>1.4514</v>
      </c>
      <c r="K856" s="744" t="n">
        <v>0.001587192050238057</v>
      </c>
      <c r="L856" s="743" t="n">
        <v>1.4445</v>
      </c>
      <c r="M856" s="744" t="n">
        <v>0.003174384100476268</v>
      </c>
      <c r="N856" s="766" t="n">
        <v>0.16</v>
      </c>
      <c r="O856" s="767" t="n">
        <v>0.16</v>
      </c>
      <c r="P856" s="776" t="n">
        <v>0.0003041246911233607</v>
      </c>
      <c r="Q856" s="748" t="n">
        <v>0</v>
      </c>
      <c r="R856" s="769" t="n">
        <v>526.2599999999999</v>
      </c>
      <c r="S856" s="740" t="inlineStr">
        <is>
          <t>21H 25M 0S</t>
        </is>
      </c>
      <c r="T856" s="738" t="n">
        <v>43767.90902777778</v>
      </c>
      <c r="U856" s="809" t="inlineStr">
        <is>
          <t>19H 55M 0S</t>
        </is>
      </c>
      <c r="V856" s="752" t="n"/>
      <c r="W856" s="753" t="n"/>
      <c r="X856" s="754" t="n"/>
      <c r="Y856" s="750" t="n"/>
      <c r="Z856" s="751" t="n"/>
      <c r="AA856" s="752" t="n"/>
      <c r="AB856" s="753" t="n"/>
      <c r="AC856" s="754" t="n"/>
      <c r="AD856" s="740" t="inlineStr">
        <is>
          <t>No</t>
        </is>
      </c>
      <c r="AE856" s="755" t="n"/>
      <c r="AF856" s="755" t="n"/>
      <c r="AG856" s="755" t="n"/>
      <c r="AH856" s="755" t="n"/>
      <c r="AI856" s="740" t="inlineStr">
        <is>
          <t>Limit</t>
        </is>
      </c>
      <c r="AJ856" s="755" t="n"/>
      <c r="AK856" s="755" t="n"/>
      <c r="AL856" s="755" t="n"/>
      <c r="AM856" s="755" t="n"/>
      <c r="AN856" s="755" t="n"/>
      <c r="AO856" s="755" t="n"/>
      <c r="AP856" s="740" t="inlineStr">
        <is>
          <t>Pullback</t>
        </is>
      </c>
      <c r="AQ856" s="740" t="inlineStr">
        <is>
          <t>4H</t>
        </is>
      </c>
      <c r="AR856" s="740" t="inlineStr">
        <is>
          <t>No</t>
        </is>
      </c>
      <c r="AS856" s="755" t="n"/>
      <c r="AT856" s="755" t="n"/>
      <c r="AU856" s="755" t="n"/>
      <c r="AV856" s="755" t="n"/>
      <c r="AW856" s="740" t="inlineStr">
        <is>
          <t>trade</t>
        </is>
      </c>
      <c r="AX856" s="756" t="inlineStr">
        <is>
          <t>sig:59c77b35ecf35c58ff5a4ced</t>
        </is>
      </c>
    </row>
    <row r="857" ht="15" customHeight="1">
      <c r="A857" s="716" t="inlineStr">
        <is>
          <t>F672</t>
        </is>
      </c>
      <c r="B857" s="717" t="n">
        <v>43763.00833333333</v>
      </c>
      <c r="C857" s="718" t="n">
        <v>43763.77569444444</v>
      </c>
      <c r="D857" s="719" t="inlineStr">
        <is>
          <t>PEPPERSTONE DEMO</t>
        </is>
      </c>
      <c r="E857" s="719" t="inlineStr">
        <is>
          <t>NZDCHF</t>
        </is>
      </c>
      <c r="F857" s="719" t="inlineStr">
        <is>
          <t>BUY</t>
        </is>
      </c>
      <c r="G857" s="735" t="n">
        <v>0.02</v>
      </c>
      <c r="H857" s="720" t="n">
        <v>0.6328</v>
      </c>
      <c r="I857" s="720" t="n">
        <v>0.6313</v>
      </c>
      <c r="J857" s="721" t="n">
        <v>0.6313</v>
      </c>
      <c r="K857" s="722" t="n">
        <v>0.002370417193426133</v>
      </c>
      <c r="L857" s="721" t="n">
        <v>0.6358</v>
      </c>
      <c r="M857" s="722" t="n">
        <v>0.00474083438685209</v>
      </c>
      <c r="N857" s="792" t="n">
        <v>0.07000000000000001</v>
      </c>
      <c r="O857" s="762" t="n">
        <v>-4.36</v>
      </c>
      <c r="P857" s="725" t="n">
        <v>-0.008219281378426273</v>
      </c>
      <c r="Q857" s="726" t="n">
        <v>-1</v>
      </c>
      <c r="R857" s="764" t="n">
        <v>526.0999999999999</v>
      </c>
      <c r="S857" s="719" t="inlineStr">
        <is>
          <t>18H 25M 0S</t>
        </is>
      </c>
      <c r="T857" s="717" t="n"/>
      <c r="U857" s="806" t="n"/>
      <c r="V857" s="730" t="n"/>
      <c r="W857" s="731" t="n"/>
      <c r="X857" s="732" t="n"/>
      <c r="Y857" s="728" t="n"/>
      <c r="Z857" s="729" t="n"/>
      <c r="AA857" s="730" t="n"/>
      <c r="AB857" s="731" t="n"/>
      <c r="AC857" s="732" t="n"/>
      <c r="AD857" s="719" t="inlineStr">
        <is>
          <t>No</t>
        </is>
      </c>
      <c r="AE857" s="733" t="n"/>
      <c r="AF857" s="733" t="n"/>
      <c r="AG857" s="733" t="n"/>
      <c r="AH857" s="733" t="n"/>
      <c r="AI857" s="719" t="inlineStr">
        <is>
          <t>Limit</t>
        </is>
      </c>
      <c r="AJ857" s="733" t="n"/>
      <c r="AK857" s="733" t="n"/>
      <c r="AL857" s="733" t="n"/>
      <c r="AM857" s="733" t="n"/>
      <c r="AN857" s="733" t="n"/>
      <c r="AO857" s="733" t="n"/>
      <c r="AP857" s="719" t="inlineStr">
        <is>
          <t>Pullback</t>
        </is>
      </c>
      <c r="AQ857" s="719" t="inlineStr">
        <is>
          <t>4H</t>
        </is>
      </c>
      <c r="AR857" s="719" t="inlineStr">
        <is>
          <t>No</t>
        </is>
      </c>
      <c r="AS857" s="733" t="n"/>
      <c r="AT857" s="733" t="n"/>
      <c r="AU857" s="733" t="n"/>
      <c r="AV857" s="733" t="n"/>
      <c r="AW857" s="719" t="inlineStr">
        <is>
          <t>trade</t>
        </is>
      </c>
      <c r="AX857" s="734" t="inlineStr">
        <is>
          <t>sig:db4bc13815381a50d1a4dc41</t>
        </is>
      </c>
    </row>
    <row r="858" ht="15" customHeight="1">
      <c r="A858" s="716" t="inlineStr">
        <is>
          <t>F671</t>
        </is>
      </c>
      <c r="B858" s="717" t="n">
        <v>43762.97569444445</v>
      </c>
      <c r="C858" s="718" t="n">
        <v>43763.04236111111</v>
      </c>
      <c r="D858" s="719" t="inlineStr">
        <is>
          <t>PEPPERSTONE DEMO</t>
        </is>
      </c>
      <c r="E858" s="719" t="inlineStr">
        <is>
          <t>EURAUD</t>
        </is>
      </c>
      <c r="F858" s="719" t="inlineStr">
        <is>
          <t>BUY</t>
        </is>
      </c>
      <c r="G858" s="735" t="n">
        <v>0.02</v>
      </c>
      <c r="H858" s="720" t="n">
        <v>1.6295</v>
      </c>
      <c r="I858" s="720" t="n">
        <v>1.6269</v>
      </c>
      <c r="J858" s="721" t="n">
        <v>1.6269</v>
      </c>
      <c r="K858" s="722" t="n">
        <v>0.00159558146670754</v>
      </c>
      <c r="L858" s="721" t="n">
        <v>1.6347</v>
      </c>
      <c r="M858" s="722" t="n">
        <v>0.003191162933415215</v>
      </c>
      <c r="N858" s="788" t="n"/>
      <c r="O858" s="762" t="n">
        <v>-5.2</v>
      </c>
      <c r="P858" s="725" t="n">
        <v>-0.009707650375238025</v>
      </c>
      <c r="Q858" s="726" t="n">
        <v>-1</v>
      </c>
      <c r="R858" s="764" t="n">
        <v>530.4599999999999</v>
      </c>
      <c r="S858" s="719" t="inlineStr">
        <is>
          <t>1H 36M 0S</t>
        </is>
      </c>
      <c r="T858" s="728" t="n"/>
      <c r="U858" s="729" t="n"/>
      <c r="V858" s="730" t="n"/>
      <c r="W858" s="731" t="n"/>
      <c r="X858" s="732" t="n"/>
      <c r="Y858" s="728" t="n"/>
      <c r="Z858" s="729" t="n"/>
      <c r="AA858" s="730" t="n"/>
      <c r="AB858" s="731" t="n"/>
      <c r="AC858" s="732" t="n"/>
      <c r="AD858" s="719" t="inlineStr">
        <is>
          <t>No</t>
        </is>
      </c>
      <c r="AE858" s="733" t="n"/>
      <c r="AF858" s="733" t="n"/>
      <c r="AG858" s="733" t="n"/>
      <c r="AH858" s="733" t="n"/>
      <c r="AI858" s="719" t="inlineStr">
        <is>
          <t>Limit</t>
        </is>
      </c>
      <c r="AJ858" s="733" t="n"/>
      <c r="AK858" s="733" t="n"/>
      <c r="AL858" s="733" t="n"/>
      <c r="AM858" s="733" t="n"/>
      <c r="AN858" s="733" t="n"/>
      <c r="AO858" s="733" t="n"/>
      <c r="AP858" s="719" t="inlineStr">
        <is>
          <t>Pullback</t>
        </is>
      </c>
      <c r="AQ858" s="719" t="inlineStr">
        <is>
          <t>4H</t>
        </is>
      </c>
      <c r="AR858" s="719" t="inlineStr">
        <is>
          <t>No</t>
        </is>
      </c>
      <c r="AS858" s="733" t="n"/>
      <c r="AT858" s="733" t="n"/>
      <c r="AU858" s="733" t="n"/>
      <c r="AV858" s="733" t="n"/>
      <c r="AW858" s="719" t="inlineStr">
        <is>
          <t>trade</t>
        </is>
      </c>
      <c r="AX858" s="734" t="inlineStr">
        <is>
          <t>sig:09bc0728e77ba4d7ac69696f</t>
        </is>
      </c>
    </row>
    <row r="859" ht="15" customHeight="1">
      <c r="A859" s="716" t="inlineStr">
        <is>
          <t>F670</t>
        </is>
      </c>
      <c r="B859" s="717" t="n">
        <v>43761.62638888889</v>
      </c>
      <c r="C859" s="718" t="n">
        <v>43762.99166666667</v>
      </c>
      <c r="D859" s="719" t="inlineStr">
        <is>
          <t>PEPPERSTONE DEMO</t>
        </is>
      </c>
      <c r="E859" s="719" t="inlineStr">
        <is>
          <t>CHFJPY</t>
        </is>
      </c>
      <c r="F859" s="719" t="inlineStr">
        <is>
          <t>BUY</t>
        </is>
      </c>
      <c r="G859" s="735" t="n">
        <v>0.02</v>
      </c>
      <c r="H859" s="720" t="n">
        <v>109.5</v>
      </c>
      <c r="I859" s="720" t="n">
        <v>109.5</v>
      </c>
      <c r="J859" s="721" t="n">
        <v>109.31</v>
      </c>
      <c r="K859" s="722" t="n">
        <v>0.001735159817351577</v>
      </c>
      <c r="L859" s="721" t="n">
        <v>110.07</v>
      </c>
      <c r="M859" s="722" t="n">
        <v>0.005205479452054732</v>
      </c>
      <c r="N859" s="761" t="n">
        <v>0.24</v>
      </c>
      <c r="O859" s="762" t="n">
        <v>-0.24</v>
      </c>
      <c r="P859" s="763" t="n">
        <v>-0.0004478447471543198</v>
      </c>
      <c r="Q859" s="726" t="n">
        <v>0</v>
      </c>
      <c r="R859" s="764" t="n">
        <v>535.66</v>
      </c>
      <c r="S859" s="719" t="inlineStr">
        <is>
          <t>1D 8H 46M 0S</t>
        </is>
      </c>
      <c r="T859" s="717" t="n">
        <v>43762.71944444445</v>
      </c>
      <c r="U859" s="806" t="inlineStr">
        <is>
          <t>1D 2H 14M 0S</t>
        </is>
      </c>
      <c r="V859" s="730" t="n"/>
      <c r="W859" s="731" t="n"/>
      <c r="X859" s="732" t="n"/>
      <c r="Y859" s="728" t="n"/>
      <c r="Z859" s="729" t="n"/>
      <c r="AA859" s="730" t="n"/>
      <c r="AB859" s="731" t="n"/>
      <c r="AC859" s="732" t="n"/>
      <c r="AD859" s="719" t="inlineStr">
        <is>
          <t>No</t>
        </is>
      </c>
      <c r="AE859" s="733" t="n"/>
      <c r="AF859" s="733" t="n"/>
      <c r="AG859" s="733" t="n"/>
      <c r="AH859" s="733" t="n"/>
      <c r="AI859" s="719" t="inlineStr">
        <is>
          <t>Limit</t>
        </is>
      </c>
      <c r="AJ859" s="733" t="n"/>
      <c r="AK859" s="733" t="n"/>
      <c r="AL859" s="733" t="n"/>
      <c r="AM859" s="733" t="n"/>
      <c r="AN859" s="733" t="n"/>
      <c r="AO859" s="733" t="n"/>
      <c r="AP859" s="719" t="inlineStr">
        <is>
          <t>Pullback</t>
        </is>
      </c>
      <c r="AQ859" s="719" t="inlineStr">
        <is>
          <t>4H</t>
        </is>
      </c>
      <c r="AR859" s="719" t="inlineStr">
        <is>
          <t>No</t>
        </is>
      </c>
      <c r="AS859" s="733" t="n"/>
      <c r="AT859" s="733" t="n"/>
      <c r="AU859" s="733" t="n"/>
      <c r="AV859" s="733" t="n"/>
      <c r="AW859" s="719" t="inlineStr">
        <is>
          <t>trade</t>
        </is>
      </c>
      <c r="AX859" s="734" t="inlineStr">
        <is>
          <t>sig:861659becc3c14d72ca68ca3</t>
        </is>
      </c>
    </row>
    <row r="860" ht="15" customHeight="1">
      <c r="A860" s="42" t="inlineStr">
        <is>
          <t>F669</t>
        </is>
      </c>
      <c r="B860" s="770" t="n">
        <v>43761.0375</v>
      </c>
      <c r="C860" s="771" t="n">
        <v>43761.18541666667</v>
      </c>
      <c r="D860" s="12" t="inlineStr">
        <is>
          <t>PEPPERSTONE DEMO</t>
        </is>
      </c>
      <c r="E860" s="12" t="inlineStr">
        <is>
          <t>EURUSD</t>
        </is>
      </c>
      <c r="F860" s="12" t="inlineStr">
        <is>
          <t>BUY</t>
        </is>
      </c>
      <c r="G860" s="272" t="n">
        <v>0.02</v>
      </c>
      <c r="H860" s="262" t="n">
        <v>1.1126</v>
      </c>
      <c r="I860" s="262" t="n">
        <v>1.1126</v>
      </c>
      <c r="J860" s="263" t="n">
        <v>1.1109</v>
      </c>
      <c r="K860" s="36" t="n">
        <v>0.001527952543591619</v>
      </c>
      <c r="L860" s="263" t="n">
        <v>1.116</v>
      </c>
      <c r="M860" s="36" t="n">
        <v>0.003055905087183237</v>
      </c>
      <c r="N860" s="779" t="n"/>
      <c r="O860" s="773" t="n">
        <v>0</v>
      </c>
      <c r="P860" s="3" t="n">
        <v>0</v>
      </c>
      <c r="Q860" s="51" t="n">
        <v>0</v>
      </c>
      <c r="R860" s="54" t="n">
        <v>535.9</v>
      </c>
      <c r="S860" s="12" t="inlineStr">
        <is>
          <t>3H 33M 0S</t>
        </is>
      </c>
      <c r="T860" s="770" t="n">
        <v>43761.17708333334</v>
      </c>
      <c r="U860" s="4" t="inlineStr">
        <is>
          <t>3H 21M 0S</t>
        </is>
      </c>
      <c r="V860" s="264" t="n"/>
      <c r="W860" s="9" t="n"/>
      <c r="X860" s="46" t="n"/>
      <c r="Y860" s="774" t="n"/>
      <c r="Z860" s="6" t="n"/>
      <c r="AA860" s="264" t="n"/>
      <c r="AB860" s="9" t="n"/>
      <c r="AC860" s="46" t="n"/>
      <c r="AD860" s="12" t="inlineStr">
        <is>
          <t>No</t>
        </is>
      </c>
      <c r="AE860" s="45" t="n"/>
      <c r="AF860" s="45" t="n"/>
      <c r="AG860" s="45" t="n"/>
      <c r="AH860" s="45" t="n"/>
      <c r="AI860" s="12" t="inlineStr">
        <is>
          <t>Limit</t>
        </is>
      </c>
      <c r="AJ860" s="45" t="n"/>
      <c r="AK860" s="45" t="n"/>
      <c r="AL860" s="45" t="n"/>
      <c r="AM860" s="45" t="n"/>
      <c r="AN860" s="45" t="n"/>
      <c r="AO860" s="45" t="n"/>
      <c r="AP860" s="12" t="inlineStr">
        <is>
          <t>Pullback</t>
        </is>
      </c>
      <c r="AQ860" s="12" t="inlineStr">
        <is>
          <t>4H</t>
        </is>
      </c>
      <c r="AR860" s="12" t="inlineStr">
        <is>
          <t>Yes</t>
        </is>
      </c>
      <c r="AS860" s="45" t="n"/>
      <c r="AT860" s="45" t="n"/>
      <c r="AU860" s="45" t="n"/>
      <c r="AV860" s="45" t="n"/>
      <c r="AW860" s="12" t="inlineStr">
        <is>
          <t>trade</t>
        </is>
      </c>
      <c r="AX860" s="57" t="inlineStr">
        <is>
          <t>sig:edb75d750d9c123f80d72ae5</t>
        </is>
      </c>
    </row>
    <row r="861" ht="15" customHeight="1">
      <c r="A861" s="737" t="inlineStr">
        <is>
          <t>F668</t>
        </is>
      </c>
      <c r="B861" s="738" t="n">
        <v>43756.65763888889</v>
      </c>
      <c r="C861" s="739" t="n">
        <v>43757.25</v>
      </c>
      <c r="D861" s="740" t="inlineStr">
        <is>
          <t>PEPPERSTONE DEMO</t>
        </is>
      </c>
      <c r="E861" s="740" t="inlineStr">
        <is>
          <t>NZDJPY</t>
        </is>
      </c>
      <c r="F861" s="740" t="inlineStr">
        <is>
          <t>BUY</t>
        </is>
      </c>
      <c r="G861" s="775" t="n">
        <v>0.01</v>
      </c>
      <c r="H861" s="742" t="n">
        <v>69.14</v>
      </c>
      <c r="I861" s="742" t="n">
        <v>69.19799999999999</v>
      </c>
      <c r="J861" s="743" t="n">
        <v>68.84999999999999</v>
      </c>
      <c r="K861" s="744" t="n">
        <v>0.004194388197859506</v>
      </c>
      <c r="L861" s="743" t="n">
        <v>69.72</v>
      </c>
      <c r="M861" s="744" t="n">
        <v>0.008388776395718807</v>
      </c>
      <c r="N861" s="766" t="n"/>
      <c r="O861" s="767" t="n">
        <v>0.78</v>
      </c>
      <c r="P861" s="747" t="n">
        <v>0.001457616983106593</v>
      </c>
      <c r="Q861" s="748" t="n">
        <v>0.1999999999999706</v>
      </c>
      <c r="R861" s="769" t="n">
        <v>535.9</v>
      </c>
      <c r="S861" s="740" t="inlineStr">
        <is>
          <t>14H 13M 0S</t>
        </is>
      </c>
      <c r="T861" s="750" t="n"/>
      <c r="U861" s="751" t="n"/>
      <c r="V861" s="752" t="n"/>
      <c r="W861" s="753" t="n"/>
      <c r="X861" s="754" t="n"/>
      <c r="Y861" s="750" t="n"/>
      <c r="Z861" s="751" t="n"/>
      <c r="AA861" s="752" t="n"/>
      <c r="AB861" s="753" t="n"/>
      <c r="AC861" s="754" t="n"/>
      <c r="AD861" s="740" t="inlineStr">
        <is>
          <t>No</t>
        </is>
      </c>
      <c r="AE861" s="755" t="n"/>
      <c r="AF861" s="755" t="n"/>
      <c r="AG861" s="755" t="n"/>
      <c r="AH861" s="755" t="n"/>
      <c r="AI861" s="740" t="inlineStr">
        <is>
          <t>Limit</t>
        </is>
      </c>
      <c r="AJ861" s="755" t="n"/>
      <c r="AK861" s="755" t="n"/>
      <c r="AL861" s="755" t="n"/>
      <c r="AM861" s="755" t="n"/>
      <c r="AN861" s="755" t="n"/>
      <c r="AO861" s="755" t="n"/>
      <c r="AP861" s="740" t="inlineStr">
        <is>
          <t>Pullback</t>
        </is>
      </c>
      <c r="AQ861" s="740" t="inlineStr">
        <is>
          <t>4H</t>
        </is>
      </c>
      <c r="AR861" s="740" t="inlineStr">
        <is>
          <t>No</t>
        </is>
      </c>
      <c r="AS861" s="755" t="n"/>
      <c r="AT861" s="755" t="n"/>
      <c r="AU861" s="755" t="n"/>
      <c r="AV861" s="755" t="n"/>
      <c r="AW861" s="740" t="inlineStr">
        <is>
          <t>trade</t>
        </is>
      </c>
      <c r="AX861" s="756" t="inlineStr">
        <is>
          <t>sig:4d41346cd1e0d2afe99f0ddc</t>
        </is>
      </c>
    </row>
    <row r="862" ht="15" customHeight="1">
      <c r="A862" s="737" t="inlineStr">
        <is>
          <t>F667</t>
        </is>
      </c>
      <c r="B862" s="738" t="n">
        <v>43755.97013888889</v>
      </c>
      <c r="C862" s="739" t="n">
        <v>43756.59652777778</v>
      </c>
      <c r="D862" s="740" t="inlineStr">
        <is>
          <t>PEPPERSTONE DEMO</t>
        </is>
      </c>
      <c r="E862" s="740" t="inlineStr">
        <is>
          <t>EURGBP</t>
        </is>
      </c>
      <c r="F862" s="740" t="inlineStr">
        <is>
          <t>SELL</t>
        </is>
      </c>
      <c r="G862" s="775" t="n">
        <v>0.01</v>
      </c>
      <c r="H862" s="742" t="n">
        <v>0.8683</v>
      </c>
      <c r="I862" s="742" t="n">
        <v>0.86569</v>
      </c>
      <c r="J862" s="743" t="n">
        <v>0.8732</v>
      </c>
      <c r="K862" s="744" t="n">
        <v>0.005643210871818514</v>
      </c>
      <c r="L862" s="743" t="n">
        <v>0.8585</v>
      </c>
      <c r="M862" s="744" t="n">
        <v>0.0112864217436369</v>
      </c>
      <c r="N862" s="808" t="n">
        <v>0.02</v>
      </c>
      <c r="O862" s="767" t="n">
        <v>5.03</v>
      </c>
      <c r="P862" s="747" t="n">
        <v>0.009488954705804674</v>
      </c>
      <c r="Q862" s="748" t="n">
        <v>0.5326530612244884</v>
      </c>
      <c r="R862" s="769" t="n">
        <v>535.12</v>
      </c>
      <c r="S862" s="740" t="inlineStr">
        <is>
          <t>15H 2M 0S</t>
        </is>
      </c>
      <c r="T862" s="738" t="n"/>
      <c r="U862" s="809" t="n"/>
      <c r="V862" s="752" t="n"/>
      <c r="W862" s="753" t="n"/>
      <c r="X862" s="754" t="n"/>
      <c r="Y862" s="750" t="n"/>
      <c r="Z862" s="751" t="n"/>
      <c r="AA862" s="752" t="n"/>
      <c r="AB862" s="753" t="n"/>
      <c r="AC862" s="754" t="n"/>
      <c r="AD862" s="740" t="inlineStr">
        <is>
          <t>No</t>
        </is>
      </c>
      <c r="AE862" s="755" t="n"/>
      <c r="AF862" s="755" t="n"/>
      <c r="AG862" s="755" t="n"/>
      <c r="AH862" s="755" t="n"/>
      <c r="AI862" s="740" t="inlineStr">
        <is>
          <t>Market</t>
        </is>
      </c>
      <c r="AJ862" s="755" t="n"/>
      <c r="AK862" s="755" t="n"/>
      <c r="AL862" s="755" t="n"/>
      <c r="AM862" s="755" t="n"/>
      <c r="AN862" s="755" t="n"/>
      <c r="AO862" s="755" t="n"/>
      <c r="AP862" s="740" t="inlineStr">
        <is>
          <t>Pullback</t>
        </is>
      </c>
      <c r="AQ862" s="740" t="inlineStr">
        <is>
          <t>4H</t>
        </is>
      </c>
      <c r="AR862" s="740" t="inlineStr">
        <is>
          <t>No</t>
        </is>
      </c>
      <c r="AS862" s="755" t="n"/>
      <c r="AT862" s="755" t="n"/>
      <c r="AU862" s="755" t="n"/>
      <c r="AV862" s="755" t="n"/>
      <c r="AW862" s="740" t="inlineStr">
        <is>
          <t>trade</t>
        </is>
      </c>
      <c r="AX862" s="756" t="inlineStr">
        <is>
          <t>sig:322bd3554ef7b5b05cbeeab6</t>
        </is>
      </c>
    </row>
    <row r="863" ht="15" customHeight="1">
      <c r="A863" s="737" t="inlineStr">
        <is>
          <t>F666</t>
        </is>
      </c>
      <c r="B863" s="738" t="n">
        <v>43755.65833333333</v>
      </c>
      <c r="C863" s="739" t="n">
        <v>43755.81736111111</v>
      </c>
      <c r="D863" s="740" t="inlineStr">
        <is>
          <t>PEPPERSTONE DEMO</t>
        </is>
      </c>
      <c r="E863" s="740" t="inlineStr">
        <is>
          <t>EURCHF</t>
        </is>
      </c>
      <c r="F863" s="740" t="inlineStr">
        <is>
          <t>BUY</t>
        </is>
      </c>
      <c r="G863" s="775" t="n">
        <v>0.01</v>
      </c>
      <c r="H863" s="742" t="n">
        <v>1.1004</v>
      </c>
      <c r="I863" s="742" t="n">
        <v>1.1048</v>
      </c>
      <c r="J863" s="743" t="n">
        <v>1.0982</v>
      </c>
      <c r="K863" s="744" t="n">
        <v>0.001999272991639385</v>
      </c>
      <c r="L863" s="743" t="n">
        <v>1.1048</v>
      </c>
      <c r="M863" s="744" t="n">
        <v>0.003998545983278771</v>
      </c>
      <c r="N863" s="766" t="n"/>
      <c r="O863" s="767" t="n">
        <v>6.49</v>
      </c>
      <c r="P863" s="747" t="n">
        <v>0.01239495798319328</v>
      </c>
      <c r="Q863" s="748" t="n">
        <v>2</v>
      </c>
      <c r="R863" s="769" t="n">
        <v>530.09</v>
      </c>
      <c r="S863" s="740" t="inlineStr">
        <is>
          <t>3H 49M 0S</t>
        </is>
      </c>
      <c r="T863" s="750" t="n"/>
      <c r="U863" s="751" t="n"/>
      <c r="V863" s="752" t="n"/>
      <c r="W863" s="753" t="n"/>
      <c r="X863" s="754" t="n"/>
      <c r="Y863" s="750" t="n"/>
      <c r="Z863" s="751" t="n"/>
      <c r="AA863" s="752" t="n"/>
      <c r="AB863" s="753" t="n"/>
      <c r="AC863" s="754" t="n"/>
      <c r="AD863" s="740" t="inlineStr">
        <is>
          <t>No</t>
        </is>
      </c>
      <c r="AE863" s="755" t="n"/>
      <c r="AF863" s="755" t="n"/>
      <c r="AG863" s="755" t="n"/>
      <c r="AH863" s="755" t="n"/>
      <c r="AI863" s="740" t="inlineStr">
        <is>
          <t>Limit</t>
        </is>
      </c>
      <c r="AJ863" s="755" t="n"/>
      <c r="AK863" s="755" t="n"/>
      <c r="AL863" s="755" t="n"/>
      <c r="AM863" s="755" t="n"/>
      <c r="AN863" s="755" t="n"/>
      <c r="AO863" s="755" t="n"/>
      <c r="AP863" s="740" t="inlineStr">
        <is>
          <t>Pullback</t>
        </is>
      </c>
      <c r="AQ863" s="740" t="inlineStr">
        <is>
          <t>4H</t>
        </is>
      </c>
      <c r="AR863" s="740" t="inlineStr">
        <is>
          <t>No</t>
        </is>
      </c>
      <c r="AS863" s="755" t="n"/>
      <c r="AT863" s="755" t="n"/>
      <c r="AU863" s="755" t="n"/>
      <c r="AV863" s="755" t="n"/>
      <c r="AW863" s="740" t="inlineStr">
        <is>
          <t>trade</t>
        </is>
      </c>
      <c r="AX863" s="756" t="inlineStr">
        <is>
          <t>sig:a2e5d60520646923a3e4f4c4</t>
        </is>
      </c>
    </row>
    <row r="864" ht="15" customHeight="1">
      <c r="A864" s="737" t="inlineStr">
        <is>
          <t>F665</t>
        </is>
      </c>
      <c r="B864" s="738" t="n">
        <v>43754.73194444444</v>
      </c>
      <c r="C864" s="739" t="n">
        <v>43755.07569444444</v>
      </c>
      <c r="D864" s="740" t="inlineStr">
        <is>
          <t>PEPPERSTONE DEMO</t>
        </is>
      </c>
      <c r="E864" s="740" t="inlineStr">
        <is>
          <t>EURJPY</t>
        </is>
      </c>
      <c r="F864" s="740" t="inlineStr">
        <is>
          <t>BUY</t>
        </is>
      </c>
      <c r="G864" s="775" t="n">
        <v>0.01</v>
      </c>
      <c r="H864" s="742" t="n">
        <v>119.84</v>
      </c>
      <c r="I864" s="742" t="n">
        <v>120.42</v>
      </c>
      <c r="J864" s="743" t="n">
        <v>119.55</v>
      </c>
      <c r="K864" s="744" t="n">
        <v>0.00241989319092128</v>
      </c>
      <c r="L864" s="743" t="n">
        <v>120.42</v>
      </c>
      <c r="M864" s="744" t="n">
        <v>0.004839786381842443</v>
      </c>
      <c r="N864" s="796" t="n"/>
      <c r="O864" s="767" t="n">
        <v>7.9</v>
      </c>
      <c r="P864" s="747" t="n">
        <v>0.01531898390537134</v>
      </c>
      <c r="Q864" s="748" t="n">
        <v>1.999999999999951</v>
      </c>
      <c r="R864" s="769" t="n">
        <v>523.6</v>
      </c>
      <c r="S864" s="740" t="inlineStr">
        <is>
          <t>8H 15M 0S</t>
        </is>
      </c>
      <c r="T864" s="738" t="n">
        <v>43755.03194444445</v>
      </c>
      <c r="U864" s="809" t="inlineStr">
        <is>
          <t>7H 12M 0S</t>
        </is>
      </c>
      <c r="V864" s="752" t="n"/>
      <c r="W864" s="753" t="n"/>
      <c r="X864" s="754" t="n"/>
      <c r="Y864" s="750" t="n"/>
      <c r="Z864" s="751" t="n"/>
      <c r="AA864" s="752" t="n"/>
      <c r="AB864" s="753" t="n"/>
      <c r="AC864" s="754" t="n"/>
      <c r="AD864" s="740" t="inlineStr">
        <is>
          <t>No</t>
        </is>
      </c>
      <c r="AE864" s="755" t="n"/>
      <c r="AF864" s="755" t="n"/>
      <c r="AG864" s="755" t="n"/>
      <c r="AH864" s="755" t="n"/>
      <c r="AI864" s="740" t="inlineStr">
        <is>
          <t>Limit</t>
        </is>
      </c>
      <c r="AJ864" s="755" t="n"/>
      <c r="AK864" s="755" t="n"/>
      <c r="AL864" s="755" t="n"/>
      <c r="AM864" s="755" t="n"/>
      <c r="AN864" s="755" t="n"/>
      <c r="AO864" s="755" t="n"/>
      <c r="AP864" s="740" t="inlineStr">
        <is>
          <t>Pullback</t>
        </is>
      </c>
      <c r="AQ864" s="740" t="inlineStr">
        <is>
          <t>4H</t>
        </is>
      </c>
      <c r="AR864" s="740" t="inlineStr">
        <is>
          <t>No</t>
        </is>
      </c>
      <c r="AS864" s="755" t="n"/>
      <c r="AT864" s="755" t="n"/>
      <c r="AU864" s="755" t="n"/>
      <c r="AV864" s="755" t="n"/>
      <c r="AW864" s="740" t="inlineStr">
        <is>
          <t>trade</t>
        </is>
      </c>
      <c r="AX864" s="756" t="inlineStr">
        <is>
          <t>sig:e0e4ad0e7f396eb49ba453bb</t>
        </is>
      </c>
    </row>
    <row r="865" ht="15" customHeight="1">
      <c r="A865" s="737" t="inlineStr">
        <is>
          <t>F664</t>
        </is>
      </c>
      <c r="B865" s="738" t="n">
        <v>43753.675</v>
      </c>
      <c r="C865" s="739" t="n">
        <v>43754.12083333333</v>
      </c>
      <c r="D865" s="740" t="inlineStr">
        <is>
          <t>PEPPERSTONE DEMO</t>
        </is>
      </c>
      <c r="E865" s="740" t="inlineStr">
        <is>
          <t>CADCHF</t>
        </is>
      </c>
      <c r="F865" s="740" t="inlineStr">
        <is>
          <t>BUY</t>
        </is>
      </c>
      <c r="G865" s="775" t="n">
        <v>0.02</v>
      </c>
      <c r="H865" s="742" t="n">
        <v>0.7532</v>
      </c>
      <c r="I865" s="742" t="n">
        <v>0.7568</v>
      </c>
      <c r="J865" s="743" t="n">
        <v>0.7514</v>
      </c>
      <c r="K865" s="744" t="n">
        <v>0.002389803505045173</v>
      </c>
      <c r="L865" s="743" t="n">
        <v>0.7568</v>
      </c>
      <c r="M865" s="744" t="n">
        <v>0.004779607010090345</v>
      </c>
      <c r="N865" s="766" t="n"/>
      <c r="O865" s="767" t="n">
        <v>10.67</v>
      </c>
      <c r="P865" s="747" t="n">
        <v>0.02112745777478565</v>
      </c>
      <c r="Q865" s="748" t="n">
        <v>2</v>
      </c>
      <c r="R865" s="769" t="n">
        <v>515.7</v>
      </c>
      <c r="S865" s="740" t="inlineStr">
        <is>
          <t>10H 42M 0S</t>
        </is>
      </c>
      <c r="T865" s="738" t="n">
        <v>43754.02847222222</v>
      </c>
      <c r="U865" s="809" t="inlineStr">
        <is>
          <t>8H 29M 0S</t>
        </is>
      </c>
      <c r="V865" s="752" t="n"/>
      <c r="W865" s="753" t="n"/>
      <c r="X865" s="754" t="n"/>
      <c r="Y865" s="750" t="n"/>
      <c r="Z865" s="751" t="n"/>
      <c r="AA865" s="752" t="n"/>
      <c r="AB865" s="753" t="n"/>
      <c r="AC865" s="754" t="n"/>
      <c r="AD865" s="740" t="inlineStr">
        <is>
          <t>No</t>
        </is>
      </c>
      <c r="AE865" s="755" t="n"/>
      <c r="AF865" s="755" t="n"/>
      <c r="AG865" s="755" t="n"/>
      <c r="AH865" s="755" t="n"/>
      <c r="AI865" s="740" t="inlineStr">
        <is>
          <t>Limit</t>
        </is>
      </c>
      <c r="AJ865" s="755" t="n"/>
      <c r="AK865" s="755" t="n"/>
      <c r="AL865" s="755" t="n"/>
      <c r="AM865" s="755" t="n"/>
      <c r="AN865" s="755" t="n"/>
      <c r="AO865" s="755" t="n"/>
      <c r="AP865" s="740" t="inlineStr">
        <is>
          <t>Pullback</t>
        </is>
      </c>
      <c r="AQ865" s="740" t="inlineStr">
        <is>
          <t>4H</t>
        </is>
      </c>
      <c r="AR865" s="740" t="inlineStr">
        <is>
          <t>No</t>
        </is>
      </c>
      <c r="AS865" s="755" t="n"/>
      <c r="AT865" s="755" t="n"/>
      <c r="AU865" s="755" t="n"/>
      <c r="AV865" s="755" t="n"/>
      <c r="AW865" s="740" t="inlineStr">
        <is>
          <t>trade</t>
        </is>
      </c>
      <c r="AX865" s="756" t="inlineStr">
        <is>
          <t>sig:dbf7c4280ef122e03b07aef2</t>
        </is>
      </c>
    </row>
    <row r="866" ht="15" customHeight="1">
      <c r="A866" s="716" t="inlineStr">
        <is>
          <t>F663</t>
        </is>
      </c>
      <c r="B866" s="717" t="n">
        <v>43753.63611111111</v>
      </c>
      <c r="C866" s="718" t="n">
        <v>43753.86944444444</v>
      </c>
      <c r="D866" s="719" t="inlineStr">
        <is>
          <t>PEPPERSTONE DEMO</t>
        </is>
      </c>
      <c r="E866" s="719" t="inlineStr">
        <is>
          <t>AUDJPY</t>
        </is>
      </c>
      <c r="F866" s="719" t="inlineStr">
        <is>
          <t>BUY</t>
        </is>
      </c>
      <c r="G866" s="735" t="n">
        <v>0.01</v>
      </c>
      <c r="H866" s="720" t="n">
        <v>73.37</v>
      </c>
      <c r="I866" s="720" t="n">
        <v>73.09999999999999</v>
      </c>
      <c r="J866" s="721" t="n">
        <v>73.09999999999999</v>
      </c>
      <c r="K866" s="722" t="n">
        <v>0.00367997819272196</v>
      </c>
      <c r="L866" s="721" t="n">
        <v>73.91</v>
      </c>
      <c r="M866" s="722" t="n">
        <v>0.007359956385443533</v>
      </c>
      <c r="N866" s="788" t="n"/>
      <c r="O866" s="762" t="n">
        <v>-3.69</v>
      </c>
      <c r="P866" s="725" t="n">
        <v>-0.007253498977826703</v>
      </c>
      <c r="Q866" s="726" t="n">
        <v>-1</v>
      </c>
      <c r="R866" s="764" t="n">
        <v>505.03</v>
      </c>
      <c r="S866" s="719" t="inlineStr">
        <is>
          <t>5H 36M 0S</t>
        </is>
      </c>
      <c r="T866" s="728" t="n"/>
      <c r="U866" s="729" t="n"/>
      <c r="V866" s="730" t="n"/>
      <c r="W866" s="731" t="n"/>
      <c r="X866" s="732" t="n"/>
      <c r="Y866" s="728" t="n"/>
      <c r="Z866" s="729" t="n"/>
      <c r="AA866" s="730" t="n"/>
      <c r="AB866" s="731" t="n"/>
      <c r="AC866" s="732" t="n"/>
      <c r="AD866" s="719" t="inlineStr">
        <is>
          <t>No</t>
        </is>
      </c>
      <c r="AE866" s="733" t="n"/>
      <c r="AF866" s="733" t="n"/>
      <c r="AG866" s="733" t="n"/>
      <c r="AH866" s="733" t="n"/>
      <c r="AI866" s="719" t="inlineStr">
        <is>
          <t>Limit</t>
        </is>
      </c>
      <c r="AJ866" s="733" t="n"/>
      <c r="AK866" s="733" t="n"/>
      <c r="AL866" s="733" t="n"/>
      <c r="AM866" s="733" t="n"/>
      <c r="AN866" s="733" t="n"/>
      <c r="AO866" s="733" t="n"/>
      <c r="AP866" s="719" t="inlineStr">
        <is>
          <t>Pullback</t>
        </is>
      </c>
      <c r="AQ866" s="719" t="inlineStr">
        <is>
          <t>4H</t>
        </is>
      </c>
      <c r="AR866" s="719" t="inlineStr">
        <is>
          <t>No</t>
        </is>
      </c>
      <c r="AS866" s="733" t="n"/>
      <c r="AT866" s="733" t="n"/>
      <c r="AU866" s="733" t="n"/>
      <c r="AV866" s="733" t="n"/>
      <c r="AW866" s="719" t="inlineStr">
        <is>
          <t>trade</t>
        </is>
      </c>
      <c r="AX866" s="734" t="inlineStr">
        <is>
          <t>sig:f73c93a406399ed4469b22f1</t>
        </is>
      </c>
    </row>
    <row r="867" ht="15" customHeight="1">
      <c r="A867" s="716" t="inlineStr">
        <is>
          <t>F662</t>
        </is>
      </c>
      <c r="B867" s="717" t="n">
        <v>43752.45902777778</v>
      </c>
      <c r="C867" s="718" t="n">
        <v>43752.80555555555</v>
      </c>
      <c r="D867" s="719" t="inlineStr">
        <is>
          <t>PEPPERSTONE DEMO</t>
        </is>
      </c>
      <c r="E867" s="719" t="inlineStr">
        <is>
          <t>AUDJPY</t>
        </is>
      </c>
      <c r="F867" s="719" t="inlineStr">
        <is>
          <t>BUY</t>
        </is>
      </c>
      <c r="G867" s="735" t="n">
        <v>0.01</v>
      </c>
      <c r="H867" s="720" t="n">
        <v>73.45</v>
      </c>
      <c r="I867" s="720" t="n">
        <v>73.11</v>
      </c>
      <c r="J867" s="721" t="n">
        <v>73.11</v>
      </c>
      <c r="K867" s="722" t="n">
        <v>0.004628999319264852</v>
      </c>
      <c r="L867" s="721" t="n">
        <v>74.13</v>
      </c>
      <c r="M867" s="722" t="n">
        <v>0.00925799863852951</v>
      </c>
      <c r="N867" s="788" t="n"/>
      <c r="O867" s="762" t="n">
        <v>-4.65</v>
      </c>
      <c r="P867" s="725" t="n">
        <v>-0.009057794573114907</v>
      </c>
      <c r="Q867" s="726" t="n">
        <v>-1</v>
      </c>
      <c r="R867" s="764" t="n">
        <v>508.72</v>
      </c>
      <c r="S867" s="719" t="inlineStr">
        <is>
          <t>8H 19M 0S</t>
        </is>
      </c>
      <c r="T867" s="728" t="n"/>
      <c r="U867" s="729" t="n"/>
      <c r="V867" s="730" t="n"/>
      <c r="W867" s="731" t="n"/>
      <c r="X867" s="732" t="n"/>
      <c r="Y867" s="728" t="n"/>
      <c r="Z867" s="729" t="n"/>
      <c r="AA867" s="730" t="n"/>
      <c r="AB867" s="731" t="n"/>
      <c r="AC867" s="732" t="n"/>
      <c r="AD867" s="719" t="inlineStr">
        <is>
          <t>No</t>
        </is>
      </c>
      <c r="AE867" s="733" t="n"/>
      <c r="AF867" s="733" t="n"/>
      <c r="AG867" s="733" t="n"/>
      <c r="AH867" s="733" t="n"/>
      <c r="AI867" s="719" t="inlineStr">
        <is>
          <t>Limit</t>
        </is>
      </c>
      <c r="AJ867" s="733" t="n"/>
      <c r="AK867" s="733" t="n"/>
      <c r="AL867" s="733" t="n"/>
      <c r="AM867" s="733" t="n"/>
      <c r="AN867" s="733" t="n"/>
      <c r="AO867" s="733" t="n"/>
      <c r="AP867" s="719" t="inlineStr">
        <is>
          <t>Pullback</t>
        </is>
      </c>
      <c r="AQ867" s="719" t="inlineStr">
        <is>
          <t>4H</t>
        </is>
      </c>
      <c r="AR867" s="719" t="inlineStr">
        <is>
          <t>No</t>
        </is>
      </c>
      <c r="AS867" s="782" t="n"/>
      <c r="AT867" s="733" t="n"/>
      <c r="AU867" s="719" t="n"/>
      <c r="AV867" s="719" t="n"/>
      <c r="AW867" s="719" t="inlineStr">
        <is>
          <t>trade</t>
        </is>
      </c>
      <c r="AX867" s="734" t="inlineStr">
        <is>
          <t>sig:48b1e05aa9c4f28731b90529</t>
        </is>
      </c>
    </row>
    <row r="868" ht="15" customHeight="1">
      <c r="A868" s="737" t="inlineStr">
        <is>
          <t>F661</t>
        </is>
      </c>
      <c r="B868" s="738" t="n">
        <v>43749.30694444444</v>
      </c>
      <c r="C868" s="739" t="n">
        <v>43749.83888888889</v>
      </c>
      <c r="D868" s="740" t="inlineStr">
        <is>
          <t>PEPPERSTONE DEMO</t>
        </is>
      </c>
      <c r="E868" s="740" t="inlineStr">
        <is>
          <t>AUDJPY</t>
        </is>
      </c>
      <c r="F868" s="740" t="inlineStr">
        <is>
          <t>BUY</t>
        </is>
      </c>
      <c r="G868" s="775" t="n">
        <v>0.01</v>
      </c>
      <c r="H868" s="742" t="n">
        <v>72.98</v>
      </c>
      <c r="I868" s="742" t="n">
        <v>73.52</v>
      </c>
      <c r="J868" s="743" t="n">
        <v>72.70999999999999</v>
      </c>
      <c r="K868" s="744" t="n">
        <v>0.003699643738010554</v>
      </c>
      <c r="L868" s="743" t="n">
        <v>73.52</v>
      </c>
      <c r="M868" s="744" t="n">
        <v>0.007399287476020719</v>
      </c>
      <c r="N868" s="766" t="n"/>
      <c r="O868" s="767" t="n">
        <v>7.34</v>
      </c>
      <c r="P868" s="747" t="n">
        <v>0.01450506886943462</v>
      </c>
      <c r="Q868" s="748" t="n">
        <v>1.999999999999895</v>
      </c>
      <c r="R868" s="769" t="n">
        <v>513.37</v>
      </c>
      <c r="S868" s="740" t="inlineStr">
        <is>
          <t>12H 46M 0S</t>
        </is>
      </c>
      <c r="T868" s="750" t="n"/>
      <c r="U868" s="751" t="n"/>
      <c r="V868" s="752" t="n"/>
      <c r="W868" s="753" t="n"/>
      <c r="X868" s="754" t="n"/>
      <c r="Y868" s="750" t="n"/>
      <c r="Z868" s="751" t="n"/>
      <c r="AA868" s="752" t="n"/>
      <c r="AB868" s="753" t="n"/>
      <c r="AC868" s="754" t="n"/>
      <c r="AD868" s="740" t="inlineStr">
        <is>
          <t>No</t>
        </is>
      </c>
      <c r="AE868" s="755" t="n"/>
      <c r="AF868" s="755" t="n"/>
      <c r="AG868" s="755" t="n"/>
      <c r="AH868" s="755" t="n"/>
      <c r="AI868" s="740" t="inlineStr">
        <is>
          <t>Limit</t>
        </is>
      </c>
      <c r="AJ868" s="755" t="n"/>
      <c r="AK868" s="755" t="n"/>
      <c r="AL868" s="755" t="n"/>
      <c r="AM868" s="755" t="n"/>
      <c r="AN868" s="755" t="n"/>
      <c r="AO868" s="755" t="n"/>
      <c r="AP868" s="740" t="inlineStr">
        <is>
          <t>Pullback</t>
        </is>
      </c>
      <c r="AQ868" s="740" t="inlineStr">
        <is>
          <t>4H</t>
        </is>
      </c>
      <c r="AR868" s="740" t="inlineStr">
        <is>
          <t>No</t>
        </is>
      </c>
      <c r="AS868" s="755" t="n"/>
      <c r="AT868" s="755" t="n"/>
      <c r="AU868" s="755" t="n"/>
      <c r="AV868" s="755" t="n"/>
      <c r="AW868" s="740" t="inlineStr">
        <is>
          <t>trade</t>
        </is>
      </c>
      <c r="AX868" s="756" t="inlineStr">
        <is>
          <t>sig:344146b725e4ef2d0d81a160</t>
        </is>
      </c>
    </row>
    <row r="869" ht="15" customHeight="1">
      <c r="A869" s="716" t="inlineStr">
        <is>
          <t>F659</t>
        </is>
      </c>
      <c r="B869" s="717" t="n">
        <v>43746.975</v>
      </c>
      <c r="C869" s="718" t="n">
        <v>43748.36180555556</v>
      </c>
      <c r="D869" s="719" t="inlineStr">
        <is>
          <t>PEPPERSTONE DEMO</t>
        </is>
      </c>
      <c r="E869" s="719" t="inlineStr">
        <is>
          <t>NZDCHF</t>
        </is>
      </c>
      <c r="F869" s="719" t="inlineStr">
        <is>
          <t>BUY</t>
        </is>
      </c>
      <c r="G869" s="735" t="n">
        <v>0.01</v>
      </c>
      <c r="H869" s="720" t="n">
        <v>0.6263</v>
      </c>
      <c r="I869" s="720" t="n">
        <v>0.6243</v>
      </c>
      <c r="J869" s="721" t="n">
        <v>0.6243</v>
      </c>
      <c r="K869" s="722" t="n">
        <v>0.003193357815743257</v>
      </c>
      <c r="L869" s="721" t="n">
        <v>0.6303</v>
      </c>
      <c r="M869" s="722" t="n">
        <v>0.006386715631486514</v>
      </c>
      <c r="N869" s="792" t="n">
        <v>0.08</v>
      </c>
      <c r="O869" s="762" t="n">
        <v>-2.92</v>
      </c>
      <c r="P869" s="725" t="n">
        <v>-0.005737302289026427</v>
      </c>
      <c r="Q869" s="726" t="n">
        <v>-1</v>
      </c>
      <c r="R869" s="764" t="n">
        <v>506.03</v>
      </c>
      <c r="S869" s="719" t="inlineStr">
        <is>
          <t>1D 9H 17M 0S</t>
        </is>
      </c>
      <c r="T869" s="728" t="n"/>
      <c r="U869" s="729" t="n"/>
      <c r="V869" s="730" t="n"/>
      <c r="W869" s="731" t="n"/>
      <c r="X869" s="732" t="n"/>
      <c r="Y869" s="728" t="n"/>
      <c r="Z869" s="729" t="n"/>
      <c r="AA869" s="730" t="n"/>
      <c r="AB869" s="731" t="n"/>
      <c r="AC869" s="732" t="n"/>
      <c r="AD869" s="719" t="inlineStr">
        <is>
          <t>No</t>
        </is>
      </c>
      <c r="AE869" s="733" t="n"/>
      <c r="AF869" s="733" t="n"/>
      <c r="AG869" s="733" t="n"/>
      <c r="AH869" s="733" t="n"/>
      <c r="AI869" s="719" t="inlineStr">
        <is>
          <t>Limit</t>
        </is>
      </c>
      <c r="AJ869" s="733" t="n"/>
      <c r="AK869" s="733" t="n"/>
      <c r="AL869" s="733" t="n"/>
      <c r="AM869" s="733" t="n"/>
      <c r="AN869" s="733" t="n"/>
      <c r="AO869" s="733" t="n"/>
      <c r="AP869" s="719" t="inlineStr">
        <is>
          <t>Pullback</t>
        </is>
      </c>
      <c r="AQ869" s="719" t="inlineStr">
        <is>
          <t>4H</t>
        </is>
      </c>
      <c r="AR869" s="719" t="inlineStr">
        <is>
          <t>No</t>
        </is>
      </c>
      <c r="AS869" s="782" t="n"/>
      <c r="AT869" s="733" t="n"/>
      <c r="AU869" s="719" t="n"/>
      <c r="AV869" s="719" t="n"/>
      <c r="AW869" s="719" t="inlineStr">
        <is>
          <t>trade</t>
        </is>
      </c>
      <c r="AX869" s="734" t="inlineStr">
        <is>
          <t>sig:1e832473d53992c45ac61b40</t>
        </is>
      </c>
    </row>
    <row r="870" ht="15" customHeight="1">
      <c r="A870" s="737" t="inlineStr">
        <is>
          <t>F660</t>
        </is>
      </c>
      <c r="B870" s="738" t="n">
        <v>43747.95902777778</v>
      </c>
      <c r="C870" s="739" t="n">
        <v>43748.35277777778</v>
      </c>
      <c r="D870" s="740" t="inlineStr">
        <is>
          <t>PEPPERSTONE DEMO</t>
        </is>
      </c>
      <c r="E870" s="740" t="inlineStr">
        <is>
          <t>AUDJPY</t>
        </is>
      </c>
      <c r="F870" s="740" t="inlineStr">
        <is>
          <t>SELL</t>
        </is>
      </c>
      <c r="G870" s="775" t="n">
        <v>0.01</v>
      </c>
      <c r="H870" s="742" t="n">
        <v>72.39</v>
      </c>
      <c r="I870" s="742" t="n">
        <v>71.95</v>
      </c>
      <c r="J870" s="743" t="n">
        <v>72.61</v>
      </c>
      <c r="K870" s="744" t="n">
        <v>0.003039093797485825</v>
      </c>
      <c r="L870" s="743" t="n">
        <v>71.95</v>
      </c>
      <c r="M870" s="744" t="n">
        <v>0.00607818759497165</v>
      </c>
      <c r="N870" s="766" t="n">
        <v>0.17</v>
      </c>
      <c r="O870" s="767" t="n">
        <v>5.95</v>
      </c>
      <c r="P870" s="747" t="n">
        <v>0.01182902584493042</v>
      </c>
      <c r="Q870" s="748" t="n">
        <v>2</v>
      </c>
      <c r="R870" s="769" t="n">
        <v>508.95</v>
      </c>
      <c r="S870" s="740" t="inlineStr">
        <is>
          <t>9H 27M 0S</t>
        </is>
      </c>
      <c r="T870" s="738" t="n">
        <v>43748.34861111111</v>
      </c>
      <c r="U870" s="809" t="inlineStr">
        <is>
          <t>9H 21M 0S</t>
        </is>
      </c>
      <c r="V870" s="752" t="n"/>
      <c r="W870" s="753" t="n"/>
      <c r="X870" s="754" t="n"/>
      <c r="Y870" s="750" t="n"/>
      <c r="Z870" s="751" t="n"/>
      <c r="AA870" s="752" t="n"/>
      <c r="AB870" s="753" t="n"/>
      <c r="AC870" s="754" t="n"/>
      <c r="AD870" s="740" t="inlineStr">
        <is>
          <t>No</t>
        </is>
      </c>
      <c r="AE870" s="755" t="n"/>
      <c r="AF870" s="755" t="n"/>
      <c r="AG870" s="755" t="n"/>
      <c r="AH870" s="755" t="n"/>
      <c r="AI870" s="740" t="inlineStr">
        <is>
          <t>Limit</t>
        </is>
      </c>
      <c r="AJ870" s="755" t="n"/>
      <c r="AK870" s="755" t="n"/>
      <c r="AL870" s="755" t="n"/>
      <c r="AM870" s="755" t="n"/>
      <c r="AN870" s="755" t="n"/>
      <c r="AO870" s="755" t="n"/>
      <c r="AP870" s="740" t="inlineStr">
        <is>
          <t>Pullback</t>
        </is>
      </c>
      <c r="AQ870" s="740" t="inlineStr">
        <is>
          <t>4H</t>
        </is>
      </c>
      <c r="AR870" s="740" t="inlineStr">
        <is>
          <t>No</t>
        </is>
      </c>
      <c r="AS870" s="755" t="n"/>
      <c r="AT870" s="755" t="n"/>
      <c r="AU870" s="755" t="n"/>
      <c r="AV870" s="755" t="n"/>
      <c r="AW870" s="740" t="inlineStr">
        <is>
          <t>trade</t>
        </is>
      </c>
      <c r="AX870" s="756" t="inlineStr">
        <is>
          <t>sig:28de4d5a3c227f1a8401bb6e</t>
        </is>
      </c>
    </row>
    <row r="871" ht="15" customHeight="1">
      <c r="A871" s="737" t="inlineStr">
        <is>
          <t>F657</t>
        </is>
      </c>
      <c r="B871" s="738" t="n">
        <v>43740.95972222222</v>
      </c>
      <c r="C871" s="739" t="n">
        <v>43742.97777777778</v>
      </c>
      <c r="D871" s="740" t="inlineStr">
        <is>
          <t>PEPPERSTONE DEMO</t>
        </is>
      </c>
      <c r="E871" s="740" t="inlineStr">
        <is>
          <t>EURJPY</t>
        </is>
      </c>
      <c r="F871" s="740" t="inlineStr">
        <is>
          <t>SELL</t>
        </is>
      </c>
      <c r="G871" s="775" t="n">
        <v>0.01</v>
      </c>
      <c r="H871" s="742" t="n">
        <v>117.42</v>
      </c>
      <c r="I871" s="742" t="n">
        <v>117.387</v>
      </c>
      <c r="J871" s="743" t="n">
        <v>117.67</v>
      </c>
      <c r="K871" s="744" t="n">
        <v>0.002129109180718787</v>
      </c>
      <c r="L871" s="743" t="n">
        <v>116.42</v>
      </c>
      <c r="M871" s="744" t="n">
        <v>0.008516436722875149</v>
      </c>
      <c r="N871" s="808" t="n">
        <v>0.03</v>
      </c>
      <c r="O871" s="767" t="n">
        <v>0.42</v>
      </c>
      <c r="P871" s="776" t="n">
        <v>0.0008356878506904374</v>
      </c>
      <c r="Q871" s="748" t="n">
        <v>0.132000000000005</v>
      </c>
      <c r="R871" s="769" t="n">
        <v>503</v>
      </c>
      <c r="S871" s="740" t="inlineStr">
        <is>
          <t>2D 0H 26M 0S</t>
        </is>
      </c>
      <c r="T871" s="750" t="n"/>
      <c r="U871" s="751" t="n"/>
      <c r="V871" s="752" t="n"/>
      <c r="W871" s="753" t="n"/>
      <c r="X871" s="754" t="n"/>
      <c r="Y871" s="750" t="n"/>
      <c r="Z871" s="751" t="n"/>
      <c r="AA871" s="752" t="n"/>
      <c r="AB871" s="753" t="n"/>
      <c r="AC871" s="754" t="n"/>
      <c r="AD871" s="740" t="inlineStr">
        <is>
          <t>No</t>
        </is>
      </c>
      <c r="AE871" s="755" t="n"/>
      <c r="AF871" s="755" t="n"/>
      <c r="AG871" s="755" t="n"/>
      <c r="AH871" s="755" t="n"/>
      <c r="AI871" s="740" t="inlineStr">
        <is>
          <t>Limit</t>
        </is>
      </c>
      <c r="AJ871" s="755" t="n"/>
      <c r="AK871" s="755" t="n"/>
      <c r="AL871" s="755" t="n"/>
      <c r="AM871" s="755" t="n"/>
      <c r="AN871" s="755" t="n"/>
      <c r="AO871" s="755" t="n"/>
      <c r="AP871" s="740" t="inlineStr">
        <is>
          <t>Pullback</t>
        </is>
      </c>
      <c r="AQ871" s="740" t="inlineStr">
        <is>
          <t>4H</t>
        </is>
      </c>
      <c r="AR871" s="740" t="inlineStr">
        <is>
          <t>No</t>
        </is>
      </c>
      <c r="AS871" s="755" t="n"/>
      <c r="AT871" s="755" t="n"/>
      <c r="AU871" s="755" t="n"/>
      <c r="AV871" s="755" t="n"/>
      <c r="AW871" s="740" t="inlineStr">
        <is>
          <t>trade</t>
        </is>
      </c>
      <c r="AX871" s="756" t="inlineStr">
        <is>
          <t>sig:450d117f8e8bcf39e4c0e361</t>
        </is>
      </c>
    </row>
    <row r="872" ht="15" customHeight="1">
      <c r="A872" s="716" t="inlineStr">
        <is>
          <t>F658</t>
        </is>
      </c>
      <c r="B872" s="717" t="n">
        <v>43742.34722222222</v>
      </c>
      <c r="C872" s="718" t="n">
        <v>43742.91041666667</v>
      </c>
      <c r="D872" s="719" t="inlineStr">
        <is>
          <t>PEPPERSTONE DEMO</t>
        </is>
      </c>
      <c r="E872" s="719" t="inlineStr">
        <is>
          <t>NZDCHF</t>
        </is>
      </c>
      <c r="F872" s="719" t="inlineStr">
        <is>
          <t>BUY</t>
        </is>
      </c>
      <c r="G872" s="735" t="n">
        <v>0.01</v>
      </c>
      <c r="H872" s="720" t="n">
        <v>0.6289</v>
      </c>
      <c r="I872" s="720" t="n">
        <v>0.62862</v>
      </c>
      <c r="J872" s="721" t="n">
        <v>0.627</v>
      </c>
      <c r="K872" s="722" t="n">
        <v>0.003021148036253797</v>
      </c>
      <c r="L872" s="721" t="n">
        <v>0.6346000000000001</v>
      </c>
      <c r="M872" s="722" t="n">
        <v>0.009063444108761391</v>
      </c>
      <c r="N872" s="788" t="n"/>
      <c r="O872" s="762" t="n">
        <v>-0.42</v>
      </c>
      <c r="P872" s="763" t="n">
        <v>-0.0008349900596421471</v>
      </c>
      <c r="Q872" s="726" t="n">
        <v>-0.1473684210526611</v>
      </c>
      <c r="R872" s="764" t="n">
        <v>502.58</v>
      </c>
      <c r="S872" s="719" t="inlineStr">
        <is>
          <t>13H 31M 0S</t>
        </is>
      </c>
      <c r="T872" s="728" t="n"/>
      <c r="U872" s="729" t="n"/>
      <c r="V872" s="730" t="n"/>
      <c r="W872" s="731" t="n"/>
      <c r="X872" s="732" t="n"/>
      <c r="Y872" s="728" t="n"/>
      <c r="Z872" s="729" t="n"/>
      <c r="AA872" s="730" t="n"/>
      <c r="AB872" s="731" t="n"/>
      <c r="AC872" s="732" t="n"/>
      <c r="AD872" s="719" t="inlineStr">
        <is>
          <t>No</t>
        </is>
      </c>
      <c r="AE872" s="733" t="n"/>
      <c r="AF872" s="733" t="n"/>
      <c r="AG872" s="733" t="n"/>
      <c r="AH872" s="733" t="n"/>
      <c r="AI872" s="719" t="inlineStr">
        <is>
          <t>Limit</t>
        </is>
      </c>
      <c r="AJ872" s="733" t="n"/>
      <c r="AK872" s="733" t="n"/>
      <c r="AL872" s="733" t="n"/>
      <c r="AM872" s="733" t="n"/>
      <c r="AN872" s="733" t="n"/>
      <c r="AO872" s="733" t="n"/>
      <c r="AP872" s="719" t="inlineStr">
        <is>
          <t>Pullback</t>
        </is>
      </c>
      <c r="AQ872" s="719" t="inlineStr">
        <is>
          <t>4H</t>
        </is>
      </c>
      <c r="AR872" s="719" t="inlineStr">
        <is>
          <t>No</t>
        </is>
      </c>
      <c r="AS872" s="733" t="n"/>
      <c r="AT872" s="733" t="n"/>
      <c r="AU872" s="733" t="n"/>
      <c r="AV872" s="733" t="n"/>
      <c r="AW872" s="719" t="inlineStr">
        <is>
          <t>trade</t>
        </is>
      </c>
      <c r="AX872" s="734" t="inlineStr">
        <is>
          <t>sig:ff137969b183a9c47e82bee1</t>
        </is>
      </c>
    </row>
    <row r="873" ht="15" customHeight="1">
      <c r="A873" s="737" t="inlineStr">
        <is>
          <t>F656</t>
        </is>
      </c>
      <c r="B873" s="738" t="n">
        <v>43740.17986111111</v>
      </c>
      <c r="C873" s="739" t="n">
        <v>43740.925</v>
      </c>
      <c r="D873" s="740" t="inlineStr">
        <is>
          <t>PEPPERSTONE DEMO</t>
        </is>
      </c>
      <c r="E873" s="740" t="inlineStr">
        <is>
          <t>CADCHF</t>
        </is>
      </c>
      <c r="F873" s="740" t="inlineStr">
        <is>
          <t>BUY</t>
        </is>
      </c>
      <c r="G873" s="775" t="n">
        <v>0.01</v>
      </c>
      <c r="H873" s="742" t="n">
        <v>0.7514</v>
      </c>
      <c r="I873" s="742" t="n">
        <v>0.75687</v>
      </c>
      <c r="J873" s="743" t="n">
        <v>0.7496</v>
      </c>
      <c r="K873" s="744" t="n">
        <v>0.002395528347085325</v>
      </c>
      <c r="L873" s="743" t="n">
        <v>0.7568</v>
      </c>
      <c r="M873" s="744" t="n">
        <v>0.007186585041256417</v>
      </c>
      <c r="N873" s="808" t="n">
        <v>0.05</v>
      </c>
      <c r="O873" s="767" t="n">
        <v>8.109999999999999</v>
      </c>
      <c r="P873" s="747" t="n">
        <v>0.01638748004607084</v>
      </c>
      <c r="Q873" s="748" t="n">
        <v>3.038888888889084</v>
      </c>
      <c r="R873" s="769" t="n">
        <v>503</v>
      </c>
      <c r="S873" s="740" t="inlineStr">
        <is>
          <t>17H 53M 0S</t>
        </is>
      </c>
      <c r="T873" s="738" t="n">
        <v>43740.74930555555</v>
      </c>
      <c r="U873" s="809" t="inlineStr">
        <is>
          <t>13H 40M 0S</t>
        </is>
      </c>
      <c r="V873" s="752" t="n"/>
      <c r="W873" s="753" t="n"/>
      <c r="X873" s="754" t="n"/>
      <c r="Y873" s="750" t="n"/>
      <c r="Z873" s="751" t="n"/>
      <c r="AA873" s="752" t="n"/>
      <c r="AB873" s="753" t="n"/>
      <c r="AC873" s="754" t="n"/>
      <c r="AD873" s="740" t="inlineStr">
        <is>
          <t>No</t>
        </is>
      </c>
      <c r="AE873" s="755" t="n"/>
      <c r="AF873" s="755" t="n"/>
      <c r="AG873" s="755" t="n"/>
      <c r="AH873" s="755" t="n"/>
      <c r="AI873" s="740" t="inlineStr">
        <is>
          <t>Market</t>
        </is>
      </c>
      <c r="AJ873" s="755" t="n"/>
      <c r="AK873" s="755" t="n"/>
      <c r="AL873" s="755" t="n"/>
      <c r="AM873" s="755" t="n"/>
      <c r="AN873" s="755" t="n"/>
      <c r="AO873" s="755" t="n"/>
      <c r="AP873" s="740" t="inlineStr">
        <is>
          <t>Pullback</t>
        </is>
      </c>
      <c r="AQ873" s="740" t="inlineStr">
        <is>
          <t>4H</t>
        </is>
      </c>
      <c r="AR873" s="740" t="inlineStr">
        <is>
          <t>No</t>
        </is>
      </c>
      <c r="AS873" s="755" t="n"/>
      <c r="AT873" s="755" t="n"/>
      <c r="AU873" s="755" t="n"/>
      <c r="AV873" s="755" t="n"/>
      <c r="AW873" s="740" t="inlineStr">
        <is>
          <t>trade</t>
        </is>
      </c>
      <c r="AX873" s="756" t="inlineStr">
        <is>
          <t>sig:1f7d3a1d9e77c84b7db0ae35</t>
        </is>
      </c>
    </row>
    <row r="874" ht="15" customHeight="1">
      <c r="A874" s="716" t="inlineStr">
        <is>
          <t>F655</t>
        </is>
      </c>
      <c r="B874" s="717" t="n">
        <v>43740</v>
      </c>
      <c r="C874" s="718" t="n">
        <v>43740.04375</v>
      </c>
      <c r="D874" s="719" t="inlineStr">
        <is>
          <t>PEPPERSTONE DEMO</t>
        </is>
      </c>
      <c r="E874" s="719" t="inlineStr">
        <is>
          <t>CADCHF</t>
        </is>
      </c>
      <c r="F874" s="719" t="inlineStr">
        <is>
          <t>BUY</t>
        </is>
      </c>
      <c r="G874" s="735" t="n">
        <v>0.02</v>
      </c>
      <c r="H874" s="720" t="n">
        <v>0.753</v>
      </c>
      <c r="I874" s="720" t="n">
        <v>0.7513</v>
      </c>
      <c r="J874" s="721" t="n">
        <v>0.7513</v>
      </c>
      <c r="K874" s="722" t="n">
        <v>0.002257636122178001</v>
      </c>
      <c r="L874" s="721" t="n">
        <v>0.7581</v>
      </c>
      <c r="M874" s="722" t="n">
        <v>0.006772908366533856</v>
      </c>
      <c r="N874" s="761" t="n"/>
      <c r="O874" s="762" t="n">
        <v>-5.11</v>
      </c>
      <c r="P874" s="725" t="n">
        <v>-0.01022</v>
      </c>
      <c r="Q874" s="726" t="n">
        <v>-1</v>
      </c>
      <c r="R874" s="764" t="n">
        <v>494.89</v>
      </c>
      <c r="S874" s="719" t="inlineStr">
        <is>
          <t>1H 3M 0S</t>
        </is>
      </c>
      <c r="T874" s="717" t="n"/>
      <c r="U874" s="806" t="n"/>
      <c r="V874" s="730" t="n"/>
      <c r="W874" s="731" t="n"/>
      <c r="X874" s="732" t="n"/>
      <c r="Y874" s="728" t="n"/>
      <c r="Z874" s="729" t="n"/>
      <c r="AA874" s="730" t="n"/>
      <c r="AB874" s="731" t="n"/>
      <c r="AC874" s="732" t="n"/>
      <c r="AD874" s="719" t="inlineStr">
        <is>
          <t>No</t>
        </is>
      </c>
      <c r="AE874" s="733" t="n"/>
      <c r="AF874" s="733" t="n"/>
      <c r="AG874" s="733" t="n"/>
      <c r="AH874" s="733" t="n"/>
      <c r="AI874" s="719" t="inlineStr">
        <is>
          <t>Limit</t>
        </is>
      </c>
      <c r="AJ874" s="733" t="n"/>
      <c r="AK874" s="733" t="n"/>
      <c r="AL874" s="733" t="n"/>
      <c r="AM874" s="733" t="n"/>
      <c r="AN874" s="733" t="n"/>
      <c r="AO874" s="733" t="n"/>
      <c r="AP874" s="719" t="inlineStr">
        <is>
          <t>Pullback</t>
        </is>
      </c>
      <c r="AQ874" s="719" t="inlineStr">
        <is>
          <t>4H</t>
        </is>
      </c>
      <c r="AR874" s="719" t="inlineStr">
        <is>
          <t>No</t>
        </is>
      </c>
      <c r="AS874" s="733" t="n"/>
      <c r="AT874" s="733" t="n"/>
      <c r="AU874" s="733" t="n"/>
      <c r="AV874" s="733" t="n"/>
      <c r="AW874" s="719" t="inlineStr">
        <is>
          <t>trade</t>
        </is>
      </c>
      <c r="AX874" s="734" t="inlineStr">
        <is>
          <t>sig:23be8c0732e47b042b92bdfb</t>
        </is>
      </c>
    </row>
    <row r="875" ht="15" customHeight="1">
      <c r="A875" s="42" t="n"/>
      <c r="B875" s="770" t="n">
        <v>43740</v>
      </c>
      <c r="C875" s="771" t="n">
        <v>43740</v>
      </c>
      <c r="D875" s="12" t="inlineStr">
        <is>
          <t>PEPPERSTONE DEMO</t>
        </is>
      </c>
      <c r="E875" s="12" t="inlineStr">
        <is>
          <t>CASHFLOW</t>
        </is>
      </c>
      <c r="F875" s="12" t="inlineStr">
        <is>
          <t>WITHDRAWAL</t>
        </is>
      </c>
      <c r="G875" s="262" t="n"/>
      <c r="H875" s="262" t="n"/>
      <c r="I875" s="262" t="n"/>
      <c r="J875" s="263" t="n"/>
      <c r="K875" s="36" t="n"/>
      <c r="L875" s="263" t="n"/>
      <c r="M875" s="36" t="n"/>
      <c r="N875" s="772" t="n"/>
      <c r="O875" s="773" t="n"/>
      <c r="P875" s="3" t="n"/>
      <c r="Q875" s="51" t="n"/>
      <c r="R875" s="54" t="n">
        <v>500</v>
      </c>
      <c r="S875" s="12" t="n"/>
      <c r="T875" s="774" t="n"/>
      <c r="U875" s="6" t="n"/>
      <c r="V875" s="264" t="n"/>
      <c r="W875" s="9" t="n"/>
      <c r="X875" s="46" t="n"/>
      <c r="Y875" s="774" t="n"/>
      <c r="Z875" s="6" t="n"/>
      <c r="AA875" s="264" t="n"/>
      <c r="AB875" s="9" t="n"/>
      <c r="AC875" s="46" t="n"/>
      <c r="AD875" s="12" t="inlineStr">
        <is>
          <t>No</t>
        </is>
      </c>
      <c r="AE875" s="45" t="n"/>
      <c r="AF875" s="45" t="n"/>
      <c r="AG875" s="45" t="n"/>
      <c r="AH875" s="45" t="n"/>
      <c r="AI875" s="12" t="n"/>
      <c r="AJ875" s="45" t="n"/>
      <c r="AK875" s="45" t="n"/>
      <c r="AL875" s="45" t="n"/>
      <c r="AM875" s="45" t="n"/>
      <c r="AN875" s="45" t="n"/>
      <c r="AO875" s="45" t="n"/>
      <c r="AP875" s="12" t="n"/>
      <c r="AQ875" s="12" t="n"/>
      <c r="AR875" s="12" t="n"/>
      <c r="AS875" s="56" t="inlineStr">
        <is>
          <t>Withdrawal -475.53 AUD. Source: user_txt. Imported from account_cashflows.xlsx row 46.</t>
        </is>
      </c>
      <c r="AT875" s="45" t="n"/>
      <c r="AU875" s="12" t="n">
        <v>500</v>
      </c>
      <c r="AV875" s="12" t="inlineStr">
        <is>
          <t>AUD</t>
        </is>
      </c>
      <c r="AW875" s="12" t="inlineStr">
        <is>
          <t>cashflow</t>
        </is>
      </c>
      <c r="AX875" s="57" t="inlineStr">
        <is>
          <t>cashflow:PEPPERSTONE DEMO:2019-10-02T00:00:00:32</t>
        </is>
      </c>
    </row>
    <row r="876" ht="15" customHeight="1">
      <c r="A876" s="716" t="inlineStr">
        <is>
          <t>F654</t>
        </is>
      </c>
      <c r="B876" s="717" t="n">
        <v>43738.95902777778</v>
      </c>
      <c r="C876" s="718" t="n">
        <v>43739.85902777778</v>
      </c>
      <c r="D876" s="719" t="inlineStr">
        <is>
          <t>PEPPERSTONE DEMO</t>
        </is>
      </c>
      <c r="E876" s="719" t="inlineStr">
        <is>
          <t>CHFJPY</t>
        </is>
      </c>
      <c r="F876" s="719" t="inlineStr">
        <is>
          <t>BUY</t>
        </is>
      </c>
      <c r="G876" s="735" t="n">
        <v>0.01</v>
      </c>
      <c r="H876" s="720" t="n">
        <v>108.34</v>
      </c>
      <c r="I876" s="720" t="n">
        <v>108.11</v>
      </c>
      <c r="J876" s="721" t="n">
        <v>108.11</v>
      </c>
      <c r="K876" s="722" t="n">
        <v>0.002122946280228946</v>
      </c>
      <c r="L876" s="721" t="n">
        <v>108.81</v>
      </c>
      <c r="M876" s="722" t="n">
        <v>0.004338194572641673</v>
      </c>
      <c r="N876" s="792" t="n">
        <v>0.04</v>
      </c>
      <c r="O876" s="762" t="n">
        <v>-3.21</v>
      </c>
      <c r="P876" s="725" t="n">
        <v>-0.003279726995933547</v>
      </c>
      <c r="Q876" s="726" t="n">
        <v>-1</v>
      </c>
      <c r="R876" s="764" t="n">
        <v>975.53</v>
      </c>
      <c r="S876" s="719" t="inlineStr">
        <is>
          <t>21H 36M 0S</t>
        </is>
      </c>
      <c r="T876" s="728" t="n"/>
      <c r="U876" s="729" t="n"/>
      <c r="V876" s="730" t="n"/>
      <c r="W876" s="731" t="n"/>
      <c r="X876" s="732" t="n"/>
      <c r="Y876" s="728" t="n"/>
      <c r="Z876" s="729" t="n"/>
      <c r="AA876" s="730" t="n"/>
      <c r="AB876" s="731" t="n"/>
      <c r="AC876" s="732" t="n"/>
      <c r="AD876" s="719" t="inlineStr">
        <is>
          <t>No</t>
        </is>
      </c>
      <c r="AE876" s="733" t="n"/>
      <c r="AF876" s="733" t="n"/>
      <c r="AG876" s="733" t="n"/>
      <c r="AH876" s="733" t="n"/>
      <c r="AI876" s="719" t="inlineStr">
        <is>
          <t>Limit</t>
        </is>
      </c>
      <c r="AJ876" s="733" t="n"/>
      <c r="AK876" s="733" t="n"/>
      <c r="AL876" s="733" t="n"/>
      <c r="AM876" s="733" t="n"/>
      <c r="AN876" s="733" t="n"/>
      <c r="AO876" s="733" t="n"/>
      <c r="AP876" s="719" t="inlineStr">
        <is>
          <t>Pullback</t>
        </is>
      </c>
      <c r="AQ876" s="719" t="inlineStr">
        <is>
          <t>4H</t>
        </is>
      </c>
      <c r="AR876" s="719" t="inlineStr">
        <is>
          <t>No</t>
        </is>
      </c>
      <c r="AS876" s="733" t="n"/>
      <c r="AT876" s="733" t="n"/>
      <c r="AU876" s="733" t="n"/>
      <c r="AV876" s="733" t="n"/>
      <c r="AW876" s="719" t="inlineStr">
        <is>
          <t>trade</t>
        </is>
      </c>
      <c r="AX876" s="734" t="inlineStr">
        <is>
          <t>sig:35e8eef414ebde64166720d1</t>
        </is>
      </c>
    </row>
    <row r="877" ht="15" customHeight="1">
      <c r="A877" s="42" t="n"/>
      <c r="B877" s="770" t="n">
        <v>43739</v>
      </c>
      <c r="C877" s="771" t="n">
        <v>43739</v>
      </c>
      <c r="D877" s="12" t="inlineStr">
        <is>
          <t>PEPPERSTONE DEMO</t>
        </is>
      </c>
      <c r="E877" s="12" t="inlineStr">
        <is>
          <t>CASHFLOW</t>
        </is>
      </c>
      <c r="F877" s="12" t="inlineStr">
        <is>
          <t>DEPOSIT</t>
        </is>
      </c>
      <c r="G877" s="262" t="n"/>
      <c r="H877" s="262" t="n"/>
      <c r="I877" s="262" t="n"/>
      <c r="J877" s="263" t="n"/>
      <c r="K877" s="36" t="n"/>
      <c r="L877" s="263" t="n"/>
      <c r="M877" s="36" t="n"/>
      <c r="N877" s="779" t="n"/>
      <c r="O877" s="773" t="n"/>
      <c r="P877" s="3" t="n"/>
      <c r="Q877" s="51" t="n"/>
      <c r="R877" s="54" t="n">
        <v>978.74</v>
      </c>
      <c r="S877" s="12" t="n"/>
      <c r="T877" s="774" t="n"/>
      <c r="U877" s="6" t="n"/>
      <c r="V877" s="264" t="n"/>
      <c r="W877" s="9" t="n"/>
      <c r="X877" s="46" t="n"/>
      <c r="Y877" s="774" t="n"/>
      <c r="Z877" s="6" t="n"/>
      <c r="AA877" s="264" t="n"/>
      <c r="AB877" s="9" t="n"/>
      <c r="AC877" s="46" t="n"/>
      <c r="AD877" s="12" t="inlineStr">
        <is>
          <t>No</t>
        </is>
      </c>
      <c r="AE877" s="45" t="n"/>
      <c r="AF877" s="45" t="n"/>
      <c r="AG877" s="45" t="n"/>
      <c r="AH877" s="45" t="n"/>
      <c r="AI877" s="12" t="n"/>
      <c r="AJ877" s="45" t="n"/>
      <c r="AK877" s="45" t="n"/>
      <c r="AL877" s="45" t="n"/>
      <c r="AM877" s="45" t="n"/>
      <c r="AN877" s="45" t="n"/>
      <c r="AO877" s="45" t="n"/>
      <c r="AP877" s="12" t="n"/>
      <c r="AQ877" s="12" t="n"/>
      <c r="AR877" s="12" t="n"/>
      <c r="AS877" s="56" t="inlineStr">
        <is>
          <t>Deposit 500.0 AUD. Source: user_txt. Imported from account_cashflows.xlsx row 45.</t>
        </is>
      </c>
      <c r="AT877" s="45" t="n"/>
      <c r="AU877" s="12" t="n">
        <v>978.74</v>
      </c>
      <c r="AV877" s="12" t="inlineStr">
        <is>
          <t>AUD</t>
        </is>
      </c>
      <c r="AW877" s="12" t="inlineStr">
        <is>
          <t>cashflow</t>
        </is>
      </c>
      <c r="AX877" s="57" t="inlineStr">
        <is>
          <t>cashflow:PEPPERSTONE DEMO:2019-10-01T00:00:00:31</t>
        </is>
      </c>
    </row>
    <row r="878" ht="15" customHeight="1">
      <c r="A878" s="716" t="inlineStr">
        <is>
          <t>F653</t>
        </is>
      </c>
      <c r="B878" s="717" t="n">
        <v>43735.45833333334</v>
      </c>
      <c r="C878" s="718" t="n">
        <v>43736.06875</v>
      </c>
      <c r="D878" s="719" t="inlineStr">
        <is>
          <t>PEPPERSTONE DEMO</t>
        </is>
      </c>
      <c r="E878" s="719" t="inlineStr">
        <is>
          <t>CADCHF</t>
        </is>
      </c>
      <c r="F878" s="719" t="inlineStr">
        <is>
          <t>BUY</t>
        </is>
      </c>
      <c r="G878" s="735" t="n">
        <v>0.01</v>
      </c>
      <c r="H878" s="720" t="n">
        <v>0.7489</v>
      </c>
      <c r="I878" s="720" t="n">
        <v>0.7471100000000001</v>
      </c>
      <c r="J878" s="721" t="n">
        <v>0.7471</v>
      </c>
      <c r="K878" s="722" t="n">
        <v>0.002403525170249732</v>
      </c>
      <c r="L878" s="721" t="n">
        <v>0.7543</v>
      </c>
      <c r="M878" s="722" t="n">
        <v>0.007210575510749046</v>
      </c>
      <c r="N878" s="761" t="n"/>
      <c r="O878" s="762" t="n">
        <v>-2.69</v>
      </c>
      <c r="P878" s="725" t="n">
        <v>-0.00558752051180857</v>
      </c>
      <c r="Q878" s="726" t="n">
        <v>-0.9944444444444082</v>
      </c>
      <c r="R878" s="764" t="n">
        <v>478.74</v>
      </c>
      <c r="S878" s="719" t="inlineStr">
        <is>
          <t>14H 39M 0S</t>
        </is>
      </c>
      <c r="T878" s="728" t="n"/>
      <c r="U878" s="729" t="n"/>
      <c r="V878" s="730" t="n"/>
      <c r="W878" s="731" t="n"/>
      <c r="X878" s="732" t="n"/>
      <c r="Y878" s="728" t="n"/>
      <c r="Z878" s="729" t="n"/>
      <c r="AA878" s="730" t="n"/>
      <c r="AB878" s="731" t="n"/>
      <c r="AC878" s="732" t="n"/>
      <c r="AD878" s="719" t="inlineStr">
        <is>
          <t>No</t>
        </is>
      </c>
      <c r="AE878" s="733" t="n"/>
      <c r="AF878" s="733" t="n"/>
      <c r="AG878" s="733" t="n"/>
      <c r="AH878" s="733" t="n"/>
      <c r="AI878" s="719" t="inlineStr">
        <is>
          <t>Market</t>
        </is>
      </c>
      <c r="AJ878" s="733" t="n"/>
      <c r="AK878" s="733" t="n"/>
      <c r="AL878" s="733" t="n"/>
      <c r="AM878" s="733" t="n"/>
      <c r="AN878" s="733" t="n"/>
      <c r="AO878" s="733" t="n"/>
      <c r="AP878" s="719" t="inlineStr">
        <is>
          <t>Pullback</t>
        </is>
      </c>
      <c r="AQ878" s="719" t="inlineStr">
        <is>
          <t>4H</t>
        </is>
      </c>
      <c r="AR878" s="719" t="inlineStr">
        <is>
          <t>No</t>
        </is>
      </c>
      <c r="AS878" s="733" t="n"/>
      <c r="AT878" s="733" t="n"/>
      <c r="AU878" s="733" t="n"/>
      <c r="AV878" s="733" t="n"/>
      <c r="AW878" s="719" t="inlineStr">
        <is>
          <t>trade</t>
        </is>
      </c>
      <c r="AX878" s="734" t="inlineStr">
        <is>
          <t>sig:03822b8c962c5f6a3e472de1</t>
        </is>
      </c>
    </row>
    <row r="879" ht="15" customHeight="1">
      <c r="A879" s="716" t="inlineStr">
        <is>
          <t>F652</t>
        </is>
      </c>
      <c r="B879" s="717" t="n">
        <v>43734.95833333334</v>
      </c>
      <c r="C879" s="718" t="n">
        <v>43735.05486111111</v>
      </c>
      <c r="D879" s="719" t="inlineStr">
        <is>
          <t>PEPPERSTONE DEMO</t>
        </is>
      </c>
      <c r="E879" s="719" t="inlineStr">
        <is>
          <t>CADCHF</t>
        </is>
      </c>
      <c r="F879" s="719" t="inlineStr">
        <is>
          <t>BUY</t>
        </is>
      </c>
      <c r="G879" s="735" t="n">
        <v>0.01</v>
      </c>
      <c r="H879" s="720" t="n">
        <v>0.7493</v>
      </c>
      <c r="I879" s="720" t="n">
        <v>0.7474499999999999</v>
      </c>
      <c r="J879" s="721" t="n">
        <v>0.7474</v>
      </c>
      <c r="K879" s="722" t="n">
        <v>0.002535699986654228</v>
      </c>
      <c r="L879" s="721" t="n">
        <v>0.7543</v>
      </c>
      <c r="M879" s="722" t="n">
        <v>0.006672894701721613</v>
      </c>
      <c r="N879" s="788" t="n"/>
      <c r="O879" s="762" t="n">
        <v>-2.84</v>
      </c>
      <c r="P879" s="725" t="n">
        <v>-0.005864497078076281</v>
      </c>
      <c r="Q879" s="726" t="n">
        <v>-0.9736842105263188</v>
      </c>
      <c r="R879" s="764" t="n">
        <v>481.4299999999999</v>
      </c>
      <c r="S879" s="719" t="inlineStr">
        <is>
          <t>2H 19M 0S</t>
        </is>
      </c>
      <c r="T879" s="728" t="n"/>
      <c r="U879" s="729" t="n"/>
      <c r="V879" s="730" t="n"/>
      <c r="W879" s="731" t="n"/>
      <c r="X879" s="732" t="n"/>
      <c r="Y879" s="728" t="n"/>
      <c r="Z879" s="729" t="n"/>
      <c r="AA879" s="730" t="n"/>
      <c r="AB879" s="731" t="n"/>
      <c r="AC879" s="732" t="n"/>
      <c r="AD879" s="719" t="inlineStr">
        <is>
          <t>No</t>
        </is>
      </c>
      <c r="AE879" s="733" t="n"/>
      <c r="AF879" s="733" t="n"/>
      <c r="AG879" s="733" t="n"/>
      <c r="AH879" s="733" t="n"/>
      <c r="AI879" s="719" t="inlineStr">
        <is>
          <t>Market</t>
        </is>
      </c>
      <c r="AJ879" s="733" t="n"/>
      <c r="AK879" s="733" t="n"/>
      <c r="AL879" s="733" t="n"/>
      <c r="AM879" s="733" t="n"/>
      <c r="AN879" s="733" t="n"/>
      <c r="AO879" s="733" t="n"/>
      <c r="AP879" s="719" t="inlineStr">
        <is>
          <t>Pullback</t>
        </is>
      </c>
      <c r="AQ879" s="719" t="inlineStr">
        <is>
          <t>4H</t>
        </is>
      </c>
      <c r="AR879" s="719" t="inlineStr">
        <is>
          <t>No</t>
        </is>
      </c>
      <c r="AS879" s="733" t="n"/>
      <c r="AT879" s="733" t="n"/>
      <c r="AU879" s="733" t="n"/>
      <c r="AV879" s="733" t="n"/>
      <c r="AW879" s="719" t="inlineStr">
        <is>
          <t>trade</t>
        </is>
      </c>
      <c r="AX879" s="734" t="inlineStr">
        <is>
          <t>sig:624396fe463464b3c00442a3</t>
        </is>
      </c>
    </row>
    <row r="880" ht="15" customHeight="1">
      <c r="A880" s="716" t="inlineStr">
        <is>
          <t>F651</t>
        </is>
      </c>
      <c r="B880" s="717" t="n">
        <v>43728.68958333333</v>
      </c>
      <c r="C880" s="718" t="n">
        <v>43728.90763888889</v>
      </c>
      <c r="D880" s="719" t="inlineStr">
        <is>
          <t>PEPPERSTONE DEMO</t>
        </is>
      </c>
      <c r="E880" s="719" t="inlineStr">
        <is>
          <t>EURCHF</t>
        </is>
      </c>
      <c r="F880" s="719" t="inlineStr">
        <is>
          <t>BUY</t>
        </is>
      </c>
      <c r="G880" s="735" t="n">
        <v>0.01</v>
      </c>
      <c r="H880" s="720" t="n">
        <v>1.0956</v>
      </c>
      <c r="I880" s="720" t="n">
        <v>1.09363</v>
      </c>
      <c r="J880" s="721" t="n">
        <v>1.0936</v>
      </c>
      <c r="K880" s="722" t="n">
        <v>0.001825483753194598</v>
      </c>
      <c r="L880" s="721" t="n">
        <v>1.1009</v>
      </c>
      <c r="M880" s="722" t="n">
        <v>0.004837531945965756</v>
      </c>
      <c r="N880" s="761" t="n"/>
      <c r="O880" s="762" t="n">
        <v>-2.97</v>
      </c>
      <c r="P880" s="725" t="n">
        <v>-0.00609555865692472</v>
      </c>
      <c r="Q880" s="726" t="n">
        <v>-0.9849999999999017</v>
      </c>
      <c r="R880" s="764" t="n">
        <v>484.2699999999999</v>
      </c>
      <c r="S880" s="719" t="inlineStr">
        <is>
          <t>5H 14M 0S</t>
        </is>
      </c>
      <c r="T880" s="728" t="n"/>
      <c r="U880" s="729" t="n"/>
      <c r="V880" s="730" t="n"/>
      <c r="W880" s="731" t="n"/>
      <c r="X880" s="732" t="n"/>
      <c r="Y880" s="728" t="n"/>
      <c r="Z880" s="729" t="n"/>
      <c r="AA880" s="730" t="n"/>
      <c r="AB880" s="731" t="n"/>
      <c r="AC880" s="732" t="n"/>
      <c r="AD880" s="719" t="inlineStr">
        <is>
          <t>No</t>
        </is>
      </c>
      <c r="AE880" s="733" t="n"/>
      <c r="AF880" s="733" t="n"/>
      <c r="AG880" s="733" t="n"/>
      <c r="AH880" s="733" t="n"/>
      <c r="AI880" s="719" t="inlineStr">
        <is>
          <t>Limit</t>
        </is>
      </c>
      <c r="AJ880" s="733" t="n"/>
      <c r="AK880" s="733" t="n"/>
      <c r="AL880" s="733" t="n"/>
      <c r="AM880" s="733" t="n"/>
      <c r="AN880" s="733" t="n"/>
      <c r="AO880" s="733" t="n"/>
      <c r="AP880" s="719" t="inlineStr">
        <is>
          <t>Pullback</t>
        </is>
      </c>
      <c r="AQ880" s="719" t="inlineStr">
        <is>
          <t>4H</t>
        </is>
      </c>
      <c r="AR880" s="719" t="inlineStr">
        <is>
          <t>No</t>
        </is>
      </c>
      <c r="AS880" s="733" t="n"/>
      <c r="AT880" s="733" t="n"/>
      <c r="AU880" s="733" t="n"/>
      <c r="AV880" s="733" t="n"/>
      <c r="AW880" s="719" t="inlineStr">
        <is>
          <t>trade</t>
        </is>
      </c>
      <c r="AX880" s="734" t="inlineStr">
        <is>
          <t>sig:284edd3e04f27e389d05eee4</t>
        </is>
      </c>
    </row>
    <row r="881" ht="15" customHeight="1">
      <c r="A881" s="716" t="inlineStr">
        <is>
          <t>F650</t>
        </is>
      </c>
      <c r="B881" s="717" t="n">
        <v>43728.06319444445</v>
      </c>
      <c r="C881" s="718" t="n">
        <v>43728.90763888889</v>
      </c>
      <c r="D881" s="719" t="inlineStr">
        <is>
          <t>PEPPERSTONE DEMO</t>
        </is>
      </c>
      <c r="E881" s="719" t="inlineStr">
        <is>
          <t>GBPAUD</t>
        </is>
      </c>
      <c r="F881" s="719" t="inlineStr">
        <is>
          <t>BUY</t>
        </is>
      </c>
      <c r="G881" s="735" t="n">
        <v>0.01</v>
      </c>
      <c r="H881" s="720" t="n">
        <v>1.83585</v>
      </c>
      <c r="I881" s="720" t="n">
        <v>1.83585</v>
      </c>
      <c r="J881" s="721" t="n">
        <v>1.83</v>
      </c>
      <c r="K881" s="722" t="n">
        <v>0.003186534847618221</v>
      </c>
      <c r="L881" s="721" t="n">
        <v>1.8532</v>
      </c>
      <c r="M881" s="722" t="n">
        <v>0.009450663180543059</v>
      </c>
      <c r="N881" s="792" t="n">
        <v>0.06</v>
      </c>
      <c r="O881" s="804" t="n">
        <v>-0.06</v>
      </c>
      <c r="P881" s="763" t="n">
        <v>-0.0001231274368971886</v>
      </c>
      <c r="Q881" s="726" t="n">
        <v>0</v>
      </c>
      <c r="R881" s="764" t="n">
        <v>487.24</v>
      </c>
      <c r="S881" s="719" t="inlineStr">
        <is>
          <t>20H 16M 0S</t>
        </is>
      </c>
      <c r="T881" s="717" t="n">
        <v>43728.59513888889</v>
      </c>
      <c r="U881" s="806" t="inlineStr">
        <is>
          <t>12H 46M 0S</t>
        </is>
      </c>
      <c r="V881" s="730" t="n"/>
      <c r="W881" s="731" t="n"/>
      <c r="X881" s="732" t="n"/>
      <c r="Y881" s="728" t="n"/>
      <c r="Z881" s="729" t="n"/>
      <c r="AA881" s="730" t="n"/>
      <c r="AB881" s="731" t="n"/>
      <c r="AC881" s="732" t="n"/>
      <c r="AD881" s="719" t="inlineStr">
        <is>
          <t>No</t>
        </is>
      </c>
      <c r="AE881" s="733" t="n"/>
      <c r="AF881" s="733" t="n"/>
      <c r="AG881" s="733" t="n"/>
      <c r="AH881" s="733" t="n"/>
      <c r="AI881" s="719" t="inlineStr">
        <is>
          <t>Limit</t>
        </is>
      </c>
      <c r="AJ881" s="733" t="n"/>
      <c r="AK881" s="733" t="n"/>
      <c r="AL881" s="733" t="n"/>
      <c r="AM881" s="733" t="n"/>
      <c r="AN881" s="733" t="n"/>
      <c r="AO881" s="733" t="n"/>
      <c r="AP881" s="719" t="inlineStr">
        <is>
          <t>Pullback</t>
        </is>
      </c>
      <c r="AQ881" s="719" t="inlineStr">
        <is>
          <t>4H</t>
        </is>
      </c>
      <c r="AR881" s="719" t="inlineStr">
        <is>
          <t>No</t>
        </is>
      </c>
      <c r="AS881" s="782" t="n"/>
      <c r="AT881" s="733" t="n"/>
      <c r="AU881" s="719" t="n"/>
      <c r="AV881" s="719" t="n"/>
      <c r="AW881" s="719" t="inlineStr">
        <is>
          <t>trade</t>
        </is>
      </c>
      <c r="AX881" s="734" t="inlineStr">
        <is>
          <t>sig:6278f6c1f44a03e3caab67e7</t>
        </is>
      </c>
    </row>
    <row r="882" ht="15" customHeight="1">
      <c r="A882" s="716" t="inlineStr">
        <is>
          <t>F649</t>
        </is>
      </c>
      <c r="B882" s="717" t="n">
        <v>43726.95833333334</v>
      </c>
      <c r="C882" s="718" t="n">
        <v>43728.05486111111</v>
      </c>
      <c r="D882" s="719" t="inlineStr">
        <is>
          <t>PEPPERSTONE DEMO</t>
        </is>
      </c>
      <c r="E882" s="719" t="inlineStr">
        <is>
          <t>EURCAD</t>
        </is>
      </c>
      <c r="F882" s="719" t="inlineStr">
        <is>
          <t>BUY</t>
        </is>
      </c>
      <c r="G882" s="735" t="n">
        <v>0.01</v>
      </c>
      <c r="H882" s="720" t="n">
        <v>1.46507</v>
      </c>
      <c r="I882" s="720" t="n">
        <v>1.46507</v>
      </c>
      <c r="J882" s="721" t="n">
        <v>1.4615</v>
      </c>
      <c r="K882" s="722" t="n">
        <v>0.002436743636822864</v>
      </c>
      <c r="L882" s="721" t="n">
        <v>1.472</v>
      </c>
      <c r="M882" s="722" t="n">
        <v>0.004730149412655969</v>
      </c>
      <c r="N882" s="761" t="n">
        <v>0.36</v>
      </c>
      <c r="O882" s="762" t="n">
        <v>-0.36</v>
      </c>
      <c r="P882" s="763" t="n">
        <v>-0.0007382192511175818</v>
      </c>
      <c r="Q882" s="726" t="n">
        <v>0</v>
      </c>
      <c r="R882" s="764" t="n">
        <v>487.3</v>
      </c>
      <c r="S882" s="719" t="inlineStr">
        <is>
          <t>1D 2H 19M 0S</t>
        </is>
      </c>
      <c r="T882" s="717" t="n">
        <v>43727.88125</v>
      </c>
      <c r="U882" s="806" t="inlineStr">
        <is>
          <t>22H 9M 0S</t>
        </is>
      </c>
      <c r="V882" s="730" t="n"/>
      <c r="W882" s="731" t="n"/>
      <c r="X882" s="732" t="n"/>
      <c r="Y882" s="728" t="n"/>
      <c r="Z882" s="729" t="n"/>
      <c r="AA882" s="730" t="n"/>
      <c r="AB882" s="731" t="n"/>
      <c r="AC882" s="732" t="n"/>
      <c r="AD882" s="719" t="inlineStr">
        <is>
          <t>No</t>
        </is>
      </c>
      <c r="AE882" s="733" t="n"/>
      <c r="AF882" s="733" t="n"/>
      <c r="AG882" s="733" t="n"/>
      <c r="AH882" s="733" t="n"/>
      <c r="AI882" s="719" t="inlineStr">
        <is>
          <t>Market</t>
        </is>
      </c>
      <c r="AJ882" s="733" t="n"/>
      <c r="AK882" s="733" t="n"/>
      <c r="AL882" s="733" t="n"/>
      <c r="AM882" s="733" t="n"/>
      <c r="AN882" s="733" t="n"/>
      <c r="AO882" s="733" t="n"/>
      <c r="AP882" s="719" t="inlineStr">
        <is>
          <t>Pullback</t>
        </is>
      </c>
      <c r="AQ882" s="719" t="inlineStr">
        <is>
          <t>4H</t>
        </is>
      </c>
      <c r="AR882" s="719" t="inlineStr">
        <is>
          <t>No</t>
        </is>
      </c>
      <c r="AS882" s="782" t="n"/>
      <c r="AT882" s="733" t="n"/>
      <c r="AU882" s="719" t="n"/>
      <c r="AV882" s="719" t="n"/>
      <c r="AW882" s="719" t="inlineStr">
        <is>
          <t>trade</t>
        </is>
      </c>
      <c r="AX882" s="734" t="inlineStr">
        <is>
          <t>sig:f002d7e72fff5f2ff545930b</t>
        </is>
      </c>
    </row>
    <row r="883" ht="15" customHeight="1">
      <c r="A883" s="716" t="inlineStr">
        <is>
          <t>F647</t>
        </is>
      </c>
      <c r="B883" s="717" t="n">
        <v>43724.95902777778</v>
      </c>
      <c r="C883" s="718" t="n">
        <v>43727.46458333333</v>
      </c>
      <c r="D883" s="719" t="inlineStr">
        <is>
          <t>PEPPERSTONE DEMO</t>
        </is>
      </c>
      <c r="E883" s="719" t="inlineStr">
        <is>
          <t>CHFJPY</t>
        </is>
      </c>
      <c r="F883" s="719" t="inlineStr">
        <is>
          <t>BUY</t>
        </is>
      </c>
      <c r="G883" s="735" t="n">
        <v>0.01</v>
      </c>
      <c r="H883" s="720" t="n">
        <v>108.75</v>
      </c>
      <c r="I883" s="720" t="n">
        <v>108.444</v>
      </c>
      <c r="J883" s="721" t="n">
        <v>108.4</v>
      </c>
      <c r="K883" s="722" t="n">
        <v>0.003218390804597649</v>
      </c>
      <c r="L883" s="721" t="n">
        <v>109.45</v>
      </c>
      <c r="M883" s="722" t="n">
        <v>0.006436781609195428</v>
      </c>
      <c r="N883" s="761" t="n">
        <v>0.27</v>
      </c>
      <c r="O883" s="762" t="n">
        <v>-4.55</v>
      </c>
      <c r="P883" s="725" t="n">
        <v>-0.00924402186058796</v>
      </c>
      <c r="Q883" s="726" t="n">
        <v>-0.874285714285721</v>
      </c>
      <c r="R883" s="764" t="n">
        <v>487.66</v>
      </c>
      <c r="S883" s="719" t="inlineStr">
        <is>
          <t>2D 12H 8M 0S</t>
        </is>
      </c>
      <c r="T883" s="728" t="n"/>
      <c r="U883" s="729" t="n"/>
      <c r="V883" s="730" t="n"/>
      <c r="W883" s="731" t="n"/>
      <c r="X883" s="732" t="n"/>
      <c r="Y883" s="728" t="n"/>
      <c r="Z883" s="729" t="n"/>
      <c r="AA883" s="730" t="n"/>
      <c r="AB883" s="731" t="n"/>
      <c r="AC883" s="732" t="n"/>
      <c r="AD883" s="719" t="inlineStr">
        <is>
          <t>No</t>
        </is>
      </c>
      <c r="AE883" s="733" t="n"/>
      <c r="AF883" s="733" t="n"/>
      <c r="AG883" s="733" t="n"/>
      <c r="AH883" s="733" t="n"/>
      <c r="AI883" s="719" t="inlineStr">
        <is>
          <t>Market</t>
        </is>
      </c>
      <c r="AJ883" s="733" t="n"/>
      <c r="AK883" s="733" t="n"/>
      <c r="AL883" s="733" t="n"/>
      <c r="AM883" s="733" t="n"/>
      <c r="AN883" s="733" t="n"/>
      <c r="AO883" s="733" t="n"/>
      <c r="AP883" s="719" t="inlineStr">
        <is>
          <t>Pullback</t>
        </is>
      </c>
      <c r="AQ883" s="719" t="inlineStr">
        <is>
          <t>4H</t>
        </is>
      </c>
      <c r="AR883" s="719" t="inlineStr">
        <is>
          <t>No</t>
        </is>
      </c>
      <c r="AS883" s="733" t="n"/>
      <c r="AT883" s="733" t="n"/>
      <c r="AU883" s="733" t="n"/>
      <c r="AV883" s="733" t="n"/>
      <c r="AW883" s="719" t="inlineStr">
        <is>
          <t>trade</t>
        </is>
      </c>
      <c r="AX883" s="734" t="inlineStr">
        <is>
          <t>sig:eec69beb0d32a23f53551465</t>
        </is>
      </c>
    </row>
    <row r="884" ht="15" customHeight="1">
      <c r="A884" s="737" t="inlineStr">
        <is>
          <t>F648</t>
        </is>
      </c>
      <c r="B884" s="738" t="n">
        <v>43726.43472222222</v>
      </c>
      <c r="C884" s="739" t="n">
        <v>43727.14652777778</v>
      </c>
      <c r="D884" s="740" t="inlineStr">
        <is>
          <t>PEPPERSTONE DEMO</t>
        </is>
      </c>
      <c r="E884" s="740" t="inlineStr">
        <is>
          <t>NZDUSD</t>
        </is>
      </c>
      <c r="F884" s="740" t="inlineStr">
        <is>
          <t>SELL</t>
        </is>
      </c>
      <c r="G884" s="775" t="n">
        <v>0.02</v>
      </c>
      <c r="H884" s="742" t="n">
        <v>0.6356000000000001</v>
      </c>
      <c r="I884" s="742" t="n">
        <v>0.63398</v>
      </c>
      <c r="J884" s="743" t="n">
        <v>0.6372</v>
      </c>
      <c r="K884" s="744" t="n">
        <v>0.002517306482064089</v>
      </c>
      <c r="L884" s="743" t="n">
        <v>0.6308</v>
      </c>
      <c r="M884" s="744" t="n">
        <v>0.007551919446192615</v>
      </c>
      <c r="N884" s="796" t="n"/>
      <c r="O884" s="767" t="n">
        <v>4.81</v>
      </c>
      <c r="P884" s="747" t="n">
        <v>0.009868691013541238</v>
      </c>
      <c r="Q884" s="748" t="n">
        <v>1.012500000000082</v>
      </c>
      <c r="R884" s="769" t="n">
        <v>492.21</v>
      </c>
      <c r="S884" s="740" t="inlineStr">
        <is>
          <t>17H 5M 0S</t>
        </is>
      </c>
      <c r="T884" s="750" t="n"/>
      <c r="U884" s="751" t="n"/>
      <c r="V884" s="752" t="n"/>
      <c r="W884" s="753" t="n"/>
      <c r="X884" s="754" t="n"/>
      <c r="Y884" s="750" t="n"/>
      <c r="Z884" s="751" t="n"/>
      <c r="AA884" s="752" t="n"/>
      <c r="AB884" s="753" t="n"/>
      <c r="AC884" s="754" t="n"/>
      <c r="AD884" s="740" t="inlineStr">
        <is>
          <t>No</t>
        </is>
      </c>
      <c r="AE884" s="755" t="n"/>
      <c r="AF884" s="755" t="n"/>
      <c r="AG884" s="755" t="n"/>
      <c r="AH884" s="755" t="n"/>
      <c r="AI884" s="740" t="inlineStr">
        <is>
          <t>Market</t>
        </is>
      </c>
      <c r="AJ884" s="755" t="n"/>
      <c r="AK884" s="755" t="n"/>
      <c r="AL884" s="755" t="n"/>
      <c r="AM884" s="755" t="n"/>
      <c r="AN884" s="755" t="n"/>
      <c r="AO884" s="755" t="n"/>
      <c r="AP884" s="740" t="inlineStr">
        <is>
          <t>Pullback</t>
        </is>
      </c>
      <c r="AQ884" s="740" t="inlineStr">
        <is>
          <t>4H</t>
        </is>
      </c>
      <c r="AR884" s="740" t="inlineStr">
        <is>
          <t>No</t>
        </is>
      </c>
      <c r="AS884" s="755" t="n"/>
      <c r="AT884" s="755" t="n"/>
      <c r="AU884" s="755" t="n"/>
      <c r="AV884" s="755" t="n"/>
      <c r="AW884" s="740" t="inlineStr">
        <is>
          <t>trade</t>
        </is>
      </c>
      <c r="AX884" s="756" t="inlineStr">
        <is>
          <t>sig:5b6d8c708e837eb4282182ee</t>
        </is>
      </c>
    </row>
    <row r="885" ht="15" customHeight="1">
      <c r="A885" s="737" t="inlineStr">
        <is>
          <t>F645</t>
        </is>
      </c>
      <c r="B885" s="738" t="n">
        <v>43714.9375</v>
      </c>
      <c r="C885" s="739" t="n">
        <v>43715.27083333334</v>
      </c>
      <c r="D885" s="740" t="inlineStr">
        <is>
          <t>PEPPERSTONE DEMO</t>
        </is>
      </c>
      <c r="E885" s="740" t="inlineStr">
        <is>
          <t>EURJPY</t>
        </is>
      </c>
      <c r="F885" s="740" t="inlineStr">
        <is>
          <t>BUY</t>
        </is>
      </c>
      <c r="G885" s="775" t="n">
        <v>0.01</v>
      </c>
      <c r="H885" s="742" t="n">
        <v>117.83</v>
      </c>
      <c r="I885" s="742" t="n">
        <v>117.912</v>
      </c>
      <c r="J885" s="743" t="n">
        <v>117.49</v>
      </c>
      <c r="K885" s="744" t="n">
        <v>0.002885513027242667</v>
      </c>
      <c r="L885" s="743" t="n">
        <v>119.32</v>
      </c>
      <c r="M885" s="744" t="n">
        <v>0.01264533650173975</v>
      </c>
      <c r="N885" s="796" t="n"/>
      <c r="O885" s="767" t="n">
        <v>1.01</v>
      </c>
      <c r="P885" s="747" t="n">
        <v>0.002076522954830486</v>
      </c>
      <c r="Q885" s="748" t="n">
        <v>0.2411764705882559</v>
      </c>
      <c r="R885" s="769" t="n">
        <v>487.4</v>
      </c>
      <c r="S885" s="740" t="inlineStr">
        <is>
          <t>8H 0M 0S</t>
        </is>
      </c>
      <c r="T885" s="750" t="n"/>
      <c r="U885" s="751" t="n"/>
      <c r="V885" s="752" t="n"/>
      <c r="W885" s="753" t="n"/>
      <c r="X885" s="754" t="n"/>
      <c r="Y885" s="750" t="n"/>
      <c r="Z885" s="751" t="n"/>
      <c r="AA885" s="752" t="n"/>
      <c r="AB885" s="753" t="n"/>
      <c r="AC885" s="754" t="n"/>
      <c r="AD885" s="740" t="inlineStr">
        <is>
          <t>No</t>
        </is>
      </c>
      <c r="AE885" s="755" t="n"/>
      <c r="AF885" s="755" t="n"/>
      <c r="AG885" s="755" t="n"/>
      <c r="AH885" s="755" t="n"/>
      <c r="AI885" s="740" t="inlineStr">
        <is>
          <t>Limit</t>
        </is>
      </c>
      <c r="AJ885" s="755" t="n"/>
      <c r="AK885" s="755" t="n"/>
      <c r="AL885" s="755" t="n"/>
      <c r="AM885" s="755" t="n"/>
      <c r="AN885" s="755" t="n"/>
      <c r="AO885" s="755" t="n"/>
      <c r="AP885" s="740" t="inlineStr">
        <is>
          <t>Pullback</t>
        </is>
      </c>
      <c r="AQ885" s="740" t="inlineStr">
        <is>
          <t>4H</t>
        </is>
      </c>
      <c r="AR885" s="740" t="inlineStr">
        <is>
          <t>No</t>
        </is>
      </c>
      <c r="AS885" s="755" t="n"/>
      <c r="AT885" s="755" t="n"/>
      <c r="AU885" s="755" t="n"/>
      <c r="AV885" s="755" t="n"/>
      <c r="AW885" s="740" t="inlineStr">
        <is>
          <t>trade</t>
        </is>
      </c>
      <c r="AX885" s="756" t="inlineStr">
        <is>
          <t>sig:ed6f78fe853ff0864600b385</t>
        </is>
      </c>
    </row>
    <row r="886" ht="15" customHeight="1">
      <c r="A886" s="716" t="inlineStr">
        <is>
          <t>F646</t>
        </is>
      </c>
      <c r="B886" s="717" t="n">
        <v>43714.21527777778</v>
      </c>
      <c r="C886" s="718" t="n">
        <v>43714.71527777778</v>
      </c>
      <c r="D886" s="719" t="inlineStr">
        <is>
          <t>PEPPERSTONE DEMO</t>
        </is>
      </c>
      <c r="E886" s="719" t="inlineStr">
        <is>
          <t>EURNZD</t>
        </is>
      </c>
      <c r="F886" s="719" t="inlineStr">
        <is>
          <t>BUY</t>
        </is>
      </c>
      <c r="G886" s="735" t="n">
        <v>0.01</v>
      </c>
      <c r="H886" s="720" t="n">
        <v>1.7305</v>
      </c>
      <c r="I886" s="720" t="n">
        <v>1.72557</v>
      </c>
      <c r="J886" s="721" t="n">
        <v>1.7255</v>
      </c>
      <c r="K886" s="722" t="n">
        <v>0.00288933834151973</v>
      </c>
      <c r="L886" s="721" t="n">
        <v>1.7567</v>
      </c>
      <c r="M886" s="722" t="n">
        <v>0.01514013290956371</v>
      </c>
      <c r="N886" s="792" t="n">
        <v>0.09</v>
      </c>
      <c r="O886" s="762" t="n">
        <v>-4.74</v>
      </c>
      <c r="P886" s="725" t="n">
        <v>-0.009651212509926088</v>
      </c>
      <c r="Q886" s="726" t="n">
        <v>-0.9859999999999968</v>
      </c>
      <c r="R886" s="764" t="n">
        <v>486.39</v>
      </c>
      <c r="S886" s="719" t="inlineStr">
        <is>
          <t>12H 0M 0S</t>
        </is>
      </c>
      <c r="T886" s="728" t="n"/>
      <c r="U886" s="729" t="n"/>
      <c r="V886" s="730" t="n"/>
      <c r="W886" s="731" t="n"/>
      <c r="X886" s="732" t="n"/>
      <c r="Y886" s="728" t="n"/>
      <c r="Z886" s="729" t="n"/>
      <c r="AA886" s="730" t="n"/>
      <c r="AB886" s="731" t="n"/>
      <c r="AC886" s="732" t="n"/>
      <c r="AD886" s="719" t="inlineStr">
        <is>
          <t>No</t>
        </is>
      </c>
      <c r="AE886" s="733" t="n"/>
      <c r="AF886" s="733" t="n"/>
      <c r="AG886" s="733" t="n"/>
      <c r="AH886" s="733" t="n"/>
      <c r="AI886" s="719" t="inlineStr">
        <is>
          <t>Limit</t>
        </is>
      </c>
      <c r="AJ886" s="733" t="n"/>
      <c r="AK886" s="733" t="n"/>
      <c r="AL886" s="733" t="n"/>
      <c r="AM886" s="733" t="n"/>
      <c r="AN886" s="733" t="n"/>
      <c r="AO886" s="733" t="n"/>
      <c r="AP886" s="719" t="inlineStr">
        <is>
          <t>Pullback</t>
        </is>
      </c>
      <c r="AQ886" s="719" t="inlineStr">
        <is>
          <t>4H</t>
        </is>
      </c>
      <c r="AR886" s="719" t="inlineStr">
        <is>
          <t>No</t>
        </is>
      </c>
      <c r="AS886" s="733" t="n"/>
      <c r="AT886" s="733" t="n"/>
      <c r="AU886" s="733" t="n"/>
      <c r="AV886" s="733" t="n"/>
      <c r="AW886" s="719" t="inlineStr">
        <is>
          <t>trade</t>
        </is>
      </c>
      <c r="AX886" s="734" t="inlineStr">
        <is>
          <t>sig:dfe1a122a356ea4f9fd31d2b</t>
        </is>
      </c>
    </row>
    <row r="887" ht="15" customHeight="1">
      <c r="A887" s="716" t="inlineStr">
        <is>
          <t>F644</t>
        </is>
      </c>
      <c r="B887" s="717" t="n">
        <v>43713.87361111111</v>
      </c>
      <c r="C887" s="718" t="n">
        <v>43713.97430555556</v>
      </c>
      <c r="D887" s="719" t="inlineStr">
        <is>
          <t>PEPPERSTONE DEMO</t>
        </is>
      </c>
      <c r="E887" s="719" t="inlineStr">
        <is>
          <t>EURCHF</t>
        </is>
      </c>
      <c r="F887" s="719" t="inlineStr">
        <is>
          <t>SELL</t>
        </is>
      </c>
      <c r="G887" s="735" t="n">
        <v>0.01</v>
      </c>
      <c r="H887" s="720" t="n">
        <v>1.0867</v>
      </c>
      <c r="I887" s="720" t="n">
        <v>1.08867</v>
      </c>
      <c r="J887" s="721" t="n">
        <v>1.0886</v>
      </c>
      <c r="K887" s="722" t="n">
        <v>0.001748412625379601</v>
      </c>
      <c r="L887" s="721" t="n">
        <v>1.0821</v>
      </c>
      <c r="M887" s="722" t="n">
        <v>0.004232998987761054</v>
      </c>
      <c r="N887" s="788" t="n"/>
      <c r="O887" s="762" t="n">
        <v>-2.88</v>
      </c>
      <c r="P887" s="725" t="n">
        <v>-0.005829841501184187</v>
      </c>
      <c r="Q887" s="726" t="n">
        <v>-1.036842105263165</v>
      </c>
      <c r="R887" s="764" t="n">
        <v>491.13</v>
      </c>
      <c r="S887" s="719" t="inlineStr">
        <is>
          <t>2H 25M 0S</t>
        </is>
      </c>
      <c r="T887" s="728" t="n"/>
      <c r="U887" s="729" t="n"/>
      <c r="V887" s="730" t="n"/>
      <c r="W887" s="731" t="n"/>
      <c r="X887" s="732" t="n"/>
      <c r="Y887" s="728" t="n"/>
      <c r="Z887" s="729" t="n"/>
      <c r="AA887" s="730" t="n"/>
      <c r="AB887" s="731" t="n"/>
      <c r="AC887" s="732" t="n"/>
      <c r="AD887" s="719" t="inlineStr">
        <is>
          <t>No</t>
        </is>
      </c>
      <c r="AE887" s="733" t="n"/>
      <c r="AF887" s="733" t="n"/>
      <c r="AG887" s="733" t="n"/>
      <c r="AH887" s="733" t="n"/>
      <c r="AI887" s="719" t="inlineStr">
        <is>
          <t>Limit</t>
        </is>
      </c>
      <c r="AJ887" s="733" t="n"/>
      <c r="AK887" s="733" t="n"/>
      <c r="AL887" s="733" t="n"/>
      <c r="AM887" s="733" t="n"/>
      <c r="AN887" s="733" t="n"/>
      <c r="AO887" s="733" t="n"/>
      <c r="AP887" s="719" t="inlineStr">
        <is>
          <t>Pullback</t>
        </is>
      </c>
      <c r="AQ887" s="719" t="inlineStr">
        <is>
          <t>4H</t>
        </is>
      </c>
      <c r="AR887" s="719" t="inlineStr">
        <is>
          <t>No</t>
        </is>
      </c>
      <c r="AS887" s="733" t="n"/>
      <c r="AT887" s="733" t="n"/>
      <c r="AU887" s="733" t="n"/>
      <c r="AV887" s="733" t="n"/>
      <c r="AW887" s="719" t="inlineStr">
        <is>
          <t>trade</t>
        </is>
      </c>
      <c r="AX887" s="734" t="inlineStr">
        <is>
          <t>sig:16ef136e7cd6dfa025627185</t>
        </is>
      </c>
    </row>
    <row r="888" ht="15" customHeight="1">
      <c r="A888" s="716" t="inlineStr">
        <is>
          <t>F643</t>
        </is>
      </c>
      <c r="B888" s="717" t="n">
        <v>43713.07152777778</v>
      </c>
      <c r="C888" s="718" t="n">
        <v>43713.48194444444</v>
      </c>
      <c r="D888" s="719" t="inlineStr">
        <is>
          <t>PEPPERSTONE DEMO</t>
        </is>
      </c>
      <c r="E888" s="719" t="inlineStr">
        <is>
          <t>EURJPY</t>
        </is>
      </c>
      <c r="F888" s="719" t="inlineStr">
        <is>
          <t>SELL</t>
        </is>
      </c>
      <c r="G888" s="735" t="n">
        <v>0.01</v>
      </c>
      <c r="H888" s="720" t="n">
        <v>117.2</v>
      </c>
      <c r="I888" s="720" t="n">
        <v>117.642</v>
      </c>
      <c r="J888" s="721" t="n">
        <v>117.64</v>
      </c>
      <c r="K888" s="722" t="n">
        <v>0.003754266211604076</v>
      </c>
      <c r="L888" s="721" t="n">
        <v>116.17</v>
      </c>
      <c r="M888" s="722" t="n">
        <v>0.00878839590443687</v>
      </c>
      <c r="N888" s="792" t="n">
        <v>0.03</v>
      </c>
      <c r="O888" s="762" t="n">
        <v>-5.99</v>
      </c>
      <c r="P888" s="725" t="n">
        <v>-0.01198</v>
      </c>
      <c r="Q888" s="726" t="n">
        <v>-1.004545454545444</v>
      </c>
      <c r="R888" s="764" t="n">
        <v>494.01</v>
      </c>
      <c r="S888" s="719" t="inlineStr">
        <is>
          <t>9H 51M 0S</t>
        </is>
      </c>
      <c r="T888" s="717" t="n"/>
      <c r="U888" s="806" t="n"/>
      <c r="V888" s="730" t="n"/>
      <c r="W888" s="731" t="n"/>
      <c r="X888" s="732" t="n"/>
      <c r="Y888" s="728" t="n"/>
      <c r="Z888" s="729" t="n"/>
      <c r="AA888" s="730" t="n"/>
      <c r="AB888" s="731" t="n"/>
      <c r="AC888" s="732" t="n"/>
      <c r="AD888" s="719" t="inlineStr">
        <is>
          <t>No</t>
        </is>
      </c>
      <c r="AE888" s="733" t="n"/>
      <c r="AF888" s="733" t="n"/>
      <c r="AG888" s="733" t="n"/>
      <c r="AH888" s="733" t="n"/>
      <c r="AI888" s="719" t="inlineStr">
        <is>
          <t>Limit</t>
        </is>
      </c>
      <c r="AJ888" s="733" t="n"/>
      <c r="AK888" s="733" t="n"/>
      <c r="AL888" s="733" t="n"/>
      <c r="AM888" s="733" t="n"/>
      <c r="AN888" s="733" t="n"/>
      <c r="AO888" s="733" t="n"/>
      <c r="AP888" s="719" t="inlineStr">
        <is>
          <t>Pullback</t>
        </is>
      </c>
      <c r="AQ888" s="719" t="inlineStr">
        <is>
          <t>4H</t>
        </is>
      </c>
      <c r="AR888" s="719" t="inlineStr">
        <is>
          <t>No</t>
        </is>
      </c>
      <c r="AS888" s="733" t="n"/>
      <c r="AT888" s="733" t="n"/>
      <c r="AU888" s="733" t="n"/>
      <c r="AV888" s="733" t="n"/>
      <c r="AW888" s="719" t="inlineStr">
        <is>
          <t>trade</t>
        </is>
      </c>
      <c r="AX888" s="734" t="inlineStr">
        <is>
          <t>sig:8f51c51900e00a7f10446ec7</t>
        </is>
      </c>
    </row>
    <row r="889" ht="15" customHeight="1">
      <c r="A889" s="42" t="n"/>
      <c r="B889" s="770" t="n">
        <v>43709</v>
      </c>
      <c r="C889" s="771" t="n">
        <v>43709</v>
      </c>
      <c r="D889" s="12" t="inlineStr">
        <is>
          <t>PEPPERSTONE DEMO</t>
        </is>
      </c>
      <c r="E889" s="12" t="inlineStr">
        <is>
          <t>CASHFLOW</t>
        </is>
      </c>
      <c r="F889" s="12" t="inlineStr">
        <is>
          <t>WITHDRAWAL</t>
        </is>
      </c>
      <c r="G889" s="262" t="n"/>
      <c r="H889" s="262" t="n"/>
      <c r="I889" s="262" t="n"/>
      <c r="J889" s="263" t="n"/>
      <c r="K889" s="36" t="n"/>
      <c r="L889" s="263" t="n"/>
      <c r="M889" s="36" t="n"/>
      <c r="N889" s="772" t="n"/>
      <c r="O889" s="773" t="n"/>
      <c r="P889" s="3" t="n"/>
      <c r="Q889" s="51" t="n"/>
      <c r="R889" s="54" t="n">
        <v>0</v>
      </c>
      <c r="S889" s="12" t="n"/>
      <c r="T889" s="774" t="n"/>
      <c r="U889" s="6" t="n"/>
      <c r="V889" s="264" t="n"/>
      <c r="W889" s="9" t="n"/>
      <c r="X889" s="46" t="n"/>
      <c r="Y889" s="774" t="n"/>
      <c r="Z889" s="6" t="n"/>
      <c r="AA889" s="264" t="n"/>
      <c r="AB889" s="9" t="n"/>
      <c r="AC889" s="46" t="n"/>
      <c r="AD889" s="12" t="inlineStr">
        <is>
          <t>No</t>
        </is>
      </c>
      <c r="AE889" s="45" t="n"/>
      <c r="AF889" s="45" t="n"/>
      <c r="AG889" s="45" t="n"/>
      <c r="AH889" s="45" t="n"/>
      <c r="AI889" s="12" t="n"/>
      <c r="AJ889" s="45" t="n"/>
      <c r="AK889" s="45" t="n"/>
      <c r="AL889" s="45" t="n"/>
      <c r="AM889" s="45" t="n"/>
      <c r="AN889" s="45" t="n"/>
      <c r="AO889" s="45" t="n"/>
      <c r="AP889" s="12" t="n"/>
      <c r="AQ889" s="12" t="n"/>
      <c r="AR889" s="12" t="n"/>
      <c r="AS889" s="56" t="inlineStr">
        <is>
          <t>Withdrawal -476.11 AUD. Source: user_txt. Imported from account_cashflows.xlsx row 43.</t>
        </is>
      </c>
      <c r="AT889" s="45" t="n"/>
      <c r="AU889" s="12" t="n">
        <v>0</v>
      </c>
      <c r="AV889" s="12" t="inlineStr">
        <is>
          <t>AUD</t>
        </is>
      </c>
      <c r="AW889" s="12" t="inlineStr">
        <is>
          <t>cashflow</t>
        </is>
      </c>
      <c r="AX889" s="57" t="inlineStr">
        <is>
          <t>cashflow:PEPPERSTONE DEMO:2019-09-01T00:00:00:29</t>
        </is>
      </c>
    </row>
    <row r="890" ht="15" customHeight="1">
      <c r="A890" s="42" t="n"/>
      <c r="B890" s="770" t="n">
        <v>43709</v>
      </c>
      <c r="C890" s="771" t="n">
        <v>43709</v>
      </c>
      <c r="D890" s="12" t="inlineStr">
        <is>
          <t>PEPPERSTONE DEMO</t>
        </is>
      </c>
      <c r="E890" s="12" t="inlineStr">
        <is>
          <t>CASHFLOW</t>
        </is>
      </c>
      <c r="F890" s="12" t="inlineStr">
        <is>
          <t>DEPOSIT</t>
        </is>
      </c>
      <c r="G890" s="262" t="n"/>
      <c r="H890" s="262" t="n"/>
      <c r="I890" s="262" t="n"/>
      <c r="J890" s="263" t="n"/>
      <c r="K890" s="36" t="n"/>
      <c r="L890" s="263" t="n"/>
      <c r="M890" s="36" t="n"/>
      <c r="N890" s="779" t="n"/>
      <c r="O890" s="773" t="n"/>
      <c r="P890" s="3" t="n"/>
      <c r="Q890" s="51" t="n"/>
      <c r="R890" s="54" t="n">
        <v>500</v>
      </c>
      <c r="S890" s="12" t="n"/>
      <c r="T890" s="774" t="n"/>
      <c r="U890" s="6" t="n"/>
      <c r="V890" s="264" t="n"/>
      <c r="W890" s="9" t="n"/>
      <c r="X890" s="46" t="n"/>
      <c r="Y890" s="774" t="n"/>
      <c r="Z890" s="6" t="n"/>
      <c r="AA890" s="264" t="n"/>
      <c r="AB890" s="9" t="n"/>
      <c r="AC890" s="46" t="n"/>
      <c r="AD890" s="12" t="inlineStr">
        <is>
          <t>No</t>
        </is>
      </c>
      <c r="AE890" s="45" t="n"/>
      <c r="AF890" s="45" t="n"/>
      <c r="AG890" s="45" t="n"/>
      <c r="AH890" s="45" t="n"/>
      <c r="AI890" s="12" t="n"/>
      <c r="AJ890" s="45" t="n"/>
      <c r="AK890" s="45" t="n"/>
      <c r="AL890" s="45" t="n"/>
      <c r="AM890" s="45" t="n"/>
      <c r="AN890" s="45" t="n"/>
      <c r="AO890" s="45" t="n"/>
      <c r="AP890" s="12" t="n"/>
      <c r="AQ890" s="12" t="n"/>
      <c r="AR890" s="12" t="n"/>
      <c r="AS890" s="56" t="inlineStr">
        <is>
          <t>Deposit 500.0 AUD. Source: user_txt. Imported from account_cashflows.xlsx row 44.</t>
        </is>
      </c>
      <c r="AT890" s="45" t="n"/>
      <c r="AU890" s="12" t="n">
        <v>500</v>
      </c>
      <c r="AV890" s="12" t="inlineStr">
        <is>
          <t>AUD</t>
        </is>
      </c>
      <c r="AW890" s="12" t="inlineStr">
        <is>
          <t>cashflow</t>
        </is>
      </c>
      <c r="AX890" s="57" t="inlineStr">
        <is>
          <t>cashflow:PEPPERSTONE DEMO:2019-09-01T00:00:00:30</t>
        </is>
      </c>
    </row>
    <row r="891" ht="15" customHeight="1">
      <c r="A891" s="716" t="inlineStr">
        <is>
          <t>F642</t>
        </is>
      </c>
      <c r="B891" s="717" t="n">
        <v>43700.66111111111</v>
      </c>
      <c r="C891" s="718" t="n">
        <v>43700.70347222222</v>
      </c>
      <c r="D891" s="719" t="inlineStr">
        <is>
          <t>PEPPERSTONE DEMO</t>
        </is>
      </c>
      <c r="E891" s="719" t="inlineStr">
        <is>
          <t>GBPNZD</t>
        </is>
      </c>
      <c r="F891" s="719" t="inlineStr">
        <is>
          <t>BUY</t>
        </is>
      </c>
      <c r="G891" s="735" t="n">
        <v>0.02</v>
      </c>
      <c r="H891" s="720" t="n">
        <v>1.9143</v>
      </c>
      <c r="I891" s="720" t="n">
        <v>1.91054</v>
      </c>
      <c r="J891" s="721" t="n">
        <v>1.9105</v>
      </c>
      <c r="K891" s="722" t="n">
        <v>0.001985059812986368</v>
      </c>
      <c r="L891" s="721" t="n">
        <v>1.9437</v>
      </c>
      <c r="M891" s="722" t="n">
        <v>0.01535809434257958</v>
      </c>
      <c r="N891" s="761" t="n"/>
      <c r="O891" s="762" t="n">
        <v>-7.12</v>
      </c>
      <c r="P891" s="725" t="n">
        <v>-0.0147341845498003</v>
      </c>
      <c r="Q891" s="726" t="n">
        <v>-0.9894736842105737</v>
      </c>
      <c r="R891" s="764" t="n">
        <v>476.11</v>
      </c>
      <c r="S891" s="719" t="inlineStr">
        <is>
          <t>1H 1M 0S</t>
        </is>
      </c>
      <c r="T891" s="728" t="n"/>
      <c r="U891" s="729" t="n"/>
      <c r="V891" s="730" t="n"/>
      <c r="W891" s="731" t="n"/>
      <c r="X891" s="732" t="n"/>
      <c r="Y891" s="728" t="n"/>
      <c r="Z891" s="729" t="n"/>
      <c r="AA891" s="730" t="n"/>
      <c r="AB891" s="731" t="n"/>
      <c r="AC891" s="732" t="n"/>
      <c r="AD891" s="719" t="inlineStr">
        <is>
          <t>No</t>
        </is>
      </c>
      <c r="AE891" s="733" t="n"/>
      <c r="AF891" s="733" t="n"/>
      <c r="AG891" s="733" t="n"/>
      <c r="AH891" s="733" t="n"/>
      <c r="AI891" s="719" t="inlineStr">
        <is>
          <t>Limit</t>
        </is>
      </c>
      <c r="AJ891" s="733" t="n"/>
      <c r="AK891" s="733" t="n"/>
      <c r="AL891" s="733" t="n"/>
      <c r="AM891" s="733" t="n"/>
      <c r="AN891" s="733" t="n"/>
      <c r="AO891" s="733" t="n"/>
      <c r="AP891" s="719" t="inlineStr">
        <is>
          <t>Pullback</t>
        </is>
      </c>
      <c r="AQ891" s="719" t="inlineStr">
        <is>
          <t>4H</t>
        </is>
      </c>
      <c r="AR891" s="719" t="inlineStr">
        <is>
          <t>No</t>
        </is>
      </c>
      <c r="AS891" s="733" t="n"/>
      <c r="AT891" s="733" t="n"/>
      <c r="AU891" s="733" t="n"/>
      <c r="AV891" s="733" t="n"/>
      <c r="AW891" s="719" t="inlineStr">
        <is>
          <t>trade</t>
        </is>
      </c>
      <c r="AX891" s="734" t="inlineStr">
        <is>
          <t>sig:6dc4b7021a5854dbb61b9ce6</t>
        </is>
      </c>
    </row>
    <row r="892" ht="15" customHeight="1">
      <c r="A892" s="716" t="inlineStr">
        <is>
          <t>F641</t>
        </is>
      </c>
      <c r="B892" s="717" t="n">
        <v>43699.16605324074</v>
      </c>
      <c r="C892" s="718" t="n">
        <v>43699.16662037037</v>
      </c>
      <c r="D892" s="719" t="inlineStr">
        <is>
          <t>PEPPERSTONE DEMO</t>
        </is>
      </c>
      <c r="E892" s="719" t="inlineStr">
        <is>
          <t>CADCHF</t>
        </is>
      </c>
      <c r="F892" s="719" t="inlineStr">
        <is>
          <t>BUY</t>
        </is>
      </c>
      <c r="G892" s="735" t="n">
        <v>0.04</v>
      </c>
      <c r="H892" s="720" t="n">
        <v>0.7381</v>
      </c>
      <c r="I892" s="720" t="n">
        <v>0.73748</v>
      </c>
      <c r="J892" s="721" t="n">
        <v>0.7374000000000001</v>
      </c>
      <c r="K892" s="760" t="n">
        <v>0.000948380978187133</v>
      </c>
      <c r="L892" s="721" t="n">
        <v>0.7405</v>
      </c>
      <c r="M892" s="722" t="n">
        <v>0.003251591925213479</v>
      </c>
      <c r="N892" s="788" t="n"/>
      <c r="O892" s="762" t="n">
        <v>-4.27</v>
      </c>
      <c r="P892" s="725" t="n">
        <v>-0.008758974358974358</v>
      </c>
      <c r="Q892" s="726" t="n">
        <v>-0.8857142857143174</v>
      </c>
      <c r="R892" s="764" t="n">
        <v>483.23</v>
      </c>
      <c r="S892" s="719" t="inlineStr">
        <is>
          <t>49S</t>
        </is>
      </c>
      <c r="T892" s="728" t="n"/>
      <c r="U892" s="729" t="n"/>
      <c r="V892" s="730" t="n"/>
      <c r="W892" s="731" t="n"/>
      <c r="X892" s="732" t="n"/>
      <c r="Y892" s="728" t="n"/>
      <c r="Z892" s="729" t="n"/>
      <c r="AA892" s="730" t="n"/>
      <c r="AB892" s="731" t="n"/>
      <c r="AC892" s="732" t="n"/>
      <c r="AD892" s="719" t="inlineStr">
        <is>
          <t>No</t>
        </is>
      </c>
      <c r="AE892" s="733" t="n"/>
      <c r="AF892" s="733" t="n"/>
      <c r="AG892" s="733" t="n"/>
      <c r="AH892" s="733" t="n"/>
      <c r="AI892" s="719" t="inlineStr">
        <is>
          <t>Limit</t>
        </is>
      </c>
      <c r="AJ892" s="733" t="n"/>
      <c r="AK892" s="733" t="n"/>
      <c r="AL892" s="733" t="n"/>
      <c r="AM892" s="733" t="n"/>
      <c r="AN892" s="733" t="n"/>
      <c r="AO892" s="733" t="n"/>
      <c r="AP892" s="719" t="inlineStr">
        <is>
          <t>Pullback</t>
        </is>
      </c>
      <c r="AQ892" s="719" t="inlineStr">
        <is>
          <t>1H</t>
        </is>
      </c>
      <c r="AR892" s="719" t="inlineStr">
        <is>
          <t>No</t>
        </is>
      </c>
      <c r="AS892" s="733" t="n"/>
      <c r="AT892" s="733" t="n"/>
      <c r="AU892" s="733" t="n"/>
      <c r="AV892" s="733" t="n"/>
      <c r="AW892" s="719" t="inlineStr">
        <is>
          <t>trade</t>
        </is>
      </c>
      <c r="AX892" s="734" t="inlineStr">
        <is>
          <t>sig:151f015aa7579a10f2230e6b</t>
        </is>
      </c>
    </row>
    <row r="893" ht="15" customHeight="1">
      <c r="A893" s="716" t="inlineStr">
        <is>
          <t>F640</t>
        </is>
      </c>
      <c r="B893" s="717" t="n">
        <v>43698.91458333333</v>
      </c>
      <c r="C893" s="718" t="n">
        <v>43698.91666666666</v>
      </c>
      <c r="D893" s="719" t="inlineStr">
        <is>
          <t>PEPPERSTONE DEMO</t>
        </is>
      </c>
      <c r="E893" s="719" t="inlineStr">
        <is>
          <t>GBPAUD</t>
        </is>
      </c>
      <c r="F893" s="719" t="inlineStr">
        <is>
          <t>BUY</t>
        </is>
      </c>
      <c r="G893" s="735" t="n">
        <v>0.03</v>
      </c>
      <c r="H893" s="720" t="n">
        <v>1.7858</v>
      </c>
      <c r="I893" s="720" t="n">
        <v>1.78436</v>
      </c>
      <c r="J893" s="721" t="n">
        <v>1.7843</v>
      </c>
      <c r="K893" s="760" t="n">
        <v>0.000839959681935299</v>
      </c>
      <c r="L893" s="721" t="n">
        <v>1.7953</v>
      </c>
      <c r="M893" s="722" t="n">
        <v>0.005319744652256603</v>
      </c>
      <c r="N893" s="788" t="n"/>
      <c r="O893" s="762" t="n">
        <v>-4.47</v>
      </c>
      <c r="P893" s="725" t="n">
        <v>-0.009085919873162998</v>
      </c>
      <c r="Q893" s="726" t="n">
        <v>-0.9600000000000355</v>
      </c>
      <c r="R893" s="764" t="n">
        <v>487.4999999999999</v>
      </c>
      <c r="S893" s="719" t="inlineStr">
        <is>
          <t>3M 0S</t>
        </is>
      </c>
      <c r="T893" s="728" t="n"/>
      <c r="U893" s="729" t="n"/>
      <c r="V893" s="730" t="n"/>
      <c r="W893" s="731" t="n"/>
      <c r="X893" s="732" t="n"/>
      <c r="Y893" s="728" t="n"/>
      <c r="Z893" s="729" t="n"/>
      <c r="AA893" s="730" t="n"/>
      <c r="AB893" s="731" t="n"/>
      <c r="AC893" s="732" t="n"/>
      <c r="AD893" s="719" t="inlineStr">
        <is>
          <t>No</t>
        </is>
      </c>
      <c r="AE893" s="733" t="n"/>
      <c r="AF893" s="733" t="n"/>
      <c r="AG893" s="733" t="n"/>
      <c r="AH893" s="733" t="n"/>
      <c r="AI893" s="719" t="inlineStr">
        <is>
          <t>Limit</t>
        </is>
      </c>
      <c r="AJ893" s="733" t="n"/>
      <c r="AK893" s="733" t="n"/>
      <c r="AL893" s="733" t="n"/>
      <c r="AM893" s="733" t="n"/>
      <c r="AN893" s="733" t="n"/>
      <c r="AO893" s="733" t="n"/>
      <c r="AP893" s="719" t="inlineStr">
        <is>
          <t>Pullback</t>
        </is>
      </c>
      <c r="AQ893" s="719" t="inlineStr">
        <is>
          <t>1H</t>
        </is>
      </c>
      <c r="AR893" s="719" t="inlineStr">
        <is>
          <t>No</t>
        </is>
      </c>
      <c r="AS893" s="733" t="n"/>
      <c r="AT893" s="733" t="n"/>
      <c r="AU893" s="733" t="n"/>
      <c r="AV893" s="733" t="n"/>
      <c r="AW893" s="719" t="inlineStr">
        <is>
          <t>trade</t>
        </is>
      </c>
      <c r="AX893" s="734" t="inlineStr">
        <is>
          <t>sig:371f29a3fad4fb4696d89a87</t>
        </is>
      </c>
    </row>
    <row r="894" ht="15" customHeight="1">
      <c r="A894" s="716" t="inlineStr">
        <is>
          <t>F639</t>
        </is>
      </c>
      <c r="B894" s="717" t="n">
        <v>43697.92777777778</v>
      </c>
      <c r="C894" s="718" t="n">
        <v>43697.99722222222</v>
      </c>
      <c r="D894" s="719" t="inlineStr">
        <is>
          <t>PEPPERSTONE DEMO</t>
        </is>
      </c>
      <c r="E894" s="719" t="inlineStr">
        <is>
          <t>GBPJPY</t>
        </is>
      </c>
      <c r="F894" s="719" t="inlineStr">
        <is>
          <t>SELL</t>
        </is>
      </c>
      <c r="G894" s="735" t="n">
        <v>0.02</v>
      </c>
      <c r="H894" s="720" t="n">
        <v>128.69</v>
      </c>
      <c r="I894" s="720" t="n">
        <v>128.876</v>
      </c>
      <c r="J894" s="721" t="n">
        <v>128.87</v>
      </c>
      <c r="K894" s="722" t="n">
        <v>0.00139871007848323</v>
      </c>
      <c r="L894" s="721" t="n">
        <v>127.76</v>
      </c>
      <c r="M894" s="722" t="n">
        <v>0.007226668738829689</v>
      </c>
      <c r="N894" s="788" t="n"/>
      <c r="O894" s="762" t="n">
        <v>-5.1</v>
      </c>
      <c r="P894" s="725" t="n">
        <v>-0.01026012432856539</v>
      </c>
      <c r="Q894" s="726" t="n">
        <v>-1.033333333333333</v>
      </c>
      <c r="R894" s="764" t="n">
        <v>491.97</v>
      </c>
      <c r="S894" s="719" t="inlineStr">
        <is>
          <t>1H 40M 0S</t>
        </is>
      </c>
      <c r="T894" s="728" t="n"/>
      <c r="U894" s="729" t="n"/>
      <c r="V894" s="730" t="n"/>
      <c r="W894" s="731" t="n"/>
      <c r="X894" s="732" t="n"/>
      <c r="Y894" s="728" t="n"/>
      <c r="Z894" s="729" t="n"/>
      <c r="AA894" s="730" t="n"/>
      <c r="AB894" s="731" t="n"/>
      <c r="AC894" s="732" t="n"/>
      <c r="AD894" s="719" t="inlineStr">
        <is>
          <t>No</t>
        </is>
      </c>
      <c r="AE894" s="733" t="n"/>
      <c r="AF894" s="733" t="n"/>
      <c r="AG894" s="733" t="n"/>
      <c r="AH894" s="733" t="n"/>
      <c r="AI894" s="719" t="inlineStr">
        <is>
          <t>Limit</t>
        </is>
      </c>
      <c r="AJ894" s="733" t="n"/>
      <c r="AK894" s="733" t="n"/>
      <c r="AL894" s="733" t="n"/>
      <c r="AM894" s="733" t="n"/>
      <c r="AN894" s="733" t="n"/>
      <c r="AO894" s="733" t="n"/>
      <c r="AP894" s="719" t="inlineStr">
        <is>
          <t>Pullback</t>
        </is>
      </c>
      <c r="AQ894" s="719" t="inlineStr">
        <is>
          <t>1H</t>
        </is>
      </c>
      <c r="AR894" s="719" t="inlineStr">
        <is>
          <t>No</t>
        </is>
      </c>
      <c r="AS894" s="782" t="n"/>
      <c r="AT894" s="733" t="n"/>
      <c r="AU894" s="719" t="n"/>
      <c r="AV894" s="719" t="n"/>
      <c r="AW894" s="719" t="inlineStr">
        <is>
          <t>trade</t>
        </is>
      </c>
      <c r="AX894" s="734" t="inlineStr">
        <is>
          <t>sig:2ced56c02f21fb5b60af6839</t>
        </is>
      </c>
    </row>
    <row r="895" ht="15" customHeight="1">
      <c r="A895" s="716" t="inlineStr">
        <is>
          <t>F638</t>
        </is>
      </c>
      <c r="B895" s="717" t="n">
        <v>43697.98611111111</v>
      </c>
      <c r="C895" s="718" t="n">
        <v>43697.99236111111</v>
      </c>
      <c r="D895" s="719" t="inlineStr">
        <is>
          <t>PEPPERSTONE DEMO</t>
        </is>
      </c>
      <c r="E895" s="719" t="inlineStr">
        <is>
          <t>AUDNZD</t>
        </is>
      </c>
      <c r="F895" s="719" t="inlineStr">
        <is>
          <t>BUY</t>
        </is>
      </c>
      <c r="G895" s="735" t="n">
        <v>0.07000000000000001</v>
      </c>
      <c r="H895" s="720" t="n">
        <v>1.0565</v>
      </c>
      <c r="I895" s="720" t="n">
        <v>1.05592</v>
      </c>
      <c r="J895" s="721" t="n">
        <v>1.0559</v>
      </c>
      <c r="K895" s="760" t="n">
        <v>0.0005679129200188679</v>
      </c>
      <c r="L895" s="721" t="n">
        <v>1.0582</v>
      </c>
      <c r="M895" s="722" t="n">
        <v>0.001609086606720336</v>
      </c>
      <c r="N895" s="788" t="n"/>
      <c r="O895" s="762" t="n">
        <v>-4.25</v>
      </c>
      <c r="P895" s="725" t="n">
        <v>-0.00847761908561398</v>
      </c>
      <c r="Q895" s="726" t="n">
        <v>-0.9666666666668147</v>
      </c>
      <c r="R895" s="764" t="n">
        <v>497.07</v>
      </c>
      <c r="S895" s="719" t="inlineStr">
        <is>
          <t>9M 0S</t>
        </is>
      </c>
      <c r="T895" s="728" t="n"/>
      <c r="U895" s="729" t="n"/>
      <c r="V895" s="730" t="n"/>
      <c r="W895" s="731" t="n"/>
      <c r="X895" s="732" t="n"/>
      <c r="Y895" s="728" t="n"/>
      <c r="Z895" s="729" t="n"/>
      <c r="AA895" s="730" t="n"/>
      <c r="AB895" s="731" t="n"/>
      <c r="AC895" s="732" t="n"/>
      <c r="AD895" s="719" t="inlineStr">
        <is>
          <t>No</t>
        </is>
      </c>
      <c r="AE895" s="733" t="n"/>
      <c r="AF895" s="733" t="n"/>
      <c r="AG895" s="733" t="n"/>
      <c r="AH895" s="733" t="n"/>
      <c r="AI895" s="719" t="inlineStr">
        <is>
          <t>Limit</t>
        </is>
      </c>
      <c r="AJ895" s="733" t="n"/>
      <c r="AK895" s="733" t="n"/>
      <c r="AL895" s="733" t="n"/>
      <c r="AM895" s="733" t="n"/>
      <c r="AN895" s="733" t="n"/>
      <c r="AO895" s="733" t="n"/>
      <c r="AP895" s="719" t="inlineStr">
        <is>
          <t>Pullback</t>
        </is>
      </c>
      <c r="AQ895" s="719" t="inlineStr">
        <is>
          <t>1H</t>
        </is>
      </c>
      <c r="AR895" s="719" t="inlineStr">
        <is>
          <t>No</t>
        </is>
      </c>
      <c r="AS895" s="733" t="n"/>
      <c r="AT895" s="733" t="n"/>
      <c r="AU895" s="733" t="n"/>
      <c r="AV895" s="733" t="n"/>
      <c r="AW895" s="719" t="inlineStr">
        <is>
          <t>trade</t>
        </is>
      </c>
      <c r="AX895" s="734" t="inlineStr">
        <is>
          <t>sig:e3f1714e6c54c6d954a711b0</t>
        </is>
      </c>
    </row>
    <row r="896" ht="15" customHeight="1">
      <c r="A896" s="737" t="inlineStr">
        <is>
          <t>F637</t>
        </is>
      </c>
      <c r="B896" s="738" t="n">
        <v>43696.97083333333</v>
      </c>
      <c r="C896" s="739" t="n">
        <v>43697.64513888889</v>
      </c>
      <c r="D896" s="740" t="inlineStr">
        <is>
          <t>PEPPERSTONE DEMO</t>
        </is>
      </c>
      <c r="E896" s="740" t="inlineStr">
        <is>
          <t>GBPUSD</t>
        </is>
      </c>
      <c r="F896" s="740" t="inlineStr">
        <is>
          <t>BUY</t>
        </is>
      </c>
      <c r="G896" s="775" t="n">
        <v>0.03</v>
      </c>
      <c r="H896" s="742" t="n">
        <v>1.2118</v>
      </c>
      <c r="I896" s="742" t="n">
        <v>1.21451</v>
      </c>
      <c r="J896" s="743" t="n">
        <v>1.2106</v>
      </c>
      <c r="K896" s="765" t="n">
        <v>0.0009902624195412526</v>
      </c>
      <c r="L896" s="743" t="n">
        <v>1.2171</v>
      </c>
      <c r="M896" s="744" t="n">
        <v>0.004373659019640273</v>
      </c>
      <c r="N896" s="766" t="n">
        <v>0.25</v>
      </c>
      <c r="O896" s="767" t="n">
        <v>3.66</v>
      </c>
      <c r="P896" s="747" t="n">
        <v>0.007354418679419685</v>
      </c>
      <c r="Q896" s="748" t="n">
        <v>2.258333333333156</v>
      </c>
      <c r="R896" s="769" t="n">
        <v>501.32</v>
      </c>
      <c r="S896" s="740" t="inlineStr">
        <is>
          <t>16H 11M 0S</t>
        </is>
      </c>
      <c r="T896" s="738" t="n">
        <v>43697.60763888889</v>
      </c>
      <c r="U896" s="809" t="inlineStr">
        <is>
          <t>15H 17M 0S</t>
        </is>
      </c>
      <c r="V896" s="752" t="n"/>
      <c r="W896" s="753" t="n"/>
      <c r="X896" s="754" t="n"/>
      <c r="Y896" s="750" t="n"/>
      <c r="Z896" s="751" t="n"/>
      <c r="AA896" s="752" t="n"/>
      <c r="AB896" s="753" t="n"/>
      <c r="AC896" s="754" t="n"/>
      <c r="AD896" s="740" t="inlineStr">
        <is>
          <t>No</t>
        </is>
      </c>
      <c r="AE896" s="755" t="n"/>
      <c r="AF896" s="755" t="n"/>
      <c r="AG896" s="755" t="n"/>
      <c r="AH896" s="755" t="n"/>
      <c r="AI896" s="740" t="inlineStr">
        <is>
          <t>Limit</t>
        </is>
      </c>
      <c r="AJ896" s="755" t="n"/>
      <c r="AK896" s="755" t="n"/>
      <c r="AL896" s="755" t="n"/>
      <c r="AM896" s="755" t="n"/>
      <c r="AN896" s="755" t="n"/>
      <c r="AO896" s="755" t="n"/>
      <c r="AP896" s="740" t="inlineStr">
        <is>
          <t>Pullback</t>
        </is>
      </c>
      <c r="AQ896" s="740" t="inlineStr">
        <is>
          <t>1H</t>
        </is>
      </c>
      <c r="AR896" s="740" t="inlineStr">
        <is>
          <t>No</t>
        </is>
      </c>
      <c r="AS896" s="755" t="n"/>
      <c r="AT896" s="755" t="n"/>
      <c r="AU896" s="755" t="n"/>
      <c r="AV896" s="755" t="n"/>
      <c r="AW896" s="740" t="inlineStr">
        <is>
          <t>trade</t>
        </is>
      </c>
      <c r="AX896" s="756" t="inlineStr">
        <is>
          <t>sig:33143f86cf93b63da80993fb</t>
        </is>
      </c>
    </row>
    <row r="897" ht="15" customHeight="1">
      <c r="A897" s="737" t="inlineStr">
        <is>
          <t>F636</t>
        </is>
      </c>
      <c r="B897" s="738" t="n">
        <v>43693.16111111111</v>
      </c>
      <c r="C897" s="739" t="n">
        <v>43693.79722222222</v>
      </c>
      <c r="D897" s="740" t="inlineStr">
        <is>
          <t>PEPPERSTONE DEMO</t>
        </is>
      </c>
      <c r="E897" s="740" t="inlineStr">
        <is>
          <t>GBPJPY</t>
        </is>
      </c>
      <c r="F897" s="740" t="inlineStr">
        <is>
          <t>BUY</t>
        </is>
      </c>
      <c r="G897" s="775" t="n">
        <v>0.02</v>
      </c>
      <c r="H897" s="742" t="n">
        <v>128.26</v>
      </c>
      <c r="I897" s="742" t="n">
        <v>129.196</v>
      </c>
      <c r="J897" s="743" t="n">
        <v>127.97</v>
      </c>
      <c r="K897" s="744" t="n">
        <v>0.002261032278184875</v>
      </c>
      <c r="L897" s="743" t="n">
        <v>129.19</v>
      </c>
      <c r="M897" s="744" t="n">
        <v>0.0072508966162483</v>
      </c>
      <c r="N897" s="808" t="n">
        <v>0.06</v>
      </c>
      <c r="O897" s="767" t="n">
        <v>19.57</v>
      </c>
      <c r="P897" s="747" t="n">
        <v>0.04093371540923257</v>
      </c>
      <c r="Q897" s="748" t="n">
        <v>3.227586206896665</v>
      </c>
      <c r="R897" s="769" t="n">
        <v>497.66</v>
      </c>
      <c r="S897" s="740" t="inlineStr">
        <is>
          <t>15H 16M 0S</t>
        </is>
      </c>
      <c r="T897" s="750" t="n"/>
      <c r="U897" s="751" t="n"/>
      <c r="V897" s="752" t="n"/>
      <c r="W897" s="753" t="n"/>
      <c r="X897" s="754" t="n"/>
      <c r="Y897" s="750" t="n"/>
      <c r="Z897" s="751" t="n"/>
      <c r="AA897" s="752" t="n"/>
      <c r="AB897" s="753" t="n"/>
      <c r="AC897" s="754" t="n"/>
      <c r="AD897" s="740" t="inlineStr">
        <is>
          <t>No</t>
        </is>
      </c>
      <c r="AE897" s="755" t="n"/>
      <c r="AF897" s="755" t="n"/>
      <c r="AG897" s="755" t="n"/>
      <c r="AH897" s="755" t="n"/>
      <c r="AI897" s="740" t="inlineStr">
        <is>
          <t>Limit</t>
        </is>
      </c>
      <c r="AJ897" s="755" t="n"/>
      <c r="AK897" s="755" t="n"/>
      <c r="AL897" s="755" t="n"/>
      <c r="AM897" s="755" t="n"/>
      <c r="AN897" s="755" t="n"/>
      <c r="AO897" s="755" t="n"/>
      <c r="AP897" s="740" t="inlineStr">
        <is>
          <t>Pullback</t>
        </is>
      </c>
      <c r="AQ897" s="740" t="inlineStr">
        <is>
          <t>1H</t>
        </is>
      </c>
      <c r="AR897" s="740" t="inlineStr">
        <is>
          <t>No</t>
        </is>
      </c>
      <c r="AS897" s="787" t="n"/>
      <c r="AT897" s="755" t="n"/>
      <c r="AU897" s="740" t="n"/>
      <c r="AV897" s="740" t="n"/>
      <c r="AW897" s="740" t="inlineStr">
        <is>
          <t>trade</t>
        </is>
      </c>
      <c r="AX897" s="756" t="inlineStr">
        <is>
          <t>sig:7be52fc723c626d7caf686ba</t>
        </is>
      </c>
    </row>
    <row r="898" ht="15" customHeight="1">
      <c r="A898" s="716" t="inlineStr">
        <is>
          <t>F634</t>
        </is>
      </c>
      <c r="B898" s="717" t="n">
        <v>43684.75902777778</v>
      </c>
      <c r="C898" s="718" t="n">
        <v>43684.88333333333</v>
      </c>
      <c r="D898" s="719" t="inlineStr">
        <is>
          <t>PEPPERSTONE DEMO</t>
        </is>
      </c>
      <c r="E898" s="719" t="inlineStr">
        <is>
          <t>AUDCAD</t>
        </is>
      </c>
      <c r="F898" s="719" t="inlineStr">
        <is>
          <t>SELL</t>
        </is>
      </c>
      <c r="G898" s="735" t="n">
        <v>0.03</v>
      </c>
      <c r="H898" s="720" t="n">
        <v>0.8941</v>
      </c>
      <c r="I898" s="720" t="n">
        <v>0.89556</v>
      </c>
      <c r="J898" s="721" t="n">
        <v>0.8955</v>
      </c>
      <c r="K898" s="722" t="n">
        <v>0.001565820378033729</v>
      </c>
      <c r="L898" s="721" t="n">
        <v>0.8889</v>
      </c>
      <c r="M898" s="722" t="n">
        <v>0.005815904261268295</v>
      </c>
      <c r="N898" s="788" t="n"/>
      <c r="O898" s="762" t="n">
        <v>-4.89</v>
      </c>
      <c r="P898" s="725" t="n">
        <v>-0.01012464284235372</v>
      </c>
      <c r="Q898" s="726" t="n">
        <v>-1.042857142857187</v>
      </c>
      <c r="R898" s="764" t="n">
        <v>478.09</v>
      </c>
      <c r="S898" s="719" t="inlineStr">
        <is>
          <t>2H 59M 0S</t>
        </is>
      </c>
      <c r="T898" s="728" t="n"/>
      <c r="U898" s="729" t="n"/>
      <c r="V898" s="730" t="n"/>
      <c r="W898" s="731" t="n"/>
      <c r="X898" s="732" t="n"/>
      <c r="Y898" s="728" t="n"/>
      <c r="Z898" s="729" t="n"/>
      <c r="AA898" s="730" t="n"/>
      <c r="AB898" s="731" t="n"/>
      <c r="AC898" s="732" t="n"/>
      <c r="AD898" s="719" t="inlineStr">
        <is>
          <t>No</t>
        </is>
      </c>
      <c r="AE898" s="733" t="n"/>
      <c r="AF898" s="733" t="n"/>
      <c r="AG898" s="733" t="n"/>
      <c r="AH898" s="733" t="n"/>
      <c r="AI898" s="719" t="inlineStr">
        <is>
          <t>Limit</t>
        </is>
      </c>
      <c r="AJ898" s="733" t="n"/>
      <c r="AK898" s="733" t="n"/>
      <c r="AL898" s="733" t="n"/>
      <c r="AM898" s="733" t="n"/>
      <c r="AN898" s="733" t="n"/>
      <c r="AO898" s="733" t="n"/>
      <c r="AP898" s="719" t="inlineStr">
        <is>
          <t>Pullback</t>
        </is>
      </c>
      <c r="AQ898" s="719" t="inlineStr">
        <is>
          <t>1H</t>
        </is>
      </c>
      <c r="AR898" s="719" t="inlineStr">
        <is>
          <t>No</t>
        </is>
      </c>
      <c r="AS898" s="782" t="n"/>
      <c r="AT898" s="733" t="n"/>
      <c r="AU898" s="719" t="n"/>
      <c r="AV898" s="719" t="n"/>
      <c r="AW898" s="719" t="inlineStr">
        <is>
          <t>trade</t>
        </is>
      </c>
      <c r="AX898" s="734" t="inlineStr">
        <is>
          <t>sig:eae4f8672b436f582e96f61b</t>
        </is>
      </c>
    </row>
    <row r="899" ht="15" customHeight="1">
      <c r="A899" s="716" t="inlineStr">
        <is>
          <t>F635</t>
        </is>
      </c>
      <c r="B899" s="717" t="n">
        <v>43684.0375</v>
      </c>
      <c r="C899" s="718" t="n">
        <v>43684.50972222222</v>
      </c>
      <c r="D899" s="719" t="inlineStr">
        <is>
          <t>PEPPERSTONE DEMO</t>
        </is>
      </c>
      <c r="E899" s="719" t="inlineStr">
        <is>
          <t>AUDCAD</t>
        </is>
      </c>
      <c r="F899" s="719" t="inlineStr">
        <is>
          <t>BUY</t>
        </is>
      </c>
      <c r="G899" s="735" t="n">
        <v>0.02</v>
      </c>
      <c r="H899" s="720" t="n">
        <v>0.89632</v>
      </c>
      <c r="I899" s="720" t="n">
        <v>0.89632</v>
      </c>
      <c r="J899" s="721" t="n">
        <v>0.8948</v>
      </c>
      <c r="K899" s="722" t="n">
        <v>0.001695822920385538</v>
      </c>
      <c r="L899" s="721" t="n">
        <v>0.9025</v>
      </c>
      <c r="M899" s="722" t="n">
        <v>0.006894858978936053</v>
      </c>
      <c r="N899" s="792" t="n">
        <v>0.06</v>
      </c>
      <c r="O899" s="804" t="n">
        <v>-0.06</v>
      </c>
      <c r="P899" s="763" t="n">
        <v>-0.0001242133156674395</v>
      </c>
      <c r="Q899" s="726" t="n">
        <v>0</v>
      </c>
      <c r="R899" s="764" t="n">
        <v>482.98</v>
      </c>
      <c r="S899" s="719" t="inlineStr">
        <is>
          <t>11H 20M 0S</t>
        </is>
      </c>
      <c r="T899" s="728" t="n"/>
      <c r="U899" s="729" t="n"/>
      <c r="V899" s="730" t="n"/>
      <c r="W899" s="731" t="n"/>
      <c r="X899" s="732" t="n"/>
      <c r="Y899" s="717" t="n"/>
      <c r="Z899" s="806" t="n"/>
      <c r="AA899" s="730" t="n"/>
      <c r="AB899" s="731" t="n"/>
      <c r="AC899" s="732" t="n"/>
      <c r="AD899" s="719" t="inlineStr">
        <is>
          <t>No</t>
        </is>
      </c>
      <c r="AE899" s="733" t="n"/>
      <c r="AF899" s="733" t="n"/>
      <c r="AG899" s="733" t="n"/>
      <c r="AH899" s="733" t="n"/>
      <c r="AI899" s="719" t="inlineStr">
        <is>
          <t>Limit</t>
        </is>
      </c>
      <c r="AJ899" s="733" t="n"/>
      <c r="AK899" s="733" t="n"/>
      <c r="AL899" s="733" t="n"/>
      <c r="AM899" s="733" t="n"/>
      <c r="AN899" s="733" t="n"/>
      <c r="AO899" s="733" t="n"/>
      <c r="AP899" s="719" t="inlineStr">
        <is>
          <t>Pullback</t>
        </is>
      </c>
      <c r="AQ899" s="719" t="inlineStr">
        <is>
          <t>1H</t>
        </is>
      </c>
      <c r="AR899" s="719" t="inlineStr">
        <is>
          <t>No</t>
        </is>
      </c>
      <c r="AS899" s="733" t="n"/>
      <c r="AT899" s="733" t="n"/>
      <c r="AU899" s="733" t="n"/>
      <c r="AV899" s="733" t="n"/>
      <c r="AW899" s="719" t="inlineStr">
        <is>
          <t>trade</t>
        </is>
      </c>
      <c r="AX899" s="734" t="inlineStr">
        <is>
          <t>sig:1fff358b0967bd41661f39c1</t>
        </is>
      </c>
    </row>
    <row r="900" ht="15" customHeight="1">
      <c r="A900" s="716" t="inlineStr">
        <is>
          <t>F633</t>
        </is>
      </c>
      <c r="B900" s="717" t="n">
        <v>43683.03958333333</v>
      </c>
      <c r="C900" s="718" t="n">
        <v>43683.04236111111</v>
      </c>
      <c r="D900" s="719" t="inlineStr">
        <is>
          <t>PEPPERSTONE DEMO</t>
        </is>
      </c>
      <c r="E900" s="719" t="inlineStr">
        <is>
          <t>EURUSD</t>
        </is>
      </c>
      <c r="F900" s="719" t="inlineStr">
        <is>
          <t>BUY</t>
        </is>
      </c>
      <c r="G900" s="735" t="n">
        <v>0.05</v>
      </c>
      <c r="H900" s="720" t="n">
        <v>1.1188</v>
      </c>
      <c r="I900" s="720" t="n">
        <v>1.1182</v>
      </c>
      <c r="J900" s="721" t="n">
        <v>1.1182</v>
      </c>
      <c r="K900" s="760" t="n">
        <v>0.0005362888809438093</v>
      </c>
      <c r="L900" s="721" t="n">
        <v>1.1217</v>
      </c>
      <c r="M900" s="722" t="n">
        <v>0.002592062924561944</v>
      </c>
      <c r="N900" s="788" t="n"/>
      <c r="O900" s="762" t="n">
        <v>-4.72</v>
      </c>
      <c r="P900" s="725" t="n">
        <v>-0.009676890273905198</v>
      </c>
      <c r="Q900" s="726" t="n">
        <v>-1</v>
      </c>
      <c r="R900" s="764" t="n">
        <v>483.04</v>
      </c>
      <c r="S900" s="719" t="inlineStr">
        <is>
          <t>4M 0S</t>
        </is>
      </c>
      <c r="T900" s="728" t="n"/>
      <c r="U900" s="729" t="n"/>
      <c r="V900" s="730" t="n"/>
      <c r="W900" s="731" t="n"/>
      <c r="X900" s="732" t="n"/>
      <c r="Y900" s="728" t="n"/>
      <c r="Z900" s="729" t="n"/>
      <c r="AA900" s="730" t="n"/>
      <c r="AB900" s="731" t="n"/>
      <c r="AC900" s="732" t="n"/>
      <c r="AD900" s="719" t="inlineStr">
        <is>
          <t>No</t>
        </is>
      </c>
      <c r="AE900" s="733" t="n"/>
      <c r="AF900" s="733" t="n"/>
      <c r="AG900" s="733" t="n"/>
      <c r="AH900" s="733" t="n"/>
      <c r="AI900" s="719" t="inlineStr">
        <is>
          <t>Limit</t>
        </is>
      </c>
      <c r="AJ900" s="733" t="n"/>
      <c r="AK900" s="733" t="n"/>
      <c r="AL900" s="733" t="n"/>
      <c r="AM900" s="733" t="n"/>
      <c r="AN900" s="733" t="n"/>
      <c r="AO900" s="733" t="n"/>
      <c r="AP900" s="719" t="inlineStr">
        <is>
          <t>Pullback</t>
        </is>
      </c>
      <c r="AQ900" s="719" t="inlineStr">
        <is>
          <t>15MIN</t>
        </is>
      </c>
      <c r="AR900" s="719" t="inlineStr">
        <is>
          <t>No</t>
        </is>
      </c>
      <c r="AS900" s="733" t="n"/>
      <c r="AT900" s="733" t="n"/>
      <c r="AU900" s="733" t="n"/>
      <c r="AV900" s="733" t="n"/>
      <c r="AW900" s="719" t="inlineStr">
        <is>
          <t>trade</t>
        </is>
      </c>
      <c r="AX900" s="734" t="inlineStr">
        <is>
          <t>sig:2847c989efbbebd3b86b63c2</t>
        </is>
      </c>
    </row>
    <row r="901" ht="15" customHeight="1">
      <c r="A901" s="716" t="inlineStr">
        <is>
          <t>F632</t>
        </is>
      </c>
      <c r="B901" s="717" t="n">
        <v>43682.98194444444</v>
      </c>
      <c r="C901" s="718" t="n">
        <v>43682.99027777778</v>
      </c>
      <c r="D901" s="719" t="inlineStr">
        <is>
          <t>PEPPERSTONE DEMO</t>
        </is>
      </c>
      <c r="E901" s="719" t="inlineStr">
        <is>
          <t>NZDCHF</t>
        </is>
      </c>
      <c r="F901" s="719" t="inlineStr">
        <is>
          <t>SELL</t>
        </is>
      </c>
      <c r="G901" s="735" t="n">
        <v>0.04</v>
      </c>
      <c r="H901" s="720" t="n">
        <v>0.6369</v>
      </c>
      <c r="I901" s="720" t="n">
        <v>0.63759</v>
      </c>
      <c r="J901" s="721" t="n">
        <v>0.6375</v>
      </c>
      <c r="K901" s="760" t="n">
        <v>0.0009420631182288175</v>
      </c>
      <c r="L901" s="721" t="n">
        <v>0.6342</v>
      </c>
      <c r="M901" s="722" t="n">
        <v>0.004239284032030202</v>
      </c>
      <c r="N901" s="788" t="n"/>
      <c r="O901" s="762" t="n">
        <v>-4.06</v>
      </c>
      <c r="P901" s="725" t="n">
        <v>-0.00825505266154284</v>
      </c>
      <c r="Q901" s="726" t="n">
        <v>-1.150000000000074</v>
      </c>
      <c r="R901" s="764" t="n">
        <v>487.76</v>
      </c>
      <c r="S901" s="719" t="inlineStr">
        <is>
          <t>12M 0S</t>
        </is>
      </c>
      <c r="T901" s="728" t="n"/>
      <c r="U901" s="729" t="n"/>
      <c r="V901" s="730" t="n"/>
      <c r="W901" s="731" t="n"/>
      <c r="X901" s="732" t="n"/>
      <c r="Y901" s="728" t="n"/>
      <c r="Z901" s="729" t="n"/>
      <c r="AA901" s="730" t="n"/>
      <c r="AB901" s="731" t="n"/>
      <c r="AC901" s="732" t="n"/>
      <c r="AD901" s="719" t="inlineStr">
        <is>
          <t>No</t>
        </is>
      </c>
      <c r="AE901" s="733" t="n"/>
      <c r="AF901" s="733" t="n"/>
      <c r="AG901" s="733" t="n"/>
      <c r="AH901" s="733" t="n"/>
      <c r="AI901" s="719" t="inlineStr">
        <is>
          <t>Limit</t>
        </is>
      </c>
      <c r="AJ901" s="733" t="n"/>
      <c r="AK901" s="733" t="n"/>
      <c r="AL901" s="733" t="n"/>
      <c r="AM901" s="733" t="n"/>
      <c r="AN901" s="733" t="n"/>
      <c r="AO901" s="733" t="n"/>
      <c r="AP901" s="719" t="inlineStr">
        <is>
          <t>Pullback</t>
        </is>
      </c>
      <c r="AQ901" s="719" t="inlineStr">
        <is>
          <t>1H</t>
        </is>
      </c>
      <c r="AR901" s="719" t="inlineStr">
        <is>
          <t>No</t>
        </is>
      </c>
      <c r="AS901" s="733" t="n"/>
      <c r="AT901" s="733" t="n"/>
      <c r="AU901" s="733" t="n"/>
      <c r="AV901" s="733" t="n"/>
      <c r="AW901" s="719" t="inlineStr">
        <is>
          <t>trade</t>
        </is>
      </c>
      <c r="AX901" s="734" t="inlineStr">
        <is>
          <t>sig:339c869cf83d6818e376e644</t>
        </is>
      </c>
    </row>
    <row r="902" ht="15" customHeight="1">
      <c r="A902" s="42" t="n"/>
      <c r="B902" s="770" t="n">
        <v>43680</v>
      </c>
      <c r="C902" s="771" t="n">
        <v>43680</v>
      </c>
      <c r="D902" s="12" t="inlineStr">
        <is>
          <t>PEPPERSTONE DEMO</t>
        </is>
      </c>
      <c r="E902" s="12" t="inlineStr">
        <is>
          <t>CASHFLOW</t>
        </is>
      </c>
      <c r="F902" s="12" t="inlineStr">
        <is>
          <t>WITHDRAWAL</t>
        </is>
      </c>
      <c r="G902" s="262" t="n"/>
      <c r="H902" s="262" t="n"/>
      <c r="I902" s="262" t="n"/>
      <c r="J902" s="263" t="n"/>
      <c r="K902" s="36" t="n"/>
      <c r="L902" s="263" t="n"/>
      <c r="M902" s="36" t="n"/>
      <c r="N902" s="779" t="n"/>
      <c r="O902" s="773" t="n"/>
      <c r="P902" s="3" t="n"/>
      <c r="Q902" s="51" t="n"/>
      <c r="R902" s="54" t="n">
        <v>491.82</v>
      </c>
      <c r="S902" s="12" t="n"/>
      <c r="T902" s="774" t="n"/>
      <c r="U902" s="6" t="n"/>
      <c r="V902" s="264" t="n"/>
      <c r="W902" s="9" t="n"/>
      <c r="X902" s="46" t="n"/>
      <c r="Y902" s="774" t="n"/>
      <c r="Z902" s="6" t="n"/>
      <c r="AA902" s="264" t="n"/>
      <c r="AB902" s="9" t="n"/>
      <c r="AC902" s="46" t="n"/>
      <c r="AD902" s="12" t="inlineStr">
        <is>
          <t>No</t>
        </is>
      </c>
      <c r="AE902" s="45" t="n"/>
      <c r="AF902" s="45" t="n"/>
      <c r="AG902" s="45" t="n"/>
      <c r="AH902" s="45" t="n"/>
      <c r="AI902" s="12" t="n"/>
      <c r="AJ902" s="45" t="n"/>
      <c r="AK902" s="45" t="n"/>
      <c r="AL902" s="45" t="n"/>
      <c r="AM902" s="45" t="n"/>
      <c r="AN902" s="45" t="n"/>
      <c r="AO902" s="45" t="n"/>
      <c r="AP902" s="12" t="n"/>
      <c r="AQ902" s="12" t="n"/>
      <c r="AR902" s="12" t="n"/>
      <c r="AS902" s="56" t="inlineStr">
        <is>
          <t>Withdrawal -438.81 AUD. Source: user_txt. Imported from account_cashflows.xlsx row 42.</t>
        </is>
      </c>
      <c r="AT902" s="45" t="n"/>
      <c r="AU902" s="12" t="n">
        <v>491.82</v>
      </c>
      <c r="AV902" s="12" t="inlineStr">
        <is>
          <t>AUD</t>
        </is>
      </c>
      <c r="AW902" s="12" t="inlineStr">
        <is>
          <t>cashflow</t>
        </is>
      </c>
      <c r="AX902" s="57" t="inlineStr">
        <is>
          <t>cashflow:PEPPERSTONE DEMO:2019-08-03T00:00:00:28</t>
        </is>
      </c>
    </row>
    <row r="903" ht="15" customHeight="1">
      <c r="A903" s="716" t="inlineStr">
        <is>
          <t>F631</t>
        </is>
      </c>
      <c r="B903" s="717" t="n">
        <v>43679.99027777778</v>
      </c>
      <c r="C903" s="718" t="n">
        <v>43679.99791666667</v>
      </c>
      <c r="D903" s="719" t="inlineStr">
        <is>
          <t>PEPPERSTONE DEMO</t>
        </is>
      </c>
      <c r="E903" s="719" t="inlineStr">
        <is>
          <t>GBPNZD</t>
        </is>
      </c>
      <c r="F903" s="719" t="inlineStr">
        <is>
          <t>BUY</t>
        </is>
      </c>
      <c r="G903" s="735" t="n">
        <v>0.02</v>
      </c>
      <c r="H903" s="720" t="n">
        <v>1.8605</v>
      </c>
      <c r="I903" s="720" t="n">
        <v>1.85846</v>
      </c>
      <c r="J903" s="721" t="n">
        <v>1.8584</v>
      </c>
      <c r="K903" s="722" t="n">
        <v>0.001128728836334314</v>
      </c>
      <c r="L903" s="721" t="n">
        <v>1.8668</v>
      </c>
      <c r="M903" s="722" t="n">
        <v>0.003386186509002941</v>
      </c>
      <c r="N903" s="788" t="n"/>
      <c r="O903" s="762" t="n">
        <v>-4.04</v>
      </c>
      <c r="P903" s="725" t="n">
        <v>-0.004322381161265473</v>
      </c>
      <c r="Q903" s="726" t="n">
        <v>-0.9714285714285956</v>
      </c>
      <c r="R903" s="764" t="n">
        <v>930.63</v>
      </c>
      <c r="S903" s="719" t="inlineStr">
        <is>
          <t>11M 0S</t>
        </is>
      </c>
      <c r="T903" s="728" t="n"/>
      <c r="U903" s="729" t="n"/>
      <c r="V903" s="730" t="n"/>
      <c r="W903" s="731" t="n"/>
      <c r="X903" s="732" t="n"/>
      <c r="Y903" s="728" t="n"/>
      <c r="Z903" s="729" t="n"/>
      <c r="AA903" s="730" t="n"/>
      <c r="AB903" s="731" t="n"/>
      <c r="AC903" s="732" t="n"/>
      <c r="AD903" s="719" t="inlineStr">
        <is>
          <t>No</t>
        </is>
      </c>
      <c r="AE903" s="733" t="n"/>
      <c r="AF903" s="733" t="n"/>
      <c r="AG903" s="733" t="n"/>
      <c r="AH903" s="733" t="n"/>
      <c r="AI903" s="719" t="inlineStr">
        <is>
          <t>Limit</t>
        </is>
      </c>
      <c r="AJ903" s="733" t="n"/>
      <c r="AK903" s="733" t="n"/>
      <c r="AL903" s="733" t="n"/>
      <c r="AM903" s="733" t="n"/>
      <c r="AN903" s="733" t="n"/>
      <c r="AO903" s="733" t="n"/>
      <c r="AP903" s="719" t="inlineStr">
        <is>
          <t>Pullback</t>
        </is>
      </c>
      <c r="AQ903" s="719" t="inlineStr">
        <is>
          <t>15MIN</t>
        </is>
      </c>
      <c r="AR903" s="719" t="inlineStr">
        <is>
          <t>No</t>
        </is>
      </c>
      <c r="AS903" s="733" t="n"/>
      <c r="AT903" s="733" t="n"/>
      <c r="AU903" s="733" t="n"/>
      <c r="AV903" s="733" t="n"/>
      <c r="AW903" s="719" t="inlineStr">
        <is>
          <t>trade</t>
        </is>
      </c>
      <c r="AX903" s="734" t="inlineStr">
        <is>
          <t>sig:b8b84db3be88048841e44fce</t>
        </is>
      </c>
    </row>
    <row r="904" ht="15" customHeight="1">
      <c r="A904" s="716" t="inlineStr">
        <is>
          <t>F630</t>
        </is>
      </c>
      <c r="B904" s="717" t="n">
        <v>43679.95555555556</v>
      </c>
      <c r="C904" s="718" t="n">
        <v>43679.95625</v>
      </c>
      <c r="D904" s="719" t="inlineStr">
        <is>
          <t>PEPPERSTONE DEMO</t>
        </is>
      </c>
      <c r="E904" s="719" t="inlineStr">
        <is>
          <t>EURJPY</t>
        </is>
      </c>
      <c r="F904" s="719" t="inlineStr">
        <is>
          <t>SELL</t>
        </is>
      </c>
      <c r="G904" s="735" t="n">
        <v>0.03</v>
      </c>
      <c r="H904" s="720" t="n">
        <v>118.49</v>
      </c>
      <c r="I904" s="720" t="n">
        <v>118.597</v>
      </c>
      <c r="J904" s="721" t="n">
        <v>118.59</v>
      </c>
      <c r="K904" s="760" t="n">
        <v>0.0008439530762090348</v>
      </c>
      <c r="L904" s="721" t="n">
        <v>118.19</v>
      </c>
      <c r="M904" s="722" t="n">
        <v>0.002531859228626864</v>
      </c>
      <c r="N904" s="788" t="n"/>
      <c r="O904" s="762" t="n">
        <v>-4.14</v>
      </c>
      <c r="P904" s="725" t="n">
        <v>-0.004409837986387022</v>
      </c>
      <c r="Q904" s="726" t="n">
        <v>-1.069999999999902</v>
      </c>
      <c r="R904" s="764" t="n">
        <v>934.67</v>
      </c>
      <c r="S904" s="719" t="inlineStr">
        <is>
          <t>1M 0S</t>
        </is>
      </c>
      <c r="T904" s="728" t="n"/>
      <c r="U904" s="729" t="n"/>
      <c r="V904" s="730" t="n"/>
      <c r="W904" s="731" t="n"/>
      <c r="X904" s="732" t="n"/>
      <c r="Y904" s="728" t="n"/>
      <c r="Z904" s="729" t="n"/>
      <c r="AA904" s="730" t="n"/>
      <c r="AB904" s="731" t="n"/>
      <c r="AC904" s="732" t="n"/>
      <c r="AD904" s="719" t="inlineStr">
        <is>
          <t>No</t>
        </is>
      </c>
      <c r="AE904" s="733" t="n"/>
      <c r="AF904" s="733" t="n"/>
      <c r="AG904" s="733" t="n"/>
      <c r="AH904" s="733" t="n"/>
      <c r="AI904" s="719" t="inlineStr">
        <is>
          <t>Limit</t>
        </is>
      </c>
      <c r="AJ904" s="733" t="n"/>
      <c r="AK904" s="733" t="n"/>
      <c r="AL904" s="733" t="n"/>
      <c r="AM904" s="733" t="n"/>
      <c r="AN904" s="733" t="n"/>
      <c r="AO904" s="733" t="n"/>
      <c r="AP904" s="719" t="inlineStr">
        <is>
          <t>Pullback</t>
        </is>
      </c>
      <c r="AQ904" s="719" t="inlineStr">
        <is>
          <t>15MIN</t>
        </is>
      </c>
      <c r="AR904" s="719" t="inlineStr">
        <is>
          <t>No</t>
        </is>
      </c>
      <c r="AS904" s="733" t="n"/>
      <c r="AT904" s="733" t="n"/>
      <c r="AU904" s="733" t="n"/>
      <c r="AV904" s="733" t="n"/>
      <c r="AW904" s="719" t="inlineStr">
        <is>
          <t>trade</t>
        </is>
      </c>
      <c r="AX904" s="734" t="inlineStr">
        <is>
          <t>sig:7b6d4fc4e545b24b9045564e</t>
        </is>
      </c>
    </row>
    <row r="905" ht="15" customHeight="1">
      <c r="A905" s="42" t="n"/>
      <c r="B905" s="770" t="n">
        <v>43679</v>
      </c>
      <c r="C905" s="771" t="n">
        <v>43679</v>
      </c>
      <c r="D905" s="12" t="inlineStr">
        <is>
          <t>PEPPERSTONE DEMO</t>
        </is>
      </c>
      <c r="E905" s="12" t="inlineStr">
        <is>
          <t>CASHFLOW</t>
        </is>
      </c>
      <c r="F905" s="12" t="inlineStr">
        <is>
          <t>DEPOSIT</t>
        </is>
      </c>
      <c r="G905" s="262" t="n"/>
      <c r="H905" s="262" t="n"/>
      <c r="I905" s="262" t="n"/>
      <c r="J905" s="263" t="n"/>
      <c r="K905" s="36" t="n"/>
      <c r="L905" s="263" t="n"/>
      <c r="M905" s="36" t="n"/>
      <c r="N905" s="779" t="n"/>
      <c r="O905" s="773" t="n"/>
      <c r="P905" s="3" t="n"/>
      <c r="Q905" s="51" t="n"/>
      <c r="R905" s="54" t="n">
        <v>938.8099999999999</v>
      </c>
      <c r="S905" s="12" t="n"/>
      <c r="T905" s="770" t="n"/>
      <c r="U905" s="4" t="n"/>
      <c r="V905" s="264" t="n"/>
      <c r="W905" s="9" t="n"/>
      <c r="X905" s="46" t="n"/>
      <c r="Y905" s="774" t="n"/>
      <c r="Z905" s="6" t="n"/>
      <c r="AA905" s="264" t="n"/>
      <c r="AB905" s="9" t="n"/>
      <c r="AC905" s="46" t="n"/>
      <c r="AD905" s="12" t="inlineStr">
        <is>
          <t>No</t>
        </is>
      </c>
      <c r="AE905" s="45" t="n"/>
      <c r="AF905" s="45" t="n"/>
      <c r="AG905" s="45" t="n"/>
      <c r="AH905" s="45" t="n"/>
      <c r="AI905" s="12" t="n"/>
      <c r="AJ905" s="45" t="n"/>
      <c r="AK905" s="45" t="n"/>
      <c r="AL905" s="45" t="n"/>
      <c r="AM905" s="45" t="n"/>
      <c r="AN905" s="45" t="n"/>
      <c r="AO905" s="45" t="n"/>
      <c r="AP905" s="12" t="n"/>
      <c r="AQ905" s="12" t="n"/>
      <c r="AR905" s="12" t="n"/>
      <c r="AS905" s="56" t="inlineStr">
        <is>
          <t>Deposit 500.0 AUD. Source: user_txt. Imported from account_cashflows.xlsx row 41.</t>
        </is>
      </c>
      <c r="AT905" s="45" t="n"/>
      <c r="AU905" s="12" t="n">
        <v>938.8099999999999</v>
      </c>
      <c r="AV905" s="12" t="inlineStr">
        <is>
          <t>AUD</t>
        </is>
      </c>
      <c r="AW905" s="12" t="inlineStr">
        <is>
          <t>cashflow</t>
        </is>
      </c>
      <c r="AX905" s="57" t="inlineStr">
        <is>
          <t>cashflow:PEPPERSTONE DEMO:2019-08-02T00:00:00:27</t>
        </is>
      </c>
    </row>
    <row r="906" ht="15" customHeight="1">
      <c r="A906" s="42" t="n"/>
      <c r="B906" s="770" t="n">
        <v>43678</v>
      </c>
      <c r="C906" s="771" t="n">
        <v>43678</v>
      </c>
      <c r="D906" s="12" t="inlineStr">
        <is>
          <t>PEPPERSTONE LIVE</t>
        </is>
      </c>
      <c r="E906" s="12" t="inlineStr">
        <is>
          <t>CASHFLOW</t>
        </is>
      </c>
      <c r="F906" s="12" t="inlineStr">
        <is>
          <t>WITHDRAWAL</t>
        </is>
      </c>
      <c r="G906" s="262" t="n"/>
      <c r="H906" s="262" t="n"/>
      <c r="I906" s="262" t="n"/>
      <c r="J906" s="263" t="n"/>
      <c r="K906" s="36" t="n"/>
      <c r="L906" s="263" t="n"/>
      <c r="M906" s="36" t="n"/>
      <c r="N906" s="779" t="n"/>
      <c r="O906" s="773" t="n"/>
      <c r="P906" s="3" t="n"/>
      <c r="Q906" s="51" t="n"/>
      <c r="R906" s="54" t="n">
        <v>0</v>
      </c>
      <c r="S906" s="12" t="n"/>
      <c r="T906" s="774" t="n"/>
      <c r="U906" s="6" t="n"/>
      <c r="V906" s="264" t="n"/>
      <c r="W906" s="9" t="n"/>
      <c r="X906" s="46" t="n"/>
      <c r="Y906" s="774" t="n"/>
      <c r="Z906" s="6" t="n"/>
      <c r="AA906" s="264" t="n"/>
      <c r="AB906" s="9" t="n"/>
      <c r="AC906" s="46" t="n"/>
      <c r="AD906" s="12" t="inlineStr">
        <is>
          <t>No</t>
        </is>
      </c>
      <c r="AE906" s="45" t="n"/>
      <c r="AF906" s="45" t="n"/>
      <c r="AG906" s="45" t="n"/>
      <c r="AH906" s="45" t="n"/>
      <c r="AI906" s="12" t="n"/>
      <c r="AJ906" s="45" t="n"/>
      <c r="AK906" s="45" t="n"/>
      <c r="AL906" s="45" t="n"/>
      <c r="AM906" s="45" t="n"/>
      <c r="AN906" s="45" t="n"/>
      <c r="AO906" s="45" t="n"/>
      <c r="AP906" s="12" t="n"/>
      <c r="AQ906" s="12" t="n"/>
      <c r="AR906" s="12" t="n"/>
      <c r="AS906" s="56" t="inlineStr">
        <is>
          <t>Withdrawal -500.0 AUD. Source: screenshot_ocr. Imported from account_cashflows.xlsx row 83.</t>
        </is>
      </c>
      <c r="AT906" s="45" t="n"/>
      <c r="AU906" s="12" t="n">
        <v>0</v>
      </c>
      <c r="AV906" s="12" t="inlineStr">
        <is>
          <t>AUD</t>
        </is>
      </c>
      <c r="AW906" s="12" t="inlineStr">
        <is>
          <t>cashflow</t>
        </is>
      </c>
      <c r="AX906" s="57" t="inlineStr">
        <is>
          <t>cashflow:PEPPERSTONE LIVE:2019-08-01T00:00:00:4</t>
        </is>
      </c>
    </row>
    <row r="907" ht="15" customHeight="1">
      <c r="A907" s="737" t="inlineStr">
        <is>
          <t>F628</t>
        </is>
      </c>
      <c r="B907" s="738" t="n">
        <v>43671.96180555555</v>
      </c>
      <c r="C907" s="739" t="n">
        <v>43672.08819444444</v>
      </c>
      <c r="D907" s="740" t="inlineStr">
        <is>
          <t>PEPPERSTONE DEMO</t>
        </is>
      </c>
      <c r="E907" s="740" t="inlineStr">
        <is>
          <t>USDCHF</t>
        </is>
      </c>
      <c r="F907" s="740" t="inlineStr">
        <is>
          <t>BUY</t>
        </is>
      </c>
      <c r="G907" s="775" t="n">
        <v>0.02</v>
      </c>
      <c r="H907" s="742" t="n">
        <v>0.987</v>
      </c>
      <c r="I907" s="742" t="n">
        <v>0.99036</v>
      </c>
      <c r="J907" s="743" t="n">
        <v>0.9859</v>
      </c>
      <c r="K907" s="744" t="n">
        <v>0.001114488348530891</v>
      </c>
      <c r="L907" s="743" t="n">
        <v>0.9903</v>
      </c>
      <c r="M907" s="744" t="n">
        <v>0.003343465045592674</v>
      </c>
      <c r="N907" s="796" t="n"/>
      <c r="O907" s="767" t="n">
        <v>8.75</v>
      </c>
      <c r="P907" s="747" t="n">
        <v>0.02034599823280472</v>
      </c>
      <c r="Q907" s="748" t="n">
        <v>3.05454545454551</v>
      </c>
      <c r="R907" s="769" t="n">
        <v>438.8100000000001</v>
      </c>
      <c r="S907" s="740" t="inlineStr">
        <is>
          <t>3H 2M 0S</t>
        </is>
      </c>
      <c r="T907" s="750" t="n"/>
      <c r="U907" s="751" t="n"/>
      <c r="V907" s="752" t="n"/>
      <c r="W907" s="753" t="n"/>
      <c r="X907" s="754" t="n"/>
      <c r="Y907" s="738" t="n">
        <v>43672.04097222222</v>
      </c>
      <c r="Z907" s="809" t="inlineStr">
        <is>
          <t>1H 54M 0S</t>
        </is>
      </c>
      <c r="AA907" s="752" t="n"/>
      <c r="AB907" s="753" t="n"/>
      <c r="AC907" s="754" t="n"/>
      <c r="AD907" s="740" t="inlineStr">
        <is>
          <t>No</t>
        </is>
      </c>
      <c r="AE907" s="755" t="n"/>
      <c r="AF907" s="755" t="n"/>
      <c r="AG907" s="755" t="n"/>
      <c r="AH907" s="755" t="n"/>
      <c r="AI907" s="740" t="inlineStr">
        <is>
          <t>Limit</t>
        </is>
      </c>
      <c r="AJ907" s="755" t="n"/>
      <c r="AK907" s="755" t="n"/>
      <c r="AL907" s="755" t="n"/>
      <c r="AM907" s="755" t="n"/>
      <c r="AN907" s="755" t="n"/>
      <c r="AO907" s="755" t="n"/>
      <c r="AP907" s="740" t="inlineStr">
        <is>
          <t>Pullback</t>
        </is>
      </c>
      <c r="AQ907" s="740" t="inlineStr">
        <is>
          <t>1H</t>
        </is>
      </c>
      <c r="AR907" s="740" t="inlineStr">
        <is>
          <t>No</t>
        </is>
      </c>
      <c r="AS907" s="755" t="n"/>
      <c r="AT907" s="755" t="n"/>
      <c r="AU907" s="755" t="n"/>
      <c r="AV907" s="755" t="n"/>
      <c r="AW907" s="740" t="inlineStr">
        <is>
          <t>trade</t>
        </is>
      </c>
      <c r="AX907" s="756" t="inlineStr">
        <is>
          <t>sig:74c8a16877f613d20cfa6433</t>
        </is>
      </c>
    </row>
    <row r="908" ht="15" customHeight="1">
      <c r="A908" s="716" t="inlineStr">
        <is>
          <t>F629</t>
        </is>
      </c>
      <c r="B908" s="717" t="n">
        <v>43671.92916666667</v>
      </c>
      <c r="C908" s="718" t="n">
        <v>43671.94027777778</v>
      </c>
      <c r="D908" s="719" t="inlineStr">
        <is>
          <t>PEPPERSTONE DEMO</t>
        </is>
      </c>
      <c r="E908" s="719" t="inlineStr">
        <is>
          <t>GBPAUD</t>
        </is>
      </c>
      <c r="F908" s="719" t="inlineStr">
        <is>
          <t>BUY</t>
        </is>
      </c>
      <c r="G908" s="735" t="n">
        <v>0.02</v>
      </c>
      <c r="H908" s="720" t="n">
        <v>1.7918</v>
      </c>
      <c r="I908" s="720" t="n">
        <v>1.78965</v>
      </c>
      <c r="J908" s="721" t="n">
        <v>1.7916</v>
      </c>
      <c r="K908" s="760" t="n">
        <v>0.0001116196004018183</v>
      </c>
      <c r="L908" s="721" t="n">
        <v>1.7953</v>
      </c>
      <c r="M908" s="722" t="n">
        <v>0.001953343007031943</v>
      </c>
      <c r="N908" s="788" t="n"/>
      <c r="O908" s="762" t="n">
        <v>-4.4</v>
      </c>
      <c r="P908" s="725" t="n">
        <v>-0.01012751461584496</v>
      </c>
      <c r="Q908" s="726" t="n">
        <v>-10.75000000000167</v>
      </c>
      <c r="R908" s="764" t="n">
        <v>430.0600000000001</v>
      </c>
      <c r="S908" s="719" t="inlineStr">
        <is>
          <t>16M 0S</t>
        </is>
      </c>
      <c r="T908" s="728" t="n"/>
      <c r="U908" s="729" t="n"/>
      <c r="V908" s="730" t="n"/>
      <c r="W908" s="731" t="n"/>
      <c r="X908" s="732" t="n"/>
      <c r="Y908" s="728" t="n"/>
      <c r="Z908" s="729" t="n"/>
      <c r="AA908" s="730" t="n"/>
      <c r="AB908" s="731" t="n"/>
      <c r="AC908" s="732" t="n"/>
      <c r="AD908" s="719" t="inlineStr">
        <is>
          <t>No</t>
        </is>
      </c>
      <c r="AE908" s="733" t="n"/>
      <c r="AF908" s="733" t="n"/>
      <c r="AG908" s="733" t="n"/>
      <c r="AH908" s="733" t="n"/>
      <c r="AI908" s="719" t="inlineStr">
        <is>
          <t>Limit</t>
        </is>
      </c>
      <c r="AJ908" s="733" t="n"/>
      <c r="AK908" s="733" t="n"/>
      <c r="AL908" s="733" t="n"/>
      <c r="AM908" s="733" t="n"/>
      <c r="AN908" s="733" t="n"/>
      <c r="AO908" s="733" t="n"/>
      <c r="AP908" s="719" t="inlineStr">
        <is>
          <t>Pullback</t>
        </is>
      </c>
      <c r="AQ908" s="719" t="inlineStr">
        <is>
          <t>1H</t>
        </is>
      </c>
      <c r="AR908" s="719" t="inlineStr">
        <is>
          <t>No</t>
        </is>
      </c>
      <c r="AS908" s="733" t="n"/>
      <c r="AT908" s="733" t="n"/>
      <c r="AU908" s="733" t="n"/>
      <c r="AV908" s="733" t="n"/>
      <c r="AW908" s="719" t="inlineStr">
        <is>
          <t>trade</t>
        </is>
      </c>
      <c r="AX908" s="734" t="inlineStr">
        <is>
          <t>sig:243a1b990c363216f72e50cd</t>
        </is>
      </c>
    </row>
    <row r="909" ht="15" customHeight="1">
      <c r="A909" s="716" t="inlineStr">
        <is>
          <t>F626</t>
        </is>
      </c>
      <c r="B909" s="717" t="n">
        <v>43670.93125</v>
      </c>
      <c r="C909" s="718" t="n">
        <v>43670.98333333333</v>
      </c>
      <c r="D909" s="719" t="inlineStr">
        <is>
          <t>PEPPERSTONE DEMO</t>
        </is>
      </c>
      <c r="E909" s="719" t="inlineStr">
        <is>
          <t>GBPAUD</t>
        </is>
      </c>
      <c r="F909" s="719" t="inlineStr">
        <is>
          <t>BUY</t>
        </is>
      </c>
      <c r="G909" s="735" t="n">
        <v>0.02</v>
      </c>
      <c r="H909" s="720" t="n">
        <v>1.7895</v>
      </c>
      <c r="I909" s="720" t="n">
        <v>1.78722</v>
      </c>
      <c r="J909" s="721" t="n">
        <v>1.7872</v>
      </c>
      <c r="K909" s="722" t="n">
        <v>0.00128527521654104</v>
      </c>
      <c r="L909" s="721" t="n">
        <v>1.7941</v>
      </c>
      <c r="M909" s="722" t="n">
        <v>0.002570550433081831</v>
      </c>
      <c r="N909" s="788" t="n"/>
      <c r="O909" s="762" t="n">
        <v>-4.6</v>
      </c>
      <c r="P909" s="725" t="n">
        <v>-0.01047692798250808</v>
      </c>
      <c r="Q909" s="726" t="n">
        <v>-0.9913043478260307</v>
      </c>
      <c r="R909" s="764" t="n">
        <v>434.46</v>
      </c>
      <c r="S909" s="719" t="inlineStr">
        <is>
          <t>1H 15M 0S</t>
        </is>
      </c>
      <c r="T909" s="728" t="n"/>
      <c r="U909" s="729" t="n"/>
      <c r="V909" s="730" t="n"/>
      <c r="W909" s="731" t="n"/>
      <c r="X909" s="732" t="n"/>
      <c r="Y909" s="728" t="n"/>
      <c r="Z909" s="729" t="n"/>
      <c r="AA909" s="730" t="n"/>
      <c r="AB909" s="731" t="n"/>
      <c r="AC909" s="732" t="n"/>
      <c r="AD909" s="719" t="inlineStr">
        <is>
          <t>No</t>
        </is>
      </c>
      <c r="AE909" s="733" t="n"/>
      <c r="AF909" s="733" t="n"/>
      <c r="AG909" s="733" t="n"/>
      <c r="AH909" s="733" t="n"/>
      <c r="AI909" s="719" t="inlineStr">
        <is>
          <t>Limit</t>
        </is>
      </c>
      <c r="AJ909" s="733" t="n"/>
      <c r="AK909" s="733" t="n"/>
      <c r="AL909" s="733" t="n"/>
      <c r="AM909" s="733" t="n"/>
      <c r="AN909" s="733" t="n"/>
      <c r="AO909" s="733" t="n"/>
      <c r="AP909" s="719" t="inlineStr">
        <is>
          <t>Pullback</t>
        </is>
      </c>
      <c r="AQ909" s="719" t="inlineStr">
        <is>
          <t>1H</t>
        </is>
      </c>
      <c r="AR909" s="719" t="inlineStr">
        <is>
          <t>No</t>
        </is>
      </c>
      <c r="AS909" s="733" t="n"/>
      <c r="AT909" s="733" t="n"/>
      <c r="AU909" s="733" t="n"/>
      <c r="AV909" s="733" t="n"/>
      <c r="AW909" s="719" t="inlineStr">
        <is>
          <t>trade</t>
        </is>
      </c>
      <c r="AX909" s="734" t="inlineStr">
        <is>
          <t>sig:17c8bfff759670c6683cf02f</t>
        </is>
      </c>
    </row>
    <row r="910" ht="15" customHeight="1">
      <c r="A910" s="716" t="inlineStr">
        <is>
          <t>F627</t>
        </is>
      </c>
      <c r="B910" s="717" t="n">
        <v>43670.93819444445</v>
      </c>
      <c r="C910" s="718" t="n">
        <v>43670.95138888889</v>
      </c>
      <c r="D910" s="719" t="inlineStr">
        <is>
          <t>PEPPERSTONE DEMO</t>
        </is>
      </c>
      <c r="E910" s="719" t="inlineStr">
        <is>
          <t>EURGBP</t>
        </is>
      </c>
      <c r="F910" s="719" t="inlineStr">
        <is>
          <t>SELL</t>
        </is>
      </c>
      <c r="G910" s="735" t="n">
        <v>0.02</v>
      </c>
      <c r="H910" s="720" t="n">
        <v>0.8919</v>
      </c>
      <c r="I910" s="720" t="n">
        <v>0.89286</v>
      </c>
      <c r="J910" s="721" t="n">
        <v>0.8928</v>
      </c>
      <c r="K910" s="722" t="n">
        <v>0.001009081735620599</v>
      </c>
      <c r="L910" s="721" t="n">
        <v>0.8892</v>
      </c>
      <c r="M910" s="722" t="n">
        <v>0.003027245206861796</v>
      </c>
      <c r="N910" s="761" t="n"/>
      <c r="O910" s="762" t="n">
        <v>-3.22</v>
      </c>
      <c r="P910" s="725" t="n">
        <v>-0.007280455819842632</v>
      </c>
      <c r="Q910" s="726" t="n">
        <v>-1.066666666666609</v>
      </c>
      <c r="R910" s="764" t="n">
        <v>439.0600000000001</v>
      </c>
      <c r="S910" s="719" t="inlineStr">
        <is>
          <t>19M 0S</t>
        </is>
      </c>
      <c r="T910" s="728" t="n"/>
      <c r="U910" s="729" t="n"/>
      <c r="V910" s="730" t="n"/>
      <c r="W910" s="731" t="n"/>
      <c r="X910" s="732" t="n"/>
      <c r="Y910" s="728" t="n"/>
      <c r="Z910" s="729" t="n"/>
      <c r="AA910" s="730" t="n"/>
      <c r="AB910" s="731" t="n"/>
      <c r="AC910" s="732" t="n"/>
      <c r="AD910" s="719" t="inlineStr">
        <is>
          <t>No</t>
        </is>
      </c>
      <c r="AE910" s="733" t="n"/>
      <c r="AF910" s="733" t="n"/>
      <c r="AG910" s="733" t="n"/>
      <c r="AH910" s="733" t="n"/>
      <c r="AI910" s="719" t="inlineStr">
        <is>
          <t>Limit</t>
        </is>
      </c>
      <c r="AJ910" s="733" t="n"/>
      <c r="AK910" s="733" t="n"/>
      <c r="AL910" s="733" t="n"/>
      <c r="AM910" s="733" t="n"/>
      <c r="AN910" s="733" t="n"/>
      <c r="AO910" s="733" t="n"/>
      <c r="AP910" s="719" t="inlineStr">
        <is>
          <t>Pullback</t>
        </is>
      </c>
      <c r="AQ910" s="719" t="inlineStr">
        <is>
          <t>1H</t>
        </is>
      </c>
      <c r="AR910" s="719" t="inlineStr">
        <is>
          <t>No</t>
        </is>
      </c>
      <c r="AS910" s="733" t="n"/>
      <c r="AT910" s="733" t="n"/>
      <c r="AU910" s="733" t="n"/>
      <c r="AV910" s="733" t="n"/>
      <c r="AW910" s="719" t="inlineStr">
        <is>
          <t>trade</t>
        </is>
      </c>
      <c r="AX910" s="734" t="inlineStr">
        <is>
          <t>sig:3e2e5bef1e3a33d70b29b9c2</t>
        </is>
      </c>
    </row>
    <row r="911" ht="15" customHeight="1">
      <c r="A911" s="716" t="inlineStr">
        <is>
          <t>F624</t>
        </is>
      </c>
      <c r="B911" s="717" t="n">
        <v>43669.98680555556</v>
      </c>
      <c r="C911" s="718" t="n">
        <v>43669.98888888889</v>
      </c>
      <c r="D911" s="719" t="inlineStr">
        <is>
          <t>PEPPERSTONE DEMO</t>
        </is>
      </c>
      <c r="E911" s="719" t="inlineStr">
        <is>
          <t>AUDCAD</t>
        </is>
      </c>
      <c r="F911" s="719" t="inlineStr">
        <is>
          <t>BUY</t>
        </is>
      </c>
      <c r="G911" s="735" t="n">
        <v>0.05</v>
      </c>
      <c r="H911" s="720" t="n">
        <v>0.9222</v>
      </c>
      <c r="I911" s="720" t="n">
        <v>0.92153</v>
      </c>
      <c r="J911" s="721" t="n">
        <v>0.9215</v>
      </c>
      <c r="K911" s="760" t="n">
        <v>0.0007590544350466644</v>
      </c>
      <c r="L911" s="721" t="n">
        <v>0.9246</v>
      </c>
      <c r="M911" s="722" t="n">
        <v>0.002602472348731249</v>
      </c>
      <c r="N911" s="788" t="n"/>
      <c r="O911" s="762" t="n">
        <v>-3.8</v>
      </c>
      <c r="P911" s="725" t="n">
        <v>-0.008518651362984216</v>
      </c>
      <c r="Q911" s="726" t="n">
        <v>-0.9571428571428957</v>
      </c>
      <c r="R911" s="764" t="n">
        <v>442.2800000000001</v>
      </c>
      <c r="S911" s="719" t="inlineStr">
        <is>
          <t>3M 0S</t>
        </is>
      </c>
      <c r="T911" s="728" t="n"/>
      <c r="U911" s="729" t="n"/>
      <c r="V911" s="730" t="n"/>
      <c r="W911" s="731" t="n"/>
      <c r="X911" s="732" t="n"/>
      <c r="Y911" s="728" t="n"/>
      <c r="Z911" s="729" t="n"/>
      <c r="AA911" s="730" t="n"/>
      <c r="AB911" s="731" t="n"/>
      <c r="AC911" s="732" t="n"/>
      <c r="AD911" s="719" t="inlineStr">
        <is>
          <t>No</t>
        </is>
      </c>
      <c r="AE911" s="733" t="n"/>
      <c r="AF911" s="733" t="n"/>
      <c r="AG911" s="733" t="n"/>
      <c r="AH911" s="733" t="n"/>
      <c r="AI911" s="719" t="inlineStr">
        <is>
          <t>Limit</t>
        </is>
      </c>
      <c r="AJ911" s="733" t="n"/>
      <c r="AK911" s="733" t="n"/>
      <c r="AL911" s="733" t="n"/>
      <c r="AM911" s="733" t="n"/>
      <c r="AN911" s="733" t="n"/>
      <c r="AO911" s="733" t="n"/>
      <c r="AP911" s="719" t="inlineStr">
        <is>
          <t>Pullback</t>
        </is>
      </c>
      <c r="AQ911" s="719" t="inlineStr">
        <is>
          <t>15MIN</t>
        </is>
      </c>
      <c r="AR911" s="719" t="inlineStr">
        <is>
          <t>No</t>
        </is>
      </c>
      <c r="AS911" s="733" t="n"/>
      <c r="AT911" s="733" t="n"/>
      <c r="AU911" s="733" t="n"/>
      <c r="AV911" s="733" t="n"/>
      <c r="AW911" s="719" t="inlineStr">
        <is>
          <t>trade</t>
        </is>
      </c>
      <c r="AX911" s="734" t="inlineStr">
        <is>
          <t>sig:209704994f343ef7ed1780e7</t>
        </is>
      </c>
    </row>
    <row r="912" ht="15" customHeight="1">
      <c r="A912" s="716" t="inlineStr">
        <is>
          <t>F623</t>
        </is>
      </c>
      <c r="B912" s="717" t="n">
        <v>43669.97222222222</v>
      </c>
      <c r="C912" s="718" t="n">
        <v>43669.97916666666</v>
      </c>
      <c r="D912" s="719" t="inlineStr">
        <is>
          <t>PEPPERSTONE DEMO</t>
        </is>
      </c>
      <c r="E912" s="719" t="inlineStr">
        <is>
          <t>AUDCAD</t>
        </is>
      </c>
      <c r="F912" s="719" t="inlineStr">
        <is>
          <t>BUY</t>
        </is>
      </c>
      <c r="G912" s="735" t="n">
        <v>0.07000000000000001</v>
      </c>
      <c r="H912" s="720" t="n">
        <v>0.9234</v>
      </c>
      <c r="I912" s="720" t="n">
        <v>0.9228</v>
      </c>
      <c r="J912" s="721" t="n">
        <v>0.9228</v>
      </c>
      <c r="K912" s="760" t="n">
        <v>0.0006497725795971896</v>
      </c>
      <c r="L912" s="721" t="n">
        <v>0.9252</v>
      </c>
      <c r="M912" s="722" t="n">
        <v>0.001949317738791449</v>
      </c>
      <c r="N912" s="788" t="n"/>
      <c r="O912" s="762" t="n">
        <v>-4.55</v>
      </c>
      <c r="P912" s="725" t="n">
        <v>-0.01009697534562723</v>
      </c>
      <c r="Q912" s="726" t="n">
        <v>-1</v>
      </c>
      <c r="R912" s="764" t="n">
        <v>446.0800000000001</v>
      </c>
      <c r="S912" s="719" t="inlineStr">
        <is>
          <t>10M 0S</t>
        </is>
      </c>
      <c r="T912" s="728" t="n"/>
      <c r="U912" s="729" t="n"/>
      <c r="V912" s="730" t="n"/>
      <c r="W912" s="731" t="n"/>
      <c r="X912" s="732" t="n"/>
      <c r="Y912" s="728" t="n"/>
      <c r="Z912" s="729" t="n"/>
      <c r="AA912" s="730" t="n"/>
      <c r="AB912" s="731" t="n"/>
      <c r="AC912" s="732" t="n"/>
      <c r="AD912" s="719" t="inlineStr">
        <is>
          <t>No</t>
        </is>
      </c>
      <c r="AE912" s="733" t="n"/>
      <c r="AF912" s="733" t="n"/>
      <c r="AG912" s="733" t="n"/>
      <c r="AH912" s="733" t="n"/>
      <c r="AI912" s="719" t="inlineStr">
        <is>
          <t>Limit</t>
        </is>
      </c>
      <c r="AJ912" s="733" t="n"/>
      <c r="AK912" s="733" t="n"/>
      <c r="AL912" s="733" t="n"/>
      <c r="AM912" s="733" t="n"/>
      <c r="AN912" s="733" t="n"/>
      <c r="AO912" s="733" t="n"/>
      <c r="AP912" s="719" t="inlineStr">
        <is>
          <t>Pullback</t>
        </is>
      </c>
      <c r="AQ912" s="719" t="inlineStr">
        <is>
          <t>15MIN</t>
        </is>
      </c>
      <c r="AR912" s="719" t="inlineStr">
        <is>
          <t>No</t>
        </is>
      </c>
      <c r="AS912" s="733" t="n"/>
      <c r="AT912" s="733" t="n"/>
      <c r="AU912" s="733" t="n"/>
      <c r="AV912" s="733" t="n"/>
      <c r="AW912" s="719" t="inlineStr">
        <is>
          <t>trade</t>
        </is>
      </c>
      <c r="AX912" s="734" t="inlineStr">
        <is>
          <t>sig:b4724831fe5f045a78063e05</t>
        </is>
      </c>
    </row>
    <row r="913" ht="15" customHeight="1">
      <c r="A913" s="737" t="inlineStr">
        <is>
          <t>F625</t>
        </is>
      </c>
      <c r="B913" s="738" t="n">
        <v>43669.00486111111</v>
      </c>
      <c r="C913" s="739" t="n">
        <v>43669.16597222222</v>
      </c>
      <c r="D913" s="740" t="inlineStr">
        <is>
          <t>PEPPERSTONE DEMO</t>
        </is>
      </c>
      <c r="E913" s="740" t="inlineStr">
        <is>
          <t>NZDCAD</t>
        </is>
      </c>
      <c r="F913" s="740" t="inlineStr">
        <is>
          <t>BUY</t>
        </is>
      </c>
      <c r="G913" s="775" t="n">
        <v>0.07000000000000001</v>
      </c>
      <c r="H913" s="742" t="n">
        <v>0.8873</v>
      </c>
      <c r="I913" s="742" t="n">
        <v>0.88836</v>
      </c>
      <c r="J913" s="743" t="n">
        <v>0.8867</v>
      </c>
      <c r="K913" s="765" t="n">
        <v>0.0006762087230924534</v>
      </c>
      <c r="L913" s="743" t="n">
        <v>0.8891</v>
      </c>
      <c r="M913" s="744" t="n">
        <v>0.002028626169277611</v>
      </c>
      <c r="N913" s="796" t="n"/>
      <c r="O913" s="767" t="n">
        <v>1.13</v>
      </c>
      <c r="P913" s="747" t="n">
        <v>0.002513904338153503</v>
      </c>
      <c r="Q913" s="748" t="n">
        <v>1.766666666666963</v>
      </c>
      <c r="R913" s="769" t="n">
        <v>450.6300000000001</v>
      </c>
      <c r="S913" s="740" t="inlineStr">
        <is>
          <t>3H 52M 0S</t>
        </is>
      </c>
      <c r="T913" s="738" t="n">
        <v>43669.03541666667</v>
      </c>
      <c r="U913" s="809" t="inlineStr">
        <is>
          <t>44M 0S</t>
        </is>
      </c>
      <c r="V913" s="752" t="n"/>
      <c r="W913" s="753" t="n"/>
      <c r="X913" s="754" t="n"/>
      <c r="Y913" s="738" t="n"/>
      <c r="Z913" s="809" t="n"/>
      <c r="AA913" s="752" t="n"/>
      <c r="AB913" s="753" t="n"/>
      <c r="AC913" s="754" t="n"/>
      <c r="AD913" s="740" t="inlineStr">
        <is>
          <t>No</t>
        </is>
      </c>
      <c r="AE913" s="755" t="n"/>
      <c r="AF913" s="755" t="n"/>
      <c r="AG913" s="755" t="n"/>
      <c r="AH913" s="755" t="n"/>
      <c r="AI913" s="740" t="inlineStr">
        <is>
          <t>Limit</t>
        </is>
      </c>
      <c r="AJ913" s="755" t="n"/>
      <c r="AK913" s="755" t="n"/>
      <c r="AL913" s="755" t="n"/>
      <c r="AM913" s="755" t="n"/>
      <c r="AN913" s="755" t="n"/>
      <c r="AO913" s="755" t="n"/>
      <c r="AP913" s="740" t="inlineStr">
        <is>
          <t>Pullback</t>
        </is>
      </c>
      <c r="AQ913" s="740" t="inlineStr">
        <is>
          <t>15MIN</t>
        </is>
      </c>
      <c r="AR913" s="740" t="inlineStr">
        <is>
          <t>No</t>
        </is>
      </c>
      <c r="AS913" s="755" t="n"/>
      <c r="AT913" s="755" t="n"/>
      <c r="AU913" s="755" t="n"/>
      <c r="AV913" s="755" t="n"/>
      <c r="AW913" s="740" t="inlineStr">
        <is>
          <t>trade</t>
        </is>
      </c>
      <c r="AX913" s="756" t="inlineStr">
        <is>
          <t>sig:b3a338e71d567b1ac422c9b8</t>
        </is>
      </c>
    </row>
    <row r="914" ht="15" customHeight="1">
      <c r="A914" s="716" t="inlineStr">
        <is>
          <t>F622</t>
        </is>
      </c>
      <c r="B914" s="717" t="n">
        <v>43668.97152777778</v>
      </c>
      <c r="C914" s="718" t="n">
        <v>43668.98888888889</v>
      </c>
      <c r="D914" s="719" t="inlineStr">
        <is>
          <t>PEPPERSTONE DEMO</t>
        </is>
      </c>
      <c r="E914" s="719" t="inlineStr">
        <is>
          <t>EURNZD</t>
        </is>
      </c>
      <c r="F914" s="719" t="inlineStr">
        <is>
          <t>SELL</t>
        </is>
      </c>
      <c r="G914" s="735" t="n">
        <v>0.05</v>
      </c>
      <c r="H914" s="720" t="n">
        <v>1.6537</v>
      </c>
      <c r="I914" s="720" t="n">
        <v>1.65453</v>
      </c>
      <c r="J914" s="721" t="n">
        <v>1.6545</v>
      </c>
      <c r="K914" s="760" t="n">
        <v>0.0004837636814416968</v>
      </c>
      <c r="L914" s="721" t="n">
        <v>1.6513</v>
      </c>
      <c r="M914" s="722" t="n">
        <v>0.001451291044324822</v>
      </c>
      <c r="N914" s="788" t="n"/>
      <c r="O914" s="762" t="n">
        <v>-3.85</v>
      </c>
      <c r="P914" s="725" t="n">
        <v>-0.008492334840630857</v>
      </c>
      <c r="Q914" s="726" t="n">
        <v>-1.037499999999962</v>
      </c>
      <c r="R914" s="764" t="n">
        <v>449.5000000000001</v>
      </c>
      <c r="S914" s="719" t="inlineStr">
        <is>
          <t>25M 0S</t>
        </is>
      </c>
      <c r="T914" s="728" t="n"/>
      <c r="U914" s="729" t="n"/>
      <c r="V914" s="730" t="n"/>
      <c r="W914" s="731" t="n"/>
      <c r="X914" s="732" t="n"/>
      <c r="Y914" s="728" t="n"/>
      <c r="Z914" s="729" t="n"/>
      <c r="AA914" s="730" t="n"/>
      <c r="AB914" s="731" t="n"/>
      <c r="AC914" s="732" t="n"/>
      <c r="AD914" s="719" t="inlineStr">
        <is>
          <t>No</t>
        </is>
      </c>
      <c r="AE914" s="733" t="n"/>
      <c r="AF914" s="733" t="n"/>
      <c r="AG914" s="733" t="n"/>
      <c r="AH914" s="733" t="n"/>
      <c r="AI914" s="719" t="inlineStr">
        <is>
          <t>Limit</t>
        </is>
      </c>
      <c r="AJ914" s="733" t="n"/>
      <c r="AK914" s="733" t="n"/>
      <c r="AL914" s="733" t="n"/>
      <c r="AM914" s="733" t="n"/>
      <c r="AN914" s="733" t="n"/>
      <c r="AO914" s="733" t="n"/>
      <c r="AP914" s="719" t="inlineStr">
        <is>
          <t>Pullback</t>
        </is>
      </c>
      <c r="AQ914" s="719" t="inlineStr">
        <is>
          <t>15MIN</t>
        </is>
      </c>
      <c r="AR914" s="719" t="inlineStr">
        <is>
          <t>No</t>
        </is>
      </c>
      <c r="AS914" s="733" t="n"/>
      <c r="AT914" s="733" t="n"/>
      <c r="AU914" s="733" t="n"/>
      <c r="AV914" s="733" t="n"/>
      <c r="AW914" s="719" t="inlineStr">
        <is>
          <t>trade</t>
        </is>
      </c>
      <c r="AX914" s="734" t="inlineStr">
        <is>
          <t>sig:aad88512606318ebef7a63fe</t>
        </is>
      </c>
    </row>
    <row r="915" ht="15" customHeight="1">
      <c r="A915" s="716" t="inlineStr">
        <is>
          <t>F620</t>
        </is>
      </c>
      <c r="B915" s="717" t="n">
        <v>43666.16111111111</v>
      </c>
      <c r="C915" s="718" t="n">
        <v>43666.17638888889</v>
      </c>
      <c r="D915" s="719" t="inlineStr">
        <is>
          <t>PEPPERSTONE DEMO</t>
        </is>
      </c>
      <c r="E915" s="719" t="inlineStr">
        <is>
          <t>CADCHF</t>
        </is>
      </c>
      <c r="F915" s="719" t="inlineStr">
        <is>
          <t>SELL</t>
        </is>
      </c>
      <c r="G915" s="735" t="n">
        <v>0.04</v>
      </c>
      <c r="H915" s="720" t="n">
        <v>0.7517</v>
      </c>
      <c r="I915" s="720" t="n">
        <v>0.7525500000000001</v>
      </c>
      <c r="J915" s="721" t="n">
        <v>0.7524999999999999</v>
      </c>
      <c r="K915" s="722" t="n">
        <v>0.001064254356791156</v>
      </c>
      <c r="L915" s="721" t="n">
        <v>0.7485000000000001</v>
      </c>
      <c r="M915" s="722" t="n">
        <v>0.004257017427165066</v>
      </c>
      <c r="N915" s="788" t="n"/>
      <c r="O915" s="762" t="n">
        <v>-4.62</v>
      </c>
      <c r="P915" s="725" t="n">
        <v>-0.01008799703037317</v>
      </c>
      <c r="Q915" s="726" t="n">
        <v>-1.062500000000139</v>
      </c>
      <c r="R915" s="764" t="n">
        <v>453.3500000000001</v>
      </c>
      <c r="S915" s="719" t="inlineStr">
        <is>
          <t>22M 0S</t>
        </is>
      </c>
      <c r="T915" s="717" t="n"/>
      <c r="U915" s="806" t="n"/>
      <c r="V915" s="730" t="n"/>
      <c r="W915" s="731" t="n"/>
      <c r="X915" s="732" t="n"/>
      <c r="Y915" s="728" t="n"/>
      <c r="Z915" s="729" t="n"/>
      <c r="AA915" s="730" t="n"/>
      <c r="AB915" s="731" t="n"/>
      <c r="AC915" s="732" t="n"/>
      <c r="AD915" s="719" t="inlineStr">
        <is>
          <t>No</t>
        </is>
      </c>
      <c r="AE915" s="733" t="n"/>
      <c r="AF915" s="733" t="n"/>
      <c r="AG915" s="733" t="n"/>
      <c r="AH915" s="733" t="n"/>
      <c r="AI915" s="719" t="inlineStr">
        <is>
          <t>Limit</t>
        </is>
      </c>
      <c r="AJ915" s="733" t="n"/>
      <c r="AK915" s="733" t="n"/>
      <c r="AL915" s="733" t="n"/>
      <c r="AM915" s="733" t="n"/>
      <c r="AN915" s="733" t="n"/>
      <c r="AO915" s="733" t="n"/>
      <c r="AP915" s="719" t="inlineStr">
        <is>
          <t>Pullback</t>
        </is>
      </c>
      <c r="AQ915" s="719" t="inlineStr">
        <is>
          <t>15MIN</t>
        </is>
      </c>
      <c r="AR915" s="719" t="inlineStr">
        <is>
          <t>No</t>
        </is>
      </c>
      <c r="AS915" s="733" t="n"/>
      <c r="AT915" s="733" t="n"/>
      <c r="AU915" s="733" t="n"/>
      <c r="AV915" s="733" t="n"/>
      <c r="AW915" s="719" t="inlineStr">
        <is>
          <t>trade</t>
        </is>
      </c>
      <c r="AX915" s="734" t="inlineStr">
        <is>
          <t>sig:95708e095026427e05497eff</t>
        </is>
      </c>
    </row>
    <row r="916" ht="15" customHeight="1">
      <c r="A916" s="716" t="inlineStr">
        <is>
          <t>F621</t>
        </is>
      </c>
      <c r="B916" s="717" t="n">
        <v>43666.13680555556</v>
      </c>
      <c r="C916" s="718" t="n">
        <v>43666.16180555556</v>
      </c>
      <c r="D916" s="719" t="inlineStr">
        <is>
          <t>PEPPERSTONE DEMO</t>
        </is>
      </c>
      <c r="E916" s="719" t="inlineStr">
        <is>
          <t>NZDCAD</t>
        </is>
      </c>
      <c r="F916" s="719" t="inlineStr">
        <is>
          <t>BUY</t>
        </is>
      </c>
      <c r="G916" s="735" t="n">
        <v>0.06</v>
      </c>
      <c r="H916" s="720" t="n">
        <v>0.8849</v>
      </c>
      <c r="I916" s="720" t="n">
        <v>0.88425</v>
      </c>
      <c r="J916" s="721" t="n">
        <v>0.8842</v>
      </c>
      <c r="K916" s="760" t="n">
        <v>0.0007910498361397151</v>
      </c>
      <c r="L916" s="721" t="n">
        <v>0.8877</v>
      </c>
      <c r="M916" s="722" t="n">
        <v>0.003164199344558735</v>
      </c>
      <c r="N916" s="788" t="n"/>
      <c r="O916" s="762" t="n">
        <v>-4.56</v>
      </c>
      <c r="P916" s="725" t="n">
        <v>-0.009858819968434478</v>
      </c>
      <c r="Q916" s="726" t="n">
        <v>-0.9285714285714399</v>
      </c>
      <c r="R916" s="764" t="n">
        <v>457.9700000000001</v>
      </c>
      <c r="S916" s="719" t="inlineStr">
        <is>
          <t>36M 0S</t>
        </is>
      </c>
      <c r="T916" s="728" t="n"/>
      <c r="U916" s="729" t="n"/>
      <c r="V916" s="730" t="n"/>
      <c r="W916" s="731" t="n"/>
      <c r="X916" s="732" t="n"/>
      <c r="Y916" s="728" t="n"/>
      <c r="Z916" s="729" t="n"/>
      <c r="AA916" s="730" t="n"/>
      <c r="AB916" s="731" t="n"/>
      <c r="AC916" s="732" t="n"/>
      <c r="AD916" s="719" t="inlineStr">
        <is>
          <t>No</t>
        </is>
      </c>
      <c r="AE916" s="733" t="n"/>
      <c r="AF916" s="733" t="n"/>
      <c r="AG916" s="733" t="n"/>
      <c r="AH916" s="733" t="n"/>
      <c r="AI916" s="719" t="inlineStr">
        <is>
          <t>Limit</t>
        </is>
      </c>
      <c r="AJ916" s="733" t="n"/>
      <c r="AK916" s="733" t="n"/>
      <c r="AL916" s="733" t="n"/>
      <c r="AM916" s="733" t="n"/>
      <c r="AN916" s="733" t="n"/>
      <c r="AO916" s="733" t="n"/>
      <c r="AP916" s="719" t="inlineStr">
        <is>
          <t>Pullback</t>
        </is>
      </c>
      <c r="AQ916" s="719" t="inlineStr">
        <is>
          <t>15MIN</t>
        </is>
      </c>
      <c r="AR916" s="719" t="inlineStr">
        <is>
          <t>No</t>
        </is>
      </c>
      <c r="AS916" s="733" t="n"/>
      <c r="AT916" s="733" t="n"/>
      <c r="AU916" s="733" t="n"/>
      <c r="AV916" s="733" t="n"/>
      <c r="AW916" s="719" t="inlineStr">
        <is>
          <t>trade</t>
        </is>
      </c>
      <c r="AX916" s="734" t="inlineStr">
        <is>
          <t>sig:351943dc4926d3611cb3f8f1</t>
        </is>
      </c>
    </row>
    <row r="917" ht="15" customHeight="1">
      <c r="A917" s="716" t="inlineStr">
        <is>
          <t>F618</t>
        </is>
      </c>
      <c r="B917" s="717" t="n">
        <v>43664.94305555556</v>
      </c>
      <c r="C917" s="718" t="n">
        <v>43664.95347222222</v>
      </c>
      <c r="D917" s="719" t="inlineStr">
        <is>
          <t>PEPPERSTONE DEMO</t>
        </is>
      </c>
      <c r="E917" s="719" t="inlineStr">
        <is>
          <t>EURNZD</t>
        </is>
      </c>
      <c r="F917" s="719" t="inlineStr">
        <is>
          <t>SELL</t>
        </is>
      </c>
      <c r="G917" s="735" t="n">
        <v>0.04</v>
      </c>
      <c r="H917" s="720" t="n">
        <v>1.6647</v>
      </c>
      <c r="I917" s="720" t="n">
        <v>1.66574</v>
      </c>
      <c r="J917" s="721" t="n">
        <v>1.6657</v>
      </c>
      <c r="K917" s="760" t="n">
        <v>0.0006007088364269177</v>
      </c>
      <c r="L917" s="721" t="n">
        <v>1.6607</v>
      </c>
      <c r="M917" s="722" t="n">
        <v>0.002402835345707937</v>
      </c>
      <c r="N917" s="788" t="n"/>
      <c r="O917" s="762" t="n">
        <v>-3.84</v>
      </c>
      <c r="P917" s="725" t="n">
        <v>-0.008233805776529364</v>
      </c>
      <c r="Q917" s="726" t="n">
        <v>-1.040000000000044</v>
      </c>
      <c r="R917" s="764" t="n">
        <v>462.5300000000001</v>
      </c>
      <c r="S917" s="719" t="inlineStr">
        <is>
          <t>15M 0S</t>
        </is>
      </c>
      <c r="T917" s="728" t="n"/>
      <c r="U917" s="729" t="n"/>
      <c r="V917" s="730" t="n"/>
      <c r="W917" s="731" t="n"/>
      <c r="X917" s="732" t="n"/>
      <c r="Y917" s="728" t="n"/>
      <c r="Z917" s="729" t="n"/>
      <c r="AA917" s="730" t="n"/>
      <c r="AB917" s="731" t="n"/>
      <c r="AC917" s="732" t="n"/>
      <c r="AD917" s="719" t="inlineStr">
        <is>
          <t>No</t>
        </is>
      </c>
      <c r="AE917" s="733" t="n"/>
      <c r="AF917" s="733" t="n"/>
      <c r="AG917" s="733" t="n"/>
      <c r="AH917" s="733" t="n"/>
      <c r="AI917" s="719" t="inlineStr">
        <is>
          <t>Limit</t>
        </is>
      </c>
      <c r="AJ917" s="733" t="n"/>
      <c r="AK917" s="733" t="n"/>
      <c r="AL917" s="733" t="n"/>
      <c r="AM917" s="733" t="n"/>
      <c r="AN917" s="733" t="n"/>
      <c r="AO917" s="733" t="n"/>
      <c r="AP917" s="719" t="inlineStr">
        <is>
          <t>Pullback</t>
        </is>
      </c>
      <c r="AQ917" s="719" t="inlineStr">
        <is>
          <t>15MIN</t>
        </is>
      </c>
      <c r="AR917" s="719" t="inlineStr">
        <is>
          <t>No</t>
        </is>
      </c>
      <c r="AS917" s="733" t="n"/>
      <c r="AT917" s="733" t="n"/>
      <c r="AU917" s="733" t="n"/>
      <c r="AV917" s="733" t="n"/>
      <c r="AW917" s="719" t="inlineStr">
        <is>
          <t>trade</t>
        </is>
      </c>
      <c r="AX917" s="734" t="inlineStr">
        <is>
          <t>sig:69e4a9810d30414ae1634392</t>
        </is>
      </c>
    </row>
    <row r="918" ht="15" customHeight="1">
      <c r="A918" s="716" t="inlineStr">
        <is>
          <t>F619</t>
        </is>
      </c>
      <c r="B918" s="717" t="n">
        <v>43664.22777777778</v>
      </c>
      <c r="C918" s="718" t="n">
        <v>43664.29236111111</v>
      </c>
      <c r="D918" s="719" t="inlineStr">
        <is>
          <t>PEPPERSTONE DEMO</t>
        </is>
      </c>
      <c r="E918" s="719" t="inlineStr">
        <is>
          <t>NZDUSD</t>
        </is>
      </c>
      <c r="F918" s="719" t="inlineStr">
        <is>
          <t>BUY</t>
        </is>
      </c>
      <c r="G918" s="735" t="n">
        <v>0.05</v>
      </c>
      <c r="H918" s="720" t="n">
        <v>0.6733</v>
      </c>
      <c r="I918" s="720" t="n">
        <v>0.67275</v>
      </c>
      <c r="J918" s="721" t="n">
        <v>0.6727</v>
      </c>
      <c r="K918" s="760" t="n">
        <v>0.0008911332244171171</v>
      </c>
      <c r="L918" s="721" t="n">
        <v>0.6744</v>
      </c>
      <c r="M918" s="722" t="n">
        <v>0.001633744244764577</v>
      </c>
      <c r="N918" s="761" t="n">
        <v>0.66</v>
      </c>
      <c r="O918" s="762" t="n">
        <v>-4.94</v>
      </c>
      <c r="P918" s="725" t="n">
        <v>-0.01048142411576245</v>
      </c>
      <c r="Q918" s="726" t="n">
        <v>-0.9166666666666821</v>
      </c>
      <c r="R918" s="764" t="n">
        <v>466.3700000000001</v>
      </c>
      <c r="S918" s="719" t="inlineStr">
        <is>
          <t>1H 33M 0S</t>
        </is>
      </c>
      <c r="T918" s="728" t="n"/>
      <c r="U918" s="729" t="n"/>
      <c r="V918" s="730" t="n"/>
      <c r="W918" s="731" t="n"/>
      <c r="X918" s="732" t="n"/>
      <c r="Y918" s="728" t="n"/>
      <c r="Z918" s="729" t="n"/>
      <c r="AA918" s="730" t="n"/>
      <c r="AB918" s="731" t="n"/>
      <c r="AC918" s="732" t="n"/>
      <c r="AD918" s="719" t="inlineStr">
        <is>
          <t>No</t>
        </is>
      </c>
      <c r="AE918" s="733" t="n"/>
      <c r="AF918" s="733" t="n"/>
      <c r="AG918" s="733" t="n"/>
      <c r="AH918" s="733" t="n"/>
      <c r="AI918" s="719" t="inlineStr">
        <is>
          <t>Limit</t>
        </is>
      </c>
      <c r="AJ918" s="733" t="n"/>
      <c r="AK918" s="733" t="n"/>
      <c r="AL918" s="733" t="n"/>
      <c r="AM918" s="733" t="n"/>
      <c r="AN918" s="733" t="n"/>
      <c r="AO918" s="733" t="n"/>
      <c r="AP918" s="719" t="inlineStr">
        <is>
          <t>Pullback</t>
        </is>
      </c>
      <c r="AQ918" s="719" t="inlineStr">
        <is>
          <t>15MIN</t>
        </is>
      </c>
      <c r="AR918" s="719" t="inlineStr">
        <is>
          <t>No</t>
        </is>
      </c>
      <c r="AS918" s="733" t="n"/>
      <c r="AT918" s="733" t="n"/>
      <c r="AU918" s="733" t="n"/>
      <c r="AV918" s="733" t="n"/>
      <c r="AW918" s="719" t="inlineStr">
        <is>
          <t>trade</t>
        </is>
      </c>
      <c r="AX918" s="734" t="inlineStr">
        <is>
          <t>sig:d16f06f642cad983996a63cb</t>
        </is>
      </c>
    </row>
    <row r="919" ht="15" customHeight="1">
      <c r="A919" s="716" t="inlineStr">
        <is>
          <t>F617</t>
        </is>
      </c>
      <c r="B919" s="717" t="n">
        <v>43663.99027777778</v>
      </c>
      <c r="C919" s="718" t="n">
        <v>43664.01944444444</v>
      </c>
      <c r="D919" s="719" t="inlineStr">
        <is>
          <t>PEPPERSTONE DEMO</t>
        </is>
      </c>
      <c r="E919" s="719" t="inlineStr">
        <is>
          <t>NZDCHF</t>
        </is>
      </c>
      <c r="F919" s="719" t="inlineStr">
        <is>
          <t>BUY</t>
        </is>
      </c>
      <c r="G919" s="735" t="n">
        <v>0.07000000000000001</v>
      </c>
      <c r="H919" s="720" t="n">
        <v>0.6647</v>
      </c>
      <c r="I919" s="720" t="n">
        <v>0.66438</v>
      </c>
      <c r="J919" s="721" t="n">
        <v>0.6643</v>
      </c>
      <c r="K919" s="760" t="n">
        <v>0.0006017752369489333</v>
      </c>
      <c r="L919" s="721" t="n">
        <v>0.6657999999999999</v>
      </c>
      <c r="M919" s="722" t="n">
        <v>0.001654881901609734</v>
      </c>
      <c r="N919" s="788" t="n"/>
      <c r="O919" s="762" t="n">
        <v>-4.05</v>
      </c>
      <c r="P919" s="725" t="n">
        <v>-0.008519858633456745</v>
      </c>
      <c r="Q919" s="726" t="n">
        <v>-0.8000000000000556</v>
      </c>
      <c r="R919" s="764" t="n">
        <v>471.3100000000001</v>
      </c>
      <c r="S919" s="719" t="inlineStr">
        <is>
          <t>42M 0S</t>
        </is>
      </c>
      <c r="T919" s="728" t="n"/>
      <c r="U919" s="729" t="n"/>
      <c r="V919" s="730" t="n"/>
      <c r="W919" s="731" t="n"/>
      <c r="X919" s="732" t="n"/>
      <c r="Y919" s="728" t="n"/>
      <c r="Z919" s="729" t="n"/>
      <c r="AA919" s="730" t="n"/>
      <c r="AB919" s="731" t="n"/>
      <c r="AC919" s="732" t="n"/>
      <c r="AD919" s="719" t="inlineStr">
        <is>
          <t>No</t>
        </is>
      </c>
      <c r="AE919" s="733" t="n"/>
      <c r="AF919" s="733" t="n"/>
      <c r="AG919" s="733" t="n"/>
      <c r="AH919" s="733" t="n"/>
      <c r="AI919" s="719" t="inlineStr">
        <is>
          <t>Limit</t>
        </is>
      </c>
      <c r="AJ919" s="733" t="n"/>
      <c r="AK919" s="733" t="n"/>
      <c r="AL919" s="733" t="n"/>
      <c r="AM919" s="733" t="n"/>
      <c r="AN919" s="733" t="n"/>
      <c r="AO919" s="733" t="n"/>
      <c r="AP919" s="719" t="inlineStr">
        <is>
          <t>Pullback</t>
        </is>
      </c>
      <c r="AQ919" s="719" t="inlineStr">
        <is>
          <t>15MIN</t>
        </is>
      </c>
      <c r="AR919" s="719" t="inlineStr">
        <is>
          <t>No</t>
        </is>
      </c>
      <c r="AS919" s="733" t="n"/>
      <c r="AT919" s="733" t="n"/>
      <c r="AU919" s="733" t="n"/>
      <c r="AV919" s="733" t="n"/>
      <c r="AW919" s="719" t="inlineStr">
        <is>
          <t>trade</t>
        </is>
      </c>
      <c r="AX919" s="734" t="inlineStr">
        <is>
          <t>sig:9f83f684ed9c5acbcb58e1a8</t>
        </is>
      </c>
    </row>
    <row r="920" ht="15" customHeight="1">
      <c r="A920" s="716" t="inlineStr">
        <is>
          <t>F616</t>
        </is>
      </c>
      <c r="B920" s="717" t="n">
        <v>43662.94305555556</v>
      </c>
      <c r="C920" s="718" t="n">
        <v>43662.95138888889</v>
      </c>
      <c r="D920" s="719" t="inlineStr">
        <is>
          <t>PEPPERSTONE DEMO</t>
        </is>
      </c>
      <c r="E920" s="719" t="inlineStr">
        <is>
          <t>EURNZD</t>
        </is>
      </c>
      <c r="F920" s="719" t="inlineStr">
        <is>
          <t>SELL</t>
        </is>
      </c>
      <c r="G920" s="735" t="n">
        <v>0.06</v>
      </c>
      <c r="H920" s="720" t="n">
        <v>1.6699</v>
      </c>
      <c r="I920" s="720" t="n">
        <v>1.67068</v>
      </c>
      <c r="J920" s="721" t="n">
        <v>1.6706</v>
      </c>
      <c r="K920" s="760" t="n">
        <v>0.0004191867776514432</v>
      </c>
      <c r="L920" s="721" t="n">
        <v>1.6678</v>
      </c>
      <c r="M920" s="722" t="n">
        <v>0.001257560332954064</v>
      </c>
      <c r="N920" s="788" t="n"/>
      <c r="O920" s="762" t="n">
        <v>-4.02</v>
      </c>
      <c r="P920" s="725" t="n">
        <v>-0.008385831699278232</v>
      </c>
      <c r="Q920" s="726" t="n">
        <v>-1.114285714285488</v>
      </c>
      <c r="R920" s="764" t="n">
        <v>475.3600000000001</v>
      </c>
      <c r="S920" s="719" t="inlineStr">
        <is>
          <t>12M 0S</t>
        </is>
      </c>
      <c r="T920" s="728" t="n"/>
      <c r="U920" s="729" t="n"/>
      <c r="V920" s="730" t="n"/>
      <c r="W920" s="731" t="n"/>
      <c r="X920" s="732" t="n"/>
      <c r="Y920" s="728" t="n"/>
      <c r="Z920" s="729" t="n"/>
      <c r="AA920" s="730" t="n"/>
      <c r="AB920" s="731" t="n"/>
      <c r="AC920" s="732" t="n"/>
      <c r="AD920" s="719" t="inlineStr">
        <is>
          <t>No</t>
        </is>
      </c>
      <c r="AE920" s="733" t="n"/>
      <c r="AF920" s="733" t="n"/>
      <c r="AG920" s="733" t="n"/>
      <c r="AH920" s="733" t="n"/>
      <c r="AI920" s="719" t="inlineStr">
        <is>
          <t>Limit</t>
        </is>
      </c>
      <c r="AJ920" s="733" t="n"/>
      <c r="AK920" s="733" t="n"/>
      <c r="AL920" s="733" t="n"/>
      <c r="AM920" s="733" t="n"/>
      <c r="AN920" s="733" t="n"/>
      <c r="AO920" s="733" t="n"/>
      <c r="AP920" s="719" t="inlineStr">
        <is>
          <t>Pullback</t>
        </is>
      </c>
      <c r="AQ920" s="719" t="inlineStr">
        <is>
          <t>15MIN</t>
        </is>
      </c>
      <c r="AR920" s="719" t="inlineStr">
        <is>
          <t>No</t>
        </is>
      </c>
      <c r="AS920" s="733" t="n"/>
      <c r="AT920" s="733" t="n"/>
      <c r="AU920" s="733" t="n"/>
      <c r="AV920" s="733" t="n"/>
      <c r="AW920" s="719" t="inlineStr">
        <is>
          <t>trade</t>
        </is>
      </c>
      <c r="AX920" s="734" t="inlineStr">
        <is>
          <t>sig:310038e1ebffa89dd013c70c</t>
        </is>
      </c>
    </row>
    <row r="921" ht="15" customHeight="1">
      <c r="A921" s="737" t="inlineStr">
        <is>
          <t>F615</t>
        </is>
      </c>
      <c r="B921" s="738" t="n">
        <v>43661.99236111111</v>
      </c>
      <c r="C921" s="739" t="n">
        <v>43662.24097222222</v>
      </c>
      <c r="D921" s="740" t="inlineStr">
        <is>
          <t>PEPPERSTONE DEMO</t>
        </is>
      </c>
      <c r="E921" s="740" t="inlineStr">
        <is>
          <t>EURAUD</t>
        </is>
      </c>
      <c r="F921" s="740" t="inlineStr">
        <is>
          <t>SELL</t>
        </is>
      </c>
      <c r="G921" s="775" t="n">
        <v>0.05</v>
      </c>
      <c r="H921" s="742" t="n">
        <v>1.6026</v>
      </c>
      <c r="I921" s="742" t="n">
        <v>1.59941</v>
      </c>
      <c r="J921" s="743" t="n">
        <v>1.6034</v>
      </c>
      <c r="K921" s="765" t="n">
        <v>0.000499188818170418</v>
      </c>
      <c r="L921" s="743" t="n">
        <v>1.5994</v>
      </c>
      <c r="M921" s="744" t="n">
        <v>0.001996755272681949</v>
      </c>
      <c r="N921" s="796" t="n"/>
      <c r="O921" s="767" t="n">
        <v>13.08</v>
      </c>
      <c r="P921" s="747" t="n">
        <v>0.02805061119450996</v>
      </c>
      <c r="Q921" s="748" t="n">
        <v>3.987500000000472</v>
      </c>
      <c r="R921" s="769" t="n">
        <v>479.3800000000001</v>
      </c>
      <c r="S921" s="740" t="inlineStr">
        <is>
          <t>5H 58M 0S</t>
        </is>
      </c>
      <c r="T921" s="738" t="n">
        <v>43662.05555555555</v>
      </c>
      <c r="U921" s="809" t="inlineStr">
        <is>
          <t>1H 31M 0S</t>
        </is>
      </c>
      <c r="V921" s="752" t="n"/>
      <c r="W921" s="753" t="n"/>
      <c r="X921" s="754" t="n"/>
      <c r="Y921" s="738" t="n">
        <v>43662.07777777778</v>
      </c>
      <c r="Z921" s="809" t="inlineStr">
        <is>
          <t>2H 3M 0S</t>
        </is>
      </c>
      <c r="AA921" s="752" t="n"/>
      <c r="AB921" s="753" t="n"/>
      <c r="AC921" s="754" t="n"/>
      <c r="AD921" s="740" t="inlineStr">
        <is>
          <t>No</t>
        </is>
      </c>
      <c r="AE921" s="755" t="n"/>
      <c r="AF921" s="755" t="n"/>
      <c r="AG921" s="755" t="n"/>
      <c r="AH921" s="755" t="n"/>
      <c r="AI921" s="740" t="inlineStr">
        <is>
          <t>Limit</t>
        </is>
      </c>
      <c r="AJ921" s="755" t="n"/>
      <c r="AK921" s="755" t="n"/>
      <c r="AL921" s="755" t="n"/>
      <c r="AM921" s="755" t="n"/>
      <c r="AN921" s="755" t="n"/>
      <c r="AO921" s="755" t="n"/>
      <c r="AP921" s="740" t="inlineStr">
        <is>
          <t>Pullback</t>
        </is>
      </c>
      <c r="AQ921" s="740" t="inlineStr">
        <is>
          <t>15MIN</t>
        </is>
      </c>
      <c r="AR921" s="740" t="inlineStr">
        <is>
          <t>No</t>
        </is>
      </c>
      <c r="AS921" s="755" t="n"/>
      <c r="AT921" s="755" t="n"/>
      <c r="AU921" s="755" t="n"/>
      <c r="AV921" s="755" t="n"/>
      <c r="AW921" s="740" t="inlineStr">
        <is>
          <t>trade</t>
        </is>
      </c>
      <c r="AX921" s="756" t="inlineStr">
        <is>
          <t>sig:2ba5cd3297b42019bf82248c</t>
        </is>
      </c>
    </row>
    <row r="922" ht="15" customHeight="1">
      <c r="A922" s="716" t="inlineStr">
        <is>
          <t>F614</t>
        </is>
      </c>
      <c r="B922" s="717" t="n">
        <v>43661.95347222222</v>
      </c>
      <c r="C922" s="718" t="n">
        <v>43661.96597222222</v>
      </c>
      <c r="D922" s="719" t="inlineStr">
        <is>
          <t>PEPPERSTONE DEMO</t>
        </is>
      </c>
      <c r="E922" s="719" t="inlineStr">
        <is>
          <t>EURCHF</t>
        </is>
      </c>
      <c r="F922" s="719" t="inlineStr">
        <is>
          <t>SELL</t>
        </is>
      </c>
      <c r="G922" s="735" t="n">
        <v>0.06</v>
      </c>
      <c r="H922" s="720" t="n">
        <v>1.1073</v>
      </c>
      <c r="I922" s="720" t="n">
        <v>1.10789</v>
      </c>
      <c r="J922" s="721" t="n">
        <v>1.1078</v>
      </c>
      <c r="K922" s="760" t="n">
        <v>0.0004515488124265736</v>
      </c>
      <c r="L922" s="721" t="n">
        <v>1.1058</v>
      </c>
      <c r="M922" s="722" t="n">
        <v>0.001354646437279921</v>
      </c>
      <c r="N922" s="788" t="n"/>
      <c r="O922" s="762" t="n">
        <v>-4.34</v>
      </c>
      <c r="P922" s="725" t="n">
        <v>-0.009221485636579974</v>
      </c>
      <c r="Q922" s="726" t="n">
        <v>-1.180000000000311</v>
      </c>
      <c r="R922" s="764" t="n">
        <v>466.3000000000001</v>
      </c>
      <c r="S922" s="719" t="inlineStr">
        <is>
          <t>18M 0S</t>
        </is>
      </c>
      <c r="T922" s="728" t="n"/>
      <c r="U922" s="729" t="n"/>
      <c r="V922" s="730" t="n"/>
      <c r="W922" s="731" t="n"/>
      <c r="X922" s="732" t="n"/>
      <c r="Y922" s="728" t="n"/>
      <c r="Z922" s="729" t="n"/>
      <c r="AA922" s="730" t="n"/>
      <c r="AB922" s="731" t="n"/>
      <c r="AC922" s="732" t="n"/>
      <c r="AD922" s="719" t="inlineStr">
        <is>
          <t>No</t>
        </is>
      </c>
      <c r="AE922" s="733" t="n"/>
      <c r="AF922" s="733" t="n"/>
      <c r="AG922" s="733" t="n"/>
      <c r="AH922" s="733" t="n"/>
      <c r="AI922" s="719" t="inlineStr">
        <is>
          <t>Limit</t>
        </is>
      </c>
      <c r="AJ922" s="733" t="n"/>
      <c r="AK922" s="733" t="n"/>
      <c r="AL922" s="733" t="n"/>
      <c r="AM922" s="733" t="n"/>
      <c r="AN922" s="733" t="n"/>
      <c r="AO922" s="733" t="n"/>
      <c r="AP922" s="719" t="inlineStr">
        <is>
          <t>Pullback</t>
        </is>
      </c>
      <c r="AQ922" s="719" t="inlineStr">
        <is>
          <t>15MIN</t>
        </is>
      </c>
      <c r="AR922" s="719" t="inlineStr">
        <is>
          <t>No</t>
        </is>
      </c>
      <c r="AS922" s="733" t="n"/>
      <c r="AT922" s="733" t="n"/>
      <c r="AU922" s="733" t="n"/>
      <c r="AV922" s="733" t="n"/>
      <c r="AW922" s="719" t="inlineStr">
        <is>
          <t>trade</t>
        </is>
      </c>
      <c r="AX922" s="734" t="inlineStr">
        <is>
          <t>sig:1c9fbedc0e7b614f3b9a372d</t>
        </is>
      </c>
    </row>
    <row r="923" ht="15" customHeight="1">
      <c r="A923" s="737" t="inlineStr">
        <is>
          <t>F613</t>
        </is>
      </c>
      <c r="B923" s="738" t="n">
        <v>43659.01875</v>
      </c>
      <c r="C923" s="739" t="n">
        <v>43659.20555555556</v>
      </c>
      <c r="D923" s="740" t="inlineStr">
        <is>
          <t>PEPPERSTONE DEMO</t>
        </is>
      </c>
      <c r="E923" s="740" t="inlineStr">
        <is>
          <t>GBPJPY</t>
        </is>
      </c>
      <c r="F923" s="740" t="inlineStr">
        <is>
          <t>SELL</t>
        </is>
      </c>
      <c r="G923" s="775" t="n">
        <v>0.04</v>
      </c>
      <c r="H923" s="742" t="n">
        <v>135.69</v>
      </c>
      <c r="I923" s="742" t="n">
        <v>135.549</v>
      </c>
      <c r="J923" s="743" t="n">
        <v>135.78</v>
      </c>
      <c r="K923" s="765" t="n">
        <v>0.0006632765863365275</v>
      </c>
      <c r="L923" s="743" t="n">
        <v>135.42</v>
      </c>
      <c r="M923" s="744" t="n">
        <v>0.001989829759009582</v>
      </c>
      <c r="N923" s="796" t="n"/>
      <c r="O923" s="767" t="n">
        <v>7.5</v>
      </c>
      <c r="P923" s="747" t="n">
        <v>0.01619380748801658</v>
      </c>
      <c r="Q923" s="748" t="n">
        <v>1.566666666666509</v>
      </c>
      <c r="R923" s="769" t="n">
        <v>470.6400000000001</v>
      </c>
      <c r="S923" s="740" t="inlineStr">
        <is>
          <t>4H 29M 0S</t>
        </is>
      </c>
      <c r="T923" s="738" t="n">
        <v>43659.06875</v>
      </c>
      <c r="U923" s="809" t="inlineStr">
        <is>
          <t>1H 12M 0S</t>
        </is>
      </c>
      <c r="V923" s="752" t="n"/>
      <c r="W923" s="753" t="n"/>
      <c r="X923" s="754" t="n"/>
      <c r="Y923" s="750" t="n"/>
      <c r="Z923" s="751" t="n"/>
      <c r="AA923" s="752" t="n"/>
      <c r="AB923" s="753" t="n"/>
      <c r="AC923" s="754" t="n"/>
      <c r="AD923" s="740" t="inlineStr">
        <is>
          <t>No</t>
        </is>
      </c>
      <c r="AE923" s="755" t="n"/>
      <c r="AF923" s="755" t="n"/>
      <c r="AG923" s="755" t="n"/>
      <c r="AH923" s="755" t="n"/>
      <c r="AI923" s="740" t="inlineStr">
        <is>
          <t>Limit</t>
        </is>
      </c>
      <c r="AJ923" s="755" t="n"/>
      <c r="AK923" s="755" t="n"/>
      <c r="AL923" s="755" t="n"/>
      <c r="AM923" s="755" t="n"/>
      <c r="AN923" s="755" t="n"/>
      <c r="AO923" s="755" t="n"/>
      <c r="AP923" s="740" t="inlineStr">
        <is>
          <t>Pullback</t>
        </is>
      </c>
      <c r="AQ923" s="740" t="inlineStr">
        <is>
          <t>15MIN</t>
        </is>
      </c>
      <c r="AR923" s="740" t="inlineStr">
        <is>
          <t>No</t>
        </is>
      </c>
      <c r="AS923" s="755" t="n"/>
      <c r="AT923" s="755" t="n"/>
      <c r="AU923" s="755" t="n"/>
      <c r="AV923" s="755" t="n"/>
      <c r="AW923" s="740" t="inlineStr">
        <is>
          <t>trade</t>
        </is>
      </c>
      <c r="AX923" s="756" t="inlineStr">
        <is>
          <t>sig:77f40f659b8eae8cebc99296</t>
        </is>
      </c>
    </row>
    <row r="924" ht="15" customHeight="1">
      <c r="A924" s="716" t="inlineStr">
        <is>
          <t>F611</t>
        </is>
      </c>
      <c r="B924" s="717" t="n">
        <v>43658.95972222222</v>
      </c>
      <c r="C924" s="718" t="n">
        <v>43659.04097222222</v>
      </c>
      <c r="D924" s="719" t="inlineStr">
        <is>
          <t>PEPPERSTONE DEMO</t>
        </is>
      </c>
      <c r="E924" s="719" t="inlineStr">
        <is>
          <t>EURUSD</t>
        </is>
      </c>
      <c r="F924" s="719" t="inlineStr">
        <is>
          <t>SELL</t>
        </is>
      </c>
      <c r="G924" s="735" t="n">
        <v>0.05</v>
      </c>
      <c r="H924" s="720" t="n">
        <v>1.1246</v>
      </c>
      <c r="I924" s="720" t="n">
        <v>1.12529</v>
      </c>
      <c r="J924" s="721" t="n">
        <v>1.1252</v>
      </c>
      <c r="K924" s="760" t="n">
        <v>0.0005335230304107539</v>
      </c>
      <c r="L924" s="721" t="n">
        <v>1.1222</v>
      </c>
      <c r="M924" s="722" t="n">
        <v>0.002134092121643213</v>
      </c>
      <c r="N924" s="788" t="n"/>
      <c r="O924" s="762" t="n">
        <v>-4.27</v>
      </c>
      <c r="P924" s="725" t="n">
        <v>-0.009135448535546948</v>
      </c>
      <c r="Q924" s="726" t="n">
        <v>-1.149999999999889</v>
      </c>
      <c r="R924" s="764" t="n">
        <v>463.1400000000001</v>
      </c>
      <c r="S924" s="719" t="inlineStr">
        <is>
          <t>1H 57M 0S</t>
        </is>
      </c>
      <c r="T924" s="728" t="n"/>
      <c r="U924" s="729" t="n"/>
      <c r="V924" s="730" t="n"/>
      <c r="W924" s="731" t="n"/>
      <c r="X924" s="732" t="n"/>
      <c r="Y924" s="728" t="n"/>
      <c r="Z924" s="729" t="n"/>
      <c r="AA924" s="730" t="n"/>
      <c r="AB924" s="731" t="n"/>
      <c r="AC924" s="732" t="n"/>
      <c r="AD924" s="719" t="inlineStr">
        <is>
          <t>No</t>
        </is>
      </c>
      <c r="AE924" s="733" t="n"/>
      <c r="AF924" s="733" t="n"/>
      <c r="AG924" s="733" t="n"/>
      <c r="AH924" s="733" t="n"/>
      <c r="AI924" s="719" t="inlineStr">
        <is>
          <t>Limit</t>
        </is>
      </c>
      <c r="AJ924" s="733" t="n"/>
      <c r="AK924" s="733" t="n"/>
      <c r="AL924" s="733" t="n"/>
      <c r="AM924" s="733" t="n"/>
      <c r="AN924" s="733" t="n"/>
      <c r="AO924" s="733" t="n"/>
      <c r="AP924" s="719" t="inlineStr">
        <is>
          <t>Pullback</t>
        </is>
      </c>
      <c r="AQ924" s="719" t="inlineStr">
        <is>
          <t>15MIN</t>
        </is>
      </c>
      <c r="AR924" s="719" t="inlineStr">
        <is>
          <t>No</t>
        </is>
      </c>
      <c r="AS924" s="733" t="n"/>
      <c r="AT924" s="733" t="n"/>
      <c r="AU924" s="733" t="n"/>
      <c r="AV924" s="733" t="n"/>
      <c r="AW924" s="719" t="inlineStr">
        <is>
          <t>trade</t>
        </is>
      </c>
      <c r="AX924" s="734" t="inlineStr">
        <is>
          <t>sig:144caf67f1f9f0db6f189f00</t>
        </is>
      </c>
    </row>
    <row r="925" ht="15" customHeight="1">
      <c r="A925" s="716" t="inlineStr">
        <is>
          <t>F612</t>
        </is>
      </c>
      <c r="B925" s="717" t="n">
        <v>43658.08958333333</v>
      </c>
      <c r="C925" s="718" t="n">
        <v>43658.09930555556</v>
      </c>
      <c r="D925" s="719" t="inlineStr">
        <is>
          <t>PEPPERSTONE DEMO</t>
        </is>
      </c>
      <c r="E925" s="719" t="inlineStr">
        <is>
          <t>GBPCHF</t>
        </is>
      </c>
      <c r="F925" s="719" t="inlineStr">
        <is>
          <t>BUY</t>
        </is>
      </c>
      <c r="G925" s="735" t="n">
        <v>0.03</v>
      </c>
      <c r="H925" s="720" t="n">
        <v>1.24</v>
      </c>
      <c r="I925" s="720" t="n">
        <v>1.23917</v>
      </c>
      <c r="J925" s="721" t="n">
        <v>1.2391</v>
      </c>
      <c r="K925" s="760" t="n">
        <v>0.0007258064516128233</v>
      </c>
      <c r="L925" s="721" t="n">
        <v>1.2418</v>
      </c>
      <c r="M925" s="722" t="n">
        <v>0.001451612903225826</v>
      </c>
      <c r="N925" s="788" t="n"/>
      <c r="O925" s="762" t="n">
        <v>-3.9</v>
      </c>
      <c r="P925" s="725" t="n">
        <v>-0.008274808512444038</v>
      </c>
      <c r="Q925" s="726" t="n">
        <v>-0.9222222222221975</v>
      </c>
      <c r="R925" s="764" t="n">
        <v>467.4100000000001</v>
      </c>
      <c r="S925" s="719" t="inlineStr">
        <is>
          <t>14M 0S</t>
        </is>
      </c>
      <c r="T925" s="728" t="n"/>
      <c r="U925" s="729" t="n"/>
      <c r="V925" s="730" t="n"/>
      <c r="W925" s="731" t="n"/>
      <c r="X925" s="732" t="n"/>
      <c r="Y925" s="728" t="n"/>
      <c r="Z925" s="729" t="n"/>
      <c r="AA925" s="730" t="n"/>
      <c r="AB925" s="731" t="n"/>
      <c r="AC925" s="732" t="n"/>
      <c r="AD925" s="719" t="inlineStr">
        <is>
          <t>No</t>
        </is>
      </c>
      <c r="AE925" s="733" t="n"/>
      <c r="AF925" s="733" t="n"/>
      <c r="AG925" s="733" t="n"/>
      <c r="AH925" s="733" t="n"/>
      <c r="AI925" s="719" t="inlineStr">
        <is>
          <t>Limit</t>
        </is>
      </c>
      <c r="AJ925" s="733" t="n"/>
      <c r="AK925" s="733" t="n"/>
      <c r="AL925" s="733" t="n"/>
      <c r="AM925" s="733" t="n"/>
      <c r="AN925" s="733" t="n"/>
      <c r="AO925" s="733" t="n"/>
      <c r="AP925" s="719" t="inlineStr">
        <is>
          <t>Pullback</t>
        </is>
      </c>
      <c r="AQ925" s="719" t="inlineStr">
        <is>
          <t>15MIN</t>
        </is>
      </c>
      <c r="AR925" s="719" t="inlineStr">
        <is>
          <t>No</t>
        </is>
      </c>
      <c r="AS925" s="733" t="n"/>
      <c r="AT925" s="733" t="n"/>
      <c r="AU925" s="733" t="n"/>
      <c r="AV925" s="733" t="n"/>
      <c r="AW925" s="719" t="inlineStr">
        <is>
          <t>trade</t>
        </is>
      </c>
      <c r="AX925" s="734" t="inlineStr">
        <is>
          <t>sig:a420a0fa7478b3e140b14d18</t>
        </is>
      </c>
    </row>
    <row r="926" ht="15" customHeight="1">
      <c r="A926" s="716" t="inlineStr">
        <is>
          <t>F610</t>
        </is>
      </c>
      <c r="B926" s="717" t="n">
        <v>43657.97083333333</v>
      </c>
      <c r="C926" s="718" t="n">
        <v>43657.99236111111</v>
      </c>
      <c r="D926" s="719" t="inlineStr">
        <is>
          <t>PEPPERSTONE DEMO</t>
        </is>
      </c>
      <c r="E926" s="719" t="inlineStr">
        <is>
          <t>NZDUSD</t>
        </is>
      </c>
      <c r="F926" s="719" t="inlineStr">
        <is>
          <t>BUY</t>
        </is>
      </c>
      <c r="G926" s="735" t="n">
        <v>0.05</v>
      </c>
      <c r="H926" s="720" t="n">
        <v>0.6675</v>
      </c>
      <c r="I926" s="720" t="n">
        <v>0.66695</v>
      </c>
      <c r="J926" s="721" t="n">
        <v>0.6669</v>
      </c>
      <c r="K926" s="760" t="n">
        <v>0.0008988764044942831</v>
      </c>
      <c r="L926" s="721" t="n">
        <v>0.6693</v>
      </c>
      <c r="M926" s="722" t="n">
        <v>0.002696629213483182</v>
      </c>
      <c r="N926" s="788" t="n"/>
      <c r="O926" s="762" t="n">
        <v>-4.3</v>
      </c>
      <c r="P926" s="725" t="n">
        <v>-0.00904102100460461</v>
      </c>
      <c r="Q926" s="726" t="n">
        <v>-0.9166666666666666</v>
      </c>
      <c r="R926" s="764" t="n">
        <v>471.3100000000001</v>
      </c>
      <c r="S926" s="719" t="inlineStr">
        <is>
          <t>31M 0S</t>
        </is>
      </c>
      <c r="T926" s="717" t="n"/>
      <c r="U926" s="806" t="n"/>
      <c r="V926" s="730" t="n"/>
      <c r="W926" s="731" t="n"/>
      <c r="X926" s="732" t="n"/>
      <c r="Y926" s="717" t="n"/>
      <c r="Z926" s="806" t="n"/>
      <c r="AA926" s="730" t="n"/>
      <c r="AB926" s="731" t="n"/>
      <c r="AC926" s="732" t="n"/>
      <c r="AD926" s="719" t="inlineStr">
        <is>
          <t>No</t>
        </is>
      </c>
      <c r="AE926" s="733" t="n"/>
      <c r="AF926" s="733" t="n"/>
      <c r="AG926" s="733" t="n"/>
      <c r="AH926" s="733" t="n"/>
      <c r="AI926" s="719" t="inlineStr">
        <is>
          <t>Limit</t>
        </is>
      </c>
      <c r="AJ926" s="733" t="n"/>
      <c r="AK926" s="733" t="n"/>
      <c r="AL926" s="733" t="n"/>
      <c r="AM926" s="733" t="n"/>
      <c r="AN926" s="733" t="n"/>
      <c r="AO926" s="733" t="n"/>
      <c r="AP926" s="719" t="inlineStr">
        <is>
          <t>Pullback</t>
        </is>
      </c>
      <c r="AQ926" s="719" t="inlineStr">
        <is>
          <t>15MIN</t>
        </is>
      </c>
      <c r="AR926" s="719" t="inlineStr">
        <is>
          <t>No</t>
        </is>
      </c>
      <c r="AS926" s="733" t="n"/>
      <c r="AT926" s="733" t="n"/>
      <c r="AU926" s="733" t="n"/>
      <c r="AV926" s="733" t="n"/>
      <c r="AW926" s="719" t="inlineStr">
        <is>
          <t>trade</t>
        </is>
      </c>
      <c r="AX926" s="734" t="inlineStr">
        <is>
          <t>sig:cc19ef0bd1d28a4ca38080ce</t>
        </is>
      </c>
    </row>
    <row r="927" ht="15" customHeight="1">
      <c r="A927" s="716" t="inlineStr">
        <is>
          <t>F607</t>
        </is>
      </c>
      <c r="B927" s="717" t="n">
        <v>43655.98333333333</v>
      </c>
      <c r="C927" s="718" t="n">
        <v>43655.99097222222</v>
      </c>
      <c r="D927" s="719" t="inlineStr">
        <is>
          <t>PEPPERSTONE DEMO</t>
        </is>
      </c>
      <c r="E927" s="719" t="inlineStr">
        <is>
          <t>GBPNZD</t>
        </is>
      </c>
      <c r="F927" s="719" t="inlineStr">
        <is>
          <t>SELL</t>
        </is>
      </c>
      <c r="G927" s="735" t="n">
        <v>0.03</v>
      </c>
      <c r="H927" s="720" t="n">
        <v>1.8865</v>
      </c>
      <c r="I927" s="720" t="n">
        <v>1.888</v>
      </c>
      <c r="J927" s="721" t="n">
        <v>1.888</v>
      </c>
      <c r="K927" s="760" t="n">
        <v>0.0007951232441027483</v>
      </c>
      <c r="L927" s="721" t="n">
        <v>1.882</v>
      </c>
      <c r="M927" s="722" t="n">
        <v>0.002385369732308598</v>
      </c>
      <c r="N927" s="788" t="n"/>
      <c r="O927" s="762" t="n">
        <v>-4.29</v>
      </c>
      <c r="P927" s="725" t="n">
        <v>-0.008939362367159823</v>
      </c>
      <c r="Q927" s="726" t="n">
        <v>-1</v>
      </c>
      <c r="R927" s="764" t="n">
        <v>475.6100000000001</v>
      </c>
      <c r="S927" s="719" t="inlineStr">
        <is>
          <t>11M 0S</t>
        </is>
      </c>
      <c r="T927" s="717" t="n"/>
      <c r="U927" s="806" t="n"/>
      <c r="V927" s="730" t="n"/>
      <c r="W927" s="731" t="n"/>
      <c r="X927" s="732" t="n"/>
      <c r="Y927" s="728" t="n"/>
      <c r="Z927" s="729" t="n"/>
      <c r="AA927" s="730" t="n"/>
      <c r="AB927" s="731" t="n"/>
      <c r="AC927" s="732" t="n"/>
      <c r="AD927" s="719" t="inlineStr">
        <is>
          <t>No</t>
        </is>
      </c>
      <c r="AE927" s="733" t="n"/>
      <c r="AF927" s="733" t="n"/>
      <c r="AG927" s="733" t="n"/>
      <c r="AH927" s="733" t="n"/>
      <c r="AI927" s="719" t="inlineStr">
        <is>
          <t>Limit</t>
        </is>
      </c>
      <c r="AJ927" s="733" t="n"/>
      <c r="AK927" s="733" t="n"/>
      <c r="AL927" s="733" t="n"/>
      <c r="AM927" s="733" t="n"/>
      <c r="AN927" s="733" t="n"/>
      <c r="AO927" s="733" t="n"/>
      <c r="AP927" s="719" t="inlineStr">
        <is>
          <t>Pullback</t>
        </is>
      </c>
      <c r="AQ927" s="719" t="inlineStr">
        <is>
          <t>15MIN</t>
        </is>
      </c>
      <c r="AR927" s="719" t="inlineStr">
        <is>
          <t>No</t>
        </is>
      </c>
      <c r="AS927" s="733" t="n"/>
      <c r="AT927" s="733" t="n"/>
      <c r="AU927" s="733" t="n"/>
      <c r="AV927" s="733" t="n"/>
      <c r="AW927" s="719" t="inlineStr">
        <is>
          <t>trade</t>
        </is>
      </c>
      <c r="AX927" s="734" t="inlineStr">
        <is>
          <t>sig:e5e0ee70437efe4a115195d0</t>
        </is>
      </c>
    </row>
    <row r="928" ht="15" customHeight="1">
      <c r="A928" s="716" t="inlineStr">
        <is>
          <t>F608</t>
        </is>
      </c>
      <c r="B928" s="717" t="n">
        <v>43655.96388888889</v>
      </c>
      <c r="C928" s="718" t="n">
        <v>43655.97638888889</v>
      </c>
      <c r="D928" s="719" t="inlineStr">
        <is>
          <t>PEPPERSTONE DEMO</t>
        </is>
      </c>
      <c r="E928" s="719" t="inlineStr">
        <is>
          <t>GBPNZD</t>
        </is>
      </c>
      <c r="F928" s="719" t="inlineStr">
        <is>
          <t>SELL</t>
        </is>
      </c>
      <c r="G928" s="735" t="n">
        <v>0.04</v>
      </c>
      <c r="H928" s="720" t="n">
        <v>1.8843</v>
      </c>
      <c r="I928" s="720" t="n">
        <v>1.88576</v>
      </c>
      <c r="J928" s="721" t="n">
        <v>1.8857</v>
      </c>
      <c r="K928" s="760" t="n">
        <v>0.0007429814785330604</v>
      </c>
      <c r="L928" s="721" t="n">
        <v>1.8801</v>
      </c>
      <c r="M928" s="722" t="n">
        <v>0.002228944435599417</v>
      </c>
      <c r="N928" s="788" t="n"/>
      <c r="O928" s="762" t="n">
        <v>-5.33</v>
      </c>
      <c r="P928" s="725" t="n">
        <v>-0.01098448158605197</v>
      </c>
      <c r="Q928" s="726" t="n">
        <v>-1.04285714285727</v>
      </c>
      <c r="R928" s="764" t="n">
        <v>479.9000000000001</v>
      </c>
      <c r="S928" s="719" t="inlineStr">
        <is>
          <t>18M 0S</t>
        </is>
      </c>
      <c r="T928" s="717" t="n"/>
      <c r="U928" s="806" t="n"/>
      <c r="V928" s="730" t="n"/>
      <c r="W928" s="731" t="n"/>
      <c r="X928" s="732" t="n"/>
      <c r="Y928" s="717" t="n"/>
      <c r="Z928" s="806" t="n"/>
      <c r="AA928" s="730" t="n"/>
      <c r="AB928" s="731" t="n"/>
      <c r="AC928" s="732" t="n"/>
      <c r="AD928" s="719" t="inlineStr">
        <is>
          <t>No</t>
        </is>
      </c>
      <c r="AE928" s="733" t="n"/>
      <c r="AF928" s="733" t="n"/>
      <c r="AG928" s="733" t="n"/>
      <c r="AH928" s="733" t="n"/>
      <c r="AI928" s="719" t="inlineStr">
        <is>
          <t>Limit</t>
        </is>
      </c>
      <c r="AJ928" s="733" t="n"/>
      <c r="AK928" s="733" t="n"/>
      <c r="AL928" s="733" t="n"/>
      <c r="AM928" s="733" t="n"/>
      <c r="AN928" s="733" t="n"/>
      <c r="AO928" s="733" t="n"/>
      <c r="AP928" s="719" t="inlineStr">
        <is>
          <t>Pullback</t>
        </is>
      </c>
      <c r="AQ928" s="719" t="inlineStr">
        <is>
          <t>15MIN</t>
        </is>
      </c>
      <c r="AR928" s="719" t="inlineStr">
        <is>
          <t>No</t>
        </is>
      </c>
      <c r="AS928" s="733" t="n"/>
      <c r="AT928" s="733" t="n"/>
      <c r="AU928" s="733" t="n"/>
      <c r="AV928" s="733" t="n"/>
      <c r="AW928" s="719" t="inlineStr">
        <is>
          <t>trade</t>
        </is>
      </c>
      <c r="AX928" s="734" t="inlineStr">
        <is>
          <t>sig:932f905544a064dd548a4015</t>
        </is>
      </c>
    </row>
    <row r="929" ht="15" customHeight="1">
      <c r="A929" s="737" t="inlineStr">
        <is>
          <t>F609</t>
        </is>
      </c>
      <c r="B929" s="738" t="n">
        <v>43655.03819444445</v>
      </c>
      <c r="C929" s="739" t="n">
        <v>43655.22291666667</v>
      </c>
      <c r="D929" s="740" t="inlineStr">
        <is>
          <t>PEPPERSTONE DEMO</t>
        </is>
      </c>
      <c r="E929" s="740" t="inlineStr">
        <is>
          <t>GBPUSD</t>
        </is>
      </c>
      <c r="F929" s="740" t="inlineStr">
        <is>
          <t>SELL</t>
        </is>
      </c>
      <c r="G929" s="775" t="n">
        <v>0.04</v>
      </c>
      <c r="H929" s="742" t="n">
        <v>1.2513</v>
      </c>
      <c r="I929" s="742" t="n">
        <v>1.25128</v>
      </c>
      <c r="J929" s="743" t="n">
        <v>1.2522</v>
      </c>
      <c r="K929" s="765" t="n">
        <v>0.0007192519779428601</v>
      </c>
      <c r="L929" s="743" t="n">
        <v>1.2486</v>
      </c>
      <c r="M929" s="744" t="n">
        <v>0.002157755933828935</v>
      </c>
      <c r="N929" s="796" t="n"/>
      <c r="O929" s="767" t="n">
        <v>0.28</v>
      </c>
      <c r="P929" s="776" t="n">
        <v>0.0005773791112485822</v>
      </c>
      <c r="Q929" s="814" t="n">
        <v>0.02222222222237025</v>
      </c>
      <c r="R929" s="769" t="n">
        <v>485.2300000000001</v>
      </c>
      <c r="S929" s="740" t="inlineStr">
        <is>
          <t>4H 26M 0S</t>
        </is>
      </c>
      <c r="T929" s="750" t="n"/>
      <c r="U929" s="751" t="n"/>
      <c r="V929" s="752" t="n"/>
      <c r="W929" s="753" t="n"/>
      <c r="X929" s="754" t="n"/>
      <c r="Y929" s="750" t="n"/>
      <c r="Z929" s="751" t="n"/>
      <c r="AA929" s="752" t="n"/>
      <c r="AB929" s="753" t="n"/>
      <c r="AC929" s="754" t="n"/>
      <c r="AD929" s="740" t="inlineStr">
        <is>
          <t>No</t>
        </is>
      </c>
      <c r="AE929" s="755" t="n"/>
      <c r="AF929" s="755" t="n"/>
      <c r="AG929" s="755" t="n"/>
      <c r="AH929" s="755" t="n"/>
      <c r="AI929" s="740" t="inlineStr">
        <is>
          <t>Limit</t>
        </is>
      </c>
      <c r="AJ929" s="755" t="n"/>
      <c r="AK929" s="755" t="n"/>
      <c r="AL929" s="755" t="n"/>
      <c r="AM929" s="755" t="n"/>
      <c r="AN929" s="755" t="n"/>
      <c r="AO929" s="755" t="n"/>
      <c r="AP929" s="740" t="inlineStr">
        <is>
          <t>Pullback</t>
        </is>
      </c>
      <c r="AQ929" s="740" t="inlineStr">
        <is>
          <t>15MIN</t>
        </is>
      </c>
      <c r="AR929" s="740" t="inlineStr">
        <is>
          <t>No</t>
        </is>
      </c>
      <c r="AS929" s="755" t="n"/>
      <c r="AT929" s="755" t="n"/>
      <c r="AU929" s="755" t="n"/>
      <c r="AV929" s="755" t="n"/>
      <c r="AW929" s="740" t="inlineStr">
        <is>
          <t>trade</t>
        </is>
      </c>
      <c r="AX929" s="756" t="inlineStr">
        <is>
          <t>sig:0284a9e2b533fae9af6ccf05</t>
        </is>
      </c>
    </row>
    <row r="930" ht="15" customHeight="1">
      <c r="A930" s="716" t="inlineStr">
        <is>
          <t>F606</t>
        </is>
      </c>
      <c r="B930" s="717" t="n">
        <v>43654.94097222222</v>
      </c>
      <c r="C930" s="718" t="n">
        <v>43654.94513888889</v>
      </c>
      <c r="D930" s="719" t="inlineStr">
        <is>
          <t>PEPPERSTONE DEMO</t>
        </is>
      </c>
      <c r="E930" s="719" t="inlineStr">
        <is>
          <t>GBPCAD</t>
        </is>
      </c>
      <c r="F930" s="719" t="inlineStr">
        <is>
          <t>SELL</t>
        </is>
      </c>
      <c r="G930" s="735" t="n">
        <v>0.04</v>
      </c>
      <c r="H930" s="720" t="n">
        <v>1.6348</v>
      </c>
      <c r="I930" s="720" t="n">
        <v>1.63581</v>
      </c>
      <c r="J930" s="721" t="n">
        <v>1.6358</v>
      </c>
      <c r="K930" s="760" t="n">
        <v>0.0006116956202592915</v>
      </c>
      <c r="L930" s="721" t="n">
        <v>1.6318</v>
      </c>
      <c r="M930" s="722" t="n">
        <v>0.001835086860778146</v>
      </c>
      <c r="N930" s="788" t="n"/>
      <c r="O930" s="762" t="n">
        <v>-4.37</v>
      </c>
      <c r="P930" s="725" t="n">
        <v>-0.008930761056159567</v>
      </c>
      <c r="Q930" s="726" t="n">
        <v>-1.010000000000067</v>
      </c>
      <c r="R930" s="764" t="n">
        <v>484.9500000000001</v>
      </c>
      <c r="S930" s="719" t="inlineStr">
        <is>
          <t>6M 0S</t>
        </is>
      </c>
      <c r="T930" s="728" t="n"/>
      <c r="U930" s="729" t="n"/>
      <c r="V930" s="730" t="n"/>
      <c r="W930" s="731" t="n"/>
      <c r="X930" s="732" t="n"/>
      <c r="Y930" s="728" t="n"/>
      <c r="Z930" s="729" t="n"/>
      <c r="AA930" s="730" t="n"/>
      <c r="AB930" s="731" t="n"/>
      <c r="AC930" s="732" t="n"/>
      <c r="AD930" s="719" t="inlineStr">
        <is>
          <t>No</t>
        </is>
      </c>
      <c r="AE930" s="733" t="n"/>
      <c r="AF930" s="733" t="n"/>
      <c r="AG930" s="733" t="n"/>
      <c r="AH930" s="733" t="n"/>
      <c r="AI930" s="719" t="inlineStr">
        <is>
          <t>Limit</t>
        </is>
      </c>
      <c r="AJ930" s="733" t="n"/>
      <c r="AK930" s="733" t="n"/>
      <c r="AL930" s="733" t="n"/>
      <c r="AM930" s="733" t="n"/>
      <c r="AN930" s="733" t="n"/>
      <c r="AO930" s="733" t="n"/>
      <c r="AP930" s="719" t="inlineStr">
        <is>
          <t>Pullback</t>
        </is>
      </c>
      <c r="AQ930" s="719" t="inlineStr">
        <is>
          <t>15MIN</t>
        </is>
      </c>
      <c r="AR930" s="719" t="inlineStr">
        <is>
          <t>No</t>
        </is>
      </c>
      <c r="AS930" s="733" t="n"/>
      <c r="AT930" s="733" t="n"/>
      <c r="AU930" s="733" t="n"/>
      <c r="AV930" s="733" t="n"/>
      <c r="AW930" s="719" t="inlineStr">
        <is>
          <t>trade</t>
        </is>
      </c>
      <c r="AX930" s="734" t="inlineStr">
        <is>
          <t>sig:f6cd9782d515d7102d7b9027</t>
        </is>
      </c>
    </row>
    <row r="931" ht="15" customHeight="1">
      <c r="A931" s="716" t="inlineStr">
        <is>
          <t>F605</t>
        </is>
      </c>
      <c r="B931" s="717" t="n">
        <v>43652.03680555556</v>
      </c>
      <c r="C931" s="718" t="n">
        <v>43652.10416666666</v>
      </c>
      <c r="D931" s="719" t="inlineStr">
        <is>
          <t>PEPPERSTONE DEMO</t>
        </is>
      </c>
      <c r="E931" s="719" t="inlineStr">
        <is>
          <t>USDCAD</t>
        </is>
      </c>
      <c r="F931" s="719" t="inlineStr">
        <is>
          <t>BUY</t>
        </is>
      </c>
      <c r="G931" s="735" t="n">
        <v>0.03</v>
      </c>
      <c r="H931" s="720" t="n">
        <v>1.3115</v>
      </c>
      <c r="I931" s="720" t="n">
        <v>1.30987</v>
      </c>
      <c r="J931" s="721" t="n">
        <v>1.3098</v>
      </c>
      <c r="K931" s="722" t="n">
        <v>0.001296225695768231</v>
      </c>
      <c r="L931" s="721" t="n">
        <v>1.3166</v>
      </c>
      <c r="M931" s="722" t="n">
        <v>0.003888677087304523</v>
      </c>
      <c r="N931" s="788" t="n"/>
      <c r="O931" s="762" t="n">
        <v>-5.59</v>
      </c>
      <c r="P931" s="725" t="n">
        <v>-0.0112949829261886</v>
      </c>
      <c r="Q931" s="726" t="n">
        <v>-0.958823529411757</v>
      </c>
      <c r="R931" s="764" t="n">
        <v>489.3200000000001</v>
      </c>
      <c r="S931" s="719" t="inlineStr">
        <is>
          <t>1H 37M 0S</t>
        </is>
      </c>
      <c r="T931" s="728" t="n"/>
      <c r="U931" s="729" t="n"/>
      <c r="V931" s="730" t="n"/>
      <c r="W931" s="731" t="n"/>
      <c r="X931" s="732" t="n"/>
      <c r="Y931" s="728" t="n"/>
      <c r="Z931" s="729" t="n"/>
      <c r="AA931" s="730" t="n"/>
      <c r="AB931" s="731" t="n"/>
      <c r="AC931" s="732" t="n"/>
      <c r="AD931" s="719" t="inlineStr">
        <is>
          <t>No</t>
        </is>
      </c>
      <c r="AE931" s="733" t="n"/>
      <c r="AF931" s="733" t="n"/>
      <c r="AG931" s="733" t="n"/>
      <c r="AH931" s="733" t="n"/>
      <c r="AI931" s="719" t="inlineStr">
        <is>
          <t>Limit</t>
        </is>
      </c>
      <c r="AJ931" s="733" t="n"/>
      <c r="AK931" s="733" t="n"/>
      <c r="AL931" s="733" t="n"/>
      <c r="AM931" s="733" t="n"/>
      <c r="AN931" s="733" t="n"/>
      <c r="AO931" s="733" t="n"/>
      <c r="AP931" s="719" t="inlineStr">
        <is>
          <t>Pullback</t>
        </is>
      </c>
      <c r="AQ931" s="719" t="inlineStr">
        <is>
          <t>15MIN</t>
        </is>
      </c>
      <c r="AR931" s="719" t="inlineStr">
        <is>
          <t>No</t>
        </is>
      </c>
      <c r="AS931" s="782" t="n"/>
      <c r="AT931" s="733" t="n"/>
      <c r="AU931" s="719" t="n"/>
      <c r="AV931" s="719" t="n"/>
      <c r="AW931" s="719" t="inlineStr">
        <is>
          <t>trade</t>
        </is>
      </c>
      <c r="AX931" s="734" t="inlineStr">
        <is>
          <t>sig:6658af42624cf9ba146b4bdd</t>
        </is>
      </c>
    </row>
    <row r="932" ht="15" customHeight="1">
      <c r="A932" s="716" t="inlineStr">
        <is>
          <t>F604</t>
        </is>
      </c>
      <c r="B932" s="717" t="n">
        <v>43651.95138888889</v>
      </c>
      <c r="C932" s="718" t="n">
        <v>43651.95486111111</v>
      </c>
      <c r="D932" s="719" t="inlineStr">
        <is>
          <t>PEPPERSTONE DEMO</t>
        </is>
      </c>
      <c r="E932" s="719" t="inlineStr">
        <is>
          <t>USDCAD</t>
        </is>
      </c>
      <c r="F932" s="719" t="inlineStr">
        <is>
          <t>BUY</t>
        </is>
      </c>
      <c r="G932" s="735" t="n">
        <v>0.04</v>
      </c>
      <c r="H932" s="720" t="n">
        <v>1.311</v>
      </c>
      <c r="I932" s="720" t="n">
        <v>1.30992</v>
      </c>
      <c r="J932" s="721" t="n">
        <v>1.3099</v>
      </c>
      <c r="K932" s="760" t="n">
        <v>0.0008390541571318679</v>
      </c>
      <c r="L932" s="721" t="n">
        <v>1.3143</v>
      </c>
      <c r="M932" s="722" t="n">
        <v>0.002517162471395943</v>
      </c>
      <c r="N932" s="788" t="n"/>
      <c r="O932" s="762" t="n">
        <v>-4.8</v>
      </c>
      <c r="P932" s="725" t="n">
        <v>-0.009605571231314161</v>
      </c>
      <c r="Q932" s="726" t="n">
        <v>-0.9818181818182625</v>
      </c>
      <c r="R932" s="764" t="n">
        <v>494.9100000000001</v>
      </c>
      <c r="S932" s="719" t="inlineStr">
        <is>
          <t>5M 0S</t>
        </is>
      </c>
      <c r="T932" s="728" t="n"/>
      <c r="U932" s="729" t="n"/>
      <c r="V932" s="730" t="n"/>
      <c r="W932" s="731" t="n"/>
      <c r="X932" s="732" t="n"/>
      <c r="Y932" s="728" t="n"/>
      <c r="Z932" s="729" t="n"/>
      <c r="AA932" s="730" t="n"/>
      <c r="AB932" s="731" t="n"/>
      <c r="AC932" s="732" t="n"/>
      <c r="AD932" s="719" t="inlineStr">
        <is>
          <t>No</t>
        </is>
      </c>
      <c r="AE932" s="733" t="n"/>
      <c r="AF932" s="733" t="n"/>
      <c r="AG932" s="733" t="n"/>
      <c r="AH932" s="733" t="n"/>
      <c r="AI932" s="719" t="inlineStr">
        <is>
          <t>Limit</t>
        </is>
      </c>
      <c r="AJ932" s="733" t="n"/>
      <c r="AK932" s="733" t="n"/>
      <c r="AL932" s="733" t="n"/>
      <c r="AM932" s="733" t="n"/>
      <c r="AN932" s="733" t="n"/>
      <c r="AO932" s="733" t="n"/>
      <c r="AP932" s="719" t="inlineStr">
        <is>
          <t>Pullback</t>
        </is>
      </c>
      <c r="AQ932" s="719" t="inlineStr">
        <is>
          <t>15MIN</t>
        </is>
      </c>
      <c r="AR932" s="719" t="inlineStr">
        <is>
          <t>No</t>
        </is>
      </c>
      <c r="AS932" s="733" t="n"/>
      <c r="AT932" s="733" t="n"/>
      <c r="AU932" s="733" t="n"/>
      <c r="AV932" s="733" t="n"/>
      <c r="AW932" s="719" t="inlineStr">
        <is>
          <t>trade</t>
        </is>
      </c>
      <c r="AX932" s="734" t="inlineStr">
        <is>
          <t>sig:857b1e4a1dac21c25d0840f1</t>
        </is>
      </c>
    </row>
    <row r="933" ht="15" customHeight="1">
      <c r="A933" s="716" t="inlineStr">
        <is>
          <t>F603</t>
        </is>
      </c>
      <c r="B933" s="717" t="n">
        <v>43651.04027777778</v>
      </c>
      <c r="C933" s="718" t="n">
        <v>43651.05625</v>
      </c>
      <c r="D933" s="719" t="inlineStr">
        <is>
          <t>PEPPERSTONE DEMO</t>
        </is>
      </c>
      <c r="E933" s="719" t="inlineStr">
        <is>
          <t>EURCAD</t>
        </is>
      </c>
      <c r="F933" s="719" t="inlineStr">
        <is>
          <t>SELL</t>
        </is>
      </c>
      <c r="G933" s="735" t="n">
        <v>0.06</v>
      </c>
      <c r="H933" s="720" t="n">
        <v>1.4726</v>
      </c>
      <c r="I933" s="720" t="n">
        <v>1.47332</v>
      </c>
      <c r="J933" s="721" t="n">
        <v>1.4733</v>
      </c>
      <c r="K933" s="760" t="n">
        <v>0.0004753497215809758</v>
      </c>
      <c r="L933" s="721" t="n">
        <v>1.4705</v>
      </c>
      <c r="M933" s="722" t="n">
        <v>0.001426049164742626</v>
      </c>
      <c r="N933" s="788" t="n"/>
      <c r="O933" s="762" t="n">
        <v>-4.58</v>
      </c>
      <c r="P933" s="725" t="n">
        <v>-0.009082075789724165</v>
      </c>
      <c r="Q933" s="726" t="n">
        <v>-1.028571428571293</v>
      </c>
      <c r="R933" s="764" t="n">
        <v>499.7100000000001</v>
      </c>
      <c r="S933" s="719" t="inlineStr">
        <is>
          <t>23M 0S</t>
        </is>
      </c>
      <c r="T933" s="728" t="n"/>
      <c r="U933" s="729" t="n"/>
      <c r="V933" s="730" t="n"/>
      <c r="W933" s="731" t="n"/>
      <c r="X933" s="732" t="n"/>
      <c r="Y933" s="728" t="n"/>
      <c r="Z933" s="729" t="n"/>
      <c r="AA933" s="730" t="n"/>
      <c r="AB933" s="731" t="n"/>
      <c r="AC933" s="732" t="n"/>
      <c r="AD933" s="719" t="inlineStr">
        <is>
          <t>No</t>
        </is>
      </c>
      <c r="AE933" s="733" t="n"/>
      <c r="AF933" s="733" t="n"/>
      <c r="AG933" s="733" t="n"/>
      <c r="AH933" s="733" t="n"/>
      <c r="AI933" s="719" t="inlineStr">
        <is>
          <t>Limit</t>
        </is>
      </c>
      <c r="AJ933" s="733" t="n"/>
      <c r="AK933" s="733" t="n"/>
      <c r="AL933" s="733" t="n"/>
      <c r="AM933" s="733" t="n"/>
      <c r="AN933" s="733" t="n"/>
      <c r="AO933" s="733" t="n"/>
      <c r="AP933" s="719" t="inlineStr">
        <is>
          <t>Pullback</t>
        </is>
      </c>
      <c r="AQ933" s="719" t="inlineStr">
        <is>
          <t>15MIN</t>
        </is>
      </c>
      <c r="AR933" s="719" t="inlineStr">
        <is>
          <t>No</t>
        </is>
      </c>
      <c r="AS933" s="782" t="n"/>
      <c r="AT933" s="733" t="n"/>
      <c r="AU933" s="719" t="n"/>
      <c r="AV933" s="719" t="n"/>
      <c r="AW933" s="719" t="inlineStr">
        <is>
          <t>trade</t>
        </is>
      </c>
      <c r="AX933" s="734" t="inlineStr">
        <is>
          <t>sig:3e0867f3a1e39cd2c3a584b5</t>
        </is>
      </c>
    </row>
    <row r="934" ht="15" customHeight="1">
      <c r="A934" s="737" t="inlineStr">
        <is>
          <t>F601</t>
        </is>
      </c>
      <c r="B934" s="738" t="n">
        <v>43649.92708333334</v>
      </c>
      <c r="C934" s="739" t="n">
        <v>43650.00833333333</v>
      </c>
      <c r="D934" s="740" t="inlineStr">
        <is>
          <t>PEPPERSTONE DEMO</t>
        </is>
      </c>
      <c r="E934" s="740" t="inlineStr">
        <is>
          <t>GBPAUD</t>
        </is>
      </c>
      <c r="F934" s="740" t="inlineStr">
        <is>
          <t>SELL</t>
        </is>
      </c>
      <c r="G934" s="775" t="n">
        <v>0.04</v>
      </c>
      <c r="H934" s="742" t="n">
        <v>1.7933</v>
      </c>
      <c r="I934" s="742" t="n">
        <v>1.78948</v>
      </c>
      <c r="J934" s="743" t="n">
        <v>1.7946</v>
      </c>
      <c r="K934" s="765" t="n">
        <v>0.0007249205375565042</v>
      </c>
      <c r="L934" s="743" t="n">
        <v>1.7894</v>
      </c>
      <c r="M934" s="744" t="n">
        <v>0.002174761612669265</v>
      </c>
      <c r="N934" s="796" t="n"/>
      <c r="O934" s="767" t="n">
        <v>14.3</v>
      </c>
      <c r="P934" s="747" t="n">
        <v>0.02918426906671565</v>
      </c>
      <c r="Q934" s="748" t="n">
        <v>2.93846153846131</v>
      </c>
      <c r="R934" s="769" t="n">
        <v>504.2900000000001</v>
      </c>
      <c r="S934" s="740" t="inlineStr">
        <is>
          <t>1H 57M 0S</t>
        </is>
      </c>
      <c r="T934" s="738" t="n">
        <v>43649.97291666667</v>
      </c>
      <c r="U934" s="809" t="inlineStr">
        <is>
          <t>1H 6M 0S</t>
        </is>
      </c>
      <c r="V934" s="752" t="n"/>
      <c r="W934" s="753" t="n"/>
      <c r="X934" s="754" t="n"/>
      <c r="Y934" s="738" t="n">
        <v>43650.00138888889</v>
      </c>
      <c r="Z934" s="809" t="inlineStr">
        <is>
          <t>1H 47M 0S</t>
        </is>
      </c>
      <c r="AA934" s="752" t="n"/>
      <c r="AB934" s="753" t="n"/>
      <c r="AC934" s="754" t="n"/>
      <c r="AD934" s="740" t="inlineStr">
        <is>
          <t>No</t>
        </is>
      </c>
      <c r="AE934" s="755" t="n"/>
      <c r="AF934" s="755" t="n"/>
      <c r="AG934" s="755" t="n"/>
      <c r="AH934" s="755" t="n"/>
      <c r="AI934" s="740" t="inlineStr">
        <is>
          <t>Limit</t>
        </is>
      </c>
      <c r="AJ934" s="755" t="n"/>
      <c r="AK934" s="755" t="n"/>
      <c r="AL934" s="755" t="n"/>
      <c r="AM934" s="755" t="n"/>
      <c r="AN934" s="755" t="n"/>
      <c r="AO934" s="755" t="n"/>
      <c r="AP934" s="740" t="inlineStr">
        <is>
          <t>Pullback</t>
        </is>
      </c>
      <c r="AQ934" s="740" t="inlineStr">
        <is>
          <t>15MIN</t>
        </is>
      </c>
      <c r="AR934" s="740" t="inlineStr">
        <is>
          <t>No</t>
        </is>
      </c>
      <c r="AS934" s="755" t="n"/>
      <c r="AT934" s="755" t="n"/>
      <c r="AU934" s="755" t="n"/>
      <c r="AV934" s="755" t="n"/>
      <c r="AW934" s="740" t="inlineStr">
        <is>
          <t>trade</t>
        </is>
      </c>
      <c r="AX934" s="756" t="inlineStr">
        <is>
          <t>sig:bea7239592f79b3cc60c42ec</t>
        </is>
      </c>
    </row>
    <row r="935" ht="15" customHeight="1">
      <c r="A935" s="737" t="inlineStr">
        <is>
          <t>F602</t>
        </is>
      </c>
      <c r="B935" s="738" t="n">
        <v>43649.04166666666</v>
      </c>
      <c r="C935" s="739" t="n">
        <v>43649.13541666666</v>
      </c>
      <c r="D935" s="740" t="inlineStr">
        <is>
          <t>PEPPERSTONE DEMO</t>
        </is>
      </c>
      <c r="E935" s="740" t="inlineStr">
        <is>
          <t>EURNZD</t>
        </is>
      </c>
      <c r="F935" s="740" t="inlineStr">
        <is>
          <t>BUY</t>
        </is>
      </c>
      <c r="G935" s="775" t="n">
        <v>0.05</v>
      </c>
      <c r="H935" s="742" t="n">
        <v>1.6924</v>
      </c>
      <c r="I935" s="742" t="n">
        <v>1.69374</v>
      </c>
      <c r="J935" s="743" t="n">
        <v>1.6915</v>
      </c>
      <c r="K935" s="765" t="n">
        <v>0.0005317891751358432</v>
      </c>
      <c r="L935" s="743" t="n">
        <v>1.6951</v>
      </c>
      <c r="M935" s="744" t="n">
        <v>0.001595367525407792</v>
      </c>
      <c r="N935" s="796" t="n"/>
      <c r="O935" s="767" t="n">
        <v>1.24</v>
      </c>
      <c r="P935" s="747" t="n">
        <v>0.002537084398976981</v>
      </c>
      <c r="Q935" s="748" t="n">
        <v>1.488888888889185</v>
      </c>
      <c r="R935" s="769" t="n">
        <v>489.9900000000001</v>
      </c>
      <c r="S935" s="740" t="inlineStr">
        <is>
          <t>2H 15M 0S</t>
        </is>
      </c>
      <c r="T935" s="738" t="n">
        <v>43649.09583333333</v>
      </c>
      <c r="U935" s="809" t="inlineStr">
        <is>
          <t>1H 18M 0S</t>
        </is>
      </c>
      <c r="V935" s="752" t="n"/>
      <c r="W935" s="753" t="n"/>
      <c r="X935" s="754" t="n"/>
      <c r="Y935" s="738" t="n"/>
      <c r="Z935" s="809" t="n"/>
      <c r="AA935" s="752" t="n"/>
      <c r="AB935" s="753" t="n"/>
      <c r="AC935" s="754" t="n"/>
      <c r="AD935" s="740" t="inlineStr">
        <is>
          <t>No</t>
        </is>
      </c>
      <c r="AE935" s="755" t="n"/>
      <c r="AF935" s="755" t="n"/>
      <c r="AG935" s="755" t="n"/>
      <c r="AH935" s="755" t="n"/>
      <c r="AI935" s="740" t="inlineStr">
        <is>
          <t>Limit</t>
        </is>
      </c>
      <c r="AJ935" s="755" t="n"/>
      <c r="AK935" s="755" t="n"/>
      <c r="AL935" s="755" t="n"/>
      <c r="AM935" s="755" t="n"/>
      <c r="AN935" s="755" t="n"/>
      <c r="AO935" s="755" t="n"/>
      <c r="AP935" s="740" t="inlineStr">
        <is>
          <t>Pullback</t>
        </is>
      </c>
      <c r="AQ935" s="740" t="inlineStr">
        <is>
          <t>15MIN</t>
        </is>
      </c>
      <c r="AR935" s="740" t="inlineStr">
        <is>
          <t>No</t>
        </is>
      </c>
      <c r="AS935" s="755" t="n"/>
      <c r="AT935" s="755" t="n"/>
      <c r="AU935" s="755" t="n"/>
      <c r="AV935" s="755" t="n"/>
      <c r="AW935" s="740" t="inlineStr">
        <is>
          <t>trade</t>
        </is>
      </c>
      <c r="AX935" s="756" t="inlineStr">
        <is>
          <t>sig:cded820671f58df52713be7c</t>
        </is>
      </c>
    </row>
    <row r="936" ht="15" customHeight="1">
      <c r="A936" s="737" t="inlineStr">
        <is>
          <t>F600</t>
        </is>
      </c>
      <c r="B936" s="738" t="n">
        <v>43648.95138888889</v>
      </c>
      <c r="C936" s="739" t="n">
        <v>43648.9875</v>
      </c>
      <c r="D936" s="740" t="inlineStr">
        <is>
          <t>PEPPERSTONE DEMO</t>
        </is>
      </c>
      <c r="E936" s="740" t="inlineStr">
        <is>
          <t>CADCHF</t>
        </is>
      </c>
      <c r="F936" s="740" t="inlineStr">
        <is>
          <t>BUY</t>
        </is>
      </c>
      <c r="G936" s="775" t="n">
        <v>0.05</v>
      </c>
      <c r="H936" s="742" t="n">
        <v>0.7527</v>
      </c>
      <c r="I936" s="742" t="n">
        <v>0.75324</v>
      </c>
      <c r="J936" s="743" t="n">
        <v>0.7521</v>
      </c>
      <c r="K936" s="765" t="n">
        <v>0.000797130330809147</v>
      </c>
      <c r="L936" s="743" t="n">
        <v>0.7539</v>
      </c>
      <c r="M936" s="744" t="n">
        <v>0.001594260661618146</v>
      </c>
      <c r="N936" s="796" t="n"/>
      <c r="O936" s="767" t="n">
        <v>2.29</v>
      </c>
      <c r="P936" s="747" t="n">
        <v>0.004707478518274883</v>
      </c>
      <c r="Q936" s="748" t="n">
        <v>0.8999999999999074</v>
      </c>
      <c r="R936" s="769" t="n">
        <v>488.7500000000001</v>
      </c>
      <c r="S936" s="740" t="inlineStr">
        <is>
          <t>52M 0S</t>
        </is>
      </c>
      <c r="T936" s="738" t="n">
        <v>43648.96111111111</v>
      </c>
      <c r="U936" s="809" t="inlineStr">
        <is>
          <t>14M 0S</t>
        </is>
      </c>
      <c r="V936" s="752" t="n"/>
      <c r="W936" s="753" t="n"/>
      <c r="X936" s="754" t="n"/>
      <c r="Y936" s="738" t="n">
        <v>43648.97638888889</v>
      </c>
      <c r="Z936" s="809" t="inlineStr">
        <is>
          <t>36M 0S</t>
        </is>
      </c>
      <c r="AA936" s="752" t="n"/>
      <c r="AB936" s="753" t="n"/>
      <c r="AC936" s="754" t="n"/>
      <c r="AD936" s="740" t="inlineStr">
        <is>
          <t>No</t>
        </is>
      </c>
      <c r="AE936" s="755" t="n"/>
      <c r="AF936" s="755" t="n"/>
      <c r="AG936" s="755" t="n"/>
      <c r="AH936" s="755" t="n"/>
      <c r="AI936" s="740" t="inlineStr">
        <is>
          <t>Limit</t>
        </is>
      </c>
      <c r="AJ936" s="755" t="n"/>
      <c r="AK936" s="755" t="n"/>
      <c r="AL936" s="755" t="n"/>
      <c r="AM936" s="755" t="n"/>
      <c r="AN936" s="755" t="n"/>
      <c r="AO936" s="755" t="n"/>
      <c r="AP936" s="740" t="inlineStr">
        <is>
          <t>Pullback</t>
        </is>
      </c>
      <c r="AQ936" s="740" t="inlineStr">
        <is>
          <t>15MIN</t>
        </is>
      </c>
      <c r="AR936" s="740" t="inlineStr">
        <is>
          <t>No</t>
        </is>
      </c>
      <c r="AS936" s="755" t="n"/>
      <c r="AT936" s="755" t="n"/>
      <c r="AU936" s="755" t="n"/>
      <c r="AV936" s="755" t="n"/>
      <c r="AW936" s="740" t="inlineStr">
        <is>
          <t>trade</t>
        </is>
      </c>
      <c r="AX936" s="756" t="inlineStr">
        <is>
          <t>sig:dc3db38232c80b7991235245</t>
        </is>
      </c>
    </row>
    <row r="937" ht="15" customHeight="1">
      <c r="A937" s="716" t="inlineStr">
        <is>
          <t>F599</t>
        </is>
      </c>
      <c r="B937" s="717" t="n">
        <v>43648.94236111111</v>
      </c>
      <c r="C937" s="718" t="n">
        <v>43648.94861111111</v>
      </c>
      <c r="D937" s="719" t="inlineStr">
        <is>
          <t>PEPPERSTONE DEMO</t>
        </is>
      </c>
      <c r="E937" s="719" t="inlineStr">
        <is>
          <t>CADCHF</t>
        </is>
      </c>
      <c r="F937" s="719" t="inlineStr">
        <is>
          <t>BUY</t>
        </is>
      </c>
      <c r="G937" s="735" t="n">
        <v>0.05</v>
      </c>
      <c r="H937" s="720" t="n">
        <v>0.7532</v>
      </c>
      <c r="I937" s="720" t="n">
        <v>0.75264</v>
      </c>
      <c r="J937" s="721" t="n">
        <v>0.7526</v>
      </c>
      <c r="K937" s="760" t="n">
        <v>0.0007966011683482925</v>
      </c>
      <c r="L937" s="721" t="n">
        <v>0.7544</v>
      </c>
      <c r="M937" s="722" t="n">
        <v>0.001593202336696733</v>
      </c>
      <c r="N937" s="788" t="n"/>
      <c r="O937" s="762" t="n">
        <v>-4.34</v>
      </c>
      <c r="P937" s="725" t="n">
        <v>-0.008842705786471068</v>
      </c>
      <c r="Q937" s="726" t="n">
        <v>-0.9333333333334444</v>
      </c>
      <c r="R937" s="764" t="n">
        <v>486.46</v>
      </c>
      <c r="S937" s="719" t="inlineStr">
        <is>
          <t>9M 0S</t>
        </is>
      </c>
      <c r="T937" s="728" t="n"/>
      <c r="U937" s="729" t="n"/>
      <c r="V937" s="730" t="n"/>
      <c r="W937" s="731" t="n"/>
      <c r="X937" s="732" t="n"/>
      <c r="Y937" s="728" t="n"/>
      <c r="Z937" s="729" t="n"/>
      <c r="AA937" s="730" t="n"/>
      <c r="AB937" s="731" t="n"/>
      <c r="AC937" s="732" t="n"/>
      <c r="AD937" s="719" t="inlineStr">
        <is>
          <t>No</t>
        </is>
      </c>
      <c r="AE937" s="733" t="n"/>
      <c r="AF937" s="733" t="n"/>
      <c r="AG937" s="733" t="n"/>
      <c r="AH937" s="733" t="n"/>
      <c r="AI937" s="719" t="inlineStr">
        <is>
          <t>Limit</t>
        </is>
      </c>
      <c r="AJ937" s="733" t="n"/>
      <c r="AK937" s="733" t="n"/>
      <c r="AL937" s="733" t="n"/>
      <c r="AM937" s="733" t="n"/>
      <c r="AN937" s="733" t="n"/>
      <c r="AO937" s="733" t="n"/>
      <c r="AP937" s="719" t="inlineStr">
        <is>
          <t>Pullback</t>
        </is>
      </c>
      <c r="AQ937" s="719" t="inlineStr">
        <is>
          <t>15MIN</t>
        </is>
      </c>
      <c r="AR937" s="719" t="inlineStr">
        <is>
          <t>No</t>
        </is>
      </c>
      <c r="AS937" s="733" t="n"/>
      <c r="AT937" s="733" t="n"/>
      <c r="AU937" s="733" t="n"/>
      <c r="AV937" s="733" t="n"/>
      <c r="AW937" s="719" t="inlineStr">
        <is>
          <t>trade</t>
        </is>
      </c>
      <c r="AX937" s="734" t="inlineStr">
        <is>
          <t>sig:70d8459a3928259791f73cae</t>
        </is>
      </c>
    </row>
    <row r="938" ht="15" customHeight="1">
      <c r="A938" s="716" t="inlineStr">
        <is>
          <t>F598</t>
        </is>
      </c>
      <c r="B938" s="717" t="n">
        <v>43648.10763888889</v>
      </c>
      <c r="C938" s="718" t="n">
        <v>43648.15347222222</v>
      </c>
      <c r="D938" s="719" t="inlineStr">
        <is>
          <t>PEPPERSTONE DEMO</t>
        </is>
      </c>
      <c r="E938" s="719" t="inlineStr">
        <is>
          <t>EURAUD</t>
        </is>
      </c>
      <c r="F938" s="719" t="inlineStr">
        <is>
          <t>BUY</t>
        </is>
      </c>
      <c r="G938" s="735" t="n">
        <v>0.04</v>
      </c>
      <c r="H938" s="720" t="n">
        <v>1.623</v>
      </c>
      <c r="I938" s="720" t="n">
        <v>1.62191</v>
      </c>
      <c r="J938" s="721" t="n">
        <v>1.6219</v>
      </c>
      <c r="K938" s="760" t="n">
        <v>0.0006777572396796678</v>
      </c>
      <c r="L938" s="721" t="n">
        <v>1.6252</v>
      </c>
      <c r="M938" s="722" t="n">
        <v>0.001355514479359199</v>
      </c>
      <c r="N938" s="788" t="n"/>
      <c r="O938" s="762" t="n">
        <v>-4.4</v>
      </c>
      <c r="P938" s="725" t="n">
        <v>-0.008885298869143781</v>
      </c>
      <c r="Q938" s="726" t="n">
        <v>-0.9909090909090322</v>
      </c>
      <c r="R938" s="764" t="n">
        <v>490.8</v>
      </c>
      <c r="S938" s="719" t="inlineStr">
        <is>
          <t>1H 6M 0S</t>
        </is>
      </c>
      <c r="T938" s="717" t="n"/>
      <c r="U938" s="806" t="n"/>
      <c r="V938" s="730" t="n"/>
      <c r="W938" s="731" t="n"/>
      <c r="X938" s="732" t="n"/>
      <c r="Y938" s="717" t="n"/>
      <c r="Z938" s="806" t="n"/>
      <c r="AA938" s="730" t="n"/>
      <c r="AB938" s="731" t="n"/>
      <c r="AC938" s="732" t="n"/>
      <c r="AD938" s="719" t="inlineStr">
        <is>
          <t>No</t>
        </is>
      </c>
      <c r="AE938" s="733" t="n"/>
      <c r="AF938" s="733" t="n"/>
      <c r="AG938" s="733" t="n"/>
      <c r="AH938" s="733" t="n"/>
      <c r="AI938" s="719" t="inlineStr">
        <is>
          <t>Limit</t>
        </is>
      </c>
      <c r="AJ938" s="733" t="n"/>
      <c r="AK938" s="733" t="n"/>
      <c r="AL938" s="733" t="n"/>
      <c r="AM938" s="733" t="n"/>
      <c r="AN938" s="733" t="n"/>
      <c r="AO938" s="733" t="n"/>
      <c r="AP938" s="719" t="inlineStr">
        <is>
          <t>Pullback</t>
        </is>
      </c>
      <c r="AQ938" s="719" t="inlineStr">
        <is>
          <t>15MIN</t>
        </is>
      </c>
      <c r="AR938" s="719" t="inlineStr">
        <is>
          <t>No</t>
        </is>
      </c>
      <c r="AS938" s="733" t="n"/>
      <c r="AT938" s="733" t="n"/>
      <c r="AU938" s="733" t="n"/>
      <c r="AV938" s="733" t="n"/>
      <c r="AW938" s="719" t="inlineStr">
        <is>
          <t>trade</t>
        </is>
      </c>
      <c r="AX938" s="734" t="inlineStr">
        <is>
          <t>sig:3b3b7fbe16ecda2719caaa43</t>
        </is>
      </c>
    </row>
    <row r="939" ht="15" customHeight="1">
      <c r="A939" s="42" t="n"/>
      <c r="B939" s="770" t="n">
        <v>43648</v>
      </c>
      <c r="C939" s="771" t="n">
        <v>43648</v>
      </c>
      <c r="D939" s="12" t="inlineStr">
        <is>
          <t>PEPPERSTONE DEMO</t>
        </is>
      </c>
      <c r="E939" s="12" t="inlineStr">
        <is>
          <t>CASHFLOW</t>
        </is>
      </c>
      <c r="F939" s="12" t="inlineStr">
        <is>
          <t>WITHDRAWAL</t>
        </is>
      </c>
      <c r="G939" s="262" t="n"/>
      <c r="H939" s="262" t="n"/>
      <c r="I939" s="262" t="n"/>
      <c r="J939" s="263" t="n"/>
      <c r="K939" s="36" t="n"/>
      <c r="L939" s="263" t="n"/>
      <c r="M939" s="36" t="n"/>
      <c r="N939" s="779" t="n"/>
      <c r="O939" s="773" t="n"/>
      <c r="P939" s="3" t="n"/>
      <c r="Q939" s="51" t="n"/>
      <c r="R939" s="54" t="n">
        <v>495.2</v>
      </c>
      <c r="S939" s="12" t="n"/>
      <c r="T939" s="774" t="n"/>
      <c r="U939" s="6" t="n"/>
      <c r="V939" s="264" t="n"/>
      <c r="W939" s="9" t="n"/>
      <c r="X939" s="46" t="n"/>
      <c r="Y939" s="774" t="n"/>
      <c r="Z939" s="6" t="n"/>
      <c r="AA939" s="264" t="n"/>
      <c r="AB939" s="9" t="n"/>
      <c r="AC939" s="46" t="n"/>
      <c r="AD939" s="12" t="inlineStr">
        <is>
          <t>No</t>
        </is>
      </c>
      <c r="AE939" s="45" t="n"/>
      <c r="AF939" s="45" t="n"/>
      <c r="AG939" s="45" t="n"/>
      <c r="AH939" s="45" t="n"/>
      <c r="AI939" s="12" t="n"/>
      <c r="AJ939" s="45" t="n"/>
      <c r="AK939" s="45" t="n"/>
      <c r="AL939" s="45" t="n"/>
      <c r="AM939" s="45" t="n"/>
      <c r="AN939" s="45" t="n"/>
      <c r="AO939" s="45" t="n"/>
      <c r="AP939" s="12" t="n"/>
      <c r="AQ939" s="12" t="n"/>
      <c r="AR939" s="12" t="n"/>
      <c r="AS939" s="56" t="inlineStr">
        <is>
          <t>Withdrawal -505.84 AUD. Source: user_txt. Imported from account_cashflows.xlsx row 40.</t>
        </is>
      </c>
      <c r="AT939" s="45" t="n"/>
      <c r="AU939" s="12" t="n">
        <v>495.2</v>
      </c>
      <c r="AV939" s="12" t="inlineStr">
        <is>
          <t>AUD</t>
        </is>
      </c>
      <c r="AW939" s="12" t="inlineStr">
        <is>
          <t>cashflow</t>
        </is>
      </c>
      <c r="AX939" s="57" t="inlineStr">
        <is>
          <t>cashflow:PEPPERSTONE DEMO:2019-07-02T00:00:00:26</t>
        </is>
      </c>
    </row>
    <row r="940" ht="15" customHeight="1">
      <c r="A940" s="716" t="inlineStr">
        <is>
          <t>F597</t>
        </is>
      </c>
      <c r="B940" s="717" t="n">
        <v>43647.92916666667</v>
      </c>
      <c r="C940" s="718" t="n">
        <v>43647.92986111111</v>
      </c>
      <c r="D940" s="719" t="inlineStr">
        <is>
          <t>PEPPERSTONE DEMO</t>
        </is>
      </c>
      <c r="E940" s="719" t="inlineStr">
        <is>
          <t>GBPCAD</t>
        </is>
      </c>
      <c r="F940" s="719" t="inlineStr">
        <is>
          <t>SELL</t>
        </is>
      </c>
      <c r="G940" s="735" t="n">
        <v>0.04</v>
      </c>
      <c r="H940" s="720" t="n">
        <v>1.6577</v>
      </c>
      <c r="I940" s="720" t="n">
        <v>1.65888</v>
      </c>
      <c r="J940" s="721" t="n">
        <v>1.6588</v>
      </c>
      <c r="K940" s="760" t="n">
        <v>0.000663570006635761</v>
      </c>
      <c r="L940" s="721" t="n">
        <v>1.6544</v>
      </c>
      <c r="M940" s="722" t="n">
        <v>0.001990710019907015</v>
      </c>
      <c r="N940" s="788" t="n"/>
      <c r="O940" s="762" t="n">
        <v>-4.8</v>
      </c>
      <c r="P940" s="725" t="n">
        <v>-0.004772130756382725</v>
      </c>
      <c r="Q940" s="726" t="n">
        <v>-1.072727272727137</v>
      </c>
      <c r="R940" s="764" t="n">
        <v>1001.04</v>
      </c>
      <c r="S940" s="719" t="inlineStr">
        <is>
          <t>1M 0S</t>
        </is>
      </c>
      <c r="T940" s="728" t="n"/>
      <c r="U940" s="729" t="n"/>
      <c r="V940" s="730" t="n"/>
      <c r="W940" s="731" t="n"/>
      <c r="X940" s="732" t="n"/>
      <c r="Y940" s="728" t="n"/>
      <c r="Z940" s="729" t="n"/>
      <c r="AA940" s="730" t="n"/>
      <c r="AB940" s="731" t="n"/>
      <c r="AC940" s="732" t="n"/>
      <c r="AD940" s="719" t="inlineStr">
        <is>
          <t>No</t>
        </is>
      </c>
      <c r="AE940" s="733" t="n"/>
      <c r="AF940" s="733" t="n"/>
      <c r="AG940" s="733" t="n"/>
      <c r="AH940" s="733" t="n"/>
      <c r="AI940" s="719" t="inlineStr">
        <is>
          <t>Limit</t>
        </is>
      </c>
      <c r="AJ940" s="733" t="n"/>
      <c r="AK940" s="733" t="n"/>
      <c r="AL940" s="733" t="n"/>
      <c r="AM940" s="733" t="n"/>
      <c r="AN940" s="733" t="n"/>
      <c r="AO940" s="733" t="n"/>
      <c r="AP940" s="719" t="inlineStr">
        <is>
          <t>Pullback</t>
        </is>
      </c>
      <c r="AQ940" s="719" t="inlineStr">
        <is>
          <t>15MIN</t>
        </is>
      </c>
      <c r="AR940" s="719" t="inlineStr">
        <is>
          <t>No</t>
        </is>
      </c>
      <c r="AS940" s="733" t="n"/>
      <c r="AT940" s="733" t="n"/>
      <c r="AU940" s="733" t="n"/>
      <c r="AV940" s="733" t="n"/>
      <c r="AW940" s="719" t="inlineStr">
        <is>
          <t>trade</t>
        </is>
      </c>
      <c r="AX940" s="734" t="inlineStr">
        <is>
          <t>sig:ec43383190796b3b88a5a30a</t>
        </is>
      </c>
    </row>
    <row r="941" ht="15" customHeight="1">
      <c r="A941" s="42" t="n"/>
      <c r="B941" s="770" t="n">
        <v>43647</v>
      </c>
      <c r="C941" s="771" t="n">
        <v>43647</v>
      </c>
      <c r="D941" s="12" t="inlineStr">
        <is>
          <t>PEPPERSTONE DEMO</t>
        </is>
      </c>
      <c r="E941" s="12" t="inlineStr">
        <is>
          <t>CASHFLOW</t>
        </is>
      </c>
      <c r="F941" s="12" t="inlineStr">
        <is>
          <t>DEPOSIT</t>
        </is>
      </c>
      <c r="G941" s="262" t="n"/>
      <c r="H941" s="262" t="n"/>
      <c r="I941" s="262" t="n"/>
      <c r="J941" s="263" t="n"/>
      <c r="K941" s="36" t="n"/>
      <c r="L941" s="263" t="n"/>
      <c r="M941" s="36" t="n"/>
      <c r="N941" s="779" t="n"/>
      <c r="O941" s="773" t="n"/>
      <c r="P941" s="3" t="n"/>
      <c r="Q941" s="51" t="n"/>
      <c r="R941" s="54" t="n">
        <v>1005.84</v>
      </c>
      <c r="S941" s="12" t="n"/>
      <c r="T941" s="770" t="n"/>
      <c r="U941" s="4" t="n"/>
      <c r="V941" s="264" t="n"/>
      <c r="W941" s="9" t="n"/>
      <c r="X941" s="46" t="n"/>
      <c r="Y941" s="770" t="n"/>
      <c r="Z941" s="4" t="n"/>
      <c r="AA941" s="264" t="n"/>
      <c r="AB941" s="9" t="n"/>
      <c r="AC941" s="46" t="n"/>
      <c r="AD941" s="12" t="inlineStr">
        <is>
          <t>No</t>
        </is>
      </c>
      <c r="AE941" s="45" t="n"/>
      <c r="AF941" s="45" t="n"/>
      <c r="AG941" s="45" t="n"/>
      <c r="AH941" s="45" t="n"/>
      <c r="AI941" s="12" t="n"/>
      <c r="AJ941" s="45" t="n"/>
      <c r="AK941" s="45" t="n"/>
      <c r="AL941" s="45" t="n"/>
      <c r="AM941" s="45" t="n"/>
      <c r="AN941" s="45" t="n"/>
      <c r="AO941" s="45" t="n"/>
      <c r="AP941" s="12" t="n"/>
      <c r="AQ941" s="12" t="n"/>
      <c r="AR941" s="12" t="n"/>
      <c r="AS941" s="56" t="inlineStr">
        <is>
          <t>Deposit 500.0 AUD. Source: user_txt. Imported from account_cashflows.xlsx row 39.</t>
        </is>
      </c>
      <c r="AT941" s="45" t="n"/>
      <c r="AU941" s="12" t="n">
        <v>1005.84</v>
      </c>
      <c r="AV941" s="12" t="inlineStr">
        <is>
          <t>AUD</t>
        </is>
      </c>
      <c r="AW941" s="12" t="inlineStr">
        <is>
          <t>cashflow</t>
        </is>
      </c>
      <c r="AX941" s="57" t="inlineStr">
        <is>
          <t>cashflow:PEPPERSTONE DEMO:2019-07-01T00:00:00:25</t>
        </is>
      </c>
    </row>
    <row r="942" ht="15" customHeight="1">
      <c r="A942" s="737" t="inlineStr">
        <is>
          <t>F596</t>
        </is>
      </c>
      <c r="B942" s="738" t="n">
        <v>43645.04166666666</v>
      </c>
      <c r="C942" s="739" t="n">
        <v>43645.13541666666</v>
      </c>
      <c r="D942" s="740" t="inlineStr">
        <is>
          <t>PEPPERSTONE DEMO</t>
        </is>
      </c>
      <c r="E942" s="740" t="inlineStr">
        <is>
          <t>NZDCHF</t>
        </is>
      </c>
      <c r="F942" s="740" t="inlineStr">
        <is>
          <t>BUY</t>
        </is>
      </c>
      <c r="G942" s="775" t="n">
        <v>0.05</v>
      </c>
      <c r="H942" s="742" t="n">
        <v>0.6548</v>
      </c>
      <c r="I942" s="742" t="n">
        <v>0.65543</v>
      </c>
      <c r="J942" s="743" t="n">
        <v>0.6542</v>
      </c>
      <c r="K942" s="765" t="n">
        <v>0.0009163103237630496</v>
      </c>
      <c r="L942" s="743" t="n">
        <v>0.656</v>
      </c>
      <c r="M942" s="744" t="n">
        <v>0.00183262064752593</v>
      </c>
      <c r="N942" s="796" t="n"/>
      <c r="O942" s="767" t="n">
        <v>0.88</v>
      </c>
      <c r="P942" s="747" t="n">
        <v>0.001742712294043093</v>
      </c>
      <c r="Q942" s="748" t="n">
        <v>1.049999999999769</v>
      </c>
      <c r="R942" s="769" t="n">
        <v>505.84</v>
      </c>
      <c r="S942" s="740" t="inlineStr">
        <is>
          <t>2H 15M 0S</t>
        </is>
      </c>
      <c r="T942" s="738" t="n">
        <v>43645.12013888889</v>
      </c>
      <c r="U942" s="809" t="inlineStr">
        <is>
          <t>1H 53M 0S</t>
        </is>
      </c>
      <c r="V942" s="752" t="n"/>
      <c r="W942" s="753" t="n"/>
      <c r="X942" s="754" t="n"/>
      <c r="Y942" s="738" t="n"/>
      <c r="Z942" s="809" t="n"/>
      <c r="AA942" s="752" t="n"/>
      <c r="AB942" s="753" t="n"/>
      <c r="AC942" s="754" t="n"/>
      <c r="AD942" s="740" t="inlineStr">
        <is>
          <t>No</t>
        </is>
      </c>
      <c r="AE942" s="755" t="n"/>
      <c r="AF942" s="755" t="n"/>
      <c r="AG942" s="755" t="n"/>
      <c r="AH942" s="755" t="n"/>
      <c r="AI942" s="740" t="inlineStr">
        <is>
          <t>Limit</t>
        </is>
      </c>
      <c r="AJ942" s="755" t="n"/>
      <c r="AK942" s="755" t="n"/>
      <c r="AL942" s="755" t="n"/>
      <c r="AM942" s="755" t="n"/>
      <c r="AN942" s="755" t="n"/>
      <c r="AO942" s="755" t="n"/>
      <c r="AP942" s="740" t="inlineStr">
        <is>
          <t>Pullback</t>
        </is>
      </c>
      <c r="AQ942" s="740" t="inlineStr">
        <is>
          <t>15MIN</t>
        </is>
      </c>
      <c r="AR942" s="740" t="inlineStr">
        <is>
          <t>No</t>
        </is>
      </c>
      <c r="AS942" s="755" t="n"/>
      <c r="AT942" s="755" t="n"/>
      <c r="AU942" s="755" t="n"/>
      <c r="AV942" s="755" t="n"/>
      <c r="AW942" s="740" t="inlineStr">
        <is>
          <t>trade</t>
        </is>
      </c>
      <c r="AX942" s="756" t="inlineStr">
        <is>
          <t>sig:ee5387376b252948cfa0d1ba</t>
        </is>
      </c>
    </row>
    <row r="943" ht="15" customHeight="1">
      <c r="A943" s="737" t="inlineStr">
        <is>
          <t>F594</t>
        </is>
      </c>
      <c r="B943" s="738" t="n">
        <v>43643.99652777778</v>
      </c>
      <c r="C943" s="739" t="n">
        <v>43644.03263888889</v>
      </c>
      <c r="D943" s="740" t="inlineStr">
        <is>
          <t>PEPPERSTONE DEMO</t>
        </is>
      </c>
      <c r="E943" s="740" t="inlineStr">
        <is>
          <t>NZDUSD</t>
        </is>
      </c>
      <c r="F943" s="740" t="inlineStr">
        <is>
          <t>BUY</t>
        </is>
      </c>
      <c r="G943" s="775" t="n">
        <v>0.08</v>
      </c>
      <c r="H943" s="742" t="n">
        <v>0.6691</v>
      </c>
      <c r="I943" s="742" t="n">
        <v>0.66994</v>
      </c>
      <c r="J943" s="743" t="n">
        <v>0.6687</v>
      </c>
      <c r="K943" s="765" t="n">
        <v>0.0005978179644299312</v>
      </c>
      <c r="L943" s="743" t="n">
        <v>0.6699000000000001</v>
      </c>
      <c r="M943" s="744" t="n">
        <v>0.001195635928859696</v>
      </c>
      <c r="N943" s="796" t="n"/>
      <c r="O943" s="767" t="n">
        <v>8.56</v>
      </c>
      <c r="P943" s="747" t="n">
        <v>0.01724415793714746</v>
      </c>
      <c r="Q943" s="748" t="n">
        <v>2.099999999999528</v>
      </c>
      <c r="R943" s="769" t="n">
        <v>504.96</v>
      </c>
      <c r="S943" s="740" t="inlineStr">
        <is>
          <t>52M 0S</t>
        </is>
      </c>
      <c r="T943" s="738" t="n">
        <v>43644.01875</v>
      </c>
      <c r="U943" s="809" t="inlineStr">
        <is>
          <t>32M 0S</t>
        </is>
      </c>
      <c r="V943" s="752" t="n"/>
      <c r="W943" s="753" t="n"/>
      <c r="X943" s="754" t="n"/>
      <c r="Y943" s="738" t="n">
        <v>43644.02916666667</v>
      </c>
      <c r="Z943" s="809" t="inlineStr">
        <is>
          <t>47M 0S</t>
        </is>
      </c>
      <c r="AA943" s="752" t="n"/>
      <c r="AB943" s="753" t="n"/>
      <c r="AC943" s="754" t="n"/>
      <c r="AD943" s="740" t="inlineStr">
        <is>
          <t>No</t>
        </is>
      </c>
      <c r="AE943" s="755" t="n"/>
      <c r="AF943" s="755" t="n"/>
      <c r="AG943" s="755" t="n"/>
      <c r="AH943" s="755" t="n"/>
      <c r="AI943" s="740" t="inlineStr">
        <is>
          <t>Limit</t>
        </is>
      </c>
      <c r="AJ943" s="755" t="n"/>
      <c r="AK943" s="755" t="n"/>
      <c r="AL943" s="755" t="n"/>
      <c r="AM943" s="755" t="n"/>
      <c r="AN943" s="755" t="n"/>
      <c r="AO943" s="755" t="n"/>
      <c r="AP943" s="740" t="inlineStr">
        <is>
          <t>Pullback</t>
        </is>
      </c>
      <c r="AQ943" s="740" t="inlineStr">
        <is>
          <t>15MIN</t>
        </is>
      </c>
      <c r="AR943" s="740" t="inlineStr">
        <is>
          <t>No</t>
        </is>
      </c>
      <c r="AS943" s="755" t="n"/>
      <c r="AT943" s="755" t="n"/>
      <c r="AU943" s="755" t="n"/>
      <c r="AV943" s="755" t="n"/>
      <c r="AW943" s="740" t="inlineStr">
        <is>
          <t>trade</t>
        </is>
      </c>
      <c r="AX943" s="756" t="inlineStr">
        <is>
          <t>sig:a4c52fa19a2983a0b0623e35</t>
        </is>
      </c>
    </row>
    <row r="944" ht="15" customHeight="1">
      <c r="A944" s="716" t="inlineStr">
        <is>
          <t>F595</t>
        </is>
      </c>
      <c r="B944" s="717" t="n">
        <v>43643</v>
      </c>
      <c r="C944" s="718" t="n">
        <v>43643.00069444445</v>
      </c>
      <c r="D944" s="719" t="inlineStr">
        <is>
          <t>PEPPERSTONE DEMO</t>
        </is>
      </c>
      <c r="E944" s="719" t="inlineStr">
        <is>
          <t>GBPNZD</t>
        </is>
      </c>
      <c r="F944" s="719" t="inlineStr">
        <is>
          <t>SELL</t>
        </is>
      </c>
      <c r="G944" s="735" t="n">
        <v>0.05</v>
      </c>
      <c r="H944" s="720" t="n">
        <v>1.8994</v>
      </c>
      <c r="I944" s="720" t="n">
        <v>1.90047</v>
      </c>
      <c r="J944" s="721" t="n">
        <v>1.9004</v>
      </c>
      <c r="K944" s="760" t="n">
        <v>0.0005264820469622575</v>
      </c>
      <c r="L944" s="721" t="n">
        <v>1.8964</v>
      </c>
      <c r="M944" s="722" t="n">
        <v>0.001579446140886539</v>
      </c>
      <c r="N944" s="788" t="n"/>
      <c r="O944" s="762" t="n">
        <v>-4.79</v>
      </c>
      <c r="P944" s="725" t="n">
        <v>-0.009557253736108063</v>
      </c>
      <c r="Q944" s="726" t="n">
        <v>-1.070000000000007</v>
      </c>
      <c r="R944" s="764" t="n">
        <v>496.4</v>
      </c>
      <c r="S944" s="719" t="inlineStr">
        <is>
          <t>1M 0S</t>
        </is>
      </c>
      <c r="T944" s="717" t="n"/>
      <c r="U944" s="806" t="n"/>
      <c r="V944" s="730" t="n"/>
      <c r="W944" s="731" t="n"/>
      <c r="X944" s="732" t="n"/>
      <c r="Y944" s="728" t="n"/>
      <c r="Z944" s="729" t="n"/>
      <c r="AA944" s="730" t="n"/>
      <c r="AB944" s="731" t="n"/>
      <c r="AC944" s="732" t="n"/>
      <c r="AD944" s="719" t="inlineStr">
        <is>
          <t>No</t>
        </is>
      </c>
      <c r="AE944" s="733" t="n"/>
      <c r="AF944" s="733" t="n"/>
      <c r="AG944" s="733" t="n"/>
      <c r="AH944" s="733" t="n"/>
      <c r="AI944" s="719" t="inlineStr">
        <is>
          <t>Limit</t>
        </is>
      </c>
      <c r="AJ944" s="733" t="n"/>
      <c r="AK944" s="733" t="n"/>
      <c r="AL944" s="733" t="n"/>
      <c r="AM944" s="733" t="n"/>
      <c r="AN944" s="733" t="n"/>
      <c r="AO944" s="733" t="n"/>
      <c r="AP944" s="719" t="inlineStr">
        <is>
          <t>Pullback</t>
        </is>
      </c>
      <c r="AQ944" s="719" t="inlineStr">
        <is>
          <t>15MIN</t>
        </is>
      </c>
      <c r="AR944" s="719" t="inlineStr">
        <is>
          <t>No</t>
        </is>
      </c>
      <c r="AS944" s="733" t="n"/>
      <c r="AT944" s="733" t="n"/>
      <c r="AU944" s="733" t="n"/>
      <c r="AV944" s="733" t="n"/>
      <c r="AW944" s="719" t="inlineStr">
        <is>
          <t>trade</t>
        </is>
      </c>
      <c r="AX944" s="734" t="inlineStr">
        <is>
          <t>sig:d585926a909d60ed27fc9f76</t>
        </is>
      </c>
    </row>
    <row r="945" ht="15" customHeight="1">
      <c r="A945" s="716" t="inlineStr">
        <is>
          <t>F593</t>
        </is>
      </c>
      <c r="B945" s="717" t="n">
        <v>43642.98888888889</v>
      </c>
      <c r="C945" s="718" t="n">
        <v>43642.99236111111</v>
      </c>
      <c r="D945" s="719" t="inlineStr">
        <is>
          <t>PEPPERSTONE DEMO</t>
        </is>
      </c>
      <c r="E945" s="719" t="inlineStr">
        <is>
          <t>GBPNZD</t>
        </is>
      </c>
      <c r="F945" s="719" t="inlineStr">
        <is>
          <t>SELL</t>
        </is>
      </c>
      <c r="G945" s="735" t="n">
        <v>0.05</v>
      </c>
      <c r="H945" s="720" t="n">
        <v>1.8989</v>
      </c>
      <c r="I945" s="720" t="n">
        <v>1.89995</v>
      </c>
      <c r="J945" s="721" t="n">
        <v>1.8999</v>
      </c>
      <c r="K945" s="760" t="n">
        <v>0.0005266206751276475</v>
      </c>
      <c r="L945" s="721" t="n">
        <v>1.8959</v>
      </c>
      <c r="M945" s="722" t="n">
        <v>0.001579862025383176</v>
      </c>
      <c r="N945" s="788" t="n"/>
      <c r="O945" s="762" t="n">
        <v>-4.79</v>
      </c>
      <c r="P945" s="725" t="n">
        <v>-0.009466777342977984</v>
      </c>
      <c r="Q945" s="726" t="n">
        <v>-1.050000000000111</v>
      </c>
      <c r="R945" s="764" t="n">
        <v>501.19</v>
      </c>
      <c r="S945" s="719" t="inlineStr">
        <is>
          <t>5M 0S</t>
        </is>
      </c>
      <c r="T945" s="728" t="n"/>
      <c r="U945" s="729" t="n"/>
      <c r="V945" s="730" t="n"/>
      <c r="W945" s="731" t="n"/>
      <c r="X945" s="732" t="n"/>
      <c r="Y945" s="728" t="n"/>
      <c r="Z945" s="729" t="n"/>
      <c r="AA945" s="730" t="n"/>
      <c r="AB945" s="731" t="n"/>
      <c r="AC945" s="732" t="n"/>
      <c r="AD945" s="719" t="inlineStr">
        <is>
          <t>No</t>
        </is>
      </c>
      <c r="AE945" s="733" t="n"/>
      <c r="AF945" s="733" t="n"/>
      <c r="AG945" s="733" t="n"/>
      <c r="AH945" s="733" t="n"/>
      <c r="AI945" s="719" t="inlineStr">
        <is>
          <t>Limit</t>
        </is>
      </c>
      <c r="AJ945" s="733" t="n"/>
      <c r="AK945" s="733" t="n"/>
      <c r="AL945" s="733" t="n"/>
      <c r="AM945" s="733" t="n"/>
      <c r="AN945" s="733" t="n"/>
      <c r="AO945" s="733" t="n"/>
      <c r="AP945" s="719" t="inlineStr">
        <is>
          <t>Pullback</t>
        </is>
      </c>
      <c r="AQ945" s="719" t="inlineStr">
        <is>
          <t>15MIN</t>
        </is>
      </c>
      <c r="AR945" s="719" t="inlineStr">
        <is>
          <t>No</t>
        </is>
      </c>
      <c r="AS945" s="733" t="n"/>
      <c r="AT945" s="733" t="n"/>
      <c r="AU945" s="733" t="n"/>
      <c r="AV945" s="733" t="n"/>
      <c r="AW945" s="719" t="inlineStr">
        <is>
          <t>trade</t>
        </is>
      </c>
      <c r="AX945" s="734" t="inlineStr">
        <is>
          <t>sig:93789bf4a1660d9b5e589348</t>
        </is>
      </c>
    </row>
    <row r="946" ht="15" customHeight="1">
      <c r="A946" s="737" t="inlineStr">
        <is>
          <t>F592</t>
        </is>
      </c>
      <c r="B946" s="738" t="n">
        <v>43641.00208333333</v>
      </c>
      <c r="C946" s="739" t="n">
        <v>43641.02083333334</v>
      </c>
      <c r="D946" s="740" t="inlineStr">
        <is>
          <t>PEPPERSTONE DEMO</t>
        </is>
      </c>
      <c r="E946" s="740" t="inlineStr">
        <is>
          <t>USDCHF</t>
        </is>
      </c>
      <c r="F946" s="740" t="inlineStr">
        <is>
          <t>SELL</t>
        </is>
      </c>
      <c r="G946" s="775" t="n">
        <v>0.06</v>
      </c>
      <c r="H946" s="742" t="n">
        <v>0.9754</v>
      </c>
      <c r="I946" s="742" t="n">
        <v>0.97399</v>
      </c>
      <c r="J946" s="743" t="n">
        <v>0.9759</v>
      </c>
      <c r="K946" s="765" t="n">
        <v>0.0005126102111953505</v>
      </c>
      <c r="L946" s="743" t="n">
        <v>0.9739</v>
      </c>
      <c r="M946" s="744" t="n">
        <v>0.001537830633586279</v>
      </c>
      <c r="N946" s="796" t="n"/>
      <c r="O946" s="767" t="n">
        <v>12.54</v>
      </c>
      <c r="P946" s="747" t="n">
        <v>0.02541342412451362</v>
      </c>
      <c r="Q946" s="748" t="n">
        <v>2.820000000000355</v>
      </c>
      <c r="R946" s="769" t="n">
        <v>505.98</v>
      </c>
      <c r="S946" s="740" t="inlineStr">
        <is>
          <t>27M 0S</t>
        </is>
      </c>
      <c r="T946" s="738" t="n">
        <v>43641.00833333333</v>
      </c>
      <c r="U946" s="809" t="inlineStr">
        <is>
          <t>9M 0S</t>
        </is>
      </c>
      <c r="V946" s="752" t="n"/>
      <c r="W946" s="753" t="n"/>
      <c r="X946" s="754" t="n"/>
      <c r="Y946" s="738" t="n">
        <v>43641.00902777778</v>
      </c>
      <c r="Z946" s="809" t="inlineStr">
        <is>
          <t>10M 0S</t>
        </is>
      </c>
      <c r="AA946" s="752" t="n"/>
      <c r="AB946" s="753" t="n"/>
      <c r="AC946" s="754" t="n"/>
      <c r="AD946" s="740" t="inlineStr">
        <is>
          <t>No</t>
        </is>
      </c>
      <c r="AE946" s="755" t="n"/>
      <c r="AF946" s="755" t="n"/>
      <c r="AG946" s="755" t="n"/>
      <c r="AH946" s="755" t="n"/>
      <c r="AI946" s="740" t="inlineStr">
        <is>
          <t>Limit</t>
        </is>
      </c>
      <c r="AJ946" s="755" t="n"/>
      <c r="AK946" s="755" t="n"/>
      <c r="AL946" s="755" t="n"/>
      <c r="AM946" s="755" t="n"/>
      <c r="AN946" s="755" t="n"/>
      <c r="AO946" s="755" t="n"/>
      <c r="AP946" s="740" t="inlineStr">
        <is>
          <t>Pullback</t>
        </is>
      </c>
      <c r="AQ946" s="740" t="inlineStr">
        <is>
          <t>15MIN</t>
        </is>
      </c>
      <c r="AR946" s="740" t="inlineStr">
        <is>
          <t>No</t>
        </is>
      </c>
      <c r="AS946" s="755" t="n"/>
      <c r="AT946" s="755" t="n"/>
      <c r="AU946" s="755" t="n"/>
      <c r="AV946" s="755" t="n"/>
      <c r="AW946" s="740" t="inlineStr">
        <is>
          <t>trade</t>
        </is>
      </c>
      <c r="AX946" s="756" t="inlineStr">
        <is>
          <t>sig:082077165ce2f46ef233c85c</t>
        </is>
      </c>
    </row>
    <row r="947" ht="15" customHeight="1">
      <c r="A947" s="716" t="inlineStr">
        <is>
          <t>F591</t>
        </is>
      </c>
      <c r="B947" s="717" t="n">
        <v>43637.01388888889</v>
      </c>
      <c r="C947" s="718" t="n">
        <v>43637.02083333334</v>
      </c>
      <c r="D947" s="719" t="inlineStr">
        <is>
          <t>PEPPERSTONE DEMO</t>
        </is>
      </c>
      <c r="E947" s="719" t="inlineStr">
        <is>
          <t>USDCAD</t>
        </is>
      </c>
      <c r="F947" s="719" t="inlineStr">
        <is>
          <t>SELL</t>
        </is>
      </c>
      <c r="G947" s="720" t="n">
        <v>0.1</v>
      </c>
      <c r="H947" s="720" t="n">
        <v>1.3187</v>
      </c>
      <c r="I947" s="720" t="n">
        <v>1.31975</v>
      </c>
      <c r="J947" s="721" t="n">
        <v>1.3197</v>
      </c>
      <c r="K947" s="760" t="n">
        <v>0.0007583225904300538</v>
      </c>
      <c r="L947" s="721" t="n">
        <v>1.3157</v>
      </c>
      <c r="M947" s="722" t="n">
        <v>0.002274967771289825</v>
      </c>
      <c r="N947" s="788" t="n"/>
      <c r="O947" s="762" t="n">
        <v>-10.95</v>
      </c>
      <c r="P947" s="725" t="n">
        <v>-0.02170939154225897</v>
      </c>
      <c r="Q947" s="726" t="n">
        <v>-1.049999999999878</v>
      </c>
      <c r="R947" s="764" t="n">
        <v>493.44</v>
      </c>
      <c r="S947" s="719" t="inlineStr">
        <is>
          <t>10M 0S</t>
        </is>
      </c>
      <c r="T947" s="728" t="n"/>
      <c r="U947" s="729" t="n"/>
      <c r="V947" s="730" t="n"/>
      <c r="W947" s="731" t="n"/>
      <c r="X947" s="732" t="n"/>
      <c r="Y947" s="728" t="n"/>
      <c r="Z947" s="729" t="n"/>
      <c r="AA947" s="730" t="n"/>
      <c r="AB947" s="731" t="n"/>
      <c r="AC947" s="732" t="n"/>
      <c r="AD947" s="719" t="inlineStr">
        <is>
          <t>No</t>
        </is>
      </c>
      <c r="AE947" s="733" t="n"/>
      <c r="AF947" s="733" t="n"/>
      <c r="AG947" s="733" t="n"/>
      <c r="AH947" s="733" t="n"/>
      <c r="AI947" s="719" t="inlineStr">
        <is>
          <t>Limit</t>
        </is>
      </c>
      <c r="AJ947" s="733" t="n"/>
      <c r="AK947" s="733" t="n"/>
      <c r="AL947" s="733" t="n"/>
      <c r="AM947" s="733" t="n"/>
      <c r="AN947" s="733" t="n"/>
      <c r="AO947" s="733" t="n"/>
      <c r="AP947" s="719" t="inlineStr">
        <is>
          <t>Pullback</t>
        </is>
      </c>
      <c r="AQ947" s="719" t="inlineStr">
        <is>
          <t>15MIN</t>
        </is>
      </c>
      <c r="AR947" s="719" t="inlineStr">
        <is>
          <t>No</t>
        </is>
      </c>
      <c r="AS947" s="782" t="n"/>
      <c r="AT947" s="733" t="n"/>
      <c r="AU947" s="719" t="n"/>
      <c r="AV947" s="719" t="n"/>
      <c r="AW947" s="719" t="inlineStr">
        <is>
          <t>trade</t>
        </is>
      </c>
      <c r="AX947" s="734" t="inlineStr">
        <is>
          <t>sig:2ec1d5d9e8d555277947aaa4</t>
        </is>
      </c>
    </row>
    <row r="948" ht="15" customHeight="1">
      <c r="A948" s="716" t="inlineStr">
        <is>
          <t>F590</t>
        </is>
      </c>
      <c r="B948" s="717" t="n">
        <v>43636.08055555556</v>
      </c>
      <c r="C948" s="718" t="n">
        <v>43636.08125</v>
      </c>
      <c r="D948" s="719" t="inlineStr">
        <is>
          <t>PEPPERSTONE DEMO</t>
        </is>
      </c>
      <c r="E948" s="719" t="inlineStr">
        <is>
          <t>USDCAD</t>
        </is>
      </c>
      <c r="F948" s="719" t="inlineStr">
        <is>
          <t>SELL</t>
        </is>
      </c>
      <c r="G948" s="735" t="n">
        <v>0.07000000000000001</v>
      </c>
      <c r="H948" s="720" t="n">
        <v>1.3354</v>
      </c>
      <c r="I948" s="720" t="n">
        <v>1.33608</v>
      </c>
      <c r="J948" s="721" t="n">
        <v>1.336</v>
      </c>
      <c r="K948" s="760" t="n">
        <v>0.0004493035794519665</v>
      </c>
      <c r="L948" s="721" t="n">
        <v>1.3342</v>
      </c>
      <c r="M948" s="760" t="n">
        <v>0.0008986071589036004</v>
      </c>
      <c r="N948" s="788" t="n"/>
      <c r="O948" s="762" t="n">
        <v>-4.57</v>
      </c>
      <c r="P948" s="725" t="n">
        <v>-0.008979094624331972</v>
      </c>
      <c r="Q948" s="726" t="n">
        <v>-1.133333333333062</v>
      </c>
      <c r="R948" s="764" t="n">
        <v>504.39</v>
      </c>
      <c r="S948" s="719" t="inlineStr">
        <is>
          <t>1M 0S</t>
        </is>
      </c>
      <c r="T948" s="728" t="n"/>
      <c r="U948" s="729" t="n"/>
      <c r="V948" s="730" t="n"/>
      <c r="W948" s="731" t="n"/>
      <c r="X948" s="732" t="n"/>
      <c r="Y948" s="728" t="n"/>
      <c r="Z948" s="729" t="n"/>
      <c r="AA948" s="730" t="n"/>
      <c r="AB948" s="731" t="n"/>
      <c r="AC948" s="732" t="n"/>
      <c r="AD948" s="719" t="inlineStr">
        <is>
          <t>No</t>
        </is>
      </c>
      <c r="AE948" s="733" t="n"/>
      <c r="AF948" s="733" t="n"/>
      <c r="AG948" s="733" t="n"/>
      <c r="AH948" s="733" t="n"/>
      <c r="AI948" s="719" t="inlineStr">
        <is>
          <t>Limit</t>
        </is>
      </c>
      <c r="AJ948" s="733" t="n"/>
      <c r="AK948" s="733" t="n"/>
      <c r="AL948" s="733" t="n"/>
      <c r="AM948" s="733" t="n"/>
      <c r="AN948" s="733" t="n"/>
      <c r="AO948" s="733" t="n"/>
      <c r="AP948" s="719" t="inlineStr">
        <is>
          <t>Pullback</t>
        </is>
      </c>
      <c r="AQ948" s="719" t="inlineStr">
        <is>
          <t>15MIN</t>
        </is>
      </c>
      <c r="AR948" s="719" t="inlineStr">
        <is>
          <t>No</t>
        </is>
      </c>
      <c r="AS948" s="782" t="n"/>
      <c r="AT948" s="733" t="n"/>
      <c r="AU948" s="719" t="n"/>
      <c r="AV948" s="719" t="n"/>
      <c r="AW948" s="719" t="inlineStr">
        <is>
          <t>trade</t>
        </is>
      </c>
      <c r="AX948" s="734" t="inlineStr">
        <is>
          <t>sig:118eefcd4eefac60184e8cea</t>
        </is>
      </c>
    </row>
    <row r="949" ht="15" customHeight="1">
      <c r="A949" s="737" t="inlineStr">
        <is>
          <t>F589</t>
        </is>
      </c>
      <c r="B949" s="738" t="n">
        <v>43635.04166666666</v>
      </c>
      <c r="C949" s="739" t="n">
        <v>43635.05763888889</v>
      </c>
      <c r="D949" s="740" t="inlineStr">
        <is>
          <t>PEPPERSTONE DEMO</t>
        </is>
      </c>
      <c r="E949" s="740" t="inlineStr">
        <is>
          <t>USDCAD</t>
        </is>
      </c>
      <c r="F949" s="740" t="inlineStr">
        <is>
          <t>SELL</t>
        </is>
      </c>
      <c r="G949" s="775" t="n">
        <v>0.05</v>
      </c>
      <c r="H949" s="742" t="n">
        <v>1.3403</v>
      </c>
      <c r="I949" s="742" t="n">
        <v>1.33898</v>
      </c>
      <c r="J949" s="743" t="n">
        <v>1.341</v>
      </c>
      <c r="K949" s="765" t="n">
        <v>0.0005222711333283018</v>
      </c>
      <c r="L949" s="743" t="n">
        <v>1.3389</v>
      </c>
      <c r="M949" s="744" t="n">
        <v>0.001044542266656769</v>
      </c>
      <c r="N949" s="796" t="n"/>
      <c r="O949" s="767" t="n">
        <v>6.84</v>
      </c>
      <c r="P949" s="747" t="n">
        <v>0.0136222416952123</v>
      </c>
      <c r="Q949" s="748" t="n">
        <v>1.885714285714476</v>
      </c>
      <c r="R949" s="769" t="n">
        <v>508.96</v>
      </c>
      <c r="S949" s="740" t="inlineStr">
        <is>
          <t>23M 0S</t>
        </is>
      </c>
      <c r="T949" s="738" t="n">
        <v>43635.05208333334</v>
      </c>
      <c r="U949" s="809" t="inlineStr">
        <is>
          <t>15M 0S</t>
        </is>
      </c>
      <c r="V949" s="752" t="n"/>
      <c r="W949" s="753" t="n"/>
      <c r="X949" s="754" t="n"/>
      <c r="Y949" s="738" t="n">
        <v>43635.05416666667</v>
      </c>
      <c r="Z949" s="809" t="inlineStr">
        <is>
          <t>18M 0S</t>
        </is>
      </c>
      <c r="AA949" s="752" t="n"/>
      <c r="AB949" s="753" t="n"/>
      <c r="AC949" s="754" t="n"/>
      <c r="AD949" s="740" t="inlineStr">
        <is>
          <t>No</t>
        </is>
      </c>
      <c r="AE949" s="755" t="n"/>
      <c r="AF949" s="755" t="n"/>
      <c r="AG949" s="755" t="n"/>
      <c r="AH949" s="755" t="n"/>
      <c r="AI949" s="740" t="inlineStr">
        <is>
          <t>Limit</t>
        </is>
      </c>
      <c r="AJ949" s="755" t="n"/>
      <c r="AK949" s="755" t="n"/>
      <c r="AL949" s="755" t="n"/>
      <c r="AM949" s="755" t="n"/>
      <c r="AN949" s="755" t="n"/>
      <c r="AO949" s="755" t="n"/>
      <c r="AP949" s="740" t="inlineStr">
        <is>
          <t>Pullback</t>
        </is>
      </c>
      <c r="AQ949" s="740" t="inlineStr">
        <is>
          <t>15MIN</t>
        </is>
      </c>
      <c r="AR949" s="740" t="inlineStr">
        <is>
          <t>No</t>
        </is>
      </c>
      <c r="AS949" s="755" t="n"/>
      <c r="AT949" s="755" t="n"/>
      <c r="AU949" s="755" t="n"/>
      <c r="AV949" s="755" t="n"/>
      <c r="AW949" s="740" t="inlineStr">
        <is>
          <t>trade</t>
        </is>
      </c>
      <c r="AX949" s="756" t="inlineStr">
        <is>
          <t>sig:d1ff661b091819eb7c1375da</t>
        </is>
      </c>
    </row>
    <row r="950" ht="15" customHeight="1">
      <c r="A950" s="737" t="inlineStr">
        <is>
          <t>F588</t>
        </is>
      </c>
      <c r="B950" s="738" t="n">
        <v>43634.0625</v>
      </c>
      <c r="C950" s="739" t="n">
        <v>43634.10972222222</v>
      </c>
      <c r="D950" s="740" t="inlineStr">
        <is>
          <t>PEPPERSTONE DEMO</t>
        </is>
      </c>
      <c r="E950" s="740" t="inlineStr">
        <is>
          <t>USDCAD</t>
        </is>
      </c>
      <c r="F950" s="740" t="inlineStr">
        <is>
          <t>SELL</t>
        </is>
      </c>
      <c r="G950" s="775" t="n">
        <v>0.07000000000000001</v>
      </c>
      <c r="H950" s="742" t="n">
        <v>1.3405</v>
      </c>
      <c r="I950" s="742" t="n">
        <v>1.34</v>
      </c>
      <c r="J950" s="743" t="n">
        <v>1.341</v>
      </c>
      <c r="K950" s="765" t="n">
        <v>0.0003729951510629951</v>
      </c>
      <c r="L950" s="743" t="n">
        <v>1.3395</v>
      </c>
      <c r="M950" s="765" t="n">
        <v>0.0007459903021261559</v>
      </c>
      <c r="N950" s="796" t="n"/>
      <c r="O950" s="767" t="n">
        <v>1.91</v>
      </c>
      <c r="P950" s="747" t="n">
        <v>0.003818396273565103</v>
      </c>
      <c r="Q950" s="748" t="n">
        <v>1</v>
      </c>
      <c r="R950" s="769" t="n">
        <v>502.12</v>
      </c>
      <c r="S950" s="740" t="inlineStr">
        <is>
          <t>1H 8M 0S</t>
        </is>
      </c>
      <c r="T950" s="738" t="n">
        <v>43634.07916666667</v>
      </c>
      <c r="U950" s="809" t="inlineStr">
        <is>
          <t>24M 0S</t>
        </is>
      </c>
      <c r="V950" s="752" t="n"/>
      <c r="W950" s="753" t="n"/>
      <c r="X950" s="754" t="n"/>
      <c r="Y950" s="738" t="n">
        <v>43634.08402777778</v>
      </c>
      <c r="Z950" s="809" t="inlineStr">
        <is>
          <t>31M 0S</t>
        </is>
      </c>
      <c r="AA950" s="752" t="n"/>
      <c r="AB950" s="753" t="n"/>
      <c r="AC950" s="754" t="n"/>
      <c r="AD950" s="740" t="inlineStr">
        <is>
          <t>No</t>
        </is>
      </c>
      <c r="AE950" s="755" t="n"/>
      <c r="AF950" s="755" t="n"/>
      <c r="AG950" s="755" t="n"/>
      <c r="AH950" s="755" t="n"/>
      <c r="AI950" s="740" t="inlineStr">
        <is>
          <t>Limit</t>
        </is>
      </c>
      <c r="AJ950" s="755" t="n"/>
      <c r="AK950" s="755" t="n"/>
      <c r="AL950" s="755" t="n"/>
      <c r="AM950" s="755" t="n"/>
      <c r="AN950" s="755" t="n"/>
      <c r="AO950" s="755" t="n"/>
      <c r="AP950" s="740" t="inlineStr">
        <is>
          <t>Pullback</t>
        </is>
      </c>
      <c r="AQ950" s="740" t="inlineStr">
        <is>
          <t>15MIN</t>
        </is>
      </c>
      <c r="AR950" s="740" t="inlineStr">
        <is>
          <t>No</t>
        </is>
      </c>
      <c r="AS950" s="755" t="n"/>
      <c r="AT950" s="755" t="n"/>
      <c r="AU950" s="755" t="n"/>
      <c r="AV950" s="755" t="n"/>
      <c r="AW950" s="740" t="inlineStr">
        <is>
          <t>trade</t>
        </is>
      </c>
      <c r="AX950" s="756" t="inlineStr">
        <is>
          <t>sig:6423c7bc1bf75a53d7c21f92</t>
        </is>
      </c>
    </row>
    <row r="951" ht="15" customHeight="1">
      <c r="A951" s="716" t="inlineStr">
        <is>
          <t>F587</t>
        </is>
      </c>
      <c r="B951" s="717" t="n">
        <v>43633.95486111111</v>
      </c>
      <c r="C951" s="718" t="n">
        <v>43633.95625</v>
      </c>
      <c r="D951" s="719" t="inlineStr">
        <is>
          <t>PEPPERSTONE DEMO</t>
        </is>
      </c>
      <c r="E951" s="719" t="inlineStr">
        <is>
          <t>USDCAD</t>
        </is>
      </c>
      <c r="F951" s="719" t="inlineStr">
        <is>
          <t>SELL</t>
        </is>
      </c>
      <c r="G951" s="720" t="n">
        <v>0.1</v>
      </c>
      <c r="H951" s="720" t="n">
        <v>1.3409</v>
      </c>
      <c r="I951" s="720" t="n">
        <v>1.34138</v>
      </c>
      <c r="J951" s="721" t="n">
        <v>1.3413</v>
      </c>
      <c r="K951" s="760" t="n">
        <v>0.0002983071071667954</v>
      </c>
      <c r="L951" s="721" t="n">
        <v>1.3401</v>
      </c>
      <c r="M951" s="760" t="n">
        <v>0.0005966142143335908</v>
      </c>
      <c r="N951" s="788" t="n"/>
      <c r="O951" s="762" t="n">
        <v>-4.35</v>
      </c>
      <c r="P951" s="725" t="n">
        <v>-0.008621373077532898</v>
      </c>
      <c r="Q951" s="726" t="n">
        <v>-1.200000000000222</v>
      </c>
      <c r="R951" s="764" t="n">
        <v>500.21</v>
      </c>
      <c r="S951" s="719" t="inlineStr">
        <is>
          <t>2M 0S</t>
        </is>
      </c>
      <c r="T951" s="728" t="n"/>
      <c r="U951" s="729" t="n"/>
      <c r="V951" s="730" t="n"/>
      <c r="W951" s="731" t="n"/>
      <c r="X951" s="732" t="n"/>
      <c r="Y951" s="728" t="n"/>
      <c r="Z951" s="729" t="n"/>
      <c r="AA951" s="730" t="n"/>
      <c r="AB951" s="731" t="n"/>
      <c r="AC951" s="732" t="n"/>
      <c r="AD951" s="719" t="inlineStr">
        <is>
          <t>No</t>
        </is>
      </c>
      <c r="AE951" s="733" t="n"/>
      <c r="AF951" s="733" t="n"/>
      <c r="AG951" s="733" t="n"/>
      <c r="AH951" s="733" t="n"/>
      <c r="AI951" s="719" t="inlineStr">
        <is>
          <t>Limit</t>
        </is>
      </c>
      <c r="AJ951" s="733" t="n"/>
      <c r="AK951" s="733" t="n"/>
      <c r="AL951" s="733" t="n"/>
      <c r="AM951" s="733" t="n"/>
      <c r="AN951" s="733" t="n"/>
      <c r="AO951" s="733" t="n"/>
      <c r="AP951" s="719" t="inlineStr">
        <is>
          <t>Pullback</t>
        </is>
      </c>
      <c r="AQ951" s="719" t="inlineStr">
        <is>
          <t>15MIN</t>
        </is>
      </c>
      <c r="AR951" s="719" t="inlineStr">
        <is>
          <t>No</t>
        </is>
      </c>
      <c r="AS951" s="733" t="n"/>
      <c r="AT951" s="733" t="n"/>
      <c r="AU951" s="733" t="n"/>
      <c r="AV951" s="733" t="n"/>
      <c r="AW951" s="719" t="inlineStr">
        <is>
          <t>trade</t>
        </is>
      </c>
      <c r="AX951" s="734" t="inlineStr">
        <is>
          <t>sig:bb2c993e08cc33b6dc60b08b</t>
        </is>
      </c>
    </row>
    <row r="952" ht="15" customHeight="1">
      <c r="A952" s="737" t="inlineStr">
        <is>
          <t>F586</t>
        </is>
      </c>
      <c r="B952" s="738" t="n">
        <v>43630.14652777778</v>
      </c>
      <c r="C952" s="739" t="n">
        <v>43630.1625</v>
      </c>
      <c r="D952" s="740" t="inlineStr">
        <is>
          <t>PEPPERSTONE DEMO</t>
        </is>
      </c>
      <c r="E952" s="740" t="inlineStr">
        <is>
          <t>USDCAD</t>
        </is>
      </c>
      <c r="F952" s="740" t="inlineStr">
        <is>
          <t>SELL</t>
        </is>
      </c>
      <c r="G952" s="742" t="n">
        <v>0.1</v>
      </c>
      <c r="H952" s="742" t="n">
        <v>1.3327</v>
      </c>
      <c r="I952" s="742" t="n">
        <v>1.33191</v>
      </c>
      <c r="J952" s="743" t="n">
        <v>1.3331</v>
      </c>
      <c r="K952" s="765" t="n">
        <v>0.0003001425677196338</v>
      </c>
      <c r="L952" s="743" t="n">
        <v>1.3319</v>
      </c>
      <c r="M952" s="765" t="n">
        <v>0.0006002851354392675</v>
      </c>
      <c r="N952" s="796" t="n"/>
      <c r="O952" s="767" t="n">
        <v>7.82</v>
      </c>
      <c r="P952" s="747" t="n">
        <v>0.01574264202600958</v>
      </c>
      <c r="Q952" s="748" t="n">
        <v>1.975000000000389</v>
      </c>
      <c r="R952" s="769" t="n">
        <v>504.56</v>
      </c>
      <c r="S952" s="740" t="inlineStr">
        <is>
          <t>23M 0S</t>
        </is>
      </c>
      <c r="T952" s="738" t="n">
        <v>43630.15625</v>
      </c>
      <c r="U952" s="809" t="inlineStr">
        <is>
          <t>14M 0S</t>
        </is>
      </c>
      <c r="V952" s="752" t="n"/>
      <c r="W952" s="753" t="n"/>
      <c r="X952" s="754" t="n"/>
      <c r="Y952" s="750" t="n"/>
      <c r="Z952" s="751" t="n"/>
      <c r="AA952" s="752" t="n"/>
      <c r="AB952" s="753" t="n"/>
      <c r="AC952" s="754" t="n"/>
      <c r="AD952" s="740" t="inlineStr">
        <is>
          <t>No</t>
        </is>
      </c>
      <c r="AE952" s="755" t="n"/>
      <c r="AF952" s="755" t="n"/>
      <c r="AG952" s="755" t="n"/>
      <c r="AH952" s="755" t="n"/>
      <c r="AI952" s="740" t="inlineStr">
        <is>
          <t>Limit</t>
        </is>
      </c>
      <c r="AJ952" s="755" t="n"/>
      <c r="AK952" s="755" t="n"/>
      <c r="AL952" s="755" t="n"/>
      <c r="AM952" s="755" t="n"/>
      <c r="AN952" s="755" t="n"/>
      <c r="AO952" s="755" t="n"/>
      <c r="AP952" s="740" t="inlineStr">
        <is>
          <t>Pullback</t>
        </is>
      </c>
      <c r="AQ952" s="740" t="inlineStr">
        <is>
          <t>15MIN</t>
        </is>
      </c>
      <c r="AR952" s="740" t="inlineStr">
        <is>
          <t>No</t>
        </is>
      </c>
      <c r="AS952" s="755" t="n"/>
      <c r="AT952" s="755" t="n"/>
      <c r="AU952" s="755" t="n"/>
      <c r="AV952" s="755" t="n"/>
      <c r="AW952" s="740" t="inlineStr">
        <is>
          <t>trade</t>
        </is>
      </c>
      <c r="AX952" s="756" t="inlineStr">
        <is>
          <t>sig:e5d6ee5aa0a1cd3f7e8d39cf</t>
        </is>
      </c>
    </row>
    <row r="953" ht="15" customHeight="1">
      <c r="A953" s="716" t="inlineStr">
        <is>
          <t>F585</t>
        </is>
      </c>
      <c r="B953" s="717" t="n">
        <v>43630.02152777778</v>
      </c>
      <c r="C953" s="718" t="n">
        <v>43630.02222222222</v>
      </c>
      <c r="D953" s="719" t="inlineStr">
        <is>
          <t>PEPPERSTONE DEMO</t>
        </is>
      </c>
      <c r="E953" s="719" t="inlineStr">
        <is>
          <t>USDCAD</t>
        </is>
      </c>
      <c r="F953" s="719" t="inlineStr">
        <is>
          <t>SELL</t>
        </is>
      </c>
      <c r="G953" s="735" t="n">
        <v>0.05</v>
      </c>
      <c r="H953" s="720" t="n">
        <v>1.3328</v>
      </c>
      <c r="I953" s="720" t="n">
        <v>1.33341</v>
      </c>
      <c r="J953" s="721" t="n">
        <v>1.3334</v>
      </c>
      <c r="K953" s="760" t="n">
        <v>0.000450180072028762</v>
      </c>
      <c r="L953" s="721" t="n">
        <v>1.3298</v>
      </c>
      <c r="M953" s="722" t="n">
        <v>0.002250900360143976</v>
      </c>
      <c r="N953" s="788" t="n"/>
      <c r="O953" s="762" t="n">
        <v>-3.26</v>
      </c>
      <c r="P953" s="725" t="n">
        <v>-0.006520000000000001</v>
      </c>
      <c r="Q953" s="726" t="n">
        <v>-1.016666666666778</v>
      </c>
      <c r="R953" s="764" t="n">
        <v>496.74</v>
      </c>
      <c r="S953" s="719" t="inlineStr">
        <is>
          <t>1M 0S</t>
        </is>
      </c>
      <c r="T953" s="728" t="n"/>
      <c r="U953" s="729" t="n"/>
      <c r="V953" s="730" t="n"/>
      <c r="W953" s="731" t="n"/>
      <c r="X953" s="732" t="n"/>
      <c r="Y953" s="728" t="n"/>
      <c r="Z953" s="729" t="n"/>
      <c r="AA953" s="730" t="n"/>
      <c r="AB953" s="731" t="n"/>
      <c r="AC953" s="732" t="n"/>
      <c r="AD953" s="719" t="inlineStr">
        <is>
          <t>No</t>
        </is>
      </c>
      <c r="AE953" s="733" t="n"/>
      <c r="AF953" s="733" t="n"/>
      <c r="AG953" s="733" t="n"/>
      <c r="AH953" s="733" t="n"/>
      <c r="AI953" s="719" t="inlineStr">
        <is>
          <t>Limit</t>
        </is>
      </c>
      <c r="AJ953" s="733" t="n"/>
      <c r="AK953" s="733" t="n"/>
      <c r="AL953" s="733" t="n"/>
      <c r="AM953" s="733" t="n"/>
      <c r="AN953" s="733" t="n"/>
      <c r="AO953" s="733" t="n"/>
      <c r="AP953" s="719" t="inlineStr">
        <is>
          <t>Pullback</t>
        </is>
      </c>
      <c r="AQ953" s="719" t="inlineStr">
        <is>
          <t>15MIN</t>
        </is>
      </c>
      <c r="AR953" s="719" t="inlineStr">
        <is>
          <t>No</t>
        </is>
      </c>
      <c r="AS953" s="733" t="n"/>
      <c r="AT953" s="733" t="n"/>
      <c r="AU953" s="733" t="n"/>
      <c r="AV953" s="733" t="n"/>
      <c r="AW953" s="719" t="inlineStr">
        <is>
          <t>trade</t>
        </is>
      </c>
      <c r="AX953" s="734" t="inlineStr">
        <is>
          <t>sig:40c103b32dce967624693cbc</t>
        </is>
      </c>
    </row>
    <row r="954" ht="15" customHeight="1">
      <c r="A954" s="42" t="inlineStr">
        <is>
          <t>F584</t>
        </is>
      </c>
      <c r="B954" s="770" t="n">
        <v>43629.97916666666</v>
      </c>
      <c r="C954" s="771" t="n">
        <v>43630.00694444445</v>
      </c>
      <c r="D954" s="12" t="inlineStr">
        <is>
          <t>PEPPERSTONE DEMO</t>
        </is>
      </c>
      <c r="E954" s="12" t="inlineStr">
        <is>
          <t>USDCAD</t>
        </is>
      </c>
      <c r="F954" s="12" t="inlineStr">
        <is>
          <t>SELL</t>
        </is>
      </c>
      <c r="G954" s="272" t="n">
        <v>0.04</v>
      </c>
      <c r="H954" s="262" t="n">
        <v>1.33264</v>
      </c>
      <c r="I954" s="262" t="n">
        <v>1.33264</v>
      </c>
      <c r="J954" s="263" t="n">
        <v>1.3333</v>
      </c>
      <c r="K954" s="273" t="n">
        <v>0.0004952575339175493</v>
      </c>
      <c r="L954" s="263" t="n">
        <v>1.3298</v>
      </c>
      <c r="M954" s="36" t="n">
        <v>0.002131108176251616</v>
      </c>
      <c r="N954" s="779" t="n"/>
      <c r="O954" s="773" t="n">
        <v>0</v>
      </c>
      <c r="P954" s="3" t="n">
        <v>0</v>
      </c>
      <c r="Q954" s="51" t="n">
        <v>0</v>
      </c>
      <c r="R954" s="54" t="n">
        <v>500</v>
      </c>
      <c r="S954" s="12" t="inlineStr">
        <is>
          <t>40M 0S</t>
        </is>
      </c>
      <c r="T954" s="770" t="n">
        <v>43630.00208333333</v>
      </c>
      <c r="U954" s="4" t="inlineStr">
        <is>
          <t>33M 0S</t>
        </is>
      </c>
      <c r="V954" s="264" t="n"/>
      <c r="W954" s="9" t="n"/>
      <c r="X954" s="46" t="n"/>
      <c r="Y954" s="774" t="n"/>
      <c r="Z954" s="6" t="n"/>
      <c r="AA954" s="264" t="n"/>
      <c r="AB954" s="9" t="n"/>
      <c r="AC954" s="46" t="n"/>
      <c r="AD954" s="12" t="inlineStr">
        <is>
          <t>No</t>
        </is>
      </c>
      <c r="AE954" s="45" t="n"/>
      <c r="AF954" s="45" t="n"/>
      <c r="AG954" s="45" t="n"/>
      <c r="AH954" s="45" t="n"/>
      <c r="AI954" s="12" t="inlineStr">
        <is>
          <t>Limit</t>
        </is>
      </c>
      <c r="AJ954" s="45" t="n"/>
      <c r="AK954" s="45" t="n"/>
      <c r="AL954" s="45" t="n"/>
      <c r="AM954" s="45" t="n"/>
      <c r="AN954" s="45" t="n"/>
      <c r="AO954" s="45" t="n"/>
      <c r="AP954" s="12" t="inlineStr">
        <is>
          <t>Pullback</t>
        </is>
      </c>
      <c r="AQ954" s="12" t="inlineStr">
        <is>
          <t>15MIN</t>
        </is>
      </c>
      <c r="AR954" s="12" t="inlineStr">
        <is>
          <t>Yes</t>
        </is>
      </c>
      <c r="AS954" s="45" t="n"/>
      <c r="AT954" s="45" t="n"/>
      <c r="AU954" s="45" t="n"/>
      <c r="AV954" s="45" t="n"/>
      <c r="AW954" s="12" t="inlineStr">
        <is>
          <t>trade</t>
        </is>
      </c>
      <c r="AX954" s="57" t="inlineStr">
        <is>
          <t>sig:c1e8c5d175c6c014d6690767</t>
        </is>
      </c>
    </row>
    <row r="955" ht="15" customHeight="1">
      <c r="A955" s="42" t="n"/>
      <c r="B955" s="770" t="n">
        <v>43617</v>
      </c>
      <c r="C955" s="771" t="n">
        <v>43617</v>
      </c>
      <c r="D955" s="12" t="inlineStr">
        <is>
          <t>PEPPERSTONE DEMO</t>
        </is>
      </c>
      <c r="E955" s="12" t="inlineStr">
        <is>
          <t>CASHFLOW</t>
        </is>
      </c>
      <c r="F955" s="12" t="inlineStr">
        <is>
          <t>DEPOSIT</t>
        </is>
      </c>
      <c r="G955" s="262" t="n"/>
      <c r="H955" s="262" t="n"/>
      <c r="I955" s="262" t="n"/>
      <c r="J955" s="263" t="n"/>
      <c r="K955" s="36" t="n"/>
      <c r="L955" s="263" t="n"/>
      <c r="M955" s="36" t="n"/>
      <c r="N955" s="779" t="n"/>
      <c r="O955" s="773" t="n"/>
      <c r="P955" s="3" t="n"/>
      <c r="Q955" s="51" t="n"/>
      <c r="R955" s="54" t="n">
        <v>500</v>
      </c>
      <c r="S955" s="12" t="n"/>
      <c r="T955" s="774" t="n"/>
      <c r="U955" s="6" t="n"/>
      <c r="V955" s="264" t="n"/>
      <c r="W955" s="9" t="n"/>
      <c r="X955" s="46" t="n"/>
      <c r="Y955" s="774" t="n"/>
      <c r="Z955" s="6" t="n"/>
      <c r="AA955" s="264" t="n"/>
      <c r="AB955" s="9" t="n"/>
      <c r="AC955" s="46" t="n"/>
      <c r="AD955" s="12" t="inlineStr">
        <is>
          <t>No</t>
        </is>
      </c>
      <c r="AE955" s="45" t="n"/>
      <c r="AF955" s="45" t="n"/>
      <c r="AG955" s="45" t="n"/>
      <c r="AH955" s="45" t="n"/>
      <c r="AI955" s="12" t="n"/>
      <c r="AJ955" s="45" t="n"/>
      <c r="AK955" s="45" t="n"/>
      <c r="AL955" s="45" t="n"/>
      <c r="AM955" s="45" t="n"/>
      <c r="AN955" s="45" t="n"/>
      <c r="AO955" s="45" t="n"/>
      <c r="AP955" s="12" t="n"/>
      <c r="AQ955" s="12" t="n"/>
      <c r="AR955" s="12" t="n"/>
      <c r="AS955" s="56" t="inlineStr">
        <is>
          <t>Deposit 500.0 AUD. Source: user_txt. Imported from account_cashflows.xlsx row 38.</t>
        </is>
      </c>
      <c r="AT955" s="45" t="n"/>
      <c r="AU955" s="12" t="n">
        <v>500</v>
      </c>
      <c r="AV955" s="12" t="inlineStr">
        <is>
          <t>AUD</t>
        </is>
      </c>
      <c r="AW955" s="12" t="inlineStr">
        <is>
          <t>cashflow</t>
        </is>
      </c>
      <c r="AX955" s="57" t="inlineStr">
        <is>
          <t>cashflow:PEPPERSTONE DEMO:2019-06-01T00:00:00:24</t>
        </is>
      </c>
    </row>
    <row r="956" ht="15" customHeight="1">
      <c r="A956" s="42" t="n"/>
      <c r="B956" s="770" t="n">
        <v>43568</v>
      </c>
      <c r="C956" s="771" t="n">
        <v>43568</v>
      </c>
      <c r="D956" s="12" t="inlineStr">
        <is>
          <t>PEPPERSTONE DEMO</t>
        </is>
      </c>
      <c r="E956" s="12" t="inlineStr">
        <is>
          <t>CASHFLOW</t>
        </is>
      </c>
      <c r="F956" s="12" t="inlineStr">
        <is>
          <t>WITHDRAWAL</t>
        </is>
      </c>
      <c r="G956" s="262" t="n"/>
      <c r="H956" s="262" t="n"/>
      <c r="I956" s="262" t="n"/>
      <c r="J956" s="263" t="n"/>
      <c r="K956" s="36" t="n"/>
      <c r="L956" s="263" t="n"/>
      <c r="M956" s="36" t="n"/>
      <c r="N956" s="779" t="n"/>
      <c r="O956" s="773" t="n"/>
      <c r="P956" s="3" t="n"/>
      <c r="Q956" s="51" t="n"/>
      <c r="R956" s="54" t="n">
        <v>0</v>
      </c>
      <c r="S956" s="12" t="n"/>
      <c r="T956" s="774" t="n"/>
      <c r="U956" s="6" t="n"/>
      <c r="V956" s="264" t="n"/>
      <c r="W956" s="9" t="n"/>
      <c r="X956" s="46" t="n"/>
      <c r="Y956" s="774" t="n"/>
      <c r="Z956" s="6" t="n"/>
      <c r="AA956" s="264" t="n"/>
      <c r="AB956" s="9" t="n"/>
      <c r="AC956" s="46" t="n"/>
      <c r="AD956" s="12" t="inlineStr">
        <is>
          <t>No</t>
        </is>
      </c>
      <c r="AE956" s="45" t="n"/>
      <c r="AF956" s="45" t="n"/>
      <c r="AG956" s="45" t="n"/>
      <c r="AH956" s="45" t="n"/>
      <c r="AI956" s="12" t="n"/>
      <c r="AJ956" s="45" t="n"/>
      <c r="AK956" s="45" t="n"/>
      <c r="AL956" s="45" t="n"/>
      <c r="AM956" s="45" t="n"/>
      <c r="AN956" s="45" t="n"/>
      <c r="AO956" s="45" t="n"/>
      <c r="AP956" s="12" t="n"/>
      <c r="AQ956" s="12" t="n"/>
      <c r="AR956" s="12" t="n"/>
      <c r="AS956" s="56" t="inlineStr">
        <is>
          <t>Withdrawal -454.14 AUD. Source: user_txt. Imported from account_cashflows.xlsx row 37.</t>
        </is>
      </c>
      <c r="AT956" s="45" t="n"/>
      <c r="AU956" s="12" t="n">
        <v>0</v>
      </c>
      <c r="AV956" s="12" t="inlineStr">
        <is>
          <t>AUD</t>
        </is>
      </c>
      <c r="AW956" s="12" t="inlineStr">
        <is>
          <t>cashflow</t>
        </is>
      </c>
      <c r="AX956" s="57" t="inlineStr">
        <is>
          <t>cashflow:PEPPERSTONE DEMO:2019-04-13T00:00:00:23</t>
        </is>
      </c>
    </row>
    <row r="957" ht="15" customHeight="1">
      <c r="A957" s="716" t="inlineStr">
        <is>
          <t>F581</t>
        </is>
      </c>
      <c r="B957" s="717" t="n">
        <v>43566.58472222222</v>
      </c>
      <c r="C957" s="718" t="n">
        <v>43566.74166666667</v>
      </c>
      <c r="D957" s="719" t="inlineStr">
        <is>
          <t>PEPPERSTONE DEMO</t>
        </is>
      </c>
      <c r="E957" s="719" t="inlineStr">
        <is>
          <t>USDCAD</t>
        </is>
      </c>
      <c r="F957" s="719" t="inlineStr">
        <is>
          <t>SELL</t>
        </is>
      </c>
      <c r="G957" s="735" t="n">
        <v>0.03</v>
      </c>
      <c r="H957" s="720" t="n">
        <v>1.3341</v>
      </c>
      <c r="I957" s="720" t="n">
        <v>1.33538</v>
      </c>
      <c r="J957" s="721" t="n">
        <v>1.3353</v>
      </c>
      <c r="K957" s="760" t="n">
        <v>0.0008994827973914008</v>
      </c>
      <c r="L957" s="721" t="n">
        <v>1.3305</v>
      </c>
      <c r="M957" s="722" t="n">
        <v>0.002698448392174535</v>
      </c>
      <c r="N957" s="788" t="n"/>
      <c r="O957" s="762" t="n">
        <v>-3.93</v>
      </c>
      <c r="P957" s="725" t="n">
        <v>-0.004571893904141462</v>
      </c>
      <c r="Q957" s="726" t="n">
        <v>-1.066666666666741</v>
      </c>
      <c r="R957" s="764" t="n">
        <v>855.67</v>
      </c>
      <c r="S957" s="719" t="inlineStr">
        <is>
          <t>3H 46M 0S</t>
        </is>
      </c>
      <c r="T957" s="728" t="n"/>
      <c r="U957" s="729" t="n"/>
      <c r="V957" s="730" t="n"/>
      <c r="W957" s="731" t="n"/>
      <c r="X957" s="732" t="n"/>
      <c r="Y957" s="728" t="n"/>
      <c r="Z957" s="729" t="n"/>
      <c r="AA957" s="730" t="n"/>
      <c r="AB957" s="731" t="n"/>
      <c r="AC957" s="732" t="n"/>
      <c r="AD957" s="719" t="inlineStr">
        <is>
          <t>No</t>
        </is>
      </c>
      <c r="AE957" s="733" t="n"/>
      <c r="AF957" s="733" t="n"/>
      <c r="AG957" s="733" t="n"/>
      <c r="AH957" s="733" t="n"/>
      <c r="AI957" s="719" t="inlineStr">
        <is>
          <t>Limit</t>
        </is>
      </c>
      <c r="AJ957" s="733" t="n"/>
      <c r="AK957" s="733" t="n"/>
      <c r="AL957" s="733" t="n"/>
      <c r="AM957" s="733" t="n"/>
      <c r="AN957" s="733" t="n"/>
      <c r="AO957" s="733" t="n"/>
      <c r="AP957" s="719" t="inlineStr">
        <is>
          <t>Pullback</t>
        </is>
      </c>
      <c r="AQ957" s="719" t="inlineStr">
        <is>
          <t>1H</t>
        </is>
      </c>
      <c r="AR957" s="719" t="inlineStr">
        <is>
          <t>No</t>
        </is>
      </c>
      <c r="AS957" s="733" t="n"/>
      <c r="AT957" s="733" t="n"/>
      <c r="AU957" s="733" t="n"/>
      <c r="AV957" s="733" t="n"/>
      <c r="AW957" s="719" t="inlineStr">
        <is>
          <t>trade</t>
        </is>
      </c>
      <c r="AX957" s="734" t="inlineStr">
        <is>
          <t>sig:5e5404fa11cf07d5d28213ec</t>
        </is>
      </c>
    </row>
    <row r="958" ht="15" customHeight="1">
      <c r="A958" s="716" t="inlineStr">
        <is>
          <t>F173</t>
        </is>
      </c>
      <c r="B958" s="717" t="n">
        <v>43566.09730324074</v>
      </c>
      <c r="C958" s="718" t="n">
        <v>43566.0974074074</v>
      </c>
      <c r="D958" s="719" t="inlineStr">
        <is>
          <t>PEPPERSTONE DEMO</t>
        </is>
      </c>
      <c r="E958" s="719" t="inlineStr">
        <is>
          <t>GBPUSD</t>
        </is>
      </c>
      <c r="F958" s="719" t="inlineStr">
        <is>
          <t>SELL</t>
        </is>
      </c>
      <c r="G958" s="735" t="n">
        <v>0.01</v>
      </c>
      <c r="H958" s="720" t="n">
        <v>1.3091</v>
      </c>
      <c r="I958" s="720" t="n">
        <v>1.30942</v>
      </c>
      <c r="J958" s="721" t="n">
        <v>1.3104</v>
      </c>
      <c r="K958" s="760" t="n">
        <v>0.0009930486593843701</v>
      </c>
      <c r="L958" s="721" t="n">
        <v>1.3089</v>
      </c>
      <c r="M958" s="760" t="n">
        <v>0.0001527767168283386</v>
      </c>
      <c r="N958" s="788" t="n"/>
      <c r="O958" s="762" t="n">
        <v>-0.43</v>
      </c>
      <c r="P958" s="763" t="n">
        <v>-0.0004999825587479507</v>
      </c>
      <c r="Q958" s="726" t="n">
        <v>-0.2461538461539066</v>
      </c>
      <c r="R958" s="764" t="n">
        <v>859.5999999999999</v>
      </c>
      <c r="S958" s="719" t="inlineStr">
        <is>
          <t>9S</t>
        </is>
      </c>
      <c r="T958" s="728" t="n"/>
      <c r="U958" s="729" t="n"/>
      <c r="V958" s="730" t="n"/>
      <c r="W958" s="731" t="n"/>
      <c r="X958" s="732" t="n"/>
      <c r="Y958" s="728" t="n"/>
      <c r="Z958" s="729" t="n"/>
      <c r="AA958" s="730" t="n"/>
      <c r="AB958" s="731" t="n"/>
      <c r="AC958" s="732" t="n"/>
      <c r="AD958" s="719" t="inlineStr">
        <is>
          <t>No</t>
        </is>
      </c>
      <c r="AE958" s="733" t="n"/>
      <c r="AF958" s="733" t="n"/>
      <c r="AG958" s="733" t="n"/>
      <c r="AH958" s="733" t="n"/>
      <c r="AI958" s="719" t="inlineStr">
        <is>
          <t>Limit</t>
        </is>
      </c>
      <c r="AJ958" s="733" t="n"/>
      <c r="AK958" s="733" t="n"/>
      <c r="AL958" s="733" t="n"/>
      <c r="AM958" s="733" t="n"/>
      <c r="AN958" s="733" t="n"/>
      <c r="AO958" s="733" t="n"/>
      <c r="AP958" s="719" t="inlineStr">
        <is>
          <t>Pullback</t>
        </is>
      </c>
      <c r="AQ958" s="719" t="n"/>
      <c r="AR958" s="719" t="inlineStr">
        <is>
          <t>No</t>
        </is>
      </c>
      <c r="AS958" s="733" t="n"/>
      <c r="AT958" s="733" t="n"/>
      <c r="AU958" s="733" t="n"/>
      <c r="AV958" s="733" t="n"/>
      <c r="AW958" s="719" t="inlineStr">
        <is>
          <t>trade</t>
        </is>
      </c>
      <c r="AX958" s="734" t="inlineStr">
        <is>
          <t>sig:84d0b01d0d839bb5b96d2ef6</t>
        </is>
      </c>
    </row>
    <row r="959" ht="15" customHeight="1">
      <c r="A959" s="716" t="inlineStr">
        <is>
          <t>F580</t>
        </is>
      </c>
      <c r="B959" s="717" t="n">
        <v>43564.59513888889</v>
      </c>
      <c r="C959" s="718" t="n">
        <v>43564.74375</v>
      </c>
      <c r="D959" s="719" t="inlineStr">
        <is>
          <t>PEPPERSTONE DEMO</t>
        </is>
      </c>
      <c r="E959" s="719" t="inlineStr">
        <is>
          <t>USDJPY</t>
        </is>
      </c>
      <c r="F959" s="719" t="inlineStr">
        <is>
          <t>BUY</t>
        </is>
      </c>
      <c r="G959" s="735" t="n">
        <v>0.03</v>
      </c>
      <c r="H959" s="720" t="n">
        <v>111.38</v>
      </c>
      <c r="I959" s="720" t="n">
        <v>111.271</v>
      </c>
      <c r="J959" s="721" t="n">
        <v>111.27</v>
      </c>
      <c r="K959" s="760" t="n">
        <v>0.0009876099838391043</v>
      </c>
      <c r="L959" s="721" t="n">
        <v>111.6</v>
      </c>
      <c r="M959" s="722" t="n">
        <v>0.001975219967678209</v>
      </c>
      <c r="N959" s="788" t="n"/>
      <c r="O959" s="762" t="n">
        <v>-4.15</v>
      </c>
      <c r="P959" s="725" t="n">
        <v>-0.004802240274016989</v>
      </c>
      <c r="Q959" s="726" t="n">
        <v>-0.9909090909090474</v>
      </c>
      <c r="R959" s="764" t="n">
        <v>860.0299999999999</v>
      </c>
      <c r="S959" s="719" t="inlineStr">
        <is>
          <t>3H 34M 0S</t>
        </is>
      </c>
      <c r="T959" s="728" t="n"/>
      <c r="U959" s="729" t="n"/>
      <c r="V959" s="730" t="n"/>
      <c r="W959" s="731" t="n"/>
      <c r="X959" s="732" t="n"/>
      <c r="Y959" s="728" t="n"/>
      <c r="Z959" s="729" t="n"/>
      <c r="AA959" s="730" t="n"/>
      <c r="AB959" s="731" t="n"/>
      <c r="AC959" s="732" t="n"/>
      <c r="AD959" s="719" t="inlineStr">
        <is>
          <t>No</t>
        </is>
      </c>
      <c r="AE959" s="733" t="n"/>
      <c r="AF959" s="733" t="n"/>
      <c r="AG959" s="733" t="n"/>
      <c r="AH959" s="733" t="n"/>
      <c r="AI959" s="719" t="inlineStr">
        <is>
          <t>Limit</t>
        </is>
      </c>
      <c r="AJ959" s="733" t="n"/>
      <c r="AK959" s="733" t="n"/>
      <c r="AL959" s="733" t="n"/>
      <c r="AM959" s="733" t="n"/>
      <c r="AN959" s="733" t="n"/>
      <c r="AO959" s="733" t="n"/>
      <c r="AP959" s="719" t="inlineStr">
        <is>
          <t>Pullback</t>
        </is>
      </c>
      <c r="AQ959" s="719" t="inlineStr">
        <is>
          <t>1H</t>
        </is>
      </c>
      <c r="AR959" s="719" t="inlineStr">
        <is>
          <t>No</t>
        </is>
      </c>
      <c r="AS959" s="733" t="n"/>
      <c r="AT959" s="733" t="n"/>
      <c r="AU959" s="733" t="n"/>
      <c r="AV959" s="733" t="n"/>
      <c r="AW959" s="719" t="inlineStr">
        <is>
          <t>trade</t>
        </is>
      </c>
      <c r="AX959" s="734" t="inlineStr">
        <is>
          <t>sig:d7facf43b8dd0557f1606029</t>
        </is>
      </c>
    </row>
    <row r="960" ht="15" customHeight="1">
      <c r="A960" s="716" t="inlineStr">
        <is>
          <t>F579</t>
        </is>
      </c>
      <c r="B960" s="717" t="n">
        <v>43560.08472222222</v>
      </c>
      <c r="C960" s="718" t="n">
        <v>43560.16041666667</v>
      </c>
      <c r="D960" s="719" t="inlineStr">
        <is>
          <t>PEPPERSTONE DEMO</t>
        </is>
      </c>
      <c r="E960" s="719" t="inlineStr">
        <is>
          <t>AUDUSD</t>
        </is>
      </c>
      <c r="F960" s="719" t="inlineStr">
        <is>
          <t>SELL</t>
        </is>
      </c>
      <c r="G960" s="735" t="n">
        <v>0.03</v>
      </c>
      <c r="H960" s="720" t="n">
        <v>0.7112000000000001</v>
      </c>
      <c r="I960" s="720" t="n">
        <v>0.71213</v>
      </c>
      <c r="J960" s="721" t="n">
        <v>0.7121</v>
      </c>
      <c r="K960" s="722" t="n">
        <v>0.00126546681664778</v>
      </c>
      <c r="L960" s="721" t="n">
        <v>0.7085</v>
      </c>
      <c r="M960" s="722" t="n">
        <v>0.003796400449943807</v>
      </c>
      <c r="N960" s="788" t="n"/>
      <c r="O960" s="762" t="n">
        <v>-3.79</v>
      </c>
      <c r="P960" s="725" t="n">
        <v>-0.004366510363261404</v>
      </c>
      <c r="Q960" s="726" t="n">
        <v>-1.033333333333432</v>
      </c>
      <c r="R960" s="764" t="n">
        <v>864.1799999999998</v>
      </c>
      <c r="S960" s="719" t="inlineStr">
        <is>
          <t>1H 49M 0S</t>
        </is>
      </c>
      <c r="T960" s="728" t="n"/>
      <c r="U960" s="729" t="n"/>
      <c r="V960" s="730" t="n"/>
      <c r="W960" s="731" t="n"/>
      <c r="X960" s="732" t="n"/>
      <c r="Y960" s="728" t="n"/>
      <c r="Z960" s="729" t="n"/>
      <c r="AA960" s="730" t="n"/>
      <c r="AB960" s="731" t="n"/>
      <c r="AC960" s="732" t="n"/>
      <c r="AD960" s="719" t="inlineStr">
        <is>
          <t>No</t>
        </is>
      </c>
      <c r="AE960" s="733" t="n"/>
      <c r="AF960" s="733" t="n"/>
      <c r="AG960" s="733" t="n"/>
      <c r="AH960" s="733" t="n"/>
      <c r="AI960" s="719" t="inlineStr">
        <is>
          <t>Limit</t>
        </is>
      </c>
      <c r="AJ960" s="733" t="n"/>
      <c r="AK960" s="733" t="n"/>
      <c r="AL960" s="733" t="n"/>
      <c r="AM960" s="733" t="n"/>
      <c r="AN960" s="733" t="n"/>
      <c r="AO960" s="733" t="n"/>
      <c r="AP960" s="719" t="inlineStr">
        <is>
          <t>Pullback</t>
        </is>
      </c>
      <c r="AQ960" s="719" t="inlineStr">
        <is>
          <t>1H</t>
        </is>
      </c>
      <c r="AR960" s="719" t="inlineStr">
        <is>
          <t>No</t>
        </is>
      </c>
      <c r="AS960" s="733" t="n"/>
      <c r="AT960" s="733" t="n"/>
      <c r="AU960" s="733" t="n"/>
      <c r="AV960" s="733" t="n"/>
      <c r="AW960" s="719" t="inlineStr">
        <is>
          <t>trade</t>
        </is>
      </c>
      <c r="AX960" s="734" t="inlineStr">
        <is>
          <t>sig:b9e5a9c184609f32826c210a</t>
        </is>
      </c>
    </row>
    <row r="961" ht="15" customHeight="1">
      <c r="A961" s="737" t="inlineStr">
        <is>
          <t>F578</t>
        </is>
      </c>
      <c r="B961" s="738" t="n">
        <v>43554.16875</v>
      </c>
      <c r="C961" s="739" t="n">
        <v>43554.28125</v>
      </c>
      <c r="D961" s="740" t="inlineStr">
        <is>
          <t>PEPPERSTONE DEMO</t>
        </is>
      </c>
      <c r="E961" s="740" t="inlineStr">
        <is>
          <t>USDJPY</t>
        </is>
      </c>
      <c r="F961" s="740" t="inlineStr">
        <is>
          <t>BUY</t>
        </is>
      </c>
      <c r="G961" s="775" t="n">
        <v>0.05</v>
      </c>
      <c r="H961" s="742" t="n">
        <v>110.78</v>
      </c>
      <c r="I961" s="742" t="n">
        <v>110.812</v>
      </c>
      <c r="J961" s="743" t="n">
        <v>110.71</v>
      </c>
      <c r="K961" s="765" t="n">
        <v>0.0006318830113739609</v>
      </c>
      <c r="L961" s="743" t="n">
        <v>110.92</v>
      </c>
      <c r="M961" s="744" t="n">
        <v>0.001263766022747794</v>
      </c>
      <c r="N961" s="796" t="n"/>
      <c r="O961" s="767" t="n">
        <v>1.78</v>
      </c>
      <c r="P961" s="747" t="n">
        <v>0.002054976390861128</v>
      </c>
      <c r="Q961" s="748" t="n">
        <v>0.4571428571427585</v>
      </c>
      <c r="R961" s="769" t="n">
        <v>867.9699999999998</v>
      </c>
      <c r="S961" s="740" t="inlineStr">
        <is>
          <t>2H 42M 0S</t>
        </is>
      </c>
      <c r="T961" s="750" t="n"/>
      <c r="U961" s="751" t="n"/>
      <c r="V961" s="752" t="n"/>
      <c r="W961" s="753" t="n"/>
      <c r="X961" s="754" t="n"/>
      <c r="Y961" s="750" t="n"/>
      <c r="Z961" s="751" t="n"/>
      <c r="AA961" s="752" t="n"/>
      <c r="AB961" s="753" t="n"/>
      <c r="AC961" s="754" t="n"/>
      <c r="AD961" s="740" t="inlineStr">
        <is>
          <t>No</t>
        </is>
      </c>
      <c r="AE961" s="755" t="n"/>
      <c r="AF961" s="755" t="n"/>
      <c r="AG961" s="755" t="n"/>
      <c r="AH961" s="755" t="n"/>
      <c r="AI961" s="740" t="inlineStr">
        <is>
          <t>Limit</t>
        </is>
      </c>
      <c r="AJ961" s="755" t="n"/>
      <c r="AK961" s="755" t="n"/>
      <c r="AL961" s="755" t="n"/>
      <c r="AM961" s="755" t="n"/>
      <c r="AN961" s="755" t="n"/>
      <c r="AO961" s="755" t="n"/>
      <c r="AP961" s="740" t="inlineStr">
        <is>
          <t>Pullback</t>
        </is>
      </c>
      <c r="AQ961" s="740" t="inlineStr">
        <is>
          <t>15MIN</t>
        </is>
      </c>
      <c r="AR961" s="740" t="inlineStr">
        <is>
          <t>No</t>
        </is>
      </c>
      <c r="AS961" s="755" t="n"/>
      <c r="AT961" s="755" t="n"/>
      <c r="AU961" s="755" t="n"/>
      <c r="AV961" s="755" t="n"/>
      <c r="AW961" s="740" t="inlineStr">
        <is>
          <t>trade</t>
        </is>
      </c>
      <c r="AX961" s="756" t="inlineStr">
        <is>
          <t>sig:f4d3d4d7a68672f5ab50ef74</t>
        </is>
      </c>
    </row>
    <row r="962" ht="15" customHeight="1">
      <c r="A962" s="716" t="inlineStr">
        <is>
          <t>F577</t>
        </is>
      </c>
      <c r="B962" s="717" t="n">
        <v>43551.125</v>
      </c>
      <c r="C962" s="718" t="n">
        <v>43551.1375</v>
      </c>
      <c r="D962" s="719" t="inlineStr">
        <is>
          <t>PEPPERSTONE DEMO</t>
        </is>
      </c>
      <c r="E962" s="719" t="inlineStr">
        <is>
          <t>GBPUSD</t>
        </is>
      </c>
      <c r="F962" s="719" t="inlineStr">
        <is>
          <t>BUY</t>
        </is>
      </c>
      <c r="G962" s="735" t="n">
        <v>0.02</v>
      </c>
      <c r="H962" s="720" t="n">
        <v>1.3219</v>
      </c>
      <c r="I962" s="720" t="n">
        <v>1.32073</v>
      </c>
      <c r="J962" s="721" t="n">
        <v>1.3207</v>
      </c>
      <c r="K962" s="760" t="n">
        <v>0.0009077842499433315</v>
      </c>
      <c r="L962" s="721" t="n">
        <v>1.3243</v>
      </c>
      <c r="M962" s="722" t="n">
        <v>0.001815568499886495</v>
      </c>
      <c r="N962" s="788" t="n"/>
      <c r="O962" s="762" t="n">
        <v>-3.36</v>
      </c>
      <c r="P962" s="725" t="n">
        <v>-0.003864067621183371</v>
      </c>
      <c r="Q962" s="726" t="n">
        <v>-0.9750000000000232</v>
      </c>
      <c r="R962" s="764" t="n">
        <v>866.1899999999998</v>
      </c>
      <c r="S962" s="719" t="inlineStr">
        <is>
          <t>18M 0S</t>
        </is>
      </c>
      <c r="T962" s="728" t="n"/>
      <c r="U962" s="729" t="n"/>
      <c r="V962" s="730" t="n"/>
      <c r="W962" s="731" t="n"/>
      <c r="X962" s="732" t="n"/>
      <c r="Y962" s="728" t="n"/>
      <c r="Z962" s="729" t="n"/>
      <c r="AA962" s="730" t="n"/>
      <c r="AB962" s="731" t="n"/>
      <c r="AC962" s="732" t="n"/>
      <c r="AD962" s="719" t="inlineStr">
        <is>
          <t>No</t>
        </is>
      </c>
      <c r="AE962" s="733" t="n"/>
      <c r="AF962" s="733" t="n"/>
      <c r="AG962" s="733" t="n"/>
      <c r="AH962" s="733" t="n"/>
      <c r="AI962" s="719" t="inlineStr">
        <is>
          <t>Limit</t>
        </is>
      </c>
      <c r="AJ962" s="733" t="n"/>
      <c r="AK962" s="733" t="n"/>
      <c r="AL962" s="733" t="n"/>
      <c r="AM962" s="733" t="n"/>
      <c r="AN962" s="733" t="n"/>
      <c r="AO962" s="733" t="n"/>
      <c r="AP962" s="719" t="inlineStr">
        <is>
          <t>Pullback</t>
        </is>
      </c>
      <c r="AQ962" s="719" t="inlineStr">
        <is>
          <t>1H</t>
        </is>
      </c>
      <c r="AR962" s="719" t="inlineStr">
        <is>
          <t>No</t>
        </is>
      </c>
      <c r="AS962" s="733" t="n"/>
      <c r="AT962" s="733" t="n"/>
      <c r="AU962" s="733" t="n"/>
      <c r="AV962" s="733" t="n"/>
      <c r="AW962" s="719" t="inlineStr">
        <is>
          <t>trade</t>
        </is>
      </c>
      <c r="AX962" s="734" t="inlineStr">
        <is>
          <t>sig:94903d503c9afcbb69042d6b</t>
        </is>
      </c>
    </row>
    <row r="963" ht="15" customHeight="1">
      <c r="A963" s="716" t="inlineStr">
        <is>
          <t>F576</t>
        </is>
      </c>
      <c r="B963" s="717" t="n">
        <v>43547.14583333334</v>
      </c>
      <c r="C963" s="718" t="n">
        <v>43547.1625</v>
      </c>
      <c r="D963" s="719" t="inlineStr">
        <is>
          <t>PEPPERSTONE DEMO</t>
        </is>
      </c>
      <c r="E963" s="719" t="inlineStr">
        <is>
          <t>USDJPY</t>
        </is>
      </c>
      <c r="F963" s="719" t="inlineStr">
        <is>
          <t>SELL</t>
        </is>
      </c>
      <c r="G963" s="735" t="n">
        <v>0.04</v>
      </c>
      <c r="H963" s="720" t="n">
        <v>109.97</v>
      </c>
      <c r="I963" s="720" t="n">
        <v>110.053</v>
      </c>
      <c r="J963" s="721" t="n">
        <v>110.05</v>
      </c>
      <c r="K963" s="760" t="n">
        <v>0.0007274711284895725</v>
      </c>
      <c r="L963" s="721" t="n">
        <v>109.81</v>
      </c>
      <c r="M963" s="722" t="n">
        <v>0.001454942256979145</v>
      </c>
      <c r="N963" s="788" t="n"/>
      <c r="O963" s="762" t="n">
        <v>-4.11</v>
      </c>
      <c r="P963" s="725" t="n">
        <v>-0.004704347228899115</v>
      </c>
      <c r="Q963" s="726" t="n">
        <v>-1.037500000000002</v>
      </c>
      <c r="R963" s="764" t="n">
        <v>869.5499999999998</v>
      </c>
      <c r="S963" s="719" t="inlineStr">
        <is>
          <t>24M 0S</t>
        </is>
      </c>
      <c r="T963" s="717" t="n"/>
      <c r="U963" s="806" t="n"/>
      <c r="V963" s="730" t="n"/>
      <c r="W963" s="731" t="n"/>
      <c r="X963" s="732" t="n"/>
      <c r="Y963" s="728" t="n"/>
      <c r="Z963" s="729" t="n"/>
      <c r="AA963" s="730" t="n"/>
      <c r="AB963" s="731" t="n"/>
      <c r="AC963" s="732" t="n"/>
      <c r="AD963" s="719" t="inlineStr">
        <is>
          <t>No</t>
        </is>
      </c>
      <c r="AE963" s="733" t="n"/>
      <c r="AF963" s="733" t="n"/>
      <c r="AG963" s="733" t="n"/>
      <c r="AH963" s="733" t="n"/>
      <c r="AI963" s="719" t="inlineStr">
        <is>
          <t>Limit</t>
        </is>
      </c>
      <c r="AJ963" s="733" t="n"/>
      <c r="AK963" s="733" t="n"/>
      <c r="AL963" s="733" t="n"/>
      <c r="AM963" s="733" t="n"/>
      <c r="AN963" s="733" t="n"/>
      <c r="AO963" s="733" t="n"/>
      <c r="AP963" s="719" t="inlineStr">
        <is>
          <t>Pullback</t>
        </is>
      </c>
      <c r="AQ963" s="719" t="inlineStr">
        <is>
          <t>15MIN</t>
        </is>
      </c>
      <c r="AR963" s="719" t="inlineStr">
        <is>
          <t>No</t>
        </is>
      </c>
      <c r="AS963" s="733" t="n"/>
      <c r="AT963" s="733" t="n"/>
      <c r="AU963" s="733" t="n"/>
      <c r="AV963" s="733" t="n"/>
      <c r="AW963" s="719" t="inlineStr">
        <is>
          <t>trade</t>
        </is>
      </c>
      <c r="AX963" s="734" t="inlineStr">
        <is>
          <t>sig:9ac682c6f8a7fc433749c653</t>
        </is>
      </c>
    </row>
    <row r="964" ht="15" customHeight="1">
      <c r="A964" s="716" t="inlineStr">
        <is>
          <t>F575</t>
        </is>
      </c>
      <c r="B964" s="717" t="n">
        <v>43546</v>
      </c>
      <c r="C964" s="718" t="n">
        <v>43546.03541666667</v>
      </c>
      <c r="D964" s="719" t="inlineStr">
        <is>
          <t>PEPPERSTONE DEMO</t>
        </is>
      </c>
      <c r="E964" s="719" t="inlineStr">
        <is>
          <t>AUDUSD</t>
        </is>
      </c>
      <c r="F964" s="719" t="inlineStr">
        <is>
          <t>BUY</t>
        </is>
      </c>
      <c r="G964" s="735" t="n">
        <v>0.02</v>
      </c>
      <c r="H964" s="720" t="n">
        <v>0.7133</v>
      </c>
      <c r="I964" s="720" t="n">
        <v>0.71208</v>
      </c>
      <c r="J964" s="721" t="n">
        <v>0.712</v>
      </c>
      <c r="K964" s="722" t="n">
        <v>0.001822515070797811</v>
      </c>
      <c r="L964" s="721" t="n">
        <v>0.7159</v>
      </c>
      <c r="M964" s="722" t="n">
        <v>0.003645030141595311</v>
      </c>
      <c r="N964" s="761" t="n"/>
      <c r="O964" s="762" t="n">
        <v>-3.65</v>
      </c>
      <c r="P964" s="725" t="n">
        <v>-0.004160444996637449</v>
      </c>
      <c r="Q964" s="726" t="n">
        <v>-0.9384615384614806</v>
      </c>
      <c r="R964" s="764" t="n">
        <v>873.6599999999999</v>
      </c>
      <c r="S964" s="719" t="inlineStr">
        <is>
          <t>51M 0S</t>
        </is>
      </c>
      <c r="T964" s="728" t="n"/>
      <c r="U964" s="729" t="n"/>
      <c r="V964" s="730" t="n"/>
      <c r="W964" s="731" t="n"/>
      <c r="X964" s="732" t="n"/>
      <c r="Y964" s="728" t="n"/>
      <c r="Z964" s="729" t="n"/>
      <c r="AA964" s="730" t="n"/>
      <c r="AB964" s="731" t="n"/>
      <c r="AC964" s="732" t="n"/>
      <c r="AD964" s="719" t="inlineStr">
        <is>
          <t>No</t>
        </is>
      </c>
      <c r="AE964" s="733" t="n"/>
      <c r="AF964" s="733" t="n"/>
      <c r="AG964" s="733" t="n"/>
      <c r="AH964" s="733" t="n"/>
      <c r="AI964" s="719" t="inlineStr">
        <is>
          <t>Limit</t>
        </is>
      </c>
      <c r="AJ964" s="733" t="n"/>
      <c r="AK964" s="733" t="n"/>
      <c r="AL964" s="733" t="n"/>
      <c r="AM964" s="733" t="n"/>
      <c r="AN964" s="733" t="n"/>
      <c r="AO964" s="733" t="n"/>
      <c r="AP964" s="719" t="inlineStr">
        <is>
          <t>Pullback</t>
        </is>
      </c>
      <c r="AQ964" s="719" t="inlineStr">
        <is>
          <t>1H</t>
        </is>
      </c>
      <c r="AR964" s="719" t="inlineStr">
        <is>
          <t>No</t>
        </is>
      </c>
      <c r="AS964" s="733" t="n"/>
      <c r="AT964" s="733" t="n"/>
      <c r="AU964" s="733" t="n"/>
      <c r="AV964" s="733" t="n"/>
      <c r="AW964" s="719" t="inlineStr">
        <is>
          <t>trade</t>
        </is>
      </c>
      <c r="AX964" s="734" t="inlineStr">
        <is>
          <t>sig:7af63770f0350e2e99a7122f</t>
        </is>
      </c>
    </row>
    <row r="965" ht="15" customHeight="1">
      <c r="A965" s="716" t="inlineStr">
        <is>
          <t>F574</t>
        </is>
      </c>
      <c r="B965" s="717" t="n">
        <v>43545.65902777778</v>
      </c>
      <c r="C965" s="718" t="n">
        <v>43545.68680555555</v>
      </c>
      <c r="D965" s="719" t="inlineStr">
        <is>
          <t>PEPPERSTONE DEMO</t>
        </is>
      </c>
      <c r="E965" s="719" t="inlineStr">
        <is>
          <t>AUDUSD</t>
        </is>
      </c>
      <c r="F965" s="719" t="inlineStr">
        <is>
          <t>BUY</t>
        </is>
      </c>
      <c r="G965" s="735" t="n">
        <v>0.05</v>
      </c>
      <c r="H965" s="720" t="n">
        <v>0.7148</v>
      </c>
      <c r="I965" s="720" t="n">
        <v>0.71414</v>
      </c>
      <c r="J965" s="721" t="n">
        <v>0.7141</v>
      </c>
      <c r="K965" s="760" t="n">
        <v>0.0009792949076665276</v>
      </c>
      <c r="L965" s="721" t="n">
        <v>0.7169</v>
      </c>
      <c r="M965" s="722" t="n">
        <v>0.002937884722999428</v>
      </c>
      <c r="N965" s="788" t="n"/>
      <c r="O965" s="762" t="n">
        <v>-4.9</v>
      </c>
      <c r="P965" s="725" t="n">
        <v>-0.005554233119098629</v>
      </c>
      <c r="Q965" s="726" t="n">
        <v>-0.9428571428570884</v>
      </c>
      <c r="R965" s="764" t="n">
        <v>877.3099999999998</v>
      </c>
      <c r="S965" s="719" t="inlineStr">
        <is>
          <t>40M 0S</t>
        </is>
      </c>
      <c r="T965" s="728" t="n"/>
      <c r="U965" s="729" t="n"/>
      <c r="V965" s="730" t="n"/>
      <c r="W965" s="731" t="n"/>
      <c r="X965" s="732" t="n"/>
      <c r="Y965" s="728" t="n"/>
      <c r="Z965" s="729" t="n"/>
      <c r="AA965" s="730" t="n"/>
      <c r="AB965" s="731" t="n"/>
      <c r="AC965" s="732" t="n"/>
      <c r="AD965" s="719" t="inlineStr">
        <is>
          <t>No</t>
        </is>
      </c>
      <c r="AE965" s="733" t="n"/>
      <c r="AF965" s="733" t="n"/>
      <c r="AG965" s="733" t="n"/>
      <c r="AH965" s="733" t="n"/>
      <c r="AI965" s="719" t="inlineStr">
        <is>
          <t>Limit</t>
        </is>
      </c>
      <c r="AJ965" s="733" t="n"/>
      <c r="AK965" s="733" t="n"/>
      <c r="AL965" s="733" t="n"/>
      <c r="AM965" s="733" t="n"/>
      <c r="AN965" s="733" t="n"/>
      <c r="AO965" s="733" t="n"/>
      <c r="AP965" s="719" t="inlineStr">
        <is>
          <t>Pullback</t>
        </is>
      </c>
      <c r="AQ965" s="719" t="inlineStr">
        <is>
          <t>1H</t>
        </is>
      </c>
      <c r="AR965" s="719" t="inlineStr">
        <is>
          <t>No</t>
        </is>
      </c>
      <c r="AS965" s="733" t="n"/>
      <c r="AT965" s="733" t="n"/>
      <c r="AU965" s="733" t="n"/>
      <c r="AV965" s="733" t="n"/>
      <c r="AW965" s="719" t="inlineStr">
        <is>
          <t>trade</t>
        </is>
      </c>
      <c r="AX965" s="734" t="inlineStr">
        <is>
          <t>sig:de1971227d9ee364d25e1509</t>
        </is>
      </c>
    </row>
    <row r="966" ht="15" customHeight="1">
      <c r="A966" s="716" t="inlineStr">
        <is>
          <t>F572</t>
        </is>
      </c>
      <c r="B966" s="717" t="n">
        <v>43544.95833333334</v>
      </c>
      <c r="C966" s="718" t="n">
        <v>43544.98888888889</v>
      </c>
      <c r="D966" s="719" t="inlineStr">
        <is>
          <t>PEPPERSTONE DEMO</t>
        </is>
      </c>
      <c r="E966" s="719" t="inlineStr">
        <is>
          <t>AUDUSD</t>
        </is>
      </c>
      <c r="F966" s="719" t="inlineStr">
        <is>
          <t>SELL</t>
        </is>
      </c>
      <c r="G966" s="735" t="n">
        <v>0.05</v>
      </c>
      <c r="H966" s="720" t="n">
        <v>0.7094</v>
      </c>
      <c r="I966" s="720" t="n">
        <v>0.71003</v>
      </c>
      <c r="J966" s="721" t="n">
        <v>0.71</v>
      </c>
      <c r="K966" s="760" t="n">
        <v>0.0008457851705665828</v>
      </c>
      <c r="L966" s="721" t="n">
        <v>0.7082000000000001</v>
      </c>
      <c r="M966" s="722" t="n">
        <v>0.001691570341133322</v>
      </c>
      <c r="N966" s="788" t="n"/>
      <c r="O966" s="762" t="n">
        <v>-4.23</v>
      </c>
      <c r="P966" s="725" t="n">
        <v>-0.004771896575064304</v>
      </c>
      <c r="Q966" s="726" t="n">
        <v>-1.050000000000148</v>
      </c>
      <c r="R966" s="764" t="n">
        <v>882.2099999999998</v>
      </c>
      <c r="S966" s="719" t="inlineStr">
        <is>
          <t>44M 0S</t>
        </is>
      </c>
      <c r="T966" s="728" t="n"/>
      <c r="U966" s="729" t="n"/>
      <c r="V966" s="730" t="n"/>
      <c r="W966" s="731" t="n"/>
      <c r="X966" s="732" t="n"/>
      <c r="Y966" s="728" t="n"/>
      <c r="Z966" s="729" t="n"/>
      <c r="AA966" s="730" t="n"/>
      <c r="AB966" s="731" t="n"/>
      <c r="AC966" s="732" t="n"/>
      <c r="AD966" s="719" t="inlineStr">
        <is>
          <t>No</t>
        </is>
      </c>
      <c r="AE966" s="733" t="n"/>
      <c r="AF966" s="733" t="n"/>
      <c r="AG966" s="733" t="n"/>
      <c r="AH966" s="733" t="n"/>
      <c r="AI966" s="719" t="inlineStr">
        <is>
          <t>Limit</t>
        </is>
      </c>
      <c r="AJ966" s="733" t="n"/>
      <c r="AK966" s="733" t="n"/>
      <c r="AL966" s="733" t="n"/>
      <c r="AM966" s="733" t="n"/>
      <c r="AN966" s="733" t="n"/>
      <c r="AO966" s="733" t="n"/>
      <c r="AP966" s="719" t="inlineStr">
        <is>
          <t>Pullback</t>
        </is>
      </c>
      <c r="AQ966" s="719" t="inlineStr">
        <is>
          <t>1H</t>
        </is>
      </c>
      <c r="AR966" s="719" t="inlineStr">
        <is>
          <t>No</t>
        </is>
      </c>
      <c r="AS966" s="733" t="n"/>
      <c r="AT966" s="733" t="n"/>
      <c r="AU966" s="733" t="n"/>
      <c r="AV966" s="733" t="n"/>
      <c r="AW966" s="719" t="inlineStr">
        <is>
          <t>trade</t>
        </is>
      </c>
      <c r="AX966" s="734" t="inlineStr">
        <is>
          <t>sig:9249a66a22ffed113a3b8fea</t>
        </is>
      </c>
    </row>
    <row r="967" ht="15" customHeight="1">
      <c r="A967" s="716" t="inlineStr">
        <is>
          <t>F573</t>
        </is>
      </c>
      <c r="B967" s="717" t="n">
        <v>43544.54236111111</v>
      </c>
      <c r="C967" s="718" t="n">
        <v>43544.65208333333</v>
      </c>
      <c r="D967" s="719" t="inlineStr">
        <is>
          <t>PEPPERSTONE DEMO</t>
        </is>
      </c>
      <c r="E967" s="719" t="inlineStr">
        <is>
          <t>USDJPY</t>
        </is>
      </c>
      <c r="F967" s="719" t="inlineStr">
        <is>
          <t>BUY</t>
        </is>
      </c>
      <c r="G967" s="735" t="n">
        <v>0.05</v>
      </c>
      <c r="H967" s="720" t="n">
        <v>111.62</v>
      </c>
      <c r="I967" s="720" t="n">
        <v>111.555</v>
      </c>
      <c r="J967" s="721" t="n">
        <v>111.55</v>
      </c>
      <c r="K967" s="760" t="n">
        <v>0.0006271277548827037</v>
      </c>
      <c r="L967" s="721" t="n">
        <v>111.76</v>
      </c>
      <c r="M967" s="722" t="n">
        <v>0.00125425550976528</v>
      </c>
      <c r="N967" s="788" t="n"/>
      <c r="O967" s="762" t="n">
        <v>-4.44</v>
      </c>
      <c r="P967" s="725" t="n">
        <v>-0.004983836206896553</v>
      </c>
      <c r="Q967" s="726" t="n">
        <v>-0.928571428571298</v>
      </c>
      <c r="R967" s="764" t="n">
        <v>886.4399999999998</v>
      </c>
      <c r="S967" s="719" t="inlineStr">
        <is>
          <t>2H 38M 0S</t>
        </is>
      </c>
      <c r="T967" s="717" t="n"/>
      <c r="U967" s="806" t="n"/>
      <c r="V967" s="730" t="n"/>
      <c r="W967" s="731" t="n"/>
      <c r="X967" s="732" t="n"/>
      <c r="Y967" s="717" t="n"/>
      <c r="Z967" s="806" t="n"/>
      <c r="AA967" s="730" t="n"/>
      <c r="AB967" s="731" t="n"/>
      <c r="AC967" s="732" t="n"/>
      <c r="AD967" s="719" t="inlineStr">
        <is>
          <t>No</t>
        </is>
      </c>
      <c r="AE967" s="733" t="n"/>
      <c r="AF967" s="733" t="n"/>
      <c r="AG967" s="733" t="n"/>
      <c r="AH967" s="733" t="n"/>
      <c r="AI967" s="719" t="inlineStr">
        <is>
          <t>Limit</t>
        </is>
      </c>
      <c r="AJ967" s="733" t="n"/>
      <c r="AK967" s="733" t="n"/>
      <c r="AL967" s="733" t="n"/>
      <c r="AM967" s="733" t="n"/>
      <c r="AN967" s="733" t="n"/>
      <c r="AO967" s="733" t="n"/>
      <c r="AP967" s="719" t="inlineStr">
        <is>
          <t>Pullback</t>
        </is>
      </c>
      <c r="AQ967" s="719" t="inlineStr">
        <is>
          <t>1H</t>
        </is>
      </c>
      <c r="AR967" s="719" t="inlineStr">
        <is>
          <t>No</t>
        </is>
      </c>
      <c r="AS967" s="733" t="n"/>
      <c r="AT967" s="733" t="n"/>
      <c r="AU967" s="733" t="n"/>
      <c r="AV967" s="733" t="n"/>
      <c r="AW967" s="719" t="inlineStr">
        <is>
          <t>trade</t>
        </is>
      </c>
      <c r="AX967" s="734" t="inlineStr">
        <is>
          <t>sig:14f91c1ddcb6b844c5dffdca</t>
        </is>
      </c>
    </row>
    <row r="968" ht="15" customHeight="1">
      <c r="A968" s="716" t="inlineStr">
        <is>
          <t>F571</t>
        </is>
      </c>
      <c r="B968" s="717" t="n">
        <v>43543.5125</v>
      </c>
      <c r="C968" s="718" t="n">
        <v>43543.52847222222</v>
      </c>
      <c r="D968" s="719" t="inlineStr">
        <is>
          <t>PEPPERSTONE DEMO</t>
        </is>
      </c>
      <c r="E968" s="719" t="inlineStr">
        <is>
          <t>EURUSD</t>
        </is>
      </c>
      <c r="F968" s="719" t="inlineStr">
        <is>
          <t>SELL</t>
        </is>
      </c>
      <c r="G968" s="735" t="n">
        <v>0.05</v>
      </c>
      <c r="H968" s="720" t="n">
        <v>1.1337</v>
      </c>
      <c r="I968" s="720" t="n">
        <v>1.13435</v>
      </c>
      <c r="J968" s="721" t="n">
        <v>1.1343</v>
      </c>
      <c r="K968" s="760" t="n">
        <v>0.0005292405398254882</v>
      </c>
      <c r="L968" s="721" t="n">
        <v>1.1319</v>
      </c>
      <c r="M968" s="722" t="n">
        <v>0.001587721619476073</v>
      </c>
      <c r="N968" s="788" t="n"/>
      <c r="O968" s="762" t="n">
        <v>-4.22</v>
      </c>
      <c r="P968" s="725" t="n">
        <v>-0.004714557032733773</v>
      </c>
      <c r="Q968" s="726" t="n">
        <v>-1.083333333333117</v>
      </c>
      <c r="R968" s="764" t="n">
        <v>890.8799999999999</v>
      </c>
      <c r="S968" s="719" t="inlineStr">
        <is>
          <t>23M 0S</t>
        </is>
      </c>
      <c r="T968" s="717" t="n"/>
      <c r="U968" s="806" t="n"/>
      <c r="V968" s="730" t="n"/>
      <c r="W968" s="731" t="n"/>
      <c r="X968" s="732" t="n"/>
      <c r="Y968" s="728" t="n"/>
      <c r="Z968" s="729" t="n"/>
      <c r="AA968" s="730" t="n"/>
      <c r="AB968" s="731" t="n"/>
      <c r="AC968" s="732" t="n"/>
      <c r="AD968" s="719" t="inlineStr">
        <is>
          <t>No</t>
        </is>
      </c>
      <c r="AE968" s="733" t="n"/>
      <c r="AF968" s="733" t="n"/>
      <c r="AG968" s="733" t="n"/>
      <c r="AH968" s="733" t="n"/>
      <c r="AI968" s="719" t="inlineStr">
        <is>
          <t>Limit</t>
        </is>
      </c>
      <c r="AJ968" s="733" t="n"/>
      <c r="AK968" s="733" t="n"/>
      <c r="AL968" s="733" t="n"/>
      <c r="AM968" s="733" t="n"/>
      <c r="AN968" s="733" t="n"/>
      <c r="AO968" s="733" t="n"/>
      <c r="AP968" s="719" t="inlineStr">
        <is>
          <t>Pullback</t>
        </is>
      </c>
      <c r="AQ968" s="719" t="inlineStr">
        <is>
          <t>1H</t>
        </is>
      </c>
      <c r="AR968" s="719" t="inlineStr">
        <is>
          <t>No</t>
        </is>
      </c>
      <c r="AS968" s="733" t="n"/>
      <c r="AT968" s="733" t="n"/>
      <c r="AU968" s="733" t="n"/>
      <c r="AV968" s="733" t="n"/>
      <c r="AW968" s="719" t="inlineStr">
        <is>
          <t>trade</t>
        </is>
      </c>
      <c r="AX968" s="734" t="inlineStr">
        <is>
          <t>sig:05c96d295e0a2f1c3cc9f3ac</t>
        </is>
      </c>
    </row>
    <row r="969" ht="15" customHeight="1">
      <c r="A969" s="716" t="inlineStr">
        <is>
          <t>F570</t>
        </is>
      </c>
      <c r="B969" s="717" t="n">
        <v>43542.9375</v>
      </c>
      <c r="C969" s="718" t="n">
        <v>43542.94305555556</v>
      </c>
      <c r="D969" s="719" t="inlineStr">
        <is>
          <t>PEPPERSTONE DEMO</t>
        </is>
      </c>
      <c r="E969" s="719" t="inlineStr">
        <is>
          <t>AUDUSD</t>
        </is>
      </c>
      <c r="F969" s="719" t="inlineStr">
        <is>
          <t>BUY</t>
        </is>
      </c>
      <c r="G969" s="735" t="n">
        <v>0.08</v>
      </c>
      <c r="H969" s="720" t="n">
        <v>0.7107</v>
      </c>
      <c r="I969" s="720" t="n">
        <v>0.71039</v>
      </c>
      <c r="J969" s="721" t="n">
        <v>0.7103</v>
      </c>
      <c r="K969" s="760" t="n">
        <v>0.0005628253834247304</v>
      </c>
      <c r="L969" s="721" t="n">
        <v>0.7119</v>
      </c>
      <c r="M969" s="722" t="n">
        <v>0.001688476150274348</v>
      </c>
      <c r="N969" s="788" t="n"/>
      <c r="O969" s="762" t="n">
        <v>-4.5</v>
      </c>
      <c r="P969" s="725" t="n">
        <v>-0.005002223210315696</v>
      </c>
      <c r="Q969" s="726" t="n">
        <v>-0.7750000000001666</v>
      </c>
      <c r="R969" s="764" t="n">
        <v>895.0999999999999</v>
      </c>
      <c r="S969" s="719" t="inlineStr">
        <is>
          <t>8M 0S</t>
        </is>
      </c>
      <c r="T969" s="728" t="n"/>
      <c r="U969" s="729" t="n"/>
      <c r="V969" s="730" t="n"/>
      <c r="W969" s="731" t="n"/>
      <c r="X969" s="732" t="n"/>
      <c r="Y969" s="728" t="n"/>
      <c r="Z969" s="729" t="n"/>
      <c r="AA969" s="730" t="n"/>
      <c r="AB969" s="731" t="n"/>
      <c r="AC969" s="732" t="n"/>
      <c r="AD969" s="719" t="inlineStr">
        <is>
          <t>No</t>
        </is>
      </c>
      <c r="AE969" s="733" t="n"/>
      <c r="AF969" s="733" t="n"/>
      <c r="AG969" s="733" t="n"/>
      <c r="AH969" s="733" t="n"/>
      <c r="AI969" s="719" t="inlineStr">
        <is>
          <t>Limit</t>
        </is>
      </c>
      <c r="AJ969" s="733" t="n"/>
      <c r="AK969" s="733" t="n"/>
      <c r="AL969" s="733" t="n"/>
      <c r="AM969" s="733" t="n"/>
      <c r="AN969" s="733" t="n"/>
      <c r="AO969" s="733" t="n"/>
      <c r="AP969" s="719" t="inlineStr">
        <is>
          <t>Pullback</t>
        </is>
      </c>
      <c r="AQ969" s="719" t="inlineStr">
        <is>
          <t>15MIN</t>
        </is>
      </c>
      <c r="AR969" s="719" t="inlineStr">
        <is>
          <t>No</t>
        </is>
      </c>
      <c r="AS969" s="733" t="n"/>
      <c r="AT969" s="733" t="n"/>
      <c r="AU969" s="733" t="n"/>
      <c r="AV969" s="733" t="n"/>
      <c r="AW969" s="719" t="inlineStr">
        <is>
          <t>trade</t>
        </is>
      </c>
      <c r="AX969" s="734" t="inlineStr">
        <is>
          <t>sig:f64052ba1f9b86fc061ee47e</t>
        </is>
      </c>
    </row>
    <row r="970" ht="15" customHeight="1">
      <c r="A970" s="716" t="inlineStr">
        <is>
          <t>F569</t>
        </is>
      </c>
      <c r="B970" s="717" t="n">
        <v>43542.91736111111</v>
      </c>
      <c r="C970" s="718" t="n">
        <v>43542.92222222222</v>
      </c>
      <c r="D970" s="719" t="inlineStr">
        <is>
          <t>PEPPERSTONE DEMO</t>
        </is>
      </c>
      <c r="E970" s="719" t="inlineStr">
        <is>
          <t>AUDUSD</t>
        </is>
      </c>
      <c r="F970" s="719" t="inlineStr">
        <is>
          <t>BUY</t>
        </is>
      </c>
      <c r="G970" s="735" t="n">
        <v>0.09</v>
      </c>
      <c r="H970" s="720" t="n">
        <v>0.711</v>
      </c>
      <c r="I970" s="720" t="n">
        <v>0.71062</v>
      </c>
      <c r="J970" s="721" t="n">
        <v>0.7106</v>
      </c>
      <c r="K970" s="760" t="n">
        <v>0.0005625879043599944</v>
      </c>
      <c r="L970" s="721" t="n">
        <v>0.7122000000000001</v>
      </c>
      <c r="M970" s="722" t="n">
        <v>0.001687763713080295</v>
      </c>
      <c r="N970" s="788" t="n"/>
      <c r="O970" s="762" t="n">
        <v>-5.07</v>
      </c>
      <c r="P970" s="725" t="n">
        <v>-0.005604253484696078</v>
      </c>
      <c r="Q970" s="726" t="n">
        <v>-0.9499999999999444</v>
      </c>
      <c r="R970" s="764" t="n">
        <v>899.5999999999999</v>
      </c>
      <c r="S970" s="719" t="inlineStr">
        <is>
          <t>7M 0S</t>
        </is>
      </c>
      <c r="T970" s="717" t="n"/>
      <c r="U970" s="806" t="n"/>
      <c r="V970" s="730" t="n"/>
      <c r="W970" s="731" t="n"/>
      <c r="X970" s="732" t="n"/>
      <c r="Y970" s="728" t="n"/>
      <c r="Z970" s="729" t="n"/>
      <c r="AA970" s="730" t="n"/>
      <c r="AB970" s="731" t="n"/>
      <c r="AC970" s="732" t="n"/>
      <c r="AD970" s="719" t="inlineStr">
        <is>
          <t>No</t>
        </is>
      </c>
      <c r="AE970" s="733" t="n"/>
      <c r="AF970" s="733" t="n"/>
      <c r="AG970" s="733" t="n"/>
      <c r="AH970" s="733" t="n"/>
      <c r="AI970" s="719" t="inlineStr">
        <is>
          <t>Limit</t>
        </is>
      </c>
      <c r="AJ970" s="733" t="n"/>
      <c r="AK970" s="733" t="n"/>
      <c r="AL970" s="733" t="n"/>
      <c r="AM970" s="733" t="n"/>
      <c r="AN970" s="733" t="n"/>
      <c r="AO970" s="733" t="n"/>
      <c r="AP970" s="719" t="inlineStr">
        <is>
          <t>Pullback</t>
        </is>
      </c>
      <c r="AQ970" s="719" t="inlineStr">
        <is>
          <t>15MIN</t>
        </is>
      </c>
      <c r="AR970" s="719" t="inlineStr">
        <is>
          <t>No</t>
        </is>
      </c>
      <c r="AS970" s="733" t="n"/>
      <c r="AT970" s="733" t="n"/>
      <c r="AU970" s="733" t="n"/>
      <c r="AV970" s="733" t="n"/>
      <c r="AW970" s="719" t="inlineStr">
        <is>
          <t>trade</t>
        </is>
      </c>
      <c r="AX970" s="734" t="inlineStr">
        <is>
          <t>sig:9e670fc7c5757737fe2d41ef</t>
        </is>
      </c>
    </row>
    <row r="971" ht="15" customHeight="1">
      <c r="A971" s="737" t="inlineStr">
        <is>
          <t>F568</t>
        </is>
      </c>
      <c r="B971" s="738" t="n">
        <v>43540.11527777778</v>
      </c>
      <c r="C971" s="739" t="n">
        <v>43540.20416666667</v>
      </c>
      <c r="D971" s="740" t="inlineStr">
        <is>
          <t>PEPPERSTONE DEMO</t>
        </is>
      </c>
      <c r="E971" s="740" t="inlineStr">
        <is>
          <t>AUDUSD</t>
        </is>
      </c>
      <c r="F971" s="740" t="inlineStr">
        <is>
          <t>BUY</t>
        </is>
      </c>
      <c r="G971" s="775" t="n">
        <v>0.08</v>
      </c>
      <c r="H971" s="742" t="n">
        <v>0.7083</v>
      </c>
      <c r="I971" s="742" t="n">
        <v>0.70883</v>
      </c>
      <c r="J971" s="743" t="n">
        <v>0.7079</v>
      </c>
      <c r="K971" s="765" t="n">
        <v>0.0005647324579981179</v>
      </c>
      <c r="L971" s="743" t="n">
        <v>0.7095</v>
      </c>
      <c r="M971" s="744" t="n">
        <v>0.00169419737399404</v>
      </c>
      <c r="N971" s="796" t="n"/>
      <c r="O971" s="767" t="n">
        <v>2.71</v>
      </c>
      <c r="P971" s="747" t="n">
        <v>0.003004567830058983</v>
      </c>
      <c r="Q971" s="748" t="n">
        <v>1.324999999999577</v>
      </c>
      <c r="R971" s="769" t="n">
        <v>904.67</v>
      </c>
      <c r="S971" s="740" t="inlineStr">
        <is>
          <t>2H 8M 0S</t>
        </is>
      </c>
      <c r="T971" s="738" t="n">
        <v>43540.16041666667</v>
      </c>
      <c r="U971" s="809" t="inlineStr">
        <is>
          <t>1H 5M 0S</t>
        </is>
      </c>
      <c r="V971" s="752" t="n"/>
      <c r="W971" s="753" t="n"/>
      <c r="X971" s="754" t="n"/>
      <c r="Y971" s="750" t="n"/>
      <c r="Z971" s="751" t="n"/>
      <c r="AA971" s="752" t="n"/>
      <c r="AB971" s="753" t="n"/>
      <c r="AC971" s="754" t="n"/>
      <c r="AD971" s="740" t="inlineStr">
        <is>
          <t>No</t>
        </is>
      </c>
      <c r="AE971" s="755" t="n"/>
      <c r="AF971" s="755" t="n"/>
      <c r="AG971" s="755" t="n"/>
      <c r="AH971" s="755" t="n"/>
      <c r="AI971" s="740" t="inlineStr">
        <is>
          <t>Limit</t>
        </is>
      </c>
      <c r="AJ971" s="755" t="n"/>
      <c r="AK971" s="755" t="n"/>
      <c r="AL971" s="755" t="n"/>
      <c r="AM971" s="755" t="n"/>
      <c r="AN971" s="755" t="n"/>
      <c r="AO971" s="755" t="n"/>
      <c r="AP971" s="740" t="inlineStr">
        <is>
          <t>Pullback</t>
        </is>
      </c>
      <c r="AQ971" s="740" t="inlineStr">
        <is>
          <t>5MIN</t>
        </is>
      </c>
      <c r="AR971" s="740" t="inlineStr">
        <is>
          <t>No</t>
        </is>
      </c>
      <c r="AS971" s="755" t="n"/>
      <c r="AT971" s="755" t="n"/>
      <c r="AU971" s="755" t="n"/>
      <c r="AV971" s="755" t="n"/>
      <c r="AW971" s="740" t="inlineStr">
        <is>
          <t>trade</t>
        </is>
      </c>
      <c r="AX971" s="756" t="inlineStr">
        <is>
          <t>sig:cc93acdde9edad031cf42652</t>
        </is>
      </c>
    </row>
    <row r="972" ht="15" customHeight="1">
      <c r="A972" s="716" t="inlineStr">
        <is>
          <t>F567</t>
        </is>
      </c>
      <c r="B972" s="717" t="n">
        <v>43539.14444444444</v>
      </c>
      <c r="C972" s="718" t="n">
        <v>43539.40347222222</v>
      </c>
      <c r="D972" s="719" t="inlineStr">
        <is>
          <t>PEPPERSTONE DEMO</t>
        </is>
      </c>
      <c r="E972" s="719" t="inlineStr">
        <is>
          <t>USDCAD</t>
        </is>
      </c>
      <c r="F972" s="719" t="inlineStr">
        <is>
          <t>BUY</t>
        </is>
      </c>
      <c r="G972" s="735" t="n">
        <v>0.05</v>
      </c>
      <c r="H972" s="720" t="n">
        <v>1.3324</v>
      </c>
      <c r="I972" s="720" t="n">
        <v>1.33233</v>
      </c>
      <c r="J972" s="721" t="n">
        <v>1.3315</v>
      </c>
      <c r="K972" s="760" t="n">
        <v>0.0006754728309817795</v>
      </c>
      <c r="L972" s="721" t="n">
        <v>1.3348</v>
      </c>
      <c r="M972" s="722" t="n">
        <v>0.001801260882617801</v>
      </c>
      <c r="N972" s="792" t="n">
        <v>0.06</v>
      </c>
      <c r="O972" s="762" t="n">
        <v>-0.47</v>
      </c>
      <c r="P972" s="763" t="n">
        <v>-0.0005208160189710006</v>
      </c>
      <c r="Q972" s="781" t="n">
        <v>-0.07777777777778326</v>
      </c>
      <c r="R972" s="764" t="n">
        <v>901.9599999999999</v>
      </c>
      <c r="S972" s="719" t="inlineStr">
        <is>
          <t>6H 13M 0S</t>
        </is>
      </c>
      <c r="T972" s="728" t="n"/>
      <c r="U972" s="729" t="n"/>
      <c r="V972" s="730" t="n"/>
      <c r="W972" s="731" t="n"/>
      <c r="X972" s="732" t="n"/>
      <c r="Y972" s="728" t="n"/>
      <c r="Z972" s="729" t="n"/>
      <c r="AA972" s="730" t="n"/>
      <c r="AB972" s="731" t="n"/>
      <c r="AC972" s="732" t="n"/>
      <c r="AD972" s="719" t="inlineStr">
        <is>
          <t>No</t>
        </is>
      </c>
      <c r="AE972" s="733" t="n"/>
      <c r="AF972" s="733" t="n"/>
      <c r="AG972" s="733" t="n"/>
      <c r="AH972" s="733" t="n"/>
      <c r="AI972" s="719" t="inlineStr">
        <is>
          <t>Limit</t>
        </is>
      </c>
      <c r="AJ972" s="733" t="n"/>
      <c r="AK972" s="733" t="n"/>
      <c r="AL972" s="733" t="n"/>
      <c r="AM972" s="733" t="n"/>
      <c r="AN972" s="733" t="n"/>
      <c r="AO972" s="733" t="n"/>
      <c r="AP972" s="719" t="inlineStr">
        <is>
          <t>Pullback</t>
        </is>
      </c>
      <c r="AQ972" s="719" t="inlineStr">
        <is>
          <t>1H</t>
        </is>
      </c>
      <c r="AR972" s="719" t="inlineStr">
        <is>
          <t>No</t>
        </is>
      </c>
      <c r="AS972" s="782" t="n"/>
      <c r="AT972" s="733" t="n"/>
      <c r="AU972" s="719" t="n"/>
      <c r="AV972" s="719" t="n"/>
      <c r="AW972" s="719" t="inlineStr">
        <is>
          <t>trade</t>
        </is>
      </c>
      <c r="AX972" s="734" t="inlineStr">
        <is>
          <t>sig:0d3b694bdf8114766cafc955</t>
        </is>
      </c>
    </row>
    <row r="973" ht="15" customHeight="1">
      <c r="A973" s="716" t="inlineStr">
        <is>
          <t>F566</t>
        </is>
      </c>
      <c r="B973" s="717" t="n">
        <v>43538.12222222222</v>
      </c>
      <c r="C973" s="718" t="n">
        <v>43538.13263888889</v>
      </c>
      <c r="D973" s="719" t="inlineStr">
        <is>
          <t>PEPPERSTONE DEMO</t>
        </is>
      </c>
      <c r="E973" s="719" t="inlineStr">
        <is>
          <t>USDCAD</t>
        </is>
      </c>
      <c r="F973" s="719" t="inlineStr">
        <is>
          <t>BUY</t>
        </is>
      </c>
      <c r="G973" s="735" t="n">
        <v>0.06</v>
      </c>
      <c r="H973" s="720" t="n">
        <v>1.3334</v>
      </c>
      <c r="I973" s="720" t="n">
        <v>1.33264</v>
      </c>
      <c r="J973" s="721" t="n">
        <v>1.3326</v>
      </c>
      <c r="K973" s="760" t="n">
        <v>0.000599970001499859</v>
      </c>
      <c r="L973" s="721" t="n">
        <v>1.3358</v>
      </c>
      <c r="M973" s="722" t="n">
        <v>0.00179991000449991</v>
      </c>
      <c r="N973" s="788" t="n"/>
      <c r="O973" s="762" t="n">
        <v>-5.09</v>
      </c>
      <c r="P973" s="725" t="n">
        <v>-0.005608691819464034</v>
      </c>
      <c r="Q973" s="726" t="n">
        <v>-0.9499999999999444</v>
      </c>
      <c r="R973" s="764" t="n">
        <v>902.4299999999999</v>
      </c>
      <c r="S973" s="719" t="inlineStr">
        <is>
          <t>15M 0S</t>
        </is>
      </c>
      <c r="T973" s="728" t="n"/>
      <c r="U973" s="729" t="n"/>
      <c r="V973" s="730" t="n"/>
      <c r="W973" s="731" t="n"/>
      <c r="X973" s="732" t="n"/>
      <c r="Y973" s="728" t="n"/>
      <c r="Z973" s="729" t="n"/>
      <c r="AA973" s="730" t="n"/>
      <c r="AB973" s="731" t="n"/>
      <c r="AC973" s="732" t="n"/>
      <c r="AD973" s="719" t="inlineStr">
        <is>
          <t>No</t>
        </is>
      </c>
      <c r="AE973" s="733" t="n"/>
      <c r="AF973" s="733" t="n"/>
      <c r="AG973" s="733" t="n"/>
      <c r="AH973" s="733" t="n"/>
      <c r="AI973" s="719" t="inlineStr">
        <is>
          <t>Limit</t>
        </is>
      </c>
      <c r="AJ973" s="733" t="n"/>
      <c r="AK973" s="733" t="n"/>
      <c r="AL973" s="733" t="n"/>
      <c r="AM973" s="733" t="n"/>
      <c r="AN973" s="733" t="n"/>
      <c r="AO973" s="733" t="n"/>
      <c r="AP973" s="719" t="inlineStr">
        <is>
          <t>Pullback</t>
        </is>
      </c>
      <c r="AQ973" s="719" t="inlineStr">
        <is>
          <t>15MIN</t>
        </is>
      </c>
      <c r="AR973" s="719" t="inlineStr">
        <is>
          <t>No</t>
        </is>
      </c>
      <c r="AS973" s="782" t="n"/>
      <c r="AT973" s="733" t="n"/>
      <c r="AU973" s="719" t="n"/>
      <c r="AV973" s="719" t="n"/>
      <c r="AW973" s="719" t="inlineStr">
        <is>
          <t>trade</t>
        </is>
      </c>
      <c r="AX973" s="734" t="inlineStr">
        <is>
          <t>sig:800649a350efa43d740ad6fb</t>
        </is>
      </c>
    </row>
    <row r="974" ht="15" customHeight="1">
      <c r="A974" s="716" t="inlineStr">
        <is>
          <t>F564</t>
        </is>
      </c>
      <c r="B974" s="717" t="n">
        <v>43537.96597222222</v>
      </c>
      <c r="C974" s="718" t="n">
        <v>43537.97083333333</v>
      </c>
      <c r="D974" s="719" t="inlineStr">
        <is>
          <t>PEPPERSTONE DEMO</t>
        </is>
      </c>
      <c r="E974" s="719" t="inlineStr">
        <is>
          <t>USDCHF</t>
        </is>
      </c>
      <c r="F974" s="719" t="inlineStr">
        <is>
          <t>BUY</t>
        </is>
      </c>
      <c r="G974" s="735" t="n">
        <v>0.07000000000000001</v>
      </c>
      <c r="H974" s="720" t="n">
        <v>1.0062</v>
      </c>
      <c r="I974" s="720" t="n">
        <v>1.00575</v>
      </c>
      <c r="J974" s="721" t="n">
        <v>1.0058</v>
      </c>
      <c r="K974" s="760" t="n">
        <v>0.0003975352812561677</v>
      </c>
      <c r="L974" s="721" t="n">
        <v>1.0077</v>
      </c>
      <c r="M974" s="722" t="n">
        <v>0.00149075730471085</v>
      </c>
      <c r="N974" s="788" t="n"/>
      <c r="O974" s="762" t="n">
        <v>-4.92</v>
      </c>
      <c r="P974" s="725" t="n">
        <v>-0.005392135373284819</v>
      </c>
      <c r="Q974" s="726" t="n">
        <v>-1.125000000000278</v>
      </c>
      <c r="R974" s="764" t="n">
        <v>907.52</v>
      </c>
      <c r="S974" s="719" t="inlineStr">
        <is>
          <t>7M 0S</t>
        </is>
      </c>
      <c r="T974" s="717" t="n"/>
      <c r="U974" s="806" t="n"/>
      <c r="V974" s="730" t="n"/>
      <c r="W974" s="731" t="n"/>
      <c r="X974" s="732" t="n"/>
      <c r="Y974" s="728" t="n"/>
      <c r="Z974" s="729" t="n"/>
      <c r="AA974" s="730" t="n"/>
      <c r="AB974" s="731" t="n"/>
      <c r="AC974" s="732" t="n"/>
      <c r="AD974" s="719" t="inlineStr">
        <is>
          <t>No</t>
        </is>
      </c>
      <c r="AE974" s="733" t="n"/>
      <c r="AF974" s="733" t="n"/>
      <c r="AG974" s="733" t="n"/>
      <c r="AH974" s="733" t="n"/>
      <c r="AI974" s="719" t="inlineStr">
        <is>
          <t>Limit</t>
        </is>
      </c>
      <c r="AJ974" s="733" t="n"/>
      <c r="AK974" s="733" t="n"/>
      <c r="AL974" s="733" t="n"/>
      <c r="AM974" s="733" t="n"/>
      <c r="AN974" s="733" t="n"/>
      <c r="AO974" s="733" t="n"/>
      <c r="AP974" s="719" t="inlineStr">
        <is>
          <t>Pullback</t>
        </is>
      </c>
      <c r="AQ974" s="719" t="inlineStr">
        <is>
          <t>15MIN</t>
        </is>
      </c>
      <c r="AR974" s="719" t="inlineStr">
        <is>
          <t>No</t>
        </is>
      </c>
      <c r="AS974" s="733" t="n"/>
      <c r="AT974" s="733" t="n"/>
      <c r="AU974" s="733" t="n"/>
      <c r="AV974" s="733" t="n"/>
      <c r="AW974" s="719" t="inlineStr">
        <is>
          <t>trade</t>
        </is>
      </c>
      <c r="AX974" s="734" t="inlineStr">
        <is>
          <t>sig:e1e3f1b207ea37dbb06612cb</t>
        </is>
      </c>
    </row>
    <row r="975" ht="15" customHeight="1">
      <c r="A975" s="737" t="inlineStr">
        <is>
          <t>F565</t>
        </is>
      </c>
      <c r="B975" s="738" t="n">
        <v>43537.07013888889</v>
      </c>
      <c r="C975" s="739" t="n">
        <v>43537.175</v>
      </c>
      <c r="D975" s="740" t="inlineStr">
        <is>
          <t>PEPPERSTONE DEMO</t>
        </is>
      </c>
      <c r="E975" s="740" t="inlineStr">
        <is>
          <t>USDJPY</t>
        </is>
      </c>
      <c r="F975" s="740" t="inlineStr">
        <is>
          <t>BUY</t>
        </is>
      </c>
      <c r="G975" s="775" t="n">
        <v>0.06</v>
      </c>
      <c r="H975" s="742" t="n">
        <v>111.25</v>
      </c>
      <c r="I975" s="742" t="n">
        <v>111.348</v>
      </c>
      <c r="J975" s="743" t="n">
        <v>111.19</v>
      </c>
      <c r="K975" s="765" t="n">
        <v>0.0005393258426966497</v>
      </c>
      <c r="L975" s="743" t="n">
        <v>111.43</v>
      </c>
      <c r="M975" s="744" t="n">
        <v>0.001617977528089949</v>
      </c>
      <c r="N975" s="796" t="n"/>
      <c r="O975" s="767" t="n">
        <v>4.15</v>
      </c>
      <c r="P975" s="747" t="n">
        <v>0.004569025311299255</v>
      </c>
      <c r="Q975" s="748" t="n">
        <v>1.633333333333254</v>
      </c>
      <c r="R975" s="769" t="n">
        <v>912.4399999999999</v>
      </c>
      <c r="S975" s="740" t="inlineStr">
        <is>
          <t>2H 31M 0S</t>
        </is>
      </c>
      <c r="T975" s="738" t="n">
        <v>43537.08055555556</v>
      </c>
      <c r="U975" s="809" t="inlineStr">
        <is>
          <t>15M 0S</t>
        </is>
      </c>
      <c r="V975" s="752" t="n"/>
      <c r="W975" s="753" t="n"/>
      <c r="X975" s="754" t="n"/>
      <c r="Y975" s="738" t="n">
        <v>43537.09583333333</v>
      </c>
      <c r="Z975" s="809" t="inlineStr">
        <is>
          <t>37M 0S</t>
        </is>
      </c>
      <c r="AA975" s="752" t="n"/>
      <c r="AB975" s="753" t="n"/>
      <c r="AC975" s="754" t="n"/>
      <c r="AD975" s="740" t="inlineStr">
        <is>
          <t>No</t>
        </is>
      </c>
      <c r="AE975" s="755" t="n"/>
      <c r="AF975" s="755" t="n"/>
      <c r="AG975" s="755" t="n"/>
      <c r="AH975" s="755" t="n"/>
      <c r="AI975" s="740" t="inlineStr">
        <is>
          <t>Limit</t>
        </is>
      </c>
      <c r="AJ975" s="755" t="n"/>
      <c r="AK975" s="755" t="n"/>
      <c r="AL975" s="755" t="n"/>
      <c r="AM975" s="755" t="n"/>
      <c r="AN975" s="755" t="n"/>
      <c r="AO975" s="755" t="n"/>
      <c r="AP975" s="740" t="inlineStr">
        <is>
          <t>Pullback</t>
        </is>
      </c>
      <c r="AQ975" s="740" t="inlineStr">
        <is>
          <t>15MIN</t>
        </is>
      </c>
      <c r="AR975" s="740" t="inlineStr">
        <is>
          <t>No</t>
        </is>
      </c>
      <c r="AS975" s="755" t="n"/>
      <c r="AT975" s="755" t="n"/>
      <c r="AU975" s="755" t="n"/>
      <c r="AV975" s="755" t="n"/>
      <c r="AW975" s="740" t="inlineStr">
        <is>
          <t>trade</t>
        </is>
      </c>
      <c r="AX975" s="756" t="inlineStr">
        <is>
          <t>sig:f9bbe1c56b2fed340d990455</t>
        </is>
      </c>
    </row>
    <row r="976" ht="15" customHeight="1">
      <c r="A976" s="737" t="inlineStr">
        <is>
          <t>F561</t>
        </is>
      </c>
      <c r="B976" s="738" t="n">
        <v>43536.96388888889</v>
      </c>
      <c r="C976" s="739" t="n">
        <v>43536.99027777778</v>
      </c>
      <c r="D976" s="740" t="inlineStr">
        <is>
          <t>PEPPERSTONE DEMO</t>
        </is>
      </c>
      <c r="E976" s="740" t="inlineStr">
        <is>
          <t>USDCAD</t>
        </is>
      </c>
      <c r="F976" s="740" t="inlineStr">
        <is>
          <t>SELL</t>
        </is>
      </c>
      <c r="G976" s="775" t="n">
        <v>0.06</v>
      </c>
      <c r="H976" s="742" t="n">
        <v>1.34</v>
      </c>
      <c r="I976" s="742" t="n">
        <v>1.3384</v>
      </c>
      <c r="J976" s="743" t="n">
        <v>1.3408</v>
      </c>
      <c r="K976" s="765" t="n">
        <v>0.0005970149253730685</v>
      </c>
      <c r="L976" s="743" t="n">
        <v>1.3384</v>
      </c>
      <c r="M976" s="744" t="n">
        <v>0.001194029850746303</v>
      </c>
      <c r="N976" s="796" t="n"/>
      <c r="O976" s="767" t="n">
        <v>6.76</v>
      </c>
      <c r="P976" s="747" t="n">
        <v>0.007498363892493871</v>
      </c>
      <c r="Q976" s="748" t="n">
        <v>2.000000000000278</v>
      </c>
      <c r="R976" s="769" t="n">
        <v>908.29</v>
      </c>
      <c r="S976" s="740" t="inlineStr">
        <is>
          <t>38M 0S</t>
        </is>
      </c>
      <c r="T976" s="738" t="n">
        <v>43536.97916666666</v>
      </c>
      <c r="U976" s="809" t="inlineStr">
        <is>
          <t>22M 0S</t>
        </is>
      </c>
      <c r="V976" s="752" t="n"/>
      <c r="W976" s="753" t="n"/>
      <c r="X976" s="754" t="n"/>
      <c r="Y976" s="750" t="n"/>
      <c r="Z976" s="751" t="n"/>
      <c r="AA976" s="752" t="n"/>
      <c r="AB976" s="753" t="n"/>
      <c r="AC976" s="754" t="n"/>
      <c r="AD976" s="740" t="inlineStr">
        <is>
          <t>No</t>
        </is>
      </c>
      <c r="AE976" s="755" t="n"/>
      <c r="AF976" s="755" t="n"/>
      <c r="AG976" s="755" t="n"/>
      <c r="AH976" s="755" t="n"/>
      <c r="AI976" s="740" t="inlineStr">
        <is>
          <t>Limit</t>
        </is>
      </c>
      <c r="AJ976" s="755" t="n"/>
      <c r="AK976" s="755" t="n"/>
      <c r="AL976" s="755" t="n"/>
      <c r="AM976" s="755" t="n"/>
      <c r="AN976" s="755" t="n"/>
      <c r="AO976" s="755" t="n"/>
      <c r="AP976" s="740" t="inlineStr">
        <is>
          <t>Pullback</t>
        </is>
      </c>
      <c r="AQ976" s="740" t="inlineStr">
        <is>
          <t>15MIN</t>
        </is>
      </c>
      <c r="AR976" s="740" t="inlineStr">
        <is>
          <t>No</t>
        </is>
      </c>
      <c r="AS976" s="755" t="n"/>
      <c r="AT976" s="755" t="n"/>
      <c r="AU976" s="755" t="n"/>
      <c r="AV976" s="755" t="n"/>
      <c r="AW976" s="740" t="inlineStr">
        <is>
          <t>trade</t>
        </is>
      </c>
      <c r="AX976" s="756" t="inlineStr">
        <is>
          <t>sig:7a8812a19c677008eba55f5c</t>
        </is>
      </c>
    </row>
    <row r="977" ht="15" customHeight="1">
      <c r="A977" s="716" t="inlineStr">
        <is>
          <t>F560</t>
        </is>
      </c>
      <c r="B977" s="717" t="n">
        <v>43536.06319444445</v>
      </c>
      <c r="C977" s="718" t="n">
        <v>43536.07708333333</v>
      </c>
      <c r="D977" s="719" t="inlineStr">
        <is>
          <t>PEPPERSTONE DEMO</t>
        </is>
      </c>
      <c r="E977" s="719" t="inlineStr">
        <is>
          <t>EURUSD</t>
        </is>
      </c>
      <c r="F977" s="719" t="inlineStr">
        <is>
          <t>BUY</t>
        </is>
      </c>
      <c r="G977" s="735" t="n">
        <v>0.04</v>
      </c>
      <c r="H977" s="720" t="n">
        <v>1.1236</v>
      </c>
      <c r="I977" s="720" t="n">
        <v>1.12308</v>
      </c>
      <c r="J977" s="721" t="n">
        <v>1.123</v>
      </c>
      <c r="K977" s="760" t="n">
        <v>0.0005339978640084852</v>
      </c>
      <c r="L977" s="721" t="n">
        <v>1.1254</v>
      </c>
      <c r="M977" s="722" t="n">
        <v>0.001601993592025653</v>
      </c>
      <c r="N977" s="788" t="n"/>
      <c r="O977" s="762" t="n">
        <v>-3.4</v>
      </c>
      <c r="P977" s="725" t="n">
        <v>-0.003757196689246682</v>
      </c>
      <c r="Q977" s="726" t="n">
        <v>-0.8666666666665186</v>
      </c>
      <c r="R977" s="764" t="n">
        <v>901.53</v>
      </c>
      <c r="S977" s="719" t="inlineStr">
        <is>
          <t>20M 0S</t>
        </is>
      </c>
      <c r="T977" s="728" t="n"/>
      <c r="U977" s="729" t="n"/>
      <c r="V977" s="730" t="n"/>
      <c r="W977" s="731" t="n"/>
      <c r="X977" s="732" t="n"/>
      <c r="Y977" s="728" t="n"/>
      <c r="Z977" s="729" t="n"/>
      <c r="AA977" s="730" t="n"/>
      <c r="AB977" s="731" t="n"/>
      <c r="AC977" s="732" t="n"/>
      <c r="AD977" s="719" t="inlineStr">
        <is>
          <t>No</t>
        </is>
      </c>
      <c r="AE977" s="733" t="n"/>
      <c r="AF977" s="733" t="n"/>
      <c r="AG977" s="733" t="n"/>
      <c r="AH977" s="733" t="n"/>
      <c r="AI977" s="719" t="inlineStr">
        <is>
          <t>Limit</t>
        </is>
      </c>
      <c r="AJ977" s="733" t="n"/>
      <c r="AK977" s="733" t="n"/>
      <c r="AL977" s="733" t="n"/>
      <c r="AM977" s="733" t="n"/>
      <c r="AN977" s="733" t="n"/>
      <c r="AO977" s="733" t="n"/>
      <c r="AP977" s="719" t="inlineStr">
        <is>
          <t>Pullback</t>
        </is>
      </c>
      <c r="AQ977" s="719" t="inlineStr">
        <is>
          <t>15MIN</t>
        </is>
      </c>
      <c r="AR977" s="719" t="inlineStr">
        <is>
          <t>No</t>
        </is>
      </c>
      <c r="AS977" s="733" t="n"/>
      <c r="AT977" s="733" t="n"/>
      <c r="AU977" s="733" t="n"/>
      <c r="AV977" s="733" t="n"/>
      <c r="AW977" s="719" t="inlineStr">
        <is>
          <t>trade</t>
        </is>
      </c>
      <c r="AX977" s="734" t="inlineStr">
        <is>
          <t>sig:4be737cd0597bd1241367785</t>
        </is>
      </c>
    </row>
    <row r="978" ht="15" customHeight="1">
      <c r="A978" s="737" t="inlineStr">
        <is>
          <t>F562</t>
        </is>
      </c>
      <c r="B978" s="738" t="n">
        <v>43536.025</v>
      </c>
      <c r="C978" s="739" t="n">
        <v>43536.04652777778</v>
      </c>
      <c r="D978" s="740" t="inlineStr">
        <is>
          <t>PEPPERSTONE DEMO</t>
        </is>
      </c>
      <c r="E978" s="740" t="inlineStr">
        <is>
          <t>USDCAD</t>
        </is>
      </c>
      <c r="F978" s="740" t="inlineStr">
        <is>
          <t>SELL</t>
        </is>
      </c>
      <c r="G978" s="775" t="n">
        <v>0.06</v>
      </c>
      <c r="H978" s="742" t="n">
        <v>1.3406</v>
      </c>
      <c r="I978" s="742" t="n">
        <v>1.34018</v>
      </c>
      <c r="J978" s="743" t="n">
        <v>1.3412</v>
      </c>
      <c r="K978" s="765" t="n">
        <v>0.0004475607936744248</v>
      </c>
      <c r="L978" s="743" t="n">
        <v>1.3394</v>
      </c>
      <c r="M978" s="765" t="n">
        <v>0.0008951215873490153</v>
      </c>
      <c r="N978" s="796" t="n"/>
      <c r="O978" s="767" t="n">
        <v>1.56</v>
      </c>
      <c r="P978" s="747" t="n">
        <v>0.001726867175133113</v>
      </c>
      <c r="Q978" s="748" t="n">
        <v>0.700000000000222</v>
      </c>
      <c r="R978" s="769" t="n">
        <v>904.9299999999999</v>
      </c>
      <c r="S978" s="740" t="inlineStr">
        <is>
          <t>31M 0S</t>
        </is>
      </c>
      <c r="T978" s="738" t="n">
        <v>43536.04513888889</v>
      </c>
      <c r="U978" s="809" t="inlineStr">
        <is>
          <t>29M 0S</t>
        </is>
      </c>
      <c r="V978" s="752" t="n"/>
      <c r="W978" s="753" t="n"/>
      <c r="X978" s="754" t="n"/>
      <c r="Y978" s="750" t="n"/>
      <c r="Z978" s="751" t="n"/>
      <c r="AA978" s="752" t="n"/>
      <c r="AB978" s="753" t="n"/>
      <c r="AC978" s="754" t="n"/>
      <c r="AD978" s="740" t="inlineStr">
        <is>
          <t>No</t>
        </is>
      </c>
      <c r="AE978" s="755" t="n"/>
      <c r="AF978" s="755" t="n"/>
      <c r="AG978" s="755" t="n"/>
      <c r="AH978" s="755" t="n"/>
      <c r="AI978" s="740" t="inlineStr">
        <is>
          <t>Limit</t>
        </is>
      </c>
      <c r="AJ978" s="755" t="n"/>
      <c r="AK978" s="755" t="n"/>
      <c r="AL978" s="755" t="n"/>
      <c r="AM978" s="755" t="n"/>
      <c r="AN978" s="755" t="n"/>
      <c r="AO978" s="755" t="n"/>
      <c r="AP978" s="740" t="inlineStr">
        <is>
          <t>Pullback</t>
        </is>
      </c>
      <c r="AQ978" s="740" t="inlineStr">
        <is>
          <t>15MIN</t>
        </is>
      </c>
      <c r="AR978" s="740" t="inlineStr">
        <is>
          <t>No</t>
        </is>
      </c>
      <c r="AS978" s="755" t="n"/>
      <c r="AT978" s="755" t="n"/>
      <c r="AU978" s="755" t="n"/>
      <c r="AV978" s="755" t="n"/>
      <c r="AW978" s="740" t="inlineStr">
        <is>
          <t>trade</t>
        </is>
      </c>
      <c r="AX978" s="756" t="inlineStr">
        <is>
          <t>sig:6e38a02e48757fd5b203aa73</t>
        </is>
      </c>
    </row>
    <row r="979" ht="15" customHeight="1">
      <c r="A979" s="716" t="inlineStr">
        <is>
          <t>F563</t>
        </is>
      </c>
      <c r="B979" s="717" t="n">
        <v>43536.01319444444</v>
      </c>
      <c r="C979" s="718" t="n">
        <v>43536.01736111111</v>
      </c>
      <c r="D979" s="719" t="inlineStr">
        <is>
          <t>PEPPERSTONE DEMO</t>
        </is>
      </c>
      <c r="E979" s="719" t="inlineStr">
        <is>
          <t>USDJPY</t>
        </is>
      </c>
      <c r="F979" s="719" t="inlineStr">
        <is>
          <t>SELL</t>
        </is>
      </c>
      <c r="G979" s="735" t="n">
        <v>0.08</v>
      </c>
      <c r="H979" s="720" t="n">
        <v>111.11</v>
      </c>
      <c r="I979" s="720" t="n">
        <v>111.154</v>
      </c>
      <c r="J979" s="721" t="n">
        <v>111.15</v>
      </c>
      <c r="K979" s="760" t="n">
        <v>0.0003600036000360566</v>
      </c>
      <c r="L979" s="721" t="n">
        <v>110.99</v>
      </c>
      <c r="M979" s="722" t="n">
        <v>0.001080010800108042</v>
      </c>
      <c r="N979" s="788" t="n"/>
      <c r="O979" s="762" t="n">
        <v>-4.08</v>
      </c>
      <c r="P979" s="725" t="n">
        <v>-0.004496115488456664</v>
      </c>
      <c r="Q979" s="726" t="n">
        <v>-1.099999999999751</v>
      </c>
      <c r="R979" s="764" t="n">
        <v>903.37</v>
      </c>
      <c r="S979" s="719" t="inlineStr">
        <is>
          <t>6M 0S</t>
        </is>
      </c>
      <c r="T979" s="717" t="n"/>
      <c r="U979" s="806" t="n"/>
      <c r="V979" s="730" t="n"/>
      <c r="W979" s="731" t="n"/>
      <c r="X979" s="732" t="n"/>
      <c r="Y979" s="717" t="n"/>
      <c r="Z979" s="806" t="n"/>
      <c r="AA979" s="730" t="n"/>
      <c r="AB979" s="731" t="n"/>
      <c r="AC979" s="732" t="n"/>
      <c r="AD979" s="719" t="inlineStr">
        <is>
          <t>No</t>
        </is>
      </c>
      <c r="AE979" s="733" t="n"/>
      <c r="AF979" s="733" t="n"/>
      <c r="AG979" s="733" t="n"/>
      <c r="AH979" s="733" t="n"/>
      <c r="AI979" s="719" t="inlineStr">
        <is>
          <t>Limit</t>
        </is>
      </c>
      <c r="AJ979" s="733" t="n"/>
      <c r="AK979" s="733" t="n"/>
      <c r="AL979" s="733" t="n"/>
      <c r="AM979" s="733" t="n"/>
      <c r="AN979" s="733" t="n"/>
      <c r="AO979" s="733" t="n"/>
      <c r="AP979" s="719" t="inlineStr">
        <is>
          <t>Pullback</t>
        </is>
      </c>
      <c r="AQ979" s="719" t="inlineStr">
        <is>
          <t>15MIN</t>
        </is>
      </c>
      <c r="AR979" s="719" t="inlineStr">
        <is>
          <t>No</t>
        </is>
      </c>
      <c r="AS979" s="733" t="n"/>
      <c r="AT979" s="733" t="n"/>
      <c r="AU979" s="733" t="n"/>
      <c r="AV979" s="733" t="n"/>
      <c r="AW979" s="719" t="inlineStr">
        <is>
          <t>trade</t>
        </is>
      </c>
      <c r="AX979" s="734" t="inlineStr">
        <is>
          <t>sig:12f651ddc8f713070d096f63</t>
        </is>
      </c>
    </row>
    <row r="980" ht="15" customHeight="1">
      <c r="A980" s="42" t="n"/>
      <c r="B980" s="770" t="n">
        <v>43536</v>
      </c>
      <c r="C980" s="771" t="n">
        <v>43536</v>
      </c>
      <c r="D980" s="12" t="inlineStr">
        <is>
          <t>PEPPERSTONE DEMO</t>
        </is>
      </c>
      <c r="E980" s="12" t="inlineStr">
        <is>
          <t>CASHFLOW</t>
        </is>
      </c>
      <c r="F980" s="12" t="inlineStr">
        <is>
          <t>WITHDRAWAL</t>
        </is>
      </c>
      <c r="G980" s="262" t="n"/>
      <c r="H980" s="262" t="n"/>
      <c r="I980" s="262" t="n"/>
      <c r="J980" s="263" t="n"/>
      <c r="K980" s="36" t="n"/>
      <c r="L980" s="263" t="n"/>
      <c r="M980" s="36" t="n"/>
      <c r="N980" s="779" t="n"/>
      <c r="O980" s="773" t="n"/>
      <c r="P980" s="3" t="n"/>
      <c r="Q980" s="51" t="n"/>
      <c r="R980" s="54" t="n">
        <v>505.92</v>
      </c>
      <c r="S980" s="12" t="n"/>
      <c r="T980" s="774" t="n"/>
      <c r="U980" s="6" t="n"/>
      <c r="V980" s="264" t="n"/>
      <c r="W980" s="9" t="n"/>
      <c r="X980" s="46" t="n"/>
      <c r="Y980" s="774" t="n"/>
      <c r="Z980" s="6" t="n"/>
      <c r="AA980" s="264" t="n"/>
      <c r="AB980" s="9" t="n"/>
      <c r="AC980" s="46" t="n"/>
      <c r="AD980" s="12" t="inlineStr">
        <is>
          <t>No</t>
        </is>
      </c>
      <c r="AE980" s="45" t="n"/>
      <c r="AF980" s="45" t="n"/>
      <c r="AG980" s="45" t="n"/>
      <c r="AH980" s="45" t="n"/>
      <c r="AI980" s="12" t="n"/>
      <c r="AJ980" s="45" t="n"/>
      <c r="AK980" s="45" t="n"/>
      <c r="AL980" s="45" t="n"/>
      <c r="AM980" s="45" t="n"/>
      <c r="AN980" s="45" t="n"/>
      <c r="AO980" s="45" t="n"/>
      <c r="AP980" s="12" t="n"/>
      <c r="AQ980" s="12" t="n"/>
      <c r="AR980" s="12" t="n"/>
      <c r="AS980" s="56" t="inlineStr">
        <is>
          <t>Withdrawal -401.53 AUD. Source: user_txt. Imported from account_cashflows.xlsx row 35.</t>
        </is>
      </c>
      <c r="AT980" s="45" t="n"/>
      <c r="AU980" s="12" t="n">
        <v>505.92</v>
      </c>
      <c r="AV980" s="12" t="inlineStr">
        <is>
          <t>AUD</t>
        </is>
      </c>
      <c r="AW980" s="12" t="inlineStr">
        <is>
          <t>cashflow</t>
        </is>
      </c>
      <c r="AX980" s="57" t="inlineStr">
        <is>
          <t>cashflow:PEPPERSTONE DEMO:2019-03-12T00:00:00:21</t>
        </is>
      </c>
    </row>
    <row r="981" ht="15" customHeight="1">
      <c r="A981" s="42" t="n"/>
      <c r="B981" s="770" t="n">
        <v>43536</v>
      </c>
      <c r="C981" s="771" t="n">
        <v>43536</v>
      </c>
      <c r="D981" s="12" t="inlineStr">
        <is>
          <t>PEPPERSTONE DEMO</t>
        </is>
      </c>
      <c r="E981" s="12" t="inlineStr">
        <is>
          <t>CASHFLOW</t>
        </is>
      </c>
      <c r="F981" s="12" t="inlineStr">
        <is>
          <t>DEPOSIT</t>
        </is>
      </c>
      <c r="G981" s="262" t="n"/>
      <c r="H981" s="262" t="n"/>
      <c r="I981" s="262" t="n"/>
      <c r="J981" s="263" t="n"/>
      <c r="K981" s="36" t="n"/>
      <c r="L981" s="263" t="n"/>
      <c r="M981" s="36" t="n"/>
      <c r="N981" s="779" t="n"/>
      <c r="O981" s="773" t="n"/>
      <c r="P981" s="3" t="n"/>
      <c r="Q981" s="51" t="n"/>
      <c r="R981" s="54" t="n">
        <v>907.45</v>
      </c>
      <c r="S981" s="12" t="n"/>
      <c r="T981" s="774" t="n"/>
      <c r="U981" s="6" t="n"/>
      <c r="V981" s="264" t="n"/>
      <c r="W981" s="9" t="n"/>
      <c r="X981" s="46" t="n"/>
      <c r="Y981" s="774" t="n"/>
      <c r="Z981" s="6" t="n"/>
      <c r="AA981" s="264" t="n"/>
      <c r="AB981" s="9" t="n"/>
      <c r="AC981" s="46" t="n"/>
      <c r="AD981" s="12" t="inlineStr">
        <is>
          <t>No</t>
        </is>
      </c>
      <c r="AE981" s="45" t="n"/>
      <c r="AF981" s="45" t="n"/>
      <c r="AG981" s="45" t="n"/>
      <c r="AH981" s="45" t="n"/>
      <c r="AI981" s="12" t="n"/>
      <c r="AJ981" s="45" t="n"/>
      <c r="AK981" s="45" t="n"/>
      <c r="AL981" s="45" t="n"/>
      <c r="AM981" s="45" t="n"/>
      <c r="AN981" s="45" t="n"/>
      <c r="AO981" s="45" t="n"/>
      <c r="AP981" s="12" t="n"/>
      <c r="AQ981" s="12" t="n"/>
      <c r="AR981" s="12" t="n"/>
      <c r="AS981" s="56" t="inlineStr">
        <is>
          <t>Deposit 500.0 AUD. Source: user_txt. Imported from account_cashflows.xlsx row 36.</t>
        </is>
      </c>
      <c r="AT981" s="45" t="n"/>
      <c r="AU981" s="12" t="n">
        <v>907.45</v>
      </c>
      <c r="AV981" s="12" t="inlineStr">
        <is>
          <t>AUD</t>
        </is>
      </c>
      <c r="AW981" s="12" t="inlineStr">
        <is>
          <t>cashflow</t>
        </is>
      </c>
      <c r="AX981" s="57" t="inlineStr">
        <is>
          <t>cashflow:PEPPERSTONE DEMO:2019-03-12T00:00:00:22</t>
        </is>
      </c>
    </row>
    <row r="982" ht="15" customHeight="1">
      <c r="A982" s="737" t="inlineStr">
        <is>
          <t>F558</t>
        </is>
      </c>
      <c r="B982" s="738" t="n">
        <v>43535.89930555555</v>
      </c>
      <c r="C982" s="739" t="n">
        <v>43535.93541666667</v>
      </c>
      <c r="D982" s="740" t="inlineStr">
        <is>
          <t>PEPPERSTONE DEMO</t>
        </is>
      </c>
      <c r="E982" s="740" t="inlineStr">
        <is>
          <t>EURUSD</t>
        </is>
      </c>
      <c r="F982" s="740" t="inlineStr">
        <is>
          <t>SELL</t>
        </is>
      </c>
      <c r="G982" s="775" t="n">
        <v>0.07000000000000001</v>
      </c>
      <c r="H982" s="742" t="n">
        <v>1.1243</v>
      </c>
      <c r="I982" s="742" t="n">
        <v>1.12389</v>
      </c>
      <c r="J982" s="743" t="n">
        <v>1.1247</v>
      </c>
      <c r="K982" s="765" t="n">
        <v>0.0003557769278661886</v>
      </c>
      <c r="L982" s="743" t="n">
        <v>1.1235</v>
      </c>
      <c r="M982" s="765" t="n">
        <v>0.0007115538557325748</v>
      </c>
      <c r="N982" s="796" t="n"/>
      <c r="O982" s="767" t="n">
        <v>2.42</v>
      </c>
      <c r="P982" s="747" t="n">
        <v>0.005974866059304252</v>
      </c>
      <c r="Q982" s="748" t="n">
        <v>1.025000000000166</v>
      </c>
      <c r="R982" s="769" t="n">
        <v>407.4499999999998</v>
      </c>
      <c r="S982" s="740" t="inlineStr">
        <is>
          <t>52M 0S</t>
        </is>
      </c>
      <c r="T982" s="738" t="n">
        <v>43535.92777777778</v>
      </c>
      <c r="U982" s="809" t="inlineStr">
        <is>
          <t>41M 0S</t>
        </is>
      </c>
      <c r="V982" s="752" t="n"/>
      <c r="W982" s="753" t="n"/>
      <c r="X982" s="754" t="n"/>
      <c r="Y982" s="738" t="n"/>
      <c r="Z982" s="809" t="n"/>
      <c r="AA982" s="752" t="n"/>
      <c r="AB982" s="753" t="n"/>
      <c r="AC982" s="754" t="n"/>
      <c r="AD982" s="740" t="inlineStr">
        <is>
          <t>No</t>
        </is>
      </c>
      <c r="AE982" s="755" t="n"/>
      <c r="AF982" s="755" t="n"/>
      <c r="AG982" s="755" t="n"/>
      <c r="AH982" s="755" t="n"/>
      <c r="AI982" s="740" t="inlineStr">
        <is>
          <t>Limit</t>
        </is>
      </c>
      <c r="AJ982" s="755" t="n"/>
      <c r="AK982" s="755" t="n"/>
      <c r="AL982" s="755" t="n"/>
      <c r="AM982" s="755" t="n"/>
      <c r="AN982" s="755" t="n"/>
      <c r="AO982" s="755" t="n"/>
      <c r="AP982" s="740" t="inlineStr">
        <is>
          <t>Pullback</t>
        </is>
      </c>
      <c r="AQ982" s="740" t="inlineStr">
        <is>
          <t>15MIN</t>
        </is>
      </c>
      <c r="AR982" s="740" t="inlineStr">
        <is>
          <t>No</t>
        </is>
      </c>
      <c r="AS982" s="755" t="n"/>
      <c r="AT982" s="755" t="n"/>
      <c r="AU982" s="755" t="n"/>
      <c r="AV982" s="755" t="n"/>
      <c r="AW982" s="740" t="inlineStr">
        <is>
          <t>trade</t>
        </is>
      </c>
      <c r="AX982" s="756" t="inlineStr">
        <is>
          <t>sig:5c668cbdb6228db67b8f3262</t>
        </is>
      </c>
    </row>
    <row r="983" ht="15" customHeight="1">
      <c r="A983" s="716" t="inlineStr">
        <is>
          <t>F559</t>
        </is>
      </c>
      <c r="B983" s="717" t="n">
        <v>43535.87569444445</v>
      </c>
      <c r="C983" s="718" t="n">
        <v>43535.87708333333</v>
      </c>
      <c r="D983" s="719" t="inlineStr">
        <is>
          <t>PEPPERSTONE DEMO</t>
        </is>
      </c>
      <c r="E983" s="719" t="inlineStr">
        <is>
          <t>EURUSD</t>
        </is>
      </c>
      <c r="F983" s="719" t="inlineStr">
        <is>
          <t>SELL</t>
        </is>
      </c>
      <c r="G983" s="735" t="n">
        <v>0.07000000000000001</v>
      </c>
      <c r="H983" s="720" t="n">
        <v>1.1243</v>
      </c>
      <c r="I983" s="720" t="n">
        <v>1.12471</v>
      </c>
      <c r="J983" s="721" t="n">
        <v>1.1247</v>
      </c>
      <c r="K983" s="760" t="n">
        <v>0.0003557769278661886</v>
      </c>
      <c r="L983" s="721" t="n">
        <v>1.1235</v>
      </c>
      <c r="M983" s="760" t="n">
        <v>0.0007115538557325748</v>
      </c>
      <c r="N983" s="788" t="n"/>
      <c r="O983" s="762" t="n">
        <v>-3.97</v>
      </c>
      <c r="P983" s="725" t="n">
        <v>-0.009706601466992669</v>
      </c>
      <c r="Q983" s="726" t="n">
        <v>-1.025000000000166</v>
      </c>
      <c r="R983" s="764" t="n">
        <v>405.0299999999998</v>
      </c>
      <c r="S983" s="719" t="inlineStr">
        <is>
          <t>2M 0S</t>
        </is>
      </c>
      <c r="T983" s="728" t="n"/>
      <c r="U983" s="729" t="n"/>
      <c r="V983" s="730" t="n"/>
      <c r="W983" s="731" t="n"/>
      <c r="X983" s="732" t="n"/>
      <c r="Y983" s="728" t="n"/>
      <c r="Z983" s="729" t="n"/>
      <c r="AA983" s="730" t="n"/>
      <c r="AB983" s="731" t="n"/>
      <c r="AC983" s="732" t="n"/>
      <c r="AD983" s="719" t="inlineStr">
        <is>
          <t>No</t>
        </is>
      </c>
      <c r="AE983" s="733" t="n"/>
      <c r="AF983" s="733" t="n"/>
      <c r="AG983" s="733" t="n"/>
      <c r="AH983" s="733" t="n"/>
      <c r="AI983" s="719" t="inlineStr">
        <is>
          <t>Limit</t>
        </is>
      </c>
      <c r="AJ983" s="733" t="n"/>
      <c r="AK983" s="733" t="n"/>
      <c r="AL983" s="733" t="n"/>
      <c r="AM983" s="733" t="n"/>
      <c r="AN983" s="733" t="n"/>
      <c r="AO983" s="733" t="n"/>
      <c r="AP983" s="719" t="inlineStr">
        <is>
          <t>Pullback</t>
        </is>
      </c>
      <c r="AQ983" s="719" t="inlineStr">
        <is>
          <t>15MIN</t>
        </is>
      </c>
      <c r="AR983" s="719" t="inlineStr">
        <is>
          <t>No</t>
        </is>
      </c>
      <c r="AS983" s="733" t="n"/>
      <c r="AT983" s="733" t="n"/>
      <c r="AU983" s="733" t="n"/>
      <c r="AV983" s="733" t="n"/>
      <c r="AW983" s="719" t="inlineStr">
        <is>
          <t>trade</t>
        </is>
      </c>
      <c r="AX983" s="734" t="inlineStr">
        <is>
          <t>sig:2176ab9e217de48733cf12cd</t>
        </is>
      </c>
    </row>
    <row r="984" ht="15" customHeight="1">
      <c r="A984" s="716" t="inlineStr">
        <is>
          <t>F556</t>
        </is>
      </c>
      <c r="B984" s="717" t="n">
        <v>43533.01041666666</v>
      </c>
      <c r="C984" s="718" t="n">
        <v>43533.08125</v>
      </c>
      <c r="D984" s="719" t="inlineStr">
        <is>
          <t>PEPPERSTONE DEMO</t>
        </is>
      </c>
      <c r="E984" s="719" t="inlineStr">
        <is>
          <t>USDCAD</t>
        </is>
      </c>
      <c r="F984" s="719" t="inlineStr">
        <is>
          <t>SELL</t>
        </is>
      </c>
      <c r="G984" s="735" t="n">
        <v>0.04</v>
      </c>
      <c r="H984" s="720" t="n">
        <v>1.3429</v>
      </c>
      <c r="I984" s="720" t="n">
        <v>1.34397</v>
      </c>
      <c r="J984" s="721" t="n">
        <v>1.3439</v>
      </c>
      <c r="K984" s="760" t="n">
        <v>0.0007446570854122511</v>
      </c>
      <c r="L984" s="721" t="n">
        <v>1.3389</v>
      </c>
      <c r="M984" s="722" t="n">
        <v>0.002978628341648673</v>
      </c>
      <c r="N984" s="788" t="n"/>
      <c r="O984" s="762" t="n">
        <v>-4.23</v>
      </c>
      <c r="P984" s="725" t="n">
        <v>-0.01023643007526076</v>
      </c>
      <c r="Q984" s="726" t="n">
        <v>-1.070000000000007</v>
      </c>
      <c r="R984" s="764" t="n">
        <v>408.9999999999998</v>
      </c>
      <c r="S984" s="719" t="inlineStr">
        <is>
          <t>1H 42M 0S</t>
        </is>
      </c>
      <c r="T984" s="728" t="n"/>
      <c r="U984" s="729" t="n"/>
      <c r="V984" s="730" t="n"/>
      <c r="W984" s="731" t="n"/>
      <c r="X984" s="732" t="n"/>
      <c r="Y984" s="728" t="n"/>
      <c r="Z984" s="729" t="n"/>
      <c r="AA984" s="730" t="n"/>
      <c r="AB984" s="731" t="n"/>
      <c r="AC984" s="732" t="n"/>
      <c r="AD984" s="719" t="inlineStr">
        <is>
          <t>No</t>
        </is>
      </c>
      <c r="AE984" s="733" t="n"/>
      <c r="AF984" s="733" t="n"/>
      <c r="AG984" s="733" t="n"/>
      <c r="AH984" s="733" t="n"/>
      <c r="AI984" s="719" t="inlineStr">
        <is>
          <t>Limit</t>
        </is>
      </c>
      <c r="AJ984" s="733" t="n"/>
      <c r="AK984" s="733" t="n"/>
      <c r="AL984" s="733" t="n"/>
      <c r="AM984" s="733" t="n"/>
      <c r="AN984" s="733" t="n"/>
      <c r="AO984" s="733" t="n"/>
      <c r="AP984" s="719" t="inlineStr">
        <is>
          <t>Pullback</t>
        </is>
      </c>
      <c r="AQ984" s="719" t="inlineStr">
        <is>
          <t>15MIN</t>
        </is>
      </c>
      <c r="AR984" s="719" t="inlineStr">
        <is>
          <t>No</t>
        </is>
      </c>
      <c r="AS984" s="733" t="n"/>
      <c r="AT984" s="733" t="n"/>
      <c r="AU984" s="733" t="n"/>
      <c r="AV984" s="733" t="n"/>
      <c r="AW984" s="719" t="inlineStr">
        <is>
          <t>trade</t>
        </is>
      </c>
      <c r="AX984" s="734" t="inlineStr">
        <is>
          <t>sig:07e656c3711293361595bab2</t>
        </is>
      </c>
    </row>
    <row r="985" ht="15" customHeight="1">
      <c r="A985" s="716" t="inlineStr">
        <is>
          <t>F557</t>
        </is>
      </c>
      <c r="B985" s="717" t="n">
        <v>43533</v>
      </c>
      <c r="C985" s="718" t="n">
        <v>43533.00208333333</v>
      </c>
      <c r="D985" s="719" t="inlineStr">
        <is>
          <t>PEPPERSTONE DEMO</t>
        </is>
      </c>
      <c r="E985" s="719" t="inlineStr">
        <is>
          <t>USDCAD</t>
        </is>
      </c>
      <c r="F985" s="719" t="inlineStr">
        <is>
          <t>SELL</t>
        </is>
      </c>
      <c r="G985" s="735" t="n">
        <v>0.03</v>
      </c>
      <c r="H985" s="720" t="n">
        <v>1.3426</v>
      </c>
      <c r="I985" s="720" t="n">
        <v>1.34384</v>
      </c>
      <c r="J985" s="721" t="n">
        <v>1.3438</v>
      </c>
      <c r="K985" s="760" t="n">
        <v>0.0008937881722032548</v>
      </c>
      <c r="L985" s="721" t="n">
        <v>1.339</v>
      </c>
      <c r="M985" s="722" t="n">
        <v>0.002681364516609599</v>
      </c>
      <c r="N985" s="788" t="n"/>
      <c r="O985" s="762" t="n">
        <v>-3.81</v>
      </c>
      <c r="P985" s="725" t="n">
        <v>-0.009135814310377906</v>
      </c>
      <c r="Q985" s="726" t="n">
        <v>-1.033333333333179</v>
      </c>
      <c r="R985" s="764" t="n">
        <v>413.2299999999998</v>
      </c>
      <c r="S985" s="719" t="inlineStr">
        <is>
          <t>3M 0S</t>
        </is>
      </c>
      <c r="T985" s="717" t="n"/>
      <c r="U985" s="806" t="n"/>
      <c r="V985" s="730" t="n"/>
      <c r="W985" s="731" t="n"/>
      <c r="X985" s="732" t="n"/>
      <c r="Y985" s="728" t="n"/>
      <c r="Z985" s="729" t="n"/>
      <c r="AA985" s="730" t="n"/>
      <c r="AB985" s="731" t="n"/>
      <c r="AC985" s="732" t="n"/>
      <c r="AD985" s="719" t="inlineStr">
        <is>
          <t>No</t>
        </is>
      </c>
      <c r="AE985" s="733" t="n"/>
      <c r="AF985" s="733" t="n"/>
      <c r="AG985" s="733" t="n"/>
      <c r="AH985" s="733" t="n"/>
      <c r="AI985" s="719" t="inlineStr">
        <is>
          <t>Limit</t>
        </is>
      </c>
      <c r="AJ985" s="733" t="n"/>
      <c r="AK985" s="733" t="n"/>
      <c r="AL985" s="733" t="n"/>
      <c r="AM985" s="733" t="n"/>
      <c r="AN985" s="733" t="n"/>
      <c r="AO985" s="733" t="n"/>
      <c r="AP985" s="719" t="inlineStr">
        <is>
          <t>Pullback</t>
        </is>
      </c>
      <c r="AQ985" s="719" t="inlineStr">
        <is>
          <t>15MIN</t>
        </is>
      </c>
      <c r="AR985" s="719" t="inlineStr">
        <is>
          <t>No</t>
        </is>
      </c>
      <c r="AS985" s="733" t="n"/>
      <c r="AT985" s="733" t="n"/>
      <c r="AU985" s="733" t="n"/>
      <c r="AV985" s="733" t="n"/>
      <c r="AW985" s="719" t="inlineStr">
        <is>
          <t>trade</t>
        </is>
      </c>
      <c r="AX985" s="734" t="inlineStr">
        <is>
          <t>sig:49dfce9e728ea4d1b111e947</t>
        </is>
      </c>
    </row>
    <row r="986" ht="15" customHeight="1">
      <c r="A986" s="737" t="inlineStr">
        <is>
          <t>F555</t>
        </is>
      </c>
      <c r="B986" s="738" t="n">
        <v>43532.91805555556</v>
      </c>
      <c r="C986" s="739" t="n">
        <v>43532.97847222222</v>
      </c>
      <c r="D986" s="740" t="inlineStr">
        <is>
          <t>PEPPERSTONE DEMO</t>
        </is>
      </c>
      <c r="E986" s="740" t="inlineStr">
        <is>
          <t>USDJPY</t>
        </is>
      </c>
      <c r="F986" s="740" t="inlineStr">
        <is>
          <t>SELL</t>
        </is>
      </c>
      <c r="G986" s="775" t="n">
        <v>0.04</v>
      </c>
      <c r="H986" s="742" t="n">
        <v>111.15</v>
      </c>
      <c r="I986" s="742" t="n">
        <v>111.127</v>
      </c>
      <c r="J986" s="743" t="n">
        <v>111.23</v>
      </c>
      <c r="K986" s="765" t="n">
        <v>0.0007197480881691254</v>
      </c>
      <c r="L986" s="743" t="n">
        <v>110.99</v>
      </c>
      <c r="M986" s="744" t="n">
        <v>0.001439496176338379</v>
      </c>
      <c r="N986" s="796" t="n"/>
      <c r="O986" s="767" t="n">
        <v>1.64</v>
      </c>
      <c r="P986" s="747" t="n">
        <v>0.003948001925854599</v>
      </c>
      <c r="Q986" s="748" t="n">
        <v>0.2875000000001354</v>
      </c>
      <c r="R986" s="769" t="n">
        <v>417.0399999999998</v>
      </c>
      <c r="S986" s="740" t="inlineStr">
        <is>
          <t>1H 27M 0S</t>
        </is>
      </c>
      <c r="T986" s="750" t="n"/>
      <c r="U986" s="751" t="n"/>
      <c r="V986" s="752" t="n"/>
      <c r="W986" s="753" t="n"/>
      <c r="X986" s="754" t="n"/>
      <c r="Y986" s="750" t="n"/>
      <c r="Z986" s="751" t="n"/>
      <c r="AA986" s="752" t="n"/>
      <c r="AB986" s="753" t="n"/>
      <c r="AC986" s="754" t="n"/>
      <c r="AD986" s="740" t="inlineStr">
        <is>
          <t>No</t>
        </is>
      </c>
      <c r="AE986" s="755" t="n"/>
      <c r="AF986" s="755" t="n"/>
      <c r="AG986" s="755" t="n"/>
      <c r="AH986" s="755" t="n"/>
      <c r="AI986" s="740" t="inlineStr">
        <is>
          <t>Limit</t>
        </is>
      </c>
      <c r="AJ986" s="755" t="n"/>
      <c r="AK986" s="755" t="n"/>
      <c r="AL986" s="755" t="n"/>
      <c r="AM986" s="755" t="n"/>
      <c r="AN986" s="755" t="n"/>
      <c r="AO986" s="755" t="n"/>
      <c r="AP986" s="740" t="inlineStr">
        <is>
          <t>Pullback</t>
        </is>
      </c>
      <c r="AQ986" s="740" t="inlineStr">
        <is>
          <t>15MIN</t>
        </is>
      </c>
      <c r="AR986" s="740" t="inlineStr">
        <is>
          <t>No</t>
        </is>
      </c>
      <c r="AS986" s="755" t="n"/>
      <c r="AT986" s="755" t="n"/>
      <c r="AU986" s="755" t="n"/>
      <c r="AV986" s="755" t="n"/>
      <c r="AW986" s="740" t="inlineStr">
        <is>
          <t>trade</t>
        </is>
      </c>
      <c r="AX986" s="756" t="inlineStr">
        <is>
          <t>sig:126eb7aaef5f5d176fd000a6</t>
        </is>
      </c>
    </row>
    <row r="987" ht="15" customHeight="1">
      <c r="A987" s="737" t="inlineStr">
        <is>
          <t>F552</t>
        </is>
      </c>
      <c r="B987" s="738" t="n">
        <v>43531.78611111111</v>
      </c>
      <c r="C987" s="739" t="n">
        <v>43531.79652777778</v>
      </c>
      <c r="D987" s="740" t="inlineStr">
        <is>
          <t>PEPPERSTONE DEMO</t>
        </is>
      </c>
      <c r="E987" s="740" t="inlineStr">
        <is>
          <t>USDCAD</t>
        </is>
      </c>
      <c r="F987" s="740" t="inlineStr">
        <is>
          <t>SELL</t>
        </is>
      </c>
      <c r="G987" s="775" t="n">
        <v>0.09</v>
      </c>
      <c r="H987" s="742" t="n">
        <v>1.3443</v>
      </c>
      <c r="I987" s="742" t="n">
        <v>1.34357</v>
      </c>
      <c r="J987" s="743" t="n">
        <v>1.3447</v>
      </c>
      <c r="K987" s="765" t="n">
        <v>0.0002975526296213315</v>
      </c>
      <c r="L987" s="743" t="n">
        <v>1.3435</v>
      </c>
      <c r="M987" s="765" t="n">
        <v>0.0005951052592428281</v>
      </c>
      <c r="N987" s="796" t="n"/>
      <c r="O987" s="767" t="n">
        <v>5.27</v>
      </c>
      <c r="P987" s="747" t="n">
        <v>0.01284958427815571</v>
      </c>
      <c r="Q987" s="748" t="n">
        <v>1.8250000000005</v>
      </c>
      <c r="R987" s="769" t="n">
        <v>415.3999999999999</v>
      </c>
      <c r="S987" s="740" t="inlineStr">
        <is>
          <t>15M 0S</t>
        </is>
      </c>
      <c r="T987" s="738" t="n">
        <v>43531.78958333333</v>
      </c>
      <c r="U987" s="809" t="inlineStr">
        <is>
          <t>5M 0S</t>
        </is>
      </c>
      <c r="V987" s="752" t="n"/>
      <c r="W987" s="753" t="n"/>
      <c r="X987" s="754" t="n"/>
      <c r="Y987" s="738" t="n">
        <v>43531.79166666666</v>
      </c>
      <c r="Z987" s="809" t="inlineStr">
        <is>
          <t>8M 0S</t>
        </is>
      </c>
      <c r="AA987" s="752" t="n"/>
      <c r="AB987" s="753" t="n"/>
      <c r="AC987" s="754" t="n"/>
      <c r="AD987" s="740" t="inlineStr">
        <is>
          <t>No</t>
        </is>
      </c>
      <c r="AE987" s="755" t="n"/>
      <c r="AF987" s="755" t="n"/>
      <c r="AG987" s="755" t="n"/>
      <c r="AH987" s="755" t="n"/>
      <c r="AI987" s="740" t="inlineStr">
        <is>
          <t>Limit</t>
        </is>
      </c>
      <c r="AJ987" s="755" t="n"/>
      <c r="AK987" s="755" t="n"/>
      <c r="AL987" s="755" t="n"/>
      <c r="AM987" s="755" t="n"/>
      <c r="AN987" s="755" t="n"/>
      <c r="AO987" s="755" t="n"/>
      <c r="AP987" s="740" t="inlineStr">
        <is>
          <t>Pullback</t>
        </is>
      </c>
      <c r="AQ987" s="740" t="inlineStr">
        <is>
          <t>15MIN</t>
        </is>
      </c>
      <c r="AR987" s="740" t="inlineStr">
        <is>
          <t>No</t>
        </is>
      </c>
      <c r="AS987" s="755" t="n"/>
      <c r="AT987" s="755" t="n"/>
      <c r="AU987" s="755" t="n"/>
      <c r="AV987" s="755" t="n"/>
      <c r="AW987" s="740" t="inlineStr">
        <is>
          <t>trade</t>
        </is>
      </c>
      <c r="AX987" s="756" t="inlineStr">
        <is>
          <t>sig:85e0a4af6b89f9935bcb93c1</t>
        </is>
      </c>
    </row>
    <row r="988" ht="15" customHeight="1">
      <c r="A988" s="716" t="inlineStr">
        <is>
          <t>F550</t>
        </is>
      </c>
      <c r="B988" s="717" t="n">
        <v>43531.75416666667</v>
      </c>
      <c r="C988" s="718" t="n">
        <v>43531.76875</v>
      </c>
      <c r="D988" s="719" t="inlineStr">
        <is>
          <t>PEPPERSTONE DEMO</t>
        </is>
      </c>
      <c r="E988" s="719" t="inlineStr">
        <is>
          <t>GBPUSD</t>
        </is>
      </c>
      <c r="F988" s="719" t="inlineStr">
        <is>
          <t>BUY</t>
        </is>
      </c>
      <c r="G988" s="735" t="n">
        <v>0.04</v>
      </c>
      <c r="H988" s="720" t="n">
        <v>1.3169</v>
      </c>
      <c r="I988" s="720" t="n">
        <v>1.31627</v>
      </c>
      <c r="J988" s="721" t="n">
        <v>1.3162</v>
      </c>
      <c r="K988" s="760" t="n">
        <v>0.0005315513706431186</v>
      </c>
      <c r="L988" s="721" t="n">
        <v>1.3183</v>
      </c>
      <c r="M988" s="722" t="n">
        <v>0.001063102741286406</v>
      </c>
      <c r="N988" s="788" t="n"/>
      <c r="O988" s="762" t="n">
        <v>-3.98</v>
      </c>
      <c r="P988" s="725" t="n">
        <v>-0.009610972929897856</v>
      </c>
      <c r="Q988" s="726" t="n">
        <v>-0.8999999999999683</v>
      </c>
      <c r="R988" s="764" t="n">
        <v>410.1299999999999</v>
      </c>
      <c r="S988" s="719" t="inlineStr">
        <is>
          <t>21M 0S</t>
        </is>
      </c>
      <c r="T988" s="728" t="n"/>
      <c r="U988" s="729" t="n"/>
      <c r="V988" s="730" t="n"/>
      <c r="W988" s="731" t="n"/>
      <c r="X988" s="732" t="n"/>
      <c r="Y988" s="728" t="n"/>
      <c r="Z988" s="729" t="n"/>
      <c r="AA988" s="730" t="n"/>
      <c r="AB988" s="731" t="n"/>
      <c r="AC988" s="732" t="n"/>
      <c r="AD988" s="719" t="inlineStr">
        <is>
          <t>No</t>
        </is>
      </c>
      <c r="AE988" s="733" t="n"/>
      <c r="AF988" s="733" t="n"/>
      <c r="AG988" s="733" t="n"/>
      <c r="AH988" s="733" t="n"/>
      <c r="AI988" s="719" t="inlineStr">
        <is>
          <t>Limit</t>
        </is>
      </c>
      <c r="AJ988" s="733" t="n"/>
      <c r="AK988" s="733" t="n"/>
      <c r="AL988" s="733" t="n"/>
      <c r="AM988" s="733" t="n"/>
      <c r="AN988" s="733" t="n"/>
      <c r="AO988" s="733" t="n"/>
      <c r="AP988" s="719" t="inlineStr">
        <is>
          <t>Pullback</t>
        </is>
      </c>
      <c r="AQ988" s="719" t="inlineStr">
        <is>
          <t>15MIN</t>
        </is>
      </c>
      <c r="AR988" s="719" t="inlineStr">
        <is>
          <t>No</t>
        </is>
      </c>
      <c r="AS988" s="733" t="n"/>
      <c r="AT988" s="733" t="n"/>
      <c r="AU988" s="733" t="n"/>
      <c r="AV988" s="733" t="n"/>
      <c r="AW988" s="719" t="inlineStr">
        <is>
          <t>trade</t>
        </is>
      </c>
      <c r="AX988" s="734" t="inlineStr">
        <is>
          <t>sig:2f26b50001555b722e9532ea</t>
        </is>
      </c>
    </row>
    <row r="989" ht="15" customHeight="1">
      <c r="A989" s="716" t="inlineStr">
        <is>
          <t>F551</t>
        </is>
      </c>
      <c r="B989" s="717" t="n">
        <v>43531.16388888889</v>
      </c>
      <c r="C989" s="718" t="n">
        <v>43531.22291666667</v>
      </c>
      <c r="D989" s="719" t="inlineStr">
        <is>
          <t>PEPPERSTONE DEMO</t>
        </is>
      </c>
      <c r="E989" s="719" t="inlineStr">
        <is>
          <t>GBPUSD</t>
        </is>
      </c>
      <c r="F989" s="719" t="inlineStr">
        <is>
          <t>SELL</t>
        </is>
      </c>
      <c r="G989" s="735" t="n">
        <v>0.02</v>
      </c>
      <c r="H989" s="720" t="n">
        <v>1.3162</v>
      </c>
      <c r="I989" s="720" t="n">
        <v>1.31735</v>
      </c>
      <c r="J989" s="721" t="n">
        <v>1.3174</v>
      </c>
      <c r="K989" s="760" t="n">
        <v>0.0009117155447499375</v>
      </c>
      <c r="L989" s="721" t="n">
        <v>1.314</v>
      </c>
      <c r="M989" s="722" t="n">
        <v>0.001671478498708388</v>
      </c>
      <c r="N989" s="761" t="n"/>
      <c r="O989" s="762" t="n">
        <v>-3.13</v>
      </c>
      <c r="P989" s="725" t="n">
        <v>-0.007501677691496502</v>
      </c>
      <c r="Q989" s="726" t="n">
        <v>-0.9583333333334259</v>
      </c>
      <c r="R989" s="764" t="n">
        <v>414.1099999999999</v>
      </c>
      <c r="S989" s="719" t="inlineStr">
        <is>
          <t>1H 25M 0S</t>
        </is>
      </c>
      <c r="T989" s="717" t="n"/>
      <c r="U989" s="806" t="n"/>
      <c r="V989" s="730" t="n"/>
      <c r="W989" s="731" t="n"/>
      <c r="X989" s="732" t="n"/>
      <c r="Y989" s="728" t="n"/>
      <c r="Z989" s="729" t="n"/>
      <c r="AA989" s="730" t="n"/>
      <c r="AB989" s="731" t="n"/>
      <c r="AC989" s="732" t="n"/>
      <c r="AD989" s="719" t="inlineStr">
        <is>
          <t>No</t>
        </is>
      </c>
      <c r="AE989" s="733" t="n"/>
      <c r="AF989" s="733" t="n"/>
      <c r="AG989" s="733" t="n"/>
      <c r="AH989" s="733" t="n"/>
      <c r="AI989" s="719" t="inlineStr">
        <is>
          <t>Limit</t>
        </is>
      </c>
      <c r="AJ989" s="733" t="n"/>
      <c r="AK989" s="733" t="n"/>
      <c r="AL989" s="733" t="n"/>
      <c r="AM989" s="733" t="n"/>
      <c r="AN989" s="733" t="n"/>
      <c r="AO989" s="733" t="n"/>
      <c r="AP989" s="719" t="inlineStr">
        <is>
          <t>Pullback</t>
        </is>
      </c>
      <c r="AQ989" s="719" t="inlineStr">
        <is>
          <t>15MIN</t>
        </is>
      </c>
      <c r="AR989" s="719" t="inlineStr">
        <is>
          <t>No</t>
        </is>
      </c>
      <c r="AS989" s="733" t="n"/>
      <c r="AT989" s="733" t="n"/>
      <c r="AU989" s="733" t="n"/>
      <c r="AV989" s="733" t="n"/>
      <c r="AW989" s="719" t="inlineStr">
        <is>
          <t>trade</t>
        </is>
      </c>
      <c r="AX989" s="734" t="inlineStr">
        <is>
          <t>sig:0d05b992f2c47f3ccdc35049</t>
        </is>
      </c>
    </row>
    <row r="990" ht="15" customHeight="1">
      <c r="A990" s="737" t="inlineStr">
        <is>
          <t>F553</t>
        </is>
      </c>
      <c r="B990" s="738" t="n">
        <v>43531.08333333334</v>
      </c>
      <c r="C990" s="739" t="n">
        <v>43531.12777777778</v>
      </c>
      <c r="D990" s="740" t="inlineStr">
        <is>
          <t>PEPPERSTONE DEMO</t>
        </is>
      </c>
      <c r="E990" s="740" t="inlineStr">
        <is>
          <t>USDCAD</t>
        </is>
      </c>
      <c r="F990" s="740" t="inlineStr">
        <is>
          <t>BUY</t>
        </is>
      </c>
      <c r="G990" s="775" t="n">
        <v>0.03</v>
      </c>
      <c r="H990" s="742" t="n">
        <v>1.3421</v>
      </c>
      <c r="I990" s="742" t="n">
        <v>1.34434</v>
      </c>
      <c r="J990" s="743" t="n">
        <v>1.3409</v>
      </c>
      <c r="K990" s="765" t="n">
        <v>0.0008941211534163548</v>
      </c>
      <c r="L990" s="743" t="n">
        <v>1.3457</v>
      </c>
      <c r="M990" s="744" t="n">
        <v>0.002682363460248734</v>
      </c>
      <c r="N990" s="796" t="n"/>
      <c r="O990" s="767" t="n">
        <v>6.59</v>
      </c>
      <c r="P990" s="747" t="n">
        <v>0.01604772920978936</v>
      </c>
      <c r="Q990" s="748" t="n">
        <v>1.866666666666543</v>
      </c>
      <c r="R990" s="769" t="n">
        <v>417.2399999999999</v>
      </c>
      <c r="S990" s="740" t="inlineStr">
        <is>
          <t>1H 4M 0S</t>
        </is>
      </c>
      <c r="T990" s="738" t="n">
        <v>43531.10069444445</v>
      </c>
      <c r="U990" s="809" t="inlineStr">
        <is>
          <t>25M 0S</t>
        </is>
      </c>
      <c r="V990" s="752" t="n"/>
      <c r="W990" s="753" t="n"/>
      <c r="X990" s="754" t="n"/>
      <c r="Y990" s="738" t="n">
        <v>43531.12638888889</v>
      </c>
      <c r="Z990" s="809" t="inlineStr">
        <is>
          <t>1H 2M 0S</t>
        </is>
      </c>
      <c r="AA990" s="752" t="n"/>
      <c r="AB990" s="753" t="n"/>
      <c r="AC990" s="754" t="n"/>
      <c r="AD990" s="740" t="inlineStr">
        <is>
          <t>No</t>
        </is>
      </c>
      <c r="AE990" s="755" t="n"/>
      <c r="AF990" s="755" t="n"/>
      <c r="AG990" s="755" t="n"/>
      <c r="AH990" s="755" t="n"/>
      <c r="AI990" s="740" t="inlineStr">
        <is>
          <t>Limit</t>
        </is>
      </c>
      <c r="AJ990" s="755" t="n"/>
      <c r="AK990" s="755" t="n"/>
      <c r="AL990" s="755" t="n"/>
      <c r="AM990" s="755" t="n"/>
      <c r="AN990" s="755" t="n"/>
      <c r="AO990" s="755" t="n"/>
      <c r="AP990" s="740" t="inlineStr">
        <is>
          <t>Pullback</t>
        </is>
      </c>
      <c r="AQ990" s="740" t="inlineStr">
        <is>
          <t>15MIN</t>
        </is>
      </c>
      <c r="AR990" s="740" t="inlineStr">
        <is>
          <t>No</t>
        </is>
      </c>
      <c r="AS990" s="755" t="n"/>
      <c r="AT990" s="755" t="n"/>
      <c r="AU990" s="755" t="n"/>
      <c r="AV990" s="755" t="n"/>
      <c r="AW990" s="740" t="inlineStr">
        <is>
          <t>trade</t>
        </is>
      </c>
      <c r="AX990" s="756" t="inlineStr">
        <is>
          <t>sig:4e328795c0eada272aad90df</t>
        </is>
      </c>
    </row>
    <row r="991" ht="15" customHeight="1">
      <c r="A991" s="716" t="inlineStr">
        <is>
          <t>F554</t>
        </is>
      </c>
      <c r="B991" s="717" t="n">
        <v>43531.07291666666</v>
      </c>
      <c r="C991" s="718" t="n">
        <v>43531.07986111111</v>
      </c>
      <c r="D991" s="719" t="inlineStr">
        <is>
          <t>PEPPERSTONE DEMO</t>
        </is>
      </c>
      <c r="E991" s="719" t="inlineStr">
        <is>
          <t>USDCAD</t>
        </is>
      </c>
      <c r="F991" s="719" t="inlineStr">
        <is>
          <t>BUY</t>
        </is>
      </c>
      <c r="G991" s="735" t="n">
        <v>0.03</v>
      </c>
      <c r="H991" s="720" t="n">
        <v>1.3431</v>
      </c>
      <c r="I991" s="720" t="n">
        <v>1.34219</v>
      </c>
      <c r="J991" s="721" t="n">
        <v>1.3421</v>
      </c>
      <c r="K991" s="760" t="n">
        <v>0.0007445461990915717</v>
      </c>
      <c r="L991" s="721" t="n">
        <v>1.3451</v>
      </c>
      <c r="M991" s="722" t="n">
        <v>0.001489092398183309</v>
      </c>
      <c r="N991" s="788" t="n"/>
      <c r="O991" s="762" t="n">
        <v>-3.18</v>
      </c>
      <c r="P991" s="725" t="n">
        <v>-0.007684314815262308</v>
      </c>
      <c r="Q991" s="726" t="n">
        <v>-0.9100000000000666</v>
      </c>
      <c r="R991" s="764" t="n">
        <v>410.6499999999999</v>
      </c>
      <c r="S991" s="719" t="inlineStr">
        <is>
          <t>10M 0S</t>
        </is>
      </c>
      <c r="T991" s="728" t="n"/>
      <c r="U991" s="729" t="n"/>
      <c r="V991" s="730" t="n"/>
      <c r="W991" s="731" t="n"/>
      <c r="X991" s="732" t="n"/>
      <c r="Y991" s="728" t="n"/>
      <c r="Z991" s="729" t="n"/>
      <c r="AA991" s="730" t="n"/>
      <c r="AB991" s="731" t="n"/>
      <c r="AC991" s="732" t="n"/>
      <c r="AD991" s="719" t="inlineStr">
        <is>
          <t>No</t>
        </is>
      </c>
      <c r="AE991" s="733" t="n"/>
      <c r="AF991" s="733" t="n"/>
      <c r="AG991" s="733" t="n"/>
      <c r="AH991" s="733" t="n"/>
      <c r="AI991" s="719" t="inlineStr">
        <is>
          <t>Limit</t>
        </is>
      </c>
      <c r="AJ991" s="733" t="n"/>
      <c r="AK991" s="733" t="n"/>
      <c r="AL991" s="733" t="n"/>
      <c r="AM991" s="733" t="n"/>
      <c r="AN991" s="733" t="n"/>
      <c r="AO991" s="733" t="n"/>
      <c r="AP991" s="719" t="inlineStr">
        <is>
          <t>Pullback</t>
        </is>
      </c>
      <c r="AQ991" s="719" t="inlineStr">
        <is>
          <t>15MIN</t>
        </is>
      </c>
      <c r="AR991" s="719" t="inlineStr">
        <is>
          <t>No</t>
        </is>
      </c>
      <c r="AS991" s="733" t="n"/>
      <c r="AT991" s="733" t="n"/>
      <c r="AU991" s="733" t="n"/>
      <c r="AV991" s="733" t="n"/>
      <c r="AW991" s="719" t="inlineStr">
        <is>
          <t>trade</t>
        </is>
      </c>
      <c r="AX991" s="734" t="inlineStr">
        <is>
          <t>sig:b0c7c6654246dda40c605fd6</t>
        </is>
      </c>
    </row>
    <row r="992" ht="15" customHeight="1">
      <c r="A992" s="716" t="inlineStr">
        <is>
          <t>F548</t>
        </is>
      </c>
      <c r="B992" s="717" t="n">
        <v>43530.64861111111</v>
      </c>
      <c r="C992" s="718" t="n">
        <v>43530.65208333333</v>
      </c>
      <c r="D992" s="719" t="inlineStr">
        <is>
          <t>PEPPERSTONE DEMO</t>
        </is>
      </c>
      <c r="E992" s="719" t="inlineStr">
        <is>
          <t>USDJPY</t>
        </is>
      </c>
      <c r="F992" s="719" t="inlineStr">
        <is>
          <t>SELL</t>
        </is>
      </c>
      <c r="G992" s="720" t="n">
        <v>0.11</v>
      </c>
      <c r="H992" s="720" t="n">
        <v>111.79</v>
      </c>
      <c r="I992" s="720" t="n">
        <v>111.822</v>
      </c>
      <c r="J992" s="721" t="n">
        <v>111.82</v>
      </c>
      <c r="K992" s="760" t="n">
        <v>0.0002683603184541276</v>
      </c>
      <c r="L992" s="721" t="n">
        <v>111.73</v>
      </c>
      <c r="M992" s="760" t="n">
        <v>0.0005367206369085094</v>
      </c>
      <c r="N992" s="788" t="n"/>
      <c r="O992" s="762" t="n">
        <v>-4.2</v>
      </c>
      <c r="P992" s="725" t="n">
        <v>-0.01004712580436811</v>
      </c>
      <c r="Q992" s="726" t="n">
        <v>-1.066666666667014</v>
      </c>
      <c r="R992" s="764" t="n">
        <v>413.8299999999999</v>
      </c>
      <c r="S992" s="719" t="inlineStr">
        <is>
          <t>5M 0S</t>
        </is>
      </c>
      <c r="T992" s="717" t="n"/>
      <c r="U992" s="806" t="n"/>
      <c r="V992" s="730" t="n"/>
      <c r="W992" s="731" t="n"/>
      <c r="X992" s="732" t="n"/>
      <c r="Y992" s="728" t="n"/>
      <c r="Z992" s="729" t="n"/>
      <c r="AA992" s="730" t="n"/>
      <c r="AB992" s="731" t="n"/>
      <c r="AC992" s="732" t="n"/>
      <c r="AD992" s="719" t="inlineStr">
        <is>
          <t>No</t>
        </is>
      </c>
      <c r="AE992" s="733" t="n"/>
      <c r="AF992" s="733" t="n"/>
      <c r="AG992" s="733" t="n"/>
      <c r="AH992" s="733" t="n"/>
      <c r="AI992" s="719" t="inlineStr">
        <is>
          <t>Limit</t>
        </is>
      </c>
      <c r="AJ992" s="733" t="n"/>
      <c r="AK992" s="733" t="n"/>
      <c r="AL992" s="733" t="n"/>
      <c r="AM992" s="733" t="n"/>
      <c r="AN992" s="733" t="n"/>
      <c r="AO992" s="733" t="n"/>
      <c r="AP992" s="719" t="inlineStr">
        <is>
          <t>Pullback</t>
        </is>
      </c>
      <c r="AQ992" s="719" t="inlineStr">
        <is>
          <t>15MIN</t>
        </is>
      </c>
      <c r="AR992" s="719" t="inlineStr">
        <is>
          <t>No</t>
        </is>
      </c>
      <c r="AS992" s="733" t="n"/>
      <c r="AT992" s="733" t="n"/>
      <c r="AU992" s="733" t="n"/>
      <c r="AV992" s="733" t="n"/>
      <c r="AW992" s="719" t="inlineStr">
        <is>
          <t>trade</t>
        </is>
      </c>
      <c r="AX992" s="734" t="inlineStr">
        <is>
          <t>sig:469d2ba47aa99bc1b3f258bc</t>
        </is>
      </c>
    </row>
    <row r="993" ht="15" customHeight="1">
      <c r="A993" s="737" t="inlineStr">
        <is>
          <t>F547</t>
        </is>
      </c>
      <c r="B993" s="738" t="n">
        <v>43530.55138888889</v>
      </c>
      <c r="C993" s="739" t="n">
        <v>43530.625</v>
      </c>
      <c r="D993" s="740" t="inlineStr">
        <is>
          <t>PEPPERSTONE DEMO</t>
        </is>
      </c>
      <c r="E993" s="740" t="inlineStr">
        <is>
          <t>USDJPY</t>
        </is>
      </c>
      <c r="F993" s="740" t="inlineStr">
        <is>
          <t>SELL</t>
        </is>
      </c>
      <c r="G993" s="775" t="n">
        <v>0.08</v>
      </c>
      <c r="H993" s="742" t="n">
        <v>111.78</v>
      </c>
      <c r="I993" s="742" t="n">
        <v>111.762</v>
      </c>
      <c r="J993" s="743" t="n">
        <v>111.82</v>
      </c>
      <c r="K993" s="765" t="n">
        <v>0.0003578457684737166</v>
      </c>
      <c r="L993" s="743" t="n">
        <v>111.7</v>
      </c>
      <c r="M993" s="765" t="n">
        <v>0.0007156915369475604</v>
      </c>
      <c r="N993" s="766" t="n"/>
      <c r="O993" s="767" t="n">
        <v>1.12</v>
      </c>
      <c r="P993" s="747" t="n">
        <v>0.002686431124223454</v>
      </c>
      <c r="Q993" s="748" t="n">
        <v>0.4500000000001066</v>
      </c>
      <c r="R993" s="769" t="n">
        <v>418.0299999999999</v>
      </c>
      <c r="S993" s="740" t="inlineStr">
        <is>
          <t>1H 46M 0S</t>
        </is>
      </c>
      <c r="T993" s="738" t="n">
        <v>43530.61458333334</v>
      </c>
      <c r="U993" s="809" t="inlineStr">
        <is>
          <t>1H 31M 0S</t>
        </is>
      </c>
      <c r="V993" s="752" t="n"/>
      <c r="W993" s="753" t="n"/>
      <c r="X993" s="754" t="n"/>
      <c r="Y993" s="750" t="n"/>
      <c r="Z993" s="751" t="n"/>
      <c r="AA993" s="752" t="n"/>
      <c r="AB993" s="753" t="n"/>
      <c r="AC993" s="754" t="n"/>
      <c r="AD993" s="740" t="inlineStr">
        <is>
          <t>No</t>
        </is>
      </c>
      <c r="AE993" s="755" t="n"/>
      <c r="AF993" s="755" t="n"/>
      <c r="AG993" s="755" t="n"/>
      <c r="AH993" s="755" t="n"/>
      <c r="AI993" s="740" t="inlineStr">
        <is>
          <t>Limit</t>
        </is>
      </c>
      <c r="AJ993" s="755" t="n"/>
      <c r="AK993" s="755" t="n"/>
      <c r="AL993" s="755" t="n"/>
      <c r="AM993" s="755" t="n"/>
      <c r="AN993" s="755" t="n"/>
      <c r="AO993" s="755" t="n"/>
      <c r="AP993" s="740" t="inlineStr">
        <is>
          <t>Pullback</t>
        </is>
      </c>
      <c r="AQ993" s="740" t="inlineStr">
        <is>
          <t>15MIN</t>
        </is>
      </c>
      <c r="AR993" s="740" t="inlineStr">
        <is>
          <t>No</t>
        </is>
      </c>
      <c r="AS993" s="755" t="n"/>
      <c r="AT993" s="755" t="n"/>
      <c r="AU993" s="755" t="n"/>
      <c r="AV993" s="755" t="n"/>
      <c r="AW993" s="740" t="inlineStr">
        <is>
          <t>trade</t>
        </is>
      </c>
      <c r="AX993" s="756" t="inlineStr">
        <is>
          <t>sig:b7fec118c1043e15781dd16b</t>
        </is>
      </c>
    </row>
    <row r="994" ht="15" customHeight="1">
      <c r="A994" s="716" t="inlineStr">
        <is>
          <t>F549</t>
        </is>
      </c>
      <c r="B994" s="717" t="n">
        <v>43530.48958333334</v>
      </c>
      <c r="C994" s="718" t="n">
        <v>43530.52013888889</v>
      </c>
      <c r="D994" s="719" t="inlineStr">
        <is>
          <t>PEPPERSTONE DEMO</t>
        </is>
      </c>
      <c r="E994" s="719" t="inlineStr">
        <is>
          <t>USDJPY</t>
        </is>
      </c>
      <c r="F994" s="719" t="inlineStr">
        <is>
          <t>SELL</t>
        </is>
      </c>
      <c r="G994" s="735" t="n">
        <v>0.06</v>
      </c>
      <c r="H994" s="720" t="n">
        <v>111.75</v>
      </c>
      <c r="I994" s="720" t="n">
        <v>111.806</v>
      </c>
      <c r="J994" s="721" t="n">
        <v>111.8</v>
      </c>
      <c r="K994" s="760" t="n">
        <v>0.0004474272930648515</v>
      </c>
      <c r="L994" s="721" t="n">
        <v>111.65</v>
      </c>
      <c r="M994" s="760" t="n">
        <v>0.0008948545861297031</v>
      </c>
      <c r="N994" s="788" t="n"/>
      <c r="O994" s="762" t="n">
        <v>-3.8</v>
      </c>
      <c r="P994" s="725" t="n">
        <v>-0.00903235007487343</v>
      </c>
      <c r="Q994" s="726" t="n">
        <v>-1.120000000000011</v>
      </c>
      <c r="R994" s="764" t="n">
        <v>416.9099999999999</v>
      </c>
      <c r="S994" s="719" t="inlineStr">
        <is>
          <t>44M 0S</t>
        </is>
      </c>
      <c r="T994" s="728" t="n"/>
      <c r="U994" s="729" t="n"/>
      <c r="V994" s="730" t="n"/>
      <c r="W994" s="731" t="n"/>
      <c r="X994" s="732" t="n"/>
      <c r="Y994" s="728" t="n"/>
      <c r="Z994" s="729" t="n"/>
      <c r="AA994" s="730" t="n"/>
      <c r="AB994" s="731" t="n"/>
      <c r="AC994" s="732" t="n"/>
      <c r="AD994" s="719" t="inlineStr">
        <is>
          <t>No</t>
        </is>
      </c>
      <c r="AE994" s="733" t="n"/>
      <c r="AF994" s="733" t="n"/>
      <c r="AG994" s="733" t="n"/>
      <c r="AH994" s="733" t="n"/>
      <c r="AI994" s="719" t="inlineStr">
        <is>
          <t>Limit</t>
        </is>
      </c>
      <c r="AJ994" s="733" t="n"/>
      <c r="AK994" s="733" t="n"/>
      <c r="AL994" s="733" t="n"/>
      <c r="AM994" s="733" t="n"/>
      <c r="AN994" s="733" t="n"/>
      <c r="AO994" s="733" t="n"/>
      <c r="AP994" s="719" t="inlineStr">
        <is>
          <t>Pullback</t>
        </is>
      </c>
      <c r="AQ994" s="719" t="inlineStr">
        <is>
          <t>15MIN</t>
        </is>
      </c>
      <c r="AR994" s="719" t="inlineStr">
        <is>
          <t>No</t>
        </is>
      </c>
      <c r="AS994" s="733" t="n"/>
      <c r="AT994" s="733" t="n"/>
      <c r="AU994" s="733" t="n"/>
      <c r="AV994" s="733" t="n"/>
      <c r="AW994" s="719" t="inlineStr">
        <is>
          <t>trade</t>
        </is>
      </c>
      <c r="AX994" s="734" t="inlineStr">
        <is>
          <t>sig:707eab19cb20fd01c3bff55a</t>
        </is>
      </c>
    </row>
    <row r="995" ht="15" customHeight="1">
      <c r="A995" s="716" t="inlineStr">
        <is>
          <t>F546</t>
        </is>
      </c>
      <c r="B995" s="717" t="n">
        <v>43530.01041666666</v>
      </c>
      <c r="C995" s="718" t="n">
        <v>43530.025</v>
      </c>
      <c r="D995" s="719" t="inlineStr">
        <is>
          <t>PEPPERSTONE DEMO</t>
        </is>
      </c>
      <c r="E995" s="719" t="inlineStr">
        <is>
          <t>GBPUSD</t>
        </is>
      </c>
      <c r="F995" s="719" t="inlineStr">
        <is>
          <t>SELL</t>
        </is>
      </c>
      <c r="G995" s="735" t="n">
        <v>0.03</v>
      </c>
      <c r="H995" s="720" t="n">
        <v>1.3122</v>
      </c>
      <c r="I995" s="720" t="n">
        <v>1.31328</v>
      </c>
      <c r="J995" s="721" t="n">
        <v>1.3132</v>
      </c>
      <c r="K995" s="760" t="n">
        <v>0.000762078951379279</v>
      </c>
      <c r="L995" s="721" t="n">
        <v>1.3102</v>
      </c>
      <c r="M995" s="722" t="n">
        <v>0.001524157902758727</v>
      </c>
      <c r="N995" s="788" t="n"/>
      <c r="O995" s="762" t="n">
        <v>-4.24</v>
      </c>
      <c r="P995" s="725" t="n">
        <v>-0.009977644428756326</v>
      </c>
      <c r="Q995" s="726" t="n">
        <v>-1.080000000000089</v>
      </c>
      <c r="R995" s="764" t="n">
        <v>420.7099999999999</v>
      </c>
      <c r="S995" s="719" t="inlineStr">
        <is>
          <t>21M 0S</t>
        </is>
      </c>
      <c r="T995" s="717" t="n"/>
      <c r="U995" s="806" t="n"/>
      <c r="V995" s="730" t="n"/>
      <c r="W995" s="731" t="n"/>
      <c r="X995" s="732" t="n"/>
      <c r="Y995" s="728" t="n"/>
      <c r="Z995" s="729" t="n"/>
      <c r="AA995" s="730" t="n"/>
      <c r="AB995" s="731" t="n"/>
      <c r="AC995" s="732" t="n"/>
      <c r="AD995" s="719" t="inlineStr">
        <is>
          <t>No</t>
        </is>
      </c>
      <c r="AE995" s="733" t="n"/>
      <c r="AF995" s="733" t="n"/>
      <c r="AG995" s="733" t="n"/>
      <c r="AH995" s="733" t="n"/>
      <c r="AI995" s="719" t="inlineStr">
        <is>
          <t>Limit</t>
        </is>
      </c>
      <c r="AJ995" s="733" t="n"/>
      <c r="AK995" s="733" t="n"/>
      <c r="AL995" s="733" t="n"/>
      <c r="AM995" s="733" t="n"/>
      <c r="AN995" s="733" t="n"/>
      <c r="AO995" s="733" t="n"/>
      <c r="AP995" s="719" t="inlineStr">
        <is>
          <t>Pullback</t>
        </is>
      </c>
      <c r="AQ995" s="719" t="inlineStr">
        <is>
          <t>15MIN</t>
        </is>
      </c>
      <c r="AR995" s="719" t="inlineStr">
        <is>
          <t>No</t>
        </is>
      </c>
      <c r="AS995" s="733" t="n"/>
      <c r="AT995" s="733" t="n"/>
      <c r="AU995" s="733" t="n"/>
      <c r="AV995" s="733" t="n"/>
      <c r="AW995" s="719" t="inlineStr">
        <is>
          <t>trade</t>
        </is>
      </c>
      <c r="AX995" s="734" t="inlineStr">
        <is>
          <t>sig:9735b6a60540350b79a49134</t>
        </is>
      </c>
    </row>
    <row r="996" ht="15" customHeight="1">
      <c r="A996" s="716" t="inlineStr">
        <is>
          <t>F545</t>
        </is>
      </c>
      <c r="B996" s="717" t="n">
        <v>43529.85833333333</v>
      </c>
      <c r="C996" s="718" t="n">
        <v>43529.86111111111</v>
      </c>
      <c r="D996" s="719" t="inlineStr">
        <is>
          <t>PEPPERSTONE DEMO</t>
        </is>
      </c>
      <c r="E996" s="719" t="inlineStr">
        <is>
          <t>GBPUSD</t>
        </is>
      </c>
      <c r="F996" s="719" t="inlineStr">
        <is>
          <t>BUY</t>
        </is>
      </c>
      <c r="G996" s="735" t="n">
        <v>0.03</v>
      </c>
      <c r="H996" s="720" t="n">
        <v>1.318</v>
      </c>
      <c r="I996" s="720" t="n">
        <v>1.31716</v>
      </c>
      <c r="J996" s="721" t="n">
        <v>1.3171</v>
      </c>
      <c r="K996" s="760" t="n">
        <v>0.0006828528072838565</v>
      </c>
      <c r="L996" s="721" t="n">
        <v>1.3198</v>
      </c>
      <c r="M996" s="722" t="n">
        <v>0.001365705614567544</v>
      </c>
      <c r="N996" s="788" t="n"/>
      <c r="O996" s="762" t="n">
        <v>-3.81</v>
      </c>
      <c r="P996" s="725" t="n">
        <v>-0.008886090120347049</v>
      </c>
      <c r="Q996" s="726" t="n">
        <v>-0.9333333333331524</v>
      </c>
      <c r="R996" s="764" t="n">
        <v>424.9499999999999</v>
      </c>
      <c r="S996" s="719" t="inlineStr">
        <is>
          <t>4M 0S</t>
        </is>
      </c>
      <c r="T996" s="728" t="n"/>
      <c r="U996" s="729" t="n"/>
      <c r="V996" s="730" t="n"/>
      <c r="W996" s="731" t="n"/>
      <c r="X996" s="732" t="n"/>
      <c r="Y996" s="728" t="n"/>
      <c r="Z996" s="729" t="n"/>
      <c r="AA996" s="730" t="n"/>
      <c r="AB996" s="731" t="n"/>
      <c r="AC996" s="732" t="n"/>
      <c r="AD996" s="719" t="inlineStr">
        <is>
          <t>No</t>
        </is>
      </c>
      <c r="AE996" s="733" t="n"/>
      <c r="AF996" s="733" t="n"/>
      <c r="AG996" s="733" t="n"/>
      <c r="AH996" s="733" t="n"/>
      <c r="AI996" s="719" t="inlineStr">
        <is>
          <t>Limit</t>
        </is>
      </c>
      <c r="AJ996" s="733" t="n"/>
      <c r="AK996" s="733" t="n"/>
      <c r="AL996" s="733" t="n"/>
      <c r="AM996" s="733" t="n"/>
      <c r="AN996" s="733" t="n"/>
      <c r="AO996" s="733" t="n"/>
      <c r="AP996" s="719" t="inlineStr">
        <is>
          <t>Pullback</t>
        </is>
      </c>
      <c r="AQ996" s="719" t="inlineStr">
        <is>
          <t>15MIN</t>
        </is>
      </c>
      <c r="AR996" s="719" t="inlineStr">
        <is>
          <t>No</t>
        </is>
      </c>
      <c r="AS996" s="733" t="n"/>
      <c r="AT996" s="733" t="n"/>
      <c r="AU996" s="733" t="n"/>
      <c r="AV996" s="733" t="n"/>
      <c r="AW996" s="719" t="inlineStr">
        <is>
          <t>trade</t>
        </is>
      </c>
      <c r="AX996" s="734" t="inlineStr">
        <is>
          <t>sig:e239c270d7946b013282049b</t>
        </is>
      </c>
    </row>
    <row r="997" ht="15" customHeight="1">
      <c r="A997" s="737" t="inlineStr">
        <is>
          <t>F544</t>
        </is>
      </c>
      <c r="B997" s="738" t="n">
        <v>43529.0875</v>
      </c>
      <c r="C997" s="739" t="n">
        <v>43529.34236111111</v>
      </c>
      <c r="D997" s="740" t="inlineStr">
        <is>
          <t>PEPPERSTONE DEMO</t>
        </is>
      </c>
      <c r="E997" s="740" t="inlineStr">
        <is>
          <t>USDCHF</t>
        </is>
      </c>
      <c r="F997" s="740" t="inlineStr">
        <is>
          <t>SELL</t>
        </is>
      </c>
      <c r="G997" s="775" t="n">
        <v>0.03</v>
      </c>
      <c r="H997" s="742" t="n">
        <v>0.99981</v>
      </c>
      <c r="I997" s="742" t="n">
        <v>0.99981</v>
      </c>
      <c r="J997" s="743" t="n">
        <v>1.0008</v>
      </c>
      <c r="K997" s="765" t="n">
        <v>0.0009901881357457271</v>
      </c>
      <c r="L997" s="743" t="n">
        <v>0.9978</v>
      </c>
      <c r="M997" s="744" t="n">
        <v>0.002010381972574745</v>
      </c>
      <c r="N997" s="766" t="n">
        <v>0.25</v>
      </c>
      <c r="O997" s="767" t="n">
        <v>1.09</v>
      </c>
      <c r="P997" s="747" t="n">
        <v>0.00254869408656207</v>
      </c>
      <c r="Q997" s="748" t="n">
        <v>0</v>
      </c>
      <c r="R997" s="769" t="n">
        <v>428.7599999999999</v>
      </c>
      <c r="S997" s="740" t="inlineStr">
        <is>
          <t>6H 7M 0S</t>
        </is>
      </c>
      <c r="T997" s="738" t="n">
        <v>43529.28333333333</v>
      </c>
      <c r="U997" s="809" t="inlineStr">
        <is>
          <t>4H 42M 0S</t>
        </is>
      </c>
      <c r="V997" s="752" t="n"/>
      <c r="W997" s="753" t="n"/>
      <c r="X997" s="754" t="n"/>
      <c r="Y997" s="750" t="n"/>
      <c r="Z997" s="751" t="n"/>
      <c r="AA997" s="752" t="n"/>
      <c r="AB997" s="753" t="n"/>
      <c r="AC997" s="754" t="n"/>
      <c r="AD997" s="740" t="inlineStr">
        <is>
          <t>No</t>
        </is>
      </c>
      <c r="AE997" s="755" t="n"/>
      <c r="AF997" s="755" t="n"/>
      <c r="AG997" s="755" t="n"/>
      <c r="AH997" s="755" t="n"/>
      <c r="AI997" s="740" t="inlineStr">
        <is>
          <t>Limit</t>
        </is>
      </c>
      <c r="AJ997" s="755" t="n"/>
      <c r="AK997" s="755" t="n"/>
      <c r="AL997" s="755" t="n"/>
      <c r="AM997" s="755" t="n"/>
      <c r="AN997" s="755" t="n"/>
      <c r="AO997" s="755" t="n"/>
      <c r="AP997" s="740" t="inlineStr">
        <is>
          <t>Pullback</t>
        </is>
      </c>
      <c r="AQ997" s="740" t="inlineStr">
        <is>
          <t>1H</t>
        </is>
      </c>
      <c r="AR997" s="740" t="inlineStr">
        <is>
          <t>No</t>
        </is>
      </c>
      <c r="AS997" s="755" t="n"/>
      <c r="AT997" s="755" t="n"/>
      <c r="AU997" s="755" t="n"/>
      <c r="AV997" s="755" t="n"/>
      <c r="AW997" s="740" t="inlineStr">
        <is>
          <t>trade</t>
        </is>
      </c>
      <c r="AX997" s="756" t="inlineStr">
        <is>
          <t>sig:cd000e058c89f42040a53920</t>
        </is>
      </c>
    </row>
    <row r="998" ht="15" customHeight="1">
      <c r="A998" s="737" t="inlineStr">
        <is>
          <t>F543</t>
        </is>
      </c>
      <c r="B998" s="738" t="n">
        <v>43528.94652777778</v>
      </c>
      <c r="C998" s="739" t="n">
        <v>43529.07777777778</v>
      </c>
      <c r="D998" s="740" t="inlineStr">
        <is>
          <t>PEPPERSTONE DEMO</t>
        </is>
      </c>
      <c r="E998" s="740" t="inlineStr">
        <is>
          <t>USDJPY</t>
        </is>
      </c>
      <c r="F998" s="740" t="inlineStr">
        <is>
          <t>BUY</t>
        </is>
      </c>
      <c r="G998" s="775" t="n">
        <v>0.04</v>
      </c>
      <c r="H998" s="742" t="n">
        <v>111.88</v>
      </c>
      <c r="I998" s="742" t="n">
        <v>111.954</v>
      </c>
      <c r="J998" s="743" t="n">
        <v>111.81</v>
      </c>
      <c r="K998" s="765" t="n">
        <v>0.0006256703611011189</v>
      </c>
      <c r="L998" s="743" t="n">
        <v>112.02</v>
      </c>
      <c r="M998" s="744" t="n">
        <v>0.001251340722202365</v>
      </c>
      <c r="N998" s="796" t="n"/>
      <c r="O998" s="767" t="n">
        <v>1.84</v>
      </c>
      <c r="P998" s="747" t="n">
        <v>0.004320973158302609</v>
      </c>
      <c r="Q998" s="748" t="n">
        <v>1.057142857142933</v>
      </c>
      <c r="R998" s="769" t="n">
        <v>427.67</v>
      </c>
      <c r="S998" s="740" t="inlineStr">
        <is>
          <t>3H 9M 0S</t>
        </is>
      </c>
      <c r="T998" s="738" t="n">
        <v>43529.04583333333</v>
      </c>
      <c r="U998" s="809" t="inlineStr">
        <is>
          <t>2H 23M 0S</t>
        </is>
      </c>
      <c r="V998" s="752" t="n"/>
      <c r="W998" s="753" t="n"/>
      <c r="X998" s="754" t="n"/>
      <c r="Y998" s="750" t="n"/>
      <c r="Z998" s="751" t="n"/>
      <c r="AA998" s="752" t="n"/>
      <c r="AB998" s="753" t="n"/>
      <c r="AC998" s="754" t="n"/>
      <c r="AD998" s="740" t="inlineStr">
        <is>
          <t>No</t>
        </is>
      </c>
      <c r="AE998" s="755" t="n"/>
      <c r="AF998" s="755" t="n"/>
      <c r="AG998" s="755" t="n"/>
      <c r="AH998" s="755" t="n"/>
      <c r="AI998" s="740" t="inlineStr">
        <is>
          <t>Limit</t>
        </is>
      </c>
      <c r="AJ998" s="755" t="n"/>
      <c r="AK998" s="755" t="n"/>
      <c r="AL998" s="755" t="n"/>
      <c r="AM998" s="755" t="n"/>
      <c r="AN998" s="755" t="n"/>
      <c r="AO998" s="755" t="n"/>
      <c r="AP998" s="740" t="inlineStr">
        <is>
          <t>Pullback</t>
        </is>
      </c>
      <c r="AQ998" s="740" t="inlineStr">
        <is>
          <t>1H</t>
        </is>
      </c>
      <c r="AR998" s="740" t="inlineStr">
        <is>
          <t>No</t>
        </is>
      </c>
      <c r="AS998" s="755" t="n"/>
      <c r="AT998" s="755" t="n"/>
      <c r="AU998" s="755" t="n"/>
      <c r="AV998" s="755" t="n"/>
      <c r="AW998" s="740" t="inlineStr">
        <is>
          <t>trade</t>
        </is>
      </c>
      <c r="AX998" s="756" t="inlineStr">
        <is>
          <t>sig:432d9bcb237c798c315c6921</t>
        </is>
      </c>
    </row>
    <row r="999" ht="15" customHeight="1">
      <c r="A999" s="716" t="inlineStr">
        <is>
          <t>F541</t>
        </is>
      </c>
      <c r="B999" s="717" t="n">
        <v>43526.10625</v>
      </c>
      <c r="C999" s="718" t="n">
        <v>43526.14861111111</v>
      </c>
      <c r="D999" s="719" t="inlineStr">
        <is>
          <t>PEPPERSTONE DEMO</t>
        </is>
      </c>
      <c r="E999" s="719" t="inlineStr">
        <is>
          <t>EURUSD</t>
        </is>
      </c>
      <c r="F999" s="719" t="inlineStr">
        <is>
          <t>BUY</t>
        </is>
      </c>
      <c r="G999" s="735" t="n">
        <v>0.03</v>
      </c>
      <c r="H999" s="720" t="n">
        <v>1.1378</v>
      </c>
      <c r="I999" s="720" t="n">
        <v>1.13687</v>
      </c>
      <c r="J999" s="721" t="n">
        <v>1.1368</v>
      </c>
      <c r="K999" s="760" t="n">
        <v>0.0008788890841974775</v>
      </c>
      <c r="L999" s="721" t="n">
        <v>1.1408</v>
      </c>
      <c r="M999" s="722" t="n">
        <v>0.002636667252592823</v>
      </c>
      <c r="N999" s="761" t="n"/>
      <c r="O999" s="762" t="n">
        <v>-4.24</v>
      </c>
      <c r="P999" s="725" t="n">
        <v>-0.00985886018555119</v>
      </c>
      <c r="Q999" s="726" t="n">
        <v>-0.9299999999999778</v>
      </c>
      <c r="R999" s="764" t="n">
        <v>425.83</v>
      </c>
      <c r="S999" s="719" t="inlineStr">
        <is>
          <t>1H 1M 0S</t>
        </is>
      </c>
      <c r="T999" s="717" t="n"/>
      <c r="U999" s="806" t="n"/>
      <c r="V999" s="730" t="n"/>
      <c r="W999" s="731" t="n"/>
      <c r="X999" s="732" t="n"/>
      <c r="Y999" s="717" t="n"/>
      <c r="Z999" s="806" t="n"/>
      <c r="AA999" s="730" t="n"/>
      <c r="AB999" s="731" t="n"/>
      <c r="AC999" s="732" t="n"/>
      <c r="AD999" s="719" t="inlineStr">
        <is>
          <t>No</t>
        </is>
      </c>
      <c r="AE999" s="733" t="n"/>
      <c r="AF999" s="733" t="n"/>
      <c r="AG999" s="733" t="n"/>
      <c r="AH999" s="733" t="n"/>
      <c r="AI999" s="719" t="inlineStr">
        <is>
          <t>Limit</t>
        </is>
      </c>
      <c r="AJ999" s="733" t="n"/>
      <c r="AK999" s="733" t="n"/>
      <c r="AL999" s="733" t="n"/>
      <c r="AM999" s="733" t="n"/>
      <c r="AN999" s="733" t="n"/>
      <c r="AO999" s="733" t="n"/>
      <c r="AP999" s="719" t="inlineStr">
        <is>
          <t>Pullback</t>
        </is>
      </c>
      <c r="AQ999" s="719" t="inlineStr">
        <is>
          <t>15MIN</t>
        </is>
      </c>
      <c r="AR999" s="719" t="inlineStr">
        <is>
          <t>No</t>
        </is>
      </c>
      <c r="AS999" s="733" t="n"/>
      <c r="AT999" s="733" t="n"/>
      <c r="AU999" s="733" t="n"/>
      <c r="AV999" s="733" t="n"/>
      <c r="AW999" s="719" t="inlineStr">
        <is>
          <t>trade</t>
        </is>
      </c>
      <c r="AX999" s="734" t="inlineStr">
        <is>
          <t>sig:aa10f289de4d90cb77572abf</t>
        </is>
      </c>
    </row>
    <row r="1000" ht="15" customHeight="1">
      <c r="A1000" s="737" t="inlineStr">
        <is>
          <t>F542</t>
        </is>
      </c>
      <c r="B1000" s="738" t="n">
        <v>43526.04791666667</v>
      </c>
      <c r="C1000" s="739" t="n">
        <v>43526.08819444444</v>
      </c>
      <c r="D1000" s="740" t="inlineStr">
        <is>
          <t>PEPPERSTONE DEMO</t>
        </is>
      </c>
      <c r="E1000" s="740" t="inlineStr">
        <is>
          <t>USDCAD</t>
        </is>
      </c>
      <c r="F1000" s="740" t="inlineStr">
        <is>
          <t>BUY</t>
        </is>
      </c>
      <c r="G1000" s="775" t="n">
        <v>0.02</v>
      </c>
      <c r="H1000" s="742" t="n">
        <v>1.3222</v>
      </c>
      <c r="I1000" s="742" t="n">
        <v>1.32522</v>
      </c>
      <c r="J1000" s="743" t="n">
        <v>1.3207</v>
      </c>
      <c r="K1000" s="744" t="n">
        <v>0.001134472848283207</v>
      </c>
      <c r="L1000" s="743" t="n">
        <v>1.3252</v>
      </c>
      <c r="M1000" s="744" t="n">
        <v>0.002268945696566247</v>
      </c>
      <c r="N1000" s="766" t="n"/>
      <c r="O1000" s="767" t="n">
        <v>4.97</v>
      </c>
      <c r="P1000" s="747" t="n">
        <v>0.0116913667372383</v>
      </c>
      <c r="Q1000" s="748" t="n">
        <v>2.013333333333272</v>
      </c>
      <c r="R1000" s="769" t="n">
        <v>430.07</v>
      </c>
      <c r="S1000" s="740" t="inlineStr">
        <is>
          <t>58M 0S</t>
        </is>
      </c>
      <c r="T1000" s="738" t="n">
        <v>43526.06527777778</v>
      </c>
      <c r="U1000" s="809" t="inlineStr">
        <is>
          <t>25M 0S</t>
        </is>
      </c>
      <c r="V1000" s="752" t="n"/>
      <c r="W1000" s="753" t="n"/>
      <c r="X1000" s="754" t="n"/>
      <c r="Y1000" s="750" t="n"/>
      <c r="Z1000" s="751" t="n"/>
      <c r="AA1000" s="752" t="n"/>
      <c r="AB1000" s="753" t="n"/>
      <c r="AC1000" s="754" t="n"/>
      <c r="AD1000" s="740" t="inlineStr">
        <is>
          <t>No</t>
        </is>
      </c>
      <c r="AE1000" s="755" t="n"/>
      <c r="AF1000" s="755" t="n"/>
      <c r="AG1000" s="755" t="n"/>
      <c r="AH1000" s="755" t="n"/>
      <c r="AI1000" s="740" t="inlineStr">
        <is>
          <t>Limit</t>
        </is>
      </c>
      <c r="AJ1000" s="755" t="n"/>
      <c r="AK1000" s="755" t="n"/>
      <c r="AL1000" s="755" t="n"/>
      <c r="AM1000" s="755" t="n"/>
      <c r="AN1000" s="755" t="n"/>
      <c r="AO1000" s="755" t="n"/>
      <c r="AP1000" s="740" t="inlineStr">
        <is>
          <t>Pullback</t>
        </is>
      </c>
      <c r="AQ1000" s="740" t="inlineStr">
        <is>
          <t>15MIN</t>
        </is>
      </c>
      <c r="AR1000" s="740" t="inlineStr">
        <is>
          <t>No</t>
        </is>
      </c>
      <c r="AS1000" s="755" t="n"/>
      <c r="AT1000" s="755" t="n"/>
      <c r="AU1000" s="755" t="n"/>
      <c r="AV1000" s="755" t="n"/>
      <c r="AW1000" s="740" t="inlineStr">
        <is>
          <t>trade</t>
        </is>
      </c>
      <c r="AX1000" s="756" t="inlineStr">
        <is>
          <t>sig:2416ca784360bec3f561ac8f</t>
        </is>
      </c>
    </row>
    <row r="1001" ht="15" customHeight="1">
      <c r="A1001" s="716" t="inlineStr">
        <is>
          <t>F539</t>
        </is>
      </c>
      <c r="B1001" s="717" t="n">
        <v>43525.17222222222</v>
      </c>
      <c r="C1001" s="718" t="n">
        <v>43525.33958333333</v>
      </c>
      <c r="D1001" s="719" t="inlineStr">
        <is>
          <t>PEPPERSTONE DEMO</t>
        </is>
      </c>
      <c r="E1001" s="719" t="inlineStr">
        <is>
          <t>EURUSD</t>
        </is>
      </c>
      <c r="F1001" s="719" t="inlineStr">
        <is>
          <t>BUY</t>
        </is>
      </c>
      <c r="G1001" s="735" t="n">
        <v>0.02</v>
      </c>
      <c r="H1001" s="720" t="n">
        <v>1.1382</v>
      </c>
      <c r="I1001" s="720" t="n">
        <v>1.13685</v>
      </c>
      <c r="J1001" s="721" t="n">
        <v>1.1369</v>
      </c>
      <c r="K1001" s="722" t="n">
        <v>0.001142154278685713</v>
      </c>
      <c r="L1001" s="721" t="n">
        <v>1.1424</v>
      </c>
      <c r="M1001" s="722" t="n">
        <v>0.003690036900368987</v>
      </c>
      <c r="N1001" s="761" t="n">
        <v>0.26</v>
      </c>
      <c r="O1001" s="762" t="n">
        <v>-4.21</v>
      </c>
      <c r="P1001" s="725" t="n">
        <v>-0.009806433579464723</v>
      </c>
      <c r="Q1001" s="726" t="n">
        <v>-1.038461538461617</v>
      </c>
      <c r="R1001" s="764" t="n">
        <v>425.1</v>
      </c>
      <c r="S1001" s="719" t="inlineStr">
        <is>
          <t>4H 1M 0S</t>
        </is>
      </c>
      <c r="T1001" s="728" t="n"/>
      <c r="U1001" s="729" t="n"/>
      <c r="V1001" s="730" t="n"/>
      <c r="W1001" s="731" t="n"/>
      <c r="X1001" s="732" t="n"/>
      <c r="Y1001" s="728" t="n"/>
      <c r="Z1001" s="729" t="n"/>
      <c r="AA1001" s="730" t="n"/>
      <c r="AB1001" s="731" t="n"/>
      <c r="AC1001" s="732" t="n"/>
      <c r="AD1001" s="719" t="inlineStr">
        <is>
          <t>No</t>
        </is>
      </c>
      <c r="AE1001" s="733" t="n"/>
      <c r="AF1001" s="733" t="n"/>
      <c r="AG1001" s="733" t="n"/>
      <c r="AH1001" s="733" t="n"/>
      <c r="AI1001" s="719" t="inlineStr">
        <is>
          <t>Limit</t>
        </is>
      </c>
      <c r="AJ1001" s="733" t="n"/>
      <c r="AK1001" s="733" t="n"/>
      <c r="AL1001" s="733" t="n"/>
      <c r="AM1001" s="733" t="n"/>
      <c r="AN1001" s="733" t="n"/>
      <c r="AO1001" s="733" t="n"/>
      <c r="AP1001" s="719" t="inlineStr">
        <is>
          <t>Pullback</t>
        </is>
      </c>
      <c r="AQ1001" s="719" t="inlineStr">
        <is>
          <t>1H</t>
        </is>
      </c>
      <c r="AR1001" s="719" t="inlineStr">
        <is>
          <t>No</t>
        </is>
      </c>
      <c r="AS1001" s="733" t="n"/>
      <c r="AT1001" s="733" t="n"/>
      <c r="AU1001" s="733" t="n"/>
      <c r="AV1001" s="733" t="n"/>
      <c r="AW1001" s="719" t="inlineStr">
        <is>
          <t>trade</t>
        </is>
      </c>
      <c r="AX1001" s="734" t="inlineStr">
        <is>
          <t>sig:c3eea8534204e6445742933d</t>
        </is>
      </c>
    </row>
    <row r="1002" ht="15" customHeight="1">
      <c r="A1002" s="716" t="inlineStr">
        <is>
          <t>F540</t>
        </is>
      </c>
      <c r="B1002" s="717" t="n">
        <v>43525.07777777778</v>
      </c>
      <c r="C1002" s="718" t="n">
        <v>43525.07986111111</v>
      </c>
      <c r="D1002" s="719" t="inlineStr">
        <is>
          <t>PEPPERSTONE DEMO</t>
        </is>
      </c>
      <c r="E1002" s="719" t="inlineStr">
        <is>
          <t>USDCAD</t>
        </is>
      </c>
      <c r="F1002" s="719" t="inlineStr">
        <is>
          <t>BUY</t>
        </is>
      </c>
      <c r="G1002" s="735" t="n">
        <v>0.04</v>
      </c>
      <c r="H1002" s="720" t="n">
        <v>1.3187</v>
      </c>
      <c r="I1002" s="720" t="n">
        <v>1.31778</v>
      </c>
      <c r="J1002" s="721" t="n">
        <v>1.3177</v>
      </c>
      <c r="K1002" s="760" t="n">
        <v>0.0007583225904298854</v>
      </c>
      <c r="L1002" s="721" t="n">
        <v>1.3207</v>
      </c>
      <c r="M1002" s="722" t="n">
        <v>0.001516645180859939</v>
      </c>
      <c r="N1002" s="788" t="n"/>
      <c r="O1002" s="762" t="n">
        <v>-4.27</v>
      </c>
      <c r="P1002" s="725" t="n">
        <v>-0.00984824023248305</v>
      </c>
      <c r="Q1002" s="726" t="n">
        <v>-0.9200000000001333</v>
      </c>
      <c r="R1002" s="764" t="n">
        <v>429.3099999999999</v>
      </c>
      <c r="S1002" s="719" t="inlineStr">
        <is>
          <t>3M 0S</t>
        </is>
      </c>
      <c r="T1002" s="717" t="n"/>
      <c r="U1002" s="806" t="n"/>
      <c r="V1002" s="730" t="n"/>
      <c r="W1002" s="731" t="n"/>
      <c r="X1002" s="732" t="n"/>
      <c r="Y1002" s="728" t="n"/>
      <c r="Z1002" s="729" t="n"/>
      <c r="AA1002" s="730" t="n"/>
      <c r="AB1002" s="731" t="n"/>
      <c r="AC1002" s="732" t="n"/>
      <c r="AD1002" s="719" t="inlineStr">
        <is>
          <t>No</t>
        </is>
      </c>
      <c r="AE1002" s="733" t="n"/>
      <c r="AF1002" s="733" t="n"/>
      <c r="AG1002" s="733" t="n"/>
      <c r="AH1002" s="733" t="n"/>
      <c r="AI1002" s="719" t="inlineStr">
        <is>
          <t>Limit</t>
        </is>
      </c>
      <c r="AJ1002" s="733" t="n"/>
      <c r="AK1002" s="733" t="n"/>
      <c r="AL1002" s="733" t="n"/>
      <c r="AM1002" s="733" t="n"/>
      <c r="AN1002" s="733" t="n"/>
      <c r="AO1002" s="733" t="n"/>
      <c r="AP1002" s="719" t="inlineStr">
        <is>
          <t>Pullback</t>
        </is>
      </c>
      <c r="AQ1002" s="719" t="inlineStr">
        <is>
          <t>1H</t>
        </is>
      </c>
      <c r="AR1002" s="719" t="inlineStr">
        <is>
          <t>No</t>
        </is>
      </c>
      <c r="AS1002" s="733" t="n"/>
      <c r="AT1002" s="733" t="n"/>
      <c r="AU1002" s="733" t="n"/>
      <c r="AV1002" s="733" t="n"/>
      <c r="AW1002" s="719" t="inlineStr">
        <is>
          <t>trade</t>
        </is>
      </c>
      <c r="AX1002" s="734" t="inlineStr">
        <is>
          <t>sig:98a89e752aa3d4e3f0df49e4</t>
        </is>
      </c>
    </row>
    <row r="1003" ht="15" customHeight="1">
      <c r="A1003" s="737" t="inlineStr">
        <is>
          <t>F537</t>
        </is>
      </c>
      <c r="B1003" s="738" t="n">
        <v>43523.17152777778</v>
      </c>
      <c r="C1003" s="739" t="n">
        <v>43523.2375</v>
      </c>
      <c r="D1003" s="740" t="inlineStr">
        <is>
          <t>PEPPERSTONE DEMO</t>
        </is>
      </c>
      <c r="E1003" s="740" t="inlineStr">
        <is>
          <t>USDCAD</t>
        </is>
      </c>
      <c r="F1003" s="740" t="inlineStr">
        <is>
          <t>SELL</t>
        </is>
      </c>
      <c r="G1003" s="775" t="n">
        <v>0.01</v>
      </c>
      <c r="H1003" s="742" t="n">
        <v>1.3187</v>
      </c>
      <c r="I1003" s="742" t="n">
        <v>1.31639</v>
      </c>
      <c r="J1003" s="743" t="n">
        <v>1.3199</v>
      </c>
      <c r="K1003" s="765" t="n">
        <v>0.0009099871085160308</v>
      </c>
      <c r="L1003" s="743" t="n">
        <v>1.3163</v>
      </c>
      <c r="M1003" s="744" t="n">
        <v>0.001819974217031893</v>
      </c>
      <c r="N1003" s="766" t="n"/>
      <c r="O1003" s="767" t="n">
        <v>5.94</v>
      </c>
      <c r="P1003" s="747" t="n">
        <v>0.01389018800860537</v>
      </c>
      <c r="Q1003" s="748" t="n">
        <v>1.924999999999884</v>
      </c>
      <c r="R1003" s="769" t="n">
        <v>433.5799999999999</v>
      </c>
      <c r="S1003" s="740" t="inlineStr">
        <is>
          <t>1H 35M 0S</t>
        </is>
      </c>
      <c r="T1003" s="738" t="n">
        <v>43523.23402777778</v>
      </c>
      <c r="U1003" s="809" t="inlineStr">
        <is>
          <t>1H 30M 0S</t>
        </is>
      </c>
      <c r="V1003" s="752" t="n"/>
      <c r="W1003" s="753" t="n"/>
      <c r="X1003" s="754" t="n"/>
      <c r="Y1003" s="750" t="n"/>
      <c r="Z1003" s="751" t="n"/>
      <c r="AA1003" s="752" t="n"/>
      <c r="AB1003" s="753" t="n"/>
      <c r="AC1003" s="754" t="n"/>
      <c r="AD1003" s="740" t="inlineStr">
        <is>
          <t>No</t>
        </is>
      </c>
      <c r="AE1003" s="755" t="n"/>
      <c r="AF1003" s="755" t="n"/>
      <c r="AG1003" s="755" t="n"/>
      <c r="AH1003" s="755" t="n"/>
      <c r="AI1003" s="740" t="inlineStr">
        <is>
          <t>Limit</t>
        </is>
      </c>
      <c r="AJ1003" s="755" t="n"/>
      <c r="AK1003" s="755" t="n"/>
      <c r="AL1003" s="755" t="n"/>
      <c r="AM1003" s="755" t="n"/>
      <c r="AN1003" s="755" t="n"/>
      <c r="AO1003" s="755" t="n"/>
      <c r="AP1003" s="740" t="inlineStr">
        <is>
          <t>Pullback</t>
        </is>
      </c>
      <c r="AQ1003" s="740" t="inlineStr">
        <is>
          <t>1H</t>
        </is>
      </c>
      <c r="AR1003" s="740" t="inlineStr">
        <is>
          <t>No</t>
        </is>
      </c>
      <c r="AS1003" s="755" t="n"/>
      <c r="AT1003" s="755" t="n"/>
      <c r="AU1003" s="755" t="n"/>
      <c r="AV1003" s="755" t="n"/>
      <c r="AW1003" s="740" t="inlineStr">
        <is>
          <t>trade</t>
        </is>
      </c>
      <c r="AX1003" s="756" t="inlineStr">
        <is>
          <t>sig:b22a99140ae488d261ef7727</t>
        </is>
      </c>
    </row>
    <row r="1004" ht="15" customHeight="1">
      <c r="A1004" s="737" t="inlineStr">
        <is>
          <t>F536</t>
        </is>
      </c>
      <c r="B1004" s="738" t="n">
        <v>43523.17152777778</v>
      </c>
      <c r="C1004" s="739" t="n">
        <v>43523.23541666667</v>
      </c>
      <c r="D1004" s="740" t="inlineStr">
        <is>
          <t>PEPPERSTONE DEMO</t>
        </is>
      </c>
      <c r="E1004" s="740" t="inlineStr">
        <is>
          <t>GBPUSD</t>
        </is>
      </c>
      <c r="F1004" s="740" t="inlineStr">
        <is>
          <t>BUY</t>
        </is>
      </c>
      <c r="G1004" s="775" t="n">
        <v>0.03</v>
      </c>
      <c r="H1004" s="742" t="n">
        <v>1.3249</v>
      </c>
      <c r="I1004" s="742" t="n">
        <v>1.32781</v>
      </c>
      <c r="J1004" s="743" t="n">
        <v>1.3234</v>
      </c>
      <c r="K1004" s="744" t="n">
        <v>0.00113216091780516</v>
      </c>
      <c r="L1004" s="743" t="n">
        <v>1.3281</v>
      </c>
      <c r="M1004" s="744" t="n">
        <v>0.002415276624650986</v>
      </c>
      <c r="N1004" s="766" t="n"/>
      <c r="O1004" s="767" t="n">
        <v>3.94</v>
      </c>
      <c r="P1004" s="747" t="n">
        <v>0.009299032334198728</v>
      </c>
      <c r="Q1004" s="748" t="n">
        <v>1.939999999999905</v>
      </c>
      <c r="R1004" s="769" t="n">
        <v>427.6399999999999</v>
      </c>
      <c r="S1004" s="740" t="inlineStr">
        <is>
          <t>1H 32M 0S</t>
        </is>
      </c>
      <c r="T1004" s="738" t="n"/>
      <c r="U1004" s="809" t="n"/>
      <c r="V1004" s="752" t="n"/>
      <c r="W1004" s="753" t="n"/>
      <c r="X1004" s="754" t="n"/>
      <c r="Y1004" s="750" t="n"/>
      <c r="Z1004" s="751" t="n"/>
      <c r="AA1004" s="752" t="n"/>
      <c r="AB1004" s="753" t="n"/>
      <c r="AC1004" s="754" t="n"/>
      <c r="AD1004" s="740" t="inlineStr">
        <is>
          <t>No</t>
        </is>
      </c>
      <c r="AE1004" s="755" t="n"/>
      <c r="AF1004" s="755" t="n"/>
      <c r="AG1004" s="755" t="n"/>
      <c r="AH1004" s="755" t="n"/>
      <c r="AI1004" s="740" t="inlineStr">
        <is>
          <t>Limit</t>
        </is>
      </c>
      <c r="AJ1004" s="755" t="n"/>
      <c r="AK1004" s="755" t="n"/>
      <c r="AL1004" s="755" t="n"/>
      <c r="AM1004" s="755" t="n"/>
      <c r="AN1004" s="755" t="n"/>
      <c r="AO1004" s="755" t="n"/>
      <c r="AP1004" s="740" t="inlineStr">
        <is>
          <t>Pullback</t>
        </is>
      </c>
      <c r="AQ1004" s="740" t="inlineStr">
        <is>
          <t>1H</t>
        </is>
      </c>
      <c r="AR1004" s="740" t="inlineStr">
        <is>
          <t>No</t>
        </is>
      </c>
      <c r="AS1004" s="755" t="n"/>
      <c r="AT1004" s="755" t="n"/>
      <c r="AU1004" s="755" t="n"/>
      <c r="AV1004" s="755" t="n"/>
      <c r="AW1004" s="740" t="inlineStr">
        <is>
          <t>trade</t>
        </is>
      </c>
      <c r="AX1004" s="756" t="inlineStr">
        <is>
          <t>sig:9f038e7fc3a8ab39316d8fe9</t>
        </is>
      </c>
    </row>
    <row r="1005" ht="15" customHeight="1">
      <c r="A1005" s="737" t="inlineStr">
        <is>
          <t>F538</t>
        </is>
      </c>
      <c r="B1005" s="738" t="n">
        <v>43523.08333333334</v>
      </c>
      <c r="C1005" s="739" t="n">
        <v>43523.08541666667</v>
      </c>
      <c r="D1005" s="740" t="inlineStr">
        <is>
          <t>PEPPERSTONE DEMO</t>
        </is>
      </c>
      <c r="E1005" s="740" t="inlineStr">
        <is>
          <t>USDCHF</t>
        </is>
      </c>
      <c r="F1005" s="740" t="inlineStr">
        <is>
          <t>SELL</t>
        </is>
      </c>
      <c r="G1005" s="775" t="n">
        <v>0.03</v>
      </c>
      <c r="H1005" s="742" t="n">
        <v>1.00071</v>
      </c>
      <c r="I1005" s="742" t="n">
        <v>1.00071</v>
      </c>
      <c r="J1005" s="743" t="n">
        <v>1.0015</v>
      </c>
      <c r="K1005" s="765" t="n">
        <v>0.0007894394979565193</v>
      </c>
      <c r="L1005" s="743" t="n">
        <v>1.0007</v>
      </c>
      <c r="M1005" s="828" t="n">
        <v>9.992905037488895e-06</v>
      </c>
      <c r="N1005" s="796" t="n"/>
      <c r="O1005" s="803" t="n">
        <v>0.08</v>
      </c>
      <c r="P1005" s="776" t="n">
        <v>0.0001888484962938483</v>
      </c>
      <c r="Q1005" s="748" t="n">
        <v>0</v>
      </c>
      <c r="R1005" s="769" t="n">
        <v>423.6999999999999</v>
      </c>
      <c r="S1005" s="740" t="inlineStr">
        <is>
          <t>3M 0S</t>
        </is>
      </c>
      <c r="T1005" s="750" t="n"/>
      <c r="U1005" s="751" t="n"/>
      <c r="V1005" s="752" t="n"/>
      <c r="W1005" s="753" t="n"/>
      <c r="X1005" s="754" t="n"/>
      <c r="Y1005" s="750" t="n"/>
      <c r="Z1005" s="751" t="n"/>
      <c r="AA1005" s="752" t="n"/>
      <c r="AB1005" s="753" t="n"/>
      <c r="AC1005" s="754" t="n"/>
      <c r="AD1005" s="740" t="inlineStr">
        <is>
          <t>No</t>
        </is>
      </c>
      <c r="AE1005" s="755" t="n"/>
      <c r="AF1005" s="755" t="n"/>
      <c r="AG1005" s="755" t="n"/>
      <c r="AH1005" s="755" t="n"/>
      <c r="AI1005" s="740" t="inlineStr">
        <is>
          <t>Limit</t>
        </is>
      </c>
      <c r="AJ1005" s="755" t="n"/>
      <c r="AK1005" s="755" t="n"/>
      <c r="AL1005" s="755" t="n"/>
      <c r="AM1005" s="755" t="n"/>
      <c r="AN1005" s="755" t="n"/>
      <c r="AO1005" s="755" t="n"/>
      <c r="AP1005" s="740" t="inlineStr">
        <is>
          <t>Pullback</t>
        </is>
      </c>
      <c r="AQ1005" s="740" t="inlineStr">
        <is>
          <t>1H</t>
        </is>
      </c>
      <c r="AR1005" s="740" t="inlineStr">
        <is>
          <t>No</t>
        </is>
      </c>
      <c r="AS1005" s="755" t="n"/>
      <c r="AT1005" s="755" t="n"/>
      <c r="AU1005" s="755" t="n"/>
      <c r="AV1005" s="755" t="n"/>
      <c r="AW1005" s="740" t="inlineStr">
        <is>
          <t>trade</t>
        </is>
      </c>
      <c r="AX1005" s="756" t="inlineStr">
        <is>
          <t>sig:5ae4fc7f1393888b1d0beea9</t>
        </is>
      </c>
    </row>
    <row r="1006" ht="15" customHeight="1">
      <c r="A1006" s="716" t="inlineStr">
        <is>
          <t>F535</t>
        </is>
      </c>
      <c r="B1006" s="717" t="n">
        <v>43522.75</v>
      </c>
      <c r="C1006" s="718" t="n">
        <v>43522.98958333334</v>
      </c>
      <c r="D1006" s="719" t="inlineStr">
        <is>
          <t>PEPPERSTONE DEMO</t>
        </is>
      </c>
      <c r="E1006" s="719" t="inlineStr">
        <is>
          <t>USDJPY</t>
        </is>
      </c>
      <c r="F1006" s="719" t="inlineStr">
        <is>
          <t>BUY</t>
        </is>
      </c>
      <c r="G1006" s="735" t="n">
        <v>0.02</v>
      </c>
      <c r="H1006" s="720" t="n">
        <v>110.83</v>
      </c>
      <c r="I1006" s="720" t="n">
        <v>110.716</v>
      </c>
      <c r="J1006" s="721" t="n">
        <v>110.71</v>
      </c>
      <c r="K1006" s="722" t="n">
        <v>0.001082739330506222</v>
      </c>
      <c r="L1006" s="721" t="n">
        <v>111.07</v>
      </c>
      <c r="M1006" s="722" t="n">
        <v>0.002165478661012315</v>
      </c>
      <c r="N1006" s="788" t="n"/>
      <c r="O1006" s="762" t="n">
        <v>-3.03</v>
      </c>
      <c r="P1006" s="725" t="n">
        <v>-0.007101839915621706</v>
      </c>
      <c r="Q1006" s="726" t="n">
        <v>-0.95</v>
      </c>
      <c r="R1006" s="764" t="n">
        <v>423.6199999999999</v>
      </c>
      <c r="S1006" s="719" t="inlineStr">
        <is>
          <t>5H 45M 0S</t>
        </is>
      </c>
      <c r="T1006" s="728" t="n"/>
      <c r="U1006" s="729" t="n"/>
      <c r="V1006" s="730" t="n"/>
      <c r="W1006" s="731" t="n"/>
      <c r="X1006" s="732" t="n"/>
      <c r="Y1006" s="728" t="n"/>
      <c r="Z1006" s="729" t="n"/>
      <c r="AA1006" s="730" t="n"/>
      <c r="AB1006" s="731" t="n"/>
      <c r="AC1006" s="732" t="n"/>
      <c r="AD1006" s="719" t="inlineStr">
        <is>
          <t>No</t>
        </is>
      </c>
      <c r="AE1006" s="733" t="n"/>
      <c r="AF1006" s="733" t="n"/>
      <c r="AG1006" s="733" t="n"/>
      <c r="AH1006" s="733" t="n"/>
      <c r="AI1006" s="719" t="inlineStr">
        <is>
          <t>Limit</t>
        </is>
      </c>
      <c r="AJ1006" s="733" t="n"/>
      <c r="AK1006" s="733" t="n"/>
      <c r="AL1006" s="733" t="n"/>
      <c r="AM1006" s="733" t="n"/>
      <c r="AN1006" s="733" t="n"/>
      <c r="AO1006" s="733" t="n"/>
      <c r="AP1006" s="719" t="inlineStr">
        <is>
          <t>Pullback</t>
        </is>
      </c>
      <c r="AQ1006" s="719" t="inlineStr">
        <is>
          <t>1H</t>
        </is>
      </c>
      <c r="AR1006" s="719" t="inlineStr">
        <is>
          <t>No</t>
        </is>
      </c>
      <c r="AS1006" s="733" t="n"/>
      <c r="AT1006" s="733" t="n"/>
      <c r="AU1006" s="733" t="n"/>
      <c r="AV1006" s="733" t="n"/>
      <c r="AW1006" s="719" t="inlineStr">
        <is>
          <t>trade</t>
        </is>
      </c>
      <c r="AX1006" s="734" t="inlineStr">
        <is>
          <t>sig:1030324a3764d411bec973d2</t>
        </is>
      </c>
    </row>
    <row r="1007" ht="15" customHeight="1">
      <c r="A1007" s="737" t="inlineStr">
        <is>
          <t>F532</t>
        </is>
      </c>
      <c r="B1007" s="738" t="n">
        <v>43522.16597222222</v>
      </c>
      <c r="C1007" s="739" t="n">
        <v>43522.70138888889</v>
      </c>
      <c r="D1007" s="740" t="inlineStr">
        <is>
          <t>PEPPERSTONE DEMO</t>
        </is>
      </c>
      <c r="E1007" s="740" t="inlineStr">
        <is>
          <t>EURUSD</t>
        </is>
      </c>
      <c r="F1007" s="740" t="inlineStr">
        <is>
          <t>BUY</t>
        </is>
      </c>
      <c r="G1007" s="775" t="n">
        <v>0.02</v>
      </c>
      <c r="H1007" s="742" t="n">
        <v>1.1348</v>
      </c>
      <c r="I1007" s="742" t="n">
        <v>1.13614</v>
      </c>
      <c r="J1007" s="743" t="n">
        <v>1.1338</v>
      </c>
      <c r="K1007" s="765" t="n">
        <v>0.0008812125484667887</v>
      </c>
      <c r="L1007" s="743" t="n">
        <v>1.137</v>
      </c>
      <c r="M1007" s="744" t="n">
        <v>0.001938667606626701</v>
      </c>
      <c r="N1007" s="766" t="n">
        <v>0.13</v>
      </c>
      <c r="O1007" s="767" t="n">
        <v>2.38</v>
      </c>
      <c r="P1007" s="747" t="n">
        <v>0.00560963537370071</v>
      </c>
      <c r="Q1007" s="748" t="n">
        <v>1.339999999999747</v>
      </c>
      <c r="R1007" s="769" t="n">
        <v>426.6499999999999</v>
      </c>
      <c r="S1007" s="740" t="inlineStr">
        <is>
          <t>12H 51M 0S</t>
        </is>
      </c>
      <c r="T1007" s="738" t="n">
        <v>43522.23263888889</v>
      </c>
      <c r="U1007" s="809" t="inlineStr">
        <is>
          <t>1H 36M 0S</t>
        </is>
      </c>
      <c r="V1007" s="752" t="n"/>
      <c r="W1007" s="753" t="n"/>
      <c r="X1007" s="754" t="n"/>
      <c r="Y1007" s="738" t="n">
        <v>43522.55208333334</v>
      </c>
      <c r="Z1007" s="809" t="inlineStr">
        <is>
          <t>9H 16M 0S</t>
        </is>
      </c>
      <c r="AA1007" s="752" t="n"/>
      <c r="AB1007" s="753" t="n"/>
      <c r="AC1007" s="754" t="n"/>
      <c r="AD1007" s="740" t="inlineStr">
        <is>
          <t>No</t>
        </is>
      </c>
      <c r="AE1007" s="755" t="n"/>
      <c r="AF1007" s="755" t="n"/>
      <c r="AG1007" s="755" t="n"/>
      <c r="AH1007" s="755" t="n"/>
      <c r="AI1007" s="740" t="inlineStr">
        <is>
          <t>Limit</t>
        </is>
      </c>
      <c r="AJ1007" s="755" t="n"/>
      <c r="AK1007" s="755" t="n"/>
      <c r="AL1007" s="755" t="n"/>
      <c r="AM1007" s="755" t="n"/>
      <c r="AN1007" s="755" t="n"/>
      <c r="AO1007" s="755" t="n"/>
      <c r="AP1007" s="740" t="inlineStr">
        <is>
          <t>Pullback</t>
        </is>
      </c>
      <c r="AQ1007" s="740" t="inlineStr">
        <is>
          <t>1H</t>
        </is>
      </c>
      <c r="AR1007" s="740" t="inlineStr">
        <is>
          <t>No</t>
        </is>
      </c>
      <c r="AS1007" s="755" t="n"/>
      <c r="AT1007" s="755" t="n"/>
      <c r="AU1007" s="755" t="n"/>
      <c r="AV1007" s="755" t="n"/>
      <c r="AW1007" s="740" t="inlineStr">
        <is>
          <t>trade</t>
        </is>
      </c>
      <c r="AX1007" s="756" t="inlineStr">
        <is>
          <t>sig:28c05acb6787b99e447a93d6</t>
        </is>
      </c>
    </row>
    <row r="1008" ht="15" customHeight="1">
      <c r="A1008" s="716" t="inlineStr">
        <is>
          <t>F534</t>
        </is>
      </c>
      <c r="B1008" s="717" t="n">
        <v>43522.175</v>
      </c>
      <c r="C1008" s="718" t="n">
        <v>43522.4875</v>
      </c>
      <c r="D1008" s="719" t="inlineStr">
        <is>
          <t>PEPPERSTONE DEMO</t>
        </is>
      </c>
      <c r="E1008" s="719" t="inlineStr">
        <is>
          <t>USDCAD</t>
        </is>
      </c>
      <c r="F1008" s="719" t="inlineStr">
        <is>
          <t>SELL</t>
        </is>
      </c>
      <c r="G1008" s="735" t="n">
        <v>0.01</v>
      </c>
      <c r="H1008" s="720" t="n">
        <v>1.3178</v>
      </c>
      <c r="I1008" s="720" t="n">
        <v>1.32004</v>
      </c>
      <c r="J1008" s="721" t="n">
        <v>1.32</v>
      </c>
      <c r="K1008" s="722" t="n">
        <v>0.001669449081802989</v>
      </c>
      <c r="L1008" s="721" t="n">
        <v>1.3134</v>
      </c>
      <c r="M1008" s="722" t="n">
        <v>0.003338898163606148</v>
      </c>
      <c r="N1008" s="792" t="n">
        <v>0.03</v>
      </c>
      <c r="O1008" s="762" t="n">
        <v>-2.36</v>
      </c>
      <c r="P1008" s="725" t="n">
        <v>-0.005531725382650071</v>
      </c>
      <c r="Q1008" s="726" t="n">
        <v>-1.018181818181837</v>
      </c>
      <c r="R1008" s="764" t="n">
        <v>424.2699999999999</v>
      </c>
      <c r="S1008" s="719" t="inlineStr">
        <is>
          <t>7H 30M 0S</t>
        </is>
      </c>
      <c r="T1008" s="728" t="n"/>
      <c r="U1008" s="729" t="n"/>
      <c r="V1008" s="730" t="n"/>
      <c r="W1008" s="731" t="n"/>
      <c r="X1008" s="732" t="n"/>
      <c r="Y1008" s="728" t="n"/>
      <c r="Z1008" s="729" t="n"/>
      <c r="AA1008" s="730" t="n"/>
      <c r="AB1008" s="731" t="n"/>
      <c r="AC1008" s="732" t="n"/>
      <c r="AD1008" s="719" t="inlineStr">
        <is>
          <t>No</t>
        </is>
      </c>
      <c r="AE1008" s="733" t="n"/>
      <c r="AF1008" s="733" t="n"/>
      <c r="AG1008" s="733" t="n"/>
      <c r="AH1008" s="733" t="n"/>
      <c r="AI1008" s="719" t="inlineStr">
        <is>
          <t>Limit</t>
        </is>
      </c>
      <c r="AJ1008" s="733" t="n"/>
      <c r="AK1008" s="733" t="n"/>
      <c r="AL1008" s="733" t="n"/>
      <c r="AM1008" s="733" t="n"/>
      <c r="AN1008" s="733" t="n"/>
      <c r="AO1008" s="733" t="n"/>
      <c r="AP1008" s="719" t="inlineStr">
        <is>
          <t>Pullback</t>
        </is>
      </c>
      <c r="AQ1008" s="719" t="inlineStr">
        <is>
          <t>1H</t>
        </is>
      </c>
      <c r="AR1008" s="719" t="inlineStr">
        <is>
          <t>No</t>
        </is>
      </c>
      <c r="AS1008" s="733" t="n"/>
      <c r="AT1008" s="733" t="n"/>
      <c r="AU1008" s="733" t="n"/>
      <c r="AV1008" s="733" t="n"/>
      <c r="AW1008" s="719" t="inlineStr">
        <is>
          <t>trade</t>
        </is>
      </c>
      <c r="AX1008" s="734" t="inlineStr">
        <is>
          <t>sig:67cd6fd556d3ed6017458f91</t>
        </is>
      </c>
    </row>
    <row r="1009" ht="15" customHeight="1">
      <c r="A1009" s="716" t="inlineStr">
        <is>
          <t>F533</t>
        </is>
      </c>
      <c r="B1009" s="717" t="n">
        <v>43522.10555555556</v>
      </c>
      <c r="C1009" s="718" t="n">
        <v>43522.12777777778</v>
      </c>
      <c r="D1009" s="719" t="inlineStr">
        <is>
          <t>PEPPERSTONE DEMO</t>
        </is>
      </c>
      <c r="E1009" s="719" t="inlineStr">
        <is>
          <t>EURUSD</t>
        </is>
      </c>
      <c r="F1009" s="719" t="inlineStr">
        <is>
          <t>BUY</t>
        </is>
      </c>
      <c r="G1009" s="735" t="n">
        <v>0.03</v>
      </c>
      <c r="H1009" s="720" t="n">
        <v>1.1352</v>
      </c>
      <c r="I1009" s="720" t="n">
        <v>1.1342</v>
      </c>
      <c r="J1009" s="721" t="n">
        <v>1.1342</v>
      </c>
      <c r="K1009" s="760" t="n">
        <v>0.0008809020436926444</v>
      </c>
      <c r="L1009" s="721" t="n">
        <v>1.1372</v>
      </c>
      <c r="M1009" s="722" t="n">
        <v>0.001761804087385484</v>
      </c>
      <c r="N1009" s="788" t="n"/>
      <c r="O1009" s="762" t="n">
        <v>-4.19</v>
      </c>
      <c r="P1009" s="725" t="n">
        <v>-0.009725639478204358</v>
      </c>
      <c r="Q1009" s="726" t="n">
        <v>-1</v>
      </c>
      <c r="R1009" s="764" t="n">
        <v>426.6299999999999</v>
      </c>
      <c r="S1009" s="719" t="inlineStr">
        <is>
          <t>32M 0S</t>
        </is>
      </c>
      <c r="T1009" s="728" t="n"/>
      <c r="U1009" s="729" t="n"/>
      <c r="V1009" s="730" t="n"/>
      <c r="W1009" s="731" t="n"/>
      <c r="X1009" s="732" t="n"/>
      <c r="Y1009" s="728" t="n"/>
      <c r="Z1009" s="729" t="n"/>
      <c r="AA1009" s="730" t="n"/>
      <c r="AB1009" s="731" t="n"/>
      <c r="AC1009" s="732" t="n"/>
      <c r="AD1009" s="719" t="inlineStr">
        <is>
          <t>No</t>
        </is>
      </c>
      <c r="AE1009" s="733" t="n"/>
      <c r="AF1009" s="733" t="n"/>
      <c r="AG1009" s="733" t="n"/>
      <c r="AH1009" s="733" t="n"/>
      <c r="AI1009" s="719" t="inlineStr">
        <is>
          <t>Limit</t>
        </is>
      </c>
      <c r="AJ1009" s="733" t="n"/>
      <c r="AK1009" s="733" t="n"/>
      <c r="AL1009" s="733" t="n"/>
      <c r="AM1009" s="733" t="n"/>
      <c r="AN1009" s="733" t="n"/>
      <c r="AO1009" s="733" t="n"/>
      <c r="AP1009" s="719" t="inlineStr">
        <is>
          <t>Pullback</t>
        </is>
      </c>
      <c r="AQ1009" s="719" t="inlineStr">
        <is>
          <t>1H</t>
        </is>
      </c>
      <c r="AR1009" s="719" t="inlineStr">
        <is>
          <t>No</t>
        </is>
      </c>
      <c r="AS1009" s="733" t="n"/>
      <c r="AT1009" s="733" t="n"/>
      <c r="AU1009" s="733" t="n"/>
      <c r="AV1009" s="733" t="n"/>
      <c r="AW1009" s="719" t="inlineStr">
        <is>
          <t>trade</t>
        </is>
      </c>
      <c r="AX1009" s="734" t="inlineStr">
        <is>
          <t>sig:7c27cdc5928dcbe4fa51ea24</t>
        </is>
      </c>
    </row>
    <row r="1010" ht="15" customHeight="1">
      <c r="A1010" s="737" t="inlineStr">
        <is>
          <t>F530</t>
        </is>
      </c>
      <c r="B1010" s="738" t="n">
        <v>43518.97222222222</v>
      </c>
      <c r="C1010" s="739" t="n">
        <v>43519.04236111111</v>
      </c>
      <c r="D1010" s="740" t="inlineStr">
        <is>
          <t>PEPPERSTONE DEMO</t>
        </is>
      </c>
      <c r="E1010" s="740" t="inlineStr">
        <is>
          <t>GBPUSD</t>
        </is>
      </c>
      <c r="F1010" s="740" t="inlineStr">
        <is>
          <t>BUY</t>
        </is>
      </c>
      <c r="G1010" s="775" t="n">
        <v>0.02</v>
      </c>
      <c r="H1010" s="742" t="n">
        <v>1.2986</v>
      </c>
      <c r="I1010" s="742" t="n">
        <v>1.30204</v>
      </c>
      <c r="J1010" s="743" t="n">
        <v>1.2972</v>
      </c>
      <c r="K1010" s="744" t="n">
        <v>0.001078084090559116</v>
      </c>
      <c r="L1010" s="743" t="n">
        <v>1.3028</v>
      </c>
      <c r="M1010" s="744" t="n">
        <v>0.003234252271677177</v>
      </c>
      <c r="N1010" s="796" t="n"/>
      <c r="O1010" s="767" t="n">
        <v>7.59</v>
      </c>
      <c r="P1010" s="747" t="n">
        <v>0.01793351132953714</v>
      </c>
      <c r="Q1010" s="748" t="n">
        <v>2.457142857142816</v>
      </c>
      <c r="R1010" s="769" t="n">
        <v>430.8199999999999</v>
      </c>
      <c r="S1010" s="740" t="inlineStr">
        <is>
          <t>1H 41M 0S</t>
        </is>
      </c>
      <c r="T1010" s="738" t="n">
        <v>43519.00763888889</v>
      </c>
      <c r="U1010" s="809" t="inlineStr">
        <is>
          <t>51M 0S</t>
        </is>
      </c>
      <c r="V1010" s="752" t="n"/>
      <c r="W1010" s="753" t="n"/>
      <c r="X1010" s="754" t="n"/>
      <c r="Y1010" s="750" t="n"/>
      <c r="Z1010" s="751" t="n"/>
      <c r="AA1010" s="752" t="n"/>
      <c r="AB1010" s="753" t="n"/>
      <c r="AC1010" s="754" t="n"/>
      <c r="AD1010" s="740" t="inlineStr">
        <is>
          <t>No</t>
        </is>
      </c>
      <c r="AE1010" s="755" t="n"/>
      <c r="AF1010" s="755" t="n"/>
      <c r="AG1010" s="755" t="n"/>
      <c r="AH1010" s="755" t="n"/>
      <c r="AI1010" s="740" t="inlineStr">
        <is>
          <t>Limit</t>
        </is>
      </c>
      <c r="AJ1010" s="755" t="n"/>
      <c r="AK1010" s="755" t="n"/>
      <c r="AL1010" s="755" t="n"/>
      <c r="AM1010" s="755" t="n"/>
      <c r="AN1010" s="755" t="n"/>
      <c r="AO1010" s="755" t="n"/>
      <c r="AP1010" s="740" t="inlineStr">
        <is>
          <t>Pullback</t>
        </is>
      </c>
      <c r="AQ1010" s="740" t="inlineStr">
        <is>
          <t>1H</t>
        </is>
      </c>
      <c r="AR1010" s="740" t="inlineStr">
        <is>
          <t>No</t>
        </is>
      </c>
      <c r="AS1010" s="755" t="n"/>
      <c r="AT1010" s="755" t="n"/>
      <c r="AU1010" s="755" t="n"/>
      <c r="AV1010" s="755" t="n"/>
      <c r="AW1010" s="740" t="inlineStr">
        <is>
          <t>trade</t>
        </is>
      </c>
      <c r="AX1010" s="756" t="inlineStr">
        <is>
          <t>sig:a0d7406dc561b5338848c417</t>
        </is>
      </c>
    </row>
    <row r="1011" ht="15" customHeight="1">
      <c r="A1011" s="737" t="inlineStr">
        <is>
          <t>F528</t>
        </is>
      </c>
      <c r="B1011" s="738" t="n">
        <v>43518.20972222222</v>
      </c>
      <c r="C1011" s="739" t="n">
        <v>43518.74583333333</v>
      </c>
      <c r="D1011" s="740" t="inlineStr">
        <is>
          <t>PEPPERSTONE DEMO</t>
        </is>
      </c>
      <c r="E1011" s="740" t="inlineStr">
        <is>
          <t>EURUSD</t>
        </is>
      </c>
      <c r="F1011" s="740" t="inlineStr">
        <is>
          <t>BUY</t>
        </is>
      </c>
      <c r="G1011" s="775" t="n">
        <v>0.02</v>
      </c>
      <c r="H1011" s="742" t="n">
        <v>1.133</v>
      </c>
      <c r="I1011" s="742" t="n">
        <v>1.13476</v>
      </c>
      <c r="J1011" s="743" t="n">
        <v>1.1319</v>
      </c>
      <c r="K1011" s="765" t="n">
        <v>0.0009708737864078561</v>
      </c>
      <c r="L1011" s="743" t="n">
        <v>1.1363</v>
      </c>
      <c r="M1011" s="744" t="n">
        <v>0.002912621359223372</v>
      </c>
      <c r="N1011" s="766" t="n">
        <v>0.26</v>
      </c>
      <c r="O1011" s="767" t="n">
        <v>4.28</v>
      </c>
      <c r="P1011" s="747" t="n">
        <v>0.01021601623105383</v>
      </c>
      <c r="Q1011" s="748" t="n">
        <v>1.599999999999838</v>
      </c>
      <c r="R1011" s="769" t="n">
        <v>423.23</v>
      </c>
      <c r="S1011" s="740" t="inlineStr">
        <is>
          <t>12H 52M 0S</t>
        </is>
      </c>
      <c r="T1011" s="738" t="n">
        <v>43518.73333333333</v>
      </c>
      <c r="U1011" s="809" t="inlineStr">
        <is>
          <t>12H 34M 0S</t>
        </is>
      </c>
      <c r="V1011" s="752" t="n"/>
      <c r="W1011" s="753" t="n"/>
      <c r="X1011" s="754" t="n"/>
      <c r="Y1011" s="750" t="n"/>
      <c r="Z1011" s="751" t="n"/>
      <c r="AA1011" s="752" t="n"/>
      <c r="AB1011" s="753" t="n"/>
      <c r="AC1011" s="754" t="n"/>
      <c r="AD1011" s="740" t="inlineStr">
        <is>
          <t>No</t>
        </is>
      </c>
      <c r="AE1011" s="755" t="n"/>
      <c r="AF1011" s="755" t="n"/>
      <c r="AG1011" s="755" t="n"/>
      <c r="AH1011" s="755" t="n"/>
      <c r="AI1011" s="740" t="inlineStr">
        <is>
          <t>Market</t>
        </is>
      </c>
      <c r="AJ1011" s="755" t="n"/>
      <c r="AK1011" s="755" t="n"/>
      <c r="AL1011" s="755" t="n"/>
      <c r="AM1011" s="755" t="n"/>
      <c r="AN1011" s="755" t="n"/>
      <c r="AO1011" s="755" t="n"/>
      <c r="AP1011" s="740" t="inlineStr">
        <is>
          <t>Pullback</t>
        </is>
      </c>
      <c r="AQ1011" s="740" t="inlineStr">
        <is>
          <t>1H</t>
        </is>
      </c>
      <c r="AR1011" s="740" t="inlineStr">
        <is>
          <t>No</t>
        </is>
      </c>
      <c r="AS1011" s="755" t="n"/>
      <c r="AT1011" s="755" t="n"/>
      <c r="AU1011" s="755" t="n"/>
      <c r="AV1011" s="755" t="n"/>
      <c r="AW1011" s="740" t="inlineStr">
        <is>
          <t>trade</t>
        </is>
      </c>
      <c r="AX1011" s="756" t="inlineStr">
        <is>
          <t>sig:4dda1424e2abfd3b6987e5ce</t>
        </is>
      </c>
    </row>
    <row r="1012" ht="15" customHeight="1">
      <c r="A1012" s="737" t="inlineStr">
        <is>
          <t>F529</t>
        </is>
      </c>
      <c r="B1012" s="738" t="n">
        <v>43518.21111111111</v>
      </c>
      <c r="C1012" s="739" t="n">
        <v>43518.53680555556</v>
      </c>
      <c r="D1012" s="740" t="inlineStr">
        <is>
          <t>PEPPERSTONE DEMO</t>
        </is>
      </c>
      <c r="E1012" s="740" t="inlineStr">
        <is>
          <t>USDJPY</t>
        </is>
      </c>
      <c r="F1012" s="740" t="inlineStr">
        <is>
          <t>SELL</t>
        </is>
      </c>
      <c r="G1012" s="775" t="n">
        <v>0.03</v>
      </c>
      <c r="H1012" s="742" t="n">
        <v>110.77</v>
      </c>
      <c r="I1012" s="742" t="n">
        <v>110.674</v>
      </c>
      <c r="J1012" s="743" t="n">
        <v>110.87</v>
      </c>
      <c r="K1012" s="765" t="n">
        <v>0.0009027715085312678</v>
      </c>
      <c r="L1012" s="743" t="n">
        <v>110.57</v>
      </c>
      <c r="M1012" s="744" t="n">
        <v>0.001805543017062407</v>
      </c>
      <c r="N1012" s="766" t="n">
        <v>0.21</v>
      </c>
      <c r="O1012" s="767" t="n">
        <v>1.03</v>
      </c>
      <c r="P1012" s="747" t="n">
        <v>0.0024645865237366</v>
      </c>
      <c r="Q1012" s="748" t="n">
        <v>0.9599999999998124</v>
      </c>
      <c r="R1012" s="769" t="n">
        <v>418.95</v>
      </c>
      <c r="S1012" s="740" t="inlineStr">
        <is>
          <t>7H 49M 0S</t>
        </is>
      </c>
      <c r="T1012" s="738" t="n">
        <v>43518.25</v>
      </c>
      <c r="U1012" s="809" t="inlineStr">
        <is>
          <t>56M 0S</t>
        </is>
      </c>
      <c r="V1012" s="752" t="n"/>
      <c r="W1012" s="753" t="n"/>
      <c r="X1012" s="754" t="n"/>
      <c r="Y1012" s="750" t="n"/>
      <c r="Z1012" s="751" t="n"/>
      <c r="AA1012" s="752" t="n"/>
      <c r="AB1012" s="753" t="n"/>
      <c r="AC1012" s="754" t="n"/>
      <c r="AD1012" s="740" t="inlineStr">
        <is>
          <t>No</t>
        </is>
      </c>
      <c r="AE1012" s="755" t="n"/>
      <c r="AF1012" s="755" t="n"/>
      <c r="AG1012" s="755" t="n"/>
      <c r="AH1012" s="755" t="n"/>
      <c r="AI1012" s="740" t="inlineStr">
        <is>
          <t>Market</t>
        </is>
      </c>
      <c r="AJ1012" s="755" t="n"/>
      <c r="AK1012" s="755" t="n"/>
      <c r="AL1012" s="755" t="n"/>
      <c r="AM1012" s="755" t="n"/>
      <c r="AN1012" s="755" t="n"/>
      <c r="AO1012" s="755" t="n"/>
      <c r="AP1012" s="740" t="inlineStr">
        <is>
          <t>Pullback</t>
        </is>
      </c>
      <c r="AQ1012" s="740" t="inlineStr">
        <is>
          <t>1H</t>
        </is>
      </c>
      <c r="AR1012" s="740" t="inlineStr">
        <is>
          <t>No</t>
        </is>
      </c>
      <c r="AS1012" s="755" t="n"/>
      <c r="AT1012" s="755" t="n"/>
      <c r="AU1012" s="755" t="n"/>
      <c r="AV1012" s="755" t="n"/>
      <c r="AW1012" s="740" t="inlineStr">
        <is>
          <t>trade</t>
        </is>
      </c>
      <c r="AX1012" s="756" t="inlineStr">
        <is>
          <t>sig:75d5aa69d8a9ddb57685aaa7</t>
        </is>
      </c>
    </row>
    <row r="1013" ht="15" customHeight="1">
      <c r="A1013" s="716" t="inlineStr">
        <is>
          <t>F531</t>
        </is>
      </c>
      <c r="B1013" s="717" t="n">
        <v>43518.125</v>
      </c>
      <c r="C1013" s="718" t="n">
        <v>43518.13402777778</v>
      </c>
      <c r="D1013" s="719" t="inlineStr">
        <is>
          <t>PEPPERSTONE DEMO</t>
        </is>
      </c>
      <c r="E1013" s="719" t="inlineStr">
        <is>
          <t>GBPUSD</t>
        </is>
      </c>
      <c r="F1013" s="719" t="inlineStr">
        <is>
          <t>BUY</t>
        </is>
      </c>
      <c r="G1013" s="735" t="n">
        <v>0.01</v>
      </c>
      <c r="H1013" s="720" t="n">
        <v>1.306</v>
      </c>
      <c r="I1013" s="720" t="n">
        <v>1.3044</v>
      </c>
      <c r="J1013" s="721" t="n">
        <v>1.3044</v>
      </c>
      <c r="K1013" s="722" t="n">
        <v>0.001225114854517646</v>
      </c>
      <c r="L1013" s="721" t="n">
        <v>1.3092</v>
      </c>
      <c r="M1013" s="722" t="n">
        <v>0.002450229709035122</v>
      </c>
      <c r="N1013" s="788" t="n"/>
      <c r="O1013" s="762" t="n">
        <v>-2.27</v>
      </c>
      <c r="P1013" s="725" t="n">
        <v>-0.005402317999000452</v>
      </c>
      <c r="Q1013" s="726" t="n">
        <v>-1</v>
      </c>
      <c r="R1013" s="764" t="n">
        <v>417.92</v>
      </c>
      <c r="S1013" s="719" t="inlineStr">
        <is>
          <t>13M 0S</t>
        </is>
      </c>
      <c r="T1013" s="717" t="n"/>
      <c r="U1013" s="806" t="n"/>
      <c r="V1013" s="730" t="n"/>
      <c r="W1013" s="731" t="n"/>
      <c r="X1013" s="732" t="n"/>
      <c r="Y1013" s="728" t="n"/>
      <c r="Z1013" s="729" t="n"/>
      <c r="AA1013" s="730" t="n"/>
      <c r="AB1013" s="731" t="n"/>
      <c r="AC1013" s="732" t="n"/>
      <c r="AD1013" s="719" t="inlineStr">
        <is>
          <t>No</t>
        </is>
      </c>
      <c r="AE1013" s="733" t="n"/>
      <c r="AF1013" s="733" t="n"/>
      <c r="AG1013" s="733" t="n"/>
      <c r="AH1013" s="733" t="n"/>
      <c r="AI1013" s="719" t="inlineStr">
        <is>
          <t>Market</t>
        </is>
      </c>
      <c r="AJ1013" s="733" t="n"/>
      <c r="AK1013" s="733" t="n"/>
      <c r="AL1013" s="733" t="n"/>
      <c r="AM1013" s="733" t="n"/>
      <c r="AN1013" s="733" t="n"/>
      <c r="AO1013" s="733" t="n"/>
      <c r="AP1013" s="719" t="inlineStr">
        <is>
          <t>Pullback</t>
        </is>
      </c>
      <c r="AQ1013" s="719" t="inlineStr">
        <is>
          <t>1H</t>
        </is>
      </c>
      <c r="AR1013" s="719" t="inlineStr">
        <is>
          <t>No</t>
        </is>
      </c>
      <c r="AS1013" s="733" t="n"/>
      <c r="AT1013" s="733" t="n"/>
      <c r="AU1013" s="733" t="n"/>
      <c r="AV1013" s="733" t="n"/>
      <c r="AW1013" s="719" t="inlineStr">
        <is>
          <t>trade</t>
        </is>
      </c>
      <c r="AX1013" s="734" t="inlineStr">
        <is>
          <t>sig:7dfc9036f7ba95a9c3cdc32f</t>
        </is>
      </c>
    </row>
    <row r="1014" ht="15" customHeight="1">
      <c r="A1014" s="716" t="inlineStr">
        <is>
          <t>F523</t>
        </is>
      </c>
      <c r="B1014" s="717" t="n">
        <v>43517.83333333334</v>
      </c>
      <c r="C1014" s="718" t="n">
        <v>43517.89375</v>
      </c>
      <c r="D1014" s="719" t="inlineStr">
        <is>
          <t>PEPPERSTONE DEMO</t>
        </is>
      </c>
      <c r="E1014" s="719" t="inlineStr">
        <is>
          <t>GBPUSD</t>
        </is>
      </c>
      <c r="F1014" s="719" t="inlineStr">
        <is>
          <t>BUY</t>
        </is>
      </c>
      <c r="G1014" s="735" t="n">
        <v>0.01</v>
      </c>
      <c r="H1014" s="720" t="n">
        <v>1.3067</v>
      </c>
      <c r="I1014" s="720" t="n">
        <v>1.30505</v>
      </c>
      <c r="J1014" s="721" t="n">
        <v>1.305</v>
      </c>
      <c r="K1014" s="722" t="n">
        <v>0.001300987219713809</v>
      </c>
      <c r="L1014" s="721" t="n">
        <v>1.3101</v>
      </c>
      <c r="M1014" s="722" t="n">
        <v>0.002601974439427619</v>
      </c>
      <c r="N1014" s="788" t="n"/>
      <c r="O1014" s="762" t="n">
        <v>-2.39</v>
      </c>
      <c r="P1014" s="725" t="n">
        <v>-0.005655733825547826</v>
      </c>
      <c r="Q1014" s="726" t="n">
        <v>-0.9705882352940561</v>
      </c>
      <c r="R1014" s="764" t="n">
        <v>420.19</v>
      </c>
      <c r="S1014" s="719" t="inlineStr">
        <is>
          <t>1H 27M 0S</t>
        </is>
      </c>
      <c r="T1014" s="717" t="n"/>
      <c r="U1014" s="806" t="n"/>
      <c r="V1014" s="730" t="n"/>
      <c r="W1014" s="731" t="n"/>
      <c r="X1014" s="732" t="n"/>
      <c r="Y1014" s="728" t="n"/>
      <c r="Z1014" s="729" t="n"/>
      <c r="AA1014" s="730" t="n"/>
      <c r="AB1014" s="731" t="n"/>
      <c r="AC1014" s="732" t="n"/>
      <c r="AD1014" s="719" t="inlineStr">
        <is>
          <t>No</t>
        </is>
      </c>
      <c r="AE1014" s="733" t="n"/>
      <c r="AF1014" s="733" t="n"/>
      <c r="AG1014" s="733" t="n"/>
      <c r="AH1014" s="733" t="n"/>
      <c r="AI1014" s="719" t="inlineStr">
        <is>
          <t>Limit</t>
        </is>
      </c>
      <c r="AJ1014" s="733" t="n"/>
      <c r="AK1014" s="733" t="n"/>
      <c r="AL1014" s="733" t="n"/>
      <c r="AM1014" s="733" t="n"/>
      <c r="AN1014" s="733" t="n"/>
      <c r="AO1014" s="733" t="n"/>
      <c r="AP1014" s="719" t="inlineStr">
        <is>
          <t>Pullback</t>
        </is>
      </c>
      <c r="AQ1014" s="719" t="inlineStr">
        <is>
          <t>15MIN</t>
        </is>
      </c>
      <c r="AR1014" s="719" t="inlineStr">
        <is>
          <t>No</t>
        </is>
      </c>
      <c r="AS1014" s="733" t="n"/>
      <c r="AT1014" s="733" t="n"/>
      <c r="AU1014" s="733" t="n"/>
      <c r="AV1014" s="733" t="n"/>
      <c r="AW1014" s="719" t="inlineStr">
        <is>
          <t>trade</t>
        </is>
      </c>
      <c r="AX1014" s="734" t="inlineStr">
        <is>
          <t>sig:7d2d61f1d51b9dcd9c16b557</t>
        </is>
      </c>
    </row>
    <row r="1015" ht="15" customHeight="1">
      <c r="A1015" s="716" t="inlineStr">
        <is>
          <t>F527</t>
        </is>
      </c>
      <c r="B1015" s="717" t="n">
        <v>43517.8375</v>
      </c>
      <c r="C1015" s="718" t="n">
        <v>43517.87777777778</v>
      </c>
      <c r="D1015" s="719" t="inlineStr">
        <is>
          <t>PEPPERSTONE DEMO</t>
        </is>
      </c>
      <c r="E1015" s="719" t="inlineStr">
        <is>
          <t>USDJPY</t>
        </is>
      </c>
      <c r="F1015" s="719" t="inlineStr">
        <is>
          <t>SELL</t>
        </is>
      </c>
      <c r="G1015" s="735" t="n">
        <v>0.08</v>
      </c>
      <c r="H1015" s="720" t="n">
        <v>110.72</v>
      </c>
      <c r="I1015" s="720" t="n">
        <v>110.76</v>
      </c>
      <c r="J1015" s="721" t="n">
        <v>110.76</v>
      </c>
      <c r="K1015" s="760" t="n">
        <v>0.0003612716763006345</v>
      </c>
      <c r="L1015" s="721" t="n">
        <v>110.64</v>
      </c>
      <c r="M1015" s="760" t="n">
        <v>0.0007225433526011406</v>
      </c>
      <c r="N1015" s="788" t="n"/>
      <c r="O1015" s="762" t="n">
        <v>-4.07</v>
      </c>
      <c r="P1015" s="725" t="n">
        <v>-0.009539435134184929</v>
      </c>
      <c r="Q1015" s="726" t="n">
        <v>-1</v>
      </c>
      <c r="R1015" s="764" t="n">
        <v>422.58</v>
      </c>
      <c r="S1015" s="719" t="inlineStr">
        <is>
          <t>58M 0S</t>
        </is>
      </c>
      <c r="T1015" s="728" t="n"/>
      <c r="U1015" s="729" t="n"/>
      <c r="V1015" s="730" t="n"/>
      <c r="W1015" s="731" t="n"/>
      <c r="X1015" s="732" t="n"/>
      <c r="Y1015" s="728" t="n"/>
      <c r="Z1015" s="729" t="n"/>
      <c r="AA1015" s="730" t="n"/>
      <c r="AB1015" s="731" t="n"/>
      <c r="AC1015" s="732" t="n"/>
      <c r="AD1015" s="719" t="inlineStr">
        <is>
          <t>No</t>
        </is>
      </c>
      <c r="AE1015" s="733" t="n"/>
      <c r="AF1015" s="733" t="n"/>
      <c r="AG1015" s="733" t="n"/>
      <c r="AH1015" s="733" t="n"/>
      <c r="AI1015" s="719" t="inlineStr">
        <is>
          <t>Limit</t>
        </is>
      </c>
      <c r="AJ1015" s="733" t="n"/>
      <c r="AK1015" s="733" t="n"/>
      <c r="AL1015" s="733" t="n"/>
      <c r="AM1015" s="733" t="n"/>
      <c r="AN1015" s="733" t="n"/>
      <c r="AO1015" s="733" t="n"/>
      <c r="AP1015" s="719" t="inlineStr">
        <is>
          <t>Pullback</t>
        </is>
      </c>
      <c r="AQ1015" s="719" t="inlineStr">
        <is>
          <t>15MIN</t>
        </is>
      </c>
      <c r="AR1015" s="719" t="inlineStr">
        <is>
          <t>No</t>
        </is>
      </c>
      <c r="AS1015" s="733" t="n"/>
      <c r="AT1015" s="733" t="n"/>
      <c r="AU1015" s="733" t="n"/>
      <c r="AV1015" s="733" t="n"/>
      <c r="AW1015" s="719" t="inlineStr">
        <is>
          <t>trade</t>
        </is>
      </c>
      <c r="AX1015" s="734" t="inlineStr">
        <is>
          <t>sig:a497d6cec0d08da103c6dfb0</t>
        </is>
      </c>
    </row>
    <row r="1016" ht="15" customHeight="1">
      <c r="A1016" s="716" t="inlineStr">
        <is>
          <t>F522</t>
        </is>
      </c>
      <c r="B1016" s="717" t="n">
        <v>43517.81944444445</v>
      </c>
      <c r="C1016" s="718" t="n">
        <v>43517.82569444444</v>
      </c>
      <c r="D1016" s="719" t="inlineStr">
        <is>
          <t>PEPPERSTONE DEMO</t>
        </is>
      </c>
      <c r="E1016" s="719" t="inlineStr">
        <is>
          <t>GBPUSD</t>
        </is>
      </c>
      <c r="F1016" s="719" t="inlineStr">
        <is>
          <t>BUY</t>
        </is>
      </c>
      <c r="G1016" s="735" t="n">
        <v>0.03</v>
      </c>
      <c r="H1016" s="720" t="n">
        <v>1.3067</v>
      </c>
      <c r="I1016" s="720" t="n">
        <v>1.30578</v>
      </c>
      <c r="J1016" s="721" t="n">
        <v>1.3057</v>
      </c>
      <c r="K1016" s="760" t="n">
        <v>0.0007652865998315527</v>
      </c>
      <c r="L1016" s="721" t="n">
        <v>1.3087</v>
      </c>
      <c r="M1016" s="722" t="n">
        <v>0.001530573199663275</v>
      </c>
      <c r="N1016" s="788" t="n"/>
      <c r="O1016" s="762" t="n">
        <v>-4.23</v>
      </c>
      <c r="P1016" s="725" t="n">
        <v>-0.009817118455254363</v>
      </c>
      <c r="Q1016" s="726" t="n">
        <v>-0.9200000000001333</v>
      </c>
      <c r="R1016" s="764" t="n">
        <v>426.65</v>
      </c>
      <c r="S1016" s="719" t="inlineStr">
        <is>
          <t>9M 0S</t>
        </is>
      </c>
      <c r="T1016" s="728" t="n"/>
      <c r="U1016" s="729" t="n"/>
      <c r="V1016" s="730" t="n"/>
      <c r="W1016" s="731" t="n"/>
      <c r="X1016" s="732" t="n"/>
      <c r="Y1016" s="728" t="n"/>
      <c r="Z1016" s="729" t="n"/>
      <c r="AA1016" s="730" t="n"/>
      <c r="AB1016" s="731" t="n"/>
      <c r="AC1016" s="732" t="n"/>
      <c r="AD1016" s="719" t="inlineStr">
        <is>
          <t>No</t>
        </is>
      </c>
      <c r="AE1016" s="733" t="n"/>
      <c r="AF1016" s="733" t="n"/>
      <c r="AG1016" s="733" t="n"/>
      <c r="AH1016" s="733" t="n"/>
      <c r="AI1016" s="719" t="inlineStr">
        <is>
          <t>Limit</t>
        </is>
      </c>
      <c r="AJ1016" s="733" t="n"/>
      <c r="AK1016" s="733" t="n"/>
      <c r="AL1016" s="733" t="n"/>
      <c r="AM1016" s="733" t="n"/>
      <c r="AN1016" s="733" t="n"/>
      <c r="AO1016" s="733" t="n"/>
      <c r="AP1016" s="719" t="inlineStr">
        <is>
          <t>Pullback</t>
        </is>
      </c>
      <c r="AQ1016" s="719" t="inlineStr">
        <is>
          <t>15MIN</t>
        </is>
      </c>
      <c r="AR1016" s="719" t="inlineStr">
        <is>
          <t>No</t>
        </is>
      </c>
      <c r="AS1016" s="733" t="n"/>
      <c r="AT1016" s="733" t="n"/>
      <c r="AU1016" s="733" t="n"/>
      <c r="AV1016" s="733" t="n"/>
      <c r="AW1016" s="719" t="inlineStr">
        <is>
          <t>trade</t>
        </is>
      </c>
      <c r="AX1016" s="734" t="inlineStr">
        <is>
          <t>sig:e51f3549d03e2e7b5d5dc244</t>
        </is>
      </c>
    </row>
    <row r="1017" ht="15" customHeight="1">
      <c r="A1017" s="716" t="inlineStr">
        <is>
          <t>F525</t>
        </is>
      </c>
      <c r="B1017" s="717" t="n">
        <v>43517.78402777778</v>
      </c>
      <c r="C1017" s="718" t="n">
        <v>43517.79861111111</v>
      </c>
      <c r="D1017" s="719" t="inlineStr">
        <is>
          <t>PEPPERSTONE DEMO</t>
        </is>
      </c>
      <c r="E1017" s="719" t="inlineStr">
        <is>
          <t>USDCAD</t>
        </is>
      </c>
      <c r="F1017" s="719" t="inlineStr">
        <is>
          <t>SELL</t>
        </is>
      </c>
      <c r="G1017" s="735" t="n">
        <v>0.04</v>
      </c>
      <c r="H1017" s="720" t="n">
        <v>1.3186</v>
      </c>
      <c r="I1017" s="720" t="n">
        <v>1.31969</v>
      </c>
      <c r="J1017" s="721" t="n">
        <v>1.3196</v>
      </c>
      <c r="K1017" s="760" t="n">
        <v>0.000758380100106258</v>
      </c>
      <c r="L1017" s="721" t="n">
        <v>1.3166</v>
      </c>
      <c r="M1017" s="722" t="n">
        <v>0.001516760200212348</v>
      </c>
      <c r="N1017" s="788" t="n"/>
      <c r="O1017" s="762" t="n">
        <v>-4.27</v>
      </c>
      <c r="P1017" s="725" t="n">
        <v>-0.009812708261519016</v>
      </c>
      <c r="Q1017" s="726" t="n">
        <v>-1.089999999999913</v>
      </c>
      <c r="R1017" s="764" t="n">
        <v>430.88</v>
      </c>
      <c r="S1017" s="719" t="inlineStr">
        <is>
          <t>21M 0S</t>
        </is>
      </c>
      <c r="T1017" s="728" t="n"/>
      <c r="U1017" s="729" t="n"/>
      <c r="V1017" s="730" t="n"/>
      <c r="W1017" s="731" t="n"/>
      <c r="X1017" s="732" t="n"/>
      <c r="Y1017" s="728" t="n"/>
      <c r="Z1017" s="729" t="n"/>
      <c r="AA1017" s="730" t="n"/>
      <c r="AB1017" s="731" t="n"/>
      <c r="AC1017" s="732" t="n"/>
      <c r="AD1017" s="719" t="inlineStr">
        <is>
          <t>No</t>
        </is>
      </c>
      <c r="AE1017" s="733" t="n"/>
      <c r="AF1017" s="733" t="n"/>
      <c r="AG1017" s="733" t="n"/>
      <c r="AH1017" s="733" t="n"/>
      <c r="AI1017" s="719" t="inlineStr">
        <is>
          <t>Limit</t>
        </is>
      </c>
      <c r="AJ1017" s="733" t="n"/>
      <c r="AK1017" s="733" t="n"/>
      <c r="AL1017" s="733" t="n"/>
      <c r="AM1017" s="733" t="n"/>
      <c r="AN1017" s="733" t="n"/>
      <c r="AO1017" s="733" t="n"/>
      <c r="AP1017" s="719" t="inlineStr">
        <is>
          <t>Pullback</t>
        </is>
      </c>
      <c r="AQ1017" s="719" t="inlineStr">
        <is>
          <t>15MIN</t>
        </is>
      </c>
      <c r="AR1017" s="719" t="inlineStr">
        <is>
          <t>No</t>
        </is>
      </c>
      <c r="AS1017" s="733" t="n"/>
      <c r="AT1017" s="733" t="n"/>
      <c r="AU1017" s="733" t="n"/>
      <c r="AV1017" s="733" t="n"/>
      <c r="AW1017" s="719" t="inlineStr">
        <is>
          <t>trade</t>
        </is>
      </c>
      <c r="AX1017" s="734" t="inlineStr">
        <is>
          <t>sig:63886e6dcec62b18401cf312</t>
        </is>
      </c>
    </row>
    <row r="1018" ht="15" customHeight="1">
      <c r="A1018" s="716" t="inlineStr">
        <is>
          <t>F526</t>
        </is>
      </c>
      <c r="B1018" s="717" t="n">
        <v>43517.78958333333</v>
      </c>
      <c r="C1018" s="718" t="n">
        <v>43517.79513888889</v>
      </c>
      <c r="D1018" s="719" t="inlineStr">
        <is>
          <t>PEPPERSTONE DEMO</t>
        </is>
      </c>
      <c r="E1018" s="719" t="inlineStr">
        <is>
          <t>USDCHF</t>
        </is>
      </c>
      <c r="F1018" s="719" t="inlineStr">
        <is>
          <t>SELL</t>
        </is>
      </c>
      <c r="G1018" s="735" t="n">
        <v>0.06</v>
      </c>
      <c r="H1018" s="720" t="n">
        <v>1.0005</v>
      </c>
      <c r="I1018" s="720" t="n">
        <v>1.00107</v>
      </c>
      <c r="J1018" s="721" t="n">
        <v>1.001</v>
      </c>
      <c r="K1018" s="760" t="n">
        <v>0.0004997501249374762</v>
      </c>
      <c r="L1018" s="721" t="n">
        <v>0.9995000000000001</v>
      </c>
      <c r="M1018" s="760" t="n">
        <v>0.0009995002498749525</v>
      </c>
      <c r="N1018" s="788" t="n"/>
      <c r="O1018" s="762" t="n">
        <v>-4.22</v>
      </c>
      <c r="P1018" s="725" t="n">
        <v>-0.009604661219473336</v>
      </c>
      <c r="Q1018" s="726" t="n">
        <v>-1.140000000000044</v>
      </c>
      <c r="R1018" s="764" t="n">
        <v>435.15</v>
      </c>
      <c r="S1018" s="719" t="inlineStr">
        <is>
          <t>8M 0S</t>
        </is>
      </c>
      <c r="T1018" s="717" t="n"/>
      <c r="U1018" s="806" t="n"/>
      <c r="V1018" s="730" t="n"/>
      <c r="W1018" s="731" t="n"/>
      <c r="X1018" s="732" t="n"/>
      <c r="Y1018" s="717" t="n"/>
      <c r="Z1018" s="806" t="n"/>
      <c r="AA1018" s="730" t="n"/>
      <c r="AB1018" s="731" t="n"/>
      <c r="AC1018" s="732" t="n"/>
      <c r="AD1018" s="719" t="inlineStr">
        <is>
          <t>No</t>
        </is>
      </c>
      <c r="AE1018" s="733" t="n"/>
      <c r="AF1018" s="733" t="n"/>
      <c r="AG1018" s="733" t="n"/>
      <c r="AH1018" s="733" t="n"/>
      <c r="AI1018" s="719" t="inlineStr">
        <is>
          <t>Limit</t>
        </is>
      </c>
      <c r="AJ1018" s="733" t="n"/>
      <c r="AK1018" s="733" t="n"/>
      <c r="AL1018" s="733" t="n"/>
      <c r="AM1018" s="733" t="n"/>
      <c r="AN1018" s="733" t="n"/>
      <c r="AO1018" s="733" t="n"/>
      <c r="AP1018" s="719" t="inlineStr">
        <is>
          <t>Pullback</t>
        </is>
      </c>
      <c r="AQ1018" s="719" t="inlineStr">
        <is>
          <t>15MIN</t>
        </is>
      </c>
      <c r="AR1018" s="719" t="inlineStr">
        <is>
          <t>No</t>
        </is>
      </c>
      <c r="AS1018" s="733" t="n"/>
      <c r="AT1018" s="733" t="n"/>
      <c r="AU1018" s="733" t="n"/>
      <c r="AV1018" s="733" t="n"/>
      <c r="AW1018" s="719" t="inlineStr">
        <is>
          <t>trade</t>
        </is>
      </c>
      <c r="AX1018" s="734" t="inlineStr">
        <is>
          <t>sig:7e5daa0e0acd041d86019537</t>
        </is>
      </c>
    </row>
    <row r="1019" ht="15" customHeight="1">
      <c r="A1019" s="737" t="inlineStr">
        <is>
          <t>F521</t>
        </is>
      </c>
      <c r="B1019" s="738" t="n">
        <v>43517.15625</v>
      </c>
      <c r="C1019" s="739" t="n">
        <v>43517.19930555556</v>
      </c>
      <c r="D1019" s="740" t="inlineStr">
        <is>
          <t>PEPPERSTONE DEMO</t>
        </is>
      </c>
      <c r="E1019" s="740" t="inlineStr">
        <is>
          <t>EURUSD</t>
        </is>
      </c>
      <c r="F1019" s="740" t="inlineStr">
        <is>
          <t>BUY</t>
        </is>
      </c>
      <c r="G1019" s="775" t="n">
        <v>0.04</v>
      </c>
      <c r="H1019" s="742" t="n">
        <v>1.1364</v>
      </c>
      <c r="I1019" s="742" t="n">
        <v>1.13676</v>
      </c>
      <c r="J1019" s="743" t="n">
        <v>1.1358</v>
      </c>
      <c r="K1019" s="765" t="n">
        <v>0.0005279831045407919</v>
      </c>
      <c r="L1019" s="743" t="n">
        <v>1.1378</v>
      </c>
      <c r="M1019" s="744" t="n">
        <v>0.001231960577261392</v>
      </c>
      <c r="N1019" s="796" t="n"/>
      <c r="O1019" s="767" t="n">
        <v>1.56</v>
      </c>
      <c r="P1019" s="747" t="n">
        <v>0.0035631895114319</v>
      </c>
      <c r="Q1019" s="748" t="n">
        <v>0.599999999999704</v>
      </c>
      <c r="R1019" s="769" t="n">
        <v>439.37</v>
      </c>
      <c r="S1019" s="740" t="inlineStr">
        <is>
          <t>1H 2M 0S</t>
        </is>
      </c>
      <c r="T1019" s="750" t="n"/>
      <c r="U1019" s="751" t="n"/>
      <c r="V1019" s="752" t="n"/>
      <c r="W1019" s="753" t="n"/>
      <c r="X1019" s="754" t="n"/>
      <c r="Y1019" s="750" t="n"/>
      <c r="Z1019" s="751" t="n"/>
      <c r="AA1019" s="752" t="n"/>
      <c r="AB1019" s="753" t="n"/>
      <c r="AC1019" s="754" t="n"/>
      <c r="AD1019" s="740" t="inlineStr">
        <is>
          <t>No</t>
        </is>
      </c>
      <c r="AE1019" s="755" t="n"/>
      <c r="AF1019" s="755" t="n"/>
      <c r="AG1019" s="755" t="n"/>
      <c r="AH1019" s="755" t="n"/>
      <c r="AI1019" s="740" t="inlineStr">
        <is>
          <t>Limit</t>
        </is>
      </c>
      <c r="AJ1019" s="755" t="n"/>
      <c r="AK1019" s="755" t="n"/>
      <c r="AL1019" s="755" t="n"/>
      <c r="AM1019" s="755" t="n"/>
      <c r="AN1019" s="755" t="n"/>
      <c r="AO1019" s="755" t="n"/>
      <c r="AP1019" s="740" t="inlineStr">
        <is>
          <t>Pullback</t>
        </is>
      </c>
      <c r="AQ1019" s="740" t="inlineStr">
        <is>
          <t>15MIN</t>
        </is>
      </c>
      <c r="AR1019" s="740" t="inlineStr">
        <is>
          <t>No</t>
        </is>
      </c>
      <c r="AS1019" s="755" t="n"/>
      <c r="AT1019" s="755" t="n"/>
      <c r="AU1019" s="755" t="n"/>
      <c r="AV1019" s="755" t="n"/>
      <c r="AW1019" s="740" t="inlineStr">
        <is>
          <t>trade</t>
        </is>
      </c>
      <c r="AX1019" s="756" t="inlineStr">
        <is>
          <t>sig:803cc57755628548e3a2ecc1</t>
        </is>
      </c>
    </row>
    <row r="1020" ht="15" customHeight="1">
      <c r="A1020" s="716" t="inlineStr">
        <is>
          <t>F524</t>
        </is>
      </c>
      <c r="B1020" s="717" t="n">
        <v>43517.125</v>
      </c>
      <c r="C1020" s="718" t="n">
        <v>43517.13402777778</v>
      </c>
      <c r="D1020" s="719" t="inlineStr">
        <is>
          <t>PEPPERSTONE DEMO</t>
        </is>
      </c>
      <c r="E1020" s="719" t="inlineStr">
        <is>
          <t>GBPUSD</t>
        </is>
      </c>
      <c r="F1020" s="719" t="inlineStr">
        <is>
          <t>BUY</t>
        </is>
      </c>
      <c r="G1020" s="735" t="n">
        <v>0.02</v>
      </c>
      <c r="H1020" s="720" t="n">
        <v>1.3082</v>
      </c>
      <c r="I1020" s="720" t="n">
        <v>1.30672</v>
      </c>
      <c r="J1020" s="721" t="n">
        <v>1.3067</v>
      </c>
      <c r="K1020" s="722" t="n">
        <v>0.001146613667634962</v>
      </c>
      <c r="L1020" s="721" t="n">
        <v>1.3112</v>
      </c>
      <c r="M1020" s="722" t="n">
        <v>0.002293227335269753</v>
      </c>
      <c r="N1020" s="761" t="n"/>
      <c r="O1020" s="762" t="n">
        <v>-4.18</v>
      </c>
      <c r="P1020" s="725" t="n">
        <v>-0.009457227539084593</v>
      </c>
      <c r="Q1020" s="726" t="n">
        <v>-0.9866666666665799</v>
      </c>
      <c r="R1020" s="764" t="n">
        <v>437.81</v>
      </c>
      <c r="S1020" s="719" t="inlineStr">
        <is>
          <t>13M 0S</t>
        </is>
      </c>
      <c r="T1020" s="728" t="n"/>
      <c r="U1020" s="729" t="n"/>
      <c r="V1020" s="730" t="n"/>
      <c r="W1020" s="731" t="n"/>
      <c r="X1020" s="732" t="n"/>
      <c r="Y1020" s="728" t="n"/>
      <c r="Z1020" s="729" t="n"/>
      <c r="AA1020" s="730" t="n"/>
      <c r="AB1020" s="731" t="n"/>
      <c r="AC1020" s="732" t="n"/>
      <c r="AD1020" s="719" t="inlineStr">
        <is>
          <t>No</t>
        </is>
      </c>
      <c r="AE1020" s="733" t="n"/>
      <c r="AF1020" s="733" t="n"/>
      <c r="AG1020" s="733" t="n"/>
      <c r="AH1020" s="733" t="n"/>
      <c r="AI1020" s="719" t="inlineStr">
        <is>
          <t>Limit</t>
        </is>
      </c>
      <c r="AJ1020" s="733" t="n"/>
      <c r="AK1020" s="733" t="n"/>
      <c r="AL1020" s="733" t="n"/>
      <c r="AM1020" s="733" t="n"/>
      <c r="AN1020" s="733" t="n"/>
      <c r="AO1020" s="733" t="n"/>
      <c r="AP1020" s="719" t="inlineStr">
        <is>
          <t>Pullback</t>
        </is>
      </c>
      <c r="AQ1020" s="719" t="inlineStr">
        <is>
          <t>15MIN</t>
        </is>
      </c>
      <c r="AR1020" s="719" t="inlineStr">
        <is>
          <t>No</t>
        </is>
      </c>
      <c r="AS1020" s="733" t="n"/>
      <c r="AT1020" s="733" t="n"/>
      <c r="AU1020" s="733" t="n"/>
      <c r="AV1020" s="733" t="n"/>
      <c r="AW1020" s="719" t="inlineStr">
        <is>
          <t>trade</t>
        </is>
      </c>
      <c r="AX1020" s="734" t="inlineStr">
        <is>
          <t>sig:f033db7e043b104bfcb29621</t>
        </is>
      </c>
    </row>
    <row r="1021" ht="15" customHeight="1">
      <c r="A1021" s="737" t="inlineStr">
        <is>
          <t>F513</t>
        </is>
      </c>
      <c r="B1021" s="738" t="n">
        <v>43516.99027777778</v>
      </c>
      <c r="C1021" s="739" t="n">
        <v>43517.00833333333</v>
      </c>
      <c r="D1021" s="740" t="inlineStr">
        <is>
          <t>PEPPERSTONE DEMO</t>
        </is>
      </c>
      <c r="E1021" s="740" t="inlineStr">
        <is>
          <t>AUDUSD</t>
        </is>
      </c>
      <c r="F1021" s="740" t="inlineStr">
        <is>
          <t>BUY</t>
        </is>
      </c>
      <c r="G1021" s="775" t="n">
        <v>0.02</v>
      </c>
      <c r="H1021" s="742" t="n">
        <v>0.7157</v>
      </c>
      <c r="I1021" s="742" t="n">
        <v>0.71635</v>
      </c>
      <c r="J1021" s="743" t="n">
        <v>0.7151</v>
      </c>
      <c r="K1021" s="765" t="n">
        <v>0.0008383400866285385</v>
      </c>
      <c r="L1021" s="743" t="n">
        <v>0.7169</v>
      </c>
      <c r="M1021" s="744" t="n">
        <v>0.001676680173256922</v>
      </c>
      <c r="N1021" s="796" t="n"/>
      <c r="O1021" s="767" t="n">
        <v>1.73</v>
      </c>
      <c r="P1021" s="747" t="n">
        <v>0.003929496206786899</v>
      </c>
      <c r="Q1021" s="748" t="n">
        <v>1.083333333333318</v>
      </c>
      <c r="R1021" s="769" t="n">
        <v>441.99</v>
      </c>
      <c r="S1021" s="740" t="inlineStr">
        <is>
          <t>26M 0S</t>
        </is>
      </c>
      <c r="T1021" s="738" t="n">
        <v>43516.99930555555</v>
      </c>
      <c r="U1021" s="809" t="inlineStr">
        <is>
          <t>13M 0S</t>
        </is>
      </c>
      <c r="V1021" s="752" t="n"/>
      <c r="W1021" s="753" t="n"/>
      <c r="X1021" s="754" t="n"/>
      <c r="Y1021" s="750" t="n"/>
      <c r="Z1021" s="751" t="n"/>
      <c r="AA1021" s="752" t="n"/>
      <c r="AB1021" s="753" t="n"/>
      <c r="AC1021" s="754" t="n"/>
      <c r="AD1021" s="740" t="inlineStr">
        <is>
          <t>No</t>
        </is>
      </c>
      <c r="AE1021" s="755" t="n"/>
      <c r="AF1021" s="755" t="n"/>
      <c r="AG1021" s="755" t="n"/>
      <c r="AH1021" s="755" t="n"/>
      <c r="AI1021" s="740" t="inlineStr">
        <is>
          <t>Limit</t>
        </is>
      </c>
      <c r="AJ1021" s="755" t="n"/>
      <c r="AK1021" s="755" t="n"/>
      <c r="AL1021" s="755" t="n"/>
      <c r="AM1021" s="755" t="n"/>
      <c r="AN1021" s="755" t="n"/>
      <c r="AO1021" s="755" t="n"/>
      <c r="AP1021" s="740" t="inlineStr">
        <is>
          <t>Pullback</t>
        </is>
      </c>
      <c r="AQ1021" s="740" t="inlineStr">
        <is>
          <t>15MIN</t>
        </is>
      </c>
      <c r="AR1021" s="740" t="inlineStr">
        <is>
          <t>No</t>
        </is>
      </c>
      <c r="AS1021" s="755" t="n"/>
      <c r="AT1021" s="755" t="n"/>
      <c r="AU1021" s="755" t="n"/>
      <c r="AV1021" s="755" t="n"/>
      <c r="AW1021" s="740" t="inlineStr">
        <is>
          <t>trade</t>
        </is>
      </c>
      <c r="AX1021" s="756" t="inlineStr">
        <is>
          <t>sig:144f260f9eb39b8a61690113</t>
        </is>
      </c>
    </row>
    <row r="1022" ht="15" customHeight="1">
      <c r="A1022" s="737" t="inlineStr">
        <is>
          <t>F519</t>
        </is>
      </c>
      <c r="B1022" s="738" t="n">
        <v>43516.98958333334</v>
      </c>
      <c r="C1022" s="739" t="n">
        <v>43517.00763888889</v>
      </c>
      <c r="D1022" s="740" t="inlineStr">
        <is>
          <t>PEPPERSTONE DEMO</t>
        </is>
      </c>
      <c r="E1022" s="740" t="inlineStr">
        <is>
          <t>USDCHF</t>
        </is>
      </c>
      <c r="F1022" s="740" t="inlineStr">
        <is>
          <t>SELL</t>
        </is>
      </c>
      <c r="G1022" s="775" t="n">
        <v>0.05</v>
      </c>
      <c r="H1022" s="742" t="n">
        <v>1.00035</v>
      </c>
      <c r="I1022" s="742" t="n">
        <v>0.99988</v>
      </c>
      <c r="J1022" s="743" t="n">
        <v>1.0015</v>
      </c>
      <c r="K1022" s="744" t="n">
        <v>0.001149597640825695</v>
      </c>
      <c r="L1022" s="743" t="n">
        <v>0.9991</v>
      </c>
      <c r="M1022" s="744" t="n">
        <v>0.001249562653071509</v>
      </c>
      <c r="N1022" s="766" t="n"/>
      <c r="O1022" s="767" t="n">
        <v>1.31</v>
      </c>
      <c r="P1022" s="747" t="n">
        <v>0.002984394577970157</v>
      </c>
      <c r="Q1022" s="748" t="n">
        <v>0.4086956521739895</v>
      </c>
      <c r="R1022" s="769" t="n">
        <v>440.26</v>
      </c>
      <c r="S1022" s="740" t="inlineStr">
        <is>
          <t>26M 0S</t>
        </is>
      </c>
      <c r="T1022" s="738" t="n">
        <v>43516.99930555555</v>
      </c>
      <c r="U1022" s="809" t="inlineStr">
        <is>
          <t>14M 0S</t>
        </is>
      </c>
      <c r="V1022" s="752" t="n"/>
      <c r="W1022" s="753" t="n"/>
      <c r="X1022" s="754" t="n"/>
      <c r="Y1022" s="738" t="n"/>
      <c r="Z1022" s="809" t="n"/>
      <c r="AA1022" s="752" t="n"/>
      <c r="AB1022" s="753" t="n"/>
      <c r="AC1022" s="754" t="n"/>
      <c r="AD1022" s="740" t="inlineStr">
        <is>
          <t>No</t>
        </is>
      </c>
      <c r="AE1022" s="755" t="n"/>
      <c r="AF1022" s="755" t="n"/>
      <c r="AG1022" s="755" t="n"/>
      <c r="AH1022" s="755" t="n"/>
      <c r="AI1022" s="740" t="inlineStr">
        <is>
          <t>Limit</t>
        </is>
      </c>
      <c r="AJ1022" s="755" t="n"/>
      <c r="AK1022" s="755" t="n"/>
      <c r="AL1022" s="755" t="n"/>
      <c r="AM1022" s="755" t="n"/>
      <c r="AN1022" s="755" t="n"/>
      <c r="AO1022" s="755" t="n"/>
      <c r="AP1022" s="740" t="inlineStr">
        <is>
          <t>Pullback</t>
        </is>
      </c>
      <c r="AQ1022" s="740" t="inlineStr">
        <is>
          <t>15MIN</t>
        </is>
      </c>
      <c r="AR1022" s="740" t="inlineStr">
        <is>
          <t>No</t>
        </is>
      </c>
      <c r="AS1022" s="755" t="n"/>
      <c r="AT1022" s="755" t="n"/>
      <c r="AU1022" s="755" t="n"/>
      <c r="AV1022" s="755" t="n"/>
      <c r="AW1022" s="740" t="inlineStr">
        <is>
          <t>trade</t>
        </is>
      </c>
      <c r="AX1022" s="756" t="inlineStr">
        <is>
          <t>sig:9fec61d045940f46827226f2</t>
        </is>
      </c>
    </row>
    <row r="1023" ht="15" customHeight="1">
      <c r="A1023" s="716" t="inlineStr">
        <is>
          <t>F514</t>
        </is>
      </c>
      <c r="B1023" s="717" t="n">
        <v>43516.99027777778</v>
      </c>
      <c r="C1023" s="718" t="n">
        <v>43517</v>
      </c>
      <c r="D1023" s="719" t="inlineStr">
        <is>
          <t>PEPPERSTONE DEMO</t>
        </is>
      </c>
      <c r="E1023" s="719" t="inlineStr">
        <is>
          <t>GBPUSD</t>
        </is>
      </c>
      <c r="F1023" s="719" t="inlineStr">
        <is>
          <t>BUY</t>
        </is>
      </c>
      <c r="G1023" s="735" t="n">
        <v>0.05</v>
      </c>
      <c r="H1023" s="720" t="n">
        <v>1.3039</v>
      </c>
      <c r="I1023" s="720" t="n">
        <v>1.30276</v>
      </c>
      <c r="J1023" s="721" t="n">
        <v>1.3028</v>
      </c>
      <c r="K1023" s="760" t="n">
        <v>0.0008436229772222569</v>
      </c>
      <c r="L1023" s="721" t="n">
        <v>1.3063</v>
      </c>
      <c r="M1023" s="722" t="n">
        <v>0.001840631950302905</v>
      </c>
      <c r="N1023" s="788" t="n"/>
      <c r="O1023" s="762" t="n">
        <v>-3.35</v>
      </c>
      <c r="P1023" s="725" t="n">
        <v>-0.00757404476599593</v>
      </c>
      <c r="Q1023" s="726" t="n">
        <v>-1.036363636363669</v>
      </c>
      <c r="R1023" s="764" t="n">
        <v>438.95</v>
      </c>
      <c r="S1023" s="719" t="inlineStr">
        <is>
          <t>14M 0S</t>
        </is>
      </c>
      <c r="T1023" s="728" t="n"/>
      <c r="U1023" s="729" t="n"/>
      <c r="V1023" s="730" t="n"/>
      <c r="W1023" s="731" t="n"/>
      <c r="X1023" s="732" t="n"/>
      <c r="Y1023" s="728" t="n"/>
      <c r="Z1023" s="729" t="n"/>
      <c r="AA1023" s="730" t="n"/>
      <c r="AB1023" s="731" t="n"/>
      <c r="AC1023" s="732" t="n"/>
      <c r="AD1023" s="719" t="inlineStr">
        <is>
          <t>No</t>
        </is>
      </c>
      <c r="AE1023" s="733" t="n"/>
      <c r="AF1023" s="733" t="n"/>
      <c r="AG1023" s="733" t="n"/>
      <c r="AH1023" s="733" t="n"/>
      <c r="AI1023" s="719" t="inlineStr">
        <is>
          <t>Limit</t>
        </is>
      </c>
      <c r="AJ1023" s="733" t="n"/>
      <c r="AK1023" s="733" t="n"/>
      <c r="AL1023" s="733" t="n"/>
      <c r="AM1023" s="733" t="n"/>
      <c r="AN1023" s="733" t="n"/>
      <c r="AO1023" s="733" t="n"/>
      <c r="AP1023" s="719" t="inlineStr">
        <is>
          <t>Pullback</t>
        </is>
      </c>
      <c r="AQ1023" s="719" t="inlineStr">
        <is>
          <t>15MIN</t>
        </is>
      </c>
      <c r="AR1023" s="719" t="inlineStr">
        <is>
          <t>No</t>
        </is>
      </c>
      <c r="AS1023" s="733" t="n"/>
      <c r="AT1023" s="733" t="n"/>
      <c r="AU1023" s="733" t="n"/>
      <c r="AV1023" s="733" t="n"/>
      <c r="AW1023" s="719" t="inlineStr">
        <is>
          <t>trade</t>
        </is>
      </c>
      <c r="AX1023" s="734" t="inlineStr">
        <is>
          <t>sig:f76d66f3266db1a7b2a7e60b</t>
        </is>
      </c>
    </row>
    <row r="1024" ht="15" customHeight="1">
      <c r="A1024" s="716" t="inlineStr">
        <is>
          <t>F515</t>
        </is>
      </c>
      <c r="B1024" s="717" t="n">
        <v>43516.95763888889</v>
      </c>
      <c r="C1024" s="718" t="n">
        <v>43516.98333333333</v>
      </c>
      <c r="D1024" s="719" t="inlineStr">
        <is>
          <t>PEPPERSTONE DEMO</t>
        </is>
      </c>
      <c r="E1024" s="719" t="inlineStr">
        <is>
          <t>GBPUSD</t>
        </is>
      </c>
      <c r="F1024" s="719" t="inlineStr">
        <is>
          <t>BUY</t>
        </is>
      </c>
      <c r="G1024" s="735" t="n">
        <v>0.02</v>
      </c>
      <c r="H1024" s="720" t="n">
        <v>1.3042</v>
      </c>
      <c r="I1024" s="720" t="n">
        <v>1.30315</v>
      </c>
      <c r="J1024" s="721" t="n">
        <v>1.3032</v>
      </c>
      <c r="K1024" s="760" t="n">
        <v>0.0007667535654041649</v>
      </c>
      <c r="L1024" s="721" t="n">
        <v>1.3064</v>
      </c>
      <c r="M1024" s="722" t="n">
        <v>0.001686857843888958</v>
      </c>
      <c r="N1024" s="788" t="n"/>
      <c r="O1024" s="762" t="n">
        <v>-3.08</v>
      </c>
      <c r="P1024" s="725" t="n">
        <v>-0.006915442992500786</v>
      </c>
      <c r="Q1024" s="726" t="n">
        <v>-1.049999999999878</v>
      </c>
      <c r="R1024" s="764" t="n">
        <v>442.3</v>
      </c>
      <c r="S1024" s="719" t="inlineStr">
        <is>
          <t>37M 0S</t>
        </is>
      </c>
      <c r="T1024" s="728" t="n"/>
      <c r="U1024" s="729" t="n"/>
      <c r="V1024" s="730" t="n"/>
      <c r="W1024" s="731" t="n"/>
      <c r="X1024" s="732" t="n"/>
      <c r="Y1024" s="728" t="n"/>
      <c r="Z1024" s="729" t="n"/>
      <c r="AA1024" s="730" t="n"/>
      <c r="AB1024" s="731" t="n"/>
      <c r="AC1024" s="732" t="n"/>
      <c r="AD1024" s="719" t="inlineStr">
        <is>
          <t>No</t>
        </is>
      </c>
      <c r="AE1024" s="733" t="n"/>
      <c r="AF1024" s="733" t="n"/>
      <c r="AG1024" s="733" t="n"/>
      <c r="AH1024" s="733" t="n"/>
      <c r="AI1024" s="719" t="inlineStr">
        <is>
          <t>Limit</t>
        </is>
      </c>
      <c r="AJ1024" s="733" t="n"/>
      <c r="AK1024" s="733" t="n"/>
      <c r="AL1024" s="733" t="n"/>
      <c r="AM1024" s="733" t="n"/>
      <c r="AN1024" s="733" t="n"/>
      <c r="AO1024" s="733" t="n"/>
      <c r="AP1024" s="719" t="inlineStr">
        <is>
          <t>Pullback</t>
        </is>
      </c>
      <c r="AQ1024" s="719" t="inlineStr">
        <is>
          <t>15MIN</t>
        </is>
      </c>
      <c r="AR1024" s="719" t="inlineStr">
        <is>
          <t>No</t>
        </is>
      </c>
      <c r="AS1024" s="733" t="n"/>
      <c r="AT1024" s="733" t="n"/>
      <c r="AU1024" s="733" t="n"/>
      <c r="AV1024" s="733" t="n"/>
      <c r="AW1024" s="719" t="inlineStr">
        <is>
          <t>trade</t>
        </is>
      </c>
      <c r="AX1024" s="734" t="inlineStr">
        <is>
          <t>sig:caf2dc8340d34ad74262fc6f</t>
        </is>
      </c>
    </row>
    <row r="1025" ht="15" customHeight="1">
      <c r="A1025" s="716" t="inlineStr">
        <is>
          <t>F518</t>
        </is>
      </c>
      <c r="B1025" s="717" t="n">
        <v>43516.86458333334</v>
      </c>
      <c r="C1025" s="718" t="n">
        <v>43516.89375</v>
      </c>
      <c r="D1025" s="719" t="inlineStr">
        <is>
          <t>PEPPERSTONE DEMO</t>
        </is>
      </c>
      <c r="E1025" s="719" t="inlineStr">
        <is>
          <t>USDCHF</t>
        </is>
      </c>
      <c r="F1025" s="719" t="inlineStr">
        <is>
          <t>SELL</t>
        </is>
      </c>
      <c r="G1025" s="735" t="n">
        <v>0.05</v>
      </c>
      <c r="H1025" s="720" t="n">
        <v>1.0009</v>
      </c>
      <c r="I1025" s="720" t="n">
        <v>1.00152</v>
      </c>
      <c r="J1025" s="721" t="n">
        <v>1.0015</v>
      </c>
      <c r="K1025" s="760" t="n">
        <v>0.0005994604855631492</v>
      </c>
      <c r="L1025" s="721" t="n">
        <v>0.9997</v>
      </c>
      <c r="M1025" s="722" t="n">
        <v>0.001198920971125855</v>
      </c>
      <c r="N1025" s="761" t="n"/>
      <c r="O1025" s="762" t="n">
        <v>-4.19</v>
      </c>
      <c r="P1025" s="725" t="n">
        <v>-0.009320016905042597</v>
      </c>
      <c r="Q1025" s="726" t="n">
        <v>-1.033333333333173</v>
      </c>
      <c r="R1025" s="764" t="n">
        <v>445.38</v>
      </c>
      <c r="S1025" s="719" t="inlineStr">
        <is>
          <t>42M 0S</t>
        </is>
      </c>
      <c r="T1025" s="717" t="n"/>
      <c r="U1025" s="806" t="n"/>
      <c r="V1025" s="730" t="n"/>
      <c r="W1025" s="731" t="n"/>
      <c r="X1025" s="732" t="n"/>
      <c r="Y1025" s="728" t="n"/>
      <c r="Z1025" s="729" t="n"/>
      <c r="AA1025" s="730" t="n"/>
      <c r="AB1025" s="731" t="n"/>
      <c r="AC1025" s="732" t="n"/>
      <c r="AD1025" s="719" t="inlineStr">
        <is>
          <t>No</t>
        </is>
      </c>
      <c r="AE1025" s="733" t="n"/>
      <c r="AF1025" s="733" t="n"/>
      <c r="AG1025" s="733" t="n"/>
      <c r="AH1025" s="733" t="n"/>
      <c r="AI1025" s="719" t="inlineStr">
        <is>
          <t>Limit</t>
        </is>
      </c>
      <c r="AJ1025" s="733" t="n"/>
      <c r="AK1025" s="733" t="n"/>
      <c r="AL1025" s="733" t="n"/>
      <c r="AM1025" s="733" t="n"/>
      <c r="AN1025" s="733" t="n"/>
      <c r="AO1025" s="733" t="n"/>
      <c r="AP1025" s="719" t="inlineStr">
        <is>
          <t>Pullback</t>
        </is>
      </c>
      <c r="AQ1025" s="719" t="inlineStr">
        <is>
          <t>15MIN</t>
        </is>
      </c>
      <c r="AR1025" s="719" t="inlineStr">
        <is>
          <t>No</t>
        </is>
      </c>
      <c r="AS1025" s="733" t="n"/>
      <c r="AT1025" s="733" t="n"/>
      <c r="AU1025" s="733" t="n"/>
      <c r="AV1025" s="733" t="n"/>
      <c r="AW1025" s="719" t="inlineStr">
        <is>
          <t>trade</t>
        </is>
      </c>
      <c r="AX1025" s="734" t="inlineStr">
        <is>
          <t>sig:43ced46bdc21317fecd02848</t>
        </is>
      </c>
    </row>
    <row r="1026" ht="15" customHeight="1">
      <c r="A1026" s="737" t="inlineStr">
        <is>
          <t>F516</t>
        </is>
      </c>
      <c r="B1026" s="738" t="n">
        <v>43516.80277777778</v>
      </c>
      <c r="C1026" s="739" t="n">
        <v>43516.88819444444</v>
      </c>
      <c r="D1026" s="740" t="inlineStr">
        <is>
          <t>PEPPERSTONE DEMO</t>
        </is>
      </c>
      <c r="E1026" s="740" t="inlineStr">
        <is>
          <t>USDCAD</t>
        </is>
      </c>
      <c r="F1026" s="740" t="inlineStr">
        <is>
          <t>SELL</t>
        </is>
      </c>
      <c r="G1026" s="775" t="n">
        <v>0.07000000000000001</v>
      </c>
      <c r="H1026" s="742" t="n">
        <v>1.3192</v>
      </c>
      <c r="I1026" s="742" t="n">
        <v>1.31802</v>
      </c>
      <c r="J1026" s="743" t="n">
        <v>1.3198</v>
      </c>
      <c r="K1026" s="765" t="n">
        <v>0.0004548211036993299</v>
      </c>
      <c r="L1026" s="743" t="n">
        <v>1.318</v>
      </c>
      <c r="M1026" s="765" t="n">
        <v>0.0009096422073983231</v>
      </c>
      <c r="N1026" s="796" t="n"/>
      <c r="O1026" s="767" t="n">
        <v>6.74</v>
      </c>
      <c r="P1026" s="747" t="n">
        <v>0.01522028769505228</v>
      </c>
      <c r="Q1026" s="748" t="n">
        <v>1.966666666666087</v>
      </c>
      <c r="R1026" s="769" t="n">
        <v>449.57</v>
      </c>
      <c r="S1026" s="740" t="inlineStr">
        <is>
          <t>2H 3M 0S</t>
        </is>
      </c>
      <c r="T1026" s="738" t="n">
        <v>43516.86180555556</v>
      </c>
      <c r="U1026" s="809" t="inlineStr">
        <is>
          <t>1H 25M 0S</t>
        </is>
      </c>
      <c r="V1026" s="752" t="n"/>
      <c r="W1026" s="753" t="n"/>
      <c r="X1026" s="754" t="n"/>
      <c r="Y1026" s="738" t="n">
        <v>43516.88402777778</v>
      </c>
      <c r="Z1026" s="809" t="inlineStr">
        <is>
          <t>1H 57M 0S</t>
        </is>
      </c>
      <c r="AA1026" s="752" t="n"/>
      <c r="AB1026" s="753" t="n"/>
      <c r="AC1026" s="754" t="n"/>
      <c r="AD1026" s="740" t="inlineStr">
        <is>
          <t>No</t>
        </is>
      </c>
      <c r="AE1026" s="755" t="n"/>
      <c r="AF1026" s="755" t="n"/>
      <c r="AG1026" s="755" t="n"/>
      <c r="AH1026" s="755" t="n"/>
      <c r="AI1026" s="740" t="inlineStr">
        <is>
          <t>Limit</t>
        </is>
      </c>
      <c r="AJ1026" s="755" t="n"/>
      <c r="AK1026" s="755" t="n"/>
      <c r="AL1026" s="755" t="n"/>
      <c r="AM1026" s="755" t="n"/>
      <c r="AN1026" s="755" t="n"/>
      <c r="AO1026" s="755" t="n"/>
      <c r="AP1026" s="740" t="inlineStr">
        <is>
          <t>Pullback</t>
        </is>
      </c>
      <c r="AQ1026" s="740" t="inlineStr">
        <is>
          <t>15MIN</t>
        </is>
      </c>
      <c r="AR1026" s="740" t="inlineStr">
        <is>
          <t>No</t>
        </is>
      </c>
      <c r="AS1026" s="755" t="n"/>
      <c r="AT1026" s="755" t="n"/>
      <c r="AU1026" s="755" t="n"/>
      <c r="AV1026" s="755" t="n"/>
      <c r="AW1026" s="740" t="inlineStr">
        <is>
          <t>trade</t>
        </is>
      </c>
      <c r="AX1026" s="756" t="inlineStr">
        <is>
          <t>sig:e69be397985dc937420a90f0</t>
        </is>
      </c>
    </row>
    <row r="1027" ht="15" customHeight="1">
      <c r="A1027" s="716" t="inlineStr">
        <is>
          <t>F520</t>
        </is>
      </c>
      <c r="B1027" s="717" t="n">
        <v>43516.78125</v>
      </c>
      <c r="C1027" s="718" t="n">
        <v>43516.79236111111</v>
      </c>
      <c r="D1027" s="719" t="inlineStr">
        <is>
          <t>PEPPERSTONE DEMO</t>
        </is>
      </c>
      <c r="E1027" s="719" t="inlineStr">
        <is>
          <t>USDCHF</t>
        </is>
      </c>
      <c r="F1027" s="719" t="inlineStr">
        <is>
          <t>SELL</t>
        </is>
      </c>
      <c r="G1027" s="735" t="n">
        <v>0.06</v>
      </c>
      <c r="H1027" s="720" t="n">
        <v>1.001</v>
      </c>
      <c r="I1027" s="720" t="n">
        <v>1.00156</v>
      </c>
      <c r="J1027" s="721" t="n">
        <v>1.0016</v>
      </c>
      <c r="K1027" s="760" t="n">
        <v>0.0005994005994007553</v>
      </c>
      <c r="L1027" s="721" t="n">
        <v>1</v>
      </c>
      <c r="M1027" s="760" t="n">
        <v>0.0009990009990008891</v>
      </c>
      <c r="N1027" s="788" t="n"/>
      <c r="O1027" s="762" t="n">
        <v>-4.18</v>
      </c>
      <c r="P1027" s="725" t="n">
        <v>-0.009351021229950112</v>
      </c>
      <c r="Q1027" s="726" t="n">
        <v>-0.9333333333332839</v>
      </c>
      <c r="R1027" s="764" t="n">
        <v>442.83</v>
      </c>
      <c r="S1027" s="719" t="inlineStr">
        <is>
          <t>16M 0S</t>
        </is>
      </c>
      <c r="T1027" s="728" t="n"/>
      <c r="U1027" s="729" t="n"/>
      <c r="V1027" s="730" t="n"/>
      <c r="W1027" s="731" t="n"/>
      <c r="X1027" s="732" t="n"/>
      <c r="Y1027" s="728" t="n"/>
      <c r="Z1027" s="729" t="n"/>
      <c r="AA1027" s="730" t="n"/>
      <c r="AB1027" s="731" t="n"/>
      <c r="AC1027" s="732" t="n"/>
      <c r="AD1027" s="719" t="inlineStr">
        <is>
          <t>No</t>
        </is>
      </c>
      <c r="AE1027" s="733" t="n"/>
      <c r="AF1027" s="733" t="n"/>
      <c r="AG1027" s="733" t="n"/>
      <c r="AH1027" s="733" t="n"/>
      <c r="AI1027" s="719" t="inlineStr">
        <is>
          <t>Market</t>
        </is>
      </c>
      <c r="AJ1027" s="733" t="n"/>
      <c r="AK1027" s="733" t="n"/>
      <c r="AL1027" s="733" t="n"/>
      <c r="AM1027" s="733" t="n"/>
      <c r="AN1027" s="733" t="n"/>
      <c r="AO1027" s="733" t="n"/>
      <c r="AP1027" s="719" t="inlineStr">
        <is>
          <t>Pullback</t>
        </is>
      </c>
      <c r="AQ1027" s="719" t="inlineStr">
        <is>
          <t>15MIN</t>
        </is>
      </c>
      <c r="AR1027" s="719" t="inlineStr">
        <is>
          <t>No</t>
        </is>
      </c>
      <c r="AS1027" s="733" t="n"/>
      <c r="AT1027" s="733" t="n"/>
      <c r="AU1027" s="733" t="n"/>
      <c r="AV1027" s="733" t="n"/>
      <c r="AW1027" s="719" t="inlineStr">
        <is>
          <t>trade</t>
        </is>
      </c>
      <c r="AX1027" s="734" t="inlineStr">
        <is>
          <t>sig:465e4d41705aa575d946d534</t>
        </is>
      </c>
    </row>
    <row r="1028" ht="15" customHeight="1">
      <c r="A1028" s="716" t="inlineStr">
        <is>
          <t>F512</t>
        </is>
      </c>
      <c r="B1028" s="717" t="n">
        <v>43516.14583333334</v>
      </c>
      <c r="C1028" s="718" t="n">
        <v>43516.66805555556</v>
      </c>
      <c r="D1028" s="719" t="inlineStr">
        <is>
          <t>PEPPERSTONE DEMO</t>
        </is>
      </c>
      <c r="E1028" s="719" t="inlineStr">
        <is>
          <t>USDCHF</t>
        </is>
      </c>
      <c r="F1028" s="719" t="inlineStr">
        <is>
          <t>SELL</t>
        </is>
      </c>
      <c r="G1028" s="735" t="n">
        <v>0.03</v>
      </c>
      <c r="H1028" s="720" t="n">
        <v>1.0009</v>
      </c>
      <c r="I1028" s="720" t="n">
        <v>1.00167</v>
      </c>
      <c r="J1028" s="721" t="n">
        <v>1.0019</v>
      </c>
      <c r="K1028" s="760" t="n">
        <v>0.0009991008092717674</v>
      </c>
      <c r="L1028" s="721" t="n">
        <v>0.9989</v>
      </c>
      <c r="M1028" s="722" t="n">
        <v>0.001998201618543202</v>
      </c>
      <c r="N1028" s="761" t="n">
        <v>0.38</v>
      </c>
      <c r="O1028" s="762" t="n">
        <v>-3.35</v>
      </c>
      <c r="P1028" s="725" t="n">
        <v>-0.007438493649524825</v>
      </c>
      <c r="Q1028" s="726" t="n">
        <v>-0.7700000000000733</v>
      </c>
      <c r="R1028" s="764" t="n">
        <v>447.01</v>
      </c>
      <c r="S1028" s="719" t="inlineStr">
        <is>
          <t>12H 32M 0S</t>
        </is>
      </c>
      <c r="T1028" s="728" t="n"/>
      <c r="U1028" s="729" t="n"/>
      <c r="V1028" s="730" t="n"/>
      <c r="W1028" s="731" t="n"/>
      <c r="X1028" s="732" t="n"/>
      <c r="Y1028" s="728" t="n"/>
      <c r="Z1028" s="729" t="n"/>
      <c r="AA1028" s="730" t="n"/>
      <c r="AB1028" s="731" t="n"/>
      <c r="AC1028" s="732" t="n"/>
      <c r="AD1028" s="719" t="inlineStr">
        <is>
          <t>No</t>
        </is>
      </c>
      <c r="AE1028" s="733" t="n"/>
      <c r="AF1028" s="733" t="n"/>
      <c r="AG1028" s="733" t="n"/>
      <c r="AH1028" s="733" t="n"/>
      <c r="AI1028" s="719" t="inlineStr">
        <is>
          <t>Limit</t>
        </is>
      </c>
      <c r="AJ1028" s="733" t="n"/>
      <c r="AK1028" s="733" t="n"/>
      <c r="AL1028" s="733" t="n"/>
      <c r="AM1028" s="733" t="n"/>
      <c r="AN1028" s="733" t="n"/>
      <c r="AO1028" s="733" t="n"/>
      <c r="AP1028" s="719" t="inlineStr">
        <is>
          <t>Pullback</t>
        </is>
      </c>
      <c r="AQ1028" s="719" t="inlineStr">
        <is>
          <t>15MIN</t>
        </is>
      </c>
      <c r="AR1028" s="719" t="inlineStr">
        <is>
          <t>No</t>
        </is>
      </c>
      <c r="AS1028" s="733" t="n"/>
      <c r="AT1028" s="733" t="n"/>
      <c r="AU1028" s="733" t="n"/>
      <c r="AV1028" s="733" t="n"/>
      <c r="AW1028" s="719" t="inlineStr">
        <is>
          <t>trade</t>
        </is>
      </c>
      <c r="AX1028" s="734" t="inlineStr">
        <is>
          <t>sig:ce7c56830245544d7e17ad52</t>
        </is>
      </c>
    </row>
    <row r="1029" ht="15" customHeight="1">
      <c r="A1029" s="716" t="inlineStr">
        <is>
          <t>F517</t>
        </is>
      </c>
      <c r="B1029" s="717" t="n">
        <v>43516.06527777778</v>
      </c>
      <c r="C1029" s="718" t="n">
        <v>43516.08333333334</v>
      </c>
      <c r="D1029" s="719" t="inlineStr">
        <is>
          <t>PEPPERSTONE DEMO</t>
        </is>
      </c>
      <c r="E1029" s="719" t="inlineStr">
        <is>
          <t>USDCAD</t>
        </is>
      </c>
      <c r="F1029" s="719" t="inlineStr">
        <is>
          <t>BUY</t>
        </is>
      </c>
      <c r="G1029" s="735" t="n">
        <v>0.04</v>
      </c>
      <c r="H1029" s="720" t="n">
        <v>1.3265</v>
      </c>
      <c r="I1029" s="720" t="n">
        <v>1.32565</v>
      </c>
      <c r="J1029" s="721" t="n">
        <v>1.3257</v>
      </c>
      <c r="K1029" s="760" t="n">
        <v>0.0006030908405577926</v>
      </c>
      <c r="L1029" s="721" t="n">
        <v>1.3283</v>
      </c>
      <c r="M1029" s="722" t="n">
        <v>0.001356954391255201</v>
      </c>
      <c r="N1029" s="788" t="n"/>
      <c r="O1029" s="762" t="n">
        <v>-3.8</v>
      </c>
      <c r="P1029" s="725" t="n">
        <v>-0.008367095296811695</v>
      </c>
      <c r="Q1029" s="726" t="n">
        <v>-1.062500000000139</v>
      </c>
      <c r="R1029" s="764" t="n">
        <v>450.36</v>
      </c>
      <c r="S1029" s="719" t="inlineStr">
        <is>
          <t>26M 0S</t>
        </is>
      </c>
      <c r="T1029" s="728" t="n"/>
      <c r="U1029" s="729" t="n"/>
      <c r="V1029" s="730" t="n"/>
      <c r="W1029" s="731" t="n"/>
      <c r="X1029" s="732" t="n"/>
      <c r="Y1029" s="728" t="n"/>
      <c r="Z1029" s="729" t="n"/>
      <c r="AA1029" s="730" t="n"/>
      <c r="AB1029" s="731" t="n"/>
      <c r="AC1029" s="732" t="n"/>
      <c r="AD1029" s="719" t="inlineStr">
        <is>
          <t>No</t>
        </is>
      </c>
      <c r="AE1029" s="733" t="n"/>
      <c r="AF1029" s="733" t="n"/>
      <c r="AG1029" s="733" t="n"/>
      <c r="AH1029" s="733" t="n"/>
      <c r="AI1029" s="719" t="inlineStr">
        <is>
          <t>Limit</t>
        </is>
      </c>
      <c r="AJ1029" s="733" t="n"/>
      <c r="AK1029" s="733" t="n"/>
      <c r="AL1029" s="733" t="n"/>
      <c r="AM1029" s="733" t="n"/>
      <c r="AN1029" s="733" t="n"/>
      <c r="AO1029" s="733" t="n"/>
      <c r="AP1029" s="719" t="inlineStr">
        <is>
          <t>Pullback</t>
        </is>
      </c>
      <c r="AQ1029" s="719" t="inlineStr">
        <is>
          <t>15MIN</t>
        </is>
      </c>
      <c r="AR1029" s="719" t="inlineStr">
        <is>
          <t>No</t>
        </is>
      </c>
      <c r="AS1029" s="733" t="n"/>
      <c r="AT1029" s="733" t="n"/>
      <c r="AU1029" s="733" t="n"/>
      <c r="AV1029" s="733" t="n"/>
      <c r="AW1029" s="719" t="inlineStr">
        <is>
          <t>trade</t>
        </is>
      </c>
      <c r="AX1029" s="734" t="inlineStr">
        <is>
          <t>sig:b79bea24401ab242d35230b6</t>
        </is>
      </c>
    </row>
    <row r="1030" ht="15" customHeight="1">
      <c r="A1030" s="737" t="inlineStr">
        <is>
          <t>F509</t>
        </is>
      </c>
      <c r="B1030" s="738" t="n">
        <v>43515.11458333334</v>
      </c>
      <c r="C1030" s="739" t="n">
        <v>43515.46458333333</v>
      </c>
      <c r="D1030" s="740" t="inlineStr">
        <is>
          <t>PEPPERSTONE DEMO</t>
        </is>
      </c>
      <c r="E1030" s="740" t="inlineStr">
        <is>
          <t>USDCHF</t>
        </is>
      </c>
      <c r="F1030" s="740" t="inlineStr">
        <is>
          <t>BUY</t>
        </is>
      </c>
      <c r="G1030" s="775" t="n">
        <v>0.08</v>
      </c>
      <c r="H1030" s="742" t="n">
        <v>1.004</v>
      </c>
      <c r="I1030" s="742" t="n">
        <v>1.00488</v>
      </c>
      <c r="J1030" s="743" t="n">
        <v>1.0037</v>
      </c>
      <c r="K1030" s="765" t="n">
        <v>0.0002988047808764611</v>
      </c>
      <c r="L1030" s="743" t="n">
        <v>1.0048</v>
      </c>
      <c r="M1030" s="765" t="n">
        <v>0.0007968127490038963</v>
      </c>
      <c r="N1030" s="766" t="n">
        <v>0.79</v>
      </c>
      <c r="O1030" s="767" t="n">
        <v>7.81</v>
      </c>
      <c r="P1030" s="747" t="n">
        <v>0.01749747955640192</v>
      </c>
      <c r="Q1030" s="748" t="n">
        <v>2.933333333333629</v>
      </c>
      <c r="R1030" s="769" t="n">
        <v>454.16</v>
      </c>
      <c r="S1030" s="740" t="inlineStr">
        <is>
          <t>8H 24M 0S</t>
        </is>
      </c>
      <c r="T1030" s="738" t="n">
        <v>43515.44583333333</v>
      </c>
      <c r="U1030" s="809" t="inlineStr">
        <is>
          <t>7H 57M 0S</t>
        </is>
      </c>
      <c r="V1030" s="752" t="n"/>
      <c r="W1030" s="753" t="n"/>
      <c r="X1030" s="754" t="n"/>
      <c r="Y1030" s="738" t="n">
        <v>43515.45347222222</v>
      </c>
      <c r="Z1030" s="809" t="inlineStr">
        <is>
          <t>8H 8M 0S</t>
        </is>
      </c>
      <c r="AA1030" s="752" t="n"/>
      <c r="AB1030" s="753" t="n"/>
      <c r="AC1030" s="754" t="n"/>
      <c r="AD1030" s="740" t="inlineStr">
        <is>
          <t>No</t>
        </is>
      </c>
      <c r="AE1030" s="755" t="n"/>
      <c r="AF1030" s="755" t="n"/>
      <c r="AG1030" s="755" t="n"/>
      <c r="AH1030" s="755" t="n"/>
      <c r="AI1030" s="740" t="inlineStr">
        <is>
          <t>Limit</t>
        </is>
      </c>
      <c r="AJ1030" s="755" t="n"/>
      <c r="AK1030" s="755" t="n"/>
      <c r="AL1030" s="755" t="n"/>
      <c r="AM1030" s="755" t="n"/>
      <c r="AN1030" s="755" t="n"/>
      <c r="AO1030" s="755" t="n"/>
      <c r="AP1030" s="740" t="inlineStr">
        <is>
          <t>Pullback</t>
        </is>
      </c>
      <c r="AQ1030" s="740" t="inlineStr">
        <is>
          <t>15MIN</t>
        </is>
      </c>
      <c r="AR1030" s="740" t="inlineStr">
        <is>
          <t>No</t>
        </is>
      </c>
      <c r="AS1030" s="755" t="n"/>
      <c r="AT1030" s="755" t="n"/>
      <c r="AU1030" s="755" t="n"/>
      <c r="AV1030" s="755" t="n"/>
      <c r="AW1030" s="740" t="inlineStr">
        <is>
          <t>trade</t>
        </is>
      </c>
      <c r="AX1030" s="756" t="inlineStr">
        <is>
          <t>sig:1a981f01b8faf02289ea98d2</t>
        </is>
      </c>
    </row>
    <row r="1031" ht="15" customHeight="1">
      <c r="A1031" s="716" t="inlineStr">
        <is>
          <t>F510</t>
        </is>
      </c>
      <c r="B1031" s="717" t="n">
        <v>43515.07222222222</v>
      </c>
      <c r="C1031" s="718" t="n">
        <v>43515.09583333333</v>
      </c>
      <c r="D1031" s="719" t="inlineStr">
        <is>
          <t>PEPPERSTONE DEMO</t>
        </is>
      </c>
      <c r="E1031" s="719" t="inlineStr">
        <is>
          <t>USDJPY</t>
        </is>
      </c>
      <c r="F1031" s="719" t="inlineStr">
        <is>
          <t>BUY</t>
        </is>
      </c>
      <c r="G1031" s="720" t="n">
        <v>0.12</v>
      </c>
      <c r="H1031" s="720" t="n">
        <v>110.58</v>
      </c>
      <c r="I1031" s="720" t="n">
        <v>110.559</v>
      </c>
      <c r="J1031" s="721" t="n">
        <v>110.55</v>
      </c>
      <c r="K1031" s="760" t="n">
        <v>0.0002712967986977857</v>
      </c>
      <c r="L1031" s="721" t="n">
        <v>110.64</v>
      </c>
      <c r="M1031" s="760" t="n">
        <v>0.0005425935973955713</v>
      </c>
      <c r="N1031" s="788" t="n"/>
      <c r="O1031" s="762" t="n">
        <v>-4.56</v>
      </c>
      <c r="P1031" s="725" t="n">
        <v>-0.01011288283692976</v>
      </c>
      <c r="Q1031" s="726" t="n">
        <v>-0.7</v>
      </c>
      <c r="R1031" s="764" t="n">
        <v>446.35</v>
      </c>
      <c r="S1031" s="719" t="inlineStr">
        <is>
          <t>34M 0S</t>
        </is>
      </c>
      <c r="T1031" s="728" t="n"/>
      <c r="U1031" s="729" t="n"/>
      <c r="V1031" s="730" t="n"/>
      <c r="W1031" s="731" t="n"/>
      <c r="X1031" s="732" t="n"/>
      <c r="Y1031" s="728" t="n"/>
      <c r="Z1031" s="729" t="n"/>
      <c r="AA1031" s="730" t="n"/>
      <c r="AB1031" s="731" t="n"/>
      <c r="AC1031" s="732" t="n"/>
      <c r="AD1031" s="719" t="inlineStr">
        <is>
          <t>No</t>
        </is>
      </c>
      <c r="AE1031" s="733" t="n"/>
      <c r="AF1031" s="733" t="n"/>
      <c r="AG1031" s="733" t="n"/>
      <c r="AH1031" s="733" t="n"/>
      <c r="AI1031" s="719" t="inlineStr">
        <is>
          <t>Limit</t>
        </is>
      </c>
      <c r="AJ1031" s="733" t="n"/>
      <c r="AK1031" s="733" t="n"/>
      <c r="AL1031" s="733" t="n"/>
      <c r="AM1031" s="733" t="n"/>
      <c r="AN1031" s="733" t="n"/>
      <c r="AO1031" s="733" t="n"/>
      <c r="AP1031" s="719" t="inlineStr">
        <is>
          <t>Pullback</t>
        </is>
      </c>
      <c r="AQ1031" s="719" t="inlineStr">
        <is>
          <t>15MIN</t>
        </is>
      </c>
      <c r="AR1031" s="719" t="inlineStr">
        <is>
          <t>No</t>
        </is>
      </c>
      <c r="AS1031" s="733" t="n"/>
      <c r="AT1031" s="733" t="n"/>
      <c r="AU1031" s="733" t="n"/>
      <c r="AV1031" s="733" t="n"/>
      <c r="AW1031" s="719" t="inlineStr">
        <is>
          <t>trade</t>
        </is>
      </c>
      <c r="AX1031" s="734" t="inlineStr">
        <is>
          <t>sig:a6661546fd6ab76d7d7baf34</t>
        </is>
      </c>
    </row>
    <row r="1032" ht="15" customHeight="1">
      <c r="A1032" s="716" t="inlineStr">
        <is>
          <t>F511</t>
        </is>
      </c>
      <c r="B1032" s="717" t="n">
        <v>43515.04166666666</v>
      </c>
      <c r="C1032" s="718" t="n">
        <v>43515.05763888889</v>
      </c>
      <c r="D1032" s="719" t="inlineStr">
        <is>
          <t>PEPPERSTONE DEMO</t>
        </is>
      </c>
      <c r="E1032" s="719" t="inlineStr">
        <is>
          <t>USDJPY</t>
        </is>
      </c>
      <c r="F1032" s="719" t="inlineStr">
        <is>
          <t>BUY</t>
        </is>
      </c>
      <c r="G1032" s="720" t="n">
        <v>0.12</v>
      </c>
      <c r="H1032" s="720" t="n">
        <v>110.59</v>
      </c>
      <c r="I1032" s="720" t="n">
        <v>110.564</v>
      </c>
      <c r="J1032" s="721" t="n">
        <v>110.56</v>
      </c>
      <c r="K1032" s="760" t="n">
        <v>0.0002712722669319209</v>
      </c>
      <c r="L1032" s="721" t="n">
        <v>110.65</v>
      </c>
      <c r="M1032" s="760" t="n">
        <v>0.0005425445338638419</v>
      </c>
      <c r="N1032" s="788" t="n"/>
      <c r="O1032" s="762" t="n">
        <v>-4.56</v>
      </c>
      <c r="P1032" s="725" t="n">
        <v>-0.01001163633170132</v>
      </c>
      <c r="Q1032" s="726" t="n">
        <v>-0.8666666666669824</v>
      </c>
      <c r="R1032" s="764" t="n">
        <v>450.91</v>
      </c>
      <c r="S1032" s="719" t="inlineStr">
        <is>
          <t>23M 0S</t>
        </is>
      </c>
      <c r="T1032" s="717" t="n"/>
      <c r="U1032" s="806" t="n"/>
      <c r="V1032" s="730" t="n"/>
      <c r="W1032" s="731" t="n"/>
      <c r="X1032" s="732" t="n"/>
      <c r="Y1032" s="728" t="n"/>
      <c r="Z1032" s="729" t="n"/>
      <c r="AA1032" s="730" t="n"/>
      <c r="AB1032" s="731" t="n"/>
      <c r="AC1032" s="732" t="n"/>
      <c r="AD1032" s="719" t="inlineStr">
        <is>
          <t>No</t>
        </is>
      </c>
      <c r="AE1032" s="733" t="n"/>
      <c r="AF1032" s="733" t="n"/>
      <c r="AG1032" s="733" t="n"/>
      <c r="AH1032" s="733" t="n"/>
      <c r="AI1032" s="719" t="inlineStr">
        <is>
          <t>Market</t>
        </is>
      </c>
      <c r="AJ1032" s="733" t="n"/>
      <c r="AK1032" s="733" t="n"/>
      <c r="AL1032" s="733" t="n"/>
      <c r="AM1032" s="733" t="n"/>
      <c r="AN1032" s="733" t="n"/>
      <c r="AO1032" s="733" t="n"/>
      <c r="AP1032" s="719" t="inlineStr">
        <is>
          <t>Pullback</t>
        </is>
      </c>
      <c r="AQ1032" s="719" t="inlineStr">
        <is>
          <t>15MIN</t>
        </is>
      </c>
      <c r="AR1032" s="719" t="inlineStr">
        <is>
          <t>No</t>
        </is>
      </c>
      <c r="AS1032" s="733" t="n"/>
      <c r="AT1032" s="733" t="n"/>
      <c r="AU1032" s="733" t="n"/>
      <c r="AV1032" s="733" t="n"/>
      <c r="AW1032" s="719" t="inlineStr">
        <is>
          <t>trade</t>
        </is>
      </c>
      <c r="AX1032" s="734" t="inlineStr">
        <is>
          <t>sig:e134783fdba2054c638d9c79</t>
        </is>
      </c>
    </row>
    <row r="1033" ht="15" customHeight="1">
      <c r="A1033" s="737" t="inlineStr">
        <is>
          <t>F503</t>
        </is>
      </c>
      <c r="B1033" s="738" t="n">
        <v>43512.11597222222</v>
      </c>
      <c r="C1033" s="739" t="n">
        <v>43514.37291666667</v>
      </c>
      <c r="D1033" s="740" t="inlineStr">
        <is>
          <t>PEPPERSTONE DEMO</t>
        </is>
      </c>
      <c r="E1033" s="740" t="inlineStr">
        <is>
          <t>USDJPY</t>
        </is>
      </c>
      <c r="F1033" s="740" t="inlineStr">
        <is>
          <t>SELL</t>
        </is>
      </c>
      <c r="G1033" s="775" t="n">
        <v>0.05</v>
      </c>
      <c r="H1033" s="742" t="n">
        <v>110.51</v>
      </c>
      <c r="I1033" s="742" t="n">
        <v>110.461</v>
      </c>
      <c r="J1033" s="743" t="n">
        <v>110.58</v>
      </c>
      <c r="K1033" s="765" t="n">
        <v>0.0006334268392000107</v>
      </c>
      <c r="L1033" s="743" t="n">
        <v>110.37</v>
      </c>
      <c r="M1033" s="744" t="n">
        <v>0.00126685367840015</v>
      </c>
      <c r="N1033" s="766" t="n">
        <v>0.32</v>
      </c>
      <c r="O1033" s="767" t="n">
        <v>1.1</v>
      </c>
      <c r="P1033" s="747" t="n">
        <v>0.002420934480709554</v>
      </c>
      <c r="Q1033" s="748" t="n">
        <v>0.7000000000001624</v>
      </c>
      <c r="R1033" s="769" t="n">
        <v>455.47</v>
      </c>
      <c r="S1033" s="740" t="inlineStr">
        <is>
          <t>2D 6H 10M 0S</t>
        </is>
      </c>
      <c r="T1033" s="738" t="n">
        <v>43512.21458333333</v>
      </c>
      <c r="U1033" s="809" t="inlineStr">
        <is>
          <t>2H 22M 0S</t>
        </is>
      </c>
      <c r="V1033" s="752" t="n"/>
      <c r="W1033" s="753" t="n"/>
      <c r="X1033" s="754" t="n"/>
      <c r="Y1033" s="750" t="n"/>
      <c r="Z1033" s="751" t="n"/>
      <c r="AA1033" s="752" t="n"/>
      <c r="AB1033" s="753" t="n"/>
      <c r="AC1033" s="754" t="n"/>
      <c r="AD1033" s="740" t="inlineStr">
        <is>
          <t>No</t>
        </is>
      </c>
      <c r="AE1033" s="755" t="n"/>
      <c r="AF1033" s="755" t="n"/>
      <c r="AG1033" s="755" t="n"/>
      <c r="AH1033" s="755" t="n"/>
      <c r="AI1033" s="740" t="inlineStr">
        <is>
          <t>Limit</t>
        </is>
      </c>
      <c r="AJ1033" s="755" t="n"/>
      <c r="AK1033" s="755" t="n"/>
      <c r="AL1033" s="755" t="n"/>
      <c r="AM1033" s="755" t="n"/>
      <c r="AN1033" s="755" t="n"/>
      <c r="AO1033" s="755" t="n"/>
      <c r="AP1033" s="740" t="inlineStr">
        <is>
          <t>Pullback</t>
        </is>
      </c>
      <c r="AQ1033" s="740" t="inlineStr">
        <is>
          <t>15MIN</t>
        </is>
      </c>
      <c r="AR1033" s="740" t="inlineStr">
        <is>
          <t>No</t>
        </is>
      </c>
      <c r="AS1033" s="755" t="n"/>
      <c r="AT1033" s="755" t="n"/>
      <c r="AU1033" s="755" t="n"/>
      <c r="AV1033" s="755" t="n"/>
      <c r="AW1033" s="740" t="inlineStr">
        <is>
          <t>trade</t>
        </is>
      </c>
      <c r="AX1033" s="756" t="inlineStr">
        <is>
          <t>sig:711bcf7243771beee154d20f</t>
        </is>
      </c>
    </row>
    <row r="1034" ht="15" customHeight="1">
      <c r="A1034" s="716" t="inlineStr">
        <is>
          <t>F505</t>
        </is>
      </c>
      <c r="B1034" s="717" t="n">
        <v>43512.07986111111</v>
      </c>
      <c r="C1034" s="718" t="n">
        <v>43512.09444444445</v>
      </c>
      <c r="D1034" s="719" t="inlineStr">
        <is>
          <t>PEPPERSTONE DEMO</t>
        </is>
      </c>
      <c r="E1034" s="719" t="inlineStr">
        <is>
          <t>USDCAD</t>
        </is>
      </c>
      <c r="F1034" s="719" t="inlineStr">
        <is>
          <t>SELL</t>
        </is>
      </c>
      <c r="G1034" s="735" t="n">
        <v>0.04</v>
      </c>
      <c r="H1034" s="720" t="n">
        <v>1.3275</v>
      </c>
      <c r="I1034" s="720" t="n">
        <v>1.32869</v>
      </c>
      <c r="J1034" s="721" t="n">
        <v>1.3287</v>
      </c>
      <c r="K1034" s="760" t="n">
        <v>0.0009039548022599548</v>
      </c>
      <c r="L1034" s="721" t="n">
        <v>1.3253</v>
      </c>
      <c r="M1034" s="722" t="n">
        <v>0.001657250470809778</v>
      </c>
      <c r="N1034" s="788" t="n"/>
      <c r="O1034" s="762" t="n">
        <v>-4.65</v>
      </c>
      <c r="P1034" s="725" t="n">
        <v>-0.01013027754781927</v>
      </c>
      <c r="Q1034" s="726" t="n">
        <v>-0.9916666666666127</v>
      </c>
      <c r="R1034" s="764" t="n">
        <v>454.37</v>
      </c>
      <c r="S1034" s="719" t="inlineStr">
        <is>
          <t>21M 0S</t>
        </is>
      </c>
      <c r="T1034" s="717" t="n"/>
      <c r="U1034" s="806" t="n"/>
      <c r="V1034" s="730" t="n"/>
      <c r="W1034" s="731" t="n"/>
      <c r="X1034" s="732" t="n"/>
      <c r="Y1034" s="728" t="n"/>
      <c r="Z1034" s="729" t="n"/>
      <c r="AA1034" s="730" t="n"/>
      <c r="AB1034" s="731" t="n"/>
      <c r="AC1034" s="732" t="n"/>
      <c r="AD1034" s="719" t="inlineStr">
        <is>
          <t>No</t>
        </is>
      </c>
      <c r="AE1034" s="733" t="n"/>
      <c r="AF1034" s="733" t="n"/>
      <c r="AG1034" s="733" t="n"/>
      <c r="AH1034" s="733" t="n"/>
      <c r="AI1034" s="719" t="inlineStr">
        <is>
          <t>Limit</t>
        </is>
      </c>
      <c r="AJ1034" s="733" t="n"/>
      <c r="AK1034" s="733" t="n"/>
      <c r="AL1034" s="733" t="n"/>
      <c r="AM1034" s="733" t="n"/>
      <c r="AN1034" s="733" t="n"/>
      <c r="AO1034" s="733" t="n"/>
      <c r="AP1034" s="719" t="inlineStr">
        <is>
          <t>Pullback</t>
        </is>
      </c>
      <c r="AQ1034" s="719" t="inlineStr">
        <is>
          <t>15MIN</t>
        </is>
      </c>
      <c r="AR1034" s="719" t="inlineStr">
        <is>
          <t>No</t>
        </is>
      </c>
      <c r="AS1034" s="733" t="n"/>
      <c r="AT1034" s="733" t="n"/>
      <c r="AU1034" s="733" t="n"/>
      <c r="AV1034" s="733" t="n"/>
      <c r="AW1034" s="719" t="inlineStr">
        <is>
          <t>trade</t>
        </is>
      </c>
      <c r="AX1034" s="734" t="inlineStr">
        <is>
          <t>sig:a79e8feb53c27f78c28907df</t>
        </is>
      </c>
    </row>
    <row r="1035" ht="15" customHeight="1">
      <c r="A1035" s="716" t="inlineStr">
        <is>
          <t>F507</t>
        </is>
      </c>
      <c r="B1035" s="717" t="n">
        <v>43512.07569444444</v>
      </c>
      <c r="C1035" s="718" t="n">
        <v>43512.08125</v>
      </c>
      <c r="D1035" s="719" t="inlineStr">
        <is>
          <t>PEPPERSTONE DEMO</t>
        </is>
      </c>
      <c r="E1035" s="719" t="inlineStr">
        <is>
          <t>USDJPY</t>
        </is>
      </c>
      <c r="F1035" s="719" t="inlineStr">
        <is>
          <t>SELL</t>
        </is>
      </c>
      <c r="G1035" s="735" t="n">
        <v>0.06</v>
      </c>
      <c r="H1035" s="720" t="n">
        <v>110.48</v>
      </c>
      <c r="I1035" s="720" t="n">
        <v>110.549</v>
      </c>
      <c r="J1035" s="721" t="n">
        <v>110.54</v>
      </c>
      <c r="K1035" s="760" t="n">
        <v>0.0005430847212165303</v>
      </c>
      <c r="L1035" s="721" t="n">
        <v>110.36</v>
      </c>
      <c r="M1035" s="722" t="n">
        <v>0.001086169442433061</v>
      </c>
      <c r="N1035" s="788" t="n"/>
      <c r="O1035" s="762" t="n">
        <v>-4.57</v>
      </c>
      <c r="P1035" s="725" t="n">
        <v>-0.009857848529951035</v>
      </c>
      <c r="Q1035" s="726" t="n">
        <v>-1.15</v>
      </c>
      <c r="R1035" s="764" t="n">
        <v>459.02</v>
      </c>
      <c r="S1035" s="719" t="inlineStr">
        <is>
          <t>8M 0S</t>
        </is>
      </c>
      <c r="T1035" s="728" t="n"/>
      <c r="U1035" s="729" t="n"/>
      <c r="V1035" s="730" t="n"/>
      <c r="W1035" s="731" t="n"/>
      <c r="X1035" s="732" t="n"/>
      <c r="Y1035" s="728" t="n"/>
      <c r="Z1035" s="729" t="n"/>
      <c r="AA1035" s="730" t="n"/>
      <c r="AB1035" s="731" t="n"/>
      <c r="AC1035" s="732" t="n"/>
      <c r="AD1035" s="719" t="inlineStr">
        <is>
          <t>No</t>
        </is>
      </c>
      <c r="AE1035" s="733" t="n"/>
      <c r="AF1035" s="733" t="n"/>
      <c r="AG1035" s="733" t="n"/>
      <c r="AH1035" s="733" t="n"/>
      <c r="AI1035" s="719" t="inlineStr">
        <is>
          <t>Limit</t>
        </is>
      </c>
      <c r="AJ1035" s="733" t="n"/>
      <c r="AK1035" s="733" t="n"/>
      <c r="AL1035" s="733" t="n"/>
      <c r="AM1035" s="733" t="n"/>
      <c r="AN1035" s="733" t="n"/>
      <c r="AO1035" s="733" t="n"/>
      <c r="AP1035" s="719" t="inlineStr">
        <is>
          <t>Pullback</t>
        </is>
      </c>
      <c r="AQ1035" s="719" t="inlineStr">
        <is>
          <t>15MIN</t>
        </is>
      </c>
      <c r="AR1035" s="719" t="inlineStr">
        <is>
          <t>No</t>
        </is>
      </c>
      <c r="AS1035" s="733" t="n"/>
      <c r="AT1035" s="733" t="n"/>
      <c r="AU1035" s="733" t="n"/>
      <c r="AV1035" s="733" t="n"/>
      <c r="AW1035" s="719" t="inlineStr">
        <is>
          <t>trade</t>
        </is>
      </c>
      <c r="AX1035" s="734" t="inlineStr">
        <is>
          <t>sig:64a2bcff876520b44c7b921b</t>
        </is>
      </c>
    </row>
    <row r="1036" ht="15" customHeight="1">
      <c r="A1036" s="716" t="inlineStr">
        <is>
          <t>F508</t>
        </is>
      </c>
      <c r="B1036" s="717" t="n">
        <v>43512.04166666666</v>
      </c>
      <c r="C1036" s="718" t="n">
        <v>43512.05763888889</v>
      </c>
      <c r="D1036" s="719" t="inlineStr">
        <is>
          <t>PEPPERSTONE DEMO</t>
        </is>
      </c>
      <c r="E1036" s="719" t="inlineStr">
        <is>
          <t>USDJPY</t>
        </is>
      </c>
      <c r="F1036" s="719" t="inlineStr">
        <is>
          <t>SELL</t>
        </is>
      </c>
      <c r="G1036" s="735" t="n">
        <v>0.06</v>
      </c>
      <c r="H1036" s="720" t="n">
        <v>110.44</v>
      </c>
      <c r="I1036" s="720" t="n">
        <v>110.398</v>
      </c>
      <c r="J1036" s="721" t="n">
        <v>110.5</v>
      </c>
      <c r="K1036" s="760" t="n">
        <v>0.0005432814197754642</v>
      </c>
      <c r="L1036" s="721" t="n">
        <v>110.32</v>
      </c>
      <c r="M1036" s="722" t="n">
        <v>0.001086562839550928</v>
      </c>
      <c r="N1036" s="788" t="n"/>
      <c r="O1036" s="762" t="n">
        <v>-0.6899999999999999</v>
      </c>
      <c r="P1036" s="725" t="n">
        <v>-0.001486172137503231</v>
      </c>
      <c r="Q1036" s="726" t="n">
        <v>0.7</v>
      </c>
      <c r="R1036" s="764" t="n">
        <v>463.59</v>
      </c>
      <c r="S1036" s="719" t="inlineStr">
        <is>
          <t>23M 0S</t>
        </is>
      </c>
      <c r="T1036" s="728" t="n"/>
      <c r="U1036" s="729" t="n"/>
      <c r="V1036" s="730" t="n"/>
      <c r="W1036" s="731" t="n"/>
      <c r="X1036" s="732" t="n"/>
      <c r="Y1036" s="728" t="n"/>
      <c r="Z1036" s="729" t="n"/>
      <c r="AA1036" s="730" t="n"/>
      <c r="AB1036" s="731" t="n"/>
      <c r="AC1036" s="732" t="n"/>
      <c r="AD1036" s="719" t="inlineStr">
        <is>
          <t>No</t>
        </is>
      </c>
      <c r="AE1036" s="733" t="n"/>
      <c r="AF1036" s="733" t="n"/>
      <c r="AG1036" s="733" t="n"/>
      <c r="AH1036" s="733" t="n"/>
      <c r="AI1036" s="719" t="inlineStr">
        <is>
          <t>Limit</t>
        </is>
      </c>
      <c r="AJ1036" s="733" t="n"/>
      <c r="AK1036" s="733" t="n"/>
      <c r="AL1036" s="733" t="n"/>
      <c r="AM1036" s="733" t="n"/>
      <c r="AN1036" s="733" t="n"/>
      <c r="AO1036" s="733" t="n"/>
      <c r="AP1036" s="719" t="inlineStr">
        <is>
          <t>Pullback</t>
        </is>
      </c>
      <c r="AQ1036" s="719" t="inlineStr">
        <is>
          <t>15MIN</t>
        </is>
      </c>
      <c r="AR1036" s="719" t="inlineStr">
        <is>
          <t>No</t>
        </is>
      </c>
      <c r="AS1036" s="733" t="n"/>
      <c r="AT1036" s="733" t="n"/>
      <c r="AU1036" s="733" t="n"/>
      <c r="AV1036" s="733" t="n"/>
      <c r="AW1036" s="719" t="inlineStr">
        <is>
          <t>trade</t>
        </is>
      </c>
      <c r="AX1036" s="734" t="inlineStr">
        <is>
          <t>sig:6fd3d26f029170db761dcfed</t>
        </is>
      </c>
    </row>
    <row r="1037" ht="15" customHeight="1">
      <c r="A1037" s="716" t="inlineStr">
        <is>
          <t>F501</t>
        </is>
      </c>
      <c r="B1037" s="717" t="n">
        <v>43511.99861111111</v>
      </c>
      <c r="C1037" s="718" t="n">
        <v>43512.01597222222</v>
      </c>
      <c r="D1037" s="719" t="inlineStr">
        <is>
          <t>PEPPERSTONE DEMO</t>
        </is>
      </c>
      <c r="E1037" s="719" t="inlineStr">
        <is>
          <t>GBPUSD</t>
        </is>
      </c>
      <c r="F1037" s="719" t="inlineStr">
        <is>
          <t>SELL</t>
        </is>
      </c>
      <c r="G1037" s="735" t="n">
        <v>0.03</v>
      </c>
      <c r="H1037" s="720" t="n">
        <v>1.281</v>
      </c>
      <c r="I1037" s="720" t="n">
        <v>1.28208</v>
      </c>
      <c r="J1037" s="721" t="n">
        <v>1.2821</v>
      </c>
      <c r="K1037" s="760" t="n">
        <v>0.0008587041373927408</v>
      </c>
      <c r="L1037" s="721" t="n">
        <v>1.279</v>
      </c>
      <c r="M1037" s="722" t="n">
        <v>0.001561280249804841</v>
      </c>
      <c r="N1037" s="788" t="n"/>
      <c r="O1037" s="762" t="n">
        <v>-4.21</v>
      </c>
      <c r="P1037" s="725" t="n">
        <v>-0.008986317744242141</v>
      </c>
      <c r="Q1037" s="726" t="n">
        <v>-0.9818181818182662</v>
      </c>
      <c r="R1037" s="764" t="n">
        <v>464.28</v>
      </c>
      <c r="S1037" s="719" t="inlineStr">
        <is>
          <t>25M 0S</t>
        </is>
      </c>
      <c r="T1037" s="728" t="n"/>
      <c r="U1037" s="729" t="n"/>
      <c r="V1037" s="730" t="n"/>
      <c r="W1037" s="731" t="n"/>
      <c r="X1037" s="732" t="n"/>
      <c r="Y1037" s="728" t="n"/>
      <c r="Z1037" s="729" t="n"/>
      <c r="AA1037" s="730" t="n"/>
      <c r="AB1037" s="731" t="n"/>
      <c r="AC1037" s="732" t="n"/>
      <c r="AD1037" s="719" t="inlineStr">
        <is>
          <t>No</t>
        </is>
      </c>
      <c r="AE1037" s="733" t="n"/>
      <c r="AF1037" s="733" t="n"/>
      <c r="AG1037" s="733" t="n"/>
      <c r="AH1037" s="733" t="n"/>
      <c r="AI1037" s="719" t="inlineStr">
        <is>
          <t>Limit</t>
        </is>
      </c>
      <c r="AJ1037" s="733" t="n"/>
      <c r="AK1037" s="733" t="n"/>
      <c r="AL1037" s="733" t="n"/>
      <c r="AM1037" s="733" t="n"/>
      <c r="AN1037" s="733" t="n"/>
      <c r="AO1037" s="733" t="n"/>
      <c r="AP1037" s="719" t="inlineStr">
        <is>
          <t>Pullback</t>
        </is>
      </c>
      <c r="AQ1037" s="719" t="inlineStr">
        <is>
          <t>15MIN</t>
        </is>
      </c>
      <c r="AR1037" s="719" t="inlineStr">
        <is>
          <t>No</t>
        </is>
      </c>
      <c r="AS1037" s="733" t="n"/>
      <c r="AT1037" s="733" t="n"/>
      <c r="AU1037" s="733" t="n"/>
      <c r="AV1037" s="733" t="n"/>
      <c r="AW1037" s="719" t="inlineStr">
        <is>
          <t>trade</t>
        </is>
      </c>
      <c r="AX1037" s="734" t="inlineStr">
        <is>
          <t>sig:de664b062a13df0026ec8357</t>
        </is>
      </c>
    </row>
    <row r="1038" ht="15" customHeight="1">
      <c r="A1038" s="716" t="inlineStr">
        <is>
          <t>F504</t>
        </is>
      </c>
      <c r="B1038" s="717" t="n">
        <v>43512.00555555556</v>
      </c>
      <c r="C1038" s="718" t="n">
        <v>43512.01041666666</v>
      </c>
      <c r="D1038" s="719" t="inlineStr">
        <is>
          <t>PEPPERSTONE DEMO</t>
        </is>
      </c>
      <c r="E1038" s="719" t="inlineStr">
        <is>
          <t>EURUSD</t>
        </is>
      </c>
      <c r="F1038" s="719" t="inlineStr">
        <is>
          <t>SELL</t>
        </is>
      </c>
      <c r="G1038" s="735" t="n">
        <v>0.03</v>
      </c>
      <c r="H1038" s="720" t="n">
        <v>1.1258</v>
      </c>
      <c r="I1038" s="720" t="n">
        <v>1.12678</v>
      </c>
      <c r="J1038" s="721" t="n">
        <v>1.1268</v>
      </c>
      <c r="K1038" s="760" t="n">
        <v>0.0008882572392965997</v>
      </c>
      <c r="L1038" s="721" t="n">
        <v>1.124</v>
      </c>
      <c r="M1038" s="722" t="n">
        <v>0.001598863030733525</v>
      </c>
      <c r="N1038" s="788" t="n"/>
      <c r="O1038" s="762" t="n">
        <v>-3.79</v>
      </c>
      <c r="P1038" s="725" t="n">
        <v>-0.008024900482764462</v>
      </c>
      <c r="Q1038" s="726" t="n">
        <v>-0.9799999999998712</v>
      </c>
      <c r="R1038" s="764" t="n">
        <v>468.49</v>
      </c>
      <c r="S1038" s="719" t="inlineStr">
        <is>
          <t>7M 0S</t>
        </is>
      </c>
      <c r="T1038" s="728" t="n"/>
      <c r="U1038" s="729" t="n"/>
      <c r="V1038" s="730" t="n"/>
      <c r="W1038" s="731" t="n"/>
      <c r="X1038" s="732" t="n"/>
      <c r="Y1038" s="728" t="n"/>
      <c r="Z1038" s="729" t="n"/>
      <c r="AA1038" s="730" t="n"/>
      <c r="AB1038" s="731" t="n"/>
      <c r="AC1038" s="732" t="n"/>
      <c r="AD1038" s="719" t="inlineStr">
        <is>
          <t>No</t>
        </is>
      </c>
      <c r="AE1038" s="733" t="n"/>
      <c r="AF1038" s="733" t="n"/>
      <c r="AG1038" s="733" t="n"/>
      <c r="AH1038" s="733" t="n"/>
      <c r="AI1038" s="719" t="inlineStr">
        <is>
          <t>Limit</t>
        </is>
      </c>
      <c r="AJ1038" s="733" t="n"/>
      <c r="AK1038" s="733" t="n"/>
      <c r="AL1038" s="733" t="n"/>
      <c r="AM1038" s="733" t="n"/>
      <c r="AN1038" s="733" t="n"/>
      <c r="AO1038" s="733" t="n"/>
      <c r="AP1038" s="719" t="inlineStr">
        <is>
          <t>Pullback</t>
        </is>
      </c>
      <c r="AQ1038" s="719" t="inlineStr">
        <is>
          <t>15MIN</t>
        </is>
      </c>
      <c r="AR1038" s="719" t="inlineStr">
        <is>
          <t>No</t>
        </is>
      </c>
      <c r="AS1038" s="733" t="n"/>
      <c r="AT1038" s="733" t="n"/>
      <c r="AU1038" s="733" t="n"/>
      <c r="AV1038" s="733" t="n"/>
      <c r="AW1038" s="719" t="inlineStr">
        <is>
          <t>trade</t>
        </is>
      </c>
      <c r="AX1038" s="734" t="inlineStr">
        <is>
          <t>sig:a234c542b35fe3bf77ebe1f2</t>
        </is>
      </c>
    </row>
    <row r="1039" ht="15" customHeight="1">
      <c r="A1039" s="716" t="inlineStr">
        <is>
          <t>F506</t>
        </is>
      </c>
      <c r="B1039" s="717" t="n">
        <v>43512.00277777778</v>
      </c>
      <c r="C1039" s="718" t="n">
        <v>43512.00694444445</v>
      </c>
      <c r="D1039" s="719" t="inlineStr">
        <is>
          <t>PEPPERSTONE DEMO</t>
        </is>
      </c>
      <c r="E1039" s="719" t="inlineStr">
        <is>
          <t>USDCHF</t>
        </is>
      </c>
      <c r="F1039" s="719" t="inlineStr">
        <is>
          <t>BUY</t>
        </is>
      </c>
      <c r="G1039" s="735" t="n">
        <v>0.05</v>
      </c>
      <c r="H1039" s="720" t="n">
        <v>1.0076</v>
      </c>
      <c r="I1039" s="720" t="n">
        <v>1.00702</v>
      </c>
      <c r="J1039" s="721" t="n">
        <v>1.007</v>
      </c>
      <c r="K1039" s="760" t="n">
        <v>0.0005954743946011869</v>
      </c>
      <c r="L1039" s="721" t="n">
        <v>1.0088</v>
      </c>
      <c r="M1039" s="722" t="n">
        <v>0.001190948789201933</v>
      </c>
      <c r="N1039" s="788" t="n"/>
      <c r="O1039" s="762" t="n">
        <v>-4.18</v>
      </c>
      <c r="P1039" s="725" t="n">
        <v>-0.008773034462494228</v>
      </c>
      <c r="Q1039" s="726" t="n">
        <v>-0.966666666666457</v>
      </c>
      <c r="R1039" s="764" t="n">
        <v>472.28</v>
      </c>
      <c r="S1039" s="719" t="inlineStr">
        <is>
          <t>6M 0S</t>
        </is>
      </c>
      <c r="T1039" s="728" t="n"/>
      <c r="U1039" s="729" t="n"/>
      <c r="V1039" s="730" t="n"/>
      <c r="W1039" s="731" t="n"/>
      <c r="X1039" s="732" t="n"/>
      <c r="Y1039" s="728" t="n"/>
      <c r="Z1039" s="729" t="n"/>
      <c r="AA1039" s="730" t="n"/>
      <c r="AB1039" s="731" t="n"/>
      <c r="AC1039" s="732" t="n"/>
      <c r="AD1039" s="719" t="inlineStr">
        <is>
          <t>No</t>
        </is>
      </c>
      <c r="AE1039" s="733" t="n"/>
      <c r="AF1039" s="733" t="n"/>
      <c r="AG1039" s="733" t="n"/>
      <c r="AH1039" s="733" t="n"/>
      <c r="AI1039" s="719" t="inlineStr">
        <is>
          <t>Limit</t>
        </is>
      </c>
      <c r="AJ1039" s="733" t="n"/>
      <c r="AK1039" s="733" t="n"/>
      <c r="AL1039" s="733" t="n"/>
      <c r="AM1039" s="733" t="n"/>
      <c r="AN1039" s="733" t="n"/>
      <c r="AO1039" s="733" t="n"/>
      <c r="AP1039" s="719" t="inlineStr">
        <is>
          <t>Pullback</t>
        </is>
      </c>
      <c r="AQ1039" s="719" t="inlineStr">
        <is>
          <t>15MIN</t>
        </is>
      </c>
      <c r="AR1039" s="719" t="inlineStr">
        <is>
          <t>No</t>
        </is>
      </c>
      <c r="AS1039" s="733" t="n"/>
      <c r="AT1039" s="733" t="n"/>
      <c r="AU1039" s="733" t="n"/>
      <c r="AV1039" s="733" t="n"/>
      <c r="AW1039" s="719" t="inlineStr">
        <is>
          <t>trade</t>
        </is>
      </c>
      <c r="AX1039" s="734" t="inlineStr">
        <is>
          <t>sig:118d33bb8b475f0ce9b8c8a8</t>
        </is>
      </c>
    </row>
    <row r="1040" ht="15" customHeight="1">
      <c r="A1040" s="737" t="inlineStr">
        <is>
          <t>F502</t>
        </is>
      </c>
      <c r="B1040" s="738" t="n">
        <v>43511.08888888889</v>
      </c>
      <c r="C1040" s="739" t="n">
        <v>43511.24930555555</v>
      </c>
      <c r="D1040" s="740" t="inlineStr">
        <is>
          <t>PEPPERSTONE DEMO</t>
        </is>
      </c>
      <c r="E1040" s="740" t="inlineStr">
        <is>
          <t>USDJPY</t>
        </is>
      </c>
      <c r="F1040" s="740" t="inlineStr">
        <is>
          <t>SELL</t>
        </is>
      </c>
      <c r="G1040" s="775" t="n">
        <v>0.03</v>
      </c>
      <c r="H1040" s="742" t="n">
        <v>110.71</v>
      </c>
      <c r="I1040" s="742" t="n">
        <v>110.471</v>
      </c>
      <c r="J1040" s="743" t="n">
        <v>110.83</v>
      </c>
      <c r="K1040" s="744" t="n">
        <v>0.00108391292566168</v>
      </c>
      <c r="L1040" s="743" t="n">
        <v>110.47</v>
      </c>
      <c r="M1040" s="744" t="n">
        <v>0.002167825851323231</v>
      </c>
      <c r="N1040" s="796" t="n"/>
      <c r="O1040" s="767" t="n">
        <v>7.66</v>
      </c>
      <c r="P1040" s="747" t="n">
        <v>0.01633959044368601</v>
      </c>
      <c r="Q1040" s="748" t="n">
        <v>1.991666666666509</v>
      </c>
      <c r="R1040" s="769" t="n">
        <v>476.46</v>
      </c>
      <c r="S1040" s="740" t="inlineStr">
        <is>
          <t>3H 51M 0S</t>
        </is>
      </c>
      <c r="T1040" s="738" t="n">
        <v>43511.1875</v>
      </c>
      <c r="U1040" s="809" t="inlineStr">
        <is>
          <t>2H 22M 0S</t>
        </is>
      </c>
      <c r="V1040" s="752" t="n"/>
      <c r="W1040" s="753" t="n"/>
      <c r="X1040" s="754" t="n"/>
      <c r="Y1040" s="750" t="n"/>
      <c r="Z1040" s="751" t="n"/>
      <c r="AA1040" s="752" t="n"/>
      <c r="AB1040" s="753" t="n"/>
      <c r="AC1040" s="754" t="n"/>
      <c r="AD1040" s="740" t="inlineStr">
        <is>
          <t>No</t>
        </is>
      </c>
      <c r="AE1040" s="755" t="n"/>
      <c r="AF1040" s="755" t="n"/>
      <c r="AG1040" s="755" t="n"/>
      <c r="AH1040" s="755" t="n"/>
      <c r="AI1040" s="740" t="inlineStr">
        <is>
          <t>Limit</t>
        </is>
      </c>
      <c r="AJ1040" s="755" t="n"/>
      <c r="AK1040" s="755" t="n"/>
      <c r="AL1040" s="755" t="n"/>
      <c r="AM1040" s="755" t="n"/>
      <c r="AN1040" s="755" t="n"/>
      <c r="AO1040" s="755" t="n"/>
      <c r="AP1040" s="740" t="inlineStr">
        <is>
          <t>Pullback</t>
        </is>
      </c>
      <c r="AQ1040" s="740" t="inlineStr">
        <is>
          <t>15MIN</t>
        </is>
      </c>
      <c r="AR1040" s="740" t="inlineStr">
        <is>
          <t>No</t>
        </is>
      </c>
      <c r="AS1040" s="755" t="n"/>
      <c r="AT1040" s="755" t="n"/>
      <c r="AU1040" s="755" t="n"/>
      <c r="AV1040" s="755" t="n"/>
      <c r="AW1040" s="740" t="inlineStr">
        <is>
          <t>trade</t>
        </is>
      </c>
      <c r="AX1040" s="756" t="inlineStr">
        <is>
          <t>sig:3c3a8e585765c15e5432e48a</t>
        </is>
      </c>
    </row>
    <row r="1041" ht="15" customHeight="1">
      <c r="A1041" s="737" t="inlineStr">
        <is>
          <t>F500</t>
        </is>
      </c>
      <c r="B1041" s="738" t="n">
        <v>43511.00416666667</v>
      </c>
      <c r="C1041" s="739" t="n">
        <v>43511.04236111111</v>
      </c>
      <c r="D1041" s="740" t="inlineStr">
        <is>
          <t>PEPPERSTONE DEMO</t>
        </is>
      </c>
      <c r="E1041" s="740" t="inlineStr">
        <is>
          <t>EURUSD</t>
        </is>
      </c>
      <c r="F1041" s="740" t="inlineStr">
        <is>
          <t>BUY</t>
        </is>
      </c>
      <c r="G1041" s="775" t="n">
        <v>0.04</v>
      </c>
      <c r="H1041" s="742" t="n">
        <v>1.1293</v>
      </c>
      <c r="I1041" s="742" t="n">
        <v>1.13001</v>
      </c>
      <c r="J1041" s="743" t="n">
        <v>1.1286</v>
      </c>
      <c r="K1041" s="765" t="n">
        <v>0.0006198530062870122</v>
      </c>
      <c r="L1041" s="743" t="n">
        <v>1.1307</v>
      </c>
      <c r="M1041" s="744" t="n">
        <v>0.001239706012574221</v>
      </c>
      <c r="N1041" s="796" t="n"/>
      <c r="O1041" s="767" t="n">
        <v>2</v>
      </c>
      <c r="P1041" s="747" t="n">
        <v>0.004284490145672665</v>
      </c>
      <c r="Q1041" s="748" t="n">
        <v>1.014285714285809</v>
      </c>
      <c r="R1041" s="769" t="n">
        <v>468.8</v>
      </c>
      <c r="S1041" s="740" t="inlineStr">
        <is>
          <t>55M 0S</t>
        </is>
      </c>
      <c r="T1041" s="738" t="n">
        <v>43511.03194444445</v>
      </c>
      <c r="U1041" s="809" t="inlineStr">
        <is>
          <t>40M 0S</t>
        </is>
      </c>
      <c r="V1041" s="752" t="n"/>
      <c r="W1041" s="753" t="n"/>
      <c r="X1041" s="754" t="n"/>
      <c r="Y1041" s="750" t="n"/>
      <c r="Z1041" s="751" t="n"/>
      <c r="AA1041" s="752" t="n"/>
      <c r="AB1041" s="753" t="n"/>
      <c r="AC1041" s="754" t="n"/>
      <c r="AD1041" s="740" t="inlineStr">
        <is>
          <t>No</t>
        </is>
      </c>
      <c r="AE1041" s="755" t="n"/>
      <c r="AF1041" s="755" t="n"/>
      <c r="AG1041" s="755" t="n"/>
      <c r="AH1041" s="755" t="n"/>
      <c r="AI1041" s="740" t="inlineStr">
        <is>
          <t>Limit</t>
        </is>
      </c>
      <c r="AJ1041" s="755" t="n"/>
      <c r="AK1041" s="755" t="n"/>
      <c r="AL1041" s="755" t="n"/>
      <c r="AM1041" s="755" t="n"/>
      <c r="AN1041" s="755" t="n"/>
      <c r="AO1041" s="755" t="n"/>
      <c r="AP1041" s="740" t="inlineStr">
        <is>
          <t>Pullback</t>
        </is>
      </c>
      <c r="AQ1041" s="740" t="inlineStr">
        <is>
          <t>15MIN</t>
        </is>
      </c>
      <c r="AR1041" s="740" t="inlineStr">
        <is>
          <t>No</t>
        </is>
      </c>
      <c r="AS1041" s="755" t="n"/>
      <c r="AT1041" s="755" t="n"/>
      <c r="AU1041" s="755" t="n"/>
      <c r="AV1041" s="755" t="n"/>
      <c r="AW1041" s="740" t="inlineStr">
        <is>
          <t>trade</t>
        </is>
      </c>
      <c r="AX1041" s="756" t="inlineStr">
        <is>
          <t>sig:47b564b9c7270d087fee35fb</t>
        </is>
      </c>
    </row>
    <row r="1042" ht="15" customHeight="1">
      <c r="A1042" s="737" t="inlineStr">
        <is>
          <t>F498</t>
        </is>
      </c>
      <c r="B1042" s="738" t="n">
        <v>43510.05208333334</v>
      </c>
      <c r="C1042" s="739" t="n">
        <v>43510.14027777778</v>
      </c>
      <c r="D1042" s="740" t="inlineStr">
        <is>
          <t>PEPPERSTONE DEMO</t>
        </is>
      </c>
      <c r="E1042" s="740" t="inlineStr">
        <is>
          <t>EURUSD</t>
        </is>
      </c>
      <c r="F1042" s="740" t="inlineStr">
        <is>
          <t>SELL</t>
        </is>
      </c>
      <c r="G1042" s="775" t="n">
        <v>0.03</v>
      </c>
      <c r="H1042" s="742" t="n">
        <v>1.1297</v>
      </c>
      <c r="I1042" s="742" t="n">
        <v>1.12776</v>
      </c>
      <c r="J1042" s="743" t="n">
        <v>1.1308</v>
      </c>
      <c r="K1042" s="765" t="n">
        <v>0.0009737098344694175</v>
      </c>
      <c r="L1042" s="743" t="n">
        <v>1.1277</v>
      </c>
      <c r="M1042" s="744" t="n">
        <v>0.001770381517216962</v>
      </c>
      <c r="N1042" s="796" t="n"/>
      <c r="O1042" s="767" t="n">
        <v>6.93</v>
      </c>
      <c r="P1042" s="747" t="n">
        <v>0.01506947615630504</v>
      </c>
      <c r="Q1042" s="748" t="n">
        <v>1.763636363636048</v>
      </c>
      <c r="R1042" s="769" t="n">
        <v>466.8</v>
      </c>
      <c r="S1042" s="740" t="inlineStr">
        <is>
          <t>2H 7M 0S</t>
        </is>
      </c>
      <c r="T1042" s="738" t="n">
        <v>43510.08333333334</v>
      </c>
      <c r="U1042" s="809" t="inlineStr">
        <is>
          <t>45M 0S</t>
        </is>
      </c>
      <c r="V1042" s="752" t="n"/>
      <c r="W1042" s="753" t="n"/>
      <c r="X1042" s="754" t="n"/>
      <c r="Y1042" s="750" t="n"/>
      <c r="Z1042" s="751" t="n"/>
      <c r="AA1042" s="752" t="n"/>
      <c r="AB1042" s="753" t="n"/>
      <c r="AC1042" s="754" t="n"/>
      <c r="AD1042" s="740" t="inlineStr">
        <is>
          <t>No</t>
        </is>
      </c>
      <c r="AE1042" s="755" t="n"/>
      <c r="AF1042" s="755" t="n"/>
      <c r="AG1042" s="755" t="n"/>
      <c r="AH1042" s="755" t="n"/>
      <c r="AI1042" s="740" t="inlineStr">
        <is>
          <t>Market</t>
        </is>
      </c>
      <c r="AJ1042" s="755" t="n"/>
      <c r="AK1042" s="755" t="n"/>
      <c r="AL1042" s="755" t="n"/>
      <c r="AM1042" s="755" t="n"/>
      <c r="AN1042" s="755" t="n"/>
      <c r="AO1042" s="755" t="n"/>
      <c r="AP1042" s="740" t="inlineStr">
        <is>
          <t>Pullback</t>
        </is>
      </c>
      <c r="AQ1042" s="740" t="inlineStr">
        <is>
          <t>15MIN</t>
        </is>
      </c>
      <c r="AR1042" s="740" t="inlineStr">
        <is>
          <t>No</t>
        </is>
      </c>
      <c r="AS1042" s="755" t="n"/>
      <c r="AT1042" s="755" t="n"/>
      <c r="AU1042" s="755" t="n"/>
      <c r="AV1042" s="755" t="n"/>
      <c r="AW1042" s="740" t="inlineStr">
        <is>
          <t>trade</t>
        </is>
      </c>
      <c r="AX1042" s="756" t="inlineStr">
        <is>
          <t>sig:5db6496e9f2b3fc4873bebcb</t>
        </is>
      </c>
    </row>
    <row r="1043" ht="15" customHeight="1">
      <c r="A1043" s="737" t="inlineStr">
        <is>
          <t>F499</t>
        </is>
      </c>
      <c r="B1043" s="738" t="n">
        <v>43510.04305555556</v>
      </c>
      <c r="C1043" s="739" t="n">
        <v>43510.07777777778</v>
      </c>
      <c r="D1043" s="740" t="inlineStr">
        <is>
          <t>PEPPERSTONE DEMO</t>
        </is>
      </c>
      <c r="E1043" s="740" t="inlineStr">
        <is>
          <t>USDCHF</t>
        </is>
      </c>
      <c r="F1043" s="740" t="inlineStr">
        <is>
          <t>BUY</t>
        </is>
      </c>
      <c r="G1043" s="775" t="n">
        <v>0.05</v>
      </c>
      <c r="H1043" s="742" t="n">
        <v>1.0062</v>
      </c>
      <c r="I1043" s="742" t="n">
        <v>1.00741</v>
      </c>
      <c r="J1043" s="743" t="n">
        <v>1.0056</v>
      </c>
      <c r="K1043" s="765" t="n">
        <v>0.0005963029218842516</v>
      </c>
      <c r="L1043" s="743" t="n">
        <v>1.0074</v>
      </c>
      <c r="M1043" s="744" t="n">
        <v>0.001192605843768724</v>
      </c>
      <c r="N1043" s="796" t="n"/>
      <c r="O1043" s="767" t="n">
        <v>8.380000000000001</v>
      </c>
      <c r="P1043" s="747" t="n">
        <v>0.01856076546545882</v>
      </c>
      <c r="Q1043" s="748" t="n">
        <v>2.016666666666778</v>
      </c>
      <c r="R1043" s="769" t="n">
        <v>459.8699999999999</v>
      </c>
      <c r="S1043" s="740" t="inlineStr">
        <is>
          <t>50M 0S</t>
        </is>
      </c>
      <c r="T1043" s="738" t="n"/>
      <c r="U1043" s="809" t="n"/>
      <c r="V1043" s="752" t="n"/>
      <c r="W1043" s="753" t="n"/>
      <c r="X1043" s="754" t="n"/>
      <c r="Y1043" s="750" t="n"/>
      <c r="Z1043" s="751" t="n"/>
      <c r="AA1043" s="752" t="n"/>
      <c r="AB1043" s="753" t="n"/>
      <c r="AC1043" s="754" t="n"/>
      <c r="AD1043" s="740" t="inlineStr">
        <is>
          <t>No</t>
        </is>
      </c>
      <c r="AE1043" s="755" t="n"/>
      <c r="AF1043" s="755" t="n"/>
      <c r="AG1043" s="755" t="n"/>
      <c r="AH1043" s="755" t="n"/>
      <c r="AI1043" s="740" t="inlineStr">
        <is>
          <t>Market</t>
        </is>
      </c>
      <c r="AJ1043" s="755" t="n"/>
      <c r="AK1043" s="755" t="n"/>
      <c r="AL1043" s="755" t="n"/>
      <c r="AM1043" s="755" t="n"/>
      <c r="AN1043" s="755" t="n"/>
      <c r="AO1043" s="755" t="n"/>
      <c r="AP1043" s="740" t="inlineStr">
        <is>
          <t>Pullback</t>
        </is>
      </c>
      <c r="AQ1043" s="740" t="inlineStr">
        <is>
          <t>15MIN</t>
        </is>
      </c>
      <c r="AR1043" s="740" t="inlineStr">
        <is>
          <t>No</t>
        </is>
      </c>
      <c r="AS1043" s="755" t="n"/>
      <c r="AT1043" s="755" t="n"/>
      <c r="AU1043" s="755" t="n"/>
      <c r="AV1043" s="755" t="n"/>
      <c r="AW1043" s="740" t="inlineStr">
        <is>
          <t>trade</t>
        </is>
      </c>
      <c r="AX1043" s="756" t="inlineStr">
        <is>
          <t>sig:195670c4b1de0cd221714a69</t>
        </is>
      </c>
    </row>
    <row r="1044" ht="15" customHeight="1">
      <c r="A1044" s="716" t="inlineStr">
        <is>
          <t>F497</t>
        </is>
      </c>
      <c r="B1044" s="717" t="n">
        <v>43510.02083333334</v>
      </c>
      <c r="C1044" s="718" t="n">
        <v>43510.03888888889</v>
      </c>
      <c r="D1044" s="719" t="inlineStr">
        <is>
          <t>PEPPERSTONE DEMO</t>
        </is>
      </c>
      <c r="E1044" s="719" t="inlineStr">
        <is>
          <t>USDJPY</t>
        </is>
      </c>
      <c r="F1044" s="719" t="inlineStr">
        <is>
          <t>BUY</t>
        </is>
      </c>
      <c r="G1044" s="735" t="n">
        <v>0.07000000000000001</v>
      </c>
      <c r="H1044" s="720" t="n">
        <v>110.83</v>
      </c>
      <c r="I1044" s="720" t="n">
        <v>110.785</v>
      </c>
      <c r="J1044" s="721" t="n">
        <v>110.78</v>
      </c>
      <c r="K1044" s="760" t="n">
        <v>0.0004511413877108829</v>
      </c>
      <c r="L1044" s="721" t="n">
        <v>110.93</v>
      </c>
      <c r="M1044" s="760" t="n">
        <v>0.0009022827754218941</v>
      </c>
      <c r="N1044" s="788" t="n"/>
      <c r="O1044" s="762" t="n">
        <v>-4.44</v>
      </c>
      <c r="P1044" s="725" t="n">
        <v>-0.00973833702542057</v>
      </c>
      <c r="Q1044" s="726" t="n">
        <v>-0.9000000000000853</v>
      </c>
      <c r="R1044" s="764" t="n">
        <v>451.49</v>
      </c>
      <c r="S1044" s="719" t="inlineStr">
        <is>
          <t>26M 0S</t>
        </is>
      </c>
      <c r="T1044" s="717" t="n"/>
      <c r="U1044" s="806" t="n"/>
      <c r="V1044" s="730" t="n"/>
      <c r="W1044" s="731" t="n"/>
      <c r="X1044" s="732" t="n"/>
      <c r="Y1044" s="728" t="n"/>
      <c r="Z1044" s="729" t="n"/>
      <c r="AA1044" s="730" t="n"/>
      <c r="AB1044" s="731" t="n"/>
      <c r="AC1044" s="732" t="n"/>
      <c r="AD1044" s="719" t="inlineStr">
        <is>
          <t>No</t>
        </is>
      </c>
      <c r="AE1044" s="733" t="n"/>
      <c r="AF1044" s="733" t="n"/>
      <c r="AG1044" s="733" t="n"/>
      <c r="AH1044" s="733" t="n"/>
      <c r="AI1044" s="719" t="inlineStr">
        <is>
          <t>Limit</t>
        </is>
      </c>
      <c r="AJ1044" s="733" t="n"/>
      <c r="AK1044" s="733" t="n"/>
      <c r="AL1044" s="733" t="n"/>
      <c r="AM1044" s="733" t="n"/>
      <c r="AN1044" s="733" t="n"/>
      <c r="AO1044" s="733" t="n"/>
      <c r="AP1044" s="719" t="inlineStr">
        <is>
          <t>Pullback</t>
        </is>
      </c>
      <c r="AQ1044" s="719" t="inlineStr">
        <is>
          <t>15MIN</t>
        </is>
      </c>
      <c r="AR1044" s="719" t="inlineStr">
        <is>
          <t>No</t>
        </is>
      </c>
      <c r="AS1044" s="733" t="n"/>
      <c r="AT1044" s="733" t="n"/>
      <c r="AU1044" s="733" t="n"/>
      <c r="AV1044" s="733" t="n"/>
      <c r="AW1044" s="719" t="inlineStr">
        <is>
          <t>trade</t>
        </is>
      </c>
      <c r="AX1044" s="734" t="inlineStr">
        <is>
          <t>sig:c2804d09a7d502306a52e52f</t>
        </is>
      </c>
    </row>
    <row r="1045" ht="15" customHeight="1">
      <c r="A1045" s="716" t="inlineStr">
        <is>
          <t>F494</t>
        </is>
      </c>
      <c r="B1045" s="717" t="n">
        <v>43509.79583333333</v>
      </c>
      <c r="C1045" s="718" t="n">
        <v>43509.90902777778</v>
      </c>
      <c r="D1045" s="719" t="inlineStr">
        <is>
          <t>PEPPERSTONE DEMO</t>
        </is>
      </c>
      <c r="E1045" s="719" t="inlineStr">
        <is>
          <t>USDJPY</t>
        </is>
      </c>
      <c r="F1045" s="719" t="inlineStr">
        <is>
          <t>BUY</t>
        </is>
      </c>
      <c r="G1045" s="735" t="n">
        <v>0.07000000000000001</v>
      </c>
      <c r="H1045" s="720" t="n">
        <v>110.7</v>
      </c>
      <c r="I1045" s="720" t="n">
        <v>110.653</v>
      </c>
      <c r="J1045" s="721" t="n">
        <v>110.65</v>
      </c>
      <c r="K1045" s="760" t="n">
        <v>0.0004516711833784748</v>
      </c>
      <c r="L1045" s="721" t="n">
        <v>110.8</v>
      </c>
      <c r="M1045" s="760" t="n">
        <v>0.0009033423667569496</v>
      </c>
      <c r="N1045" s="788" t="n"/>
      <c r="O1045" s="762" t="n">
        <v>-4.44</v>
      </c>
      <c r="P1045" s="725" t="n">
        <v>-0.009644416447639945</v>
      </c>
      <c r="Q1045" s="726" t="n">
        <v>-0.9399999999999943</v>
      </c>
      <c r="R1045" s="764" t="n">
        <v>455.9299999999999</v>
      </c>
      <c r="S1045" s="719" t="inlineStr">
        <is>
          <t>2H 43M 0S</t>
        </is>
      </c>
      <c r="T1045" s="717" t="n"/>
      <c r="U1045" s="806" t="n"/>
      <c r="V1045" s="730" t="n"/>
      <c r="W1045" s="731" t="n"/>
      <c r="X1045" s="732" t="n"/>
      <c r="Y1045" s="717" t="n"/>
      <c r="Z1045" s="806" t="n"/>
      <c r="AA1045" s="730" t="n"/>
      <c r="AB1045" s="731" t="n"/>
      <c r="AC1045" s="732" t="n"/>
      <c r="AD1045" s="719" t="inlineStr">
        <is>
          <t>No</t>
        </is>
      </c>
      <c r="AE1045" s="733" t="n"/>
      <c r="AF1045" s="733" t="n"/>
      <c r="AG1045" s="733" t="n"/>
      <c r="AH1045" s="733" t="n"/>
      <c r="AI1045" s="719" t="inlineStr">
        <is>
          <t>Limit</t>
        </is>
      </c>
      <c r="AJ1045" s="733" t="n"/>
      <c r="AK1045" s="733" t="n"/>
      <c r="AL1045" s="733" t="n"/>
      <c r="AM1045" s="733" t="n"/>
      <c r="AN1045" s="733" t="n"/>
      <c r="AO1045" s="733" t="n"/>
      <c r="AP1045" s="719" t="inlineStr">
        <is>
          <t>Pullback</t>
        </is>
      </c>
      <c r="AQ1045" s="719" t="inlineStr">
        <is>
          <t>15MIN</t>
        </is>
      </c>
      <c r="AR1045" s="719" t="inlineStr">
        <is>
          <t>No</t>
        </is>
      </c>
      <c r="AS1045" s="733" t="n"/>
      <c r="AT1045" s="733" t="n"/>
      <c r="AU1045" s="733" t="n"/>
      <c r="AV1045" s="733" t="n"/>
      <c r="AW1045" s="719" t="inlineStr">
        <is>
          <t>trade</t>
        </is>
      </c>
      <c r="AX1045" s="734" t="inlineStr">
        <is>
          <t>sig:9b0510e27d6ba2ca94a6e1d4</t>
        </is>
      </c>
    </row>
    <row r="1046" ht="15" customHeight="1">
      <c r="A1046" s="716" t="inlineStr">
        <is>
          <t>F496</t>
        </is>
      </c>
      <c r="B1046" s="717" t="n">
        <v>43509.72916666666</v>
      </c>
      <c r="C1046" s="718" t="n">
        <v>43509.74652777778</v>
      </c>
      <c r="D1046" s="719" t="inlineStr">
        <is>
          <t>PEPPERSTONE DEMO</t>
        </is>
      </c>
      <c r="E1046" s="719" t="inlineStr">
        <is>
          <t>GBPUSD</t>
        </is>
      </c>
      <c r="F1046" s="719" t="inlineStr">
        <is>
          <t>BUY</t>
        </is>
      </c>
      <c r="G1046" s="735" t="n">
        <v>0.05</v>
      </c>
      <c r="H1046" s="720" t="n">
        <v>1.2913</v>
      </c>
      <c r="I1046" s="720" t="n">
        <v>1.29072</v>
      </c>
      <c r="J1046" s="721" t="n">
        <v>1.2907</v>
      </c>
      <c r="K1046" s="760" t="n">
        <v>0.000464648029117892</v>
      </c>
      <c r="L1046" s="721" t="n">
        <v>1.2925</v>
      </c>
      <c r="M1046" s="760" t="n">
        <v>0.000929296058235956</v>
      </c>
      <c r="N1046" s="788" t="n"/>
      <c r="O1046" s="762" t="n">
        <v>-4.21</v>
      </c>
      <c r="P1046" s="725" t="n">
        <v>-0.009061948426535798</v>
      </c>
      <c r="Q1046" s="726" t="n">
        <v>-0.9666666666664446</v>
      </c>
      <c r="R1046" s="764" t="n">
        <v>460.3699999999999</v>
      </c>
      <c r="S1046" s="719" t="inlineStr">
        <is>
          <t>25M 0S</t>
        </is>
      </c>
      <c r="T1046" s="717" t="n"/>
      <c r="U1046" s="806" t="n"/>
      <c r="V1046" s="730" t="n"/>
      <c r="W1046" s="731" t="n"/>
      <c r="X1046" s="732" t="n"/>
      <c r="Y1046" s="728" t="n"/>
      <c r="Z1046" s="729" t="n"/>
      <c r="AA1046" s="730" t="n"/>
      <c r="AB1046" s="731" t="n"/>
      <c r="AC1046" s="732" t="n"/>
      <c r="AD1046" s="719" t="inlineStr">
        <is>
          <t>No</t>
        </is>
      </c>
      <c r="AE1046" s="733" t="n"/>
      <c r="AF1046" s="733" t="n"/>
      <c r="AG1046" s="733" t="n"/>
      <c r="AH1046" s="733" t="n"/>
      <c r="AI1046" s="719" t="inlineStr">
        <is>
          <t>Market</t>
        </is>
      </c>
      <c r="AJ1046" s="733" t="n"/>
      <c r="AK1046" s="733" t="n"/>
      <c r="AL1046" s="733" t="n"/>
      <c r="AM1046" s="733" t="n"/>
      <c r="AN1046" s="733" t="n"/>
      <c r="AO1046" s="733" t="n"/>
      <c r="AP1046" s="719" t="inlineStr">
        <is>
          <t>Pullback</t>
        </is>
      </c>
      <c r="AQ1046" s="719" t="inlineStr">
        <is>
          <t>15MIN</t>
        </is>
      </c>
      <c r="AR1046" s="719" t="inlineStr">
        <is>
          <t>No</t>
        </is>
      </c>
      <c r="AS1046" s="733" t="n"/>
      <c r="AT1046" s="733" t="n"/>
      <c r="AU1046" s="733" t="n"/>
      <c r="AV1046" s="733" t="n"/>
      <c r="AW1046" s="719" t="inlineStr">
        <is>
          <t>trade</t>
        </is>
      </c>
      <c r="AX1046" s="734" t="inlineStr">
        <is>
          <t>sig:4f516cbf0ee159bf5fa5eb28</t>
        </is>
      </c>
    </row>
    <row r="1047" ht="15" customHeight="1">
      <c r="A1047" s="716" t="inlineStr">
        <is>
          <t>F495</t>
        </is>
      </c>
      <c r="B1047" s="717" t="n">
        <v>43509.03541666667</v>
      </c>
      <c r="C1047" s="718" t="n">
        <v>43509.07083333333</v>
      </c>
      <c r="D1047" s="719" t="inlineStr">
        <is>
          <t>PEPPERSTONE DEMO</t>
        </is>
      </c>
      <c r="E1047" s="719" t="inlineStr">
        <is>
          <t>USDCHF</t>
        </is>
      </c>
      <c r="F1047" s="719" t="inlineStr">
        <is>
          <t>BUY</t>
        </is>
      </c>
      <c r="G1047" s="735" t="n">
        <v>0.04</v>
      </c>
      <c r="H1047" s="720" t="n">
        <v>1.0084</v>
      </c>
      <c r="I1047" s="720" t="n">
        <v>1.00899</v>
      </c>
      <c r="J1047" s="721" t="n">
        <v>1.0078</v>
      </c>
      <c r="K1047" s="760" t="n">
        <v>0.000595001983339879</v>
      </c>
      <c r="L1047" s="721" t="n">
        <v>1.0098</v>
      </c>
      <c r="M1047" s="722" t="n">
        <v>0.001388337961126604</v>
      </c>
      <c r="N1047" s="788" t="n"/>
      <c r="O1047" s="762" t="n">
        <v>-0.48</v>
      </c>
      <c r="P1047" s="725" t="n">
        <v>-0.00103212488711134</v>
      </c>
      <c r="Q1047" s="726" t="n">
        <v>0.9833333333335924</v>
      </c>
      <c r="R1047" s="764" t="n">
        <v>464.5799999999999</v>
      </c>
      <c r="S1047" s="719" t="inlineStr">
        <is>
          <t>51M 0S</t>
        </is>
      </c>
      <c r="T1047" s="728" t="n"/>
      <c r="U1047" s="729" t="n"/>
      <c r="V1047" s="730" t="n"/>
      <c r="W1047" s="731" t="n"/>
      <c r="X1047" s="732" t="n"/>
      <c r="Y1047" s="728" t="n"/>
      <c r="Z1047" s="729" t="n"/>
      <c r="AA1047" s="730" t="n"/>
      <c r="AB1047" s="731" t="n"/>
      <c r="AC1047" s="732" t="n"/>
      <c r="AD1047" s="719" t="inlineStr">
        <is>
          <t>No</t>
        </is>
      </c>
      <c r="AE1047" s="733" t="n"/>
      <c r="AF1047" s="733" t="n"/>
      <c r="AG1047" s="733" t="n"/>
      <c r="AH1047" s="733" t="n"/>
      <c r="AI1047" s="719" t="inlineStr">
        <is>
          <t>Limit</t>
        </is>
      </c>
      <c r="AJ1047" s="733" t="n"/>
      <c r="AK1047" s="733" t="n"/>
      <c r="AL1047" s="733" t="n"/>
      <c r="AM1047" s="733" t="n"/>
      <c r="AN1047" s="733" t="n"/>
      <c r="AO1047" s="733" t="n"/>
      <c r="AP1047" s="719" t="inlineStr">
        <is>
          <t>Pullback</t>
        </is>
      </c>
      <c r="AQ1047" s="719" t="inlineStr">
        <is>
          <t>15MIN</t>
        </is>
      </c>
      <c r="AR1047" s="719" t="inlineStr">
        <is>
          <t>No</t>
        </is>
      </c>
      <c r="AS1047" s="733" t="n"/>
      <c r="AT1047" s="733" t="n"/>
      <c r="AU1047" s="733" t="n"/>
      <c r="AV1047" s="733" t="n"/>
      <c r="AW1047" s="719" t="inlineStr">
        <is>
          <t>trade</t>
        </is>
      </c>
      <c r="AX1047" s="734" t="inlineStr">
        <is>
          <t>sig:5e62791aae48ac443a22039a</t>
        </is>
      </c>
    </row>
    <row r="1048" ht="15" customHeight="1">
      <c r="A1048" s="716" t="inlineStr">
        <is>
          <t>F493</t>
        </is>
      </c>
      <c r="B1048" s="717" t="n">
        <v>43508.93680555555</v>
      </c>
      <c r="C1048" s="718" t="n">
        <v>43508.93958333333</v>
      </c>
      <c r="D1048" s="719" t="inlineStr">
        <is>
          <t>PEPPERSTONE DEMO</t>
        </is>
      </c>
      <c r="E1048" s="719" t="inlineStr">
        <is>
          <t>USDCHF</t>
        </is>
      </c>
      <c r="F1048" s="719" t="inlineStr">
        <is>
          <t>BUY</t>
        </is>
      </c>
      <c r="G1048" s="735" t="n">
        <v>0.06</v>
      </c>
      <c r="H1048" s="720" t="n">
        <v>1.0081</v>
      </c>
      <c r="I1048" s="720" t="n">
        <v>1.00764</v>
      </c>
      <c r="J1048" s="721" t="n">
        <v>1.0076</v>
      </c>
      <c r="K1048" s="760" t="n">
        <v>0.0004959825414144876</v>
      </c>
      <c r="L1048" s="721" t="n">
        <v>1.0091</v>
      </c>
      <c r="M1048" s="760" t="n">
        <v>0.0009919650828291954</v>
      </c>
      <c r="N1048" s="788" t="n"/>
      <c r="O1048" s="762" t="n">
        <v>-4.2</v>
      </c>
      <c r="P1048" s="725" t="n">
        <v>-0.00895026211481908</v>
      </c>
      <c r="Q1048" s="726" t="n">
        <v>-0.9199999999999112</v>
      </c>
      <c r="R1048" s="764" t="n">
        <v>465.0599999999999</v>
      </c>
      <c r="S1048" s="719" t="inlineStr">
        <is>
          <t>4M 0S</t>
        </is>
      </c>
      <c r="T1048" s="717" t="n"/>
      <c r="U1048" s="806" t="n"/>
      <c r="V1048" s="730" t="n"/>
      <c r="W1048" s="731" t="n"/>
      <c r="X1048" s="732" t="n"/>
      <c r="Y1048" s="728" t="n"/>
      <c r="Z1048" s="729" t="n"/>
      <c r="AA1048" s="730" t="n"/>
      <c r="AB1048" s="731" t="n"/>
      <c r="AC1048" s="732" t="n"/>
      <c r="AD1048" s="719" t="inlineStr">
        <is>
          <t>No</t>
        </is>
      </c>
      <c r="AE1048" s="733" t="n"/>
      <c r="AF1048" s="733" t="n"/>
      <c r="AG1048" s="733" t="n"/>
      <c r="AH1048" s="733" t="n"/>
      <c r="AI1048" s="719" t="inlineStr">
        <is>
          <t>Market</t>
        </is>
      </c>
      <c r="AJ1048" s="733" t="n"/>
      <c r="AK1048" s="733" t="n"/>
      <c r="AL1048" s="733" t="n"/>
      <c r="AM1048" s="733" t="n"/>
      <c r="AN1048" s="733" t="n"/>
      <c r="AO1048" s="733" t="n"/>
      <c r="AP1048" s="719" t="inlineStr">
        <is>
          <t>Pullback</t>
        </is>
      </c>
      <c r="AQ1048" s="719" t="inlineStr">
        <is>
          <t>15MIN</t>
        </is>
      </c>
      <c r="AR1048" s="719" t="inlineStr">
        <is>
          <t>No</t>
        </is>
      </c>
      <c r="AS1048" s="733" t="n"/>
      <c r="AT1048" s="733" t="n"/>
      <c r="AU1048" s="733" t="n"/>
      <c r="AV1048" s="733" t="n"/>
      <c r="AW1048" s="719" t="inlineStr">
        <is>
          <t>trade</t>
        </is>
      </c>
      <c r="AX1048" s="734" t="inlineStr">
        <is>
          <t>sig:8058aaf3a234287c53b1c8d6</t>
        </is>
      </c>
    </row>
    <row r="1049" ht="15" customHeight="1">
      <c r="A1049" s="716" t="inlineStr">
        <is>
          <t>F491</t>
        </is>
      </c>
      <c r="B1049" s="717" t="n">
        <v>43508.82222222222</v>
      </c>
      <c r="C1049" s="718" t="n">
        <v>43508.85972222222</v>
      </c>
      <c r="D1049" s="719" t="inlineStr">
        <is>
          <t>PEPPERSTONE DEMO</t>
        </is>
      </c>
      <c r="E1049" s="719" t="inlineStr">
        <is>
          <t>EURUSD</t>
        </is>
      </c>
      <c r="F1049" s="719" t="inlineStr">
        <is>
          <t>SELL</t>
        </is>
      </c>
      <c r="G1049" s="735" t="n">
        <v>0.04</v>
      </c>
      <c r="H1049" s="720" t="n">
        <v>1.1274</v>
      </c>
      <c r="I1049" s="720" t="n">
        <v>1.12811</v>
      </c>
      <c r="J1049" s="721" t="n">
        <v>1.1281</v>
      </c>
      <c r="K1049" s="760" t="n">
        <v>0.0006208976405890944</v>
      </c>
      <c r="L1049" s="721" t="n">
        <v>1.126</v>
      </c>
      <c r="M1049" s="722" t="n">
        <v>0.001241795281177992</v>
      </c>
      <c r="N1049" s="788" t="n"/>
      <c r="O1049" s="762" t="n">
        <v>-3.95</v>
      </c>
      <c r="P1049" s="725" t="n">
        <v>-0.008347245409015028</v>
      </c>
      <c r="Q1049" s="726" t="n">
        <v>-1.014285714285488</v>
      </c>
      <c r="R1049" s="764" t="n">
        <v>469.2599999999999</v>
      </c>
      <c r="S1049" s="719" t="inlineStr">
        <is>
          <t>54M 0S</t>
        </is>
      </c>
      <c r="T1049" s="728" t="n"/>
      <c r="U1049" s="729" t="n"/>
      <c r="V1049" s="730" t="n"/>
      <c r="W1049" s="731" t="n"/>
      <c r="X1049" s="732" t="n"/>
      <c r="Y1049" s="728" t="n"/>
      <c r="Z1049" s="729" t="n"/>
      <c r="AA1049" s="730" t="n"/>
      <c r="AB1049" s="731" t="n"/>
      <c r="AC1049" s="732" t="n"/>
      <c r="AD1049" s="719" t="inlineStr">
        <is>
          <t>No</t>
        </is>
      </c>
      <c r="AE1049" s="733" t="n"/>
      <c r="AF1049" s="733" t="n"/>
      <c r="AG1049" s="733" t="n"/>
      <c r="AH1049" s="733" t="n"/>
      <c r="AI1049" s="719" t="inlineStr">
        <is>
          <t>Market</t>
        </is>
      </c>
      <c r="AJ1049" s="733" t="n"/>
      <c r="AK1049" s="733" t="n"/>
      <c r="AL1049" s="733" t="n"/>
      <c r="AM1049" s="733" t="n"/>
      <c r="AN1049" s="733" t="n"/>
      <c r="AO1049" s="733" t="n"/>
      <c r="AP1049" s="719" t="inlineStr">
        <is>
          <t>Pullback</t>
        </is>
      </c>
      <c r="AQ1049" s="719" t="inlineStr">
        <is>
          <t>15MIN</t>
        </is>
      </c>
      <c r="AR1049" s="719" t="inlineStr">
        <is>
          <t>No</t>
        </is>
      </c>
      <c r="AS1049" s="733" t="n"/>
      <c r="AT1049" s="733" t="n"/>
      <c r="AU1049" s="733" t="n"/>
      <c r="AV1049" s="733" t="n"/>
      <c r="AW1049" s="719" t="inlineStr">
        <is>
          <t>trade</t>
        </is>
      </c>
      <c r="AX1049" s="734" t="inlineStr">
        <is>
          <t>sig:9ff3a202fa9ce6a35400fef1</t>
        </is>
      </c>
    </row>
    <row r="1050" ht="15" customHeight="1">
      <c r="A1050" s="737" t="inlineStr">
        <is>
          <t>F492</t>
        </is>
      </c>
      <c r="B1050" s="738" t="n">
        <v>43508.0625</v>
      </c>
      <c r="C1050" s="739" t="n">
        <v>43508.06597222222</v>
      </c>
      <c r="D1050" s="740" t="inlineStr">
        <is>
          <t>PEPPERSTONE DEMO</t>
        </is>
      </c>
      <c r="E1050" s="740" t="inlineStr">
        <is>
          <t>EURUSD</t>
        </is>
      </c>
      <c r="F1050" s="740" t="inlineStr">
        <is>
          <t>SELL</t>
        </is>
      </c>
      <c r="G1050" s="775" t="n">
        <v>0.09</v>
      </c>
      <c r="H1050" s="742" t="n">
        <v>1.1294</v>
      </c>
      <c r="I1050" s="742" t="n">
        <v>1.12804</v>
      </c>
      <c r="J1050" s="743" t="n">
        <v>1.1301</v>
      </c>
      <c r="K1050" s="765" t="n">
        <v>0.0006197981228972418</v>
      </c>
      <c r="L1050" s="743" t="n">
        <v>1.128</v>
      </c>
      <c r="M1050" s="744" t="n">
        <v>0.001239596245794287</v>
      </c>
      <c r="N1050" s="796" t="n"/>
      <c r="O1050" s="767" t="n">
        <v>14.16</v>
      </c>
      <c r="P1050" s="747" t="n">
        <v>0.03084631303779545</v>
      </c>
      <c r="Q1050" s="748" t="n">
        <v>1.94285714285678</v>
      </c>
      <c r="R1050" s="769" t="n">
        <v>473.2099999999999</v>
      </c>
      <c r="S1050" s="740" t="inlineStr">
        <is>
          <t>5M 0S</t>
        </is>
      </c>
      <c r="T1050" s="738" t="n">
        <v>43508.06458333333</v>
      </c>
      <c r="U1050" s="809" t="inlineStr">
        <is>
          <t>3M 0S</t>
        </is>
      </c>
      <c r="V1050" s="752" t="n"/>
      <c r="W1050" s="753" t="n"/>
      <c r="X1050" s="754" t="n"/>
      <c r="Y1050" s="750" t="n"/>
      <c r="Z1050" s="751" t="n"/>
      <c r="AA1050" s="752" t="n"/>
      <c r="AB1050" s="753" t="n"/>
      <c r="AC1050" s="754" t="n"/>
      <c r="AD1050" s="740" t="inlineStr">
        <is>
          <t>No</t>
        </is>
      </c>
      <c r="AE1050" s="755" t="n"/>
      <c r="AF1050" s="755" t="n"/>
      <c r="AG1050" s="755" t="n"/>
      <c r="AH1050" s="755" t="n"/>
      <c r="AI1050" s="740" t="inlineStr">
        <is>
          <t>Market</t>
        </is>
      </c>
      <c r="AJ1050" s="755" t="n"/>
      <c r="AK1050" s="755" t="n"/>
      <c r="AL1050" s="755" t="n"/>
      <c r="AM1050" s="755" t="n"/>
      <c r="AN1050" s="755" t="n"/>
      <c r="AO1050" s="755" t="n"/>
      <c r="AP1050" s="740" t="inlineStr">
        <is>
          <t>Pullback</t>
        </is>
      </c>
      <c r="AQ1050" s="740" t="inlineStr">
        <is>
          <t>15MIN</t>
        </is>
      </c>
      <c r="AR1050" s="740" t="inlineStr">
        <is>
          <t>No</t>
        </is>
      </c>
      <c r="AS1050" s="755" t="n"/>
      <c r="AT1050" s="755" t="n"/>
      <c r="AU1050" s="755" t="n"/>
      <c r="AV1050" s="755" t="n"/>
      <c r="AW1050" s="740" t="inlineStr">
        <is>
          <t>trade</t>
        </is>
      </c>
      <c r="AX1050" s="756" t="inlineStr">
        <is>
          <t>sig:4a635f9274a343a9db8a74ae</t>
        </is>
      </c>
    </row>
    <row r="1051" ht="15" customHeight="1">
      <c r="A1051" s="737" t="inlineStr">
        <is>
          <t>F488</t>
        </is>
      </c>
      <c r="B1051" s="738" t="n">
        <v>43507.97916666666</v>
      </c>
      <c r="C1051" s="739" t="n">
        <v>43508.0125</v>
      </c>
      <c r="D1051" s="740" t="inlineStr">
        <is>
          <t>PEPPERSTONE DEMO</t>
        </is>
      </c>
      <c r="E1051" s="740" t="inlineStr">
        <is>
          <t>GBPUSD</t>
        </is>
      </c>
      <c r="F1051" s="740" t="inlineStr">
        <is>
          <t>SELL</t>
        </is>
      </c>
      <c r="G1051" s="775" t="n">
        <v>0.02</v>
      </c>
      <c r="H1051" s="742" t="n">
        <v>1.2901</v>
      </c>
      <c r="I1051" s="742" t="n">
        <v>1.2877</v>
      </c>
      <c r="J1051" s="743" t="n">
        <v>1.2913</v>
      </c>
      <c r="K1051" s="765" t="n">
        <v>0.0009301604526779845</v>
      </c>
      <c r="L1051" s="743" t="n">
        <v>1.2877</v>
      </c>
      <c r="M1051" s="744" t="n">
        <v>0.001860320905356141</v>
      </c>
      <c r="N1051" s="796" t="n"/>
      <c r="O1051" s="767" t="n">
        <v>4.73</v>
      </c>
      <c r="P1051" s="747" t="n">
        <v>0.01041116393731291</v>
      </c>
      <c r="Q1051" s="748" t="n">
        <v>2.000000000000185</v>
      </c>
      <c r="R1051" s="769" t="n">
        <v>459.0499999999999</v>
      </c>
      <c r="S1051" s="740" t="inlineStr">
        <is>
          <t>48M 0S</t>
        </is>
      </c>
      <c r="T1051" s="738" t="n">
        <v>43508</v>
      </c>
      <c r="U1051" s="809" t="inlineStr">
        <is>
          <t>30M 0S</t>
        </is>
      </c>
      <c r="V1051" s="752" t="n"/>
      <c r="W1051" s="753" t="n"/>
      <c r="X1051" s="754" t="n"/>
      <c r="Y1051" s="750" t="n"/>
      <c r="Z1051" s="751" t="n"/>
      <c r="AA1051" s="752" t="n"/>
      <c r="AB1051" s="753" t="n"/>
      <c r="AC1051" s="754" t="n"/>
      <c r="AD1051" s="740" t="inlineStr">
        <is>
          <t>No</t>
        </is>
      </c>
      <c r="AE1051" s="755" t="n"/>
      <c r="AF1051" s="755" t="n"/>
      <c r="AG1051" s="755" t="n"/>
      <c r="AH1051" s="755" t="n"/>
      <c r="AI1051" s="740" t="inlineStr">
        <is>
          <t>Market</t>
        </is>
      </c>
      <c r="AJ1051" s="755" t="n"/>
      <c r="AK1051" s="755" t="n"/>
      <c r="AL1051" s="755" t="n"/>
      <c r="AM1051" s="755" t="n"/>
      <c r="AN1051" s="755" t="n"/>
      <c r="AO1051" s="755" t="n"/>
      <c r="AP1051" s="740" t="inlineStr">
        <is>
          <t>Pullback</t>
        </is>
      </c>
      <c r="AQ1051" s="740" t="inlineStr">
        <is>
          <t>15MIN</t>
        </is>
      </c>
      <c r="AR1051" s="740" t="inlineStr">
        <is>
          <t>No</t>
        </is>
      </c>
      <c r="AS1051" s="755" t="n"/>
      <c r="AT1051" s="755" t="n"/>
      <c r="AU1051" s="755" t="n"/>
      <c r="AV1051" s="755" t="n"/>
      <c r="AW1051" s="740" t="inlineStr">
        <is>
          <t>trade</t>
        </is>
      </c>
      <c r="AX1051" s="756" t="inlineStr">
        <is>
          <t>sig:635b18bf9d1242e625249be7</t>
        </is>
      </c>
    </row>
    <row r="1052" ht="15" customHeight="1">
      <c r="A1052" s="737" t="inlineStr">
        <is>
          <t>F490</t>
        </is>
      </c>
      <c r="B1052" s="738" t="n">
        <v>43507.90625</v>
      </c>
      <c r="C1052" s="739" t="n">
        <v>43507.96944444445</v>
      </c>
      <c r="D1052" s="740" t="inlineStr">
        <is>
          <t>PEPPERSTONE DEMO</t>
        </is>
      </c>
      <c r="E1052" s="740" t="inlineStr">
        <is>
          <t>USDJPY</t>
        </is>
      </c>
      <c r="F1052" s="740" t="inlineStr">
        <is>
          <t>BUY</t>
        </is>
      </c>
      <c r="G1052" s="775" t="n">
        <v>0.05</v>
      </c>
      <c r="H1052" s="742" t="n">
        <v>110.14</v>
      </c>
      <c r="I1052" s="742" t="n">
        <v>110.267</v>
      </c>
      <c r="J1052" s="743" t="n">
        <v>110.08</v>
      </c>
      <c r="K1052" s="765" t="n">
        <v>0.0005447612130016549</v>
      </c>
      <c r="L1052" s="743" t="n">
        <v>110.26</v>
      </c>
      <c r="M1052" s="744" t="n">
        <v>0.00108952242600331</v>
      </c>
      <c r="N1052" s="796" t="n"/>
      <c r="O1052" s="767" t="n">
        <v>6.38</v>
      </c>
      <c r="P1052" s="747" t="n">
        <v>0.01424297897039782</v>
      </c>
      <c r="Q1052" s="748" t="n">
        <v>2.116666666666509</v>
      </c>
      <c r="R1052" s="769" t="n">
        <v>454.3199999999999</v>
      </c>
      <c r="S1052" s="740" t="inlineStr">
        <is>
          <t>1H 31M 0S</t>
        </is>
      </c>
      <c r="T1052" s="738" t="n">
        <v>43507.93888888889</v>
      </c>
      <c r="U1052" s="809" t="inlineStr">
        <is>
          <t>47M 0S</t>
        </is>
      </c>
      <c r="V1052" s="752" t="n"/>
      <c r="W1052" s="753" t="n"/>
      <c r="X1052" s="754" t="n"/>
      <c r="Y1052" s="750" t="n"/>
      <c r="Z1052" s="751" t="n"/>
      <c r="AA1052" s="752" t="n"/>
      <c r="AB1052" s="753" t="n"/>
      <c r="AC1052" s="754" t="n"/>
      <c r="AD1052" s="740" t="inlineStr">
        <is>
          <t>No</t>
        </is>
      </c>
      <c r="AE1052" s="755" t="n"/>
      <c r="AF1052" s="755" t="n"/>
      <c r="AG1052" s="755" t="n"/>
      <c r="AH1052" s="755" t="n"/>
      <c r="AI1052" s="740" t="inlineStr">
        <is>
          <t>Market</t>
        </is>
      </c>
      <c r="AJ1052" s="755" t="n"/>
      <c r="AK1052" s="755" t="n"/>
      <c r="AL1052" s="755" t="n"/>
      <c r="AM1052" s="755" t="n"/>
      <c r="AN1052" s="755" t="n"/>
      <c r="AO1052" s="755" t="n"/>
      <c r="AP1052" s="740" t="inlineStr">
        <is>
          <t>Pullback</t>
        </is>
      </c>
      <c r="AQ1052" s="740" t="inlineStr">
        <is>
          <t>15MIN</t>
        </is>
      </c>
      <c r="AR1052" s="740" t="inlineStr">
        <is>
          <t>No</t>
        </is>
      </c>
      <c r="AS1052" s="755" t="n"/>
      <c r="AT1052" s="755" t="n"/>
      <c r="AU1052" s="755" t="n"/>
      <c r="AV1052" s="755" t="n"/>
      <c r="AW1052" s="740" t="inlineStr">
        <is>
          <t>trade</t>
        </is>
      </c>
      <c r="AX1052" s="756" t="inlineStr">
        <is>
          <t>sig:9a37dcf6bfa46016435b6ace</t>
        </is>
      </c>
    </row>
    <row r="1053" ht="15" customHeight="1">
      <c r="A1053" s="737" t="inlineStr">
        <is>
          <t>F487</t>
        </is>
      </c>
      <c r="B1053" s="738" t="n">
        <v>43507.90972222222</v>
      </c>
      <c r="C1053" s="739" t="n">
        <v>43507.95763888889</v>
      </c>
      <c r="D1053" s="740" t="inlineStr">
        <is>
          <t>PEPPERSTONE DEMO</t>
        </is>
      </c>
      <c r="E1053" s="740" t="inlineStr">
        <is>
          <t>EURUSD</t>
        </is>
      </c>
      <c r="F1053" s="740" t="inlineStr">
        <is>
          <t>SELL</t>
        </is>
      </c>
      <c r="G1053" s="775" t="n">
        <v>0.05</v>
      </c>
      <c r="H1053" s="742" t="n">
        <v>1.1315</v>
      </c>
      <c r="I1053" s="742" t="n">
        <v>1.13047</v>
      </c>
      <c r="J1053" s="743" t="n">
        <v>1.1321</v>
      </c>
      <c r="K1053" s="765" t="n">
        <v>0.0005302695536899302</v>
      </c>
      <c r="L1053" s="743" t="n">
        <v>1.1303</v>
      </c>
      <c r="M1053" s="744" t="n">
        <v>0.001060539107379468</v>
      </c>
      <c r="N1053" s="796" t="n"/>
      <c r="O1053" s="767" t="n">
        <v>3.89</v>
      </c>
      <c r="P1053" s="747" t="n">
        <v>0.008760274743835157</v>
      </c>
      <c r="Q1053" s="748" t="n">
        <v>1.716666666665994</v>
      </c>
      <c r="R1053" s="769" t="n">
        <v>447.9399999999999</v>
      </c>
      <c r="S1053" s="740" t="inlineStr">
        <is>
          <t>1H 9M 0S</t>
        </is>
      </c>
      <c r="T1053" s="738" t="n">
        <v>43507.93402777778</v>
      </c>
      <c r="U1053" s="809" t="inlineStr">
        <is>
          <t>35M 0S</t>
        </is>
      </c>
      <c r="V1053" s="752" t="n"/>
      <c r="W1053" s="753" t="n"/>
      <c r="X1053" s="754" t="n"/>
      <c r="Y1053" s="738" t="n">
        <v>43507.93888888889</v>
      </c>
      <c r="Z1053" s="809" t="inlineStr">
        <is>
          <t>42M 0S</t>
        </is>
      </c>
      <c r="AA1053" s="752" t="n"/>
      <c r="AB1053" s="753" t="n"/>
      <c r="AC1053" s="754" t="n"/>
      <c r="AD1053" s="740" t="inlineStr">
        <is>
          <t>No</t>
        </is>
      </c>
      <c r="AE1053" s="755" t="n"/>
      <c r="AF1053" s="755" t="n"/>
      <c r="AG1053" s="755" t="n"/>
      <c r="AH1053" s="755" t="n"/>
      <c r="AI1053" s="740" t="inlineStr">
        <is>
          <t>Market</t>
        </is>
      </c>
      <c r="AJ1053" s="755" t="n"/>
      <c r="AK1053" s="755" t="n"/>
      <c r="AL1053" s="755" t="n"/>
      <c r="AM1053" s="755" t="n"/>
      <c r="AN1053" s="755" t="n"/>
      <c r="AO1053" s="755" t="n"/>
      <c r="AP1053" s="740" t="inlineStr">
        <is>
          <t>Pullback</t>
        </is>
      </c>
      <c r="AQ1053" s="740" t="inlineStr">
        <is>
          <t>15MIN</t>
        </is>
      </c>
      <c r="AR1053" s="740" t="inlineStr">
        <is>
          <t>No</t>
        </is>
      </c>
      <c r="AS1053" s="755" t="n"/>
      <c r="AT1053" s="755" t="n"/>
      <c r="AU1053" s="755" t="n"/>
      <c r="AV1053" s="755" t="n"/>
      <c r="AW1053" s="740" t="inlineStr">
        <is>
          <t>trade</t>
        </is>
      </c>
      <c r="AX1053" s="756" t="inlineStr">
        <is>
          <t>sig:12ffcd1e54b21fd7d2211008</t>
        </is>
      </c>
    </row>
    <row r="1054" ht="15" customHeight="1">
      <c r="A1054" s="737" t="inlineStr">
        <is>
          <t>F489</t>
        </is>
      </c>
      <c r="B1054" s="738" t="n">
        <v>43507.89583333334</v>
      </c>
      <c r="C1054" s="739" t="n">
        <v>43507.92986111111</v>
      </c>
      <c r="D1054" s="740" t="inlineStr">
        <is>
          <t>PEPPERSTONE DEMO</t>
        </is>
      </c>
      <c r="E1054" s="740" t="inlineStr">
        <is>
          <t>USDCHF</t>
        </is>
      </c>
      <c r="F1054" s="740" t="inlineStr">
        <is>
          <t>BUY</t>
        </is>
      </c>
      <c r="G1054" s="775" t="n">
        <v>0.05</v>
      </c>
      <c r="H1054" s="742" t="n">
        <v>1.0026</v>
      </c>
      <c r="I1054" s="742" t="n">
        <v>1.00384</v>
      </c>
      <c r="J1054" s="743" t="n">
        <v>1.002</v>
      </c>
      <c r="K1054" s="765" t="n">
        <v>0.0005984440454816816</v>
      </c>
      <c r="L1054" s="743" t="n">
        <v>1.0038</v>
      </c>
      <c r="M1054" s="744" t="n">
        <v>0.001196888090963585</v>
      </c>
      <c r="N1054" s="796" t="n"/>
      <c r="O1054" s="767" t="n">
        <v>7.39</v>
      </c>
      <c r="P1054" s="747" t="n">
        <v>0.01692392250263363</v>
      </c>
      <c r="Q1054" s="748" t="n">
        <v>2.066666666667111</v>
      </c>
      <c r="R1054" s="769" t="n">
        <v>444.0499999999999</v>
      </c>
      <c r="S1054" s="740" t="inlineStr">
        <is>
          <t>49M 0S</t>
        </is>
      </c>
      <c r="T1054" s="738" t="n">
        <v>43507.92361111111</v>
      </c>
      <c r="U1054" s="809" t="inlineStr">
        <is>
          <t>40M 0S</t>
        </is>
      </c>
      <c r="V1054" s="752" t="n"/>
      <c r="W1054" s="753" t="n"/>
      <c r="X1054" s="754" t="n"/>
      <c r="Y1054" s="750" t="n"/>
      <c r="Z1054" s="751" t="n"/>
      <c r="AA1054" s="752" t="n"/>
      <c r="AB1054" s="753" t="n"/>
      <c r="AC1054" s="754" t="n"/>
      <c r="AD1054" s="740" t="inlineStr">
        <is>
          <t>No</t>
        </is>
      </c>
      <c r="AE1054" s="755" t="n"/>
      <c r="AF1054" s="755" t="n"/>
      <c r="AG1054" s="755" t="n"/>
      <c r="AH1054" s="755" t="n"/>
      <c r="AI1054" s="740" t="inlineStr">
        <is>
          <t>Market</t>
        </is>
      </c>
      <c r="AJ1054" s="755" t="n"/>
      <c r="AK1054" s="755" t="n"/>
      <c r="AL1054" s="755" t="n"/>
      <c r="AM1054" s="755" t="n"/>
      <c r="AN1054" s="755" t="n"/>
      <c r="AO1054" s="755" t="n"/>
      <c r="AP1054" s="740" t="inlineStr">
        <is>
          <t>Pullback</t>
        </is>
      </c>
      <c r="AQ1054" s="740" t="inlineStr">
        <is>
          <t>15MIN</t>
        </is>
      </c>
      <c r="AR1054" s="740" t="inlineStr">
        <is>
          <t>No</t>
        </is>
      </c>
      <c r="AS1054" s="755" t="n"/>
      <c r="AT1054" s="755" t="n"/>
      <c r="AU1054" s="755" t="n"/>
      <c r="AV1054" s="755" t="n"/>
      <c r="AW1054" s="740" t="inlineStr">
        <is>
          <t>trade</t>
        </is>
      </c>
      <c r="AX1054" s="756" t="inlineStr">
        <is>
          <t>sig:62b59ab781af486362056345</t>
        </is>
      </c>
    </row>
    <row r="1055" ht="15" customHeight="1">
      <c r="A1055" s="716" t="inlineStr">
        <is>
          <t>F486</t>
        </is>
      </c>
      <c r="B1055" s="717" t="n">
        <v>43507.87986111111</v>
      </c>
      <c r="C1055" s="718" t="n">
        <v>43507.88402777778</v>
      </c>
      <c r="D1055" s="719" t="inlineStr">
        <is>
          <t>PEPPERSTONE DEMO</t>
        </is>
      </c>
      <c r="E1055" s="719" t="inlineStr">
        <is>
          <t>USDJPY</t>
        </is>
      </c>
      <c r="F1055" s="719" t="inlineStr">
        <is>
          <t>BUY</t>
        </is>
      </c>
      <c r="G1055" s="735" t="n">
        <v>0.05</v>
      </c>
      <c r="H1055" s="720" t="n">
        <v>110.2</v>
      </c>
      <c r="I1055" s="720" t="n">
        <v>110.144</v>
      </c>
      <c r="J1055" s="721" t="n">
        <v>110.14</v>
      </c>
      <c r="K1055" s="760" t="n">
        <v>0.0005444646098003836</v>
      </c>
      <c r="L1055" s="721" t="n">
        <v>110.32</v>
      </c>
      <c r="M1055" s="722" t="n">
        <v>0.001088929219600638</v>
      </c>
      <c r="N1055" s="788" t="n"/>
      <c r="O1055" s="762" t="n">
        <v>-3.84</v>
      </c>
      <c r="P1055" s="725" t="n">
        <v>-0.008717366628830875</v>
      </c>
      <c r="Q1055" s="726" t="n">
        <v>-0.9333333333332544</v>
      </c>
      <c r="R1055" s="764" t="n">
        <v>436.6599999999999</v>
      </c>
      <c r="S1055" s="719" t="inlineStr">
        <is>
          <t>6M 0S</t>
        </is>
      </c>
      <c r="T1055" s="728" t="n"/>
      <c r="U1055" s="729" t="n"/>
      <c r="V1055" s="730" t="n"/>
      <c r="W1055" s="731" t="n"/>
      <c r="X1055" s="732" t="n"/>
      <c r="Y1055" s="728" t="n"/>
      <c r="Z1055" s="729" t="n"/>
      <c r="AA1055" s="730" t="n"/>
      <c r="AB1055" s="731" t="n"/>
      <c r="AC1055" s="732" t="n"/>
      <c r="AD1055" s="719" t="inlineStr">
        <is>
          <t>No</t>
        </is>
      </c>
      <c r="AE1055" s="733" t="n"/>
      <c r="AF1055" s="733" t="n"/>
      <c r="AG1055" s="733" t="n"/>
      <c r="AH1055" s="733" t="n"/>
      <c r="AI1055" s="719" t="inlineStr">
        <is>
          <t>Limit</t>
        </is>
      </c>
      <c r="AJ1055" s="733" t="n"/>
      <c r="AK1055" s="733" t="n"/>
      <c r="AL1055" s="733" t="n"/>
      <c r="AM1055" s="733" t="n"/>
      <c r="AN1055" s="733" t="n"/>
      <c r="AO1055" s="733" t="n"/>
      <c r="AP1055" s="719" t="inlineStr">
        <is>
          <t>Pullback</t>
        </is>
      </c>
      <c r="AQ1055" s="719" t="inlineStr">
        <is>
          <t>15MIN</t>
        </is>
      </c>
      <c r="AR1055" s="719" t="inlineStr">
        <is>
          <t>No</t>
        </is>
      </c>
      <c r="AS1055" s="733" t="n"/>
      <c r="AT1055" s="733" t="n"/>
      <c r="AU1055" s="733" t="n"/>
      <c r="AV1055" s="733" t="n"/>
      <c r="AW1055" s="719" t="inlineStr">
        <is>
          <t>trade</t>
        </is>
      </c>
      <c r="AX1055" s="734" t="inlineStr">
        <is>
          <t>sig:6c83a972f12ed365215b72f5</t>
        </is>
      </c>
    </row>
    <row r="1056" ht="15" customHeight="1">
      <c r="A1056" s="737" t="inlineStr">
        <is>
          <t>F485</t>
        </is>
      </c>
      <c r="B1056" s="738" t="n">
        <v>43507.84861111111</v>
      </c>
      <c r="C1056" s="739" t="n">
        <v>43507.87708333333</v>
      </c>
      <c r="D1056" s="740" t="inlineStr">
        <is>
          <t>PEPPERSTONE DEMO</t>
        </is>
      </c>
      <c r="E1056" s="740" t="inlineStr">
        <is>
          <t>GBPUSD</t>
        </is>
      </c>
      <c r="F1056" s="740" t="inlineStr">
        <is>
          <t>SELL</t>
        </is>
      </c>
      <c r="G1056" s="775" t="n">
        <v>0.03</v>
      </c>
      <c r="H1056" s="742" t="n">
        <v>1.2909</v>
      </c>
      <c r="I1056" s="742" t="n">
        <v>1.29003</v>
      </c>
      <c r="J1056" s="743" t="n">
        <v>1.2918</v>
      </c>
      <c r="K1056" s="765" t="n">
        <v>0.0006971880083663514</v>
      </c>
      <c r="L1056" s="743" t="n">
        <v>1.2891</v>
      </c>
      <c r="M1056" s="744" t="n">
        <v>0.001394376016732531</v>
      </c>
      <c r="N1056" s="796" t="n"/>
      <c r="O1056" s="767" t="n">
        <v>1.31</v>
      </c>
      <c r="P1056" s="747" t="n">
        <v>0.00298276372412851</v>
      </c>
      <c r="Q1056" s="748" t="n">
        <v>0.9666666666664528</v>
      </c>
      <c r="R1056" s="769" t="n">
        <v>440.4999999999999</v>
      </c>
      <c r="S1056" s="740" t="inlineStr">
        <is>
          <t>41M 0S</t>
        </is>
      </c>
      <c r="T1056" s="738" t="n">
        <v>43507.85486111111</v>
      </c>
      <c r="U1056" s="809" t="inlineStr">
        <is>
          <t>9M 0S</t>
        </is>
      </c>
      <c r="V1056" s="752" t="n"/>
      <c r="W1056" s="753" t="n"/>
      <c r="X1056" s="754" t="n"/>
      <c r="Y1056" s="750" t="n"/>
      <c r="Z1056" s="751" t="n"/>
      <c r="AA1056" s="752" t="n"/>
      <c r="AB1056" s="753" t="n"/>
      <c r="AC1056" s="754" t="n"/>
      <c r="AD1056" s="740" t="inlineStr">
        <is>
          <t>No</t>
        </is>
      </c>
      <c r="AE1056" s="755" t="n"/>
      <c r="AF1056" s="755" t="n"/>
      <c r="AG1056" s="755" t="n"/>
      <c r="AH1056" s="755" t="n"/>
      <c r="AI1056" s="740" t="inlineStr">
        <is>
          <t>Limit</t>
        </is>
      </c>
      <c r="AJ1056" s="755" t="n"/>
      <c r="AK1056" s="755" t="n"/>
      <c r="AL1056" s="755" t="n"/>
      <c r="AM1056" s="755" t="n"/>
      <c r="AN1056" s="755" t="n"/>
      <c r="AO1056" s="755" t="n"/>
      <c r="AP1056" s="740" t="inlineStr">
        <is>
          <t>Pullback</t>
        </is>
      </c>
      <c r="AQ1056" s="740" t="inlineStr">
        <is>
          <t>15MIN</t>
        </is>
      </c>
      <c r="AR1056" s="740" t="inlineStr">
        <is>
          <t>No</t>
        </is>
      </c>
      <c r="AS1056" s="755" t="n"/>
      <c r="AT1056" s="755" t="n"/>
      <c r="AU1056" s="755" t="n"/>
      <c r="AV1056" s="755" t="n"/>
      <c r="AW1056" s="740" t="inlineStr">
        <is>
          <t>trade</t>
        </is>
      </c>
      <c r="AX1056" s="756" t="inlineStr">
        <is>
          <t>sig:3efca8abb7f408424d896d1d</t>
        </is>
      </c>
    </row>
    <row r="1057" ht="15" customHeight="1">
      <c r="A1057" s="716" t="inlineStr">
        <is>
          <t>F482</t>
        </is>
      </c>
      <c r="B1057" s="717" t="n">
        <v>43505.11319444444</v>
      </c>
      <c r="C1057" s="718" t="n">
        <v>43505.25694444445</v>
      </c>
      <c r="D1057" s="719" t="inlineStr">
        <is>
          <t>PEPPERSTONE DEMO</t>
        </is>
      </c>
      <c r="E1057" s="719" t="inlineStr">
        <is>
          <t>AUDUSD</t>
        </is>
      </c>
      <c r="F1057" s="719" t="inlineStr">
        <is>
          <t>BUY</t>
        </is>
      </c>
      <c r="G1057" s="735" t="n">
        <v>0.04</v>
      </c>
      <c r="H1057" s="720" t="n">
        <v>0.7091</v>
      </c>
      <c r="I1057" s="720" t="n">
        <v>0.70953</v>
      </c>
      <c r="J1057" s="721" t="n">
        <v>0.7084</v>
      </c>
      <c r="K1057" s="760" t="n">
        <v>0.0009871668311943632</v>
      </c>
      <c r="L1057" s="721" t="n">
        <v>0.7105</v>
      </c>
      <c r="M1057" s="722" t="n">
        <v>0.001974333662389039</v>
      </c>
      <c r="N1057" s="788" t="n"/>
      <c r="O1057" s="762" t="n">
        <v>-2.45</v>
      </c>
      <c r="P1057" s="725" t="n">
        <v>-0.005547504755004078</v>
      </c>
      <c r="Q1057" s="726" t="n">
        <v>0.6142857142858412</v>
      </c>
      <c r="R1057" s="764" t="n">
        <v>439.1899999999999</v>
      </c>
      <c r="S1057" s="719" t="inlineStr">
        <is>
          <t>3H 27M 0S</t>
        </is>
      </c>
      <c r="T1057" s="728" t="n"/>
      <c r="U1057" s="729" t="n"/>
      <c r="V1057" s="730" t="n"/>
      <c r="W1057" s="731" t="n"/>
      <c r="X1057" s="732" t="n"/>
      <c r="Y1057" s="728" t="n"/>
      <c r="Z1057" s="729" t="n"/>
      <c r="AA1057" s="730" t="n"/>
      <c r="AB1057" s="731" t="n"/>
      <c r="AC1057" s="732" t="n"/>
      <c r="AD1057" s="719" t="inlineStr">
        <is>
          <t>No</t>
        </is>
      </c>
      <c r="AE1057" s="733" t="n"/>
      <c r="AF1057" s="733" t="n"/>
      <c r="AG1057" s="733" t="n"/>
      <c r="AH1057" s="733" t="n"/>
      <c r="AI1057" s="719" t="inlineStr">
        <is>
          <t>Limit</t>
        </is>
      </c>
      <c r="AJ1057" s="733" t="n"/>
      <c r="AK1057" s="733" t="n"/>
      <c r="AL1057" s="733" t="n"/>
      <c r="AM1057" s="733" t="n"/>
      <c r="AN1057" s="733" t="n"/>
      <c r="AO1057" s="733" t="n"/>
      <c r="AP1057" s="719" t="inlineStr">
        <is>
          <t>Pullback</t>
        </is>
      </c>
      <c r="AQ1057" s="719" t="inlineStr">
        <is>
          <t>15MIN</t>
        </is>
      </c>
      <c r="AR1057" s="719" t="inlineStr">
        <is>
          <t>No</t>
        </is>
      </c>
      <c r="AS1057" s="733" t="n"/>
      <c r="AT1057" s="733" t="n"/>
      <c r="AU1057" s="733" t="n"/>
      <c r="AV1057" s="733" t="n"/>
      <c r="AW1057" s="719" t="inlineStr">
        <is>
          <t>trade</t>
        </is>
      </c>
      <c r="AX1057" s="734" t="inlineStr">
        <is>
          <t>sig:efd6c813e3bec3648e596b85</t>
        </is>
      </c>
    </row>
    <row r="1058" ht="15" customHeight="1">
      <c r="A1058" s="716" t="inlineStr">
        <is>
          <t>F484</t>
        </is>
      </c>
      <c r="B1058" s="717" t="n">
        <v>43505.00833333333</v>
      </c>
      <c r="C1058" s="718" t="n">
        <v>43505.04097222222</v>
      </c>
      <c r="D1058" s="719" t="inlineStr">
        <is>
          <t>PEPPERSTONE DEMO</t>
        </is>
      </c>
      <c r="E1058" s="719" t="inlineStr">
        <is>
          <t>USDCAD</t>
        </is>
      </c>
      <c r="F1058" s="719" t="inlineStr">
        <is>
          <t>SELL</t>
        </is>
      </c>
      <c r="G1058" s="735" t="n">
        <v>0.03</v>
      </c>
      <c r="H1058" s="720" t="n">
        <v>1.3266</v>
      </c>
      <c r="I1058" s="720" t="n">
        <v>1.32793</v>
      </c>
      <c r="J1058" s="721" t="n">
        <v>1.3279</v>
      </c>
      <c r="K1058" s="760" t="n">
        <v>0.0009799487411428305</v>
      </c>
      <c r="L1058" s="721" t="n">
        <v>1.324</v>
      </c>
      <c r="M1058" s="722" t="n">
        <v>0.001959897482285494</v>
      </c>
      <c r="N1058" s="788" t="n"/>
      <c r="O1058" s="762" t="n">
        <v>-4.14</v>
      </c>
      <c r="P1058" s="725" t="n">
        <v>-0.009287092287675536</v>
      </c>
      <c r="Q1058" s="726" t="n">
        <v>-1.023076923076902</v>
      </c>
      <c r="R1058" s="764" t="n">
        <v>441.6399999999999</v>
      </c>
      <c r="S1058" s="719" t="inlineStr">
        <is>
          <t>47M 0S</t>
        </is>
      </c>
      <c r="T1058" s="728" t="n"/>
      <c r="U1058" s="729" t="n"/>
      <c r="V1058" s="730" t="n"/>
      <c r="W1058" s="731" t="n"/>
      <c r="X1058" s="732" t="n"/>
      <c r="Y1058" s="728" t="n"/>
      <c r="Z1058" s="729" t="n"/>
      <c r="AA1058" s="730" t="n"/>
      <c r="AB1058" s="731" t="n"/>
      <c r="AC1058" s="732" t="n"/>
      <c r="AD1058" s="719" t="inlineStr">
        <is>
          <t>No</t>
        </is>
      </c>
      <c r="AE1058" s="733" t="n"/>
      <c r="AF1058" s="733" t="n"/>
      <c r="AG1058" s="733" t="n"/>
      <c r="AH1058" s="733" t="n"/>
      <c r="AI1058" s="719" t="inlineStr">
        <is>
          <t>Limit</t>
        </is>
      </c>
      <c r="AJ1058" s="733" t="n"/>
      <c r="AK1058" s="733" t="n"/>
      <c r="AL1058" s="733" t="n"/>
      <c r="AM1058" s="733" t="n"/>
      <c r="AN1058" s="733" t="n"/>
      <c r="AO1058" s="733" t="n"/>
      <c r="AP1058" s="719" t="inlineStr">
        <is>
          <t>Pullback</t>
        </is>
      </c>
      <c r="AQ1058" s="719" t="inlineStr">
        <is>
          <t>15MIN</t>
        </is>
      </c>
      <c r="AR1058" s="719" t="inlineStr">
        <is>
          <t>No</t>
        </is>
      </c>
      <c r="AS1058" s="733" t="n"/>
      <c r="AT1058" s="733" t="n"/>
      <c r="AU1058" s="733" t="n"/>
      <c r="AV1058" s="733" t="n"/>
      <c r="AW1058" s="719" t="inlineStr">
        <is>
          <t>trade</t>
        </is>
      </c>
      <c r="AX1058" s="734" t="inlineStr">
        <is>
          <t>sig:db3fb81958a3980e57494bf3</t>
        </is>
      </c>
    </row>
    <row r="1059" ht="15" customHeight="1">
      <c r="A1059" s="716" t="inlineStr">
        <is>
          <t>F483</t>
        </is>
      </c>
      <c r="B1059" s="717" t="n">
        <v>43505.01041666666</v>
      </c>
      <c r="C1059" s="718" t="n">
        <v>43505.04027777778</v>
      </c>
      <c r="D1059" s="719" t="inlineStr">
        <is>
          <t>PEPPERSTONE DEMO</t>
        </is>
      </c>
      <c r="E1059" s="719" t="inlineStr">
        <is>
          <t>EURUSD</t>
        </is>
      </c>
      <c r="F1059" s="719" t="inlineStr">
        <is>
          <t>BUY</t>
        </is>
      </c>
      <c r="G1059" s="735" t="n">
        <v>0.04</v>
      </c>
      <c r="H1059" s="720" t="n">
        <v>1.1342</v>
      </c>
      <c r="I1059" s="720" t="n">
        <v>1.13357</v>
      </c>
      <c r="J1059" s="721" t="n">
        <v>1.1335</v>
      </c>
      <c r="K1059" s="760" t="n">
        <v>0.0006171751013931801</v>
      </c>
      <c r="L1059" s="721" t="n">
        <v>1.1356</v>
      </c>
      <c r="M1059" s="722" t="n">
        <v>0.001234350202785969</v>
      </c>
      <c r="N1059" s="788" t="n"/>
      <c r="O1059" s="762" t="n">
        <v>-3.94</v>
      </c>
      <c r="P1059" s="725" t="n">
        <v>-0.008761006848705863</v>
      </c>
      <c r="Q1059" s="726" t="n">
        <v>-0.9</v>
      </c>
      <c r="R1059" s="764" t="n">
        <v>445.7799999999999</v>
      </c>
      <c r="S1059" s="719" t="inlineStr">
        <is>
          <t>43M 0S</t>
        </is>
      </c>
      <c r="T1059" s="728" t="n"/>
      <c r="U1059" s="729" t="n"/>
      <c r="V1059" s="730" t="n"/>
      <c r="W1059" s="731" t="n"/>
      <c r="X1059" s="732" t="n"/>
      <c r="Y1059" s="717" t="n"/>
      <c r="Z1059" s="806" t="n"/>
      <c r="AA1059" s="730" t="n"/>
      <c r="AB1059" s="731" t="n"/>
      <c r="AC1059" s="732" t="n"/>
      <c r="AD1059" s="719" t="inlineStr">
        <is>
          <t>No</t>
        </is>
      </c>
      <c r="AE1059" s="733" t="n"/>
      <c r="AF1059" s="733" t="n"/>
      <c r="AG1059" s="733" t="n"/>
      <c r="AH1059" s="733" t="n"/>
      <c r="AI1059" s="719" t="inlineStr">
        <is>
          <t>Limit</t>
        </is>
      </c>
      <c r="AJ1059" s="733" t="n"/>
      <c r="AK1059" s="733" t="n"/>
      <c r="AL1059" s="733" t="n"/>
      <c r="AM1059" s="733" t="n"/>
      <c r="AN1059" s="733" t="n"/>
      <c r="AO1059" s="733" t="n"/>
      <c r="AP1059" s="719" t="inlineStr">
        <is>
          <t>Pullback</t>
        </is>
      </c>
      <c r="AQ1059" s="719" t="inlineStr">
        <is>
          <t>1H</t>
        </is>
      </c>
      <c r="AR1059" s="719" t="inlineStr">
        <is>
          <t>No</t>
        </is>
      </c>
      <c r="AS1059" s="733" t="n"/>
      <c r="AT1059" s="733" t="n"/>
      <c r="AU1059" s="733" t="n"/>
      <c r="AV1059" s="733" t="n"/>
      <c r="AW1059" s="719" t="inlineStr">
        <is>
          <t>trade</t>
        </is>
      </c>
      <c r="AX1059" s="734" t="inlineStr">
        <is>
          <t>sig:218f29c67e292b1e1761e473</t>
        </is>
      </c>
    </row>
    <row r="1060" ht="15" customHeight="1">
      <c r="A1060" s="716" t="inlineStr">
        <is>
          <t>F479</t>
        </is>
      </c>
      <c r="B1060" s="717" t="n">
        <v>43504.18333333333</v>
      </c>
      <c r="C1060" s="718" t="n">
        <v>43504.27916666667</v>
      </c>
      <c r="D1060" s="719" t="inlineStr">
        <is>
          <t>PEPPERSTONE DEMO</t>
        </is>
      </c>
      <c r="E1060" s="719" t="inlineStr">
        <is>
          <t>AUDUSD</t>
        </is>
      </c>
      <c r="F1060" s="719" t="inlineStr">
        <is>
          <t>SELL</t>
        </is>
      </c>
      <c r="G1060" s="735" t="n">
        <v>0.06</v>
      </c>
      <c r="H1060" s="720" t="n">
        <v>0.71</v>
      </c>
      <c r="I1060" s="720" t="n">
        <v>0.71056</v>
      </c>
      <c r="J1060" s="721" t="n">
        <v>0.7105</v>
      </c>
      <c r="K1060" s="760" t="n">
        <v>0.0007042253521127549</v>
      </c>
      <c r="L1060" s="721" t="n">
        <v>0.709</v>
      </c>
      <c r="M1060" s="722" t="n">
        <v>0.001408450704225353</v>
      </c>
      <c r="N1060" s="788" t="n"/>
      <c r="O1060" s="762" t="n">
        <v>-4.22</v>
      </c>
      <c r="P1060" s="725" t="n">
        <v>-0.009296382781865446</v>
      </c>
      <c r="Q1060" s="726" t="n">
        <v>-1.119999999999885</v>
      </c>
      <c r="R1060" s="764" t="n">
        <v>449.7199999999999</v>
      </c>
      <c r="S1060" s="719" t="inlineStr">
        <is>
          <t>2H 18M 0S</t>
        </is>
      </c>
      <c r="T1060" s="728" t="n"/>
      <c r="U1060" s="729" t="n"/>
      <c r="V1060" s="730" t="n"/>
      <c r="W1060" s="731" t="n"/>
      <c r="X1060" s="732" t="n"/>
      <c r="Y1060" s="728" t="n"/>
      <c r="Z1060" s="729" t="n"/>
      <c r="AA1060" s="730" t="n"/>
      <c r="AB1060" s="731" t="n"/>
      <c r="AC1060" s="732" t="n"/>
      <c r="AD1060" s="719" t="inlineStr">
        <is>
          <t>No</t>
        </is>
      </c>
      <c r="AE1060" s="733" t="n"/>
      <c r="AF1060" s="733" t="n"/>
      <c r="AG1060" s="733" t="n"/>
      <c r="AH1060" s="733" t="n"/>
      <c r="AI1060" s="719" t="inlineStr">
        <is>
          <t>Limit</t>
        </is>
      </c>
      <c r="AJ1060" s="733" t="n"/>
      <c r="AK1060" s="733" t="n"/>
      <c r="AL1060" s="733" t="n"/>
      <c r="AM1060" s="733" t="n"/>
      <c r="AN1060" s="733" t="n"/>
      <c r="AO1060" s="733" t="n"/>
      <c r="AP1060" s="719" t="inlineStr">
        <is>
          <t>Pullback</t>
        </is>
      </c>
      <c r="AQ1060" s="719" t="inlineStr">
        <is>
          <t>15MIN</t>
        </is>
      </c>
      <c r="AR1060" s="719" t="inlineStr">
        <is>
          <t>No</t>
        </is>
      </c>
      <c r="AS1060" s="733" t="n"/>
      <c r="AT1060" s="733" t="n"/>
      <c r="AU1060" s="733" t="n"/>
      <c r="AV1060" s="733" t="n"/>
      <c r="AW1060" s="719" t="inlineStr">
        <is>
          <t>trade</t>
        </is>
      </c>
      <c r="AX1060" s="734" t="inlineStr">
        <is>
          <t>sig:5006dadc7eed0b98a3bf7bd7</t>
        </is>
      </c>
    </row>
    <row r="1061" ht="15" customHeight="1">
      <c r="A1061" s="716" t="inlineStr">
        <is>
          <t>F480</t>
        </is>
      </c>
      <c r="B1061" s="717" t="n">
        <v>43504.05208333334</v>
      </c>
      <c r="C1061" s="718" t="n">
        <v>43504.07222222222</v>
      </c>
      <c r="D1061" s="719" t="inlineStr">
        <is>
          <t>PEPPERSTONE DEMO</t>
        </is>
      </c>
      <c r="E1061" s="719" t="inlineStr">
        <is>
          <t>GBPUSD</t>
        </is>
      </c>
      <c r="F1061" s="719" t="inlineStr">
        <is>
          <t>BUY</t>
        </is>
      </c>
      <c r="G1061" s="735" t="n">
        <v>0.02</v>
      </c>
      <c r="H1061" s="720" t="n">
        <v>1.2976</v>
      </c>
      <c r="I1061" s="720" t="n">
        <v>1.29611</v>
      </c>
      <c r="J1061" s="721" t="n">
        <v>1.2961</v>
      </c>
      <c r="K1061" s="722" t="n">
        <v>0.001155980271270081</v>
      </c>
      <c r="L1061" s="721" t="n">
        <v>1.3006</v>
      </c>
      <c r="M1061" s="722" t="n">
        <v>0.00231196054253999</v>
      </c>
      <c r="N1061" s="788" t="n"/>
      <c r="O1061" s="762" t="n">
        <v>-4.23</v>
      </c>
      <c r="P1061" s="725" t="n">
        <v>-0.009232380993954212</v>
      </c>
      <c r="Q1061" s="726" t="n">
        <v>-0.9933333333332899</v>
      </c>
      <c r="R1061" s="764" t="n">
        <v>453.9399999999999</v>
      </c>
      <c r="S1061" s="719" t="inlineStr">
        <is>
          <t>29M 0S</t>
        </is>
      </c>
      <c r="T1061" s="717" t="n"/>
      <c r="U1061" s="806" t="n"/>
      <c r="V1061" s="730" t="n"/>
      <c r="W1061" s="731" t="n"/>
      <c r="X1061" s="732" t="n"/>
      <c r="Y1061" s="717" t="n"/>
      <c r="Z1061" s="806" t="n"/>
      <c r="AA1061" s="730" t="n"/>
      <c r="AB1061" s="731" t="n"/>
      <c r="AC1061" s="732" t="n"/>
      <c r="AD1061" s="719" t="inlineStr">
        <is>
          <t>No</t>
        </is>
      </c>
      <c r="AE1061" s="733" t="n"/>
      <c r="AF1061" s="733" t="n"/>
      <c r="AG1061" s="733" t="n"/>
      <c r="AH1061" s="733" t="n"/>
      <c r="AI1061" s="719" t="inlineStr">
        <is>
          <t>Limit</t>
        </is>
      </c>
      <c r="AJ1061" s="733" t="n"/>
      <c r="AK1061" s="733" t="n"/>
      <c r="AL1061" s="733" t="n"/>
      <c r="AM1061" s="733" t="n"/>
      <c r="AN1061" s="733" t="n"/>
      <c r="AO1061" s="733" t="n"/>
      <c r="AP1061" s="719" t="inlineStr">
        <is>
          <t>Pullback</t>
        </is>
      </c>
      <c r="AQ1061" s="719" t="inlineStr">
        <is>
          <t>15MIN</t>
        </is>
      </c>
      <c r="AR1061" s="719" t="inlineStr">
        <is>
          <t>No</t>
        </is>
      </c>
      <c r="AS1061" s="733" t="n"/>
      <c r="AT1061" s="733" t="n"/>
      <c r="AU1061" s="733" t="n"/>
      <c r="AV1061" s="733" t="n"/>
      <c r="AW1061" s="719" t="inlineStr">
        <is>
          <t>trade</t>
        </is>
      </c>
      <c r="AX1061" s="734" t="inlineStr">
        <is>
          <t>sig:77ebc8c7f2df4c5b514c607a</t>
        </is>
      </c>
    </row>
    <row r="1062" ht="15" customHeight="1">
      <c r="A1062" s="737" t="inlineStr">
        <is>
          <t>F481</t>
        </is>
      </c>
      <c r="B1062" s="738" t="n">
        <v>43504.0125</v>
      </c>
      <c r="C1062" s="739" t="n">
        <v>43504.05208333334</v>
      </c>
      <c r="D1062" s="740" t="inlineStr">
        <is>
          <t>PEPPERSTONE DEMO</t>
        </is>
      </c>
      <c r="E1062" s="740" t="inlineStr">
        <is>
          <t>USDCAD</t>
        </is>
      </c>
      <c r="F1062" s="740" t="inlineStr">
        <is>
          <t>BUY</t>
        </is>
      </c>
      <c r="G1062" s="775" t="n">
        <v>0.04</v>
      </c>
      <c r="H1062" s="742" t="n">
        <v>1.3258</v>
      </c>
      <c r="I1062" s="742" t="n">
        <v>1.32712</v>
      </c>
      <c r="J1062" s="743" t="n">
        <v>1.3251</v>
      </c>
      <c r="K1062" s="765" t="n">
        <v>0.0005279831045407639</v>
      </c>
      <c r="L1062" s="743" t="n">
        <v>1.3276</v>
      </c>
      <c r="M1062" s="744" t="n">
        <v>0.001357670840247248</v>
      </c>
      <c r="N1062" s="796" t="n"/>
      <c r="O1062" s="767" t="n">
        <v>1.34</v>
      </c>
      <c r="P1062" s="747" t="n">
        <v>0.002933257448066021</v>
      </c>
      <c r="Q1062" s="748" t="n">
        <v>1.885714285713878</v>
      </c>
      <c r="R1062" s="769" t="n">
        <v>458.1699999999999</v>
      </c>
      <c r="S1062" s="740" t="inlineStr">
        <is>
          <t>57M 0S</t>
        </is>
      </c>
      <c r="T1062" s="738" t="n">
        <v>43504.03333333333</v>
      </c>
      <c r="U1062" s="809" t="inlineStr">
        <is>
          <t>30M 0S</t>
        </is>
      </c>
      <c r="V1062" s="752" t="n"/>
      <c r="W1062" s="753" t="n"/>
      <c r="X1062" s="754" t="n"/>
      <c r="Y1062" s="750" t="n"/>
      <c r="Z1062" s="751" t="n"/>
      <c r="AA1062" s="752" t="n"/>
      <c r="AB1062" s="753" t="n"/>
      <c r="AC1062" s="754" t="n"/>
      <c r="AD1062" s="740" t="inlineStr">
        <is>
          <t>No</t>
        </is>
      </c>
      <c r="AE1062" s="755" t="n"/>
      <c r="AF1062" s="755" t="n"/>
      <c r="AG1062" s="755" t="n"/>
      <c r="AH1062" s="755" t="n"/>
      <c r="AI1062" s="740" t="inlineStr">
        <is>
          <t>Limit</t>
        </is>
      </c>
      <c r="AJ1062" s="755" t="n"/>
      <c r="AK1062" s="755" t="n"/>
      <c r="AL1062" s="755" t="n"/>
      <c r="AM1062" s="755" t="n"/>
      <c r="AN1062" s="755" t="n"/>
      <c r="AO1062" s="755" t="n"/>
      <c r="AP1062" s="740" t="inlineStr">
        <is>
          <t>Pullback</t>
        </is>
      </c>
      <c r="AQ1062" s="740" t="inlineStr">
        <is>
          <t>15MIN</t>
        </is>
      </c>
      <c r="AR1062" s="740" t="inlineStr">
        <is>
          <t>No</t>
        </is>
      </c>
      <c r="AS1062" s="755" t="n"/>
      <c r="AT1062" s="755" t="n"/>
      <c r="AU1062" s="755" t="n"/>
      <c r="AV1062" s="755" t="n"/>
      <c r="AW1062" s="740" t="inlineStr">
        <is>
          <t>trade</t>
        </is>
      </c>
      <c r="AX1062" s="756" t="inlineStr">
        <is>
          <t>sig:4a75148f0a6fbee51459f77b</t>
        </is>
      </c>
    </row>
    <row r="1063" ht="15" customHeight="1">
      <c r="A1063" s="716" t="inlineStr">
        <is>
          <t>F475</t>
        </is>
      </c>
      <c r="B1063" s="717" t="n">
        <v>43503.91944444444</v>
      </c>
      <c r="C1063" s="718" t="n">
        <v>43503.92777777778</v>
      </c>
      <c r="D1063" s="719" t="inlineStr">
        <is>
          <t>PEPPERSTONE DEMO</t>
        </is>
      </c>
      <c r="E1063" s="719" t="inlineStr">
        <is>
          <t>USDCAD</t>
        </is>
      </c>
      <c r="F1063" s="719" t="inlineStr">
        <is>
          <t>BUY</t>
        </is>
      </c>
      <c r="G1063" s="735" t="n">
        <v>0.08</v>
      </c>
      <c r="H1063" s="720" t="n">
        <v>1.3251</v>
      </c>
      <c r="I1063" s="720" t="n">
        <v>1.32469</v>
      </c>
      <c r="J1063" s="721" t="n">
        <v>1.3246</v>
      </c>
      <c r="K1063" s="760" t="n">
        <v>0.0003773300128291789</v>
      </c>
      <c r="L1063" s="721" t="n">
        <v>1.3261</v>
      </c>
      <c r="M1063" s="760" t="n">
        <v>0.0007546600256585253</v>
      </c>
      <c r="N1063" s="788" t="n"/>
      <c r="O1063" s="762" t="n">
        <v>-4.25</v>
      </c>
      <c r="P1063" s="725" t="n">
        <v>-0.009217489372776959</v>
      </c>
      <c r="Q1063" s="726" t="n">
        <v>-0.8200000000001332</v>
      </c>
      <c r="R1063" s="764" t="n">
        <v>456.8299999999999</v>
      </c>
      <c r="S1063" s="719" t="inlineStr">
        <is>
          <t>12M 0S</t>
        </is>
      </c>
      <c r="T1063" s="728" t="n"/>
      <c r="U1063" s="729" t="n"/>
      <c r="V1063" s="730" t="n"/>
      <c r="W1063" s="731" t="n"/>
      <c r="X1063" s="732" t="n"/>
      <c r="Y1063" s="728" t="n"/>
      <c r="Z1063" s="729" t="n"/>
      <c r="AA1063" s="730" t="n"/>
      <c r="AB1063" s="731" t="n"/>
      <c r="AC1063" s="732" t="n"/>
      <c r="AD1063" s="719" t="inlineStr">
        <is>
          <t>No</t>
        </is>
      </c>
      <c r="AE1063" s="733" t="n"/>
      <c r="AF1063" s="733" t="n"/>
      <c r="AG1063" s="733" t="n"/>
      <c r="AH1063" s="733" t="n"/>
      <c r="AI1063" s="719" t="inlineStr">
        <is>
          <t>Limit</t>
        </is>
      </c>
      <c r="AJ1063" s="733" t="n"/>
      <c r="AK1063" s="733" t="n"/>
      <c r="AL1063" s="733" t="n"/>
      <c r="AM1063" s="733" t="n"/>
      <c r="AN1063" s="733" t="n"/>
      <c r="AO1063" s="733" t="n"/>
      <c r="AP1063" s="719" t="inlineStr">
        <is>
          <t>Pullback</t>
        </is>
      </c>
      <c r="AQ1063" s="719" t="inlineStr">
        <is>
          <t>15MIN</t>
        </is>
      </c>
      <c r="AR1063" s="719" t="inlineStr">
        <is>
          <t>No</t>
        </is>
      </c>
      <c r="AS1063" s="733" t="n"/>
      <c r="AT1063" s="733" t="n"/>
      <c r="AU1063" s="733" t="n"/>
      <c r="AV1063" s="733" t="n"/>
      <c r="AW1063" s="719" t="inlineStr">
        <is>
          <t>trade</t>
        </is>
      </c>
      <c r="AX1063" s="734" t="inlineStr">
        <is>
          <t>sig:1dd8731d16bd7cf14867df39</t>
        </is>
      </c>
    </row>
    <row r="1064" ht="15" customHeight="1">
      <c r="A1064" s="716" t="inlineStr">
        <is>
          <t>F472</t>
        </is>
      </c>
      <c r="B1064" s="717" t="n">
        <v>43503.88402777778</v>
      </c>
      <c r="C1064" s="718" t="n">
        <v>43503.89861111111</v>
      </c>
      <c r="D1064" s="719" t="inlineStr">
        <is>
          <t>PEPPERSTONE DEMO</t>
        </is>
      </c>
      <c r="E1064" s="719" t="inlineStr">
        <is>
          <t>AUDUSD</t>
        </is>
      </c>
      <c r="F1064" s="719" t="inlineStr">
        <is>
          <t>BUY</t>
        </is>
      </c>
      <c r="G1064" s="735" t="n">
        <v>0.08</v>
      </c>
      <c r="H1064" s="720" t="n">
        <v>0.7104</v>
      </c>
      <c r="I1064" s="720" t="n">
        <v>0.71004</v>
      </c>
      <c r="J1064" s="721" t="n">
        <v>0.71</v>
      </c>
      <c r="K1064" s="760" t="n">
        <v>0.0005630630630631573</v>
      </c>
      <c r="L1064" s="721" t="n">
        <v>0.7112000000000001</v>
      </c>
      <c r="M1064" s="722" t="n">
        <v>0.001126126126126158</v>
      </c>
      <c r="N1064" s="788" t="n"/>
      <c r="O1064" s="762" t="n">
        <v>-4.51</v>
      </c>
      <c r="P1064" s="725" t="n">
        <v>-0.009686634163104878</v>
      </c>
      <c r="Q1064" s="726" t="n">
        <v>-0.8999999999999168</v>
      </c>
      <c r="R1064" s="764" t="n">
        <v>461.0799999999999</v>
      </c>
      <c r="S1064" s="719" t="inlineStr">
        <is>
          <t>21M 0S</t>
        </is>
      </c>
      <c r="T1064" s="728" t="n"/>
      <c r="U1064" s="729" t="n"/>
      <c r="V1064" s="730" t="n"/>
      <c r="W1064" s="731" t="n"/>
      <c r="X1064" s="732" t="n"/>
      <c r="Y1064" s="728" t="n"/>
      <c r="Z1064" s="729" t="n"/>
      <c r="AA1064" s="730" t="n"/>
      <c r="AB1064" s="731" t="n"/>
      <c r="AC1064" s="732" t="n"/>
      <c r="AD1064" s="719" t="inlineStr">
        <is>
          <t>No</t>
        </is>
      </c>
      <c r="AE1064" s="733" t="n"/>
      <c r="AF1064" s="733" t="n"/>
      <c r="AG1064" s="733" t="n"/>
      <c r="AH1064" s="733" t="n"/>
      <c r="AI1064" s="719" t="inlineStr">
        <is>
          <t>Limit</t>
        </is>
      </c>
      <c r="AJ1064" s="733" t="n"/>
      <c r="AK1064" s="733" t="n"/>
      <c r="AL1064" s="733" t="n"/>
      <c r="AM1064" s="733" t="n"/>
      <c r="AN1064" s="733" t="n"/>
      <c r="AO1064" s="733" t="n"/>
      <c r="AP1064" s="719" t="inlineStr">
        <is>
          <t>Pullback</t>
        </is>
      </c>
      <c r="AQ1064" s="719" t="inlineStr">
        <is>
          <t>15MIN</t>
        </is>
      </c>
      <c r="AR1064" s="719" t="inlineStr">
        <is>
          <t>No</t>
        </is>
      </c>
      <c r="AS1064" s="733" t="n"/>
      <c r="AT1064" s="733" t="n"/>
      <c r="AU1064" s="733" t="n"/>
      <c r="AV1064" s="733" t="n"/>
      <c r="AW1064" s="719" t="inlineStr">
        <is>
          <t>trade</t>
        </is>
      </c>
      <c r="AX1064" s="734" t="inlineStr">
        <is>
          <t>sig:c19c48ca0b4107e880fc6e4a</t>
        </is>
      </c>
    </row>
    <row r="1065" ht="15" customHeight="1">
      <c r="A1065" s="716" t="inlineStr">
        <is>
          <t>F471</t>
        </is>
      </c>
      <c r="B1065" s="717" t="n">
        <v>43503.76388888889</v>
      </c>
      <c r="C1065" s="718" t="n">
        <v>43503.79027777778</v>
      </c>
      <c r="D1065" s="719" t="inlineStr">
        <is>
          <t>PEPPERSTONE DEMO</t>
        </is>
      </c>
      <c r="E1065" s="719" t="inlineStr">
        <is>
          <t>AUDUSD</t>
        </is>
      </c>
      <c r="F1065" s="719" t="inlineStr">
        <is>
          <t>SELL</t>
        </is>
      </c>
      <c r="G1065" s="735" t="n">
        <v>0.08</v>
      </c>
      <c r="H1065" s="720" t="n">
        <v>0.7097</v>
      </c>
      <c r="I1065" s="720" t="n">
        <v>0.71013</v>
      </c>
      <c r="J1065" s="721" t="n">
        <v>0.7101</v>
      </c>
      <c r="K1065" s="760" t="n">
        <v>0.0005636184303226095</v>
      </c>
      <c r="L1065" s="721" t="n">
        <v>0.7089</v>
      </c>
      <c r="M1065" s="722" t="n">
        <v>0.001127236860645375</v>
      </c>
      <c r="N1065" s="788" t="n"/>
      <c r="O1065" s="762" t="n">
        <v>-4.51</v>
      </c>
      <c r="P1065" s="725" t="n">
        <v>-0.009593703467347375</v>
      </c>
      <c r="Q1065" s="726" t="n">
        <v>-1.075000000000222</v>
      </c>
      <c r="R1065" s="764" t="n">
        <v>465.5899999999999</v>
      </c>
      <c r="S1065" s="719" t="inlineStr">
        <is>
          <t>38M 0S</t>
        </is>
      </c>
      <c r="T1065" s="728" t="n"/>
      <c r="U1065" s="729" t="n"/>
      <c r="V1065" s="730" t="n"/>
      <c r="W1065" s="731" t="n"/>
      <c r="X1065" s="732" t="n"/>
      <c r="Y1065" s="728" t="n"/>
      <c r="Z1065" s="729" t="n"/>
      <c r="AA1065" s="730" t="n"/>
      <c r="AB1065" s="731" t="n"/>
      <c r="AC1065" s="732" t="n"/>
      <c r="AD1065" s="719" t="inlineStr">
        <is>
          <t>No</t>
        </is>
      </c>
      <c r="AE1065" s="733" t="n"/>
      <c r="AF1065" s="733" t="n"/>
      <c r="AG1065" s="733" t="n"/>
      <c r="AH1065" s="733" t="n"/>
      <c r="AI1065" s="719" t="inlineStr">
        <is>
          <t>Limit</t>
        </is>
      </c>
      <c r="AJ1065" s="733" t="n"/>
      <c r="AK1065" s="733" t="n"/>
      <c r="AL1065" s="733" t="n"/>
      <c r="AM1065" s="733" t="n"/>
      <c r="AN1065" s="733" t="n"/>
      <c r="AO1065" s="733" t="n"/>
      <c r="AP1065" s="719" t="inlineStr">
        <is>
          <t>Pullback</t>
        </is>
      </c>
      <c r="AQ1065" s="719" t="inlineStr">
        <is>
          <t>15MIN</t>
        </is>
      </c>
      <c r="AR1065" s="719" t="inlineStr">
        <is>
          <t>No</t>
        </is>
      </c>
      <c r="AS1065" s="733" t="n"/>
      <c r="AT1065" s="733" t="n"/>
      <c r="AU1065" s="733" t="n"/>
      <c r="AV1065" s="733" t="n"/>
      <c r="AW1065" s="719" t="inlineStr">
        <is>
          <t>trade</t>
        </is>
      </c>
      <c r="AX1065" s="734" t="inlineStr">
        <is>
          <t>sig:b8fda62628c76fffa4d2906f</t>
        </is>
      </c>
    </row>
    <row r="1066" ht="15" customHeight="1">
      <c r="A1066" s="716" t="inlineStr">
        <is>
          <t>F474</t>
        </is>
      </c>
      <c r="B1066" s="717" t="n">
        <v>43503.25833333333</v>
      </c>
      <c r="C1066" s="718" t="n">
        <v>43503.29027777778</v>
      </c>
      <c r="D1066" s="719" t="inlineStr">
        <is>
          <t>PEPPERSTONE DEMO</t>
        </is>
      </c>
      <c r="E1066" s="719" t="inlineStr">
        <is>
          <t>AUDUSD</t>
        </is>
      </c>
      <c r="F1066" s="719" t="inlineStr">
        <is>
          <t>SELL</t>
        </is>
      </c>
      <c r="G1066" s="735" t="n">
        <v>0.06</v>
      </c>
      <c r="H1066" s="720" t="n">
        <v>0.7114</v>
      </c>
      <c r="I1066" s="720" t="n">
        <v>0.71197</v>
      </c>
      <c r="J1066" s="721" t="n">
        <v>0.7119</v>
      </c>
      <c r="K1066" s="760" t="n">
        <v>0.00070283947146464</v>
      </c>
      <c r="L1066" s="721" t="n">
        <v>0.7104</v>
      </c>
      <c r="M1066" s="722" t="n">
        <v>0.001405678942929436</v>
      </c>
      <c r="N1066" s="788" t="n"/>
      <c r="O1066" s="762" t="n">
        <v>-4.21</v>
      </c>
      <c r="P1066" s="725" t="n">
        <v>-0.008876051527482028</v>
      </c>
      <c r="Q1066" s="726" t="n">
        <v>-1.140000000000044</v>
      </c>
      <c r="R1066" s="764" t="n">
        <v>470.0999999999999</v>
      </c>
      <c r="S1066" s="719" t="inlineStr">
        <is>
          <t>46M 0S</t>
        </is>
      </c>
      <c r="T1066" s="717" t="n"/>
      <c r="U1066" s="806" t="n"/>
      <c r="V1066" s="730" t="n"/>
      <c r="W1066" s="731" t="n"/>
      <c r="X1066" s="732" t="n"/>
      <c r="Y1066" s="717" t="n"/>
      <c r="Z1066" s="806" t="n"/>
      <c r="AA1066" s="730" t="n"/>
      <c r="AB1066" s="731" t="n"/>
      <c r="AC1066" s="732" t="n"/>
      <c r="AD1066" s="719" t="inlineStr">
        <is>
          <t>No</t>
        </is>
      </c>
      <c r="AE1066" s="733" t="n"/>
      <c r="AF1066" s="733" t="n"/>
      <c r="AG1066" s="733" t="n"/>
      <c r="AH1066" s="733" t="n"/>
      <c r="AI1066" s="719" t="inlineStr">
        <is>
          <t>Limit</t>
        </is>
      </c>
      <c r="AJ1066" s="733" t="n"/>
      <c r="AK1066" s="733" t="n"/>
      <c r="AL1066" s="733" t="n"/>
      <c r="AM1066" s="733" t="n"/>
      <c r="AN1066" s="733" t="n"/>
      <c r="AO1066" s="733" t="n"/>
      <c r="AP1066" s="719" t="inlineStr">
        <is>
          <t>Pullback</t>
        </is>
      </c>
      <c r="AQ1066" s="719" t="inlineStr">
        <is>
          <t>15MIN</t>
        </is>
      </c>
      <c r="AR1066" s="719" t="inlineStr">
        <is>
          <t>No</t>
        </is>
      </c>
      <c r="AS1066" s="733" t="n"/>
      <c r="AT1066" s="733" t="n"/>
      <c r="AU1066" s="733" t="n"/>
      <c r="AV1066" s="733" t="n"/>
      <c r="AW1066" s="719" t="inlineStr">
        <is>
          <t>trade</t>
        </is>
      </c>
      <c r="AX1066" s="734" t="inlineStr">
        <is>
          <t>sig:49e0307a68e13b51e45877d9</t>
        </is>
      </c>
    </row>
    <row r="1067" ht="15" customHeight="1">
      <c r="A1067" s="737" t="inlineStr">
        <is>
          <t>F473</t>
        </is>
      </c>
      <c r="B1067" s="738" t="n">
        <v>43503.13819444444</v>
      </c>
      <c r="C1067" s="739" t="n">
        <v>43503.17708333334</v>
      </c>
      <c r="D1067" s="740" t="inlineStr">
        <is>
          <t>PEPPERSTONE DEMO</t>
        </is>
      </c>
      <c r="E1067" s="740" t="inlineStr">
        <is>
          <t>AUDUSD</t>
        </is>
      </c>
      <c r="F1067" s="740" t="inlineStr">
        <is>
          <t>SELL</t>
        </is>
      </c>
      <c r="G1067" s="775" t="n">
        <v>0.08</v>
      </c>
      <c r="H1067" s="742" t="n">
        <v>0.7129</v>
      </c>
      <c r="I1067" s="742" t="n">
        <v>0.7121499999999999</v>
      </c>
      <c r="J1067" s="743" t="n">
        <v>0.7133</v>
      </c>
      <c r="K1067" s="765" t="n">
        <v>0.0005610885117128166</v>
      </c>
      <c r="L1067" s="743" t="n">
        <v>0.7121</v>
      </c>
      <c r="M1067" s="744" t="n">
        <v>0.001122177023425478</v>
      </c>
      <c r="N1067" s="796" t="n"/>
      <c r="O1067" s="767" t="n">
        <v>7</v>
      </c>
      <c r="P1067" s="747" t="n">
        <v>0.01497934989621451</v>
      </c>
      <c r="Q1067" s="748" t="n">
        <v>1.874999999999757</v>
      </c>
      <c r="R1067" s="769" t="n">
        <v>474.3099999999999</v>
      </c>
      <c r="S1067" s="740" t="inlineStr">
        <is>
          <t>56M 0S</t>
        </is>
      </c>
      <c r="T1067" s="738" t="n"/>
      <c r="U1067" s="809" t="n"/>
      <c r="V1067" s="752" t="n"/>
      <c r="W1067" s="753" t="n"/>
      <c r="X1067" s="754" t="n"/>
      <c r="Y1067" s="738" t="n">
        <v>43503.17013888889</v>
      </c>
      <c r="Z1067" s="809" t="inlineStr">
        <is>
          <t>46M 0S</t>
        </is>
      </c>
      <c r="AA1067" s="752" t="n"/>
      <c r="AB1067" s="753" t="n"/>
      <c r="AC1067" s="754" t="n"/>
      <c r="AD1067" s="740" t="inlineStr">
        <is>
          <t>No</t>
        </is>
      </c>
      <c r="AE1067" s="755" t="n"/>
      <c r="AF1067" s="755" t="n"/>
      <c r="AG1067" s="755" t="n"/>
      <c r="AH1067" s="755" t="n"/>
      <c r="AI1067" s="740" t="inlineStr">
        <is>
          <t>Limit</t>
        </is>
      </c>
      <c r="AJ1067" s="755" t="n"/>
      <c r="AK1067" s="755" t="n"/>
      <c r="AL1067" s="755" t="n"/>
      <c r="AM1067" s="755" t="n"/>
      <c r="AN1067" s="755" t="n"/>
      <c r="AO1067" s="755" t="n"/>
      <c r="AP1067" s="740" t="inlineStr">
        <is>
          <t>Pullback</t>
        </is>
      </c>
      <c r="AQ1067" s="740" t="inlineStr">
        <is>
          <t>15MIN</t>
        </is>
      </c>
      <c r="AR1067" s="740" t="inlineStr">
        <is>
          <t>No</t>
        </is>
      </c>
      <c r="AS1067" s="755" t="n"/>
      <c r="AT1067" s="755" t="n"/>
      <c r="AU1067" s="755" t="n"/>
      <c r="AV1067" s="755" t="n"/>
      <c r="AW1067" s="740" t="inlineStr">
        <is>
          <t>trade</t>
        </is>
      </c>
      <c r="AX1067" s="756" t="inlineStr">
        <is>
          <t>sig:75947f82f05cda72e98b2af5</t>
        </is>
      </c>
    </row>
    <row r="1068" ht="15" customHeight="1">
      <c r="A1068" s="716" t="inlineStr">
        <is>
          <t>F477</t>
        </is>
      </c>
      <c r="B1068" s="717" t="n">
        <v>43503.09027777778</v>
      </c>
      <c r="C1068" s="718" t="n">
        <v>43503.09166666667</v>
      </c>
      <c r="D1068" s="719" t="inlineStr">
        <is>
          <t>PEPPERSTONE DEMO</t>
        </is>
      </c>
      <c r="E1068" s="719" t="inlineStr">
        <is>
          <t>USDCAD</t>
        </is>
      </c>
      <c r="F1068" s="719" t="inlineStr">
        <is>
          <t>SELL</t>
        </is>
      </c>
      <c r="G1068" s="735" t="n">
        <v>0.08</v>
      </c>
      <c r="H1068" s="720" t="n">
        <v>1.3183</v>
      </c>
      <c r="I1068" s="720" t="n">
        <v>1.31885</v>
      </c>
      <c r="J1068" s="721" t="n">
        <v>1.3188</v>
      </c>
      <c r="K1068" s="760" t="n">
        <v>0.0003792763407418227</v>
      </c>
      <c r="L1068" s="721" t="n">
        <v>1.3173</v>
      </c>
      <c r="M1068" s="760" t="n">
        <v>0.0007585526814838139</v>
      </c>
      <c r="N1068" s="788" t="n"/>
      <c r="O1068" s="762" t="n">
        <v>-4.26</v>
      </c>
      <c r="P1068" s="725" t="n">
        <v>-0.009033653540301547</v>
      </c>
      <c r="Q1068" s="726" t="n">
        <v>-1.100000000000222</v>
      </c>
      <c r="R1068" s="764" t="n">
        <v>467.3099999999999</v>
      </c>
      <c r="S1068" s="719" t="inlineStr">
        <is>
          <t>2M 0S</t>
        </is>
      </c>
      <c r="T1068" s="728" t="n"/>
      <c r="U1068" s="729" t="n"/>
      <c r="V1068" s="730" t="n"/>
      <c r="W1068" s="731" t="n"/>
      <c r="X1068" s="732" t="n"/>
      <c r="Y1068" s="728" t="n"/>
      <c r="Z1068" s="729" t="n"/>
      <c r="AA1068" s="730" t="n"/>
      <c r="AB1068" s="731" t="n"/>
      <c r="AC1068" s="732" t="n"/>
      <c r="AD1068" s="719" t="inlineStr">
        <is>
          <t>No</t>
        </is>
      </c>
      <c r="AE1068" s="733" t="n"/>
      <c r="AF1068" s="733" t="n"/>
      <c r="AG1068" s="733" t="n"/>
      <c r="AH1068" s="733" t="n"/>
      <c r="AI1068" s="719" t="inlineStr">
        <is>
          <t>Limit</t>
        </is>
      </c>
      <c r="AJ1068" s="733" t="n"/>
      <c r="AK1068" s="733" t="n"/>
      <c r="AL1068" s="733" t="n"/>
      <c r="AM1068" s="733" t="n"/>
      <c r="AN1068" s="733" t="n"/>
      <c r="AO1068" s="733" t="n"/>
      <c r="AP1068" s="719" t="inlineStr">
        <is>
          <t>Pullback</t>
        </is>
      </c>
      <c r="AQ1068" s="719" t="inlineStr">
        <is>
          <t>15MIN</t>
        </is>
      </c>
      <c r="AR1068" s="719" t="inlineStr">
        <is>
          <t>No</t>
        </is>
      </c>
      <c r="AS1068" s="733" t="n"/>
      <c r="AT1068" s="733" t="n"/>
      <c r="AU1068" s="733" t="n"/>
      <c r="AV1068" s="733" t="n"/>
      <c r="AW1068" s="719" t="inlineStr">
        <is>
          <t>trade</t>
        </is>
      </c>
      <c r="AX1068" s="734" t="inlineStr">
        <is>
          <t>sig:3b7a81e497d4e85bced61c34</t>
        </is>
      </c>
    </row>
    <row r="1069" ht="15" customHeight="1">
      <c r="A1069" s="737" t="inlineStr">
        <is>
          <t>F478</t>
        </is>
      </c>
      <c r="B1069" s="738" t="n">
        <v>43503.00416666667</v>
      </c>
      <c r="C1069" s="739" t="n">
        <v>43503.07708333333</v>
      </c>
      <c r="D1069" s="740" t="inlineStr">
        <is>
          <t>PEPPERSTONE DEMO</t>
        </is>
      </c>
      <c r="E1069" s="740" t="inlineStr">
        <is>
          <t>USDCHF</t>
        </is>
      </c>
      <c r="F1069" s="740" t="inlineStr">
        <is>
          <t>BUY</t>
        </is>
      </c>
      <c r="G1069" s="775" t="n">
        <v>0.08</v>
      </c>
      <c r="H1069" s="742" t="n">
        <v>1.0002</v>
      </c>
      <c r="I1069" s="742" t="n">
        <v>1.00107</v>
      </c>
      <c r="J1069" s="743" t="n">
        <v>0.9998</v>
      </c>
      <c r="K1069" s="765" t="n">
        <v>0.0003999200159967566</v>
      </c>
      <c r="L1069" s="743" t="n">
        <v>1.001</v>
      </c>
      <c r="M1069" s="765" t="n">
        <v>0.0007998400319935132</v>
      </c>
      <c r="N1069" s="796" t="n"/>
      <c r="O1069" s="767" t="n">
        <v>6.46</v>
      </c>
      <c r="P1069" s="747" t="n">
        <v>0.01388918750403131</v>
      </c>
      <c r="Q1069" s="748" t="n">
        <v>2.175000000000055</v>
      </c>
      <c r="R1069" s="769" t="n">
        <v>471.5699999999999</v>
      </c>
      <c r="S1069" s="740" t="inlineStr">
        <is>
          <t>1H 45M 0S</t>
        </is>
      </c>
      <c r="T1069" s="738" t="n">
        <v>43503.03680555556</v>
      </c>
      <c r="U1069" s="809" t="inlineStr">
        <is>
          <t>47M 0S</t>
        </is>
      </c>
      <c r="V1069" s="752" t="n"/>
      <c r="W1069" s="753" t="n"/>
      <c r="X1069" s="754" t="n"/>
      <c r="Y1069" s="738" t="n">
        <v>43503.06319444445</v>
      </c>
      <c r="Z1069" s="809" t="inlineStr">
        <is>
          <t>1H 25M 0S</t>
        </is>
      </c>
      <c r="AA1069" s="752" t="n"/>
      <c r="AB1069" s="753" t="n"/>
      <c r="AC1069" s="754" t="n"/>
      <c r="AD1069" s="740" t="inlineStr">
        <is>
          <t>No</t>
        </is>
      </c>
      <c r="AE1069" s="755" t="n"/>
      <c r="AF1069" s="755" t="n"/>
      <c r="AG1069" s="755" t="n"/>
      <c r="AH1069" s="755" t="n"/>
      <c r="AI1069" s="740" t="inlineStr">
        <is>
          <t>Limit</t>
        </is>
      </c>
      <c r="AJ1069" s="755" t="n"/>
      <c r="AK1069" s="755" t="n"/>
      <c r="AL1069" s="755" t="n"/>
      <c r="AM1069" s="755" t="n"/>
      <c r="AN1069" s="755" t="n"/>
      <c r="AO1069" s="755" t="n"/>
      <c r="AP1069" s="740" t="inlineStr">
        <is>
          <t>Pullback</t>
        </is>
      </c>
      <c r="AQ1069" s="740" t="inlineStr">
        <is>
          <t>15MIN</t>
        </is>
      </c>
      <c r="AR1069" s="740" t="inlineStr">
        <is>
          <t>No</t>
        </is>
      </c>
      <c r="AS1069" s="755" t="n"/>
      <c r="AT1069" s="755" t="n"/>
      <c r="AU1069" s="755" t="n"/>
      <c r="AV1069" s="755" t="n"/>
      <c r="AW1069" s="740" t="inlineStr">
        <is>
          <t>trade</t>
        </is>
      </c>
      <c r="AX1069" s="756" t="inlineStr">
        <is>
          <t>sig:32b18854b614fd09a3acdaec</t>
        </is>
      </c>
    </row>
    <row r="1070" ht="15" customHeight="1">
      <c r="A1070" s="716" t="inlineStr">
        <is>
          <t>F476</t>
        </is>
      </c>
      <c r="B1070" s="717" t="n">
        <v>43503.04166666666</v>
      </c>
      <c r="C1070" s="718" t="n">
        <v>43503.05763888889</v>
      </c>
      <c r="D1070" s="719" t="inlineStr">
        <is>
          <t>PEPPERSTONE DEMO</t>
        </is>
      </c>
      <c r="E1070" s="719" t="inlineStr">
        <is>
          <t>USDCAD</t>
        </is>
      </c>
      <c r="F1070" s="719" t="inlineStr">
        <is>
          <t>SELL</t>
        </is>
      </c>
      <c r="G1070" s="735" t="n">
        <v>0.07000000000000001</v>
      </c>
      <c r="H1070" s="720" t="n">
        <v>1.3187</v>
      </c>
      <c r="I1070" s="720" t="n">
        <v>1.3184</v>
      </c>
      <c r="J1070" s="721" t="n">
        <v>1.3193</v>
      </c>
      <c r="K1070" s="760" t="n">
        <v>0.0004549935542579312</v>
      </c>
      <c r="L1070" s="721" t="n">
        <v>1.3175</v>
      </c>
      <c r="M1070" s="760" t="n">
        <v>0.0009099871085160308</v>
      </c>
      <c r="N1070" s="788" t="n"/>
      <c r="O1070" s="762" t="n">
        <v>-3.48</v>
      </c>
      <c r="P1070" s="725" t="n">
        <v>-0.0074265349239207</v>
      </c>
      <c r="Q1070" s="726" t="n">
        <v>0.5</v>
      </c>
      <c r="R1070" s="764" t="n">
        <v>465.1099999999999</v>
      </c>
      <c r="S1070" s="719" t="inlineStr">
        <is>
          <t>23M 0S</t>
        </is>
      </c>
      <c r="T1070" s="728" t="n"/>
      <c r="U1070" s="729" t="n"/>
      <c r="V1070" s="730" t="n"/>
      <c r="W1070" s="731" t="n"/>
      <c r="X1070" s="732" t="n"/>
      <c r="Y1070" s="728" t="n"/>
      <c r="Z1070" s="729" t="n"/>
      <c r="AA1070" s="730" t="n"/>
      <c r="AB1070" s="731" t="n"/>
      <c r="AC1070" s="732" t="n"/>
      <c r="AD1070" s="719" t="inlineStr">
        <is>
          <t>No</t>
        </is>
      </c>
      <c r="AE1070" s="733" t="n"/>
      <c r="AF1070" s="733" t="n"/>
      <c r="AG1070" s="733" t="n"/>
      <c r="AH1070" s="733" t="n"/>
      <c r="AI1070" s="719" t="inlineStr">
        <is>
          <t>Limit</t>
        </is>
      </c>
      <c r="AJ1070" s="733" t="n"/>
      <c r="AK1070" s="733" t="n"/>
      <c r="AL1070" s="733" t="n"/>
      <c r="AM1070" s="733" t="n"/>
      <c r="AN1070" s="733" t="n"/>
      <c r="AO1070" s="733" t="n"/>
      <c r="AP1070" s="719" t="inlineStr">
        <is>
          <t>Pullback</t>
        </is>
      </c>
      <c r="AQ1070" s="719" t="inlineStr">
        <is>
          <t>15MIN</t>
        </is>
      </c>
      <c r="AR1070" s="719" t="inlineStr">
        <is>
          <t>No</t>
        </is>
      </c>
      <c r="AS1070" s="733" t="n"/>
      <c r="AT1070" s="733" t="n"/>
      <c r="AU1070" s="733" t="n"/>
      <c r="AV1070" s="733" t="n"/>
      <c r="AW1070" s="719" t="inlineStr">
        <is>
          <t>trade</t>
        </is>
      </c>
      <c r="AX1070" s="734" t="inlineStr">
        <is>
          <t>sig:3e3143d2adb63dfd1d257326</t>
        </is>
      </c>
    </row>
    <row r="1071" ht="15" customHeight="1">
      <c r="A1071" s="716" t="inlineStr">
        <is>
          <t>F468</t>
        </is>
      </c>
      <c r="B1071" s="717" t="n">
        <v>43501.99236111111</v>
      </c>
      <c r="C1071" s="718" t="n">
        <v>43502.00694444445</v>
      </c>
      <c r="D1071" s="719" t="inlineStr">
        <is>
          <t>PEPPERSTONE DEMO</t>
        </is>
      </c>
      <c r="E1071" s="719" t="inlineStr">
        <is>
          <t>USDCAD</t>
        </is>
      </c>
      <c r="F1071" s="719" t="inlineStr">
        <is>
          <t>BUY</t>
        </is>
      </c>
      <c r="G1071" s="720" t="n">
        <v>0.11</v>
      </c>
      <c r="H1071" s="720" t="n">
        <v>1.3123</v>
      </c>
      <c r="I1071" s="720" t="n">
        <v>1.3119</v>
      </c>
      <c r="J1071" s="721" t="n">
        <v>1.3119</v>
      </c>
      <c r="K1071" s="760" t="n">
        <v>0.0003048083517488043</v>
      </c>
      <c r="L1071" s="721" t="n">
        <v>1.3131</v>
      </c>
      <c r="M1071" s="760" t="n">
        <v>0.0006096167034976087</v>
      </c>
      <c r="N1071" s="788" t="n"/>
      <c r="O1071" s="762" t="n">
        <v>-4.63</v>
      </c>
      <c r="P1071" s="725" t="n">
        <v>-0.0097840327965851</v>
      </c>
      <c r="Q1071" s="726" t="n">
        <v>-1</v>
      </c>
      <c r="R1071" s="764" t="n">
        <v>468.5899999999999</v>
      </c>
      <c r="S1071" s="719" t="inlineStr">
        <is>
          <t>21M 0S</t>
        </is>
      </c>
      <c r="T1071" s="728" t="n"/>
      <c r="U1071" s="729" t="n"/>
      <c r="V1071" s="730" t="n"/>
      <c r="W1071" s="731" t="n"/>
      <c r="X1071" s="732" t="n"/>
      <c r="Y1071" s="728" t="n"/>
      <c r="Z1071" s="729" t="n"/>
      <c r="AA1071" s="730" t="n"/>
      <c r="AB1071" s="731" t="n"/>
      <c r="AC1071" s="732" t="n"/>
      <c r="AD1071" s="719" t="inlineStr">
        <is>
          <t>No</t>
        </is>
      </c>
      <c r="AE1071" s="733" t="n"/>
      <c r="AF1071" s="733" t="n"/>
      <c r="AG1071" s="733" t="n"/>
      <c r="AH1071" s="733" t="n"/>
      <c r="AI1071" s="719" t="inlineStr">
        <is>
          <t>Limit</t>
        </is>
      </c>
      <c r="AJ1071" s="733" t="n"/>
      <c r="AK1071" s="733" t="n"/>
      <c r="AL1071" s="733" t="n"/>
      <c r="AM1071" s="733" t="n"/>
      <c r="AN1071" s="733" t="n"/>
      <c r="AO1071" s="733" t="n"/>
      <c r="AP1071" s="719" t="inlineStr">
        <is>
          <t>Pullback</t>
        </is>
      </c>
      <c r="AQ1071" s="719" t="inlineStr">
        <is>
          <t>5MIN</t>
        </is>
      </c>
      <c r="AR1071" s="719" t="inlineStr">
        <is>
          <t>No</t>
        </is>
      </c>
      <c r="AS1071" s="733" t="n"/>
      <c r="AT1071" s="733" t="n"/>
      <c r="AU1071" s="733" t="n"/>
      <c r="AV1071" s="733" t="n"/>
      <c r="AW1071" s="719" t="inlineStr">
        <is>
          <t>trade</t>
        </is>
      </c>
      <c r="AX1071" s="734" t="inlineStr">
        <is>
          <t>sig:20b8852967c70d93e7fd281e</t>
        </is>
      </c>
    </row>
    <row r="1072" ht="15" customHeight="1">
      <c r="A1072" s="716" t="inlineStr">
        <is>
          <t>F466</t>
        </is>
      </c>
      <c r="B1072" s="717" t="n">
        <v>43501.97986111111</v>
      </c>
      <c r="C1072" s="718" t="n">
        <v>43501.98333333333</v>
      </c>
      <c r="D1072" s="719" t="inlineStr">
        <is>
          <t>PEPPERSTONE DEMO</t>
        </is>
      </c>
      <c r="E1072" s="719" t="inlineStr">
        <is>
          <t>USDCAD</t>
        </is>
      </c>
      <c r="F1072" s="719" t="inlineStr">
        <is>
          <t>BUY</t>
        </is>
      </c>
      <c r="G1072" s="720" t="n">
        <v>0.11</v>
      </c>
      <c r="H1072" s="720" t="n">
        <v>1.3124</v>
      </c>
      <c r="I1072" s="720" t="n">
        <v>1.31204</v>
      </c>
      <c r="J1072" s="721" t="n">
        <v>1.312</v>
      </c>
      <c r="K1072" s="760" t="n">
        <v>0.0003047851264857939</v>
      </c>
      <c r="L1072" s="721" t="n">
        <v>1.3132</v>
      </c>
      <c r="M1072" s="760" t="n">
        <v>0.0006095702529715878</v>
      </c>
      <c r="N1072" s="788" t="n"/>
      <c r="O1072" s="762" t="n">
        <v>-4.63</v>
      </c>
      <c r="P1072" s="725" t="n">
        <v>-0.009689233022915142</v>
      </c>
      <c r="Q1072" s="726" t="n">
        <v>-0.899999999999889</v>
      </c>
      <c r="R1072" s="764" t="n">
        <v>473.2199999999999</v>
      </c>
      <c r="S1072" s="719" t="inlineStr">
        <is>
          <t>5M 0S</t>
        </is>
      </c>
      <c r="T1072" s="728" t="n"/>
      <c r="U1072" s="729" t="n"/>
      <c r="V1072" s="730" t="n"/>
      <c r="W1072" s="731" t="n"/>
      <c r="X1072" s="732" t="n"/>
      <c r="Y1072" s="728" t="n"/>
      <c r="Z1072" s="729" t="n"/>
      <c r="AA1072" s="730" t="n"/>
      <c r="AB1072" s="731" t="n"/>
      <c r="AC1072" s="732" t="n"/>
      <c r="AD1072" s="719" t="inlineStr">
        <is>
          <t>No</t>
        </is>
      </c>
      <c r="AE1072" s="733" t="n"/>
      <c r="AF1072" s="733" t="n"/>
      <c r="AG1072" s="733" t="n"/>
      <c r="AH1072" s="733" t="n"/>
      <c r="AI1072" s="719" t="inlineStr">
        <is>
          <t>Limit</t>
        </is>
      </c>
      <c r="AJ1072" s="733" t="n"/>
      <c r="AK1072" s="733" t="n"/>
      <c r="AL1072" s="733" t="n"/>
      <c r="AM1072" s="733" t="n"/>
      <c r="AN1072" s="733" t="n"/>
      <c r="AO1072" s="733" t="n"/>
      <c r="AP1072" s="719" t="inlineStr">
        <is>
          <t>Pullback</t>
        </is>
      </c>
      <c r="AQ1072" s="719" t="inlineStr">
        <is>
          <t>5MIN</t>
        </is>
      </c>
      <c r="AR1072" s="719" t="inlineStr">
        <is>
          <t>No</t>
        </is>
      </c>
      <c r="AS1072" s="733" t="n"/>
      <c r="AT1072" s="733" t="n"/>
      <c r="AU1072" s="733" t="n"/>
      <c r="AV1072" s="733" t="n"/>
      <c r="AW1072" s="719" t="inlineStr">
        <is>
          <t>trade</t>
        </is>
      </c>
      <c r="AX1072" s="734" t="inlineStr">
        <is>
          <t>sig:4963e80c838ad13c952775a3</t>
        </is>
      </c>
    </row>
    <row r="1073" ht="15" customHeight="1">
      <c r="A1073" s="737" t="inlineStr">
        <is>
          <t>F464</t>
        </is>
      </c>
      <c r="B1073" s="738" t="n">
        <v>43501.74166666667</v>
      </c>
      <c r="C1073" s="739" t="n">
        <v>43501.75069444445</v>
      </c>
      <c r="D1073" s="740" t="inlineStr">
        <is>
          <t>PEPPERSTONE DEMO</t>
        </is>
      </c>
      <c r="E1073" s="740" t="inlineStr">
        <is>
          <t>GBPUSD</t>
        </is>
      </c>
      <c r="F1073" s="740" t="inlineStr">
        <is>
          <t>BUY</t>
        </is>
      </c>
      <c r="G1073" s="742" t="n">
        <v>0.11</v>
      </c>
      <c r="H1073" s="742" t="n">
        <v>1.3044</v>
      </c>
      <c r="I1073" s="742" t="n">
        <v>1.30508</v>
      </c>
      <c r="J1073" s="743" t="n">
        <v>1.3041</v>
      </c>
      <c r="K1073" s="765" t="n">
        <v>0.00022999080036796</v>
      </c>
      <c r="L1073" s="743" t="n">
        <v>1.305</v>
      </c>
      <c r="M1073" s="765" t="n">
        <v>0.0004599816007359199</v>
      </c>
      <c r="N1073" s="796" t="n"/>
      <c r="O1073" s="767" t="n">
        <v>9.09</v>
      </c>
      <c r="P1073" s="747" t="n">
        <v>0.01939158631282533</v>
      </c>
      <c r="Q1073" s="748" t="n">
        <v>2.266666666666963</v>
      </c>
      <c r="R1073" s="769" t="n">
        <v>477.8499999999999</v>
      </c>
      <c r="S1073" s="740" t="inlineStr">
        <is>
          <t>13M 0S</t>
        </is>
      </c>
      <c r="T1073" s="750" t="n"/>
      <c r="U1073" s="751" t="n"/>
      <c r="V1073" s="752" t="n"/>
      <c r="W1073" s="753" t="n"/>
      <c r="X1073" s="754" t="n"/>
      <c r="Y1073" s="750" t="n"/>
      <c r="Z1073" s="751" t="n"/>
      <c r="AA1073" s="752" t="n"/>
      <c r="AB1073" s="753" t="n"/>
      <c r="AC1073" s="754" t="n"/>
      <c r="AD1073" s="740" t="inlineStr">
        <is>
          <t>No</t>
        </is>
      </c>
      <c r="AE1073" s="755" t="n"/>
      <c r="AF1073" s="755" t="n"/>
      <c r="AG1073" s="755" t="n"/>
      <c r="AH1073" s="755" t="n"/>
      <c r="AI1073" s="740" t="inlineStr">
        <is>
          <t>Limit</t>
        </is>
      </c>
      <c r="AJ1073" s="755" t="n"/>
      <c r="AK1073" s="755" t="n"/>
      <c r="AL1073" s="755" t="n"/>
      <c r="AM1073" s="755" t="n"/>
      <c r="AN1073" s="755" t="n"/>
      <c r="AO1073" s="755" t="n"/>
      <c r="AP1073" s="740" t="inlineStr">
        <is>
          <t>Pullback</t>
        </is>
      </c>
      <c r="AQ1073" s="740" t="inlineStr">
        <is>
          <t>5MIN</t>
        </is>
      </c>
      <c r="AR1073" s="740" t="inlineStr">
        <is>
          <t>No</t>
        </is>
      </c>
      <c r="AS1073" s="755" t="n"/>
      <c r="AT1073" s="755" t="n"/>
      <c r="AU1073" s="755" t="n"/>
      <c r="AV1073" s="755" t="n"/>
      <c r="AW1073" s="740" t="inlineStr">
        <is>
          <t>trade</t>
        </is>
      </c>
      <c r="AX1073" s="756" t="inlineStr">
        <is>
          <t>sig:78fbfef8c8133277f3c930f6</t>
        </is>
      </c>
    </row>
    <row r="1074" ht="15" customHeight="1">
      <c r="A1074" s="737" t="inlineStr">
        <is>
          <t>F460</t>
        </is>
      </c>
      <c r="B1074" s="738" t="n">
        <v>43501.71458333333</v>
      </c>
      <c r="C1074" s="739" t="n">
        <v>43501.72013888889</v>
      </c>
      <c r="D1074" s="740" t="inlineStr">
        <is>
          <t>PEPPERSTONE DEMO</t>
        </is>
      </c>
      <c r="E1074" s="740" t="inlineStr">
        <is>
          <t>EURUSD</t>
        </is>
      </c>
      <c r="F1074" s="740" t="inlineStr">
        <is>
          <t>SELL</t>
        </is>
      </c>
      <c r="G1074" s="742" t="n">
        <v>0.11</v>
      </c>
      <c r="H1074" s="742" t="n">
        <v>1.143</v>
      </c>
      <c r="I1074" s="742" t="n">
        <v>1.14245</v>
      </c>
      <c r="J1074" s="743" t="n">
        <v>1.1433</v>
      </c>
      <c r="K1074" s="765" t="n">
        <v>0.000262467191601021</v>
      </c>
      <c r="L1074" s="743" t="n">
        <v>1.1424</v>
      </c>
      <c r="M1074" s="765" t="n">
        <v>0.0005249343832020419</v>
      </c>
      <c r="N1074" s="796" t="n"/>
      <c r="O1074" s="767" t="n">
        <v>7.97</v>
      </c>
      <c r="P1074" s="747" t="n">
        <v>0.01729638229996311</v>
      </c>
      <c r="Q1074" s="748" t="n">
        <v>1.833333333333703</v>
      </c>
      <c r="R1074" s="769" t="n">
        <v>468.7599999999999</v>
      </c>
      <c r="S1074" s="740" t="inlineStr">
        <is>
          <t>8M 0S</t>
        </is>
      </c>
      <c r="T1074" s="738" t="n">
        <v>43501.71875</v>
      </c>
      <c r="U1074" s="809" t="inlineStr">
        <is>
          <t>6M 0S</t>
        </is>
      </c>
      <c r="V1074" s="752" t="n"/>
      <c r="W1074" s="753" t="n"/>
      <c r="X1074" s="754" t="n"/>
      <c r="Y1074" s="738" t="n">
        <v>43501.71944444445</v>
      </c>
      <c r="Z1074" s="809" t="inlineStr">
        <is>
          <t>7M 0S</t>
        </is>
      </c>
      <c r="AA1074" s="752" t="n"/>
      <c r="AB1074" s="753" t="n"/>
      <c r="AC1074" s="754" t="n"/>
      <c r="AD1074" s="740" t="inlineStr">
        <is>
          <t>No</t>
        </is>
      </c>
      <c r="AE1074" s="755" t="n"/>
      <c r="AF1074" s="755" t="n"/>
      <c r="AG1074" s="755" t="n"/>
      <c r="AH1074" s="755" t="n"/>
      <c r="AI1074" s="740" t="inlineStr">
        <is>
          <t>Limit</t>
        </is>
      </c>
      <c r="AJ1074" s="755" t="n"/>
      <c r="AK1074" s="755" t="n"/>
      <c r="AL1074" s="755" t="n"/>
      <c r="AM1074" s="755" t="n"/>
      <c r="AN1074" s="755" t="n"/>
      <c r="AO1074" s="755" t="n"/>
      <c r="AP1074" s="740" t="inlineStr">
        <is>
          <t>Pullback</t>
        </is>
      </c>
      <c r="AQ1074" s="740" t="inlineStr">
        <is>
          <t>5MIN</t>
        </is>
      </c>
      <c r="AR1074" s="740" t="inlineStr">
        <is>
          <t>No</t>
        </is>
      </c>
      <c r="AS1074" s="755" t="n"/>
      <c r="AT1074" s="755" t="n"/>
      <c r="AU1074" s="755" t="n"/>
      <c r="AV1074" s="755" t="n"/>
      <c r="AW1074" s="740" t="inlineStr">
        <is>
          <t>trade</t>
        </is>
      </c>
      <c r="AX1074" s="756" t="inlineStr">
        <is>
          <t>sig:4278ed5d27e066a40a00a8ce</t>
        </is>
      </c>
    </row>
    <row r="1075" ht="15" customHeight="1">
      <c r="A1075" s="737" t="inlineStr">
        <is>
          <t>F461</t>
        </is>
      </c>
      <c r="B1075" s="738" t="n">
        <v>43501.68194444444</v>
      </c>
      <c r="C1075" s="739" t="n">
        <v>43501.71111111111</v>
      </c>
      <c r="D1075" s="740" t="inlineStr">
        <is>
          <t>PEPPERSTONE DEMO</t>
        </is>
      </c>
      <c r="E1075" s="740" t="inlineStr">
        <is>
          <t>EURUSD</t>
        </is>
      </c>
      <c r="F1075" s="740" t="inlineStr">
        <is>
          <t>SELL</t>
        </is>
      </c>
      <c r="G1075" s="742" t="n">
        <v>0.11</v>
      </c>
      <c r="H1075" s="742" t="n">
        <v>1.1432</v>
      </c>
      <c r="I1075" s="742" t="n">
        <v>1.14299</v>
      </c>
      <c r="J1075" s="743" t="n">
        <v>1.1435</v>
      </c>
      <c r="K1075" s="765" t="n">
        <v>0.0002624212736178857</v>
      </c>
      <c r="L1075" s="743" t="n">
        <v>1.1426</v>
      </c>
      <c r="M1075" s="765" t="n">
        <v>0.0005248425472357714</v>
      </c>
      <c r="N1075" s="796" t="n"/>
      <c r="O1075" s="767" t="n">
        <v>0.61</v>
      </c>
      <c r="P1075" s="747" t="n">
        <v>0.001325568255899866</v>
      </c>
      <c r="Q1075" s="748" t="n">
        <v>0.700000000000222</v>
      </c>
      <c r="R1075" s="769" t="n">
        <v>460.7899999999999</v>
      </c>
      <c r="S1075" s="740" t="inlineStr">
        <is>
          <t>42M 0S</t>
        </is>
      </c>
      <c r="T1075" s="738" t="n">
        <v>43501.71111111111</v>
      </c>
      <c r="U1075" s="809" t="inlineStr">
        <is>
          <t>42M 0S</t>
        </is>
      </c>
      <c r="V1075" s="752" t="n"/>
      <c r="W1075" s="753" t="n"/>
      <c r="X1075" s="754" t="n"/>
      <c r="Y1075" s="750" t="n"/>
      <c r="Z1075" s="751" t="n"/>
      <c r="AA1075" s="752" t="n"/>
      <c r="AB1075" s="753" t="n"/>
      <c r="AC1075" s="754" t="n"/>
      <c r="AD1075" s="740" t="inlineStr">
        <is>
          <t>No</t>
        </is>
      </c>
      <c r="AE1075" s="755" t="n"/>
      <c r="AF1075" s="755" t="n"/>
      <c r="AG1075" s="755" t="n"/>
      <c r="AH1075" s="755" t="n"/>
      <c r="AI1075" s="740" t="inlineStr">
        <is>
          <t>Limit</t>
        </is>
      </c>
      <c r="AJ1075" s="755" t="n"/>
      <c r="AK1075" s="755" t="n"/>
      <c r="AL1075" s="755" t="n"/>
      <c r="AM1075" s="755" t="n"/>
      <c r="AN1075" s="755" t="n"/>
      <c r="AO1075" s="755" t="n"/>
      <c r="AP1075" s="740" t="inlineStr">
        <is>
          <t>Pullback</t>
        </is>
      </c>
      <c r="AQ1075" s="740" t="inlineStr">
        <is>
          <t>5MIN</t>
        </is>
      </c>
      <c r="AR1075" s="740" t="inlineStr">
        <is>
          <t>No</t>
        </is>
      </c>
      <c r="AS1075" s="755" t="n"/>
      <c r="AT1075" s="755" t="n"/>
      <c r="AU1075" s="755" t="n"/>
      <c r="AV1075" s="755" t="n"/>
      <c r="AW1075" s="740" t="inlineStr">
        <is>
          <t>trade</t>
        </is>
      </c>
      <c r="AX1075" s="756" t="inlineStr">
        <is>
          <t>sig:6fe7013fad9919d1448b8b26</t>
        </is>
      </c>
    </row>
    <row r="1076" ht="15" customHeight="1">
      <c r="A1076" s="716" t="inlineStr">
        <is>
          <t>F463</t>
        </is>
      </c>
      <c r="B1076" s="717" t="n">
        <v>43501.66319444445</v>
      </c>
      <c r="C1076" s="718" t="n">
        <v>43501.675</v>
      </c>
      <c r="D1076" s="719" t="inlineStr">
        <is>
          <t>PEPPERSTONE DEMO</t>
        </is>
      </c>
      <c r="E1076" s="719" t="inlineStr">
        <is>
          <t>GBPUSD</t>
        </is>
      </c>
      <c r="F1076" s="719" t="inlineStr">
        <is>
          <t>SELL</t>
        </is>
      </c>
      <c r="G1076" s="720" t="n">
        <v>0.11</v>
      </c>
      <c r="H1076" s="720" t="n">
        <v>1.3036</v>
      </c>
      <c r="I1076" s="720" t="n">
        <v>1.30396</v>
      </c>
      <c r="J1076" s="721" t="n">
        <v>1.3039</v>
      </c>
      <c r="K1076" s="760" t="n">
        <v>0.0002301319423135678</v>
      </c>
      <c r="L1076" s="721" t="n">
        <v>1.303</v>
      </c>
      <c r="M1076" s="760" t="n">
        <v>0.0004602638846273059</v>
      </c>
      <c r="N1076" s="788" t="n"/>
      <c r="O1076" s="762" t="n">
        <v>-4.69</v>
      </c>
      <c r="P1076" s="725" t="n">
        <v>-0.01008884204186117</v>
      </c>
      <c r="Q1076" s="726" t="n">
        <v>-1.199999999999852</v>
      </c>
      <c r="R1076" s="764" t="n">
        <v>460.1799999999999</v>
      </c>
      <c r="S1076" s="719" t="inlineStr">
        <is>
          <t>17M 0S</t>
        </is>
      </c>
      <c r="T1076" s="717" t="n"/>
      <c r="U1076" s="806" t="n"/>
      <c r="V1076" s="730" t="n"/>
      <c r="W1076" s="731" t="n"/>
      <c r="X1076" s="732" t="n"/>
      <c r="Y1076" s="728" t="n"/>
      <c r="Z1076" s="729" t="n"/>
      <c r="AA1076" s="730" t="n"/>
      <c r="AB1076" s="731" t="n"/>
      <c r="AC1076" s="732" t="n"/>
      <c r="AD1076" s="719" t="inlineStr">
        <is>
          <t>No</t>
        </is>
      </c>
      <c r="AE1076" s="733" t="n"/>
      <c r="AF1076" s="733" t="n"/>
      <c r="AG1076" s="733" t="n"/>
      <c r="AH1076" s="733" t="n"/>
      <c r="AI1076" s="719" t="inlineStr">
        <is>
          <t>Limit</t>
        </is>
      </c>
      <c r="AJ1076" s="733" t="n"/>
      <c r="AK1076" s="733" t="n"/>
      <c r="AL1076" s="733" t="n"/>
      <c r="AM1076" s="733" t="n"/>
      <c r="AN1076" s="733" t="n"/>
      <c r="AO1076" s="733" t="n"/>
      <c r="AP1076" s="719" t="inlineStr">
        <is>
          <t>Pullback</t>
        </is>
      </c>
      <c r="AQ1076" s="719" t="inlineStr">
        <is>
          <t>5MIN</t>
        </is>
      </c>
      <c r="AR1076" s="719" t="inlineStr">
        <is>
          <t>No</t>
        </is>
      </c>
      <c r="AS1076" s="733" t="n"/>
      <c r="AT1076" s="733" t="n"/>
      <c r="AU1076" s="733" t="n"/>
      <c r="AV1076" s="733" t="n"/>
      <c r="AW1076" s="719" t="inlineStr">
        <is>
          <t>trade</t>
        </is>
      </c>
      <c r="AX1076" s="734" t="inlineStr">
        <is>
          <t>sig:09b46468519375e7d65c1753</t>
        </is>
      </c>
    </row>
    <row r="1077" ht="15" customHeight="1">
      <c r="A1077" s="716" t="inlineStr">
        <is>
          <t>F457</t>
        </is>
      </c>
      <c r="B1077" s="717" t="n">
        <v>43501.51527777778</v>
      </c>
      <c r="C1077" s="718" t="n">
        <v>43501.52569444444</v>
      </c>
      <c r="D1077" s="719" t="inlineStr">
        <is>
          <t>PEPPERSTONE DEMO</t>
        </is>
      </c>
      <c r="E1077" s="719" t="inlineStr">
        <is>
          <t>AUDUSD</t>
        </is>
      </c>
      <c r="F1077" s="719" t="inlineStr">
        <is>
          <t>SELL</t>
        </is>
      </c>
      <c r="G1077" s="735" t="n">
        <v>0.08</v>
      </c>
      <c r="H1077" s="720" t="n">
        <v>0.7203000000000001</v>
      </c>
      <c r="I1077" s="720" t="n">
        <v>0.72077</v>
      </c>
      <c r="J1077" s="721" t="n">
        <v>0.7207</v>
      </c>
      <c r="K1077" s="760" t="n">
        <v>0.0005553241704844592</v>
      </c>
      <c r="L1077" s="721" t="n">
        <v>0.7195</v>
      </c>
      <c r="M1077" s="722" t="n">
        <v>0.001110648340969072</v>
      </c>
      <c r="N1077" s="788" t="n"/>
      <c r="O1077" s="762" t="n">
        <v>-4.44</v>
      </c>
      <c r="P1077" s="725" t="n">
        <v>-0.009460697619910084</v>
      </c>
      <c r="Q1077" s="726" t="n">
        <v>-1.175000000000056</v>
      </c>
      <c r="R1077" s="764" t="n">
        <v>464.8699999999999</v>
      </c>
      <c r="S1077" s="719" t="inlineStr">
        <is>
          <t>15M 0S</t>
        </is>
      </c>
      <c r="T1077" s="728" t="n"/>
      <c r="U1077" s="729" t="n"/>
      <c r="V1077" s="730" t="n"/>
      <c r="W1077" s="731" t="n"/>
      <c r="X1077" s="732" t="n"/>
      <c r="Y1077" s="728" t="n"/>
      <c r="Z1077" s="729" t="n"/>
      <c r="AA1077" s="730" t="n"/>
      <c r="AB1077" s="731" t="n"/>
      <c r="AC1077" s="732" t="n"/>
      <c r="AD1077" s="719" t="inlineStr">
        <is>
          <t>No</t>
        </is>
      </c>
      <c r="AE1077" s="733" t="n"/>
      <c r="AF1077" s="733" t="n"/>
      <c r="AG1077" s="733" t="n"/>
      <c r="AH1077" s="733" t="n"/>
      <c r="AI1077" s="719" t="inlineStr">
        <is>
          <t>Limit</t>
        </is>
      </c>
      <c r="AJ1077" s="733" t="n"/>
      <c r="AK1077" s="733" t="n"/>
      <c r="AL1077" s="733" t="n"/>
      <c r="AM1077" s="733" t="n"/>
      <c r="AN1077" s="733" t="n"/>
      <c r="AO1077" s="733" t="n"/>
      <c r="AP1077" s="719" t="inlineStr">
        <is>
          <t>Pullback</t>
        </is>
      </c>
      <c r="AQ1077" s="719" t="inlineStr">
        <is>
          <t>5MIN</t>
        </is>
      </c>
      <c r="AR1077" s="719" t="inlineStr">
        <is>
          <t>No</t>
        </is>
      </c>
      <c r="AS1077" s="733" t="n"/>
      <c r="AT1077" s="733" t="n"/>
      <c r="AU1077" s="733" t="n"/>
      <c r="AV1077" s="733" t="n"/>
      <c r="AW1077" s="719" t="inlineStr">
        <is>
          <t>trade</t>
        </is>
      </c>
      <c r="AX1077" s="734" t="inlineStr">
        <is>
          <t>sig:00fcd6196c445bfc8c155574</t>
        </is>
      </c>
    </row>
    <row r="1078" ht="15" customHeight="1">
      <c r="A1078" s="716" t="inlineStr">
        <is>
          <t>F458</t>
        </is>
      </c>
      <c r="B1078" s="717" t="n">
        <v>43501.48680555556</v>
      </c>
      <c r="C1078" s="718" t="n">
        <v>43501.51041666666</v>
      </c>
      <c r="D1078" s="719" t="inlineStr">
        <is>
          <t>PEPPERSTONE DEMO</t>
        </is>
      </c>
      <c r="E1078" s="719" t="inlineStr">
        <is>
          <t>AUDUSD</t>
        </is>
      </c>
      <c r="F1078" s="719" t="inlineStr">
        <is>
          <t>SELL</t>
        </is>
      </c>
      <c r="G1078" s="735" t="n">
        <v>0.08</v>
      </c>
      <c r="H1078" s="720" t="n">
        <v>0.7201</v>
      </c>
      <c r="I1078" s="720" t="n">
        <v>0.72055</v>
      </c>
      <c r="J1078" s="721" t="n">
        <v>0.7205</v>
      </c>
      <c r="K1078" s="760" t="n">
        <v>0.0005554784057770684</v>
      </c>
      <c r="L1078" s="721" t="n">
        <v>0.7193000000000001</v>
      </c>
      <c r="M1078" s="722" t="n">
        <v>0.001110956811553828</v>
      </c>
      <c r="N1078" s="788" t="n"/>
      <c r="O1078" s="762" t="n">
        <v>-4.44</v>
      </c>
      <c r="P1078" s="725" t="n">
        <v>-0.009372031662269133</v>
      </c>
      <c r="Q1078" s="726" t="n">
        <v>-1.124999999999965</v>
      </c>
      <c r="R1078" s="764" t="n">
        <v>469.3099999999999</v>
      </c>
      <c r="S1078" s="719" t="inlineStr">
        <is>
          <t>34M 0S</t>
        </is>
      </c>
      <c r="T1078" s="728" t="n"/>
      <c r="U1078" s="729" t="n"/>
      <c r="V1078" s="730" t="n"/>
      <c r="W1078" s="731" t="n"/>
      <c r="X1078" s="732" t="n"/>
      <c r="Y1078" s="728" t="n"/>
      <c r="Z1078" s="729" t="n"/>
      <c r="AA1078" s="730" t="n"/>
      <c r="AB1078" s="731" t="n"/>
      <c r="AC1078" s="732" t="n"/>
      <c r="AD1078" s="719" t="inlineStr">
        <is>
          <t>No</t>
        </is>
      </c>
      <c r="AE1078" s="733" t="n"/>
      <c r="AF1078" s="733" t="n"/>
      <c r="AG1078" s="733" t="n"/>
      <c r="AH1078" s="733" t="n"/>
      <c r="AI1078" s="719" t="inlineStr">
        <is>
          <t>Limit</t>
        </is>
      </c>
      <c r="AJ1078" s="733" t="n"/>
      <c r="AK1078" s="733" t="n"/>
      <c r="AL1078" s="733" t="n"/>
      <c r="AM1078" s="733" t="n"/>
      <c r="AN1078" s="733" t="n"/>
      <c r="AO1078" s="733" t="n"/>
      <c r="AP1078" s="719" t="inlineStr">
        <is>
          <t>Pullback</t>
        </is>
      </c>
      <c r="AQ1078" s="719" t="inlineStr">
        <is>
          <t>5MIN</t>
        </is>
      </c>
      <c r="AR1078" s="719" t="inlineStr">
        <is>
          <t>No</t>
        </is>
      </c>
      <c r="AS1078" s="733" t="n"/>
      <c r="AT1078" s="733" t="n"/>
      <c r="AU1078" s="733" t="n"/>
      <c r="AV1078" s="733" t="n"/>
      <c r="AW1078" s="719" t="inlineStr">
        <is>
          <t>trade</t>
        </is>
      </c>
      <c r="AX1078" s="734" t="inlineStr">
        <is>
          <t>sig:51df312e64db418e8f0924aa</t>
        </is>
      </c>
    </row>
    <row r="1079" ht="15" customHeight="1">
      <c r="A1079" s="716" t="inlineStr">
        <is>
          <t>F456</t>
        </is>
      </c>
      <c r="B1079" s="717" t="n">
        <v>43501.45138888889</v>
      </c>
      <c r="C1079" s="718" t="n">
        <v>43501.48333333333</v>
      </c>
      <c r="D1079" s="719" t="inlineStr">
        <is>
          <t>PEPPERSTONE DEMO</t>
        </is>
      </c>
      <c r="E1079" s="719" t="inlineStr">
        <is>
          <t>AUDUSD</t>
        </is>
      </c>
      <c r="F1079" s="719" t="inlineStr">
        <is>
          <t>SELL</t>
        </is>
      </c>
      <c r="G1079" s="735" t="n">
        <v>0.07000000000000001</v>
      </c>
      <c r="H1079" s="720" t="n">
        <v>0.7198</v>
      </c>
      <c r="I1079" s="720" t="n">
        <v>0.72035</v>
      </c>
      <c r="J1079" s="721" t="n">
        <v>0.7203000000000001</v>
      </c>
      <c r="K1079" s="760" t="n">
        <v>0.0006946373992776549</v>
      </c>
      <c r="L1079" s="721" t="n">
        <v>0.7188</v>
      </c>
      <c r="M1079" s="722" t="n">
        <v>0.001389274798555155</v>
      </c>
      <c r="N1079" s="788" t="n"/>
      <c r="O1079" s="762" t="n">
        <v>-4.86</v>
      </c>
      <c r="P1079" s="725" t="n">
        <v>-0.01015440546582813</v>
      </c>
      <c r="Q1079" s="726" t="n">
        <v>-1.099999999999978</v>
      </c>
      <c r="R1079" s="764" t="n">
        <v>473.7499999999999</v>
      </c>
      <c r="S1079" s="719" t="inlineStr">
        <is>
          <t>46M 0S</t>
        </is>
      </c>
      <c r="T1079" s="728" t="n"/>
      <c r="U1079" s="729" t="n"/>
      <c r="V1079" s="730" t="n"/>
      <c r="W1079" s="731" t="n"/>
      <c r="X1079" s="732" t="n"/>
      <c r="Y1079" s="728" t="n"/>
      <c r="Z1079" s="729" t="n"/>
      <c r="AA1079" s="730" t="n"/>
      <c r="AB1079" s="731" t="n"/>
      <c r="AC1079" s="732" t="n"/>
      <c r="AD1079" s="719" t="inlineStr">
        <is>
          <t>No</t>
        </is>
      </c>
      <c r="AE1079" s="733" t="n"/>
      <c r="AF1079" s="733" t="n"/>
      <c r="AG1079" s="733" t="n"/>
      <c r="AH1079" s="733" t="n"/>
      <c r="AI1079" s="719" t="inlineStr">
        <is>
          <t>Limit</t>
        </is>
      </c>
      <c r="AJ1079" s="733" t="n"/>
      <c r="AK1079" s="733" t="n"/>
      <c r="AL1079" s="733" t="n"/>
      <c r="AM1079" s="733" t="n"/>
      <c r="AN1079" s="733" t="n"/>
      <c r="AO1079" s="733" t="n"/>
      <c r="AP1079" s="719" t="inlineStr">
        <is>
          <t>Pullback</t>
        </is>
      </c>
      <c r="AQ1079" s="719" t="inlineStr">
        <is>
          <t>5MIN</t>
        </is>
      </c>
      <c r="AR1079" s="719" t="inlineStr">
        <is>
          <t>No</t>
        </is>
      </c>
      <c r="AS1079" s="733" t="n"/>
      <c r="AT1079" s="733" t="n"/>
      <c r="AU1079" s="733" t="n"/>
      <c r="AV1079" s="733" t="n"/>
      <c r="AW1079" s="719" t="inlineStr">
        <is>
          <t>trade</t>
        </is>
      </c>
      <c r="AX1079" s="734" t="inlineStr">
        <is>
          <t>sig:eadff7929dfaae6ec8881086</t>
        </is>
      </c>
    </row>
    <row r="1080" ht="15" customHeight="1">
      <c r="A1080" s="716" t="inlineStr">
        <is>
          <t>F459</t>
        </is>
      </c>
      <c r="B1080" s="717" t="n">
        <v>43501.14097222222</v>
      </c>
      <c r="C1080" s="718" t="n">
        <v>43501.16041666667</v>
      </c>
      <c r="D1080" s="719" t="inlineStr">
        <is>
          <t>PEPPERSTONE DEMO</t>
        </is>
      </c>
      <c r="E1080" s="719" t="inlineStr">
        <is>
          <t>EURUSD</t>
        </is>
      </c>
      <c r="F1080" s="719" t="inlineStr">
        <is>
          <t>BUY</t>
        </is>
      </c>
      <c r="G1080" s="720" t="n">
        <v>0.11</v>
      </c>
      <c r="H1080" s="720" t="n">
        <v>1.1434</v>
      </c>
      <c r="I1080" s="720" t="n">
        <v>1.14313</v>
      </c>
      <c r="J1080" s="721" t="n">
        <v>1.1431</v>
      </c>
      <c r="K1080" s="760" t="n">
        <v>0.0002623753716984144</v>
      </c>
      <c r="L1080" s="721" t="n">
        <v>1.144</v>
      </c>
      <c r="M1080" s="760" t="n">
        <v>0.0005247507433968287</v>
      </c>
      <c r="N1080" s="788" t="n"/>
      <c r="O1080" s="762" t="n">
        <v>-4.58</v>
      </c>
      <c r="P1080" s="725" t="n">
        <v>-0.009478672985781993</v>
      </c>
      <c r="Q1080" s="726" t="n">
        <v>-0.900000000000074</v>
      </c>
      <c r="R1080" s="764" t="n">
        <v>478.6099999999999</v>
      </c>
      <c r="S1080" s="719" t="inlineStr">
        <is>
          <t>28M 0S</t>
        </is>
      </c>
      <c r="T1080" s="728" t="n"/>
      <c r="U1080" s="729" t="n"/>
      <c r="V1080" s="730" t="n"/>
      <c r="W1080" s="731" t="n"/>
      <c r="X1080" s="732" t="n"/>
      <c r="Y1080" s="728" t="n"/>
      <c r="Z1080" s="729" t="n"/>
      <c r="AA1080" s="730" t="n"/>
      <c r="AB1080" s="731" t="n"/>
      <c r="AC1080" s="732" t="n"/>
      <c r="AD1080" s="719" t="inlineStr">
        <is>
          <t>No</t>
        </is>
      </c>
      <c r="AE1080" s="733" t="n"/>
      <c r="AF1080" s="733" t="n"/>
      <c r="AG1080" s="733" t="n"/>
      <c r="AH1080" s="733" t="n"/>
      <c r="AI1080" s="719" t="inlineStr">
        <is>
          <t>Limit</t>
        </is>
      </c>
      <c r="AJ1080" s="733" t="n"/>
      <c r="AK1080" s="733" t="n"/>
      <c r="AL1080" s="733" t="n"/>
      <c r="AM1080" s="733" t="n"/>
      <c r="AN1080" s="733" t="n"/>
      <c r="AO1080" s="733" t="n"/>
      <c r="AP1080" s="719" t="inlineStr">
        <is>
          <t>Pullback</t>
        </is>
      </c>
      <c r="AQ1080" s="719" t="inlineStr">
        <is>
          <t>5MIN</t>
        </is>
      </c>
      <c r="AR1080" s="719" t="inlineStr">
        <is>
          <t>No</t>
        </is>
      </c>
      <c r="AS1080" s="733" t="n"/>
      <c r="AT1080" s="733" t="n"/>
      <c r="AU1080" s="733" t="n"/>
      <c r="AV1080" s="733" t="n"/>
      <c r="AW1080" s="719" t="inlineStr">
        <is>
          <t>trade</t>
        </is>
      </c>
      <c r="AX1080" s="734" t="inlineStr">
        <is>
          <t>sig:8c4f6fc84e559559c6ccadbb</t>
        </is>
      </c>
    </row>
    <row r="1081" ht="15" customHeight="1">
      <c r="A1081" s="716" t="inlineStr">
        <is>
          <t>F470</t>
        </is>
      </c>
      <c r="B1081" s="717" t="n">
        <v>43501.11944444444</v>
      </c>
      <c r="C1081" s="718" t="n">
        <v>43501.13194444445</v>
      </c>
      <c r="D1081" s="719" t="inlineStr">
        <is>
          <t>PEPPERSTONE DEMO</t>
        </is>
      </c>
      <c r="E1081" s="719" t="inlineStr">
        <is>
          <t>AUDUSD</t>
        </is>
      </c>
      <c r="F1081" s="719" t="inlineStr">
        <is>
          <t>SELL</t>
        </is>
      </c>
      <c r="G1081" s="735" t="n">
        <v>0.08</v>
      </c>
      <c r="H1081" s="720" t="n">
        <v>0.7215</v>
      </c>
      <c r="I1081" s="720" t="n">
        <v>0.72195</v>
      </c>
      <c r="J1081" s="721" t="n">
        <v>0.7219</v>
      </c>
      <c r="K1081" s="760" t="n">
        <v>0.0005544005544004933</v>
      </c>
      <c r="L1081" s="721" t="n">
        <v>0.7206</v>
      </c>
      <c r="M1081" s="722" t="n">
        <v>0.001247401247401264</v>
      </c>
      <c r="N1081" s="788" t="n"/>
      <c r="O1081" s="762" t="n">
        <v>-4.43</v>
      </c>
      <c r="P1081" s="725" t="n">
        <v>-0.009084943193470326</v>
      </c>
      <c r="Q1081" s="726" t="n">
        <v>-1.125</v>
      </c>
      <c r="R1081" s="764" t="n">
        <v>483.1899999999999</v>
      </c>
      <c r="S1081" s="719" t="inlineStr">
        <is>
          <t>18M 0S</t>
        </is>
      </c>
      <c r="T1081" s="717" t="n"/>
      <c r="U1081" s="806" t="n"/>
      <c r="V1081" s="730" t="n"/>
      <c r="W1081" s="731" t="n"/>
      <c r="X1081" s="732" t="n"/>
      <c r="Y1081" s="717" t="n"/>
      <c r="Z1081" s="806" t="n"/>
      <c r="AA1081" s="730" t="n"/>
      <c r="AB1081" s="731" t="n"/>
      <c r="AC1081" s="732" t="n"/>
      <c r="AD1081" s="719" t="inlineStr">
        <is>
          <t>No</t>
        </is>
      </c>
      <c r="AE1081" s="733" t="n"/>
      <c r="AF1081" s="733" t="n"/>
      <c r="AG1081" s="733" t="n"/>
      <c r="AH1081" s="733" t="n"/>
      <c r="AI1081" s="719" t="inlineStr">
        <is>
          <t>Market</t>
        </is>
      </c>
      <c r="AJ1081" s="733" t="n"/>
      <c r="AK1081" s="733" t="n"/>
      <c r="AL1081" s="733" t="n"/>
      <c r="AM1081" s="733" t="n"/>
      <c r="AN1081" s="733" t="n"/>
      <c r="AO1081" s="733" t="n"/>
      <c r="AP1081" s="719" t="inlineStr">
        <is>
          <t>Pullback</t>
        </is>
      </c>
      <c r="AQ1081" s="719" t="inlineStr">
        <is>
          <t>5MIN</t>
        </is>
      </c>
      <c r="AR1081" s="719" t="inlineStr">
        <is>
          <t>No</t>
        </is>
      </c>
      <c r="AS1081" s="733" t="n"/>
      <c r="AT1081" s="733" t="n"/>
      <c r="AU1081" s="733" t="n"/>
      <c r="AV1081" s="733" t="n"/>
      <c r="AW1081" s="719" t="inlineStr">
        <is>
          <t>trade</t>
        </is>
      </c>
      <c r="AX1081" s="734" t="inlineStr">
        <is>
          <t>sig:ed8e835b7ceb345c986f4acd</t>
        </is>
      </c>
    </row>
    <row r="1082" ht="15" customHeight="1">
      <c r="A1082" s="716" t="inlineStr">
        <is>
          <t>F462</t>
        </is>
      </c>
      <c r="B1082" s="717" t="n">
        <v>43501.05902777778</v>
      </c>
      <c r="C1082" s="718" t="n">
        <v>43501.06666666667</v>
      </c>
      <c r="D1082" s="719" t="inlineStr">
        <is>
          <t>PEPPERSTONE DEMO</t>
        </is>
      </c>
      <c r="E1082" s="719" t="inlineStr">
        <is>
          <t>GBPUSD</t>
        </is>
      </c>
      <c r="F1082" s="719" t="inlineStr">
        <is>
          <t>BUY</t>
        </is>
      </c>
      <c r="G1082" s="735" t="n">
        <v>0.03</v>
      </c>
      <c r="H1082" s="720" t="n">
        <v>1.3082</v>
      </c>
      <c r="I1082" s="720" t="n">
        <v>1.30729</v>
      </c>
      <c r="J1082" s="721" t="n">
        <v>1.3072</v>
      </c>
      <c r="K1082" s="760" t="n">
        <v>0.0007644091117566977</v>
      </c>
      <c r="L1082" s="721" t="n">
        <v>1.3102</v>
      </c>
      <c r="M1082" s="722" t="n">
        <v>0.001528818223513226</v>
      </c>
      <c r="N1082" s="788" t="n"/>
      <c r="O1082" s="762" t="n">
        <v>-4.16</v>
      </c>
      <c r="P1082" s="725" t="n">
        <v>-0.008459067062507626</v>
      </c>
      <c r="Q1082" s="726" t="n">
        <v>-0.9099999999998646</v>
      </c>
      <c r="R1082" s="764" t="n">
        <v>487.6199999999999</v>
      </c>
      <c r="S1082" s="719" t="inlineStr">
        <is>
          <t>11M 0S</t>
        </is>
      </c>
      <c r="T1082" s="728" t="n"/>
      <c r="U1082" s="729" t="n"/>
      <c r="V1082" s="730" t="n"/>
      <c r="W1082" s="731" t="n"/>
      <c r="X1082" s="732" t="n"/>
      <c r="Y1082" s="728" t="n"/>
      <c r="Z1082" s="729" t="n"/>
      <c r="AA1082" s="730" t="n"/>
      <c r="AB1082" s="731" t="n"/>
      <c r="AC1082" s="732" t="n"/>
      <c r="AD1082" s="719" t="inlineStr">
        <is>
          <t>No</t>
        </is>
      </c>
      <c r="AE1082" s="733" t="n"/>
      <c r="AF1082" s="733" t="n"/>
      <c r="AG1082" s="733" t="n"/>
      <c r="AH1082" s="733" t="n"/>
      <c r="AI1082" s="719" t="inlineStr">
        <is>
          <t>Limit</t>
        </is>
      </c>
      <c r="AJ1082" s="733" t="n"/>
      <c r="AK1082" s="733" t="n"/>
      <c r="AL1082" s="733" t="n"/>
      <c r="AM1082" s="733" t="n"/>
      <c r="AN1082" s="733" t="n"/>
      <c r="AO1082" s="733" t="n"/>
      <c r="AP1082" s="719" t="inlineStr">
        <is>
          <t>Pullback</t>
        </is>
      </c>
      <c r="AQ1082" s="719" t="inlineStr">
        <is>
          <t>5MIN</t>
        </is>
      </c>
      <c r="AR1082" s="719" t="inlineStr">
        <is>
          <t>No</t>
        </is>
      </c>
      <c r="AS1082" s="733" t="n"/>
      <c r="AT1082" s="733" t="n"/>
      <c r="AU1082" s="733" t="n"/>
      <c r="AV1082" s="733" t="n"/>
      <c r="AW1082" s="719" t="inlineStr">
        <is>
          <t>trade</t>
        </is>
      </c>
      <c r="AX1082" s="734" t="inlineStr">
        <is>
          <t>sig:5e02ba1d006fa85b200c160a</t>
        </is>
      </c>
    </row>
    <row r="1083" ht="15" customHeight="1">
      <c r="A1083" s="716" t="inlineStr">
        <is>
          <t>F469</t>
        </is>
      </c>
      <c r="B1083" s="717" t="n">
        <v>43501.04861111111</v>
      </c>
      <c r="C1083" s="718" t="n">
        <v>43501.05069444444</v>
      </c>
      <c r="D1083" s="719" t="inlineStr">
        <is>
          <t>PEPPERSTONE DEMO</t>
        </is>
      </c>
      <c r="E1083" s="719" t="inlineStr">
        <is>
          <t>USDCAD</t>
        </is>
      </c>
      <c r="F1083" s="719" t="inlineStr">
        <is>
          <t>BUY</t>
        </is>
      </c>
      <c r="G1083" s="735" t="n">
        <v>0.07000000000000001</v>
      </c>
      <c r="H1083" s="720" t="n">
        <v>1.3138</v>
      </c>
      <c r="I1083" s="720" t="n">
        <v>1.31325</v>
      </c>
      <c r="J1083" s="721" t="n">
        <v>1.3132</v>
      </c>
      <c r="K1083" s="760" t="n">
        <v>0.0004566905160604018</v>
      </c>
      <c r="L1083" s="721" t="n">
        <v>1.315</v>
      </c>
      <c r="M1083" s="760" t="n">
        <v>0.0009133810321204657</v>
      </c>
      <c r="N1083" s="788" t="n"/>
      <c r="O1083" s="762" t="n">
        <v>-4.43</v>
      </c>
      <c r="P1083" s="725" t="n">
        <v>-0.008927671751879246</v>
      </c>
      <c r="Q1083" s="726" t="n">
        <v>-0.9166666666665124</v>
      </c>
      <c r="R1083" s="764" t="n">
        <v>491.7799999999999</v>
      </c>
      <c r="S1083" s="719" t="inlineStr">
        <is>
          <t>3M 0S</t>
        </is>
      </c>
      <c r="T1083" s="728" t="n"/>
      <c r="U1083" s="729" t="n"/>
      <c r="V1083" s="730" t="n"/>
      <c r="W1083" s="731" t="n"/>
      <c r="X1083" s="732" t="n"/>
      <c r="Y1083" s="728" t="n"/>
      <c r="Z1083" s="729" t="n"/>
      <c r="AA1083" s="730" t="n"/>
      <c r="AB1083" s="731" t="n"/>
      <c r="AC1083" s="732" t="n"/>
      <c r="AD1083" s="719" t="inlineStr">
        <is>
          <t>No</t>
        </is>
      </c>
      <c r="AE1083" s="733" t="n"/>
      <c r="AF1083" s="733" t="n"/>
      <c r="AG1083" s="733" t="n"/>
      <c r="AH1083" s="733" t="n"/>
      <c r="AI1083" s="719" t="inlineStr">
        <is>
          <t>Limit</t>
        </is>
      </c>
      <c r="AJ1083" s="733" t="n"/>
      <c r="AK1083" s="733" t="n"/>
      <c r="AL1083" s="733" t="n"/>
      <c r="AM1083" s="733" t="n"/>
      <c r="AN1083" s="733" t="n"/>
      <c r="AO1083" s="733" t="n"/>
      <c r="AP1083" s="719" t="inlineStr">
        <is>
          <t>Pullback</t>
        </is>
      </c>
      <c r="AQ1083" s="719" t="inlineStr">
        <is>
          <t>5MIN</t>
        </is>
      </c>
      <c r="AR1083" s="719" t="inlineStr">
        <is>
          <t>No</t>
        </is>
      </c>
      <c r="AS1083" s="782" t="n"/>
      <c r="AT1083" s="733" t="n"/>
      <c r="AU1083" s="719" t="n"/>
      <c r="AV1083" s="719" t="n"/>
      <c r="AW1083" s="719" t="inlineStr">
        <is>
          <t>trade</t>
        </is>
      </c>
      <c r="AX1083" s="734" t="inlineStr">
        <is>
          <t>sig:b8d821d1d27f3a125f1014ee</t>
        </is>
      </c>
    </row>
    <row r="1084" ht="15" customHeight="1">
      <c r="A1084" s="737" t="inlineStr">
        <is>
          <t>F465</t>
        </is>
      </c>
      <c r="B1084" s="738" t="n">
        <v>43501.02847222222</v>
      </c>
      <c r="C1084" s="739" t="n">
        <v>43501.04236111111</v>
      </c>
      <c r="D1084" s="740" t="inlineStr">
        <is>
          <t>PEPPERSTONE DEMO</t>
        </is>
      </c>
      <c r="E1084" s="740" t="inlineStr">
        <is>
          <t>USDCAD</t>
        </is>
      </c>
      <c r="F1084" s="740" t="inlineStr">
        <is>
          <t>BUY</t>
        </is>
      </c>
      <c r="G1084" s="775" t="n">
        <v>0.09</v>
      </c>
      <c r="H1084" s="742" t="n">
        <v>1.3128</v>
      </c>
      <c r="I1084" s="742" t="n">
        <v>1.31384</v>
      </c>
      <c r="J1084" s="743" t="n">
        <v>1.3123</v>
      </c>
      <c r="K1084" s="765" t="n">
        <v>0.0003808653260206771</v>
      </c>
      <c r="L1084" s="743" t="n">
        <v>1.3138</v>
      </c>
      <c r="M1084" s="765" t="n">
        <v>0.0007617306520415234</v>
      </c>
      <c r="N1084" s="796" t="n"/>
      <c r="O1084" s="767" t="n">
        <v>8.32</v>
      </c>
      <c r="P1084" s="747" t="n">
        <v>0.01705302424726885</v>
      </c>
      <c r="Q1084" s="748" t="n">
        <v>2.080000000000089</v>
      </c>
      <c r="R1084" s="769" t="n">
        <v>496.2099999999999</v>
      </c>
      <c r="S1084" s="740" t="inlineStr">
        <is>
          <t>20M 0S</t>
        </is>
      </c>
      <c r="T1084" s="738" t="n">
        <v>43501.03888888889</v>
      </c>
      <c r="U1084" s="809" t="inlineStr">
        <is>
          <t>15M 0S</t>
        </is>
      </c>
      <c r="V1084" s="752" t="n"/>
      <c r="W1084" s="753" t="n"/>
      <c r="X1084" s="754" t="n"/>
      <c r="Y1084" s="750" t="n"/>
      <c r="Z1084" s="751" t="n"/>
      <c r="AA1084" s="752" t="n"/>
      <c r="AB1084" s="753" t="n"/>
      <c r="AC1084" s="754" t="n"/>
      <c r="AD1084" s="740" t="inlineStr">
        <is>
          <t>No</t>
        </is>
      </c>
      <c r="AE1084" s="755" t="n"/>
      <c r="AF1084" s="755" t="n"/>
      <c r="AG1084" s="755" t="n"/>
      <c r="AH1084" s="755" t="n"/>
      <c r="AI1084" s="740" t="inlineStr">
        <is>
          <t>Limit</t>
        </is>
      </c>
      <c r="AJ1084" s="755" t="n"/>
      <c r="AK1084" s="755" t="n"/>
      <c r="AL1084" s="755" t="n"/>
      <c r="AM1084" s="755" t="n"/>
      <c r="AN1084" s="755" t="n"/>
      <c r="AO1084" s="755" t="n"/>
      <c r="AP1084" s="740" t="inlineStr">
        <is>
          <t>Pullback</t>
        </is>
      </c>
      <c r="AQ1084" s="740" t="inlineStr">
        <is>
          <t>5MIN</t>
        </is>
      </c>
      <c r="AR1084" s="740" t="inlineStr">
        <is>
          <t>No</t>
        </is>
      </c>
      <c r="AS1084" s="787" t="n"/>
      <c r="AT1084" s="755" t="n"/>
      <c r="AU1084" s="740" t="n"/>
      <c r="AV1084" s="740" t="n"/>
      <c r="AW1084" s="740" t="inlineStr">
        <is>
          <t>trade</t>
        </is>
      </c>
      <c r="AX1084" s="756" t="inlineStr">
        <is>
          <t>sig:ba3223be2b46cfd8059fd8c9</t>
        </is>
      </c>
    </row>
    <row r="1085" ht="15" customHeight="1">
      <c r="A1085" s="716" t="inlineStr">
        <is>
          <t>F467</t>
        </is>
      </c>
      <c r="B1085" s="717" t="n">
        <v>43501.01666666667</v>
      </c>
      <c r="C1085" s="718" t="n">
        <v>43501.02291666667</v>
      </c>
      <c r="D1085" s="719" t="inlineStr">
        <is>
          <t>PEPPERSTONE DEMO</t>
        </is>
      </c>
      <c r="E1085" s="719" t="inlineStr">
        <is>
          <t>USDCAD</t>
        </is>
      </c>
      <c r="F1085" s="719" t="inlineStr">
        <is>
          <t>BUY</t>
        </is>
      </c>
      <c r="G1085" s="735" t="n">
        <v>0.09</v>
      </c>
      <c r="H1085" s="720" t="n">
        <v>1.3131</v>
      </c>
      <c r="I1085" s="720" t="n">
        <v>1.31267</v>
      </c>
      <c r="J1085" s="721" t="n">
        <v>1.3126</v>
      </c>
      <c r="K1085" s="760" t="n">
        <v>0.0003807783108673711</v>
      </c>
      <c r="L1085" s="721" t="n">
        <v>1.3141</v>
      </c>
      <c r="M1085" s="760" t="n">
        <v>0.0007615566217349112</v>
      </c>
      <c r="N1085" s="788" t="n"/>
      <c r="O1085" s="762" t="n">
        <v>-4.75</v>
      </c>
      <c r="P1085" s="725" t="n">
        <v>-0.009641929197791494</v>
      </c>
      <c r="Q1085" s="726" t="n">
        <v>-0.8599999999999556</v>
      </c>
      <c r="R1085" s="764" t="n">
        <v>487.8899999999999</v>
      </c>
      <c r="S1085" s="719" t="inlineStr">
        <is>
          <t>9M 0S</t>
        </is>
      </c>
      <c r="T1085" s="717" t="n"/>
      <c r="U1085" s="806" t="n"/>
      <c r="V1085" s="730" t="n"/>
      <c r="W1085" s="731" t="n"/>
      <c r="X1085" s="732" t="n"/>
      <c r="Y1085" s="728" t="n"/>
      <c r="Z1085" s="729" t="n"/>
      <c r="AA1085" s="730" t="n"/>
      <c r="AB1085" s="731" t="n"/>
      <c r="AC1085" s="732" t="n"/>
      <c r="AD1085" s="719" t="inlineStr">
        <is>
          <t>No</t>
        </is>
      </c>
      <c r="AE1085" s="733" t="n"/>
      <c r="AF1085" s="733" t="n"/>
      <c r="AG1085" s="733" t="n"/>
      <c r="AH1085" s="733" t="n"/>
      <c r="AI1085" s="719" t="inlineStr">
        <is>
          <t>Limit</t>
        </is>
      </c>
      <c r="AJ1085" s="733" t="n"/>
      <c r="AK1085" s="733" t="n"/>
      <c r="AL1085" s="733" t="n"/>
      <c r="AM1085" s="733" t="n"/>
      <c r="AN1085" s="733" t="n"/>
      <c r="AO1085" s="733" t="n"/>
      <c r="AP1085" s="719" t="inlineStr">
        <is>
          <t>Pullback</t>
        </is>
      </c>
      <c r="AQ1085" s="719" t="inlineStr">
        <is>
          <t>5MIN</t>
        </is>
      </c>
      <c r="AR1085" s="719" t="inlineStr">
        <is>
          <t>No</t>
        </is>
      </c>
      <c r="AS1085" s="733" t="n"/>
      <c r="AT1085" s="733" t="n"/>
      <c r="AU1085" s="733" t="n"/>
      <c r="AV1085" s="733" t="n"/>
      <c r="AW1085" s="719" t="inlineStr">
        <is>
          <t>trade</t>
        </is>
      </c>
      <c r="AX1085" s="734" t="inlineStr">
        <is>
          <t>sig:903394a4fd9504f3c29c9ac1</t>
        </is>
      </c>
    </row>
    <row r="1086" ht="15" customHeight="1">
      <c r="A1086" s="716" t="inlineStr">
        <is>
          <t>F455</t>
        </is>
      </c>
      <c r="B1086" s="717" t="n">
        <v>43501.0125</v>
      </c>
      <c r="C1086" s="718" t="n">
        <v>43501.02291666667</v>
      </c>
      <c r="D1086" s="719" t="inlineStr">
        <is>
          <t>PEPPERSTONE DEMO</t>
        </is>
      </c>
      <c r="E1086" s="719" t="inlineStr">
        <is>
          <t>AUDUSD</t>
        </is>
      </c>
      <c r="F1086" s="719" t="inlineStr">
        <is>
          <t>SELL</t>
        </is>
      </c>
      <c r="G1086" s="720" t="n">
        <v>0.12</v>
      </c>
      <c r="H1086" s="720" t="n">
        <v>0.7216</v>
      </c>
      <c r="I1086" s="720" t="n">
        <v>0.72192</v>
      </c>
      <c r="J1086" s="721" t="n">
        <v>0.7219</v>
      </c>
      <c r="K1086" s="760" t="n">
        <v>0.0004157427937915285</v>
      </c>
      <c r="L1086" s="721" t="n">
        <v>0.721</v>
      </c>
      <c r="M1086" s="760" t="n">
        <v>0.0008314855875832108</v>
      </c>
      <c r="N1086" s="788" t="n"/>
      <c r="O1086" s="762" t="n">
        <v>-4.99</v>
      </c>
      <c r="P1086" s="725" t="n">
        <v>-0.01002753049454414</v>
      </c>
      <c r="Q1086" s="726" t="n">
        <v>-1.066666666666741</v>
      </c>
      <c r="R1086" s="764" t="n">
        <v>492.6399999999999</v>
      </c>
      <c r="S1086" s="719" t="inlineStr">
        <is>
          <t>15M 0S</t>
        </is>
      </c>
      <c r="T1086" s="728" t="n"/>
      <c r="U1086" s="729" t="n"/>
      <c r="V1086" s="730" t="n"/>
      <c r="W1086" s="731" t="n"/>
      <c r="X1086" s="732" t="n"/>
      <c r="Y1086" s="728" t="n"/>
      <c r="Z1086" s="729" t="n"/>
      <c r="AA1086" s="730" t="n"/>
      <c r="AB1086" s="731" t="n"/>
      <c r="AC1086" s="732" t="n"/>
      <c r="AD1086" s="719" t="inlineStr">
        <is>
          <t>No</t>
        </is>
      </c>
      <c r="AE1086" s="733" t="n"/>
      <c r="AF1086" s="733" t="n"/>
      <c r="AG1086" s="733" t="n"/>
      <c r="AH1086" s="733" t="n"/>
      <c r="AI1086" s="719" t="inlineStr">
        <is>
          <t>Limit</t>
        </is>
      </c>
      <c r="AJ1086" s="733" t="n"/>
      <c r="AK1086" s="733" t="n"/>
      <c r="AL1086" s="733" t="n"/>
      <c r="AM1086" s="733" t="n"/>
      <c r="AN1086" s="733" t="n"/>
      <c r="AO1086" s="733" t="n"/>
      <c r="AP1086" s="719" t="inlineStr">
        <is>
          <t>Pullback</t>
        </is>
      </c>
      <c r="AQ1086" s="719" t="inlineStr">
        <is>
          <t>5MIN</t>
        </is>
      </c>
      <c r="AR1086" s="719" t="inlineStr">
        <is>
          <t>No</t>
        </is>
      </c>
      <c r="AS1086" s="733" t="n"/>
      <c r="AT1086" s="733" t="n"/>
      <c r="AU1086" s="733" t="n"/>
      <c r="AV1086" s="733" t="n"/>
      <c r="AW1086" s="719" t="inlineStr">
        <is>
          <t>trade</t>
        </is>
      </c>
      <c r="AX1086" s="734" t="inlineStr">
        <is>
          <t>sig:c5f133711e59661639d35a11</t>
        </is>
      </c>
    </row>
    <row r="1087" ht="15" customHeight="1">
      <c r="A1087" s="716" t="inlineStr">
        <is>
          <t>F452</t>
        </is>
      </c>
      <c r="B1087" s="717" t="n">
        <v>43500.97083333333</v>
      </c>
      <c r="C1087" s="718" t="n">
        <v>43500.97708333333</v>
      </c>
      <c r="D1087" s="719" t="inlineStr">
        <is>
          <t>PEPPERSTONE DEMO</t>
        </is>
      </c>
      <c r="E1087" s="719" t="inlineStr">
        <is>
          <t>AUDUSD</t>
        </is>
      </c>
      <c r="F1087" s="719" t="inlineStr">
        <is>
          <t>SELL</t>
        </is>
      </c>
      <c r="G1087" s="720" t="n">
        <v>0.12</v>
      </c>
      <c r="H1087" s="720" t="n">
        <v>0.722</v>
      </c>
      <c r="I1087" s="720" t="n">
        <v>0.72234</v>
      </c>
      <c r="J1087" s="721" t="n">
        <v>0.7223000000000001</v>
      </c>
      <c r="K1087" s="760" t="n">
        <v>0.0004155124653740692</v>
      </c>
      <c r="L1087" s="721" t="n">
        <v>0.7214</v>
      </c>
      <c r="M1087" s="760" t="n">
        <v>0.0008310249307478309</v>
      </c>
      <c r="N1087" s="788" t="n"/>
      <c r="O1087" s="762" t="n">
        <v>-4.98</v>
      </c>
      <c r="P1087" s="725" t="n">
        <v>-0.009908278784743641</v>
      </c>
      <c r="Q1087" s="726" t="n">
        <v>-1.133333333333062</v>
      </c>
      <c r="R1087" s="764" t="n">
        <v>497.6299999999999</v>
      </c>
      <c r="S1087" s="719" t="inlineStr">
        <is>
          <t>9M 0S</t>
        </is>
      </c>
      <c r="T1087" s="728" t="n"/>
      <c r="U1087" s="729" t="n"/>
      <c r="V1087" s="730" t="n"/>
      <c r="W1087" s="731" t="n"/>
      <c r="X1087" s="732" t="n"/>
      <c r="Y1087" s="728" t="n"/>
      <c r="Z1087" s="729" t="n"/>
      <c r="AA1087" s="730" t="n"/>
      <c r="AB1087" s="731" t="n"/>
      <c r="AC1087" s="732" t="n"/>
      <c r="AD1087" s="719" t="inlineStr">
        <is>
          <t>No</t>
        </is>
      </c>
      <c r="AE1087" s="733" t="n"/>
      <c r="AF1087" s="733" t="n"/>
      <c r="AG1087" s="733" t="n"/>
      <c r="AH1087" s="733" t="n"/>
      <c r="AI1087" s="719" t="inlineStr">
        <is>
          <t>Limit</t>
        </is>
      </c>
      <c r="AJ1087" s="733" t="n"/>
      <c r="AK1087" s="733" t="n"/>
      <c r="AL1087" s="733" t="n"/>
      <c r="AM1087" s="733" t="n"/>
      <c r="AN1087" s="733" t="n"/>
      <c r="AO1087" s="733" t="n"/>
      <c r="AP1087" s="719" t="inlineStr">
        <is>
          <t>Pullback</t>
        </is>
      </c>
      <c r="AQ1087" s="719" t="inlineStr">
        <is>
          <t>5MIN</t>
        </is>
      </c>
      <c r="AR1087" s="719" t="inlineStr">
        <is>
          <t>No</t>
        </is>
      </c>
      <c r="AS1087" s="733" t="n"/>
      <c r="AT1087" s="733" t="n"/>
      <c r="AU1087" s="733" t="n"/>
      <c r="AV1087" s="733" t="n"/>
      <c r="AW1087" s="719" t="inlineStr">
        <is>
          <t>trade</t>
        </is>
      </c>
      <c r="AX1087" s="734" t="inlineStr">
        <is>
          <t>sig:b65f50e5b80a6b358fd7bb84</t>
        </is>
      </c>
    </row>
    <row r="1088" ht="15" customHeight="1">
      <c r="A1088" s="716" t="inlineStr">
        <is>
          <t>F453</t>
        </is>
      </c>
      <c r="B1088" s="717" t="n">
        <v>43500.93055555555</v>
      </c>
      <c r="C1088" s="718" t="n">
        <v>43500.93958333333</v>
      </c>
      <c r="D1088" s="719" t="inlineStr">
        <is>
          <t>PEPPERSTONE DEMO</t>
        </is>
      </c>
      <c r="E1088" s="719" t="inlineStr">
        <is>
          <t>EURUSD</t>
        </is>
      </c>
      <c r="F1088" s="719" t="inlineStr">
        <is>
          <t>BUY</t>
        </is>
      </c>
      <c r="G1088" s="720" t="n">
        <v>0.12</v>
      </c>
      <c r="H1088" s="720" t="n">
        <v>1.145</v>
      </c>
      <c r="I1088" s="720" t="n">
        <v>1.14486</v>
      </c>
      <c r="J1088" s="721" t="n">
        <v>1.1447</v>
      </c>
      <c r="K1088" s="760" t="n">
        <v>0.0002620087336244253</v>
      </c>
      <c r="L1088" s="721" t="n">
        <v>1.1456</v>
      </c>
      <c r="M1088" s="760" t="n">
        <v>0.0005240174672488506</v>
      </c>
      <c r="N1088" s="761" t="n"/>
      <c r="O1088" s="762" t="n">
        <v>-3.16</v>
      </c>
      <c r="P1088" s="725" t="n">
        <v>-0.006247899242738794</v>
      </c>
      <c r="Q1088" s="726" t="n">
        <v>-0.4666666666668147</v>
      </c>
      <c r="R1088" s="764" t="n">
        <v>502.61</v>
      </c>
      <c r="S1088" s="719" t="inlineStr">
        <is>
          <t>13M 0S</t>
        </is>
      </c>
      <c r="T1088" s="728" t="n"/>
      <c r="U1088" s="729" t="n"/>
      <c r="V1088" s="730" t="n"/>
      <c r="W1088" s="731" t="n"/>
      <c r="X1088" s="732" t="n"/>
      <c r="Y1088" s="728" t="n"/>
      <c r="Z1088" s="729" t="n"/>
      <c r="AA1088" s="730" t="n"/>
      <c r="AB1088" s="731" t="n"/>
      <c r="AC1088" s="732" t="n"/>
      <c r="AD1088" s="719" t="inlineStr">
        <is>
          <t>No</t>
        </is>
      </c>
      <c r="AE1088" s="733" t="n"/>
      <c r="AF1088" s="733" t="n"/>
      <c r="AG1088" s="733" t="n"/>
      <c r="AH1088" s="733" t="n"/>
      <c r="AI1088" s="719" t="inlineStr">
        <is>
          <t>Limit</t>
        </is>
      </c>
      <c r="AJ1088" s="733" t="n"/>
      <c r="AK1088" s="733" t="n"/>
      <c r="AL1088" s="733" t="n"/>
      <c r="AM1088" s="733" t="n"/>
      <c r="AN1088" s="733" t="n"/>
      <c r="AO1088" s="733" t="n"/>
      <c r="AP1088" s="719" t="inlineStr">
        <is>
          <t>Pullback</t>
        </is>
      </c>
      <c r="AQ1088" s="719" t="inlineStr">
        <is>
          <t>5MIN</t>
        </is>
      </c>
      <c r="AR1088" s="719" t="inlineStr">
        <is>
          <t>No</t>
        </is>
      </c>
      <c r="AS1088" s="733" t="n"/>
      <c r="AT1088" s="733" t="n"/>
      <c r="AU1088" s="733" t="n"/>
      <c r="AV1088" s="733" t="n"/>
      <c r="AW1088" s="719" t="inlineStr">
        <is>
          <t>trade</t>
        </is>
      </c>
      <c r="AX1088" s="734" t="inlineStr">
        <is>
          <t>sig:bf0800d20e6033cf4a758db6</t>
        </is>
      </c>
    </row>
    <row r="1089" ht="15" customHeight="1">
      <c r="A1089" s="737" t="inlineStr">
        <is>
          <t>F454</t>
        </is>
      </c>
      <c r="B1089" s="738" t="n">
        <v>43500.91666666666</v>
      </c>
      <c r="C1089" s="739" t="n">
        <v>43500.925</v>
      </c>
      <c r="D1089" s="740" t="inlineStr">
        <is>
          <t>PEPPERSTONE DEMO</t>
        </is>
      </c>
      <c r="E1089" s="740" t="inlineStr">
        <is>
          <t>GBPUSD</t>
        </is>
      </c>
      <c r="F1089" s="740" t="inlineStr">
        <is>
          <t>BUY</t>
        </is>
      </c>
      <c r="G1089" s="775" t="n">
        <v>0.09</v>
      </c>
      <c r="H1089" s="742" t="n">
        <v>1.306</v>
      </c>
      <c r="I1089" s="742" t="n">
        <v>1.30682</v>
      </c>
      <c r="J1089" s="743" t="n">
        <v>1.3056</v>
      </c>
      <c r="K1089" s="765" t="n">
        <v>0.000306278713629369</v>
      </c>
      <c r="L1089" s="743" t="n">
        <v>1.3068</v>
      </c>
      <c r="M1089" s="765" t="n">
        <v>0.0006125574272587381</v>
      </c>
      <c r="N1089" s="796" t="n"/>
      <c r="O1089" s="767" t="n">
        <v>9.130000000000001</v>
      </c>
      <c r="P1089" s="747" t="n">
        <v>0.01838353737113402</v>
      </c>
      <c r="Q1089" s="748" t="n">
        <v>2.050000000000333</v>
      </c>
      <c r="R1089" s="769" t="n">
        <v>505.77</v>
      </c>
      <c r="S1089" s="740" t="inlineStr">
        <is>
          <t>12M 0S</t>
        </is>
      </c>
      <c r="T1089" s="738" t="n">
        <v>43500.92083333333</v>
      </c>
      <c r="U1089" s="809" t="inlineStr">
        <is>
          <t>6M 0S</t>
        </is>
      </c>
      <c r="V1089" s="752" t="n"/>
      <c r="W1089" s="753" t="n"/>
      <c r="X1089" s="754" t="n"/>
      <c r="Y1089" s="738" t="n">
        <v>43500.92361111111</v>
      </c>
      <c r="Z1089" s="809" t="inlineStr">
        <is>
          <t>10M 0S</t>
        </is>
      </c>
      <c r="AA1089" s="752" t="n"/>
      <c r="AB1089" s="753" t="n"/>
      <c r="AC1089" s="754" t="n"/>
      <c r="AD1089" s="740" t="inlineStr">
        <is>
          <t>No</t>
        </is>
      </c>
      <c r="AE1089" s="755" t="n"/>
      <c r="AF1089" s="755" t="n"/>
      <c r="AG1089" s="755" t="n"/>
      <c r="AH1089" s="755" t="n"/>
      <c r="AI1089" s="740" t="inlineStr">
        <is>
          <t>Limit</t>
        </is>
      </c>
      <c r="AJ1089" s="755" t="n"/>
      <c r="AK1089" s="755" t="n"/>
      <c r="AL1089" s="755" t="n"/>
      <c r="AM1089" s="755" t="n"/>
      <c r="AN1089" s="755" t="n"/>
      <c r="AO1089" s="755" t="n"/>
      <c r="AP1089" s="740" t="inlineStr">
        <is>
          <t>Pullback</t>
        </is>
      </c>
      <c r="AQ1089" s="740" t="inlineStr">
        <is>
          <t>5MIN</t>
        </is>
      </c>
      <c r="AR1089" s="740" t="inlineStr">
        <is>
          <t>No</t>
        </is>
      </c>
      <c r="AS1089" s="755" t="n"/>
      <c r="AT1089" s="755" t="n"/>
      <c r="AU1089" s="755" t="n"/>
      <c r="AV1089" s="755" t="n"/>
      <c r="AW1089" s="740" t="inlineStr">
        <is>
          <t>trade</t>
        </is>
      </c>
      <c r="AX1089" s="756" t="inlineStr">
        <is>
          <t>sig:659f91052922eeb79d9eebd9</t>
        </is>
      </c>
    </row>
    <row r="1090" ht="15" customHeight="1">
      <c r="A1090" s="716" t="inlineStr">
        <is>
          <t>F451</t>
        </is>
      </c>
      <c r="B1090" s="717" t="n">
        <v>43500.86666666667</v>
      </c>
      <c r="C1090" s="718" t="n">
        <v>43500.87013888889</v>
      </c>
      <c r="D1090" s="719" t="inlineStr">
        <is>
          <t>PEPPERSTONE DEMO</t>
        </is>
      </c>
      <c r="E1090" s="719" t="inlineStr">
        <is>
          <t>AUDUSD</t>
        </is>
      </c>
      <c r="F1090" s="719" t="inlineStr">
        <is>
          <t>BUY</t>
        </is>
      </c>
      <c r="G1090" s="735" t="n">
        <v>0.09</v>
      </c>
      <c r="H1090" s="720" t="n">
        <v>0.723</v>
      </c>
      <c r="I1090" s="720" t="n">
        <v>0.7228</v>
      </c>
      <c r="J1090" s="721" t="n">
        <v>0.7226</v>
      </c>
      <c r="K1090" s="760" t="n">
        <v>0.0005532503457814052</v>
      </c>
      <c r="L1090" s="721" t="n">
        <v>0.7238</v>
      </c>
      <c r="M1090" s="722" t="n">
        <v>0.001106500691562964</v>
      </c>
      <c r="N1090" s="788" t="n"/>
      <c r="O1090" s="762" t="n">
        <v>-3.36</v>
      </c>
      <c r="P1090" s="725" t="n">
        <v>-0.006719999999999999</v>
      </c>
      <c r="Q1090" s="726" t="n">
        <v>-0.5</v>
      </c>
      <c r="R1090" s="764" t="n">
        <v>496.64</v>
      </c>
      <c r="S1090" s="719" t="inlineStr">
        <is>
          <t>5M 0S</t>
        </is>
      </c>
      <c r="T1090" s="728" t="n"/>
      <c r="U1090" s="729" t="n"/>
      <c r="V1090" s="730" t="n"/>
      <c r="W1090" s="731" t="n"/>
      <c r="X1090" s="732" t="n"/>
      <c r="Y1090" s="728" t="n"/>
      <c r="Z1090" s="729" t="n"/>
      <c r="AA1090" s="730" t="n"/>
      <c r="AB1090" s="731" t="n"/>
      <c r="AC1090" s="732" t="n"/>
      <c r="AD1090" s="719" t="inlineStr">
        <is>
          <t>No</t>
        </is>
      </c>
      <c r="AE1090" s="733" t="n"/>
      <c r="AF1090" s="733" t="n"/>
      <c r="AG1090" s="733" t="n"/>
      <c r="AH1090" s="733" t="n"/>
      <c r="AI1090" s="719" t="inlineStr">
        <is>
          <t>Limit</t>
        </is>
      </c>
      <c r="AJ1090" s="733" t="n"/>
      <c r="AK1090" s="733" t="n"/>
      <c r="AL1090" s="733" t="n"/>
      <c r="AM1090" s="733" t="n"/>
      <c r="AN1090" s="733" t="n"/>
      <c r="AO1090" s="733" t="n"/>
      <c r="AP1090" s="719" t="inlineStr">
        <is>
          <t>Pullback</t>
        </is>
      </c>
      <c r="AQ1090" s="719" t="inlineStr">
        <is>
          <t>5MIN</t>
        </is>
      </c>
      <c r="AR1090" s="719" t="inlineStr">
        <is>
          <t>No</t>
        </is>
      </c>
      <c r="AS1090" s="733" t="n"/>
      <c r="AT1090" s="733" t="n"/>
      <c r="AU1090" s="733" t="n"/>
      <c r="AV1090" s="733" t="n"/>
      <c r="AW1090" s="719" t="inlineStr">
        <is>
          <t>trade</t>
        </is>
      </c>
      <c r="AX1090" s="734" t="inlineStr">
        <is>
          <t>sig:0c1f44cd42aef5bbb6d1c54e</t>
        </is>
      </c>
    </row>
    <row r="1091" ht="15" customHeight="1">
      <c r="A1091" s="42" t="n"/>
      <c r="B1091" s="770" t="n">
        <v>43500</v>
      </c>
      <c r="C1091" s="771" t="n">
        <v>43500</v>
      </c>
      <c r="D1091" s="12" t="inlineStr">
        <is>
          <t>PEPPERSTONE DEMO</t>
        </is>
      </c>
      <c r="E1091" s="12" t="inlineStr">
        <is>
          <t>CASHFLOW</t>
        </is>
      </c>
      <c r="F1091" s="12" t="inlineStr">
        <is>
          <t>WITHDRAWAL</t>
        </is>
      </c>
      <c r="G1091" s="262" t="n"/>
      <c r="H1091" s="262" t="n"/>
      <c r="I1091" s="262" t="n"/>
      <c r="J1091" s="263" t="n"/>
      <c r="K1091" s="36" t="n"/>
      <c r="L1091" s="263" t="n"/>
      <c r="M1091" s="36" t="n"/>
      <c r="N1091" s="779" t="n"/>
      <c r="O1091" s="773" t="n"/>
      <c r="P1091" s="3" t="n"/>
      <c r="Q1091" s="51" t="n"/>
      <c r="R1091" s="54" t="n">
        <v>500</v>
      </c>
      <c r="S1091" s="12" t="n"/>
      <c r="T1091" s="774" t="n"/>
      <c r="U1091" s="6" t="n"/>
      <c r="V1091" s="264" t="n"/>
      <c r="W1091" s="9" t="n"/>
      <c r="X1091" s="46" t="n"/>
      <c r="Y1091" s="774" t="n"/>
      <c r="Z1091" s="6" t="n"/>
      <c r="AA1091" s="264" t="n"/>
      <c r="AB1091" s="9" t="n"/>
      <c r="AC1091" s="46" t="n"/>
      <c r="AD1091" s="12" t="inlineStr">
        <is>
          <t>No</t>
        </is>
      </c>
      <c r="AE1091" s="45" t="n"/>
      <c r="AF1091" s="45" t="n"/>
      <c r="AG1091" s="45" t="n"/>
      <c r="AH1091" s="45" t="n"/>
      <c r="AI1091" s="12" t="n"/>
      <c r="AJ1091" s="45" t="n"/>
      <c r="AK1091" s="45" t="n"/>
      <c r="AL1091" s="45" t="n"/>
      <c r="AM1091" s="45" t="n"/>
      <c r="AN1091" s="45" t="n"/>
      <c r="AO1091" s="45" t="n"/>
      <c r="AP1091" s="12" t="n"/>
      <c r="AQ1091" s="12" t="n"/>
      <c r="AR1091" s="12" t="n"/>
      <c r="AS1091" s="56" t="inlineStr">
        <is>
          <t>Withdrawal -455.51 AUD. Source: user_txt. Imported from account_cashflows.xlsx row 34.</t>
        </is>
      </c>
      <c r="AT1091" s="45" t="n"/>
      <c r="AU1091" s="12" t="n">
        <v>500</v>
      </c>
      <c r="AV1091" s="12" t="inlineStr">
        <is>
          <t>AUD</t>
        </is>
      </c>
      <c r="AW1091" s="12" t="inlineStr">
        <is>
          <t>cashflow</t>
        </is>
      </c>
      <c r="AX1091" s="57" t="inlineStr">
        <is>
          <t>cashflow:PEPPERSTONE DEMO:2019-02-04T00:00:00:20</t>
        </is>
      </c>
    </row>
    <row r="1092" ht="15" customHeight="1">
      <c r="A1092" s="42" t="n"/>
      <c r="B1092" s="770" t="n">
        <v>43499</v>
      </c>
      <c r="C1092" s="771" t="n">
        <v>43499</v>
      </c>
      <c r="D1092" s="12" t="inlineStr">
        <is>
          <t>PEPPERSTONE DEMO</t>
        </is>
      </c>
      <c r="E1092" s="12" t="inlineStr">
        <is>
          <t>CASHFLOW</t>
        </is>
      </c>
      <c r="F1092" s="12" t="inlineStr">
        <is>
          <t>DEPOSIT</t>
        </is>
      </c>
      <c r="G1092" s="262" t="n"/>
      <c r="H1092" s="262" t="n"/>
      <c r="I1092" s="262" t="n"/>
      <c r="J1092" s="263" t="n"/>
      <c r="K1092" s="36" t="n"/>
      <c r="L1092" s="263" t="n"/>
      <c r="M1092" s="36" t="n"/>
      <c r="N1092" s="779" t="n"/>
      <c r="O1092" s="773" t="n"/>
      <c r="P1092" s="3" t="n"/>
      <c r="Q1092" s="51" t="n"/>
      <c r="R1092" s="54" t="n">
        <v>955.51</v>
      </c>
      <c r="S1092" s="12" t="n"/>
      <c r="T1092" s="774" t="n"/>
      <c r="U1092" s="6" t="n"/>
      <c r="V1092" s="264" t="n"/>
      <c r="W1092" s="9" t="n"/>
      <c r="X1092" s="46" t="n"/>
      <c r="Y1092" s="774" t="n"/>
      <c r="Z1092" s="6" t="n"/>
      <c r="AA1092" s="264" t="n"/>
      <c r="AB1092" s="9" t="n"/>
      <c r="AC1092" s="46" t="n"/>
      <c r="AD1092" s="12" t="inlineStr">
        <is>
          <t>No</t>
        </is>
      </c>
      <c r="AE1092" s="45" t="n"/>
      <c r="AF1092" s="45" t="n"/>
      <c r="AG1092" s="45" t="n"/>
      <c r="AH1092" s="45" t="n"/>
      <c r="AI1092" s="12" t="n"/>
      <c r="AJ1092" s="45" t="n"/>
      <c r="AK1092" s="45" t="n"/>
      <c r="AL1092" s="45" t="n"/>
      <c r="AM1092" s="45" t="n"/>
      <c r="AN1092" s="45" t="n"/>
      <c r="AO1092" s="45" t="n"/>
      <c r="AP1092" s="12" t="n"/>
      <c r="AQ1092" s="12" t="n"/>
      <c r="AR1092" s="12" t="n"/>
      <c r="AS1092" s="56" t="inlineStr">
        <is>
          <t>Deposit 500.0 AUD. Source: user_txt. Imported from account_cashflows.xlsx row 33.</t>
        </is>
      </c>
      <c r="AT1092" s="45" t="n"/>
      <c r="AU1092" s="12" t="n">
        <v>955.51</v>
      </c>
      <c r="AV1092" s="12" t="inlineStr">
        <is>
          <t>AUD</t>
        </is>
      </c>
      <c r="AW1092" s="12" t="inlineStr">
        <is>
          <t>cashflow</t>
        </is>
      </c>
      <c r="AX1092" s="57" t="inlineStr">
        <is>
          <t>cashflow:PEPPERSTONE DEMO:2019-02-03T00:00:00:19</t>
        </is>
      </c>
    </row>
    <row r="1093" ht="15" customHeight="1">
      <c r="A1093" s="737" t="inlineStr">
        <is>
          <t>F449</t>
        </is>
      </c>
      <c r="B1093" s="738" t="n">
        <v>43498.05208333334</v>
      </c>
      <c r="C1093" s="739" t="n">
        <v>43498.05763888889</v>
      </c>
      <c r="D1093" s="740" t="inlineStr">
        <is>
          <t>PEPPERSTONE DEMO</t>
        </is>
      </c>
      <c r="E1093" s="740" t="inlineStr">
        <is>
          <t>EURUSD</t>
        </is>
      </c>
      <c r="F1093" s="740" t="inlineStr">
        <is>
          <t>SELL</t>
        </is>
      </c>
      <c r="G1093" s="775" t="n">
        <v>0.06</v>
      </c>
      <c r="H1093" s="742" t="n">
        <v>1.146</v>
      </c>
      <c r="I1093" s="742" t="n">
        <v>1.14584</v>
      </c>
      <c r="J1093" s="743" t="n">
        <v>1.1465</v>
      </c>
      <c r="K1093" s="765" t="n">
        <v>0.0004363001745202155</v>
      </c>
      <c r="L1093" s="743" t="n">
        <v>1.145</v>
      </c>
      <c r="M1093" s="765" t="n">
        <v>0.0008726003490400436</v>
      </c>
      <c r="N1093" s="796" t="n"/>
      <c r="O1093" s="767" t="n">
        <v>0.95</v>
      </c>
      <c r="P1093" s="747" t="n">
        <v>0.002089933122140092</v>
      </c>
      <c r="Q1093" s="748" t="n">
        <v>0.3199999999997691</v>
      </c>
      <c r="R1093" s="769" t="n">
        <v>455.5099999999999</v>
      </c>
      <c r="S1093" s="740" t="inlineStr">
        <is>
          <t>8M 0S</t>
        </is>
      </c>
      <c r="T1093" s="738" t="n">
        <v>43498.05416666667</v>
      </c>
      <c r="U1093" s="809" t="inlineStr">
        <is>
          <t>3M 0S</t>
        </is>
      </c>
      <c r="V1093" s="752" t="n"/>
      <c r="W1093" s="753" t="n"/>
      <c r="X1093" s="754" t="n"/>
      <c r="Y1093" s="750" t="n"/>
      <c r="Z1093" s="751" t="n"/>
      <c r="AA1093" s="752" t="n"/>
      <c r="AB1093" s="753" t="n"/>
      <c r="AC1093" s="754" t="n"/>
      <c r="AD1093" s="740" t="inlineStr">
        <is>
          <t>No</t>
        </is>
      </c>
      <c r="AE1093" s="755" t="n"/>
      <c r="AF1093" s="755" t="n"/>
      <c r="AG1093" s="755" t="n"/>
      <c r="AH1093" s="755" t="n"/>
      <c r="AI1093" s="740" t="inlineStr">
        <is>
          <t>Market</t>
        </is>
      </c>
      <c r="AJ1093" s="755" t="n"/>
      <c r="AK1093" s="755" t="n"/>
      <c r="AL1093" s="755" t="n"/>
      <c r="AM1093" s="755" t="n"/>
      <c r="AN1093" s="755" t="n"/>
      <c r="AO1093" s="755" t="n"/>
      <c r="AP1093" s="740" t="inlineStr">
        <is>
          <t>Pullback</t>
        </is>
      </c>
      <c r="AQ1093" s="740" t="inlineStr">
        <is>
          <t>1MIN</t>
        </is>
      </c>
      <c r="AR1093" s="740" t="inlineStr">
        <is>
          <t>No</t>
        </is>
      </c>
      <c r="AS1093" s="755" t="n"/>
      <c r="AT1093" s="755" t="n"/>
      <c r="AU1093" s="755" t="n"/>
      <c r="AV1093" s="755" t="n"/>
      <c r="AW1093" s="740" t="inlineStr">
        <is>
          <t>trade</t>
        </is>
      </c>
      <c r="AX1093" s="756" t="inlineStr">
        <is>
          <t>sig:b949e147296a8d0a106fa34f</t>
        </is>
      </c>
    </row>
    <row r="1094" ht="15" customHeight="1">
      <c r="A1094" s="716" t="inlineStr">
        <is>
          <t>F450</t>
        </is>
      </c>
      <c r="B1094" s="717" t="n">
        <v>43498</v>
      </c>
      <c r="C1094" s="718" t="n">
        <v>43498.01388888889</v>
      </c>
      <c r="D1094" s="719" t="inlineStr">
        <is>
          <t>PEPPERSTONE DEMO</t>
        </is>
      </c>
      <c r="E1094" s="719" t="inlineStr">
        <is>
          <t>EURUSD</t>
        </is>
      </c>
      <c r="F1094" s="719" t="inlineStr">
        <is>
          <t>BUY</t>
        </is>
      </c>
      <c r="G1094" s="735" t="n">
        <v>0.04</v>
      </c>
      <c r="H1094" s="720" t="n">
        <v>1.1474</v>
      </c>
      <c r="I1094" s="720" t="n">
        <v>1.14672</v>
      </c>
      <c r="J1094" s="721" t="n">
        <v>1.1467</v>
      </c>
      <c r="K1094" s="760" t="n">
        <v>0.0006100749520654723</v>
      </c>
      <c r="L1094" s="721" t="n">
        <v>1.1488</v>
      </c>
      <c r="M1094" s="722" t="n">
        <v>0.001220149904131138</v>
      </c>
      <c r="N1094" s="788" t="n"/>
      <c r="O1094" s="762" t="n">
        <v>-3.86</v>
      </c>
      <c r="P1094" s="725" t="n">
        <v>-0.008420225993630296</v>
      </c>
      <c r="Q1094" s="726" t="n">
        <v>-0.9714285714286983</v>
      </c>
      <c r="R1094" s="764" t="n">
        <v>454.5599999999999</v>
      </c>
      <c r="S1094" s="719" t="inlineStr">
        <is>
          <t>20M 0S</t>
        </is>
      </c>
      <c r="T1094" s="728" t="n"/>
      <c r="U1094" s="729" t="n"/>
      <c r="V1094" s="730" t="n"/>
      <c r="W1094" s="731" t="n"/>
      <c r="X1094" s="732" t="n"/>
      <c r="Y1094" s="728" t="n"/>
      <c r="Z1094" s="729" t="n"/>
      <c r="AA1094" s="730" t="n"/>
      <c r="AB1094" s="731" t="n"/>
      <c r="AC1094" s="732" t="n"/>
      <c r="AD1094" s="719" t="inlineStr">
        <is>
          <t>No</t>
        </is>
      </c>
      <c r="AE1094" s="733" t="n"/>
      <c r="AF1094" s="733" t="n"/>
      <c r="AG1094" s="733" t="n"/>
      <c r="AH1094" s="733" t="n"/>
      <c r="AI1094" s="719" t="inlineStr">
        <is>
          <t>Market</t>
        </is>
      </c>
      <c r="AJ1094" s="733" t="n"/>
      <c r="AK1094" s="733" t="n"/>
      <c r="AL1094" s="733" t="n"/>
      <c r="AM1094" s="733" t="n"/>
      <c r="AN1094" s="733" t="n"/>
      <c r="AO1094" s="733" t="n"/>
      <c r="AP1094" s="719" t="inlineStr">
        <is>
          <t>Pullback</t>
        </is>
      </c>
      <c r="AQ1094" s="719" t="inlineStr">
        <is>
          <t>5MIN</t>
        </is>
      </c>
      <c r="AR1094" s="719" t="inlineStr">
        <is>
          <t>No</t>
        </is>
      </c>
      <c r="AS1094" s="733" t="n"/>
      <c r="AT1094" s="733" t="n"/>
      <c r="AU1094" s="733" t="n"/>
      <c r="AV1094" s="733" t="n"/>
      <c r="AW1094" s="719" t="inlineStr">
        <is>
          <t>trade</t>
        </is>
      </c>
      <c r="AX1094" s="734" t="inlineStr">
        <is>
          <t>sig:0e6ff2b22d7e121fd3fc9ec0</t>
        </is>
      </c>
    </row>
    <row r="1095" ht="15" customHeight="1">
      <c r="A1095" s="716" t="inlineStr">
        <is>
          <t>F448</t>
        </is>
      </c>
      <c r="B1095" s="717" t="n">
        <v>43497.99166666667</v>
      </c>
      <c r="C1095" s="718" t="n">
        <v>43497.99513888889</v>
      </c>
      <c r="D1095" s="719" t="inlineStr">
        <is>
          <t>PEPPERSTONE DEMO</t>
        </is>
      </c>
      <c r="E1095" s="719" t="inlineStr">
        <is>
          <t>EURUSD</t>
        </is>
      </c>
      <c r="F1095" s="719" t="inlineStr">
        <is>
          <t>BUY</t>
        </is>
      </c>
      <c r="G1095" s="735" t="n">
        <v>0.06</v>
      </c>
      <c r="H1095" s="720" t="n">
        <v>1.148</v>
      </c>
      <c r="I1095" s="720" t="n">
        <v>1.14759</v>
      </c>
      <c r="J1095" s="721" t="n">
        <v>1.1475</v>
      </c>
      <c r="K1095" s="760" t="n">
        <v>0.0004355400696863632</v>
      </c>
      <c r="L1095" s="721" t="n">
        <v>1.149</v>
      </c>
      <c r="M1095" s="760" t="n">
        <v>0.0008710801393729199</v>
      </c>
      <c r="N1095" s="788" t="n"/>
      <c r="O1095" s="762" t="n">
        <v>-4.13</v>
      </c>
      <c r="P1095" s="725" t="n">
        <v>-0.008928764457896445</v>
      </c>
      <c r="Q1095" s="726" t="n">
        <v>-0.8199999999996891</v>
      </c>
      <c r="R1095" s="764" t="n">
        <v>458.4199999999999</v>
      </c>
      <c r="S1095" s="719" t="inlineStr">
        <is>
          <t>5M 0S</t>
        </is>
      </c>
      <c r="T1095" s="728" t="n"/>
      <c r="U1095" s="729" t="n"/>
      <c r="V1095" s="730" t="n"/>
      <c r="W1095" s="731" t="n"/>
      <c r="X1095" s="732" t="n"/>
      <c r="Y1095" s="728" t="n"/>
      <c r="Z1095" s="729" t="n"/>
      <c r="AA1095" s="730" t="n"/>
      <c r="AB1095" s="731" t="n"/>
      <c r="AC1095" s="732" t="n"/>
      <c r="AD1095" s="719" t="inlineStr">
        <is>
          <t>No</t>
        </is>
      </c>
      <c r="AE1095" s="733" t="n"/>
      <c r="AF1095" s="733" t="n"/>
      <c r="AG1095" s="733" t="n"/>
      <c r="AH1095" s="733" t="n"/>
      <c r="AI1095" s="719" t="inlineStr">
        <is>
          <t>Market</t>
        </is>
      </c>
      <c r="AJ1095" s="733" t="n"/>
      <c r="AK1095" s="733" t="n"/>
      <c r="AL1095" s="733" t="n"/>
      <c r="AM1095" s="733" t="n"/>
      <c r="AN1095" s="733" t="n"/>
      <c r="AO1095" s="733" t="n"/>
      <c r="AP1095" s="719" t="inlineStr">
        <is>
          <t>Pullback</t>
        </is>
      </c>
      <c r="AQ1095" s="719" t="inlineStr">
        <is>
          <t>1MIN</t>
        </is>
      </c>
      <c r="AR1095" s="719" t="inlineStr">
        <is>
          <t>No</t>
        </is>
      </c>
      <c r="AS1095" s="733" t="n"/>
      <c r="AT1095" s="733" t="n"/>
      <c r="AU1095" s="733" t="n"/>
      <c r="AV1095" s="733" t="n"/>
      <c r="AW1095" s="719" t="inlineStr">
        <is>
          <t>trade</t>
        </is>
      </c>
      <c r="AX1095" s="734" t="inlineStr">
        <is>
          <t>sig:fa30c2b4aa8ad624f1eea0d8</t>
        </is>
      </c>
    </row>
    <row r="1096" ht="15" customHeight="1">
      <c r="A1096" s="716" t="inlineStr">
        <is>
          <t>F446</t>
        </is>
      </c>
      <c r="B1096" s="717" t="n">
        <v>43497.17291666667</v>
      </c>
      <c r="C1096" s="718" t="n">
        <v>43497.96805555555</v>
      </c>
      <c r="D1096" s="719" t="inlineStr">
        <is>
          <t>PEPPERSTONE DEMO</t>
        </is>
      </c>
      <c r="E1096" s="719" t="inlineStr">
        <is>
          <t>USDJPY</t>
        </is>
      </c>
      <c r="F1096" s="719" t="inlineStr">
        <is>
          <t>SELL</t>
        </is>
      </c>
      <c r="G1096" s="735" t="n">
        <v>0.02</v>
      </c>
      <c r="H1096" s="720" t="n">
        <v>108.83</v>
      </c>
      <c r="I1096" s="720" t="n">
        <v>108.904</v>
      </c>
      <c r="J1096" s="721" t="n">
        <v>108.98</v>
      </c>
      <c r="K1096" s="722" t="n">
        <v>0.001378296425617989</v>
      </c>
      <c r="L1096" s="721" t="n">
        <v>108.53</v>
      </c>
      <c r="M1096" s="722" t="n">
        <v>0.002756592851235847</v>
      </c>
      <c r="N1096" s="761" t="n">
        <v>0.21</v>
      </c>
      <c r="O1096" s="762" t="n">
        <v>-2.08</v>
      </c>
      <c r="P1096" s="725" t="n">
        <v>-0.004476680369326132</v>
      </c>
      <c r="Q1096" s="726" t="n">
        <v>-0.4933333333333018</v>
      </c>
      <c r="R1096" s="764" t="n">
        <v>462.5499999999999</v>
      </c>
      <c r="S1096" s="719" t="inlineStr">
        <is>
          <t>19H 5M 0S</t>
        </is>
      </c>
      <c r="T1096" s="728" t="n"/>
      <c r="U1096" s="729" t="n"/>
      <c r="V1096" s="730" t="n"/>
      <c r="W1096" s="731" t="n"/>
      <c r="X1096" s="732" t="n"/>
      <c r="Y1096" s="728" t="n"/>
      <c r="Z1096" s="729" t="n"/>
      <c r="AA1096" s="730" t="n"/>
      <c r="AB1096" s="731" t="n"/>
      <c r="AC1096" s="732" t="n"/>
      <c r="AD1096" s="719" t="inlineStr">
        <is>
          <t>No</t>
        </is>
      </c>
      <c r="AE1096" s="733" t="n"/>
      <c r="AF1096" s="733" t="n"/>
      <c r="AG1096" s="733" t="n"/>
      <c r="AH1096" s="733" t="n"/>
      <c r="AI1096" s="719" t="inlineStr">
        <is>
          <t>Limit</t>
        </is>
      </c>
      <c r="AJ1096" s="733" t="n"/>
      <c r="AK1096" s="733" t="n"/>
      <c r="AL1096" s="733" t="n"/>
      <c r="AM1096" s="733" t="n"/>
      <c r="AN1096" s="733" t="n"/>
      <c r="AO1096" s="733" t="n"/>
      <c r="AP1096" s="719" t="inlineStr">
        <is>
          <t>Pullback</t>
        </is>
      </c>
      <c r="AQ1096" s="719" t="inlineStr">
        <is>
          <t>1H</t>
        </is>
      </c>
      <c r="AR1096" s="719" t="inlineStr">
        <is>
          <t>No</t>
        </is>
      </c>
      <c r="AS1096" s="733" t="n"/>
      <c r="AT1096" s="733" t="n"/>
      <c r="AU1096" s="733" t="n"/>
      <c r="AV1096" s="733" t="n"/>
      <c r="AW1096" s="719" t="inlineStr">
        <is>
          <t>trade</t>
        </is>
      </c>
      <c r="AX1096" s="734" t="inlineStr">
        <is>
          <t>sig:b26626478c4c16fb9d85ee68</t>
        </is>
      </c>
    </row>
    <row r="1097" ht="15" customHeight="1">
      <c r="A1097" s="737" t="inlineStr">
        <is>
          <t>F447</t>
        </is>
      </c>
      <c r="B1097" s="738" t="n">
        <v>43497.05694444444</v>
      </c>
      <c r="C1097" s="739" t="n">
        <v>43497.09513888889</v>
      </c>
      <c r="D1097" s="740" t="inlineStr">
        <is>
          <t>PEPPERSTONE DEMO</t>
        </is>
      </c>
      <c r="E1097" s="740" t="inlineStr">
        <is>
          <t>USDCAD</t>
        </is>
      </c>
      <c r="F1097" s="740" t="inlineStr">
        <is>
          <t>SELL</t>
        </is>
      </c>
      <c r="G1097" s="775" t="n">
        <v>0.03</v>
      </c>
      <c r="H1097" s="742" t="n">
        <v>1.3151</v>
      </c>
      <c r="I1097" s="742" t="n">
        <v>1.31351</v>
      </c>
      <c r="J1097" s="743" t="n">
        <v>1.3171</v>
      </c>
      <c r="K1097" s="744" t="n">
        <v>0.00152079689757433</v>
      </c>
      <c r="L1097" s="743" t="n">
        <v>1.3111</v>
      </c>
      <c r="M1097" s="744" t="n">
        <v>0.003041593795148661</v>
      </c>
      <c r="N1097" s="766" t="n"/>
      <c r="O1097" s="767" t="n">
        <v>1.71</v>
      </c>
      <c r="P1097" s="747" t="n">
        <v>0.003693942797891645</v>
      </c>
      <c r="Q1097" s="748" t="n">
        <v>0.7949999999999895</v>
      </c>
      <c r="R1097" s="769" t="n">
        <v>464.6299999999999</v>
      </c>
      <c r="S1097" s="740" t="inlineStr">
        <is>
          <t>55M 0S</t>
        </is>
      </c>
      <c r="T1097" s="738" t="n">
        <v>43497.07291666666</v>
      </c>
      <c r="U1097" s="809" t="inlineStr">
        <is>
          <t>23M 0S</t>
        </is>
      </c>
      <c r="V1097" s="752" t="n"/>
      <c r="W1097" s="753" t="n"/>
      <c r="X1097" s="754" t="n"/>
      <c r="Y1097" s="750" t="n"/>
      <c r="Z1097" s="751" t="n"/>
      <c r="AA1097" s="752" t="n"/>
      <c r="AB1097" s="753" t="n"/>
      <c r="AC1097" s="754" t="n"/>
      <c r="AD1097" s="740" t="inlineStr">
        <is>
          <t>No</t>
        </is>
      </c>
      <c r="AE1097" s="755" t="n"/>
      <c r="AF1097" s="755" t="n"/>
      <c r="AG1097" s="755" t="n"/>
      <c r="AH1097" s="755" t="n"/>
      <c r="AI1097" s="740" t="inlineStr">
        <is>
          <t>Limit</t>
        </is>
      </c>
      <c r="AJ1097" s="755" t="n"/>
      <c r="AK1097" s="755" t="n"/>
      <c r="AL1097" s="755" t="n"/>
      <c r="AM1097" s="755" t="n"/>
      <c r="AN1097" s="755" t="n"/>
      <c r="AO1097" s="755" t="n"/>
      <c r="AP1097" s="740" t="inlineStr">
        <is>
          <t>Pullback</t>
        </is>
      </c>
      <c r="AQ1097" s="740" t="inlineStr">
        <is>
          <t>1H</t>
        </is>
      </c>
      <c r="AR1097" s="740" t="inlineStr">
        <is>
          <t>No</t>
        </is>
      </c>
      <c r="AS1097" s="755" t="n"/>
      <c r="AT1097" s="755" t="n"/>
      <c r="AU1097" s="755" t="n"/>
      <c r="AV1097" s="755" t="n"/>
      <c r="AW1097" s="740" t="inlineStr">
        <is>
          <t>trade</t>
        </is>
      </c>
      <c r="AX1097" s="756" t="inlineStr">
        <is>
          <t>sig:75fe7bd2a366ff637119b819</t>
        </is>
      </c>
    </row>
    <row r="1098" ht="15" customHeight="1">
      <c r="A1098" s="716" t="inlineStr">
        <is>
          <t>F445</t>
        </is>
      </c>
      <c r="B1098" s="717" t="n">
        <v>43496.95208333333</v>
      </c>
      <c r="C1098" s="718" t="n">
        <v>43497.08125</v>
      </c>
      <c r="D1098" s="719" t="inlineStr">
        <is>
          <t>PEPPERSTONE DEMO</t>
        </is>
      </c>
      <c r="E1098" s="719" t="inlineStr">
        <is>
          <t>USDJPY</t>
        </is>
      </c>
      <c r="F1098" s="719" t="inlineStr">
        <is>
          <t>SELL</t>
        </is>
      </c>
      <c r="G1098" s="735" t="n">
        <v>0.03</v>
      </c>
      <c r="H1098" s="720" t="n">
        <v>108.63</v>
      </c>
      <c r="I1098" s="720" t="n">
        <v>108.822</v>
      </c>
      <c r="J1098" s="721" t="n">
        <v>108.82</v>
      </c>
      <c r="K1098" s="722" t="n">
        <v>0.00174905643008375</v>
      </c>
      <c r="L1098" s="721" t="n">
        <v>108.25</v>
      </c>
      <c r="M1098" s="722" t="n">
        <v>0.0034981128601675</v>
      </c>
      <c r="N1098" s="788" t="n"/>
      <c r="O1098" s="762" t="n">
        <v>-7.18</v>
      </c>
      <c r="P1098" s="725" t="n">
        <v>-0.0152733460965752</v>
      </c>
      <c r="Q1098" s="726" t="n">
        <v>-1.010526315789524</v>
      </c>
      <c r="R1098" s="764" t="n">
        <v>462.9199999999999</v>
      </c>
      <c r="S1098" s="719" t="inlineStr">
        <is>
          <t>3H 6M 0S</t>
        </is>
      </c>
      <c r="T1098" s="717" t="n"/>
      <c r="U1098" s="806" t="n"/>
      <c r="V1098" s="730" t="n"/>
      <c r="W1098" s="731" t="n"/>
      <c r="X1098" s="732" t="n"/>
      <c r="Y1098" s="728" t="n"/>
      <c r="Z1098" s="729" t="n"/>
      <c r="AA1098" s="730" t="n"/>
      <c r="AB1098" s="731" t="n"/>
      <c r="AC1098" s="732" t="n"/>
      <c r="AD1098" s="719" t="inlineStr">
        <is>
          <t>No</t>
        </is>
      </c>
      <c r="AE1098" s="733" t="n"/>
      <c r="AF1098" s="733" t="n"/>
      <c r="AG1098" s="733" t="n"/>
      <c r="AH1098" s="733" t="n"/>
      <c r="AI1098" s="719" t="inlineStr">
        <is>
          <t>Limit</t>
        </is>
      </c>
      <c r="AJ1098" s="733" t="n"/>
      <c r="AK1098" s="733" t="n"/>
      <c r="AL1098" s="733" t="n"/>
      <c r="AM1098" s="733" t="n"/>
      <c r="AN1098" s="733" t="n"/>
      <c r="AO1098" s="733" t="n"/>
      <c r="AP1098" s="719" t="inlineStr">
        <is>
          <t>Pullback</t>
        </is>
      </c>
      <c r="AQ1098" s="719" t="inlineStr">
        <is>
          <t>1H</t>
        </is>
      </c>
      <c r="AR1098" s="719" t="inlineStr">
        <is>
          <t>No</t>
        </is>
      </c>
      <c r="AS1098" s="733" t="n"/>
      <c r="AT1098" s="733" t="n"/>
      <c r="AU1098" s="733" t="n"/>
      <c r="AV1098" s="733" t="n"/>
      <c r="AW1098" s="719" t="inlineStr">
        <is>
          <t>trade</t>
        </is>
      </c>
      <c r="AX1098" s="734" t="inlineStr">
        <is>
          <t>sig:644a263c2ca2160a3ad1d3ad</t>
        </is>
      </c>
    </row>
    <row r="1099" ht="15" customHeight="1">
      <c r="A1099" s="716" t="inlineStr">
        <is>
          <t>F444</t>
        </is>
      </c>
      <c r="B1099" s="717" t="n">
        <v>43496.93541666667</v>
      </c>
      <c r="C1099" s="718" t="n">
        <v>43497.04375</v>
      </c>
      <c r="D1099" s="719" t="inlineStr">
        <is>
          <t>PEPPERSTONE DEMO</t>
        </is>
      </c>
      <c r="E1099" s="719" t="inlineStr">
        <is>
          <t>EURUSD</t>
        </is>
      </c>
      <c r="F1099" s="719" t="inlineStr">
        <is>
          <t>BUY</t>
        </is>
      </c>
      <c r="G1099" s="735" t="n">
        <v>0.02</v>
      </c>
      <c r="H1099" s="720" t="n">
        <v>1.1494</v>
      </c>
      <c r="I1099" s="720" t="n">
        <v>1.14744</v>
      </c>
      <c r="J1099" s="721" t="n">
        <v>1.1474</v>
      </c>
      <c r="K1099" s="722" t="n">
        <v>0.00174003828084218</v>
      </c>
      <c r="L1099" s="721" t="n">
        <v>1.1534</v>
      </c>
      <c r="M1099" s="722" t="n">
        <v>0.00348007656168436</v>
      </c>
      <c r="N1099" s="788" t="n"/>
      <c r="O1099" s="762" t="n">
        <v>-5.5</v>
      </c>
      <c r="P1099" s="725" t="n">
        <v>-0.01156433978132885</v>
      </c>
      <c r="Q1099" s="726" t="n">
        <v>-0.97999999999998</v>
      </c>
      <c r="R1099" s="764" t="n">
        <v>470.0999999999999</v>
      </c>
      <c r="S1099" s="719" t="inlineStr">
        <is>
          <t>2H 36M 0S</t>
        </is>
      </c>
      <c r="T1099" s="728" t="n"/>
      <c r="U1099" s="729" t="n"/>
      <c r="V1099" s="730" t="n"/>
      <c r="W1099" s="731" t="n"/>
      <c r="X1099" s="732" t="n"/>
      <c r="Y1099" s="728" t="n"/>
      <c r="Z1099" s="729" t="n"/>
      <c r="AA1099" s="730" t="n"/>
      <c r="AB1099" s="731" t="n"/>
      <c r="AC1099" s="732" t="n"/>
      <c r="AD1099" s="719" t="inlineStr">
        <is>
          <t>No</t>
        </is>
      </c>
      <c r="AE1099" s="733" t="n"/>
      <c r="AF1099" s="733" t="n"/>
      <c r="AG1099" s="733" t="n"/>
      <c r="AH1099" s="733" t="n"/>
      <c r="AI1099" s="719" t="inlineStr">
        <is>
          <t>Limit</t>
        </is>
      </c>
      <c r="AJ1099" s="733" t="n"/>
      <c r="AK1099" s="733" t="n"/>
      <c r="AL1099" s="733" t="n"/>
      <c r="AM1099" s="733" t="n"/>
      <c r="AN1099" s="733" t="n"/>
      <c r="AO1099" s="733" t="n"/>
      <c r="AP1099" s="719" t="inlineStr">
        <is>
          <t>Pullback</t>
        </is>
      </c>
      <c r="AQ1099" s="719" t="inlineStr">
        <is>
          <t>1H</t>
        </is>
      </c>
      <c r="AR1099" s="719" t="inlineStr">
        <is>
          <t>No</t>
        </is>
      </c>
      <c r="AS1099" s="733" t="n"/>
      <c r="AT1099" s="733" t="n"/>
      <c r="AU1099" s="733" t="n"/>
      <c r="AV1099" s="733" t="n"/>
      <c r="AW1099" s="719" t="inlineStr">
        <is>
          <t>trade</t>
        </is>
      </c>
      <c r="AX1099" s="734" t="inlineStr">
        <is>
          <t>sig:13ddc79d18b59d58b4b2a7d9</t>
        </is>
      </c>
    </row>
    <row r="1100" ht="15" customHeight="1">
      <c r="A1100" s="737" t="inlineStr">
        <is>
          <t>F443</t>
        </is>
      </c>
      <c r="B1100" s="738" t="n">
        <v>43496.00833333333</v>
      </c>
      <c r="C1100" s="739" t="n">
        <v>43496.19861111111</v>
      </c>
      <c r="D1100" s="740" t="inlineStr">
        <is>
          <t>PEPPERSTONE DEMO</t>
        </is>
      </c>
      <c r="E1100" s="740" t="inlineStr">
        <is>
          <t>AUDUSD</t>
        </is>
      </c>
      <c r="F1100" s="740" t="inlineStr">
        <is>
          <t>BUY</t>
        </is>
      </c>
      <c r="G1100" s="775" t="n">
        <v>0.04</v>
      </c>
      <c r="H1100" s="742" t="n">
        <v>0.7183</v>
      </c>
      <c r="I1100" s="742" t="n">
        <v>0.71938</v>
      </c>
      <c r="J1100" s="743" t="n">
        <v>0.7173</v>
      </c>
      <c r="K1100" s="744" t="n">
        <v>0.001392175971042741</v>
      </c>
      <c r="L1100" s="743" t="n">
        <v>0.7203000000000001</v>
      </c>
      <c r="M1100" s="744" t="n">
        <v>0.002784351942085482</v>
      </c>
      <c r="N1100" s="796" t="n"/>
      <c r="O1100" s="767" t="n">
        <v>5.84</v>
      </c>
      <c r="P1100" s="747" t="n">
        <v>0.01243188010899183</v>
      </c>
      <c r="Q1100" s="748" t="n">
        <v>1.079999999999969</v>
      </c>
      <c r="R1100" s="769" t="n">
        <v>475.5999999999999</v>
      </c>
      <c r="S1100" s="740" t="inlineStr">
        <is>
          <t>4H 34M 0S</t>
        </is>
      </c>
      <c r="T1100" s="738" t="n"/>
      <c r="U1100" s="809" t="n"/>
      <c r="V1100" s="752" t="n"/>
      <c r="W1100" s="753" t="n"/>
      <c r="X1100" s="754" t="n"/>
      <c r="Y1100" s="750" t="n"/>
      <c r="Z1100" s="751" t="n"/>
      <c r="AA1100" s="752" t="n"/>
      <c r="AB1100" s="753" t="n"/>
      <c r="AC1100" s="754" t="n"/>
      <c r="AD1100" s="740" t="inlineStr">
        <is>
          <t>No</t>
        </is>
      </c>
      <c r="AE1100" s="755" t="n"/>
      <c r="AF1100" s="755" t="n"/>
      <c r="AG1100" s="755" t="n"/>
      <c r="AH1100" s="755" t="n"/>
      <c r="AI1100" s="740" t="inlineStr">
        <is>
          <t>Limit</t>
        </is>
      </c>
      <c r="AJ1100" s="755" t="n"/>
      <c r="AK1100" s="755" t="n"/>
      <c r="AL1100" s="755" t="n"/>
      <c r="AM1100" s="755" t="n"/>
      <c r="AN1100" s="755" t="n"/>
      <c r="AO1100" s="755" t="n"/>
      <c r="AP1100" s="740" t="inlineStr">
        <is>
          <t>Pullback</t>
        </is>
      </c>
      <c r="AQ1100" s="740" t="inlineStr">
        <is>
          <t>1H</t>
        </is>
      </c>
      <c r="AR1100" s="740" t="inlineStr">
        <is>
          <t>No</t>
        </is>
      </c>
      <c r="AS1100" s="755" t="n"/>
      <c r="AT1100" s="755" t="n"/>
      <c r="AU1100" s="755" t="n"/>
      <c r="AV1100" s="755" t="n"/>
      <c r="AW1100" s="740" t="inlineStr">
        <is>
          <t>trade</t>
        </is>
      </c>
      <c r="AX1100" s="756" t="inlineStr">
        <is>
          <t>sig:161333d05a9f77625452884a</t>
        </is>
      </c>
    </row>
    <row r="1101" ht="15" customHeight="1">
      <c r="A1101" s="716" t="inlineStr">
        <is>
          <t>F442</t>
        </is>
      </c>
      <c r="B1101" s="717" t="n">
        <v>43494.66736111111</v>
      </c>
      <c r="C1101" s="718" t="n">
        <v>43495.27569444444</v>
      </c>
      <c r="D1101" s="719" t="inlineStr">
        <is>
          <t>PEPPERSTONE DEMO</t>
        </is>
      </c>
      <c r="E1101" s="719" t="inlineStr">
        <is>
          <t>AUDUSD</t>
        </is>
      </c>
      <c r="F1101" s="719" t="inlineStr">
        <is>
          <t>BUY</t>
        </is>
      </c>
      <c r="G1101" s="735" t="n">
        <v>0.01</v>
      </c>
      <c r="H1101" s="720" t="n">
        <v>0.7165</v>
      </c>
      <c r="I1101" s="720" t="n">
        <v>0.7148099999999999</v>
      </c>
      <c r="J1101" s="721" t="n">
        <v>0.713</v>
      </c>
      <c r="K1101" s="722" t="n">
        <v>0.004884856943475308</v>
      </c>
      <c r="L1101" s="721" t="n">
        <v>0.7235</v>
      </c>
      <c r="M1101" s="722" t="n">
        <v>0.009769713886950462</v>
      </c>
      <c r="N1101" s="761" t="n"/>
      <c r="O1101" s="762" t="n">
        <v>-2.46</v>
      </c>
      <c r="P1101" s="725" t="n">
        <v>-0.005209436279700141</v>
      </c>
      <c r="Q1101" s="726" t="n">
        <v>-0.4828571428571577</v>
      </c>
      <c r="R1101" s="764" t="n">
        <v>469.7599999999999</v>
      </c>
      <c r="S1101" s="719" t="inlineStr">
        <is>
          <t>14H 36M 0S</t>
        </is>
      </c>
      <c r="T1101" s="728" t="n"/>
      <c r="U1101" s="729" t="n"/>
      <c r="V1101" s="730" t="n"/>
      <c r="W1101" s="731" t="n"/>
      <c r="X1101" s="732" t="n"/>
      <c r="Y1101" s="728" t="n"/>
      <c r="Z1101" s="729" t="n"/>
      <c r="AA1101" s="730" t="n"/>
      <c r="AB1101" s="731" t="n"/>
      <c r="AC1101" s="732" t="n"/>
      <c r="AD1101" s="719" t="inlineStr">
        <is>
          <t>No</t>
        </is>
      </c>
      <c r="AE1101" s="733" t="n"/>
      <c r="AF1101" s="733" t="n"/>
      <c r="AG1101" s="733" t="n"/>
      <c r="AH1101" s="733" t="n"/>
      <c r="AI1101" s="719" t="inlineStr">
        <is>
          <t>Market</t>
        </is>
      </c>
      <c r="AJ1101" s="733" t="n"/>
      <c r="AK1101" s="733" t="n"/>
      <c r="AL1101" s="733" t="n"/>
      <c r="AM1101" s="733" t="n"/>
      <c r="AN1101" s="733" t="n"/>
      <c r="AO1101" s="733" t="n"/>
      <c r="AP1101" s="719" t="inlineStr">
        <is>
          <t>Pullback</t>
        </is>
      </c>
      <c r="AQ1101" s="719" t="inlineStr">
        <is>
          <t>4H</t>
        </is>
      </c>
      <c r="AR1101" s="719" t="inlineStr">
        <is>
          <t>No</t>
        </is>
      </c>
      <c r="AS1101" s="733" t="n"/>
      <c r="AT1101" s="733" t="n"/>
      <c r="AU1101" s="733" t="n"/>
      <c r="AV1101" s="733" t="n"/>
      <c r="AW1101" s="719" t="inlineStr">
        <is>
          <t>trade</t>
        </is>
      </c>
      <c r="AX1101" s="734" t="inlineStr">
        <is>
          <t>sig:b51fb21508013f18051a8969</t>
        </is>
      </c>
    </row>
    <row r="1102" ht="15" customHeight="1">
      <c r="A1102" s="716" t="inlineStr">
        <is>
          <t>F441</t>
        </is>
      </c>
      <c r="B1102" s="717" t="n">
        <v>43494.70694444444</v>
      </c>
      <c r="C1102" s="718" t="n">
        <v>43495.08194444444</v>
      </c>
      <c r="D1102" s="719" t="inlineStr">
        <is>
          <t>PEPPERSTONE DEMO</t>
        </is>
      </c>
      <c r="E1102" s="719" t="inlineStr">
        <is>
          <t>USDCAD</t>
        </is>
      </c>
      <c r="F1102" s="719" t="inlineStr">
        <is>
          <t>SELL</t>
        </is>
      </c>
      <c r="G1102" s="735" t="n">
        <v>0.02</v>
      </c>
      <c r="H1102" s="720" t="n">
        <v>1.3251</v>
      </c>
      <c r="I1102" s="720" t="n">
        <v>1.32761</v>
      </c>
      <c r="J1102" s="721" t="n">
        <v>1.3276</v>
      </c>
      <c r="K1102" s="722" t="n">
        <v>0.001886650064146062</v>
      </c>
      <c r="L1102" s="721" t="n">
        <v>1.3201</v>
      </c>
      <c r="M1102" s="722" t="n">
        <v>0.003773300128292124</v>
      </c>
      <c r="N1102" s="761" t="n"/>
      <c r="O1102" s="762" t="n">
        <v>-5.27</v>
      </c>
      <c r="P1102" s="725" t="n">
        <v>-0.01103688035351526</v>
      </c>
      <c r="Q1102" s="726" t="n">
        <v>-1.004000000000026</v>
      </c>
      <c r="R1102" s="764" t="n">
        <v>472.2199999999999</v>
      </c>
      <c r="S1102" s="719" t="inlineStr">
        <is>
          <t>9H 0M 0S</t>
        </is>
      </c>
      <c r="T1102" s="728" t="n"/>
      <c r="U1102" s="729" t="n"/>
      <c r="V1102" s="730" t="n"/>
      <c r="W1102" s="731" t="n"/>
      <c r="X1102" s="732" t="n"/>
      <c r="Y1102" s="728" t="n"/>
      <c r="Z1102" s="729" t="n"/>
      <c r="AA1102" s="730" t="n"/>
      <c r="AB1102" s="731" t="n"/>
      <c r="AC1102" s="732" t="n"/>
      <c r="AD1102" s="719" t="inlineStr">
        <is>
          <t>No</t>
        </is>
      </c>
      <c r="AE1102" s="733" t="n"/>
      <c r="AF1102" s="733" t="n"/>
      <c r="AG1102" s="733" t="n"/>
      <c r="AH1102" s="733" t="n"/>
      <c r="AI1102" s="719" t="inlineStr">
        <is>
          <t>Limit</t>
        </is>
      </c>
      <c r="AJ1102" s="733" t="n"/>
      <c r="AK1102" s="733" t="n"/>
      <c r="AL1102" s="733" t="n"/>
      <c r="AM1102" s="733" t="n"/>
      <c r="AN1102" s="733" t="n"/>
      <c r="AO1102" s="733" t="n"/>
      <c r="AP1102" s="719" t="inlineStr">
        <is>
          <t>Pullback</t>
        </is>
      </c>
      <c r="AQ1102" s="719" t="inlineStr">
        <is>
          <t>4H</t>
        </is>
      </c>
      <c r="AR1102" s="719" t="inlineStr">
        <is>
          <t>No</t>
        </is>
      </c>
      <c r="AS1102" s="733" t="n"/>
      <c r="AT1102" s="733" t="n"/>
      <c r="AU1102" s="733" t="n"/>
      <c r="AV1102" s="733" t="n"/>
      <c r="AW1102" s="719" t="inlineStr">
        <is>
          <t>trade</t>
        </is>
      </c>
      <c r="AX1102" s="734" t="inlineStr">
        <is>
          <t>sig:49cf9eb7292d617da31cfaa4</t>
        </is>
      </c>
    </row>
    <row r="1103" ht="15" customHeight="1">
      <c r="A1103" s="716" t="inlineStr">
        <is>
          <t>F440</t>
        </is>
      </c>
      <c r="B1103" s="717" t="n">
        <v>43493.87916666667</v>
      </c>
      <c r="C1103" s="718" t="n">
        <v>43493.91527777778</v>
      </c>
      <c r="D1103" s="719" t="inlineStr">
        <is>
          <t>PEPPERSTONE DEMO</t>
        </is>
      </c>
      <c r="E1103" s="719" t="inlineStr">
        <is>
          <t>USDCAD</t>
        </is>
      </c>
      <c r="F1103" s="719" t="inlineStr">
        <is>
          <t>BUY</t>
        </is>
      </c>
      <c r="G1103" s="735" t="n">
        <v>0.03</v>
      </c>
      <c r="H1103" s="720" t="n">
        <v>1.3218</v>
      </c>
      <c r="I1103" s="720" t="n">
        <v>1.32375</v>
      </c>
      <c r="J1103" s="721" t="n">
        <v>1.3199</v>
      </c>
      <c r="K1103" s="722" t="n">
        <v>0.001437433802390689</v>
      </c>
      <c r="L1103" s="721" t="n">
        <v>1.318</v>
      </c>
      <c r="M1103" s="722" t="n">
        <v>0.002874867604781378</v>
      </c>
      <c r="N1103" s="788" t="n"/>
      <c r="O1103" s="762" t="n">
        <v>-6.01</v>
      </c>
      <c r="P1103" s="725" t="n">
        <v>-0.01243019648397104</v>
      </c>
      <c r="Q1103" s="726" t="n">
        <v>1.026315789473623</v>
      </c>
      <c r="R1103" s="764" t="n">
        <v>477.4899999999999</v>
      </c>
      <c r="S1103" s="719" t="inlineStr">
        <is>
          <t>52M 0S</t>
        </is>
      </c>
      <c r="T1103" s="728" t="n"/>
      <c r="U1103" s="729" t="n"/>
      <c r="V1103" s="730" t="n"/>
      <c r="W1103" s="731" t="n"/>
      <c r="X1103" s="732" t="n"/>
      <c r="Y1103" s="728" t="n"/>
      <c r="Z1103" s="729" t="n"/>
      <c r="AA1103" s="730" t="n"/>
      <c r="AB1103" s="731" t="n"/>
      <c r="AC1103" s="732" t="n"/>
      <c r="AD1103" s="719" t="inlineStr">
        <is>
          <t>No</t>
        </is>
      </c>
      <c r="AE1103" s="733" t="n"/>
      <c r="AF1103" s="733" t="n"/>
      <c r="AG1103" s="733" t="n"/>
      <c r="AH1103" s="733" t="n"/>
      <c r="AI1103" s="719" t="inlineStr">
        <is>
          <t>Limit</t>
        </is>
      </c>
      <c r="AJ1103" s="733" t="n"/>
      <c r="AK1103" s="733" t="n"/>
      <c r="AL1103" s="733" t="n"/>
      <c r="AM1103" s="733" t="n"/>
      <c r="AN1103" s="733" t="n"/>
      <c r="AO1103" s="733" t="n"/>
      <c r="AP1103" s="719" t="inlineStr">
        <is>
          <t>Pullback</t>
        </is>
      </c>
      <c r="AQ1103" s="719" t="inlineStr">
        <is>
          <t>1H</t>
        </is>
      </c>
      <c r="AR1103" s="719" t="inlineStr">
        <is>
          <t>No</t>
        </is>
      </c>
      <c r="AS1103" s="733" t="n"/>
      <c r="AT1103" s="733" t="n"/>
      <c r="AU1103" s="733" t="n"/>
      <c r="AV1103" s="733" t="n"/>
      <c r="AW1103" s="719" t="inlineStr">
        <is>
          <t>trade</t>
        </is>
      </c>
      <c r="AX1103" s="734" t="inlineStr">
        <is>
          <t>sig:96809bb688c39a2b747a7173</t>
        </is>
      </c>
    </row>
    <row r="1104" ht="15" customHeight="1">
      <c r="A1104" s="716" t="inlineStr">
        <is>
          <t>F439</t>
        </is>
      </c>
      <c r="B1104" s="717" t="n">
        <v>43493.87847222222</v>
      </c>
      <c r="C1104" s="718" t="n">
        <v>43493.91527777778</v>
      </c>
      <c r="D1104" s="719" t="inlineStr">
        <is>
          <t>PEPPERSTONE DEMO</t>
        </is>
      </c>
      <c r="E1104" s="719" t="inlineStr">
        <is>
          <t>GBPUSD</t>
        </is>
      </c>
      <c r="F1104" s="719" t="inlineStr">
        <is>
          <t>BUY</t>
        </is>
      </c>
      <c r="G1104" s="735" t="n">
        <v>0.02</v>
      </c>
      <c r="H1104" s="720" t="n">
        <v>1.3179</v>
      </c>
      <c r="I1104" s="720" t="n">
        <v>1.31492</v>
      </c>
      <c r="J1104" s="721" t="n">
        <v>1.3149</v>
      </c>
      <c r="K1104" s="722" t="n">
        <v>0.002276348736626537</v>
      </c>
      <c r="L1104" s="721" t="n">
        <v>1.3239</v>
      </c>
      <c r="M1104" s="722" t="n">
        <v>0.004552697473252906</v>
      </c>
      <c r="N1104" s="788" t="n"/>
      <c r="O1104" s="762" t="n">
        <v>-8.359999999999999</v>
      </c>
      <c r="P1104" s="725" t="n">
        <v>-0.01699670637986419</v>
      </c>
      <c r="Q1104" s="726" t="n">
        <v>-0.9933333333332899</v>
      </c>
      <c r="R1104" s="764" t="n">
        <v>483.4999999999999</v>
      </c>
      <c r="S1104" s="719" t="inlineStr">
        <is>
          <t>53M 0S</t>
        </is>
      </c>
      <c r="T1104" s="717" t="n"/>
      <c r="U1104" s="806" t="n"/>
      <c r="V1104" s="730" t="n"/>
      <c r="W1104" s="731" t="n"/>
      <c r="X1104" s="732" t="n"/>
      <c r="Y1104" s="728" t="n"/>
      <c r="Z1104" s="729" t="n"/>
      <c r="AA1104" s="730" t="n"/>
      <c r="AB1104" s="731" t="n"/>
      <c r="AC1104" s="732" t="n"/>
      <c r="AD1104" s="719" t="inlineStr">
        <is>
          <t>No</t>
        </is>
      </c>
      <c r="AE1104" s="733" t="n"/>
      <c r="AF1104" s="733" t="n"/>
      <c r="AG1104" s="733" t="n"/>
      <c r="AH1104" s="733" t="n"/>
      <c r="AI1104" s="719" t="inlineStr">
        <is>
          <t>Limit</t>
        </is>
      </c>
      <c r="AJ1104" s="733" t="n"/>
      <c r="AK1104" s="733" t="n"/>
      <c r="AL1104" s="733" t="n"/>
      <c r="AM1104" s="733" t="n"/>
      <c r="AN1104" s="733" t="n"/>
      <c r="AO1104" s="733" t="n"/>
      <c r="AP1104" s="719" t="inlineStr">
        <is>
          <t>Pullback</t>
        </is>
      </c>
      <c r="AQ1104" s="719" t="inlineStr">
        <is>
          <t>1H</t>
        </is>
      </c>
      <c r="AR1104" s="719" t="inlineStr">
        <is>
          <t>No</t>
        </is>
      </c>
      <c r="AS1104" s="733" t="n"/>
      <c r="AT1104" s="733" t="n"/>
      <c r="AU1104" s="733" t="n"/>
      <c r="AV1104" s="733" t="n"/>
      <c r="AW1104" s="719" t="inlineStr">
        <is>
          <t>trade</t>
        </is>
      </c>
      <c r="AX1104" s="734" t="inlineStr">
        <is>
          <t>sig:86a82f07f3dfb3f330236659</t>
        </is>
      </c>
    </row>
    <row r="1105" ht="15" customHeight="1">
      <c r="A1105" s="737" t="inlineStr">
        <is>
          <t>F438</t>
        </is>
      </c>
      <c r="B1105" s="738" t="n">
        <v>43491.14652777778</v>
      </c>
      <c r="C1105" s="739" t="n">
        <v>43493.37638888889</v>
      </c>
      <c r="D1105" s="740" t="inlineStr">
        <is>
          <t>PEPPERSTONE DEMO</t>
        </is>
      </c>
      <c r="E1105" s="740" t="inlineStr">
        <is>
          <t>USDCAD</t>
        </is>
      </c>
      <c r="F1105" s="740" t="inlineStr">
        <is>
          <t>SELL</t>
        </is>
      </c>
      <c r="G1105" s="775" t="n">
        <v>0.03</v>
      </c>
      <c r="H1105" s="742" t="n">
        <v>1.3255</v>
      </c>
      <c r="I1105" s="742" t="n">
        <v>1.32151</v>
      </c>
      <c r="J1105" s="743" t="n">
        <v>1.3275</v>
      </c>
      <c r="K1105" s="744" t="n">
        <v>0.001508864579404</v>
      </c>
      <c r="L1105" s="743" t="n">
        <v>1.3215</v>
      </c>
      <c r="M1105" s="744" t="n">
        <v>0.003017729158808</v>
      </c>
      <c r="N1105" s="808" t="n">
        <v>0.07000000000000001</v>
      </c>
      <c r="O1105" s="767" t="n">
        <v>11.77</v>
      </c>
      <c r="P1105" s="747" t="n">
        <v>0.02451623653898228</v>
      </c>
      <c r="Q1105" s="748" t="n">
        <v>1.994999999999967</v>
      </c>
      <c r="R1105" s="769" t="n">
        <v>491.8599999999999</v>
      </c>
      <c r="S1105" s="740" t="inlineStr">
        <is>
          <t>2D 5H 31M 0S</t>
        </is>
      </c>
      <c r="T1105" s="738" t="n">
        <v>43491.32569444444</v>
      </c>
      <c r="U1105" s="809" t="inlineStr">
        <is>
          <t>4H 18M 0S</t>
        </is>
      </c>
      <c r="V1105" s="752" t="n"/>
      <c r="W1105" s="753" t="n"/>
      <c r="X1105" s="754" t="n"/>
      <c r="Y1105" s="750" t="n"/>
      <c r="Z1105" s="751" t="n"/>
      <c r="AA1105" s="752" t="n"/>
      <c r="AB1105" s="753" t="n"/>
      <c r="AC1105" s="754" t="n"/>
      <c r="AD1105" s="740" t="inlineStr">
        <is>
          <t>No</t>
        </is>
      </c>
      <c r="AE1105" s="755" t="n"/>
      <c r="AF1105" s="755" t="n"/>
      <c r="AG1105" s="755" t="n"/>
      <c r="AH1105" s="755" t="n"/>
      <c r="AI1105" s="740" t="inlineStr">
        <is>
          <t>Limit</t>
        </is>
      </c>
      <c r="AJ1105" s="755" t="n"/>
      <c r="AK1105" s="755" t="n"/>
      <c r="AL1105" s="755" t="n"/>
      <c r="AM1105" s="755" t="n"/>
      <c r="AN1105" s="755" t="n"/>
      <c r="AO1105" s="755" t="n"/>
      <c r="AP1105" s="740" t="inlineStr">
        <is>
          <t>Pullback</t>
        </is>
      </c>
      <c r="AQ1105" s="740" t="inlineStr">
        <is>
          <t>1H</t>
        </is>
      </c>
      <c r="AR1105" s="740" t="inlineStr">
        <is>
          <t>No</t>
        </is>
      </c>
      <c r="AS1105" s="755" t="n"/>
      <c r="AT1105" s="755" t="n"/>
      <c r="AU1105" s="755" t="n"/>
      <c r="AV1105" s="755" t="n"/>
      <c r="AW1105" s="740" t="inlineStr">
        <is>
          <t>trade</t>
        </is>
      </c>
      <c r="AX1105" s="756" t="inlineStr">
        <is>
          <t>sig:48f25fed1d6def9aeece6ebd</t>
        </is>
      </c>
    </row>
    <row r="1106" ht="15" customHeight="1">
      <c r="A1106" s="737" t="inlineStr">
        <is>
          <t>F436</t>
        </is>
      </c>
      <c r="B1106" s="738" t="n">
        <v>43490.95625</v>
      </c>
      <c r="C1106" s="739" t="n">
        <v>43491.08055555556</v>
      </c>
      <c r="D1106" s="740" t="inlineStr">
        <is>
          <t>PEPPERSTONE DEMO</t>
        </is>
      </c>
      <c r="E1106" s="740" t="inlineStr">
        <is>
          <t>GBPUSD</t>
        </is>
      </c>
      <c r="F1106" s="740" t="inlineStr">
        <is>
          <t>BUY</t>
        </is>
      </c>
      <c r="G1106" s="775" t="n">
        <v>0.01</v>
      </c>
      <c r="H1106" s="742" t="n">
        <v>1.3094</v>
      </c>
      <c r="I1106" s="742" t="n">
        <v>1.31648</v>
      </c>
      <c r="J1106" s="743" t="n">
        <v>1.3059</v>
      </c>
      <c r="K1106" s="744" t="n">
        <v>0.002672979990835373</v>
      </c>
      <c r="L1106" s="743" t="n">
        <v>1.3164</v>
      </c>
      <c r="M1106" s="744" t="n">
        <v>0.005345959981671085</v>
      </c>
      <c r="N1106" s="796" t="n"/>
      <c r="O1106" s="767" t="n">
        <v>9.77</v>
      </c>
      <c r="P1106" s="747" t="n">
        <v>0.02077309066167716</v>
      </c>
      <c r="Q1106" s="748" t="n">
        <v>2.022857142857294</v>
      </c>
      <c r="R1106" s="769" t="n">
        <v>480.0899999999999</v>
      </c>
      <c r="S1106" s="740" t="inlineStr">
        <is>
          <t>2H 59M 0S</t>
        </is>
      </c>
      <c r="T1106" s="738" t="n">
        <v>43491.02986111111</v>
      </c>
      <c r="U1106" s="809" t="inlineStr">
        <is>
          <t>1H 46M 0S</t>
        </is>
      </c>
      <c r="V1106" s="752" t="n"/>
      <c r="W1106" s="753" t="n"/>
      <c r="X1106" s="754" t="n"/>
      <c r="Y1106" s="750" t="n"/>
      <c r="Z1106" s="751" t="n"/>
      <c r="AA1106" s="752" t="n"/>
      <c r="AB1106" s="753" t="n"/>
      <c r="AC1106" s="754" t="n"/>
      <c r="AD1106" s="740" t="inlineStr">
        <is>
          <t>No</t>
        </is>
      </c>
      <c r="AE1106" s="755" t="n"/>
      <c r="AF1106" s="755" t="n"/>
      <c r="AG1106" s="755" t="n"/>
      <c r="AH1106" s="755" t="n"/>
      <c r="AI1106" s="740" t="inlineStr">
        <is>
          <t>Limit</t>
        </is>
      </c>
      <c r="AJ1106" s="755" t="n"/>
      <c r="AK1106" s="755" t="n"/>
      <c r="AL1106" s="755" t="n"/>
      <c r="AM1106" s="755" t="n"/>
      <c r="AN1106" s="755" t="n"/>
      <c r="AO1106" s="755" t="n"/>
      <c r="AP1106" s="740" t="inlineStr">
        <is>
          <t>Pullback</t>
        </is>
      </c>
      <c r="AQ1106" s="740" t="inlineStr">
        <is>
          <t>1H</t>
        </is>
      </c>
      <c r="AR1106" s="740" t="inlineStr">
        <is>
          <t>No</t>
        </is>
      </c>
      <c r="AS1106" s="755" t="n"/>
      <c r="AT1106" s="755" t="n"/>
      <c r="AU1106" s="755" t="n"/>
      <c r="AV1106" s="755" t="n"/>
      <c r="AW1106" s="740" t="inlineStr">
        <is>
          <t>trade</t>
        </is>
      </c>
      <c r="AX1106" s="756" t="inlineStr">
        <is>
          <t>sig:c83c1abc53f3bfe02f7d7c1c</t>
        </is>
      </c>
    </row>
    <row r="1107" ht="15" customHeight="1">
      <c r="A1107" s="716" t="inlineStr">
        <is>
          <t>F437</t>
        </is>
      </c>
      <c r="B1107" s="717" t="n">
        <v>43490.02291666667</v>
      </c>
      <c r="C1107" s="718" t="n">
        <v>43490.13958333333</v>
      </c>
      <c r="D1107" s="719" t="inlineStr">
        <is>
          <t>PEPPERSTONE DEMO</t>
        </is>
      </c>
      <c r="E1107" s="719" t="inlineStr">
        <is>
          <t>GBPUSD</t>
        </is>
      </c>
      <c r="F1107" s="719" t="inlineStr">
        <is>
          <t>BUY</t>
        </is>
      </c>
      <c r="G1107" s="735" t="n">
        <v>0.01</v>
      </c>
      <c r="H1107" s="720" t="n">
        <v>1.3049</v>
      </c>
      <c r="I1107" s="720" t="n">
        <v>1.30195</v>
      </c>
      <c r="J1107" s="721" t="n">
        <v>1.3009</v>
      </c>
      <c r="K1107" s="722" t="n">
        <v>0.003065368993792631</v>
      </c>
      <c r="L1107" s="721" t="n">
        <v>1.3129</v>
      </c>
      <c r="M1107" s="722" t="n">
        <v>0.006130737987585262</v>
      </c>
      <c r="N1107" s="761" t="n"/>
      <c r="O1107" s="762" t="n">
        <v>-4.16</v>
      </c>
      <c r="P1107" s="725" t="n">
        <v>-0.008767492834260666</v>
      </c>
      <c r="Q1107" s="726" t="n">
        <v>-0.7375000000000014</v>
      </c>
      <c r="R1107" s="764" t="n">
        <v>470.3199999999999</v>
      </c>
      <c r="S1107" s="719" t="inlineStr">
        <is>
          <t>2H 48M 0S</t>
        </is>
      </c>
      <c r="T1107" s="717" t="n"/>
      <c r="U1107" s="806" t="n"/>
      <c r="V1107" s="730" t="n"/>
      <c r="W1107" s="731" t="n"/>
      <c r="X1107" s="732" t="n"/>
      <c r="Y1107" s="728" t="n"/>
      <c r="Z1107" s="729" t="n"/>
      <c r="AA1107" s="730" t="n"/>
      <c r="AB1107" s="731" t="n"/>
      <c r="AC1107" s="732" t="n"/>
      <c r="AD1107" s="719" t="inlineStr">
        <is>
          <t>No</t>
        </is>
      </c>
      <c r="AE1107" s="733" t="n"/>
      <c r="AF1107" s="733" t="n"/>
      <c r="AG1107" s="733" t="n"/>
      <c r="AH1107" s="733" t="n"/>
      <c r="AI1107" s="719" t="inlineStr">
        <is>
          <t>Limit</t>
        </is>
      </c>
      <c r="AJ1107" s="733" t="n"/>
      <c r="AK1107" s="733" t="n"/>
      <c r="AL1107" s="733" t="n"/>
      <c r="AM1107" s="733" t="n"/>
      <c r="AN1107" s="733" t="n"/>
      <c r="AO1107" s="733" t="n"/>
      <c r="AP1107" s="719" t="inlineStr">
        <is>
          <t>Pullback</t>
        </is>
      </c>
      <c r="AQ1107" s="719" t="inlineStr">
        <is>
          <t>4H</t>
        </is>
      </c>
      <c r="AR1107" s="719" t="inlineStr">
        <is>
          <t>No</t>
        </is>
      </c>
      <c r="AS1107" s="733" t="n"/>
      <c r="AT1107" s="733" t="n"/>
      <c r="AU1107" s="733" t="n"/>
      <c r="AV1107" s="733" t="n"/>
      <c r="AW1107" s="719" t="inlineStr">
        <is>
          <t>trade</t>
        </is>
      </c>
      <c r="AX1107" s="734" t="inlineStr">
        <is>
          <t>sig:e567ba7ca9a178f11c47dd38</t>
        </is>
      </c>
    </row>
    <row r="1108" ht="15" customHeight="1">
      <c r="A1108" s="737" t="inlineStr">
        <is>
          <t>F435</t>
        </is>
      </c>
      <c r="B1108" s="738" t="n">
        <v>43489.56111111111</v>
      </c>
      <c r="C1108" s="739" t="n">
        <v>43489.98055555556</v>
      </c>
      <c r="D1108" s="740" t="inlineStr">
        <is>
          <t>PEPPERSTONE DEMO</t>
        </is>
      </c>
      <c r="E1108" s="740" t="inlineStr">
        <is>
          <t>USDCAD</t>
        </is>
      </c>
      <c r="F1108" s="740" t="inlineStr">
        <is>
          <t>BUY</t>
        </is>
      </c>
      <c r="G1108" s="775" t="n">
        <v>0.04</v>
      </c>
      <c r="H1108" s="742" t="n">
        <v>1.3344</v>
      </c>
      <c r="I1108" s="742" t="n">
        <v>1.33721</v>
      </c>
      <c r="J1108" s="743" t="n">
        <v>1.333</v>
      </c>
      <c r="K1108" s="744" t="n">
        <v>0.00104916067146288</v>
      </c>
      <c r="L1108" s="743" t="n">
        <v>1.3372</v>
      </c>
      <c r="M1108" s="744" t="n">
        <v>0.002098321342925595</v>
      </c>
      <c r="N1108" s="796" t="n"/>
      <c r="O1108" s="767" t="n">
        <v>8.859999999999999</v>
      </c>
      <c r="P1108" s="747" t="n">
        <v>0.01902839225119196</v>
      </c>
      <c r="Q1108" s="748" t="n">
        <v>2.007142857142745</v>
      </c>
      <c r="R1108" s="769" t="n">
        <v>474.48</v>
      </c>
      <c r="S1108" s="740" t="inlineStr">
        <is>
          <t>10H 4M 0S</t>
        </is>
      </c>
      <c r="T1108" s="738" t="n">
        <v>43489.71666666667</v>
      </c>
      <c r="U1108" s="809" t="inlineStr">
        <is>
          <t>3H 44M 0S</t>
        </is>
      </c>
      <c r="V1108" s="752" t="n"/>
      <c r="W1108" s="753" t="n"/>
      <c r="X1108" s="754" t="n"/>
      <c r="Y1108" s="750" t="n"/>
      <c r="Z1108" s="751" t="n"/>
      <c r="AA1108" s="752" t="n"/>
      <c r="AB1108" s="753" t="n"/>
      <c r="AC1108" s="754" t="n"/>
      <c r="AD1108" s="740" t="inlineStr">
        <is>
          <t>No</t>
        </is>
      </c>
      <c r="AE1108" s="755" t="n"/>
      <c r="AF1108" s="755" t="n"/>
      <c r="AG1108" s="755" t="n"/>
      <c r="AH1108" s="755" t="n"/>
      <c r="AI1108" s="740" t="inlineStr">
        <is>
          <t>Market</t>
        </is>
      </c>
      <c r="AJ1108" s="755" t="n"/>
      <c r="AK1108" s="755" t="n"/>
      <c r="AL1108" s="755" t="n"/>
      <c r="AM1108" s="755" t="n"/>
      <c r="AN1108" s="755" t="n"/>
      <c r="AO1108" s="755" t="n"/>
      <c r="AP1108" s="740" t="inlineStr">
        <is>
          <t>Pullback</t>
        </is>
      </c>
      <c r="AQ1108" s="740" t="inlineStr">
        <is>
          <t>1H</t>
        </is>
      </c>
      <c r="AR1108" s="740" t="inlineStr">
        <is>
          <t>No</t>
        </is>
      </c>
      <c r="AS1108" s="755" t="n"/>
      <c r="AT1108" s="755" t="n"/>
      <c r="AU1108" s="755" t="n"/>
      <c r="AV1108" s="755" t="n"/>
      <c r="AW1108" s="740" t="inlineStr">
        <is>
          <t>trade</t>
        </is>
      </c>
      <c r="AX1108" s="756" t="inlineStr">
        <is>
          <t>sig:05cd821f6856bb868ea4e3a8</t>
        </is>
      </c>
    </row>
    <row r="1109" ht="15" customHeight="1">
      <c r="A1109" s="716" t="inlineStr">
        <is>
          <t>F432</t>
        </is>
      </c>
      <c r="B1109" s="717" t="n">
        <v>43489.20833333334</v>
      </c>
      <c r="C1109" s="718" t="n">
        <v>43489.65138888889</v>
      </c>
      <c r="D1109" s="719" t="inlineStr">
        <is>
          <t>PEPPERSTONE DEMO</t>
        </is>
      </c>
      <c r="E1109" s="719" t="inlineStr">
        <is>
          <t>USDJPY</t>
        </is>
      </c>
      <c r="F1109" s="719" t="inlineStr">
        <is>
          <t>SELL</t>
        </is>
      </c>
      <c r="G1109" s="735" t="n">
        <v>0.03</v>
      </c>
      <c r="H1109" s="720" t="n">
        <v>109.56</v>
      </c>
      <c r="I1109" s="720" t="n">
        <v>109.613</v>
      </c>
      <c r="J1109" s="721" t="n">
        <v>109.71</v>
      </c>
      <c r="K1109" s="722" t="n">
        <v>0.00136911281489587</v>
      </c>
      <c r="L1109" s="721" t="n">
        <v>109.27</v>
      </c>
      <c r="M1109" s="722" t="n">
        <v>0.002646951442132222</v>
      </c>
      <c r="N1109" s="761" t="n">
        <v>1.28</v>
      </c>
      <c r="O1109" s="762" t="n">
        <v>-3.28</v>
      </c>
      <c r="P1109" s="725" t="n">
        <v>-0.006995094902964388</v>
      </c>
      <c r="Q1109" s="726" t="n">
        <v>-0.3533333333333352</v>
      </c>
      <c r="R1109" s="764" t="n">
        <v>465.6199999999999</v>
      </c>
      <c r="S1109" s="719" t="inlineStr">
        <is>
          <t>10H 38M 0S</t>
        </is>
      </c>
      <c r="T1109" s="717" t="n"/>
      <c r="U1109" s="806" t="n"/>
      <c r="V1109" s="730" t="n"/>
      <c r="W1109" s="731" t="n"/>
      <c r="X1109" s="732" t="n"/>
      <c r="Y1109" s="728" t="n"/>
      <c r="Z1109" s="729" t="n"/>
      <c r="AA1109" s="730" t="n"/>
      <c r="AB1109" s="731" t="n"/>
      <c r="AC1109" s="732" t="n"/>
      <c r="AD1109" s="719" t="inlineStr">
        <is>
          <t>No</t>
        </is>
      </c>
      <c r="AE1109" s="733" t="n"/>
      <c r="AF1109" s="733" t="n"/>
      <c r="AG1109" s="733" t="n"/>
      <c r="AH1109" s="733" t="n"/>
      <c r="AI1109" s="719" t="inlineStr">
        <is>
          <t>Market</t>
        </is>
      </c>
      <c r="AJ1109" s="733" t="n"/>
      <c r="AK1109" s="733" t="n"/>
      <c r="AL1109" s="733" t="n"/>
      <c r="AM1109" s="733" t="n"/>
      <c r="AN1109" s="733" t="n"/>
      <c r="AO1109" s="733" t="n"/>
      <c r="AP1109" s="719" t="inlineStr">
        <is>
          <t>Pullback</t>
        </is>
      </c>
      <c r="AQ1109" s="719" t="inlineStr">
        <is>
          <t>1H</t>
        </is>
      </c>
      <c r="AR1109" s="719" t="inlineStr">
        <is>
          <t>No</t>
        </is>
      </c>
      <c r="AS1109" s="733" t="n"/>
      <c r="AT1109" s="733" t="n"/>
      <c r="AU1109" s="733" t="n"/>
      <c r="AV1109" s="733" t="n"/>
      <c r="AW1109" s="719" t="inlineStr">
        <is>
          <t>trade</t>
        </is>
      </c>
      <c r="AX1109" s="734" t="inlineStr">
        <is>
          <t>sig:67a2535307cf5cfd56a3bccf</t>
        </is>
      </c>
    </row>
    <row r="1110" ht="15" customHeight="1">
      <c r="A1110" s="716" t="inlineStr">
        <is>
          <t>F433</t>
        </is>
      </c>
      <c r="B1110" s="717" t="n">
        <v>43489.20833333334</v>
      </c>
      <c r="C1110" s="718" t="n">
        <v>43489.44305555556</v>
      </c>
      <c r="D1110" s="719" t="inlineStr">
        <is>
          <t>PEPPERSTONE DEMO</t>
        </is>
      </c>
      <c r="E1110" s="719" t="inlineStr">
        <is>
          <t>USDCAD</t>
        </is>
      </c>
      <c r="F1110" s="719" t="inlineStr">
        <is>
          <t>BUY</t>
        </is>
      </c>
      <c r="G1110" s="735" t="n">
        <v>0.04</v>
      </c>
      <c r="H1110" s="720" t="n">
        <v>1.3347</v>
      </c>
      <c r="I1110" s="720" t="n">
        <v>1.33353</v>
      </c>
      <c r="J1110" s="721" t="n">
        <v>1.3335</v>
      </c>
      <c r="K1110" s="760" t="n">
        <v>0.0008990784445943582</v>
      </c>
      <c r="L1110" s="721" t="n">
        <v>1.3371</v>
      </c>
      <c r="M1110" s="722" t="n">
        <v>0.00179815688918855</v>
      </c>
      <c r="N1110" s="761" t="n">
        <v>0.16</v>
      </c>
      <c r="O1110" s="762" t="n">
        <v>-4.87</v>
      </c>
      <c r="P1110" s="725" t="n">
        <v>-0.0102792494248264</v>
      </c>
      <c r="Q1110" s="726" t="n">
        <v>-0.9749999999998381</v>
      </c>
      <c r="R1110" s="764" t="n">
        <v>468.8999999999999</v>
      </c>
      <c r="S1110" s="719" t="inlineStr">
        <is>
          <t>5H 38M 0S</t>
        </is>
      </c>
      <c r="T1110" s="728" t="n"/>
      <c r="U1110" s="729" t="n"/>
      <c r="V1110" s="730" t="n"/>
      <c r="W1110" s="731" t="n"/>
      <c r="X1110" s="732" t="n"/>
      <c r="Y1110" s="728" t="n"/>
      <c r="Z1110" s="729" t="n"/>
      <c r="AA1110" s="730" t="n"/>
      <c r="AB1110" s="731" t="n"/>
      <c r="AC1110" s="732" t="n"/>
      <c r="AD1110" s="719" t="inlineStr">
        <is>
          <t>No</t>
        </is>
      </c>
      <c r="AE1110" s="733" t="n"/>
      <c r="AF1110" s="733" t="n"/>
      <c r="AG1110" s="733" t="n"/>
      <c r="AH1110" s="733" t="n"/>
      <c r="AI1110" s="719" t="inlineStr">
        <is>
          <t>Market</t>
        </is>
      </c>
      <c r="AJ1110" s="733" t="n"/>
      <c r="AK1110" s="733" t="n"/>
      <c r="AL1110" s="733" t="n"/>
      <c r="AM1110" s="733" t="n"/>
      <c r="AN1110" s="733" t="n"/>
      <c r="AO1110" s="733" t="n"/>
      <c r="AP1110" s="719" t="inlineStr">
        <is>
          <t>Pullback</t>
        </is>
      </c>
      <c r="AQ1110" s="719" t="inlineStr">
        <is>
          <t>1H</t>
        </is>
      </c>
      <c r="AR1110" s="719" t="inlineStr">
        <is>
          <t>No</t>
        </is>
      </c>
      <c r="AS1110" s="733" t="n"/>
      <c r="AT1110" s="733" t="n"/>
      <c r="AU1110" s="733" t="n"/>
      <c r="AV1110" s="733" t="n"/>
      <c r="AW1110" s="719" t="inlineStr">
        <is>
          <t>trade</t>
        </is>
      </c>
      <c r="AX1110" s="734" t="inlineStr">
        <is>
          <t>sig:a9d2c793e5e95cc69f1a41ed</t>
        </is>
      </c>
    </row>
    <row r="1111" ht="15" customHeight="1">
      <c r="A1111" s="716" t="inlineStr">
        <is>
          <t>F434</t>
        </is>
      </c>
      <c r="B1111" s="717" t="n">
        <v>43489.08333333334</v>
      </c>
      <c r="C1111" s="718" t="n">
        <v>43489.13333333333</v>
      </c>
      <c r="D1111" s="719" t="inlineStr">
        <is>
          <t>PEPPERSTONE DEMO</t>
        </is>
      </c>
      <c r="E1111" s="719" t="inlineStr">
        <is>
          <t>AUDUSD</t>
        </is>
      </c>
      <c r="F1111" s="719" t="inlineStr">
        <is>
          <t>SELL</t>
        </is>
      </c>
      <c r="G1111" s="735" t="n">
        <v>0.05</v>
      </c>
      <c r="H1111" s="720" t="n">
        <v>0.7131</v>
      </c>
      <c r="I1111" s="720" t="n">
        <v>0.71387</v>
      </c>
      <c r="J1111" s="721" t="n">
        <v>0.7138</v>
      </c>
      <c r="K1111" s="760" t="n">
        <v>0.0009816295049783115</v>
      </c>
      <c r="L1111" s="721" t="n">
        <v>0.7117</v>
      </c>
      <c r="M1111" s="722" t="n">
        <v>0.001963259009956467</v>
      </c>
      <c r="N1111" s="788" t="n"/>
      <c r="O1111" s="762" t="n">
        <v>-4.9</v>
      </c>
      <c r="P1111" s="725" t="n">
        <v>-0.01023669751603402</v>
      </c>
      <c r="Q1111" s="726" t="n">
        <v>-1.100000000000016</v>
      </c>
      <c r="R1111" s="764" t="n">
        <v>473.7699999999999</v>
      </c>
      <c r="S1111" s="719" t="inlineStr">
        <is>
          <t>1H 12M 0S</t>
        </is>
      </c>
      <c r="T1111" s="728" t="n"/>
      <c r="U1111" s="729" t="n"/>
      <c r="V1111" s="730" t="n"/>
      <c r="W1111" s="731" t="n"/>
      <c r="X1111" s="732" t="n"/>
      <c r="Y1111" s="728" t="n"/>
      <c r="Z1111" s="729" t="n"/>
      <c r="AA1111" s="730" t="n"/>
      <c r="AB1111" s="731" t="n"/>
      <c r="AC1111" s="732" t="n"/>
      <c r="AD1111" s="719" t="inlineStr">
        <is>
          <t>No</t>
        </is>
      </c>
      <c r="AE1111" s="733" t="n"/>
      <c r="AF1111" s="733" t="n"/>
      <c r="AG1111" s="733" t="n"/>
      <c r="AH1111" s="733" t="n"/>
      <c r="AI1111" s="719" t="inlineStr">
        <is>
          <t>Market</t>
        </is>
      </c>
      <c r="AJ1111" s="733" t="n"/>
      <c r="AK1111" s="733" t="n"/>
      <c r="AL1111" s="733" t="n"/>
      <c r="AM1111" s="733" t="n"/>
      <c r="AN1111" s="733" t="n"/>
      <c r="AO1111" s="733" t="n"/>
      <c r="AP1111" s="719" t="inlineStr">
        <is>
          <t>Pullback</t>
        </is>
      </c>
      <c r="AQ1111" s="719" t="inlineStr">
        <is>
          <t>1H</t>
        </is>
      </c>
      <c r="AR1111" s="719" t="inlineStr">
        <is>
          <t>No</t>
        </is>
      </c>
      <c r="AS1111" s="733" t="n"/>
      <c r="AT1111" s="733" t="n"/>
      <c r="AU1111" s="733" t="n"/>
      <c r="AV1111" s="733" t="n"/>
      <c r="AW1111" s="719" t="inlineStr">
        <is>
          <t>trade</t>
        </is>
      </c>
      <c r="AX1111" s="734" t="inlineStr">
        <is>
          <t>sig:5eaecbfbf213c8cebc6ef823</t>
        </is>
      </c>
    </row>
    <row r="1112" ht="15" customHeight="1">
      <c r="A1112" s="737" t="inlineStr">
        <is>
          <t>F431</t>
        </is>
      </c>
      <c r="B1112" s="738" t="n">
        <v>43488.58333333334</v>
      </c>
      <c r="C1112" s="739" t="n">
        <v>43488.97916666666</v>
      </c>
      <c r="D1112" s="740" t="inlineStr">
        <is>
          <t>PEPPERSTONE DEMO</t>
        </is>
      </c>
      <c r="E1112" s="740" t="inlineStr">
        <is>
          <t>USDCAD</t>
        </is>
      </c>
      <c r="F1112" s="740" t="inlineStr">
        <is>
          <t>SELL</t>
        </is>
      </c>
      <c r="G1112" s="775" t="n">
        <v>0.05</v>
      </c>
      <c r="H1112" s="742" t="n">
        <v>1.3327</v>
      </c>
      <c r="I1112" s="742" t="n">
        <v>1.33191</v>
      </c>
      <c r="J1112" s="743" t="n">
        <v>1.3337</v>
      </c>
      <c r="K1112" s="765" t="n">
        <v>0.0007503564192992511</v>
      </c>
      <c r="L1112" s="743" t="n">
        <v>1.3297</v>
      </c>
      <c r="M1112" s="744" t="n">
        <v>0.00225106925789742</v>
      </c>
      <c r="N1112" s="796" t="n"/>
      <c r="O1112" s="767" t="n">
        <v>1.66</v>
      </c>
      <c r="P1112" s="747" t="n">
        <v>0.003480010901238968</v>
      </c>
      <c r="Q1112" s="748" t="n">
        <v>0.7899999999999801</v>
      </c>
      <c r="R1112" s="769" t="n">
        <v>478.6699999999999</v>
      </c>
      <c r="S1112" s="740" t="inlineStr">
        <is>
          <t>9H 30M 0S</t>
        </is>
      </c>
      <c r="T1112" s="738" t="n">
        <v>43488.94652777778</v>
      </c>
      <c r="U1112" s="809" t="inlineStr">
        <is>
          <t>8H 43M 0S</t>
        </is>
      </c>
      <c r="V1112" s="752" t="n"/>
      <c r="W1112" s="753" t="n"/>
      <c r="X1112" s="754" t="n"/>
      <c r="Y1112" s="750" t="n"/>
      <c r="Z1112" s="751" t="n"/>
      <c r="AA1112" s="752" t="n"/>
      <c r="AB1112" s="753" t="n"/>
      <c r="AC1112" s="754" t="n"/>
      <c r="AD1112" s="740" t="inlineStr">
        <is>
          <t>No</t>
        </is>
      </c>
      <c r="AE1112" s="755" t="n"/>
      <c r="AF1112" s="755" t="n"/>
      <c r="AG1112" s="755" t="n"/>
      <c r="AH1112" s="755" t="n"/>
      <c r="AI1112" s="740" t="inlineStr">
        <is>
          <t>Market</t>
        </is>
      </c>
      <c r="AJ1112" s="755" t="n"/>
      <c r="AK1112" s="755" t="n"/>
      <c r="AL1112" s="755" t="n"/>
      <c r="AM1112" s="755" t="n"/>
      <c r="AN1112" s="755" t="n"/>
      <c r="AO1112" s="755" t="n"/>
      <c r="AP1112" s="740" t="inlineStr">
        <is>
          <t>Pullback</t>
        </is>
      </c>
      <c r="AQ1112" s="740" t="inlineStr">
        <is>
          <t>1H</t>
        </is>
      </c>
      <c r="AR1112" s="740" t="inlineStr">
        <is>
          <t>No</t>
        </is>
      </c>
      <c r="AS1112" s="755" t="n"/>
      <c r="AT1112" s="755" t="n"/>
      <c r="AU1112" s="755" t="n"/>
      <c r="AV1112" s="755" t="n"/>
      <c r="AW1112" s="740" t="inlineStr">
        <is>
          <t>trade</t>
        </is>
      </c>
      <c r="AX1112" s="756" t="inlineStr">
        <is>
          <t>sig:3af45cc5a0607ac6e0752e96</t>
        </is>
      </c>
    </row>
    <row r="1113" ht="15" customHeight="1">
      <c r="A1113" s="737" t="inlineStr">
        <is>
          <t>F430</t>
        </is>
      </c>
      <c r="B1113" s="738" t="n">
        <v>43488.70833333334</v>
      </c>
      <c r="C1113" s="739" t="n">
        <v>43488.87986111111</v>
      </c>
      <c r="D1113" s="740" t="inlineStr">
        <is>
          <t>PEPPERSTONE DEMO</t>
        </is>
      </c>
      <c r="E1113" s="740" t="inlineStr">
        <is>
          <t>GBPUSD</t>
        </is>
      </c>
      <c r="F1113" s="740" t="inlineStr">
        <is>
          <t>BUY</t>
        </is>
      </c>
      <c r="G1113" s="775" t="n">
        <v>0.02</v>
      </c>
      <c r="H1113" s="742" t="n">
        <v>1.2962</v>
      </c>
      <c r="I1113" s="742" t="n">
        <v>1.30069</v>
      </c>
      <c r="J1113" s="743" t="n">
        <v>1.294</v>
      </c>
      <c r="K1113" s="744" t="n">
        <v>0.001697268939978383</v>
      </c>
      <c r="L1113" s="743" t="n">
        <v>1.3006</v>
      </c>
      <c r="M1113" s="744" t="n">
        <v>0.003394537879956765</v>
      </c>
      <c r="N1113" s="796" t="n"/>
      <c r="O1113" s="767" t="n">
        <v>8.6</v>
      </c>
      <c r="P1113" s="747" t="n">
        <v>0.01835998377489807</v>
      </c>
      <c r="Q1113" s="748" t="n">
        <v>2.040909090909056</v>
      </c>
      <c r="R1113" s="769" t="n">
        <v>477.0099999999999</v>
      </c>
      <c r="S1113" s="740" t="inlineStr">
        <is>
          <t>4H 7M 0S</t>
        </is>
      </c>
      <c r="T1113" s="738" t="n">
        <v>43488.77847222222</v>
      </c>
      <c r="U1113" s="809" t="inlineStr">
        <is>
          <t>1H 41M 0S</t>
        </is>
      </c>
      <c r="V1113" s="752" t="n"/>
      <c r="W1113" s="753" t="n"/>
      <c r="X1113" s="754" t="n"/>
      <c r="Y1113" s="750" t="n"/>
      <c r="Z1113" s="751" t="n"/>
      <c r="AA1113" s="752" t="n"/>
      <c r="AB1113" s="753" t="n"/>
      <c r="AC1113" s="754" t="n"/>
      <c r="AD1113" s="740" t="inlineStr">
        <is>
          <t>No</t>
        </is>
      </c>
      <c r="AE1113" s="755" t="n"/>
      <c r="AF1113" s="755" t="n"/>
      <c r="AG1113" s="755" t="n"/>
      <c r="AH1113" s="755" t="n"/>
      <c r="AI1113" s="740" t="inlineStr">
        <is>
          <t>Market</t>
        </is>
      </c>
      <c r="AJ1113" s="755" t="n"/>
      <c r="AK1113" s="755" t="n"/>
      <c r="AL1113" s="755" t="n"/>
      <c r="AM1113" s="755" t="n"/>
      <c r="AN1113" s="755" t="n"/>
      <c r="AO1113" s="755" t="n"/>
      <c r="AP1113" s="740" t="inlineStr">
        <is>
          <t>Pullback</t>
        </is>
      </c>
      <c r="AQ1113" s="740" t="inlineStr">
        <is>
          <t>1H</t>
        </is>
      </c>
      <c r="AR1113" s="740" t="inlineStr">
        <is>
          <t>No</t>
        </is>
      </c>
      <c r="AS1113" s="755" t="n"/>
      <c r="AT1113" s="755" t="n"/>
      <c r="AU1113" s="755" t="n"/>
      <c r="AV1113" s="755" t="n"/>
      <c r="AW1113" s="740" t="inlineStr">
        <is>
          <t>trade</t>
        </is>
      </c>
      <c r="AX1113" s="756" t="inlineStr">
        <is>
          <t>sig:a4713c2bc644433b550cc030</t>
        </is>
      </c>
    </row>
    <row r="1114" ht="15" customHeight="1">
      <c r="A1114" s="716" t="inlineStr">
        <is>
          <t>F428</t>
        </is>
      </c>
      <c r="B1114" s="717" t="n">
        <v>43488.55486111111</v>
      </c>
      <c r="C1114" s="718" t="n">
        <v>43488.60208333333</v>
      </c>
      <c r="D1114" s="719" t="inlineStr">
        <is>
          <t>PEPPERSTONE DEMO</t>
        </is>
      </c>
      <c r="E1114" s="719" t="inlineStr">
        <is>
          <t>GBPUSD</t>
        </is>
      </c>
      <c r="F1114" s="719" t="inlineStr">
        <is>
          <t>BUY</t>
        </is>
      </c>
      <c r="G1114" s="735" t="n">
        <v>0.03</v>
      </c>
      <c r="H1114" s="720" t="n">
        <v>1.2961</v>
      </c>
      <c r="I1114" s="720" t="n">
        <v>1.29472</v>
      </c>
      <c r="J1114" s="721" t="n">
        <v>1.2947</v>
      </c>
      <c r="K1114" s="722" t="n">
        <v>0.001080163567626007</v>
      </c>
      <c r="L1114" s="721" t="n">
        <v>1.2989</v>
      </c>
      <c r="M1114" s="722" t="n">
        <v>0.002160327135251843</v>
      </c>
      <c r="N1114" s="788" t="n"/>
      <c r="O1114" s="762" t="n">
        <v>-5.89</v>
      </c>
      <c r="P1114" s="725" t="n">
        <v>-0.01241830065359477</v>
      </c>
      <c r="Q1114" s="726" t="n">
        <v>-0.9857142857141928</v>
      </c>
      <c r="R1114" s="764" t="n">
        <v>468.4099999999999</v>
      </c>
      <c r="S1114" s="719" t="inlineStr">
        <is>
          <t>1H 8M 0S</t>
        </is>
      </c>
      <c r="T1114" s="717" t="n"/>
      <c r="U1114" s="806" t="n"/>
      <c r="V1114" s="730" t="n"/>
      <c r="W1114" s="731" t="n"/>
      <c r="X1114" s="732" t="n"/>
      <c r="Y1114" s="728" t="n"/>
      <c r="Z1114" s="729" t="n"/>
      <c r="AA1114" s="730" t="n"/>
      <c r="AB1114" s="731" t="n"/>
      <c r="AC1114" s="732" t="n"/>
      <c r="AD1114" s="719" t="inlineStr">
        <is>
          <t>No</t>
        </is>
      </c>
      <c r="AE1114" s="733" t="n"/>
      <c r="AF1114" s="733" t="n"/>
      <c r="AG1114" s="733" t="n"/>
      <c r="AH1114" s="733" t="n"/>
      <c r="AI1114" s="719" t="inlineStr">
        <is>
          <t>Limit</t>
        </is>
      </c>
      <c r="AJ1114" s="733" t="n"/>
      <c r="AK1114" s="733" t="n"/>
      <c r="AL1114" s="733" t="n"/>
      <c r="AM1114" s="733" t="n"/>
      <c r="AN1114" s="733" t="n"/>
      <c r="AO1114" s="733" t="n"/>
      <c r="AP1114" s="719" t="inlineStr">
        <is>
          <t>Pullback</t>
        </is>
      </c>
      <c r="AQ1114" s="719" t="inlineStr">
        <is>
          <t>1H</t>
        </is>
      </c>
      <c r="AR1114" s="719" t="inlineStr">
        <is>
          <t>No</t>
        </is>
      </c>
      <c r="AS1114" s="733" t="n"/>
      <c r="AT1114" s="733" t="n"/>
      <c r="AU1114" s="733" t="n"/>
      <c r="AV1114" s="733" t="n"/>
      <c r="AW1114" s="719" t="inlineStr">
        <is>
          <t>trade</t>
        </is>
      </c>
      <c r="AX1114" s="734" t="inlineStr">
        <is>
          <t>sig:a5e2a44a135e4843af39fbbe</t>
        </is>
      </c>
    </row>
    <row r="1115" ht="15" customHeight="1">
      <c r="A1115" s="737" t="inlineStr">
        <is>
          <t>F427</t>
        </is>
      </c>
      <c r="B1115" s="738" t="n">
        <v>43488.125</v>
      </c>
      <c r="C1115" s="739" t="n">
        <v>43488.47916666666</v>
      </c>
      <c r="D1115" s="740" t="inlineStr">
        <is>
          <t>PEPPERSTONE DEMO</t>
        </is>
      </c>
      <c r="E1115" s="740" t="inlineStr">
        <is>
          <t>AUDUSD</t>
        </is>
      </c>
      <c r="F1115" s="740" t="inlineStr">
        <is>
          <t>SELL</t>
        </is>
      </c>
      <c r="G1115" s="775" t="n">
        <v>0.04</v>
      </c>
      <c r="H1115" s="742" t="n">
        <v>0.7131999999999999</v>
      </c>
      <c r="I1115" s="742" t="n">
        <v>0.71231</v>
      </c>
      <c r="J1115" s="743" t="n">
        <v>0.7141999999999999</v>
      </c>
      <c r="K1115" s="744" t="n">
        <v>0.001402131239484017</v>
      </c>
      <c r="L1115" s="743" t="n">
        <v>0.7112000000000001</v>
      </c>
      <c r="M1115" s="744" t="n">
        <v>0.002804262478967878</v>
      </c>
      <c r="N1115" s="808" t="n">
        <v>0.08</v>
      </c>
      <c r="O1115" s="767" t="n">
        <v>2.48</v>
      </c>
      <c r="P1115" s="747" t="n">
        <v>0.00525624178712221</v>
      </c>
      <c r="Q1115" s="748" t="n">
        <v>0.8899999999999456</v>
      </c>
      <c r="R1115" s="769" t="n">
        <v>474.2999999999998</v>
      </c>
      <c r="S1115" s="740" t="inlineStr">
        <is>
          <t>8H 30M 0S</t>
        </is>
      </c>
      <c r="T1115" s="738" t="n">
        <v>43488.39027777778</v>
      </c>
      <c r="U1115" s="809" t="inlineStr">
        <is>
          <t>6H 22M 0S</t>
        </is>
      </c>
      <c r="V1115" s="752" t="n"/>
      <c r="W1115" s="753" t="n"/>
      <c r="X1115" s="754" t="n"/>
      <c r="Y1115" s="750" t="n"/>
      <c r="Z1115" s="751" t="n"/>
      <c r="AA1115" s="752" t="n"/>
      <c r="AB1115" s="753" t="n"/>
      <c r="AC1115" s="754" t="n"/>
      <c r="AD1115" s="740" t="inlineStr">
        <is>
          <t>No</t>
        </is>
      </c>
      <c r="AE1115" s="755" t="n"/>
      <c r="AF1115" s="755" t="n"/>
      <c r="AG1115" s="755" t="n"/>
      <c r="AH1115" s="755" t="n"/>
      <c r="AI1115" s="740" t="inlineStr">
        <is>
          <t>Market</t>
        </is>
      </c>
      <c r="AJ1115" s="755" t="n"/>
      <c r="AK1115" s="755" t="n"/>
      <c r="AL1115" s="755" t="n"/>
      <c r="AM1115" s="755" t="n"/>
      <c r="AN1115" s="755" t="n"/>
      <c r="AO1115" s="755" t="n"/>
      <c r="AP1115" s="740" t="inlineStr">
        <is>
          <t>Pullback</t>
        </is>
      </c>
      <c r="AQ1115" s="740" t="inlineStr">
        <is>
          <t>1H</t>
        </is>
      </c>
      <c r="AR1115" s="740" t="inlineStr">
        <is>
          <t>No</t>
        </is>
      </c>
      <c r="AS1115" s="755" t="n"/>
      <c r="AT1115" s="755" t="n"/>
      <c r="AU1115" s="755" t="n"/>
      <c r="AV1115" s="755" t="n"/>
      <c r="AW1115" s="740" t="inlineStr">
        <is>
          <t>trade</t>
        </is>
      </c>
      <c r="AX1115" s="756" t="inlineStr">
        <is>
          <t>sig:b4ca63e27be0155b94c99454</t>
        </is>
      </c>
    </row>
    <row r="1116" ht="15" customHeight="1">
      <c r="A1116" s="716" t="inlineStr">
        <is>
          <t>F429</t>
        </is>
      </c>
      <c r="B1116" s="717" t="n">
        <v>43488.05208333334</v>
      </c>
      <c r="C1116" s="718" t="n">
        <v>43488.07083333333</v>
      </c>
      <c r="D1116" s="719" t="inlineStr">
        <is>
          <t>PEPPERSTONE DEMO</t>
        </is>
      </c>
      <c r="E1116" s="719" t="inlineStr">
        <is>
          <t>AUDUSD</t>
        </is>
      </c>
      <c r="F1116" s="719" t="inlineStr">
        <is>
          <t>SELL</t>
        </is>
      </c>
      <c r="G1116" s="735" t="n">
        <v>0.05</v>
      </c>
      <c r="H1116" s="720" t="n">
        <v>0.7126</v>
      </c>
      <c r="I1116" s="720" t="n">
        <v>0.71349</v>
      </c>
      <c r="J1116" s="721" t="n">
        <v>0.7134</v>
      </c>
      <c r="K1116" s="722" t="n">
        <v>0.001122649452708424</v>
      </c>
      <c r="L1116" s="721" t="n">
        <v>0.711</v>
      </c>
      <c r="M1116" s="722" t="n">
        <v>0.002245298905416848</v>
      </c>
      <c r="N1116" s="788" t="n"/>
      <c r="O1116" s="762" t="n">
        <v>-5.61</v>
      </c>
      <c r="P1116" s="725" t="n">
        <v>-0.01175041367320864</v>
      </c>
      <c r="Q1116" s="726" t="n">
        <v>-1.112499999999901</v>
      </c>
      <c r="R1116" s="764" t="n">
        <v>471.8199999999998</v>
      </c>
      <c r="S1116" s="719" t="inlineStr">
        <is>
          <t>27M 0S</t>
        </is>
      </c>
      <c r="T1116" s="728" t="n"/>
      <c r="U1116" s="729" t="n"/>
      <c r="V1116" s="730" t="n"/>
      <c r="W1116" s="731" t="n"/>
      <c r="X1116" s="732" t="n"/>
      <c r="Y1116" s="728" t="n"/>
      <c r="Z1116" s="729" t="n"/>
      <c r="AA1116" s="730" t="n"/>
      <c r="AB1116" s="731" t="n"/>
      <c r="AC1116" s="732" t="n"/>
      <c r="AD1116" s="719" t="inlineStr">
        <is>
          <t>No</t>
        </is>
      </c>
      <c r="AE1116" s="733" t="n"/>
      <c r="AF1116" s="733" t="n"/>
      <c r="AG1116" s="733" t="n"/>
      <c r="AH1116" s="733" t="n"/>
      <c r="AI1116" s="719" t="inlineStr">
        <is>
          <t>Market</t>
        </is>
      </c>
      <c r="AJ1116" s="733" t="n"/>
      <c r="AK1116" s="733" t="n"/>
      <c r="AL1116" s="733" t="n"/>
      <c r="AM1116" s="733" t="n"/>
      <c r="AN1116" s="733" t="n"/>
      <c r="AO1116" s="733" t="n"/>
      <c r="AP1116" s="719" t="inlineStr">
        <is>
          <t>Pullback</t>
        </is>
      </c>
      <c r="AQ1116" s="719" t="inlineStr">
        <is>
          <t>1H</t>
        </is>
      </c>
      <c r="AR1116" s="719" t="inlineStr">
        <is>
          <t>No</t>
        </is>
      </c>
      <c r="AS1116" s="733" t="n"/>
      <c r="AT1116" s="733" t="n"/>
      <c r="AU1116" s="733" t="n"/>
      <c r="AV1116" s="733" t="n"/>
      <c r="AW1116" s="719" t="inlineStr">
        <is>
          <t>trade</t>
        </is>
      </c>
      <c r="AX1116" s="734" t="inlineStr">
        <is>
          <t>sig:f8ab5d80a317b80d9caf1979</t>
        </is>
      </c>
    </row>
    <row r="1117" ht="15" customHeight="1">
      <c r="A1117" s="737" t="inlineStr">
        <is>
          <t>F426</t>
        </is>
      </c>
      <c r="B1117" s="738" t="n">
        <v>43487.95833333334</v>
      </c>
      <c r="C1117" s="739" t="n">
        <v>43488.05138888889</v>
      </c>
      <c r="D1117" s="740" t="inlineStr">
        <is>
          <t>PEPPERSTONE DEMO</t>
        </is>
      </c>
      <c r="E1117" s="740" t="inlineStr">
        <is>
          <t>USDCHF</t>
        </is>
      </c>
      <c r="F1117" s="740" t="inlineStr">
        <is>
          <t>BUY</t>
        </is>
      </c>
      <c r="G1117" s="775" t="n">
        <v>0.04</v>
      </c>
      <c r="H1117" s="742" t="n">
        <v>0.9975000000000001</v>
      </c>
      <c r="I1117" s="742" t="n">
        <v>0.99829</v>
      </c>
      <c r="J1117" s="743" t="n">
        <v>0.9964</v>
      </c>
      <c r="K1117" s="744" t="n">
        <v>0.001102756892230677</v>
      </c>
      <c r="L1117" s="743" t="n">
        <v>0.9997</v>
      </c>
      <c r="M1117" s="744" t="n">
        <v>0.002205513784461132</v>
      </c>
      <c r="N1117" s="796" t="n"/>
      <c r="O1117" s="767" t="n">
        <v>2.22</v>
      </c>
      <c r="P1117" s="747" t="n">
        <v>0.004671618863239413</v>
      </c>
      <c r="Q1117" s="748" t="n">
        <v>0.7181818181817136</v>
      </c>
      <c r="R1117" s="769" t="n">
        <v>477.4299999999998</v>
      </c>
      <c r="S1117" s="740" t="inlineStr">
        <is>
          <t>2H 14M 0S</t>
        </is>
      </c>
      <c r="T1117" s="738" t="n">
        <v>43487.98194444444</v>
      </c>
      <c r="U1117" s="809" t="inlineStr">
        <is>
          <t>34M 0S</t>
        </is>
      </c>
      <c r="V1117" s="752" t="n"/>
      <c r="W1117" s="753" t="n"/>
      <c r="X1117" s="754" t="n"/>
      <c r="Y1117" s="750" t="n"/>
      <c r="Z1117" s="751" t="n"/>
      <c r="AA1117" s="752" t="n"/>
      <c r="AB1117" s="753" t="n"/>
      <c r="AC1117" s="754" t="n"/>
      <c r="AD1117" s="740" t="inlineStr">
        <is>
          <t>No</t>
        </is>
      </c>
      <c r="AE1117" s="755" t="n"/>
      <c r="AF1117" s="755" t="n"/>
      <c r="AG1117" s="755" t="n"/>
      <c r="AH1117" s="755" t="n"/>
      <c r="AI1117" s="740" t="inlineStr">
        <is>
          <t>Market</t>
        </is>
      </c>
      <c r="AJ1117" s="755" t="n"/>
      <c r="AK1117" s="755" t="n"/>
      <c r="AL1117" s="755" t="n"/>
      <c r="AM1117" s="755" t="n"/>
      <c r="AN1117" s="755" t="n"/>
      <c r="AO1117" s="755" t="n"/>
      <c r="AP1117" s="740" t="inlineStr">
        <is>
          <t>Pullback</t>
        </is>
      </c>
      <c r="AQ1117" s="740" t="inlineStr">
        <is>
          <t>1H</t>
        </is>
      </c>
      <c r="AR1117" s="740" t="inlineStr">
        <is>
          <t>No</t>
        </is>
      </c>
      <c r="AS1117" s="755" t="n"/>
      <c r="AT1117" s="755" t="n"/>
      <c r="AU1117" s="755" t="n"/>
      <c r="AV1117" s="755" t="n"/>
      <c r="AW1117" s="740" t="inlineStr">
        <is>
          <t>trade</t>
        </is>
      </c>
      <c r="AX1117" s="756" t="inlineStr">
        <is>
          <t>sig:9dda1d340b47f54eaa9f09a2</t>
        </is>
      </c>
    </row>
    <row r="1118" ht="15" customHeight="1">
      <c r="A1118" s="716" t="inlineStr">
        <is>
          <t>F423</t>
        </is>
      </c>
      <c r="B1118" s="717" t="n">
        <v>43487.90069444444</v>
      </c>
      <c r="C1118" s="718" t="n">
        <v>43487.94791666666</v>
      </c>
      <c r="D1118" s="719" t="inlineStr">
        <is>
          <t>PEPPERSTONE DEMO</t>
        </is>
      </c>
      <c r="E1118" s="719" t="inlineStr">
        <is>
          <t>EURUSD</t>
        </is>
      </c>
      <c r="F1118" s="719" t="inlineStr">
        <is>
          <t>SELL</t>
        </is>
      </c>
      <c r="G1118" s="735" t="n">
        <v>0.06</v>
      </c>
      <c r="H1118" s="720" t="n">
        <v>1.1357</v>
      </c>
      <c r="I1118" s="720" t="n">
        <v>1.1363</v>
      </c>
      <c r="J1118" s="721" t="n">
        <v>1.1363</v>
      </c>
      <c r="K1118" s="760" t="n">
        <v>0.0005283085321829321</v>
      </c>
      <c r="L1118" s="721" t="n">
        <v>1.1345</v>
      </c>
      <c r="M1118" s="722" t="n">
        <v>0.001056617064365473</v>
      </c>
      <c r="N1118" s="788" t="n"/>
      <c r="O1118" s="762" t="n">
        <v>-5.05</v>
      </c>
      <c r="P1118" s="725" t="n">
        <v>-0.01051513763378171</v>
      </c>
      <c r="Q1118" s="726" t="n">
        <v>-1</v>
      </c>
      <c r="R1118" s="764" t="n">
        <v>475.2099999999998</v>
      </c>
      <c r="S1118" s="719" t="inlineStr">
        <is>
          <t>1H 8M 0S</t>
        </is>
      </c>
      <c r="T1118" s="728" t="n"/>
      <c r="U1118" s="729" t="n"/>
      <c r="V1118" s="730" t="n"/>
      <c r="W1118" s="731" t="n"/>
      <c r="X1118" s="732" t="n"/>
      <c r="Y1118" s="728" t="n"/>
      <c r="Z1118" s="729" t="n"/>
      <c r="AA1118" s="730" t="n"/>
      <c r="AB1118" s="731" t="n"/>
      <c r="AC1118" s="732" t="n"/>
      <c r="AD1118" s="719" t="inlineStr">
        <is>
          <t>No</t>
        </is>
      </c>
      <c r="AE1118" s="733" t="n"/>
      <c r="AF1118" s="733" t="n"/>
      <c r="AG1118" s="733" t="n"/>
      <c r="AH1118" s="733" t="n"/>
      <c r="AI1118" s="719" t="inlineStr">
        <is>
          <t>Market</t>
        </is>
      </c>
      <c r="AJ1118" s="733" t="n"/>
      <c r="AK1118" s="733" t="n"/>
      <c r="AL1118" s="733" t="n"/>
      <c r="AM1118" s="733" t="n"/>
      <c r="AN1118" s="733" t="n"/>
      <c r="AO1118" s="733" t="n"/>
      <c r="AP1118" s="719" t="inlineStr">
        <is>
          <t>Pullback</t>
        </is>
      </c>
      <c r="AQ1118" s="719" t="inlineStr">
        <is>
          <t>1H</t>
        </is>
      </c>
      <c r="AR1118" s="719" t="inlineStr">
        <is>
          <t>No</t>
        </is>
      </c>
      <c r="AS1118" s="733" t="n"/>
      <c r="AT1118" s="733" t="n"/>
      <c r="AU1118" s="733" t="n"/>
      <c r="AV1118" s="733" t="n"/>
      <c r="AW1118" s="719" t="inlineStr">
        <is>
          <t>trade</t>
        </is>
      </c>
      <c r="AX1118" s="734" t="inlineStr">
        <is>
          <t>sig:018472daf6e45c28f2d58561</t>
        </is>
      </c>
    </row>
    <row r="1119" ht="15" customHeight="1">
      <c r="A1119" s="716" t="inlineStr">
        <is>
          <t>F419</t>
        </is>
      </c>
      <c r="B1119" s="717" t="n">
        <v>43487.90763888889</v>
      </c>
      <c r="C1119" s="718" t="n">
        <v>43487.93888888889</v>
      </c>
      <c r="D1119" s="719" t="inlineStr">
        <is>
          <t>PEPPERSTONE DEMO</t>
        </is>
      </c>
      <c r="E1119" s="719" t="inlineStr">
        <is>
          <t>USDCAD</t>
        </is>
      </c>
      <c r="F1119" s="719" t="inlineStr">
        <is>
          <t>BUY</t>
        </is>
      </c>
      <c r="G1119" s="735" t="n">
        <v>0.05</v>
      </c>
      <c r="H1119" s="720" t="n">
        <v>1.333</v>
      </c>
      <c r="I1119" s="720" t="n">
        <v>1.33202</v>
      </c>
      <c r="J1119" s="721" t="n">
        <v>1.332</v>
      </c>
      <c r="K1119" s="760" t="n">
        <v>0.0007501875468866391</v>
      </c>
      <c r="L1119" s="721" t="n">
        <v>1.335</v>
      </c>
      <c r="M1119" s="722" t="n">
        <v>0.001500375093773445</v>
      </c>
      <c r="N1119" s="788" t="n"/>
      <c r="O1119" s="762" t="n">
        <v>-5.27</v>
      </c>
      <c r="P1119" s="725" t="n">
        <v>-0.01085411818013305</v>
      </c>
      <c r="Q1119" s="726" t="n">
        <v>-0.9800000000000888</v>
      </c>
      <c r="R1119" s="764" t="n">
        <v>480.2599999999998</v>
      </c>
      <c r="S1119" s="719" t="inlineStr">
        <is>
          <t>45M 0S</t>
        </is>
      </c>
      <c r="T1119" s="728" t="n"/>
      <c r="U1119" s="729" t="n"/>
      <c r="V1119" s="730" t="n"/>
      <c r="W1119" s="731" t="n"/>
      <c r="X1119" s="732" t="n"/>
      <c r="Y1119" s="728" t="n"/>
      <c r="Z1119" s="729" t="n"/>
      <c r="AA1119" s="730" t="n"/>
      <c r="AB1119" s="731" t="n"/>
      <c r="AC1119" s="732" t="n"/>
      <c r="AD1119" s="719" t="inlineStr">
        <is>
          <t>No</t>
        </is>
      </c>
      <c r="AE1119" s="733" t="n"/>
      <c r="AF1119" s="733" t="n"/>
      <c r="AG1119" s="733" t="n"/>
      <c r="AH1119" s="733" t="n"/>
      <c r="AI1119" s="719" t="inlineStr">
        <is>
          <t>Limit</t>
        </is>
      </c>
      <c r="AJ1119" s="733" t="n"/>
      <c r="AK1119" s="733" t="n"/>
      <c r="AL1119" s="733" t="n"/>
      <c r="AM1119" s="733" t="n"/>
      <c r="AN1119" s="733" t="n"/>
      <c r="AO1119" s="733" t="n"/>
      <c r="AP1119" s="719" t="inlineStr">
        <is>
          <t>Pullback</t>
        </is>
      </c>
      <c r="AQ1119" s="719" t="inlineStr">
        <is>
          <t>1H</t>
        </is>
      </c>
      <c r="AR1119" s="719" t="inlineStr">
        <is>
          <t>No</t>
        </is>
      </c>
      <c r="AS1119" s="733" t="n"/>
      <c r="AT1119" s="733" t="n"/>
      <c r="AU1119" s="733" t="n"/>
      <c r="AV1119" s="733" t="n"/>
      <c r="AW1119" s="719" t="inlineStr">
        <is>
          <t>trade</t>
        </is>
      </c>
      <c r="AX1119" s="734" t="inlineStr">
        <is>
          <t>sig:e2a044db833820ee1ef0b67c</t>
        </is>
      </c>
    </row>
    <row r="1120" ht="15" customHeight="1">
      <c r="A1120" s="716" t="inlineStr">
        <is>
          <t>F422</t>
        </is>
      </c>
      <c r="B1120" s="717" t="n">
        <v>43487.79652777778</v>
      </c>
      <c r="C1120" s="718" t="n">
        <v>43487.9</v>
      </c>
      <c r="D1120" s="719" t="inlineStr">
        <is>
          <t>PEPPERSTONE DEMO</t>
        </is>
      </c>
      <c r="E1120" s="719" t="inlineStr">
        <is>
          <t>USDJPY</t>
        </is>
      </c>
      <c r="F1120" s="719" t="inlineStr">
        <is>
          <t>BUY</t>
        </is>
      </c>
      <c r="G1120" s="735" t="n">
        <v>0.06</v>
      </c>
      <c r="H1120" s="720" t="n">
        <v>109.45</v>
      </c>
      <c r="I1120" s="720" t="n">
        <v>109.391</v>
      </c>
      <c r="J1120" s="721" t="n">
        <v>109.38</v>
      </c>
      <c r="K1120" s="760" t="n">
        <v>0.0006395614435816116</v>
      </c>
      <c r="L1120" s="721" t="n">
        <v>109.59</v>
      </c>
      <c r="M1120" s="722" t="n">
        <v>0.001279122887163093</v>
      </c>
      <c r="N1120" s="788" t="n"/>
      <c r="O1120" s="762" t="n">
        <v>-4.54</v>
      </c>
      <c r="P1120" s="725" t="n">
        <v>-0.009263982696349505</v>
      </c>
      <c r="Q1120" s="726" t="n">
        <v>-0.8428571428570182</v>
      </c>
      <c r="R1120" s="764" t="n">
        <v>485.5299999999998</v>
      </c>
      <c r="S1120" s="719" t="inlineStr">
        <is>
          <t>2H 29M 0S</t>
        </is>
      </c>
      <c r="T1120" s="717" t="n"/>
      <c r="U1120" s="806" t="n"/>
      <c r="V1120" s="730" t="n"/>
      <c r="W1120" s="731" t="n"/>
      <c r="X1120" s="732" t="n"/>
      <c r="Y1120" s="728" t="n"/>
      <c r="Z1120" s="729" t="n"/>
      <c r="AA1120" s="730" t="n"/>
      <c r="AB1120" s="731" t="n"/>
      <c r="AC1120" s="732" t="n"/>
      <c r="AD1120" s="719" t="inlineStr">
        <is>
          <t>No</t>
        </is>
      </c>
      <c r="AE1120" s="733" t="n"/>
      <c r="AF1120" s="733" t="n"/>
      <c r="AG1120" s="733" t="n"/>
      <c r="AH1120" s="733" t="n"/>
      <c r="AI1120" s="719" t="inlineStr">
        <is>
          <t>Limit</t>
        </is>
      </c>
      <c r="AJ1120" s="733" t="n"/>
      <c r="AK1120" s="733" t="n"/>
      <c r="AL1120" s="733" t="n"/>
      <c r="AM1120" s="733" t="n"/>
      <c r="AN1120" s="733" t="n"/>
      <c r="AO1120" s="733" t="n"/>
      <c r="AP1120" s="719" t="inlineStr">
        <is>
          <t>Pullback</t>
        </is>
      </c>
      <c r="AQ1120" s="719" t="inlineStr">
        <is>
          <t>1H</t>
        </is>
      </c>
      <c r="AR1120" s="719" t="inlineStr">
        <is>
          <t>No</t>
        </is>
      </c>
      <c r="AS1120" s="733" t="n"/>
      <c r="AT1120" s="733" t="n"/>
      <c r="AU1120" s="733" t="n"/>
      <c r="AV1120" s="733" t="n"/>
      <c r="AW1120" s="719" t="inlineStr">
        <is>
          <t>trade</t>
        </is>
      </c>
      <c r="AX1120" s="734" t="inlineStr">
        <is>
          <t>sig:4418e619de2b4afc15af2d6e</t>
        </is>
      </c>
    </row>
    <row r="1121" ht="15" customHeight="1">
      <c r="A1121" s="716" t="inlineStr">
        <is>
          <t>F421</t>
        </is>
      </c>
      <c r="B1121" s="717" t="n">
        <v>43487.67638888889</v>
      </c>
      <c r="C1121" s="718" t="n">
        <v>43487.74791666667</v>
      </c>
      <c r="D1121" s="719" t="inlineStr">
        <is>
          <t>PEPPERSTONE DEMO</t>
        </is>
      </c>
      <c r="E1121" s="719" t="inlineStr">
        <is>
          <t>USDCHF</t>
        </is>
      </c>
      <c r="F1121" s="719" t="inlineStr">
        <is>
          <t>BUY</t>
        </is>
      </c>
      <c r="G1121" s="735" t="n">
        <v>0.08</v>
      </c>
      <c r="H1121" s="720" t="n">
        <v>0.9978</v>
      </c>
      <c r="I1121" s="720" t="n">
        <v>0.99734</v>
      </c>
      <c r="J1121" s="721" t="n">
        <v>0.9973</v>
      </c>
      <c r="K1121" s="760" t="n">
        <v>0.0005011024253357947</v>
      </c>
      <c r="L1121" s="721" t="n">
        <v>0.9988</v>
      </c>
      <c r="M1121" s="722" t="n">
        <v>0.001002204850671478</v>
      </c>
      <c r="N1121" s="761" t="n"/>
      <c r="O1121" s="762" t="n">
        <v>-5.62</v>
      </c>
      <c r="P1121" s="725" t="n">
        <v>-0.0113377312433174</v>
      </c>
      <c r="Q1121" s="726" t="n">
        <v>-0.919999999999929</v>
      </c>
      <c r="R1121" s="764" t="n">
        <v>490.0699999999998</v>
      </c>
      <c r="S1121" s="719" t="inlineStr">
        <is>
          <t>1H 43M 0S</t>
        </is>
      </c>
      <c r="T1121" s="717" t="n"/>
      <c r="U1121" s="806" t="n"/>
      <c r="V1121" s="730" t="n"/>
      <c r="W1121" s="731" t="n"/>
      <c r="X1121" s="732" t="n"/>
      <c r="Y1121" s="728" t="n"/>
      <c r="Z1121" s="729" t="n"/>
      <c r="AA1121" s="730" t="n"/>
      <c r="AB1121" s="731" t="n"/>
      <c r="AC1121" s="732" t="n"/>
      <c r="AD1121" s="719" t="inlineStr">
        <is>
          <t>No</t>
        </is>
      </c>
      <c r="AE1121" s="733" t="n"/>
      <c r="AF1121" s="733" t="n"/>
      <c r="AG1121" s="733" t="n"/>
      <c r="AH1121" s="733" t="n"/>
      <c r="AI1121" s="719" t="inlineStr">
        <is>
          <t>Limit</t>
        </is>
      </c>
      <c r="AJ1121" s="733" t="n"/>
      <c r="AK1121" s="733" t="n"/>
      <c r="AL1121" s="733" t="n"/>
      <c r="AM1121" s="733" t="n"/>
      <c r="AN1121" s="733" t="n"/>
      <c r="AO1121" s="733" t="n"/>
      <c r="AP1121" s="719" t="inlineStr">
        <is>
          <t>Pullback</t>
        </is>
      </c>
      <c r="AQ1121" s="719" t="inlineStr">
        <is>
          <t>1H</t>
        </is>
      </c>
      <c r="AR1121" s="719" t="inlineStr">
        <is>
          <t>No</t>
        </is>
      </c>
      <c r="AS1121" s="733" t="n"/>
      <c r="AT1121" s="733" t="n"/>
      <c r="AU1121" s="733" t="n"/>
      <c r="AV1121" s="733" t="n"/>
      <c r="AW1121" s="719" t="inlineStr">
        <is>
          <t>trade</t>
        </is>
      </c>
      <c r="AX1121" s="734" t="inlineStr">
        <is>
          <t>sig:d8da81563524f877cf7082da</t>
        </is>
      </c>
    </row>
    <row r="1122" ht="15" customHeight="1">
      <c r="A1122" s="737" t="inlineStr">
        <is>
          <t>F424</t>
        </is>
      </c>
      <c r="B1122" s="738" t="n">
        <v>43487.54722222222</v>
      </c>
      <c r="C1122" s="739" t="n">
        <v>43487.61597222222</v>
      </c>
      <c r="D1122" s="740" t="inlineStr">
        <is>
          <t>PEPPERSTONE DEMO</t>
        </is>
      </c>
      <c r="E1122" s="740" t="inlineStr">
        <is>
          <t>EURUSD</t>
        </is>
      </c>
      <c r="F1122" s="740" t="inlineStr">
        <is>
          <t>SELL</t>
        </is>
      </c>
      <c r="G1122" s="775" t="n">
        <v>0.08</v>
      </c>
      <c r="H1122" s="742" t="n">
        <v>1.1367</v>
      </c>
      <c r="I1122" s="742" t="n">
        <v>1.13577</v>
      </c>
      <c r="J1122" s="743" t="n">
        <v>1.1372</v>
      </c>
      <c r="K1122" s="765" t="n">
        <v>0.0004398697985395838</v>
      </c>
      <c r="L1122" s="743" t="n">
        <v>1.1357</v>
      </c>
      <c r="M1122" s="765" t="n">
        <v>0.000879739597079363</v>
      </c>
      <c r="N1122" s="796" t="n"/>
      <c r="O1122" s="767" t="n">
        <v>8.300000000000001</v>
      </c>
      <c r="P1122" s="747" t="n">
        <v>0.01702948357578121</v>
      </c>
      <c r="Q1122" s="748" t="n">
        <v>1.8600000000004</v>
      </c>
      <c r="R1122" s="769" t="n">
        <v>495.6899999999998</v>
      </c>
      <c r="S1122" s="740" t="inlineStr">
        <is>
          <t>1H 39M 0S</t>
        </is>
      </c>
      <c r="T1122" s="738" t="n">
        <v>43487.57291666666</v>
      </c>
      <c r="U1122" s="809" t="inlineStr">
        <is>
          <t>37M 0S</t>
        </is>
      </c>
      <c r="V1122" s="752" t="n"/>
      <c r="W1122" s="753" t="n"/>
      <c r="X1122" s="754" t="n"/>
      <c r="Y1122" s="750" t="n"/>
      <c r="Z1122" s="751" t="n"/>
      <c r="AA1122" s="752" t="n"/>
      <c r="AB1122" s="753" t="n"/>
      <c r="AC1122" s="754" t="n"/>
      <c r="AD1122" s="740" t="inlineStr">
        <is>
          <t>No</t>
        </is>
      </c>
      <c r="AE1122" s="755" t="n"/>
      <c r="AF1122" s="755" t="n"/>
      <c r="AG1122" s="755" t="n"/>
      <c r="AH1122" s="755" t="n"/>
      <c r="AI1122" s="740" t="inlineStr">
        <is>
          <t>Market</t>
        </is>
      </c>
      <c r="AJ1122" s="755" t="n"/>
      <c r="AK1122" s="755" t="n"/>
      <c r="AL1122" s="755" t="n"/>
      <c r="AM1122" s="755" t="n"/>
      <c r="AN1122" s="755" t="n"/>
      <c r="AO1122" s="755" t="n"/>
      <c r="AP1122" s="740" t="inlineStr">
        <is>
          <t>Pullback</t>
        </is>
      </c>
      <c r="AQ1122" s="740" t="inlineStr">
        <is>
          <t>1H</t>
        </is>
      </c>
      <c r="AR1122" s="740" t="inlineStr">
        <is>
          <t>No</t>
        </is>
      </c>
      <c r="AS1122" s="755" t="n"/>
      <c r="AT1122" s="755" t="n"/>
      <c r="AU1122" s="755" t="n"/>
      <c r="AV1122" s="755" t="n"/>
      <c r="AW1122" s="740" t="inlineStr">
        <is>
          <t>trade</t>
        </is>
      </c>
      <c r="AX1122" s="756" t="inlineStr">
        <is>
          <t>sig:9cb0a1760be1e4e6c621de1c</t>
        </is>
      </c>
    </row>
    <row r="1123" ht="15" customHeight="1">
      <c r="A1123" s="737" t="inlineStr">
        <is>
          <t>F418</t>
        </is>
      </c>
      <c r="B1123" s="738" t="n">
        <v>43487.12569444445</v>
      </c>
      <c r="C1123" s="739" t="n">
        <v>43487.58680555555</v>
      </c>
      <c r="D1123" s="740" t="inlineStr">
        <is>
          <t>PEPPERSTONE DEMO</t>
        </is>
      </c>
      <c r="E1123" s="740" t="inlineStr">
        <is>
          <t>USDCAD</t>
        </is>
      </c>
      <c r="F1123" s="740" t="inlineStr">
        <is>
          <t>BUY</t>
        </is>
      </c>
      <c r="G1123" s="775" t="n">
        <v>0.05</v>
      </c>
      <c r="H1123" s="742" t="n">
        <v>1.3292</v>
      </c>
      <c r="I1123" s="742" t="n">
        <v>1.3312</v>
      </c>
      <c r="J1123" s="743" t="n">
        <v>1.3282</v>
      </c>
      <c r="K1123" s="765" t="n">
        <v>0.0007523322299126466</v>
      </c>
      <c r="L1123" s="743" t="n">
        <v>1.3312</v>
      </c>
      <c r="M1123" s="744" t="n">
        <v>0.00150466445982546</v>
      </c>
      <c r="N1123" s="808" t="n">
        <v>0.02</v>
      </c>
      <c r="O1123" s="767" t="n">
        <v>8.57</v>
      </c>
      <c r="P1123" s="747" t="n">
        <v>0.01789816632555032</v>
      </c>
      <c r="Q1123" s="748" t="n">
        <v>2.000000000000222</v>
      </c>
      <c r="R1123" s="769" t="n">
        <v>487.3899999999998</v>
      </c>
      <c r="S1123" s="740" t="inlineStr">
        <is>
          <t>11H 4M 0S</t>
        </is>
      </c>
      <c r="T1123" s="738" t="n">
        <v>43487.38055555556</v>
      </c>
      <c r="U1123" s="809" t="inlineStr">
        <is>
          <t>6H 7M 0S</t>
        </is>
      </c>
      <c r="V1123" s="752" t="n"/>
      <c r="W1123" s="753" t="n"/>
      <c r="X1123" s="754" t="n"/>
      <c r="Y1123" s="750" t="n"/>
      <c r="Z1123" s="751" t="n"/>
      <c r="AA1123" s="752" t="n"/>
      <c r="AB1123" s="753" t="n"/>
      <c r="AC1123" s="754" t="n"/>
      <c r="AD1123" s="740" t="inlineStr">
        <is>
          <t>No</t>
        </is>
      </c>
      <c r="AE1123" s="755" t="n"/>
      <c r="AF1123" s="755" t="n"/>
      <c r="AG1123" s="755" t="n"/>
      <c r="AH1123" s="755" t="n"/>
      <c r="AI1123" s="740" t="inlineStr">
        <is>
          <t>Market</t>
        </is>
      </c>
      <c r="AJ1123" s="755" t="n"/>
      <c r="AK1123" s="755" t="n"/>
      <c r="AL1123" s="755" t="n"/>
      <c r="AM1123" s="755" t="n"/>
      <c r="AN1123" s="755" t="n"/>
      <c r="AO1123" s="755" t="n"/>
      <c r="AP1123" s="740" t="inlineStr">
        <is>
          <t>Pullback</t>
        </is>
      </c>
      <c r="AQ1123" s="740" t="inlineStr">
        <is>
          <t>1H</t>
        </is>
      </c>
      <c r="AR1123" s="740" t="inlineStr">
        <is>
          <t>No</t>
        </is>
      </c>
      <c r="AS1123" s="755" t="n"/>
      <c r="AT1123" s="755" t="n"/>
      <c r="AU1123" s="755" t="n"/>
      <c r="AV1123" s="755" t="n"/>
      <c r="AW1123" s="740" t="inlineStr">
        <is>
          <t>trade</t>
        </is>
      </c>
      <c r="AX1123" s="756" t="inlineStr">
        <is>
          <t>sig:9e533771e46549e706a3cd54</t>
        </is>
      </c>
    </row>
    <row r="1124" ht="15" customHeight="1">
      <c r="A1124" s="716" t="inlineStr">
        <is>
          <t>F420</t>
        </is>
      </c>
      <c r="B1124" s="717" t="n">
        <v>43487.06944444445</v>
      </c>
      <c r="C1124" s="718" t="n">
        <v>43487.11388888889</v>
      </c>
      <c r="D1124" s="719" t="inlineStr">
        <is>
          <t>PEPPERSTONE DEMO</t>
        </is>
      </c>
      <c r="E1124" s="719" t="inlineStr">
        <is>
          <t>USDCHF</t>
        </is>
      </c>
      <c r="F1124" s="719" t="inlineStr">
        <is>
          <t>BUY</t>
        </is>
      </c>
      <c r="G1124" s="735" t="n">
        <v>0.06</v>
      </c>
      <c r="H1124" s="720" t="n">
        <v>0.9978</v>
      </c>
      <c r="I1124" s="720" t="n">
        <v>0.99724</v>
      </c>
      <c r="J1124" s="721" t="n">
        <v>0.9972</v>
      </c>
      <c r="K1124" s="760" t="n">
        <v>0.0006013229104029314</v>
      </c>
      <c r="L1124" s="721" t="n">
        <v>0.999</v>
      </c>
      <c r="M1124" s="722" t="n">
        <v>0.001202645820805752</v>
      </c>
      <c r="N1124" s="788" t="n"/>
      <c r="O1124" s="762" t="n">
        <v>-5.04</v>
      </c>
      <c r="P1124" s="725" t="n">
        <v>-0.01041623610135163</v>
      </c>
      <c r="Q1124" s="726" t="n">
        <v>-0.9333333333332716</v>
      </c>
      <c r="R1124" s="764" t="n">
        <v>478.8199999999998</v>
      </c>
      <c r="S1124" s="719" t="inlineStr">
        <is>
          <t>1H 4M 0S</t>
        </is>
      </c>
      <c r="T1124" s="728" t="n"/>
      <c r="U1124" s="729" t="n"/>
      <c r="V1124" s="730" t="n"/>
      <c r="W1124" s="731" t="n"/>
      <c r="X1124" s="732" t="n"/>
      <c r="Y1124" s="728" t="n"/>
      <c r="Z1124" s="729" t="n"/>
      <c r="AA1124" s="730" t="n"/>
      <c r="AB1124" s="731" t="n"/>
      <c r="AC1124" s="732" t="n"/>
      <c r="AD1124" s="719" t="inlineStr">
        <is>
          <t>No</t>
        </is>
      </c>
      <c r="AE1124" s="733" t="n"/>
      <c r="AF1124" s="733" t="n"/>
      <c r="AG1124" s="733" t="n"/>
      <c r="AH1124" s="733" t="n"/>
      <c r="AI1124" s="719" t="inlineStr">
        <is>
          <t>Limit</t>
        </is>
      </c>
      <c r="AJ1124" s="733" t="n"/>
      <c r="AK1124" s="733" t="n"/>
      <c r="AL1124" s="733" t="n"/>
      <c r="AM1124" s="733" t="n"/>
      <c r="AN1124" s="733" t="n"/>
      <c r="AO1124" s="733" t="n"/>
      <c r="AP1124" s="719" t="inlineStr">
        <is>
          <t>Pullback</t>
        </is>
      </c>
      <c r="AQ1124" s="719" t="inlineStr">
        <is>
          <t>1H</t>
        </is>
      </c>
      <c r="AR1124" s="719" t="inlineStr">
        <is>
          <t>No</t>
        </is>
      </c>
      <c r="AS1124" s="733" t="n"/>
      <c r="AT1124" s="733" t="n"/>
      <c r="AU1124" s="733" t="n"/>
      <c r="AV1124" s="733" t="n"/>
      <c r="AW1124" s="719" t="inlineStr">
        <is>
          <t>trade</t>
        </is>
      </c>
      <c r="AX1124" s="734" t="inlineStr">
        <is>
          <t>sig:0b5a2da76faf6c8741eb7b26</t>
        </is>
      </c>
    </row>
    <row r="1125" ht="15" customHeight="1">
      <c r="A1125" s="716" t="inlineStr">
        <is>
          <t>F425</t>
        </is>
      </c>
      <c r="B1125" s="717" t="n">
        <v>43487.00486111111</v>
      </c>
      <c r="C1125" s="718" t="n">
        <v>43487.06805555556</v>
      </c>
      <c r="D1125" s="719" t="inlineStr">
        <is>
          <t>PEPPERSTONE DEMO</t>
        </is>
      </c>
      <c r="E1125" s="719" t="inlineStr">
        <is>
          <t>GBPUSD</t>
        </is>
      </c>
      <c r="F1125" s="719" t="inlineStr">
        <is>
          <t>BUY</t>
        </is>
      </c>
      <c r="G1125" s="735" t="n">
        <v>0.04</v>
      </c>
      <c r="H1125" s="720" t="n">
        <v>1.2866</v>
      </c>
      <c r="I1125" s="720" t="n">
        <v>1.28546</v>
      </c>
      <c r="J1125" s="721" t="n">
        <v>1.2854</v>
      </c>
      <c r="K1125" s="760" t="n">
        <v>0.0009326908129953893</v>
      </c>
      <c r="L1125" s="721" t="n">
        <v>1.289</v>
      </c>
      <c r="M1125" s="722" t="n">
        <v>0.001865381625990951</v>
      </c>
      <c r="N1125" s="788" t="n"/>
      <c r="O1125" s="762" t="n">
        <v>-6.72</v>
      </c>
      <c r="P1125" s="725" t="n">
        <v>-0.01369807167026785</v>
      </c>
      <c r="Q1125" s="726" t="n">
        <v>-0.950000000000037</v>
      </c>
      <c r="R1125" s="764" t="n">
        <v>483.8599999999998</v>
      </c>
      <c r="S1125" s="719" t="inlineStr">
        <is>
          <t>1H 31M 0S</t>
        </is>
      </c>
      <c r="T1125" s="717" t="n"/>
      <c r="U1125" s="806" t="n"/>
      <c r="V1125" s="730" t="n"/>
      <c r="W1125" s="731" t="n"/>
      <c r="X1125" s="732" t="n"/>
      <c r="Y1125" s="728" t="n"/>
      <c r="Z1125" s="729" t="n"/>
      <c r="AA1125" s="730" t="n"/>
      <c r="AB1125" s="731" t="n"/>
      <c r="AC1125" s="732" t="n"/>
      <c r="AD1125" s="719" t="inlineStr">
        <is>
          <t>No</t>
        </is>
      </c>
      <c r="AE1125" s="733" t="n"/>
      <c r="AF1125" s="733" t="n"/>
      <c r="AG1125" s="733" t="n"/>
      <c r="AH1125" s="733" t="n"/>
      <c r="AI1125" s="719" t="inlineStr">
        <is>
          <t>Market</t>
        </is>
      </c>
      <c r="AJ1125" s="733" t="n"/>
      <c r="AK1125" s="733" t="n"/>
      <c r="AL1125" s="733" t="n"/>
      <c r="AM1125" s="733" t="n"/>
      <c r="AN1125" s="733" t="n"/>
      <c r="AO1125" s="733" t="n"/>
      <c r="AP1125" s="719" t="inlineStr">
        <is>
          <t>Pullback</t>
        </is>
      </c>
      <c r="AQ1125" s="719" t="inlineStr">
        <is>
          <t>1H</t>
        </is>
      </c>
      <c r="AR1125" s="719" t="inlineStr">
        <is>
          <t>No</t>
        </is>
      </c>
      <c r="AS1125" s="733" t="n"/>
      <c r="AT1125" s="733" t="n"/>
      <c r="AU1125" s="733" t="n"/>
      <c r="AV1125" s="733" t="n"/>
      <c r="AW1125" s="719" t="inlineStr">
        <is>
          <t>trade</t>
        </is>
      </c>
      <c r="AX1125" s="734" t="inlineStr">
        <is>
          <t>sig:816ca77eb60c592e835b7c59</t>
        </is>
      </c>
    </row>
    <row r="1126" ht="15" customHeight="1">
      <c r="A1126" s="716" t="inlineStr">
        <is>
          <t>F417</t>
        </is>
      </c>
      <c r="B1126" s="717" t="n">
        <v>43484.0125</v>
      </c>
      <c r="C1126" s="718" t="n">
        <v>43484.02986111111</v>
      </c>
      <c r="D1126" s="719" t="inlineStr">
        <is>
          <t>PEPPERSTONE DEMO</t>
        </is>
      </c>
      <c r="E1126" s="719" t="inlineStr">
        <is>
          <t>AUDUSD</t>
        </is>
      </c>
      <c r="F1126" s="719" t="inlineStr">
        <is>
          <t>BUY</t>
        </is>
      </c>
      <c r="G1126" s="735" t="n">
        <v>0.06</v>
      </c>
      <c r="H1126" s="720" t="n">
        <v>0.719</v>
      </c>
      <c r="I1126" s="720" t="n">
        <v>0.71837</v>
      </c>
      <c r="J1126" s="721" t="n">
        <v>0.7183</v>
      </c>
      <c r="K1126" s="760" t="n">
        <v>0.0009735744089011446</v>
      </c>
      <c r="L1126" s="721" t="n">
        <v>0.7204</v>
      </c>
      <c r="M1126" s="722" t="n">
        <v>0.001947148817802598</v>
      </c>
      <c r="N1126" s="788" t="n"/>
      <c r="O1126" s="762" t="n">
        <v>-5.85</v>
      </c>
      <c r="P1126" s="725" t="n">
        <v>-0.01178413875067986</v>
      </c>
      <c r="Q1126" s="726" t="n">
        <v>-0.9000000000001269</v>
      </c>
      <c r="R1126" s="764" t="n">
        <v>490.5799999999999</v>
      </c>
      <c r="S1126" s="719" t="inlineStr">
        <is>
          <t>25M 0S</t>
        </is>
      </c>
      <c r="T1126" s="728" t="n"/>
      <c r="U1126" s="729" t="n"/>
      <c r="V1126" s="730" t="n"/>
      <c r="W1126" s="731" t="n"/>
      <c r="X1126" s="732" t="n"/>
      <c r="Y1126" s="728" t="n"/>
      <c r="Z1126" s="729" t="n"/>
      <c r="AA1126" s="730" t="n"/>
      <c r="AB1126" s="731" t="n"/>
      <c r="AC1126" s="732" t="n"/>
      <c r="AD1126" s="719" t="inlineStr">
        <is>
          <t>No</t>
        </is>
      </c>
      <c r="AE1126" s="733" t="n"/>
      <c r="AF1126" s="733" t="n"/>
      <c r="AG1126" s="733" t="n"/>
      <c r="AH1126" s="733" t="n"/>
      <c r="AI1126" s="719" t="inlineStr">
        <is>
          <t>Limit</t>
        </is>
      </c>
      <c r="AJ1126" s="733" t="n"/>
      <c r="AK1126" s="733" t="n"/>
      <c r="AL1126" s="733" t="n"/>
      <c r="AM1126" s="733" t="n"/>
      <c r="AN1126" s="733" t="n"/>
      <c r="AO1126" s="733" t="n"/>
      <c r="AP1126" s="719" t="inlineStr">
        <is>
          <t>Pullback</t>
        </is>
      </c>
      <c r="AQ1126" s="719" t="inlineStr">
        <is>
          <t>1H</t>
        </is>
      </c>
      <c r="AR1126" s="719" t="inlineStr">
        <is>
          <t>No</t>
        </is>
      </c>
      <c r="AS1126" s="733" t="n"/>
      <c r="AT1126" s="733" t="n"/>
      <c r="AU1126" s="733" t="n"/>
      <c r="AV1126" s="733" t="n"/>
      <c r="AW1126" s="719" t="inlineStr">
        <is>
          <t>trade</t>
        </is>
      </c>
      <c r="AX1126" s="734" t="inlineStr">
        <is>
          <t>sig:2e84a1d4ba70d62e4771d3e3</t>
        </is>
      </c>
    </row>
    <row r="1127" ht="15" customHeight="1">
      <c r="A1127" s="716" t="inlineStr">
        <is>
          <t>F416</t>
        </is>
      </c>
      <c r="B1127" s="717" t="n">
        <v>43483.95208333333</v>
      </c>
      <c r="C1127" s="718" t="n">
        <v>43483.98958333334</v>
      </c>
      <c r="D1127" s="719" t="inlineStr">
        <is>
          <t>PEPPERSTONE DEMO</t>
        </is>
      </c>
      <c r="E1127" s="719" t="inlineStr">
        <is>
          <t>EURUSD</t>
        </is>
      </c>
      <c r="F1127" s="719" t="inlineStr">
        <is>
          <t>BUY</t>
        </is>
      </c>
      <c r="G1127" s="735" t="n">
        <v>0.06</v>
      </c>
      <c r="H1127" s="720" t="n">
        <v>1.1406</v>
      </c>
      <c r="I1127" s="720" t="n">
        <v>1.13997</v>
      </c>
      <c r="J1127" s="721" t="n">
        <v>1.1399</v>
      </c>
      <c r="K1127" s="760" t="n">
        <v>0.0006137120813608144</v>
      </c>
      <c r="L1127" s="721" t="n">
        <v>1.142</v>
      </c>
      <c r="M1127" s="722" t="n">
        <v>0.001227424162721239</v>
      </c>
      <c r="N1127" s="761" t="n"/>
      <c r="O1127" s="762" t="n">
        <v>-5.84</v>
      </c>
      <c r="P1127" s="725" t="n">
        <v>-0.01162721245545225</v>
      </c>
      <c r="Q1127" s="726" t="n">
        <v>-0.9</v>
      </c>
      <c r="R1127" s="764" t="n">
        <v>496.4299999999999</v>
      </c>
      <c r="S1127" s="719" t="inlineStr">
        <is>
          <t>54M 0S</t>
        </is>
      </c>
      <c r="T1127" s="728" t="n"/>
      <c r="U1127" s="729" t="n"/>
      <c r="V1127" s="730" t="n"/>
      <c r="W1127" s="731" t="n"/>
      <c r="X1127" s="732" t="n"/>
      <c r="Y1127" s="728" t="n"/>
      <c r="Z1127" s="729" t="n"/>
      <c r="AA1127" s="730" t="n"/>
      <c r="AB1127" s="731" t="n"/>
      <c r="AC1127" s="732" t="n"/>
      <c r="AD1127" s="719" t="inlineStr">
        <is>
          <t>No</t>
        </is>
      </c>
      <c r="AE1127" s="733" t="n"/>
      <c r="AF1127" s="733" t="n"/>
      <c r="AG1127" s="733" t="n"/>
      <c r="AH1127" s="733" t="n"/>
      <c r="AI1127" s="719" t="inlineStr">
        <is>
          <t>Limit</t>
        </is>
      </c>
      <c r="AJ1127" s="733" t="n"/>
      <c r="AK1127" s="733" t="n"/>
      <c r="AL1127" s="733" t="n"/>
      <c r="AM1127" s="733" t="n"/>
      <c r="AN1127" s="733" t="n"/>
      <c r="AO1127" s="733" t="n"/>
      <c r="AP1127" s="719" t="inlineStr">
        <is>
          <t>Pullback</t>
        </is>
      </c>
      <c r="AQ1127" s="719" t="inlineStr">
        <is>
          <t>1H</t>
        </is>
      </c>
      <c r="AR1127" s="719" t="inlineStr">
        <is>
          <t>No</t>
        </is>
      </c>
      <c r="AS1127" s="733" t="n"/>
      <c r="AT1127" s="733" t="n"/>
      <c r="AU1127" s="733" t="n"/>
      <c r="AV1127" s="733" t="n"/>
      <c r="AW1127" s="719" t="inlineStr">
        <is>
          <t>trade</t>
        </is>
      </c>
      <c r="AX1127" s="734" t="inlineStr">
        <is>
          <t>sig:c27ffc6afa407df12b2b807f</t>
        </is>
      </c>
    </row>
    <row r="1128" ht="15" customHeight="1">
      <c r="A1128" s="737" t="inlineStr">
        <is>
          <t>F414</t>
        </is>
      </c>
      <c r="B1128" s="738" t="n">
        <v>43482.87638888889</v>
      </c>
      <c r="C1128" s="739" t="n">
        <v>43482.96805555555</v>
      </c>
      <c r="D1128" s="740" t="inlineStr">
        <is>
          <t>PEPPERSTONE DEMO</t>
        </is>
      </c>
      <c r="E1128" s="740" t="inlineStr">
        <is>
          <t>USDCAD</t>
        </is>
      </c>
      <c r="F1128" s="740" t="inlineStr">
        <is>
          <t>BUY</t>
        </is>
      </c>
      <c r="G1128" s="775" t="n">
        <v>0.06</v>
      </c>
      <c r="H1128" s="742" t="n">
        <v>1.3282</v>
      </c>
      <c r="I1128" s="742" t="n">
        <v>1.32983</v>
      </c>
      <c r="J1128" s="743" t="n">
        <v>1.3274</v>
      </c>
      <c r="K1128" s="765" t="n">
        <v>0.0006023189278724092</v>
      </c>
      <c r="L1128" s="743" t="n">
        <v>1.3298</v>
      </c>
      <c r="M1128" s="744" t="n">
        <v>0.001204637855744651</v>
      </c>
      <c r="N1128" s="796" t="n"/>
      <c r="O1128" s="767" t="n">
        <v>7.5</v>
      </c>
      <c r="P1128" s="747" t="n">
        <v>0.0151585585221416</v>
      </c>
      <c r="Q1128" s="748" t="n">
        <v>2.037499999999684</v>
      </c>
      <c r="R1128" s="769" t="n">
        <v>502.2699999999999</v>
      </c>
      <c r="S1128" s="740" t="inlineStr">
        <is>
          <t>2H 12M 0S</t>
        </is>
      </c>
      <c r="T1128" s="738" t="n">
        <v>43482.93958333333</v>
      </c>
      <c r="U1128" s="809" t="inlineStr">
        <is>
          <t>1H 31M 0S</t>
        </is>
      </c>
      <c r="V1128" s="752" t="n"/>
      <c r="W1128" s="753" t="n"/>
      <c r="X1128" s="754" t="n"/>
      <c r="Y1128" s="750" t="n"/>
      <c r="Z1128" s="751" t="n"/>
      <c r="AA1128" s="752" t="n"/>
      <c r="AB1128" s="753" t="n"/>
      <c r="AC1128" s="754" t="n"/>
      <c r="AD1128" s="740" t="inlineStr">
        <is>
          <t>No</t>
        </is>
      </c>
      <c r="AE1128" s="755" t="n"/>
      <c r="AF1128" s="755" t="n"/>
      <c r="AG1128" s="755" t="n"/>
      <c r="AH1128" s="755" t="n"/>
      <c r="AI1128" s="740" t="inlineStr">
        <is>
          <t>Limit</t>
        </is>
      </c>
      <c r="AJ1128" s="755" t="n"/>
      <c r="AK1128" s="755" t="n"/>
      <c r="AL1128" s="755" t="n"/>
      <c r="AM1128" s="755" t="n"/>
      <c r="AN1128" s="755" t="n"/>
      <c r="AO1128" s="755" t="n"/>
      <c r="AP1128" s="740" t="inlineStr">
        <is>
          <t>Pullback</t>
        </is>
      </c>
      <c r="AQ1128" s="740" t="inlineStr">
        <is>
          <t>1H</t>
        </is>
      </c>
      <c r="AR1128" s="740" t="inlineStr">
        <is>
          <t>No</t>
        </is>
      </c>
      <c r="AS1128" s="755" t="n"/>
      <c r="AT1128" s="755" t="n"/>
      <c r="AU1128" s="755" t="n"/>
      <c r="AV1128" s="755" t="n"/>
      <c r="AW1128" s="740" t="inlineStr">
        <is>
          <t>trade</t>
        </is>
      </c>
      <c r="AX1128" s="756" t="inlineStr">
        <is>
          <t>sig:9904d7d4222ee28e46c41e20</t>
        </is>
      </c>
    </row>
    <row r="1129" ht="15" customHeight="1">
      <c r="A1129" s="737" t="inlineStr">
        <is>
          <t>F413</t>
        </is>
      </c>
      <c r="B1129" s="738" t="n">
        <v>43482.07083333333</v>
      </c>
      <c r="C1129" s="739" t="n">
        <v>43482.42013888889</v>
      </c>
      <c r="D1129" s="740" t="inlineStr">
        <is>
          <t>PEPPERSTONE DEMO</t>
        </is>
      </c>
      <c r="E1129" s="740" t="inlineStr">
        <is>
          <t>AUDUSD</t>
        </is>
      </c>
      <c r="F1129" s="740" t="inlineStr">
        <is>
          <t>SELL</t>
        </is>
      </c>
      <c r="G1129" s="775" t="n">
        <v>0.05</v>
      </c>
      <c r="H1129" s="742" t="n">
        <v>0.7181</v>
      </c>
      <c r="I1129" s="742" t="n">
        <v>0.71658</v>
      </c>
      <c r="J1129" s="743" t="n">
        <v>0.7189</v>
      </c>
      <c r="K1129" s="744" t="n">
        <v>0.00111405096783181</v>
      </c>
      <c r="L1129" s="743" t="n">
        <v>0.7165</v>
      </c>
      <c r="M1129" s="744" t="n">
        <v>0.002228101935663466</v>
      </c>
      <c r="N1129" s="766" t="n">
        <v>0.16</v>
      </c>
      <c r="O1129" s="767" t="n">
        <v>10.19</v>
      </c>
      <c r="P1129" s="747" t="n">
        <v>0.02102851954269677</v>
      </c>
      <c r="Q1129" s="748" t="n">
        <v>1.899999999999903</v>
      </c>
      <c r="R1129" s="769" t="n">
        <v>494.7699999999999</v>
      </c>
      <c r="S1129" s="740" t="inlineStr">
        <is>
          <t>8H 23M 0S</t>
        </is>
      </c>
      <c r="T1129" s="738" t="n">
        <v>43482.31875</v>
      </c>
      <c r="U1129" s="809" t="inlineStr">
        <is>
          <t>5H 57M 0S</t>
        </is>
      </c>
      <c r="V1129" s="752" t="n"/>
      <c r="W1129" s="753" t="n"/>
      <c r="X1129" s="754" t="n"/>
      <c r="Y1129" s="750" t="n"/>
      <c r="Z1129" s="751" t="n"/>
      <c r="AA1129" s="752" t="n"/>
      <c r="AB1129" s="753" t="n"/>
      <c r="AC1129" s="754" t="n"/>
      <c r="AD1129" s="740" t="inlineStr">
        <is>
          <t>No</t>
        </is>
      </c>
      <c r="AE1129" s="755" t="n"/>
      <c r="AF1129" s="755" t="n"/>
      <c r="AG1129" s="755" t="n"/>
      <c r="AH1129" s="755" t="n"/>
      <c r="AI1129" s="740" t="inlineStr">
        <is>
          <t>Market</t>
        </is>
      </c>
      <c r="AJ1129" s="755" t="n"/>
      <c r="AK1129" s="755" t="n"/>
      <c r="AL1129" s="755" t="n"/>
      <c r="AM1129" s="755" t="n"/>
      <c r="AN1129" s="755" t="n"/>
      <c r="AO1129" s="755" t="n"/>
      <c r="AP1129" s="740" t="inlineStr">
        <is>
          <t>Pullback</t>
        </is>
      </c>
      <c r="AQ1129" s="740" t="inlineStr">
        <is>
          <t>1H</t>
        </is>
      </c>
      <c r="AR1129" s="740" t="inlineStr">
        <is>
          <t>No</t>
        </is>
      </c>
      <c r="AS1129" s="755" t="n"/>
      <c r="AT1129" s="755" t="n"/>
      <c r="AU1129" s="755" t="n"/>
      <c r="AV1129" s="755" t="n"/>
      <c r="AW1129" s="740" t="inlineStr">
        <is>
          <t>trade</t>
        </is>
      </c>
      <c r="AX1129" s="756" t="inlineStr">
        <is>
          <t>sig:b757fd701919878ebc75e217</t>
        </is>
      </c>
    </row>
    <row r="1130" ht="15" customHeight="1">
      <c r="A1130" s="716" t="inlineStr">
        <is>
          <t>F415</t>
        </is>
      </c>
      <c r="B1130" s="717" t="n">
        <v>43482.00833333333</v>
      </c>
      <c r="C1130" s="718" t="n">
        <v>43482.06805555556</v>
      </c>
      <c r="D1130" s="719" t="inlineStr">
        <is>
          <t>PEPPERSTONE DEMO</t>
        </is>
      </c>
      <c r="E1130" s="719" t="inlineStr">
        <is>
          <t>USDJPY</t>
        </is>
      </c>
      <c r="F1130" s="719" t="inlineStr">
        <is>
          <t>BUY</t>
        </is>
      </c>
      <c r="G1130" s="735" t="n">
        <v>0.05</v>
      </c>
      <c r="H1130" s="720" t="n">
        <v>108.79</v>
      </c>
      <c r="I1130" s="720" t="n">
        <v>108.729</v>
      </c>
      <c r="J1130" s="721" t="n">
        <v>108.72</v>
      </c>
      <c r="K1130" s="760" t="n">
        <v>0.0006434414927843312</v>
      </c>
      <c r="L1130" s="721" t="n">
        <v>108.93</v>
      </c>
      <c r="M1130" s="722" t="n">
        <v>0.001286882985568532</v>
      </c>
      <c r="N1130" s="788" t="n"/>
      <c r="O1130" s="762" t="n">
        <v>-4.48</v>
      </c>
      <c r="P1130" s="725" t="n">
        <v>-0.009160430213061795</v>
      </c>
      <c r="Q1130" s="726" t="n">
        <v>-0.8714285714285801</v>
      </c>
      <c r="R1130" s="764" t="n">
        <v>484.5799999999999</v>
      </c>
      <c r="S1130" s="719" t="inlineStr">
        <is>
          <t>1H 26M 0S</t>
        </is>
      </c>
      <c r="T1130" s="728" t="n"/>
      <c r="U1130" s="729" t="n"/>
      <c r="V1130" s="730" t="n"/>
      <c r="W1130" s="731" t="n"/>
      <c r="X1130" s="732" t="n"/>
      <c r="Y1130" s="728" t="n"/>
      <c r="Z1130" s="729" t="n"/>
      <c r="AA1130" s="730" t="n"/>
      <c r="AB1130" s="731" t="n"/>
      <c r="AC1130" s="732" t="n"/>
      <c r="AD1130" s="719" t="inlineStr">
        <is>
          <t>No</t>
        </is>
      </c>
      <c r="AE1130" s="733" t="n"/>
      <c r="AF1130" s="733" t="n"/>
      <c r="AG1130" s="733" t="n"/>
      <c r="AH1130" s="733" t="n"/>
      <c r="AI1130" s="719" t="inlineStr">
        <is>
          <t>Market</t>
        </is>
      </c>
      <c r="AJ1130" s="733" t="n"/>
      <c r="AK1130" s="733" t="n"/>
      <c r="AL1130" s="733" t="n"/>
      <c r="AM1130" s="733" t="n"/>
      <c r="AN1130" s="733" t="n"/>
      <c r="AO1130" s="733" t="n"/>
      <c r="AP1130" s="719" t="inlineStr">
        <is>
          <t>Pullback</t>
        </is>
      </c>
      <c r="AQ1130" s="719" t="inlineStr">
        <is>
          <t>1H</t>
        </is>
      </c>
      <c r="AR1130" s="719" t="inlineStr">
        <is>
          <t>No</t>
        </is>
      </c>
      <c r="AS1130" s="733" t="n"/>
      <c r="AT1130" s="733" t="n"/>
      <c r="AU1130" s="733" t="n"/>
      <c r="AV1130" s="733" t="n"/>
      <c r="AW1130" s="719" t="inlineStr">
        <is>
          <t>trade</t>
        </is>
      </c>
      <c r="AX1130" s="734" t="inlineStr">
        <is>
          <t>sig:b01ce7dd250a76a3232b65f6</t>
        </is>
      </c>
    </row>
    <row r="1131" ht="15" customHeight="1">
      <c r="A1131" s="737" t="inlineStr">
        <is>
          <t>F411</t>
        </is>
      </c>
      <c r="B1131" s="738" t="n">
        <v>43481.91597222222</v>
      </c>
      <c r="C1131" s="739" t="n">
        <v>43482.00833333333</v>
      </c>
      <c r="D1131" s="740" t="inlineStr">
        <is>
          <t>PEPPERSTONE DEMO</t>
        </is>
      </c>
      <c r="E1131" s="740" t="inlineStr">
        <is>
          <t>USDCAD</t>
        </is>
      </c>
      <c r="F1131" s="740" t="inlineStr">
        <is>
          <t>SELL</t>
        </is>
      </c>
      <c r="G1131" s="775" t="n">
        <v>0.06</v>
      </c>
      <c r="H1131" s="742" t="n">
        <v>1.327</v>
      </c>
      <c r="I1131" s="742" t="n">
        <v>1.32524</v>
      </c>
      <c r="J1131" s="743" t="n">
        <v>1.3279</v>
      </c>
      <c r="K1131" s="765" t="n">
        <v>0.0006782215523738681</v>
      </c>
      <c r="L1131" s="743" t="n">
        <v>1.3252</v>
      </c>
      <c r="M1131" s="744" t="n">
        <v>0.001356443104747569</v>
      </c>
      <c r="N1131" s="796" t="n"/>
      <c r="O1131" s="767" t="n">
        <v>6.94</v>
      </c>
      <c r="P1131" s="747" t="n">
        <v>0.01439475649215963</v>
      </c>
      <c r="Q1131" s="748" t="n">
        <v>1.95555555555527</v>
      </c>
      <c r="R1131" s="769" t="n">
        <v>489.0599999999999</v>
      </c>
      <c r="S1131" s="740" t="inlineStr">
        <is>
          <t>2H 13M 0S</t>
        </is>
      </c>
      <c r="T1131" s="738" t="n">
        <v>43481.95902777778</v>
      </c>
      <c r="U1131" s="809" t="inlineStr">
        <is>
          <t>1H 2M 0S</t>
        </is>
      </c>
      <c r="V1131" s="752" t="n"/>
      <c r="W1131" s="753" t="n"/>
      <c r="X1131" s="754" t="n"/>
      <c r="Y1131" s="750" t="n"/>
      <c r="Z1131" s="751" t="n"/>
      <c r="AA1131" s="752" t="n"/>
      <c r="AB1131" s="753" t="n"/>
      <c r="AC1131" s="754" t="n"/>
      <c r="AD1131" s="740" t="inlineStr">
        <is>
          <t>No</t>
        </is>
      </c>
      <c r="AE1131" s="755" t="n"/>
      <c r="AF1131" s="755" t="n"/>
      <c r="AG1131" s="755" t="n"/>
      <c r="AH1131" s="755" t="n"/>
      <c r="AI1131" s="740" t="inlineStr">
        <is>
          <t>Market</t>
        </is>
      </c>
      <c r="AJ1131" s="755" t="n"/>
      <c r="AK1131" s="755" t="n"/>
      <c r="AL1131" s="755" t="n"/>
      <c r="AM1131" s="755" t="n"/>
      <c r="AN1131" s="755" t="n"/>
      <c r="AO1131" s="755" t="n"/>
      <c r="AP1131" s="740" t="inlineStr">
        <is>
          <t>Pullback</t>
        </is>
      </c>
      <c r="AQ1131" s="740" t="inlineStr">
        <is>
          <t>1H</t>
        </is>
      </c>
      <c r="AR1131" s="740" t="inlineStr">
        <is>
          <t>No</t>
        </is>
      </c>
      <c r="AS1131" s="755" t="n"/>
      <c r="AT1131" s="755" t="n"/>
      <c r="AU1131" s="755" t="n"/>
      <c r="AV1131" s="755" t="n"/>
      <c r="AW1131" s="740" t="inlineStr">
        <is>
          <t>trade</t>
        </is>
      </c>
      <c r="AX1131" s="756" t="inlineStr">
        <is>
          <t>sig:3ad7f084f562c7becf0fb226</t>
        </is>
      </c>
    </row>
    <row r="1132" ht="15" customHeight="1">
      <c r="A1132" s="716" t="inlineStr">
        <is>
          <t>F410</t>
        </is>
      </c>
      <c r="B1132" s="717" t="n">
        <v>43481.125</v>
      </c>
      <c r="C1132" s="718" t="n">
        <v>43481.16111111111</v>
      </c>
      <c r="D1132" s="719" t="inlineStr">
        <is>
          <t>PEPPERSTONE DEMO</t>
        </is>
      </c>
      <c r="E1132" s="719" t="inlineStr">
        <is>
          <t>AUDUSD</t>
        </is>
      </c>
      <c r="F1132" s="719" t="inlineStr">
        <is>
          <t>BUY</t>
        </is>
      </c>
      <c r="G1132" s="735" t="n">
        <v>0.06</v>
      </c>
      <c r="H1132" s="720" t="n">
        <v>0.7191</v>
      </c>
      <c r="I1132" s="720" t="n">
        <v>0.71844</v>
      </c>
      <c r="J1132" s="721" t="n">
        <v>0.7184</v>
      </c>
      <c r="K1132" s="760" t="n">
        <v>0.0009734390209983632</v>
      </c>
      <c r="L1132" s="721" t="n">
        <v>0.7205</v>
      </c>
      <c r="M1132" s="722" t="n">
        <v>0.001946878041997035</v>
      </c>
      <c r="N1132" s="788" t="n"/>
      <c r="O1132" s="762" t="n">
        <v>-5.85</v>
      </c>
      <c r="P1132" s="725" t="n">
        <v>-0.01198844191241265</v>
      </c>
      <c r="Q1132" s="726" t="n">
        <v>-0.942857142857238</v>
      </c>
      <c r="R1132" s="764" t="n">
        <v>482.1199999999999</v>
      </c>
      <c r="S1132" s="719" t="inlineStr">
        <is>
          <t>52M 0S</t>
        </is>
      </c>
      <c r="T1132" s="717" t="n"/>
      <c r="U1132" s="806" t="n"/>
      <c r="V1132" s="730" t="n"/>
      <c r="W1132" s="731" t="n"/>
      <c r="X1132" s="732" t="n"/>
      <c r="Y1132" s="728" t="n"/>
      <c r="Z1132" s="729" t="n"/>
      <c r="AA1132" s="730" t="n"/>
      <c r="AB1132" s="731" t="n"/>
      <c r="AC1132" s="732" t="n"/>
      <c r="AD1132" s="719" t="inlineStr">
        <is>
          <t>No</t>
        </is>
      </c>
      <c r="AE1132" s="733" t="n"/>
      <c r="AF1132" s="733" t="n"/>
      <c r="AG1132" s="733" t="n"/>
      <c r="AH1132" s="733" t="n"/>
      <c r="AI1132" s="719" t="inlineStr">
        <is>
          <t>Limit</t>
        </is>
      </c>
      <c r="AJ1132" s="733" t="n"/>
      <c r="AK1132" s="733" t="n"/>
      <c r="AL1132" s="733" t="n"/>
      <c r="AM1132" s="733" t="n"/>
      <c r="AN1132" s="733" t="n"/>
      <c r="AO1132" s="733" t="n"/>
      <c r="AP1132" s="719" t="inlineStr">
        <is>
          <t>Pullback</t>
        </is>
      </c>
      <c r="AQ1132" s="719" t="inlineStr">
        <is>
          <t>1H</t>
        </is>
      </c>
      <c r="AR1132" s="719" t="inlineStr">
        <is>
          <t>No</t>
        </is>
      </c>
      <c r="AS1132" s="733" t="n"/>
      <c r="AT1132" s="733" t="n"/>
      <c r="AU1132" s="733" t="n"/>
      <c r="AV1132" s="733" t="n"/>
      <c r="AW1132" s="719" t="inlineStr">
        <is>
          <t>trade</t>
        </is>
      </c>
      <c r="AX1132" s="734" t="inlineStr">
        <is>
          <t>sig:7ea072c8fa08c0bf0d63bad1</t>
        </is>
      </c>
    </row>
    <row r="1133" ht="15" customHeight="1">
      <c r="A1133" s="737" t="inlineStr">
        <is>
          <t>F412</t>
        </is>
      </c>
      <c r="B1133" s="738" t="n">
        <v>43481.01875</v>
      </c>
      <c r="C1133" s="739" t="n">
        <v>43481.09027777778</v>
      </c>
      <c r="D1133" s="740" t="inlineStr">
        <is>
          <t>PEPPERSTONE DEMO</t>
        </is>
      </c>
      <c r="E1133" s="740" t="inlineStr">
        <is>
          <t>USDCHF</t>
        </is>
      </c>
      <c r="F1133" s="740" t="inlineStr">
        <is>
          <t>BUY</t>
        </is>
      </c>
      <c r="G1133" s="775" t="n">
        <v>0.04</v>
      </c>
      <c r="H1133" s="742" t="n">
        <v>0.9852</v>
      </c>
      <c r="I1133" s="742" t="n">
        <v>0.98746</v>
      </c>
      <c r="J1133" s="743" t="n">
        <v>0.9841</v>
      </c>
      <c r="K1133" s="744" t="n">
        <v>0.001116524563540388</v>
      </c>
      <c r="L1133" s="743" t="n">
        <v>0.9874000000000001</v>
      </c>
      <c r="M1133" s="744" t="n">
        <v>0.002233049127080888</v>
      </c>
      <c r="N1133" s="796" t="n"/>
      <c r="O1133" s="767" t="n">
        <v>10.64</v>
      </c>
      <c r="P1133" s="747" t="n">
        <v>0.02229065845431882</v>
      </c>
      <c r="Q1133" s="748" t="n">
        <v>2.05454545454551</v>
      </c>
      <c r="R1133" s="769" t="n">
        <v>487.9699999999999</v>
      </c>
      <c r="S1133" s="740" t="inlineStr">
        <is>
          <t>1H 43M 0S</t>
        </is>
      </c>
      <c r="T1133" s="738" t="n">
        <v>43481.08611111111</v>
      </c>
      <c r="U1133" s="809" t="inlineStr">
        <is>
          <t>1H 37M 0S</t>
        </is>
      </c>
      <c r="V1133" s="752" t="n"/>
      <c r="W1133" s="753" t="n"/>
      <c r="X1133" s="754" t="n"/>
      <c r="Y1133" s="750" t="n"/>
      <c r="Z1133" s="751" t="n"/>
      <c r="AA1133" s="752" t="n"/>
      <c r="AB1133" s="753" t="n"/>
      <c r="AC1133" s="754" t="n"/>
      <c r="AD1133" s="740" t="inlineStr">
        <is>
          <t>No</t>
        </is>
      </c>
      <c r="AE1133" s="755" t="n"/>
      <c r="AF1133" s="755" t="n"/>
      <c r="AG1133" s="755" t="n"/>
      <c r="AH1133" s="755" t="n"/>
      <c r="AI1133" s="740" t="inlineStr">
        <is>
          <t>Market</t>
        </is>
      </c>
      <c r="AJ1133" s="755" t="n"/>
      <c r="AK1133" s="755" t="n"/>
      <c r="AL1133" s="755" t="n"/>
      <c r="AM1133" s="755" t="n"/>
      <c r="AN1133" s="755" t="n"/>
      <c r="AO1133" s="755" t="n"/>
      <c r="AP1133" s="740" t="inlineStr">
        <is>
          <t>Pullback</t>
        </is>
      </c>
      <c r="AQ1133" s="740" t="inlineStr">
        <is>
          <t>1H</t>
        </is>
      </c>
      <c r="AR1133" s="740" t="inlineStr">
        <is>
          <t>No</t>
        </is>
      </c>
      <c r="AS1133" s="755" t="n"/>
      <c r="AT1133" s="755" t="n"/>
      <c r="AU1133" s="755" t="n"/>
      <c r="AV1133" s="755" t="n"/>
      <c r="AW1133" s="740" t="inlineStr">
        <is>
          <t>trade</t>
        </is>
      </c>
      <c r="AX1133" s="756" t="inlineStr">
        <is>
          <t>sig:911d2c0f5fe3fa2a5fadced7</t>
        </is>
      </c>
    </row>
    <row r="1134" ht="15" customHeight="1">
      <c r="A1134" s="737" t="inlineStr">
        <is>
          <t>F408</t>
        </is>
      </c>
      <c r="B1134" s="738" t="n">
        <v>43480.96875</v>
      </c>
      <c r="C1134" s="739" t="n">
        <v>43481.00486111111</v>
      </c>
      <c r="D1134" s="740" t="inlineStr">
        <is>
          <t>PEPPERSTONE DEMO</t>
        </is>
      </c>
      <c r="E1134" s="740" t="inlineStr">
        <is>
          <t>AUDUSD</t>
        </is>
      </c>
      <c r="F1134" s="740" t="inlineStr">
        <is>
          <t>BUY</t>
        </is>
      </c>
      <c r="G1134" s="775" t="n">
        <v>0.05</v>
      </c>
      <c r="H1134" s="742" t="n">
        <v>0.7192</v>
      </c>
      <c r="I1134" s="742" t="n">
        <v>0.72044</v>
      </c>
      <c r="J1134" s="743" t="n">
        <v>0.7186</v>
      </c>
      <c r="K1134" s="765" t="n">
        <v>0.0008342602892101418</v>
      </c>
      <c r="L1134" s="743" t="n">
        <v>0.7204</v>
      </c>
      <c r="M1134" s="744" t="n">
        <v>0.001668520578420592</v>
      </c>
      <c r="N1134" s="796" t="n"/>
      <c r="O1134" s="767" t="n">
        <v>8.33</v>
      </c>
      <c r="P1134" s="747" t="n">
        <v>0.01776119402985075</v>
      </c>
      <c r="Q1134" s="748" t="n">
        <v>2.066666666666926</v>
      </c>
      <c r="R1134" s="769" t="n">
        <v>477.3299999999999</v>
      </c>
      <c r="S1134" s="740" t="inlineStr">
        <is>
          <t>52M 0S</t>
        </is>
      </c>
      <c r="T1134" s="738" t="n"/>
      <c r="U1134" s="809" t="n"/>
      <c r="V1134" s="752" t="n"/>
      <c r="W1134" s="753" t="n"/>
      <c r="X1134" s="754" t="n"/>
      <c r="Y1134" s="750" t="n"/>
      <c r="Z1134" s="751" t="n"/>
      <c r="AA1134" s="752" t="n"/>
      <c r="AB1134" s="753" t="n"/>
      <c r="AC1134" s="754" t="n"/>
      <c r="AD1134" s="740" t="inlineStr">
        <is>
          <t>No</t>
        </is>
      </c>
      <c r="AE1134" s="755" t="n"/>
      <c r="AF1134" s="755" t="n"/>
      <c r="AG1134" s="755" t="n"/>
      <c r="AH1134" s="755" t="n"/>
      <c r="AI1134" s="740" t="inlineStr">
        <is>
          <t>Market</t>
        </is>
      </c>
      <c r="AJ1134" s="755" t="n"/>
      <c r="AK1134" s="755" t="n"/>
      <c r="AL1134" s="755" t="n"/>
      <c r="AM1134" s="755" t="n"/>
      <c r="AN1134" s="755" t="n"/>
      <c r="AO1134" s="755" t="n"/>
      <c r="AP1134" s="740" t="inlineStr">
        <is>
          <t>Pullback</t>
        </is>
      </c>
      <c r="AQ1134" s="740" t="inlineStr">
        <is>
          <t>1H</t>
        </is>
      </c>
      <c r="AR1134" s="740" t="inlineStr">
        <is>
          <t>No</t>
        </is>
      </c>
      <c r="AS1134" s="755" t="n"/>
      <c r="AT1134" s="755" t="n"/>
      <c r="AU1134" s="755" t="n"/>
      <c r="AV1134" s="755" t="n"/>
      <c r="AW1134" s="740" t="inlineStr">
        <is>
          <t>trade</t>
        </is>
      </c>
      <c r="AX1134" s="756" t="inlineStr">
        <is>
          <t>sig:35eb330a283282b04d2a9920</t>
        </is>
      </c>
    </row>
    <row r="1135" ht="15" customHeight="1">
      <c r="A1135" s="716" t="inlineStr">
        <is>
          <t>F407</t>
        </is>
      </c>
      <c r="B1135" s="717" t="n">
        <v>43480.08958333333</v>
      </c>
      <c r="C1135" s="718" t="n">
        <v>43480.42361111111</v>
      </c>
      <c r="D1135" s="719" t="inlineStr">
        <is>
          <t>PEPPERSTONE DEMO</t>
        </is>
      </c>
      <c r="E1135" s="719" t="inlineStr">
        <is>
          <t>USDJPY</t>
        </is>
      </c>
      <c r="F1135" s="719" t="inlineStr">
        <is>
          <t>SELL</t>
        </is>
      </c>
      <c r="G1135" s="735" t="n">
        <v>0.04</v>
      </c>
      <c r="H1135" s="720" t="n">
        <v>108.294</v>
      </c>
      <c r="I1135" s="720" t="n">
        <v>108.294</v>
      </c>
      <c r="J1135" s="721" t="n">
        <v>108.37</v>
      </c>
      <c r="K1135" s="760" t="n">
        <v>0.0007017932664783609</v>
      </c>
      <c r="L1135" s="721" t="n">
        <v>108.13</v>
      </c>
      <c r="M1135" s="722" t="n">
        <v>0.001514395996084746</v>
      </c>
      <c r="N1135" s="761" t="n">
        <v>0.58</v>
      </c>
      <c r="O1135" s="762" t="n">
        <v>-0.58</v>
      </c>
      <c r="P1135" s="725" t="n">
        <v>-0.001235146300949785</v>
      </c>
      <c r="Q1135" s="726" t="n">
        <v>0</v>
      </c>
      <c r="R1135" s="764" t="n">
        <v>468.9999999999999</v>
      </c>
      <c r="S1135" s="719" t="inlineStr">
        <is>
          <t>8H 1M 0S</t>
        </is>
      </c>
      <c r="T1135" s="728" t="n"/>
      <c r="U1135" s="729" t="n"/>
      <c r="V1135" s="730" t="n"/>
      <c r="W1135" s="731" t="n"/>
      <c r="X1135" s="732" t="n"/>
      <c r="Y1135" s="728" t="n"/>
      <c r="Z1135" s="729" t="n"/>
      <c r="AA1135" s="730" t="n"/>
      <c r="AB1135" s="731" t="n"/>
      <c r="AC1135" s="732" t="n"/>
      <c r="AD1135" s="719" t="inlineStr">
        <is>
          <t>No</t>
        </is>
      </c>
      <c r="AE1135" s="733" t="n"/>
      <c r="AF1135" s="733" t="n"/>
      <c r="AG1135" s="733" t="n"/>
      <c r="AH1135" s="733" t="n"/>
      <c r="AI1135" s="719" t="n"/>
      <c r="AJ1135" s="733" t="n"/>
      <c r="AK1135" s="733" t="n"/>
      <c r="AL1135" s="733" t="n"/>
      <c r="AM1135" s="733" t="n"/>
      <c r="AN1135" s="733" t="n"/>
      <c r="AO1135" s="733" t="n"/>
      <c r="AP1135" s="719" t="inlineStr">
        <is>
          <t>Pullback</t>
        </is>
      </c>
      <c r="AQ1135" s="719" t="inlineStr">
        <is>
          <t>1H</t>
        </is>
      </c>
      <c r="AR1135" s="719" t="inlineStr">
        <is>
          <t>No</t>
        </is>
      </c>
      <c r="AS1135" s="733" t="n"/>
      <c r="AT1135" s="733" t="n"/>
      <c r="AU1135" s="733" t="n"/>
      <c r="AV1135" s="733" t="n"/>
      <c r="AW1135" s="719" t="inlineStr">
        <is>
          <t>trade</t>
        </is>
      </c>
      <c r="AX1135" s="734" t="inlineStr">
        <is>
          <t>sig:4f10cd983f7cc327e3d51fb2</t>
        </is>
      </c>
    </row>
    <row r="1136" ht="15" customHeight="1">
      <c r="A1136" s="716" t="inlineStr">
        <is>
          <t>F409</t>
        </is>
      </c>
      <c r="B1136" s="717" t="n">
        <v>43480.07430555556</v>
      </c>
      <c r="C1136" s="718" t="n">
        <v>43480.08055555556</v>
      </c>
      <c r="D1136" s="719" t="inlineStr">
        <is>
          <t>PEPPERSTONE DEMO</t>
        </is>
      </c>
      <c r="E1136" s="719" t="inlineStr">
        <is>
          <t>AUDUSD</t>
        </is>
      </c>
      <c r="F1136" s="719" t="inlineStr">
        <is>
          <t>SELL</t>
        </is>
      </c>
      <c r="G1136" s="735" t="n">
        <v>0.03</v>
      </c>
      <c r="H1136" s="720" t="n">
        <v>0.7196</v>
      </c>
      <c r="I1136" s="720" t="n">
        <v>0.72062</v>
      </c>
      <c r="J1136" s="721" t="n">
        <v>0.7206</v>
      </c>
      <c r="K1136" s="722" t="n">
        <v>0.001389660922734854</v>
      </c>
      <c r="L1136" s="721" t="n">
        <v>0.7176</v>
      </c>
      <c r="M1136" s="722" t="n">
        <v>0.002779321845469708</v>
      </c>
      <c r="N1136" s="788" t="n"/>
      <c r="O1136" s="762" t="n">
        <v>-4.16</v>
      </c>
      <c r="P1136" s="725" t="n">
        <v>-0.008781187993414111</v>
      </c>
      <c r="Q1136" s="726" t="n">
        <v>-1.02000000000002</v>
      </c>
      <c r="R1136" s="764" t="n">
        <v>469.5799999999999</v>
      </c>
      <c r="S1136" s="719" t="inlineStr">
        <is>
          <t>9M 0S</t>
        </is>
      </c>
      <c r="T1136" s="728" t="n"/>
      <c r="U1136" s="729" t="n"/>
      <c r="V1136" s="730" t="n"/>
      <c r="W1136" s="731" t="n"/>
      <c r="X1136" s="732" t="n"/>
      <c r="Y1136" s="728" t="n"/>
      <c r="Z1136" s="729" t="n"/>
      <c r="AA1136" s="730" t="n"/>
      <c r="AB1136" s="731" t="n"/>
      <c r="AC1136" s="732" t="n"/>
      <c r="AD1136" s="719" t="inlineStr">
        <is>
          <t>No</t>
        </is>
      </c>
      <c r="AE1136" s="733" t="n"/>
      <c r="AF1136" s="733" t="n"/>
      <c r="AG1136" s="733" t="n"/>
      <c r="AH1136" s="733" t="n"/>
      <c r="AI1136" s="719" t="n"/>
      <c r="AJ1136" s="733" t="n"/>
      <c r="AK1136" s="733" t="n"/>
      <c r="AL1136" s="733" t="n"/>
      <c r="AM1136" s="733" t="n"/>
      <c r="AN1136" s="733" t="n"/>
      <c r="AO1136" s="733" t="n"/>
      <c r="AP1136" s="719" t="inlineStr">
        <is>
          <t>Pullback</t>
        </is>
      </c>
      <c r="AQ1136" s="719" t="inlineStr">
        <is>
          <t>1H</t>
        </is>
      </c>
      <c r="AR1136" s="719" t="inlineStr">
        <is>
          <t>No</t>
        </is>
      </c>
      <c r="AS1136" s="733" t="n"/>
      <c r="AT1136" s="733" t="n"/>
      <c r="AU1136" s="733" t="n"/>
      <c r="AV1136" s="733" t="n"/>
      <c r="AW1136" s="719" t="inlineStr">
        <is>
          <t>trade</t>
        </is>
      </c>
      <c r="AX1136" s="734" t="inlineStr">
        <is>
          <t>sig:464d7aad5a13423e4767e426</t>
        </is>
      </c>
    </row>
    <row r="1137" ht="15" customHeight="1">
      <c r="A1137" s="716" t="inlineStr">
        <is>
          <t>F406</t>
        </is>
      </c>
      <c r="B1137" s="717" t="n">
        <v>43479.97777777778</v>
      </c>
      <c r="C1137" s="718" t="n">
        <v>43480.04791666667</v>
      </c>
      <c r="D1137" s="719" t="inlineStr">
        <is>
          <t>PEPPERSTONE DEMO</t>
        </is>
      </c>
      <c r="E1137" s="719" t="inlineStr">
        <is>
          <t>AUDUSD</t>
        </is>
      </c>
      <c r="F1137" s="719" t="inlineStr">
        <is>
          <t>SELL</t>
        </is>
      </c>
      <c r="G1137" s="735" t="n">
        <v>0.03</v>
      </c>
      <c r="H1137" s="720" t="n">
        <v>0.7192</v>
      </c>
      <c r="I1137" s="720" t="n">
        <v>0.72026</v>
      </c>
      <c r="J1137" s="721" t="n">
        <v>0.7202</v>
      </c>
      <c r="K1137" s="722" t="n">
        <v>0.001390433815350391</v>
      </c>
      <c r="L1137" s="721" t="n">
        <v>0.7171999999999999</v>
      </c>
      <c r="M1137" s="722" t="n">
        <v>0.002780867630700781</v>
      </c>
      <c r="N1137" s="788" t="n"/>
      <c r="O1137" s="762" t="n">
        <v>-4.17</v>
      </c>
      <c r="P1137" s="725" t="n">
        <v>-0.008725492247494297</v>
      </c>
      <c r="Q1137" s="726" t="n">
        <v>-1.06000000000006</v>
      </c>
      <c r="R1137" s="764" t="n">
        <v>473.74</v>
      </c>
      <c r="S1137" s="719" t="inlineStr">
        <is>
          <t>1H 41M 0S</t>
        </is>
      </c>
      <c r="T1137" s="728" t="n"/>
      <c r="U1137" s="729" t="n"/>
      <c r="V1137" s="730" t="n"/>
      <c r="W1137" s="731" t="n"/>
      <c r="X1137" s="732" t="n"/>
      <c r="Y1137" s="728" t="n"/>
      <c r="Z1137" s="729" t="n"/>
      <c r="AA1137" s="730" t="n"/>
      <c r="AB1137" s="731" t="n"/>
      <c r="AC1137" s="732" t="n"/>
      <c r="AD1137" s="719" t="inlineStr">
        <is>
          <t>No</t>
        </is>
      </c>
      <c r="AE1137" s="733" t="n"/>
      <c r="AF1137" s="733" t="n"/>
      <c r="AG1137" s="733" t="n"/>
      <c r="AH1137" s="733" t="n"/>
      <c r="AI1137" s="719" t="n"/>
      <c r="AJ1137" s="733" t="n"/>
      <c r="AK1137" s="733" t="n"/>
      <c r="AL1137" s="733" t="n"/>
      <c r="AM1137" s="733" t="n"/>
      <c r="AN1137" s="733" t="n"/>
      <c r="AO1137" s="733" t="n"/>
      <c r="AP1137" s="719" t="inlineStr">
        <is>
          <t>Pullback</t>
        </is>
      </c>
      <c r="AQ1137" s="719" t="inlineStr">
        <is>
          <t>1H</t>
        </is>
      </c>
      <c r="AR1137" s="719" t="inlineStr">
        <is>
          <t>No</t>
        </is>
      </c>
      <c r="AS1137" s="733" t="n"/>
      <c r="AT1137" s="733" t="n"/>
      <c r="AU1137" s="733" t="n"/>
      <c r="AV1137" s="733" t="n"/>
      <c r="AW1137" s="719" t="inlineStr">
        <is>
          <t>trade</t>
        </is>
      </c>
      <c r="AX1137" s="734" t="inlineStr">
        <is>
          <t>sig:02003644eb1d2994fabe6b02</t>
        </is>
      </c>
    </row>
    <row r="1138" ht="15" customHeight="1">
      <c r="A1138" s="716" t="inlineStr">
        <is>
          <t>F403</t>
        </is>
      </c>
      <c r="B1138" s="717" t="n">
        <v>43477.18680555555</v>
      </c>
      <c r="C1138" s="718" t="n">
        <v>43477.3125</v>
      </c>
      <c r="D1138" s="719" t="inlineStr">
        <is>
          <t>PEPPERSTONE DEMO</t>
        </is>
      </c>
      <c r="E1138" s="719" t="inlineStr">
        <is>
          <t>AUDUSD</t>
        </is>
      </c>
      <c r="F1138" s="719" t="inlineStr">
        <is>
          <t>SELL</t>
        </is>
      </c>
      <c r="G1138" s="735" t="n">
        <v>0.03</v>
      </c>
      <c r="H1138" s="720" t="n">
        <v>0.7203000000000001</v>
      </c>
      <c r="I1138" s="720" t="n">
        <v>0.72094</v>
      </c>
      <c r="J1138" s="721" t="n">
        <v>0.7212</v>
      </c>
      <c r="K1138" s="722" t="n">
        <v>0.001249479383590033</v>
      </c>
      <c r="L1138" s="721" t="n">
        <v>0.7185</v>
      </c>
      <c r="M1138" s="722" t="n">
        <v>0.002498958767180374</v>
      </c>
      <c r="N1138" s="788" t="n"/>
      <c r="O1138" s="762" t="n">
        <v>-2.41</v>
      </c>
      <c r="P1138" s="725" t="n">
        <v>-0.005017488341105929</v>
      </c>
      <c r="Q1138" s="726" t="n">
        <v>-0.7111111111111604</v>
      </c>
      <c r="R1138" s="764" t="n">
        <v>477.91</v>
      </c>
      <c r="S1138" s="719" t="inlineStr">
        <is>
          <t>3H 1M 0S</t>
        </is>
      </c>
      <c r="T1138" s="717" t="n"/>
      <c r="U1138" s="806" t="n"/>
      <c r="V1138" s="730" t="n"/>
      <c r="W1138" s="731" t="n"/>
      <c r="X1138" s="732" t="n"/>
      <c r="Y1138" s="728" t="n"/>
      <c r="Z1138" s="729" t="n"/>
      <c r="AA1138" s="730" t="n"/>
      <c r="AB1138" s="731" t="n"/>
      <c r="AC1138" s="732" t="n"/>
      <c r="AD1138" s="719" t="inlineStr">
        <is>
          <t>No</t>
        </is>
      </c>
      <c r="AE1138" s="733" t="n"/>
      <c r="AF1138" s="733" t="n"/>
      <c r="AG1138" s="733" t="n"/>
      <c r="AH1138" s="733" t="n"/>
      <c r="AI1138" s="719" t="inlineStr">
        <is>
          <t>Limit</t>
        </is>
      </c>
      <c r="AJ1138" s="733" t="n"/>
      <c r="AK1138" s="733" t="n"/>
      <c r="AL1138" s="733" t="n"/>
      <c r="AM1138" s="733" t="n"/>
      <c r="AN1138" s="733" t="n"/>
      <c r="AO1138" s="733" t="n"/>
      <c r="AP1138" s="719" t="inlineStr">
        <is>
          <t>Pullback</t>
        </is>
      </c>
      <c r="AQ1138" s="719" t="inlineStr">
        <is>
          <t>1H</t>
        </is>
      </c>
      <c r="AR1138" s="719" t="inlineStr">
        <is>
          <t>No</t>
        </is>
      </c>
      <c r="AS1138" s="733" t="n"/>
      <c r="AT1138" s="733" t="n"/>
      <c r="AU1138" s="733" t="n"/>
      <c r="AV1138" s="733" t="n"/>
      <c r="AW1138" s="719" t="inlineStr">
        <is>
          <t>trade</t>
        </is>
      </c>
      <c r="AX1138" s="734" t="inlineStr">
        <is>
          <t>sig:eeb8d15d6f28b3855d3fed13</t>
        </is>
      </c>
    </row>
    <row r="1139" ht="15" customHeight="1">
      <c r="A1139" s="716" t="inlineStr">
        <is>
          <t>F405</t>
        </is>
      </c>
      <c r="B1139" s="717" t="n">
        <v>43477.16666666666</v>
      </c>
      <c r="C1139" s="718" t="n">
        <v>43477.3125</v>
      </c>
      <c r="D1139" s="719" t="inlineStr">
        <is>
          <t>PEPPERSTONE DEMO</t>
        </is>
      </c>
      <c r="E1139" s="719" t="inlineStr">
        <is>
          <t>USDCAD</t>
        </is>
      </c>
      <c r="F1139" s="719" t="inlineStr">
        <is>
          <t>BUY</t>
        </is>
      </c>
      <c r="G1139" s="735" t="n">
        <v>0.03</v>
      </c>
      <c r="H1139" s="720" t="n">
        <v>1.3265</v>
      </c>
      <c r="I1139" s="720" t="n">
        <v>1.32629</v>
      </c>
      <c r="J1139" s="721" t="n">
        <v>1.325</v>
      </c>
      <c r="K1139" s="722" t="n">
        <v>0.001130795326046028</v>
      </c>
      <c r="L1139" s="721" t="n">
        <v>1.3295</v>
      </c>
      <c r="M1139" s="722" t="n">
        <v>0.00226159065209189</v>
      </c>
      <c r="N1139" s="788" t="n"/>
      <c r="O1139" s="762" t="n">
        <v>-0.73</v>
      </c>
      <c r="P1139" s="725" t="n">
        <v>-0.001517513771957177</v>
      </c>
      <c r="Q1139" s="726" t="n">
        <v>-0.1400000000000237</v>
      </c>
      <c r="R1139" s="764" t="n">
        <v>480.32</v>
      </c>
      <c r="S1139" s="719" t="inlineStr">
        <is>
          <t>3H 30M 0S</t>
        </is>
      </c>
      <c r="T1139" s="728" t="n"/>
      <c r="U1139" s="729" t="n"/>
      <c r="V1139" s="730" t="n"/>
      <c r="W1139" s="731" t="n"/>
      <c r="X1139" s="732" t="n"/>
      <c r="Y1139" s="728" t="n"/>
      <c r="Z1139" s="729" t="n"/>
      <c r="AA1139" s="730" t="n"/>
      <c r="AB1139" s="731" t="n"/>
      <c r="AC1139" s="732" t="n"/>
      <c r="AD1139" s="719" t="inlineStr">
        <is>
          <t>No</t>
        </is>
      </c>
      <c r="AE1139" s="733" t="n"/>
      <c r="AF1139" s="733" t="n"/>
      <c r="AG1139" s="733" t="n"/>
      <c r="AH1139" s="733" t="n"/>
      <c r="AI1139" s="719" t="inlineStr">
        <is>
          <t>Limit</t>
        </is>
      </c>
      <c r="AJ1139" s="733" t="n"/>
      <c r="AK1139" s="733" t="n"/>
      <c r="AL1139" s="733" t="n"/>
      <c r="AM1139" s="733" t="n"/>
      <c r="AN1139" s="733" t="n"/>
      <c r="AO1139" s="733" t="n"/>
      <c r="AP1139" s="719" t="inlineStr">
        <is>
          <t>Pullback</t>
        </is>
      </c>
      <c r="AQ1139" s="719" t="inlineStr">
        <is>
          <t>1H</t>
        </is>
      </c>
      <c r="AR1139" s="719" t="inlineStr">
        <is>
          <t>No</t>
        </is>
      </c>
      <c r="AS1139" s="733" t="n"/>
      <c r="AT1139" s="733" t="n"/>
      <c r="AU1139" s="733" t="n"/>
      <c r="AV1139" s="733" t="n"/>
      <c r="AW1139" s="719" t="inlineStr">
        <is>
          <t>trade</t>
        </is>
      </c>
      <c r="AX1139" s="734" t="inlineStr">
        <is>
          <t>sig:6d9810f190704672a8902b8d</t>
        </is>
      </c>
    </row>
    <row r="1140" ht="15" customHeight="1">
      <c r="A1140" s="737" t="inlineStr">
        <is>
          <t>F404</t>
        </is>
      </c>
      <c r="B1140" s="738" t="n">
        <v>43477.05</v>
      </c>
      <c r="C1140" s="739" t="n">
        <v>43477.125</v>
      </c>
      <c r="D1140" s="740" t="inlineStr">
        <is>
          <t>PEPPERSTONE DEMO</t>
        </is>
      </c>
      <c r="E1140" s="740" t="inlineStr">
        <is>
          <t>GBPUSD</t>
        </is>
      </c>
      <c r="F1140" s="740" t="inlineStr">
        <is>
          <t>BUY</t>
        </is>
      </c>
      <c r="G1140" s="775" t="n">
        <v>0.01</v>
      </c>
      <c r="H1140" s="742" t="n">
        <v>1.2797</v>
      </c>
      <c r="I1140" s="742" t="n">
        <v>1.28379</v>
      </c>
      <c r="J1140" s="743" t="n">
        <v>1.2757</v>
      </c>
      <c r="K1140" s="744" t="n">
        <v>0.003125732593576622</v>
      </c>
      <c r="L1140" s="743" t="n">
        <v>1.2837</v>
      </c>
      <c r="M1140" s="744" t="n">
        <v>0.003125732593576622</v>
      </c>
      <c r="N1140" s="766" t="n"/>
      <c r="O1140" s="767" t="n">
        <v>5.56</v>
      </c>
      <c r="P1140" s="747" t="n">
        <v>0.01169320069822709</v>
      </c>
      <c r="Q1140" s="748" t="n">
        <v>1.022499999999981</v>
      </c>
      <c r="R1140" s="769" t="n">
        <v>481.05</v>
      </c>
      <c r="S1140" s="740" t="inlineStr">
        <is>
          <t>1H 48M 0S</t>
        </is>
      </c>
      <c r="T1140" s="738" t="n">
        <v>43477.08402777778</v>
      </c>
      <c r="U1140" s="809" t="inlineStr">
        <is>
          <t>49M 0S</t>
        </is>
      </c>
      <c r="V1140" s="752" t="n"/>
      <c r="W1140" s="753" t="n"/>
      <c r="X1140" s="754" t="n"/>
      <c r="Y1140" s="750" t="n"/>
      <c r="Z1140" s="751" t="n"/>
      <c r="AA1140" s="752" t="n"/>
      <c r="AB1140" s="753" t="n"/>
      <c r="AC1140" s="754" t="n"/>
      <c r="AD1140" s="740" t="inlineStr">
        <is>
          <t>No</t>
        </is>
      </c>
      <c r="AE1140" s="755" t="n"/>
      <c r="AF1140" s="755" t="n"/>
      <c r="AG1140" s="755" t="n"/>
      <c r="AH1140" s="755" t="n"/>
      <c r="AI1140" s="740" t="inlineStr">
        <is>
          <t>Limit</t>
        </is>
      </c>
      <c r="AJ1140" s="755" t="n"/>
      <c r="AK1140" s="755" t="n"/>
      <c r="AL1140" s="755" t="n"/>
      <c r="AM1140" s="755" t="n"/>
      <c r="AN1140" s="755" t="n"/>
      <c r="AO1140" s="755" t="n"/>
      <c r="AP1140" s="740" t="inlineStr">
        <is>
          <t>Pullback</t>
        </is>
      </c>
      <c r="AQ1140" s="740" t="inlineStr">
        <is>
          <t>1H</t>
        </is>
      </c>
      <c r="AR1140" s="740" t="inlineStr">
        <is>
          <t>No</t>
        </is>
      </c>
      <c r="AS1140" s="755" t="n"/>
      <c r="AT1140" s="755" t="n"/>
      <c r="AU1140" s="755" t="n"/>
      <c r="AV1140" s="755" t="n"/>
      <c r="AW1140" s="740" t="inlineStr">
        <is>
          <t>trade</t>
        </is>
      </c>
      <c r="AX1140" s="756" t="inlineStr">
        <is>
          <t>sig:6f2c1c9658c200f9b9b19686</t>
        </is>
      </c>
    </row>
    <row r="1141" ht="15" customHeight="1">
      <c r="A1141" s="737" t="inlineStr">
        <is>
          <t>F402</t>
        </is>
      </c>
      <c r="B1141" s="738" t="n">
        <v>43476</v>
      </c>
      <c r="C1141" s="739" t="n">
        <v>43476.15416666667</v>
      </c>
      <c r="D1141" s="740" t="inlineStr">
        <is>
          <t>PEPPERSTONE DEMO</t>
        </is>
      </c>
      <c r="E1141" s="740" t="inlineStr">
        <is>
          <t>EURUSD</t>
        </is>
      </c>
      <c r="F1141" s="740" t="inlineStr">
        <is>
          <t>SELL</t>
        </is>
      </c>
      <c r="G1141" s="775" t="n">
        <v>0.01</v>
      </c>
      <c r="H1141" s="742" t="n">
        <v>1.152</v>
      </c>
      <c r="I1141" s="742" t="n">
        <v>1.15098</v>
      </c>
      <c r="J1141" s="743" t="n">
        <v>1.154</v>
      </c>
      <c r="K1141" s="744" t="n">
        <v>0.001736111111111113</v>
      </c>
      <c r="L1141" s="743" t="n">
        <v>1.148</v>
      </c>
      <c r="M1141" s="744" t="n">
        <v>0.003472222222222225</v>
      </c>
      <c r="N1141" s="796" t="n"/>
      <c r="O1141" s="767" t="n">
        <v>1.42</v>
      </c>
      <c r="P1141" s="747" t="n">
        <v>0.00299533824118801</v>
      </c>
      <c r="Q1141" s="748" t="n">
        <v>0.51000000000001</v>
      </c>
      <c r="R1141" s="769" t="n">
        <v>475.49</v>
      </c>
      <c r="S1141" s="740" t="inlineStr">
        <is>
          <t>3H 42M 0S</t>
        </is>
      </c>
      <c r="T1141" s="750" t="n"/>
      <c r="U1141" s="751" t="n"/>
      <c r="V1141" s="752" t="n"/>
      <c r="W1141" s="753" t="n"/>
      <c r="X1141" s="754" t="n"/>
      <c r="Y1141" s="750" t="n"/>
      <c r="Z1141" s="751" t="n"/>
      <c r="AA1141" s="752" t="n"/>
      <c r="AB1141" s="753" t="n"/>
      <c r="AC1141" s="754" t="n"/>
      <c r="AD1141" s="740" t="inlineStr">
        <is>
          <t>No</t>
        </is>
      </c>
      <c r="AE1141" s="755" t="n"/>
      <c r="AF1141" s="755" t="n"/>
      <c r="AG1141" s="755" t="n"/>
      <c r="AH1141" s="755" t="n"/>
      <c r="AI1141" s="740" t="inlineStr">
        <is>
          <t>Market</t>
        </is>
      </c>
      <c r="AJ1141" s="755" t="n"/>
      <c r="AK1141" s="755" t="n"/>
      <c r="AL1141" s="755" t="n"/>
      <c r="AM1141" s="755" t="n"/>
      <c r="AN1141" s="755" t="n"/>
      <c r="AO1141" s="755" t="n"/>
      <c r="AP1141" s="740" t="inlineStr">
        <is>
          <t>Pullback</t>
        </is>
      </c>
      <c r="AQ1141" s="740" t="inlineStr">
        <is>
          <t>1H</t>
        </is>
      </c>
      <c r="AR1141" s="740" t="inlineStr">
        <is>
          <t>No</t>
        </is>
      </c>
      <c r="AS1141" s="755" t="n"/>
      <c r="AT1141" s="755" t="n"/>
      <c r="AU1141" s="755" t="n"/>
      <c r="AV1141" s="755" t="n"/>
      <c r="AW1141" s="740" t="inlineStr">
        <is>
          <t>trade</t>
        </is>
      </c>
      <c r="AX1141" s="756" t="inlineStr">
        <is>
          <t>sig:1b0c0e57179e66fc48b078d6</t>
        </is>
      </c>
    </row>
    <row r="1142" ht="15" customHeight="1">
      <c r="A1142" s="737" t="inlineStr">
        <is>
          <t>F399</t>
        </is>
      </c>
      <c r="B1142" s="738" t="n">
        <v>43475.09027777778</v>
      </c>
      <c r="C1142" s="739" t="n">
        <v>43475.20833333334</v>
      </c>
      <c r="D1142" s="740" t="inlineStr">
        <is>
          <t>PEPPERSTONE DEMO</t>
        </is>
      </c>
      <c r="E1142" s="740" t="inlineStr">
        <is>
          <t>AUDUSD</t>
        </is>
      </c>
      <c r="F1142" s="740" t="inlineStr">
        <is>
          <t>BUY</t>
        </is>
      </c>
      <c r="G1142" s="775" t="n">
        <v>0.03</v>
      </c>
      <c r="H1142" s="742" t="n">
        <v>0.7168</v>
      </c>
      <c r="I1142" s="742" t="n">
        <v>0.7188099999999999</v>
      </c>
      <c r="J1142" s="743" t="n">
        <v>0.7158</v>
      </c>
      <c r="K1142" s="744" t="n">
        <v>0.001395089285714287</v>
      </c>
      <c r="L1142" s="743" t="n">
        <v>0.7188</v>
      </c>
      <c r="M1142" s="744" t="n">
        <v>0.002790178571428574</v>
      </c>
      <c r="N1142" s="796" t="n"/>
      <c r="O1142" s="767" t="n">
        <v>7.06</v>
      </c>
      <c r="P1142" s="747" t="n">
        <v>0.01511744930515407</v>
      </c>
      <c r="Q1142" s="748" t="n">
        <v>2.009999999999954</v>
      </c>
      <c r="R1142" s="769" t="n">
        <v>474.07</v>
      </c>
      <c r="S1142" s="740" t="inlineStr">
        <is>
          <t>2H 50M 0S</t>
        </is>
      </c>
      <c r="T1142" s="738" t="n">
        <v>43475.17847222222</v>
      </c>
      <c r="U1142" s="809" t="inlineStr">
        <is>
          <t>2H 7M 0S</t>
        </is>
      </c>
      <c r="V1142" s="752" t="n"/>
      <c r="W1142" s="753" t="n"/>
      <c r="X1142" s="754" t="n"/>
      <c r="Y1142" s="750" t="n"/>
      <c r="Z1142" s="751" t="n"/>
      <c r="AA1142" s="752" t="n"/>
      <c r="AB1142" s="753" t="n"/>
      <c r="AC1142" s="754" t="n"/>
      <c r="AD1142" s="740" t="inlineStr">
        <is>
          <t>No</t>
        </is>
      </c>
      <c r="AE1142" s="755" t="n"/>
      <c r="AF1142" s="755" t="n"/>
      <c r="AG1142" s="755" t="n"/>
      <c r="AH1142" s="755" t="n"/>
      <c r="AI1142" s="740" t="inlineStr">
        <is>
          <t>Limit</t>
        </is>
      </c>
      <c r="AJ1142" s="755" t="n"/>
      <c r="AK1142" s="755" t="n"/>
      <c r="AL1142" s="755" t="n"/>
      <c r="AM1142" s="755" t="n"/>
      <c r="AN1142" s="755" t="n"/>
      <c r="AO1142" s="755" t="n"/>
      <c r="AP1142" s="740" t="inlineStr">
        <is>
          <t>Pullback</t>
        </is>
      </c>
      <c r="AQ1142" s="740" t="inlineStr">
        <is>
          <t>1H</t>
        </is>
      </c>
      <c r="AR1142" s="740" t="inlineStr">
        <is>
          <t>No</t>
        </is>
      </c>
      <c r="AS1142" s="755" t="n"/>
      <c r="AT1142" s="755" t="n"/>
      <c r="AU1142" s="755" t="n"/>
      <c r="AV1142" s="755" t="n"/>
      <c r="AW1142" s="740" t="inlineStr">
        <is>
          <t>trade</t>
        </is>
      </c>
      <c r="AX1142" s="756" t="inlineStr">
        <is>
          <t>sig:64266800416307573bc1abaa</t>
        </is>
      </c>
    </row>
    <row r="1143" ht="15" customHeight="1">
      <c r="A1143" s="716" t="inlineStr">
        <is>
          <t>F401</t>
        </is>
      </c>
      <c r="B1143" s="717" t="n">
        <v>43475.08819444444</v>
      </c>
      <c r="C1143" s="718" t="n">
        <v>43475.12638888889</v>
      </c>
      <c r="D1143" s="719" t="inlineStr">
        <is>
          <t>PEPPERSTONE DEMO</t>
        </is>
      </c>
      <c r="E1143" s="719" t="inlineStr">
        <is>
          <t>USDCHF</t>
        </is>
      </c>
      <c r="F1143" s="719" t="inlineStr">
        <is>
          <t>SELL</t>
        </is>
      </c>
      <c r="G1143" s="735" t="n">
        <v>0.03</v>
      </c>
      <c r="H1143" s="720" t="n">
        <v>0.9764</v>
      </c>
      <c r="I1143" s="720" t="n">
        <v>0.97684</v>
      </c>
      <c r="J1143" s="721" t="n">
        <v>0.9774</v>
      </c>
      <c r="K1143" s="722" t="n">
        <v>0.001024170421958215</v>
      </c>
      <c r="L1143" s="721" t="n">
        <v>0.9744</v>
      </c>
      <c r="M1143" s="722" t="n">
        <v>0.002048340843916429</v>
      </c>
      <c r="N1143" s="788" t="n"/>
      <c r="O1143" s="762" t="n">
        <v>-1.79</v>
      </c>
      <c r="P1143" s="725" t="n">
        <v>-0.003818259385665529</v>
      </c>
      <c r="Q1143" s="726" t="n">
        <v>-0.4399999999999956</v>
      </c>
      <c r="R1143" s="764" t="n">
        <v>467.01</v>
      </c>
      <c r="S1143" s="719" t="inlineStr">
        <is>
          <t>55M 0S</t>
        </is>
      </c>
      <c r="T1143" s="728" t="n"/>
      <c r="U1143" s="729" t="n"/>
      <c r="V1143" s="730" t="n"/>
      <c r="W1143" s="731" t="n"/>
      <c r="X1143" s="732" t="n"/>
      <c r="Y1143" s="728" t="n"/>
      <c r="Z1143" s="729" t="n"/>
      <c r="AA1143" s="730" t="n"/>
      <c r="AB1143" s="731" t="n"/>
      <c r="AC1143" s="732" t="n"/>
      <c r="AD1143" s="719" t="inlineStr">
        <is>
          <t>No</t>
        </is>
      </c>
      <c r="AE1143" s="733" t="n"/>
      <c r="AF1143" s="733" t="n"/>
      <c r="AG1143" s="733" t="n"/>
      <c r="AH1143" s="733" t="n"/>
      <c r="AI1143" s="719" t="inlineStr">
        <is>
          <t>Limit</t>
        </is>
      </c>
      <c r="AJ1143" s="733" t="n"/>
      <c r="AK1143" s="733" t="n"/>
      <c r="AL1143" s="733" t="n"/>
      <c r="AM1143" s="733" t="n"/>
      <c r="AN1143" s="733" t="n"/>
      <c r="AO1143" s="733" t="n"/>
      <c r="AP1143" s="719" t="inlineStr">
        <is>
          <t>Pullback</t>
        </is>
      </c>
      <c r="AQ1143" s="719" t="inlineStr">
        <is>
          <t>1H</t>
        </is>
      </c>
      <c r="AR1143" s="719" t="inlineStr">
        <is>
          <t>No</t>
        </is>
      </c>
      <c r="AS1143" s="733" t="n"/>
      <c r="AT1143" s="733" t="n"/>
      <c r="AU1143" s="733" t="n"/>
      <c r="AV1143" s="733" t="n"/>
      <c r="AW1143" s="719" t="inlineStr">
        <is>
          <t>trade</t>
        </is>
      </c>
      <c r="AX1143" s="734" t="inlineStr">
        <is>
          <t>sig:921c9d095247082652eed2bf</t>
        </is>
      </c>
    </row>
    <row r="1144" ht="15" customHeight="1">
      <c r="A1144" s="716" t="inlineStr">
        <is>
          <t>F400</t>
        </is>
      </c>
      <c r="B1144" s="717" t="n">
        <v>43475.04166666666</v>
      </c>
      <c r="C1144" s="718" t="n">
        <v>43475.04216435185</v>
      </c>
      <c r="D1144" s="719" t="inlineStr">
        <is>
          <t>PEPPERSTONE DEMO</t>
        </is>
      </c>
      <c r="E1144" s="719" t="inlineStr">
        <is>
          <t>USDCAD</t>
        </is>
      </c>
      <c r="F1144" s="719" t="inlineStr">
        <is>
          <t>BUY</t>
        </is>
      </c>
      <c r="G1144" s="735" t="n">
        <v>0.03</v>
      </c>
      <c r="H1144" s="720" t="n">
        <v>1.3236</v>
      </c>
      <c r="I1144" s="720" t="n">
        <v>1.32218</v>
      </c>
      <c r="J1144" s="721" t="n">
        <v>1.3221</v>
      </c>
      <c r="K1144" s="722" t="n">
        <v>0.001133272892112464</v>
      </c>
      <c r="L1144" s="721" t="n">
        <v>1.3266</v>
      </c>
      <c r="M1144" s="722" t="n">
        <v>0.002266545784224759</v>
      </c>
      <c r="N1144" s="788" t="n"/>
      <c r="O1144" s="762" t="n">
        <v>-4.74</v>
      </c>
      <c r="P1144" s="725" t="n">
        <v>-0.0100097140685053</v>
      </c>
      <c r="Q1144" s="726" t="n">
        <v>-0.9466666666667634</v>
      </c>
      <c r="R1144" s="764" t="n">
        <v>468.8</v>
      </c>
      <c r="S1144" s="719" t="inlineStr">
        <is>
          <t>43S</t>
        </is>
      </c>
      <c r="T1144" s="728" t="n"/>
      <c r="U1144" s="729" t="n"/>
      <c r="V1144" s="730" t="n"/>
      <c r="W1144" s="731" t="n"/>
      <c r="X1144" s="732" t="n"/>
      <c r="Y1144" s="728" t="n"/>
      <c r="Z1144" s="729" t="n"/>
      <c r="AA1144" s="730" t="n"/>
      <c r="AB1144" s="731" t="n"/>
      <c r="AC1144" s="732" t="n"/>
      <c r="AD1144" s="719" t="inlineStr">
        <is>
          <t>No</t>
        </is>
      </c>
      <c r="AE1144" s="733" t="n"/>
      <c r="AF1144" s="733" t="n"/>
      <c r="AG1144" s="733" t="n"/>
      <c r="AH1144" s="733" t="n"/>
      <c r="AI1144" s="719" t="inlineStr">
        <is>
          <t>Limit</t>
        </is>
      </c>
      <c r="AJ1144" s="733" t="n"/>
      <c r="AK1144" s="733" t="n"/>
      <c r="AL1144" s="733" t="n"/>
      <c r="AM1144" s="733" t="n"/>
      <c r="AN1144" s="733" t="n"/>
      <c r="AO1144" s="733" t="n"/>
      <c r="AP1144" s="719" t="inlineStr">
        <is>
          <t>Pullback</t>
        </is>
      </c>
      <c r="AQ1144" s="719" t="inlineStr">
        <is>
          <t>5MIN</t>
        </is>
      </c>
      <c r="AR1144" s="719" t="inlineStr">
        <is>
          <t>No</t>
        </is>
      </c>
      <c r="AS1144" s="733" t="n"/>
      <c r="AT1144" s="733" t="n"/>
      <c r="AU1144" s="733" t="n"/>
      <c r="AV1144" s="733" t="n"/>
      <c r="AW1144" s="719" t="inlineStr">
        <is>
          <t>trade</t>
        </is>
      </c>
      <c r="AX1144" s="734" t="inlineStr">
        <is>
          <t>sig:3b441e49dd1d55c15357a24a</t>
        </is>
      </c>
    </row>
    <row r="1145" ht="15" customHeight="1">
      <c r="A1145" s="716" t="inlineStr">
        <is>
          <t>F396</t>
        </is>
      </c>
      <c r="B1145" s="717" t="n">
        <v>43474.99236111111</v>
      </c>
      <c r="C1145" s="718" t="n">
        <v>43475.02430555555</v>
      </c>
      <c r="D1145" s="719" t="inlineStr">
        <is>
          <t>PEPPERSTONE DEMO</t>
        </is>
      </c>
      <c r="E1145" s="719" t="inlineStr">
        <is>
          <t>GBPUSD</t>
        </is>
      </c>
      <c r="F1145" s="719" t="inlineStr">
        <is>
          <t>SELL</t>
        </is>
      </c>
      <c r="G1145" s="735" t="n">
        <v>0.02</v>
      </c>
      <c r="H1145" s="720" t="n">
        <v>1.2739</v>
      </c>
      <c r="I1145" s="720" t="n">
        <v>1.27531</v>
      </c>
      <c r="J1145" s="721" t="n">
        <v>1.2753</v>
      </c>
      <c r="K1145" s="722" t="n">
        <v>0.001098987361645394</v>
      </c>
      <c r="L1145" s="721" t="n">
        <v>1.2711</v>
      </c>
      <c r="M1145" s="722" t="n">
        <v>0.002197974723290788</v>
      </c>
      <c r="N1145" s="788" t="n"/>
      <c r="O1145" s="762" t="n">
        <v>-3.9</v>
      </c>
      <c r="P1145" s="725" t="n">
        <v>-0.008168565683646113</v>
      </c>
      <c r="Q1145" s="726" t="n">
        <v>-1.007142857142745</v>
      </c>
      <c r="R1145" s="764" t="n">
        <v>473.54</v>
      </c>
      <c r="S1145" s="719" t="inlineStr">
        <is>
          <t>46M 0S</t>
        </is>
      </c>
      <c r="T1145" s="728" t="n"/>
      <c r="U1145" s="729" t="n"/>
      <c r="V1145" s="730" t="n"/>
      <c r="W1145" s="731" t="n"/>
      <c r="X1145" s="732" t="n"/>
      <c r="Y1145" s="728" t="n"/>
      <c r="Z1145" s="729" t="n"/>
      <c r="AA1145" s="730" t="n"/>
      <c r="AB1145" s="731" t="n"/>
      <c r="AC1145" s="732" t="n"/>
      <c r="AD1145" s="719" t="inlineStr">
        <is>
          <t>No</t>
        </is>
      </c>
      <c r="AE1145" s="733" t="n"/>
      <c r="AF1145" s="733" t="n"/>
      <c r="AG1145" s="733" t="n"/>
      <c r="AH1145" s="733" t="n"/>
      <c r="AI1145" s="719" t="inlineStr">
        <is>
          <t>Limit</t>
        </is>
      </c>
      <c r="AJ1145" s="733" t="n"/>
      <c r="AK1145" s="733" t="n"/>
      <c r="AL1145" s="733" t="n"/>
      <c r="AM1145" s="733" t="n"/>
      <c r="AN1145" s="733" t="n"/>
      <c r="AO1145" s="733" t="n"/>
      <c r="AP1145" s="719" t="inlineStr">
        <is>
          <t>Pullback</t>
        </is>
      </c>
      <c r="AQ1145" s="719" t="inlineStr">
        <is>
          <t>1H</t>
        </is>
      </c>
      <c r="AR1145" s="719" t="inlineStr">
        <is>
          <t>No</t>
        </is>
      </c>
      <c r="AS1145" s="733" t="n"/>
      <c r="AT1145" s="733" t="n"/>
      <c r="AU1145" s="733" t="n"/>
      <c r="AV1145" s="733" t="n"/>
      <c r="AW1145" s="719" t="inlineStr">
        <is>
          <t>trade</t>
        </is>
      </c>
      <c r="AX1145" s="734" t="inlineStr">
        <is>
          <t>sig:bf49b9dbfdfb8193517c214b</t>
        </is>
      </c>
    </row>
    <row r="1146" ht="15" customHeight="1">
      <c r="A1146" s="737" t="inlineStr">
        <is>
          <t>F398</t>
        </is>
      </c>
      <c r="B1146" s="738" t="n">
        <v>43474.96944444445</v>
      </c>
      <c r="C1146" s="739" t="n">
        <v>43475.02222222222</v>
      </c>
      <c r="D1146" s="740" t="inlineStr">
        <is>
          <t>PEPPERSTONE DEMO</t>
        </is>
      </c>
      <c r="E1146" s="740" t="inlineStr">
        <is>
          <t>USDJPY</t>
        </is>
      </c>
      <c r="F1146" s="740" t="inlineStr">
        <is>
          <t>SELL</t>
        </is>
      </c>
      <c r="G1146" s="775" t="n">
        <v>0.03</v>
      </c>
      <c r="H1146" s="742" t="n">
        <v>108.82</v>
      </c>
      <c r="I1146" s="742" t="n">
        <v>108.581</v>
      </c>
      <c r="J1146" s="743" t="n">
        <v>108.94</v>
      </c>
      <c r="K1146" s="744" t="n">
        <v>0.001102738467193572</v>
      </c>
      <c r="L1146" s="743" t="n">
        <v>108.58</v>
      </c>
      <c r="M1146" s="744" t="n">
        <v>0.002205476934387014</v>
      </c>
      <c r="N1146" s="796" t="n"/>
      <c r="O1146" s="767" t="n">
        <v>7.71</v>
      </c>
      <c r="P1146" s="747" t="n">
        <v>0.01641368445702851</v>
      </c>
      <c r="Q1146" s="748" t="n">
        <v>1.991666666666509</v>
      </c>
      <c r="R1146" s="769" t="n">
        <v>477.44</v>
      </c>
      <c r="S1146" s="740" t="inlineStr">
        <is>
          <t>1H 16M 0S</t>
        </is>
      </c>
      <c r="T1146" s="738" t="n">
        <v>43475.00208333333</v>
      </c>
      <c r="U1146" s="809" t="inlineStr">
        <is>
          <t>47M 0S</t>
        </is>
      </c>
      <c r="V1146" s="752" t="n"/>
      <c r="W1146" s="753" t="n"/>
      <c r="X1146" s="754" t="n"/>
      <c r="Y1146" s="750" t="n"/>
      <c r="Z1146" s="751" t="n"/>
      <c r="AA1146" s="752" t="n"/>
      <c r="AB1146" s="753" t="n"/>
      <c r="AC1146" s="754" t="n"/>
      <c r="AD1146" s="740" t="inlineStr">
        <is>
          <t>No</t>
        </is>
      </c>
      <c r="AE1146" s="755" t="n"/>
      <c r="AF1146" s="755" t="n"/>
      <c r="AG1146" s="755" t="n"/>
      <c r="AH1146" s="755" t="n"/>
      <c r="AI1146" s="740" t="inlineStr">
        <is>
          <t>Limit</t>
        </is>
      </c>
      <c r="AJ1146" s="755" t="n"/>
      <c r="AK1146" s="755" t="n"/>
      <c r="AL1146" s="755" t="n"/>
      <c r="AM1146" s="755" t="n"/>
      <c r="AN1146" s="755" t="n"/>
      <c r="AO1146" s="755" t="n"/>
      <c r="AP1146" s="740" t="inlineStr">
        <is>
          <t>Pullback</t>
        </is>
      </c>
      <c r="AQ1146" s="740" t="inlineStr">
        <is>
          <t>1H</t>
        </is>
      </c>
      <c r="AR1146" s="740" t="inlineStr">
        <is>
          <t>No</t>
        </is>
      </c>
      <c r="AS1146" s="755" t="n"/>
      <c r="AT1146" s="755" t="n"/>
      <c r="AU1146" s="755" t="n"/>
      <c r="AV1146" s="755" t="n"/>
      <c r="AW1146" s="740" t="inlineStr">
        <is>
          <t>trade</t>
        </is>
      </c>
      <c r="AX1146" s="756" t="inlineStr">
        <is>
          <t>sig:c1d56e2d2fb316b8cf3d18e7</t>
        </is>
      </c>
    </row>
    <row r="1147" ht="15" customHeight="1">
      <c r="A1147" s="716" t="inlineStr">
        <is>
          <t>F394</t>
        </is>
      </c>
      <c r="B1147" s="717" t="n">
        <v>43474.94930555556</v>
      </c>
      <c r="C1147" s="718" t="n">
        <v>43474.95555555556</v>
      </c>
      <c r="D1147" s="719" t="inlineStr">
        <is>
          <t>PEPPERSTONE DEMO</t>
        </is>
      </c>
      <c r="E1147" s="719" t="inlineStr">
        <is>
          <t>EURUSD</t>
        </is>
      </c>
      <c r="F1147" s="719" t="inlineStr">
        <is>
          <t>BUY</t>
        </is>
      </c>
      <c r="G1147" s="735" t="n">
        <v>0.03</v>
      </c>
      <c r="H1147" s="720" t="n">
        <v>1.1457</v>
      </c>
      <c r="I1147" s="720" t="n">
        <v>1.14485</v>
      </c>
      <c r="J1147" s="721" t="n">
        <v>1.1448</v>
      </c>
      <c r="K1147" s="760" t="n">
        <v>0.0007855459544382482</v>
      </c>
      <c r="L1147" s="721" t="n">
        <v>1.1475</v>
      </c>
      <c r="M1147" s="722" t="n">
        <v>0.00157109190887669</v>
      </c>
      <c r="N1147" s="788" t="n"/>
      <c r="O1147" s="762" t="n">
        <v>-3.77</v>
      </c>
      <c r="P1147" s="725" t="n">
        <v>-0.007961985216473073</v>
      </c>
      <c r="Q1147" s="726" t="n">
        <v>-0.9444444444445678</v>
      </c>
      <c r="R1147" s="764" t="n">
        <v>469.73</v>
      </c>
      <c r="S1147" s="719" t="inlineStr">
        <is>
          <t>9M 0S</t>
        </is>
      </c>
      <c r="T1147" s="728" t="n"/>
      <c r="U1147" s="729" t="n"/>
      <c r="V1147" s="730" t="n"/>
      <c r="W1147" s="731" t="n"/>
      <c r="X1147" s="732" t="n"/>
      <c r="Y1147" s="728" t="n"/>
      <c r="Z1147" s="729" t="n"/>
      <c r="AA1147" s="730" t="n"/>
      <c r="AB1147" s="731" t="n"/>
      <c r="AC1147" s="732" t="n"/>
      <c r="AD1147" s="719" t="inlineStr">
        <is>
          <t>No</t>
        </is>
      </c>
      <c r="AE1147" s="733" t="n"/>
      <c r="AF1147" s="733" t="n"/>
      <c r="AG1147" s="733" t="n"/>
      <c r="AH1147" s="733" t="n"/>
      <c r="AI1147" s="719" t="inlineStr">
        <is>
          <t>Limit</t>
        </is>
      </c>
      <c r="AJ1147" s="733" t="n"/>
      <c r="AK1147" s="733" t="n"/>
      <c r="AL1147" s="733" t="n"/>
      <c r="AM1147" s="733" t="n"/>
      <c r="AN1147" s="733" t="n"/>
      <c r="AO1147" s="733" t="n"/>
      <c r="AP1147" s="719" t="inlineStr">
        <is>
          <t>Pullback</t>
        </is>
      </c>
      <c r="AQ1147" s="719" t="inlineStr">
        <is>
          <t>1H</t>
        </is>
      </c>
      <c r="AR1147" s="719" t="inlineStr">
        <is>
          <t>No</t>
        </is>
      </c>
      <c r="AS1147" s="733" t="n"/>
      <c r="AT1147" s="733" t="n"/>
      <c r="AU1147" s="733" t="n"/>
      <c r="AV1147" s="733" t="n"/>
      <c r="AW1147" s="719" t="inlineStr">
        <is>
          <t>trade</t>
        </is>
      </c>
      <c r="AX1147" s="734" t="inlineStr">
        <is>
          <t>sig:7196e78424c8c2bdcf0fb556</t>
        </is>
      </c>
    </row>
    <row r="1148" ht="15" customHeight="1">
      <c r="A1148" s="737" t="inlineStr">
        <is>
          <t>F393</t>
        </is>
      </c>
      <c r="B1148" s="738" t="n">
        <v>43474.12708333333</v>
      </c>
      <c r="C1148" s="739" t="n">
        <v>43474.39444444444</v>
      </c>
      <c r="D1148" s="740" t="inlineStr">
        <is>
          <t>PEPPERSTONE DEMO</t>
        </is>
      </c>
      <c r="E1148" s="740" t="inlineStr">
        <is>
          <t>USDCHF</t>
        </is>
      </c>
      <c r="F1148" s="740" t="inlineStr">
        <is>
          <t>BUY</t>
        </is>
      </c>
      <c r="G1148" s="775" t="n">
        <v>0.03</v>
      </c>
      <c r="H1148" s="742" t="n">
        <v>0.9812</v>
      </c>
      <c r="I1148" s="742" t="n">
        <v>0.98122</v>
      </c>
      <c r="J1148" s="743" t="n">
        <v>0.9802</v>
      </c>
      <c r="K1148" s="744" t="n">
        <v>0.001019160211985325</v>
      </c>
      <c r="L1148" s="743" t="n">
        <v>0.9832</v>
      </c>
      <c r="M1148" s="744" t="n">
        <v>0.00203832042397065</v>
      </c>
      <c r="N1148" s="766" t="n">
        <v>0.31</v>
      </c>
      <c r="O1148" s="767" t="n">
        <v>0.35</v>
      </c>
      <c r="P1148" s="776" t="n">
        <v>0.0007397231321990912</v>
      </c>
      <c r="Q1148" s="814" t="n">
        <v>0.02000000000001998</v>
      </c>
      <c r="R1148" s="769" t="n">
        <v>473.5</v>
      </c>
      <c r="S1148" s="740" t="inlineStr">
        <is>
          <t>6H 25M 0S</t>
        </is>
      </c>
      <c r="T1148" s="750" t="n"/>
      <c r="U1148" s="751" t="n"/>
      <c r="V1148" s="752" t="n"/>
      <c r="W1148" s="753" t="n"/>
      <c r="X1148" s="754" t="n"/>
      <c r="Y1148" s="750" t="n"/>
      <c r="Z1148" s="751" t="n"/>
      <c r="AA1148" s="752" t="n"/>
      <c r="AB1148" s="753" t="n"/>
      <c r="AC1148" s="754" t="n"/>
      <c r="AD1148" s="740" t="inlineStr">
        <is>
          <t>No</t>
        </is>
      </c>
      <c r="AE1148" s="755" t="n"/>
      <c r="AF1148" s="755" t="n"/>
      <c r="AG1148" s="755" t="n"/>
      <c r="AH1148" s="755" t="n"/>
      <c r="AI1148" s="740" t="inlineStr">
        <is>
          <t>Market</t>
        </is>
      </c>
      <c r="AJ1148" s="755" t="n"/>
      <c r="AK1148" s="755" t="n"/>
      <c r="AL1148" s="755" t="n"/>
      <c r="AM1148" s="755" t="n"/>
      <c r="AN1148" s="755" t="n"/>
      <c r="AO1148" s="755" t="n"/>
      <c r="AP1148" s="740" t="inlineStr">
        <is>
          <t>Pullback</t>
        </is>
      </c>
      <c r="AQ1148" s="740" t="inlineStr">
        <is>
          <t>1H</t>
        </is>
      </c>
      <c r="AR1148" s="740" t="inlineStr">
        <is>
          <t>No</t>
        </is>
      </c>
      <c r="AS1148" s="755" t="n"/>
      <c r="AT1148" s="755" t="n"/>
      <c r="AU1148" s="755" t="n"/>
      <c r="AV1148" s="755" t="n"/>
      <c r="AW1148" s="740" t="inlineStr">
        <is>
          <t>trade</t>
        </is>
      </c>
      <c r="AX1148" s="756" t="inlineStr">
        <is>
          <t>sig:2eb574ee00cf470da563e22b</t>
        </is>
      </c>
    </row>
    <row r="1149" ht="15" customHeight="1">
      <c r="A1149" s="716" t="inlineStr">
        <is>
          <t>F395</t>
        </is>
      </c>
      <c r="B1149" s="717" t="n">
        <v>43474.04791666667</v>
      </c>
      <c r="C1149" s="718" t="n">
        <v>43474.14930555555</v>
      </c>
      <c r="D1149" s="719" t="inlineStr">
        <is>
          <t>PEPPERSTONE DEMO</t>
        </is>
      </c>
      <c r="E1149" s="719" t="inlineStr">
        <is>
          <t>EURUSD</t>
        </is>
      </c>
      <c r="F1149" s="719" t="inlineStr">
        <is>
          <t>SELL</t>
        </is>
      </c>
      <c r="G1149" s="735" t="n">
        <v>0.02</v>
      </c>
      <c r="H1149" s="720" t="n">
        <v>1.1433</v>
      </c>
      <c r="I1149" s="720" t="n">
        <v>1.14503</v>
      </c>
      <c r="J1149" s="721" t="n">
        <v>1.145</v>
      </c>
      <c r="K1149" s="722" t="n">
        <v>0.001486923817020935</v>
      </c>
      <c r="L1149" s="721" t="n">
        <v>1.1399</v>
      </c>
      <c r="M1149" s="722" t="n">
        <v>0.00297384763404187</v>
      </c>
      <c r="N1149" s="788" t="n"/>
      <c r="O1149" s="762" t="n">
        <v>-4.76</v>
      </c>
      <c r="P1149" s="725" t="n">
        <v>-0.009960034316084618</v>
      </c>
      <c r="Q1149" s="726" t="n">
        <v>-1.017647058823514</v>
      </c>
      <c r="R1149" s="764" t="n">
        <v>473.15</v>
      </c>
      <c r="S1149" s="719" t="inlineStr">
        <is>
          <t>2H 26M 0S</t>
        </is>
      </c>
      <c r="T1149" s="728" t="n"/>
      <c r="U1149" s="729" t="n"/>
      <c r="V1149" s="730" t="n"/>
      <c r="W1149" s="731" t="n"/>
      <c r="X1149" s="732" t="n"/>
      <c r="Y1149" s="728" t="n"/>
      <c r="Z1149" s="729" t="n"/>
      <c r="AA1149" s="730" t="n"/>
      <c r="AB1149" s="731" t="n"/>
      <c r="AC1149" s="732" t="n"/>
      <c r="AD1149" s="719" t="inlineStr">
        <is>
          <t>No</t>
        </is>
      </c>
      <c r="AE1149" s="733" t="n"/>
      <c r="AF1149" s="733" t="n"/>
      <c r="AG1149" s="733" t="n"/>
      <c r="AH1149" s="733" t="n"/>
      <c r="AI1149" s="719" t="inlineStr">
        <is>
          <t>Limit</t>
        </is>
      </c>
      <c r="AJ1149" s="733" t="n"/>
      <c r="AK1149" s="733" t="n"/>
      <c r="AL1149" s="733" t="n"/>
      <c r="AM1149" s="733" t="n"/>
      <c r="AN1149" s="733" t="n"/>
      <c r="AO1149" s="733" t="n"/>
      <c r="AP1149" s="719" t="inlineStr">
        <is>
          <t>Pullback</t>
        </is>
      </c>
      <c r="AQ1149" s="719" t="inlineStr">
        <is>
          <t>1H</t>
        </is>
      </c>
      <c r="AR1149" s="719" t="inlineStr">
        <is>
          <t>No</t>
        </is>
      </c>
      <c r="AS1149" s="733" t="n"/>
      <c r="AT1149" s="733" t="n"/>
      <c r="AU1149" s="733" t="n"/>
      <c r="AV1149" s="733" t="n"/>
      <c r="AW1149" s="719" t="inlineStr">
        <is>
          <t>trade</t>
        </is>
      </c>
      <c r="AX1149" s="734" t="inlineStr">
        <is>
          <t>sig:2b6284f5ff5213ef1e45d204</t>
        </is>
      </c>
    </row>
    <row r="1150" ht="15" customHeight="1">
      <c r="A1150" s="716" t="inlineStr">
        <is>
          <t>F397</t>
        </is>
      </c>
      <c r="B1150" s="717" t="n">
        <v>43474.04375</v>
      </c>
      <c r="C1150" s="718" t="n">
        <v>43474.09166666667</v>
      </c>
      <c r="D1150" s="719" t="inlineStr">
        <is>
          <t>PEPPERSTONE DEMO</t>
        </is>
      </c>
      <c r="E1150" s="719" t="inlineStr">
        <is>
          <t>USDCHF</t>
        </is>
      </c>
      <c r="F1150" s="719" t="inlineStr">
        <is>
          <t>BUY</t>
        </is>
      </c>
      <c r="G1150" s="735" t="n">
        <v>0.03</v>
      </c>
      <c r="H1150" s="720" t="n">
        <v>0.9818</v>
      </c>
      <c r="I1150" s="720" t="n">
        <v>0.98085</v>
      </c>
      <c r="J1150" s="721" t="n">
        <v>0.9808</v>
      </c>
      <c r="K1150" s="722" t="n">
        <v>0.001018537380321859</v>
      </c>
      <c r="L1150" s="721" t="n">
        <v>0.9838</v>
      </c>
      <c r="M1150" s="722" t="n">
        <v>0.002037074760643718</v>
      </c>
      <c r="N1150" s="788" t="n"/>
      <c r="O1150" s="762" t="n">
        <v>-4.29</v>
      </c>
      <c r="P1150" s="725" t="n">
        <v>-0.00889672335130651</v>
      </c>
      <c r="Q1150" s="726" t="n">
        <v>-0.9500000000000055</v>
      </c>
      <c r="R1150" s="764" t="n">
        <v>477.91</v>
      </c>
      <c r="S1150" s="719" t="inlineStr">
        <is>
          <t>1H 9M 0S</t>
        </is>
      </c>
      <c r="T1150" s="728" t="n"/>
      <c r="U1150" s="729" t="n"/>
      <c r="V1150" s="730" t="n"/>
      <c r="W1150" s="731" t="n"/>
      <c r="X1150" s="732" t="n"/>
      <c r="Y1150" s="728" t="n"/>
      <c r="Z1150" s="729" t="n"/>
      <c r="AA1150" s="730" t="n"/>
      <c r="AB1150" s="731" t="n"/>
      <c r="AC1150" s="732" t="n"/>
      <c r="AD1150" s="719" t="inlineStr">
        <is>
          <t>No</t>
        </is>
      </c>
      <c r="AE1150" s="733" t="n"/>
      <c r="AF1150" s="733" t="n"/>
      <c r="AG1150" s="733" t="n"/>
      <c r="AH1150" s="733" t="n"/>
      <c r="AI1150" s="719" t="inlineStr">
        <is>
          <t>Limit</t>
        </is>
      </c>
      <c r="AJ1150" s="733" t="n"/>
      <c r="AK1150" s="733" t="n"/>
      <c r="AL1150" s="733" t="n"/>
      <c r="AM1150" s="733" t="n"/>
      <c r="AN1150" s="733" t="n"/>
      <c r="AO1150" s="733" t="n"/>
      <c r="AP1150" s="719" t="inlineStr">
        <is>
          <t>Pullback</t>
        </is>
      </c>
      <c r="AQ1150" s="719" t="inlineStr">
        <is>
          <t>1H</t>
        </is>
      </c>
      <c r="AR1150" s="719" t="inlineStr">
        <is>
          <t>No</t>
        </is>
      </c>
      <c r="AS1150" s="733" t="n"/>
      <c r="AT1150" s="733" t="n"/>
      <c r="AU1150" s="733" t="n"/>
      <c r="AV1150" s="733" t="n"/>
      <c r="AW1150" s="719" t="inlineStr">
        <is>
          <t>trade</t>
        </is>
      </c>
      <c r="AX1150" s="734" t="inlineStr">
        <is>
          <t>sig:a0c0b3a86ae65b8d5993f61b</t>
        </is>
      </c>
    </row>
    <row r="1151" ht="15" customHeight="1">
      <c r="A1151" s="716" t="inlineStr">
        <is>
          <t>F392</t>
        </is>
      </c>
      <c r="B1151" s="717" t="n">
        <v>43472.92013888889</v>
      </c>
      <c r="C1151" s="718" t="n">
        <v>43473.00763888889</v>
      </c>
      <c r="D1151" s="719" t="inlineStr">
        <is>
          <t>PEPPERSTONE DEMO</t>
        </is>
      </c>
      <c r="E1151" s="719" t="inlineStr">
        <is>
          <t>GBPUSD</t>
        </is>
      </c>
      <c r="F1151" s="719" t="inlineStr">
        <is>
          <t>SELL</t>
        </is>
      </c>
      <c r="G1151" s="735" t="n">
        <v>0.02</v>
      </c>
      <c r="H1151" s="720" t="n">
        <v>1.2759</v>
      </c>
      <c r="I1151" s="720" t="n">
        <v>1.27721</v>
      </c>
      <c r="J1151" s="721" t="n">
        <v>1.2772</v>
      </c>
      <c r="K1151" s="722" t="n">
        <v>0.001018888627635282</v>
      </c>
      <c r="L1151" s="721" t="n">
        <v>1.2683</v>
      </c>
      <c r="M1151" s="722" t="n">
        <v>0.005956579669253117</v>
      </c>
      <c r="N1151" s="788" t="n"/>
      <c r="O1151" s="762" t="n">
        <v>-3.64</v>
      </c>
      <c r="P1151" s="725" t="n">
        <v>-0.007492178494977772</v>
      </c>
      <c r="Q1151" s="726" t="n">
        <v>-1.007692307692359</v>
      </c>
      <c r="R1151" s="764" t="n">
        <v>482.2</v>
      </c>
      <c r="S1151" s="719" t="inlineStr">
        <is>
          <t>2H 6M 0S</t>
        </is>
      </c>
      <c r="T1151" s="728" t="n"/>
      <c r="U1151" s="729" t="n"/>
      <c r="V1151" s="730" t="n"/>
      <c r="W1151" s="731" t="n"/>
      <c r="X1151" s="732" t="n"/>
      <c r="Y1151" s="728" t="n"/>
      <c r="Z1151" s="729" t="n"/>
      <c r="AA1151" s="730" t="n"/>
      <c r="AB1151" s="731" t="n"/>
      <c r="AC1151" s="732" t="n"/>
      <c r="AD1151" s="719" t="inlineStr">
        <is>
          <t>No</t>
        </is>
      </c>
      <c r="AE1151" s="733" t="n"/>
      <c r="AF1151" s="733" t="n"/>
      <c r="AG1151" s="733" t="n"/>
      <c r="AH1151" s="733" t="n"/>
      <c r="AI1151" s="719" t="inlineStr">
        <is>
          <t>Market</t>
        </is>
      </c>
      <c r="AJ1151" s="733" t="n"/>
      <c r="AK1151" s="733" t="n"/>
      <c r="AL1151" s="733" t="n"/>
      <c r="AM1151" s="733" t="n"/>
      <c r="AN1151" s="733" t="n"/>
      <c r="AO1151" s="733" t="n"/>
      <c r="AP1151" s="719" t="inlineStr">
        <is>
          <t>Pullback</t>
        </is>
      </c>
      <c r="AQ1151" s="719" t="inlineStr">
        <is>
          <t>1H</t>
        </is>
      </c>
      <c r="AR1151" s="719" t="inlineStr">
        <is>
          <t>No</t>
        </is>
      </c>
      <c r="AS1151" s="782" t="n"/>
      <c r="AT1151" s="733" t="n"/>
      <c r="AU1151" s="719" t="n"/>
      <c r="AV1151" s="719" t="n"/>
      <c r="AW1151" s="719" t="inlineStr">
        <is>
          <t>trade</t>
        </is>
      </c>
      <c r="AX1151" s="734" t="inlineStr">
        <is>
          <t>sig:6426051ab01ef671df3ede54</t>
        </is>
      </c>
    </row>
    <row r="1152" ht="15" customHeight="1">
      <c r="A1152" s="716" t="inlineStr">
        <is>
          <t>F391</t>
        </is>
      </c>
      <c r="B1152" s="717" t="n">
        <v>43472.97847222222</v>
      </c>
      <c r="C1152" s="718" t="n">
        <v>43473.00555555556</v>
      </c>
      <c r="D1152" s="719" t="inlineStr">
        <is>
          <t>PEPPERSTONE DEMO</t>
        </is>
      </c>
      <c r="E1152" s="719" t="inlineStr">
        <is>
          <t>EURUSD</t>
        </is>
      </c>
      <c r="F1152" s="719" t="inlineStr">
        <is>
          <t>SELL</t>
        </is>
      </c>
      <c r="G1152" s="735" t="n">
        <v>0.03</v>
      </c>
      <c r="H1152" s="720" t="n">
        <v>1.145</v>
      </c>
      <c r="I1152" s="720" t="n">
        <v>1.14617</v>
      </c>
      <c r="J1152" s="721" t="n">
        <v>1.1461</v>
      </c>
      <c r="K1152" s="760" t="n">
        <v>0.000960698689956226</v>
      </c>
      <c r="L1152" s="721" t="n">
        <v>1.1406</v>
      </c>
      <c r="M1152" s="722" t="n">
        <v>0.003842794759825292</v>
      </c>
      <c r="N1152" s="788" t="n"/>
      <c r="O1152" s="762" t="n">
        <v>-4.62</v>
      </c>
      <c r="P1152" s="725" t="n">
        <v>-0.009419728418219631</v>
      </c>
      <c r="Q1152" s="726" t="n">
        <v>-1.063636363636384</v>
      </c>
      <c r="R1152" s="764" t="n">
        <v>485.84</v>
      </c>
      <c r="S1152" s="719" t="inlineStr">
        <is>
          <t>39M 0S</t>
        </is>
      </c>
      <c r="T1152" s="728" t="n"/>
      <c r="U1152" s="729" t="n"/>
      <c r="V1152" s="730" t="n"/>
      <c r="W1152" s="731" t="n"/>
      <c r="X1152" s="732" t="n"/>
      <c r="Y1152" s="728" t="n"/>
      <c r="Z1152" s="729" t="n"/>
      <c r="AA1152" s="730" t="n"/>
      <c r="AB1152" s="731" t="n"/>
      <c r="AC1152" s="732" t="n"/>
      <c r="AD1152" s="719" t="inlineStr">
        <is>
          <t>No</t>
        </is>
      </c>
      <c r="AE1152" s="733" t="n"/>
      <c r="AF1152" s="733" t="n"/>
      <c r="AG1152" s="733" t="n"/>
      <c r="AH1152" s="733" t="n"/>
      <c r="AI1152" s="719" t="inlineStr">
        <is>
          <t>Limit</t>
        </is>
      </c>
      <c r="AJ1152" s="733" t="n"/>
      <c r="AK1152" s="733" t="n"/>
      <c r="AL1152" s="733" t="n"/>
      <c r="AM1152" s="733" t="n"/>
      <c r="AN1152" s="733" t="n"/>
      <c r="AO1152" s="733" t="n"/>
      <c r="AP1152" s="719" t="inlineStr">
        <is>
          <t>Pullback</t>
        </is>
      </c>
      <c r="AQ1152" s="719" t="inlineStr">
        <is>
          <t>1H</t>
        </is>
      </c>
      <c r="AR1152" s="719" t="inlineStr">
        <is>
          <t>No</t>
        </is>
      </c>
      <c r="AS1152" s="733" t="n"/>
      <c r="AT1152" s="733" t="n"/>
      <c r="AU1152" s="733" t="n"/>
      <c r="AV1152" s="733" t="n"/>
      <c r="AW1152" s="719" t="inlineStr">
        <is>
          <t>trade</t>
        </is>
      </c>
      <c r="AX1152" s="734" t="inlineStr">
        <is>
          <t>sig:a5203339f829f9299f2aa712</t>
        </is>
      </c>
    </row>
    <row r="1153" ht="15" customHeight="1">
      <c r="A1153" s="716" t="inlineStr">
        <is>
          <t>F389</t>
        </is>
      </c>
      <c r="B1153" s="717" t="n">
        <v>43470.07222222222</v>
      </c>
      <c r="C1153" s="718" t="n">
        <v>43470.08125</v>
      </c>
      <c r="D1153" s="719" t="inlineStr">
        <is>
          <t>PEPPERSTONE DEMO</t>
        </is>
      </c>
      <c r="E1153" s="719" t="inlineStr">
        <is>
          <t>EURUSD</t>
        </is>
      </c>
      <c r="F1153" s="719" t="inlineStr">
        <is>
          <t>SELL</t>
        </is>
      </c>
      <c r="G1153" s="735" t="n">
        <v>0.03</v>
      </c>
      <c r="H1153" s="720" t="n">
        <v>1.1398</v>
      </c>
      <c r="I1153" s="720" t="n">
        <v>1.1407</v>
      </c>
      <c r="J1153" s="721" t="n">
        <v>1.1407</v>
      </c>
      <c r="K1153" s="760" t="n">
        <v>0.0007896122126689972</v>
      </c>
      <c r="L1153" s="721" t="n">
        <v>1.1353</v>
      </c>
      <c r="M1153" s="722" t="n">
        <v>0.003948061063344402</v>
      </c>
      <c r="N1153" s="788" t="n"/>
      <c r="O1153" s="762" t="n">
        <v>-3.8</v>
      </c>
      <c r="P1153" s="725" t="n">
        <v>-0.007688261239023994</v>
      </c>
      <c r="Q1153" s="726" t="n">
        <v>-1</v>
      </c>
      <c r="R1153" s="764" t="n">
        <v>490.46</v>
      </c>
      <c r="S1153" s="719" t="inlineStr">
        <is>
          <t>13M 0S</t>
        </is>
      </c>
      <c r="T1153" s="728" t="n"/>
      <c r="U1153" s="729" t="n"/>
      <c r="V1153" s="730" t="n"/>
      <c r="W1153" s="731" t="n"/>
      <c r="X1153" s="732" t="n"/>
      <c r="Y1153" s="728" t="n"/>
      <c r="Z1153" s="729" t="n"/>
      <c r="AA1153" s="730" t="n"/>
      <c r="AB1153" s="731" t="n"/>
      <c r="AC1153" s="732" t="n"/>
      <c r="AD1153" s="719" t="inlineStr">
        <is>
          <t>No</t>
        </is>
      </c>
      <c r="AE1153" s="733" t="n"/>
      <c r="AF1153" s="733" t="n"/>
      <c r="AG1153" s="733" t="n"/>
      <c r="AH1153" s="733" t="n"/>
      <c r="AI1153" s="719" t="inlineStr">
        <is>
          <t>Limit</t>
        </is>
      </c>
      <c r="AJ1153" s="733" t="n"/>
      <c r="AK1153" s="733" t="n"/>
      <c r="AL1153" s="733" t="n"/>
      <c r="AM1153" s="733" t="n"/>
      <c r="AN1153" s="733" t="n"/>
      <c r="AO1153" s="733" t="n"/>
      <c r="AP1153" s="719" t="inlineStr">
        <is>
          <t>Pullback</t>
        </is>
      </c>
      <c r="AQ1153" s="719" t="inlineStr">
        <is>
          <t>1H</t>
        </is>
      </c>
      <c r="AR1153" s="719" t="inlineStr">
        <is>
          <t>No</t>
        </is>
      </c>
      <c r="AS1153" s="733" t="n"/>
      <c r="AT1153" s="733" t="n"/>
      <c r="AU1153" s="733" t="n"/>
      <c r="AV1153" s="733" t="n"/>
      <c r="AW1153" s="719" t="inlineStr">
        <is>
          <t>trade</t>
        </is>
      </c>
      <c r="AX1153" s="734" t="inlineStr">
        <is>
          <t>sig:21ab87971d5f74899c1487c6</t>
        </is>
      </c>
    </row>
    <row r="1154" ht="15" customHeight="1">
      <c r="A1154" s="716" t="inlineStr">
        <is>
          <t>F390</t>
        </is>
      </c>
      <c r="B1154" s="717" t="n">
        <v>43470.06458333333</v>
      </c>
      <c r="C1154" s="718" t="n">
        <v>43470.06875</v>
      </c>
      <c r="D1154" s="719" t="inlineStr">
        <is>
          <t>PEPPERSTONE DEMO</t>
        </is>
      </c>
      <c r="E1154" s="719" t="inlineStr">
        <is>
          <t>USDCHF</t>
        </is>
      </c>
      <c r="F1154" s="719" t="inlineStr">
        <is>
          <t>BUY</t>
        </is>
      </c>
      <c r="G1154" s="735" t="n">
        <v>0.03</v>
      </c>
      <c r="H1154" s="720" t="n">
        <v>0.9878</v>
      </c>
      <c r="I1154" s="720" t="n">
        <v>0.98678</v>
      </c>
      <c r="J1154" s="721" t="n">
        <v>0.9867</v>
      </c>
      <c r="K1154" s="722" t="n">
        <v>0.00111358574610244</v>
      </c>
      <c r="L1154" s="721" t="n">
        <v>0.99</v>
      </c>
      <c r="M1154" s="722" t="n">
        <v>0.002227171492204879</v>
      </c>
      <c r="N1154" s="788" t="n"/>
      <c r="O1154" s="762" t="n">
        <v>-4.72</v>
      </c>
      <c r="P1154" s="725" t="n">
        <v>-0.009459296965810252</v>
      </c>
      <c r="Q1154" s="726" t="n">
        <v>-0.9272727272727548</v>
      </c>
      <c r="R1154" s="764" t="n">
        <v>494.26</v>
      </c>
      <c r="S1154" s="719" t="inlineStr">
        <is>
          <t>6M 0S</t>
        </is>
      </c>
      <c r="T1154" s="717" t="n"/>
      <c r="U1154" s="806" t="n"/>
      <c r="V1154" s="730" t="n"/>
      <c r="W1154" s="731" t="n"/>
      <c r="X1154" s="732" t="n"/>
      <c r="Y1154" s="728" t="n"/>
      <c r="Z1154" s="729" t="n"/>
      <c r="AA1154" s="730" t="n"/>
      <c r="AB1154" s="731" t="n"/>
      <c r="AC1154" s="732" t="n"/>
      <c r="AD1154" s="719" t="inlineStr">
        <is>
          <t>No</t>
        </is>
      </c>
      <c r="AE1154" s="733" t="n"/>
      <c r="AF1154" s="733" t="n"/>
      <c r="AG1154" s="733" t="n"/>
      <c r="AH1154" s="733" t="n"/>
      <c r="AI1154" s="719" t="inlineStr">
        <is>
          <t>Limit</t>
        </is>
      </c>
      <c r="AJ1154" s="733" t="n"/>
      <c r="AK1154" s="733" t="n"/>
      <c r="AL1154" s="733" t="n"/>
      <c r="AM1154" s="733" t="n"/>
      <c r="AN1154" s="733" t="n"/>
      <c r="AO1154" s="733" t="n"/>
      <c r="AP1154" s="719" t="inlineStr">
        <is>
          <t>Pullback</t>
        </is>
      </c>
      <c r="AQ1154" s="719" t="inlineStr">
        <is>
          <t>1H</t>
        </is>
      </c>
      <c r="AR1154" s="719" t="inlineStr">
        <is>
          <t>No</t>
        </is>
      </c>
      <c r="AS1154" s="733" t="n"/>
      <c r="AT1154" s="733" t="n"/>
      <c r="AU1154" s="733" t="n"/>
      <c r="AV1154" s="733" t="n"/>
      <c r="AW1154" s="719" t="inlineStr">
        <is>
          <t>trade</t>
        </is>
      </c>
      <c r="AX1154" s="734" t="inlineStr">
        <is>
          <t>sig:b73db3d27a8d39597fd98b3f</t>
        </is>
      </c>
    </row>
    <row r="1155" ht="15" customHeight="1">
      <c r="A1155" s="716" t="inlineStr">
        <is>
          <t>F386</t>
        </is>
      </c>
      <c r="B1155" s="717" t="n">
        <v>43469.99375</v>
      </c>
      <c r="C1155" s="718" t="n">
        <v>43470.02083333334</v>
      </c>
      <c r="D1155" s="719" t="inlineStr">
        <is>
          <t>PEPPERSTONE DEMO</t>
        </is>
      </c>
      <c r="E1155" s="719" t="inlineStr">
        <is>
          <t>GBPUSD</t>
        </is>
      </c>
      <c r="F1155" s="719" t="inlineStr">
        <is>
          <t>BUY</t>
        </is>
      </c>
      <c r="G1155" s="735" t="n">
        <v>0.02</v>
      </c>
      <c r="H1155" s="720" t="n">
        <v>1.2638</v>
      </c>
      <c r="I1155" s="720" t="n">
        <v>1.2623</v>
      </c>
      <c r="J1155" s="721" t="n">
        <v>1.2623</v>
      </c>
      <c r="K1155" s="722" t="n">
        <v>0.001186896660864106</v>
      </c>
      <c r="L1155" s="721" t="n">
        <v>1.2668</v>
      </c>
      <c r="M1155" s="722" t="n">
        <v>0.002373793321728036</v>
      </c>
      <c r="N1155" s="788" t="n"/>
      <c r="O1155" s="762" t="n">
        <v>-4.26</v>
      </c>
      <c r="P1155" s="725" t="n">
        <v>-0.008465145854860504</v>
      </c>
      <c r="Q1155" s="726" t="n">
        <v>-1</v>
      </c>
      <c r="R1155" s="764" t="n">
        <v>498.98</v>
      </c>
      <c r="S1155" s="719" t="inlineStr">
        <is>
          <t>39M 0S</t>
        </is>
      </c>
      <c r="T1155" s="728" t="n"/>
      <c r="U1155" s="729" t="n"/>
      <c r="V1155" s="730" t="n"/>
      <c r="W1155" s="731" t="n"/>
      <c r="X1155" s="732" t="n"/>
      <c r="Y1155" s="728" t="n"/>
      <c r="Z1155" s="729" t="n"/>
      <c r="AA1155" s="730" t="n"/>
      <c r="AB1155" s="731" t="n"/>
      <c r="AC1155" s="732" t="n"/>
      <c r="AD1155" s="719" t="inlineStr">
        <is>
          <t>No</t>
        </is>
      </c>
      <c r="AE1155" s="733" t="n"/>
      <c r="AF1155" s="733" t="n"/>
      <c r="AG1155" s="733" t="n"/>
      <c r="AH1155" s="733" t="n"/>
      <c r="AI1155" s="719" t="inlineStr">
        <is>
          <t>Limit</t>
        </is>
      </c>
      <c r="AJ1155" s="733" t="n"/>
      <c r="AK1155" s="733" t="n"/>
      <c r="AL1155" s="733" t="n"/>
      <c r="AM1155" s="733" t="n"/>
      <c r="AN1155" s="733" t="n"/>
      <c r="AO1155" s="733" t="n"/>
      <c r="AP1155" s="719" t="inlineStr">
        <is>
          <t>Pullback</t>
        </is>
      </c>
      <c r="AQ1155" s="719" t="inlineStr">
        <is>
          <t>1H</t>
        </is>
      </c>
      <c r="AR1155" s="719" t="inlineStr">
        <is>
          <t>No</t>
        </is>
      </c>
      <c r="AS1155" s="733" t="n"/>
      <c r="AT1155" s="733" t="n"/>
      <c r="AU1155" s="733" t="n"/>
      <c r="AV1155" s="733" t="n"/>
      <c r="AW1155" s="719" t="inlineStr">
        <is>
          <t>trade</t>
        </is>
      </c>
      <c r="AX1155" s="734" t="inlineStr">
        <is>
          <t>sig:e49c55e27080297f0998a4fb</t>
        </is>
      </c>
    </row>
    <row r="1156" ht="15" customHeight="1">
      <c r="A1156" s="716" t="inlineStr">
        <is>
          <t>F387</t>
        </is>
      </c>
      <c r="B1156" s="717" t="n">
        <v>43469.97916666666</v>
      </c>
      <c r="C1156" s="718" t="n">
        <v>43469.98194444444</v>
      </c>
      <c r="D1156" s="719" t="inlineStr">
        <is>
          <t>PEPPERSTONE DEMO</t>
        </is>
      </c>
      <c r="E1156" s="719" t="inlineStr">
        <is>
          <t>USDCAD</t>
        </is>
      </c>
      <c r="F1156" s="719" t="inlineStr">
        <is>
          <t>BUY</t>
        </is>
      </c>
      <c r="G1156" s="735" t="n">
        <v>0.03</v>
      </c>
      <c r="H1156" s="720" t="n">
        <v>1.3457</v>
      </c>
      <c r="I1156" s="720" t="n">
        <v>1.34425</v>
      </c>
      <c r="J1156" s="721" t="n">
        <v>1.3442</v>
      </c>
      <c r="K1156" s="722" t="n">
        <v>0.001114661514453322</v>
      </c>
      <c r="L1156" s="721" t="n">
        <v>1.3487</v>
      </c>
      <c r="M1156" s="722" t="n">
        <v>0.002229323028906973</v>
      </c>
      <c r="N1156" s="788" t="n"/>
      <c r="O1156" s="762" t="n">
        <v>-4.75</v>
      </c>
      <c r="P1156" s="725" t="n">
        <v>-0.009350577767278883</v>
      </c>
      <c r="Q1156" s="726" t="n">
        <v>-0.9666666666667407</v>
      </c>
      <c r="R1156" s="764" t="n">
        <v>503.24</v>
      </c>
      <c r="S1156" s="719" t="inlineStr">
        <is>
          <t>4M 0S</t>
        </is>
      </c>
      <c r="T1156" s="717" t="n"/>
      <c r="U1156" s="806" t="n"/>
      <c r="V1156" s="730" t="n"/>
      <c r="W1156" s="731" t="n"/>
      <c r="X1156" s="732" t="n"/>
      <c r="Y1156" s="728" t="n"/>
      <c r="Z1156" s="729" t="n"/>
      <c r="AA1156" s="730" t="n"/>
      <c r="AB1156" s="731" t="n"/>
      <c r="AC1156" s="732" t="n"/>
      <c r="AD1156" s="719" t="inlineStr">
        <is>
          <t>No</t>
        </is>
      </c>
      <c r="AE1156" s="733" t="n"/>
      <c r="AF1156" s="733" t="n"/>
      <c r="AG1156" s="733" t="n"/>
      <c r="AH1156" s="733" t="n"/>
      <c r="AI1156" s="719" t="inlineStr">
        <is>
          <t>Limit</t>
        </is>
      </c>
      <c r="AJ1156" s="733" t="n"/>
      <c r="AK1156" s="733" t="n"/>
      <c r="AL1156" s="733" t="n"/>
      <c r="AM1156" s="733" t="n"/>
      <c r="AN1156" s="733" t="n"/>
      <c r="AO1156" s="733" t="n"/>
      <c r="AP1156" s="719" t="inlineStr">
        <is>
          <t>Pullback</t>
        </is>
      </c>
      <c r="AQ1156" s="719" t="inlineStr">
        <is>
          <t>5MIN</t>
        </is>
      </c>
      <c r="AR1156" s="719" t="inlineStr">
        <is>
          <t>No</t>
        </is>
      </c>
      <c r="AS1156" s="733" t="n"/>
      <c r="AT1156" s="733" t="n"/>
      <c r="AU1156" s="733" t="n"/>
      <c r="AV1156" s="733" t="n"/>
      <c r="AW1156" s="719" t="inlineStr">
        <is>
          <t>trade</t>
        </is>
      </c>
      <c r="AX1156" s="734" t="inlineStr">
        <is>
          <t>sig:c5de28a2fc0edceaa48ee8a8</t>
        </is>
      </c>
    </row>
    <row r="1157" ht="15" customHeight="1">
      <c r="A1157" s="716" t="inlineStr">
        <is>
          <t>F385</t>
        </is>
      </c>
      <c r="B1157" s="717" t="n">
        <v>43469.87152777778</v>
      </c>
      <c r="C1157" s="718" t="n">
        <v>43469.96736111111</v>
      </c>
      <c r="D1157" s="719" t="inlineStr">
        <is>
          <t>PEPPERSTONE DEMO</t>
        </is>
      </c>
      <c r="E1157" s="719" t="inlineStr">
        <is>
          <t>AUDUSD</t>
        </is>
      </c>
      <c r="F1157" s="719" t="inlineStr">
        <is>
          <t>SELL</t>
        </is>
      </c>
      <c r="G1157" s="735" t="n">
        <v>0.03</v>
      </c>
      <c r="H1157" s="720" t="n">
        <v>0.7042</v>
      </c>
      <c r="I1157" s="720" t="n">
        <v>0.70439</v>
      </c>
      <c r="J1157" s="721" t="n">
        <v>0.7052</v>
      </c>
      <c r="K1157" s="722" t="n">
        <v>0.001420051121840387</v>
      </c>
      <c r="L1157" s="721" t="n">
        <v>0.7022</v>
      </c>
      <c r="M1157" s="722" t="n">
        <v>0.002840102243680775</v>
      </c>
      <c r="N1157" s="788" t="n"/>
      <c r="O1157" s="762" t="n">
        <v>-0.64</v>
      </c>
      <c r="P1157" s="725" t="n">
        <v>-0.001258282051786171</v>
      </c>
      <c r="Q1157" s="726" t="n">
        <v>-0.1899999999999123</v>
      </c>
      <c r="R1157" s="764" t="n">
        <v>507.99</v>
      </c>
      <c r="S1157" s="719" t="inlineStr">
        <is>
          <t>2H 18M 0S</t>
        </is>
      </c>
      <c r="T1157" s="728" t="n"/>
      <c r="U1157" s="729" t="n"/>
      <c r="V1157" s="730" t="n"/>
      <c r="W1157" s="731" t="n"/>
      <c r="X1157" s="732" t="n"/>
      <c r="Y1157" s="728" t="n"/>
      <c r="Z1157" s="729" t="n"/>
      <c r="AA1157" s="730" t="n"/>
      <c r="AB1157" s="731" t="n"/>
      <c r="AC1157" s="732" t="n"/>
      <c r="AD1157" s="719" t="inlineStr">
        <is>
          <t>No</t>
        </is>
      </c>
      <c r="AE1157" s="733" t="n"/>
      <c r="AF1157" s="733" t="n"/>
      <c r="AG1157" s="733" t="n"/>
      <c r="AH1157" s="733" t="n"/>
      <c r="AI1157" s="719" t="inlineStr">
        <is>
          <t>Limit</t>
        </is>
      </c>
      <c r="AJ1157" s="733" t="n"/>
      <c r="AK1157" s="733" t="n"/>
      <c r="AL1157" s="733" t="n"/>
      <c r="AM1157" s="733" t="n"/>
      <c r="AN1157" s="733" t="n"/>
      <c r="AO1157" s="733" t="n"/>
      <c r="AP1157" s="719" t="inlineStr">
        <is>
          <t>Pullback</t>
        </is>
      </c>
      <c r="AQ1157" s="719" t="inlineStr">
        <is>
          <t>1H</t>
        </is>
      </c>
      <c r="AR1157" s="719" t="inlineStr">
        <is>
          <t>No</t>
        </is>
      </c>
      <c r="AS1157" s="782" t="n"/>
      <c r="AT1157" s="733" t="n"/>
      <c r="AU1157" s="719" t="n"/>
      <c r="AV1157" s="719" t="n"/>
      <c r="AW1157" s="719" t="inlineStr">
        <is>
          <t>trade</t>
        </is>
      </c>
      <c r="AX1157" s="734" t="inlineStr">
        <is>
          <t>sig:1c3b8e8b98c1ab68be66354c</t>
        </is>
      </c>
    </row>
    <row r="1158" ht="15" customHeight="1">
      <c r="A1158" s="737" t="inlineStr">
        <is>
          <t>F388</t>
        </is>
      </c>
      <c r="B1158" s="738" t="n">
        <v>43469.85972222222</v>
      </c>
      <c r="C1158" s="739" t="n">
        <v>43469.90555555555</v>
      </c>
      <c r="D1158" s="740" t="inlineStr">
        <is>
          <t>PEPPERSTONE DEMO</t>
        </is>
      </c>
      <c r="E1158" s="740" t="inlineStr">
        <is>
          <t>USDCHF</t>
        </is>
      </c>
      <c r="F1158" s="740" t="inlineStr">
        <is>
          <t>SELL</t>
        </is>
      </c>
      <c r="G1158" s="775" t="n">
        <v>0.05</v>
      </c>
      <c r="H1158" s="742" t="n">
        <v>0.9878</v>
      </c>
      <c r="I1158" s="742" t="n">
        <v>0.98668</v>
      </c>
      <c r="J1158" s="743" t="n">
        <v>0.9883999999999999</v>
      </c>
      <c r="K1158" s="765" t="n">
        <v>0.0006074104069649057</v>
      </c>
      <c r="L1158" s="743" t="n">
        <v>0.9866</v>
      </c>
      <c r="M1158" s="744" t="n">
        <v>0.001214820813929924</v>
      </c>
      <c r="N1158" s="796" t="n"/>
      <c r="O1158" s="767" t="n">
        <v>8.630000000000001</v>
      </c>
      <c r="P1158" s="747" t="n">
        <v>0.01726</v>
      </c>
      <c r="Q1158" s="748" t="n">
        <v>1.866666666666889</v>
      </c>
      <c r="R1158" s="769" t="n">
        <v>508.63</v>
      </c>
      <c r="S1158" s="740" t="inlineStr">
        <is>
          <t>1H 6M 0S</t>
        </is>
      </c>
      <c r="T1158" s="738" t="n"/>
      <c r="U1158" s="809" t="n"/>
      <c r="V1158" s="752" t="n"/>
      <c r="W1158" s="753" t="n"/>
      <c r="X1158" s="754" t="n"/>
      <c r="Y1158" s="750" t="n"/>
      <c r="Z1158" s="751" t="n"/>
      <c r="AA1158" s="752" t="n"/>
      <c r="AB1158" s="753" t="n"/>
      <c r="AC1158" s="754" t="n"/>
      <c r="AD1158" s="740" t="inlineStr">
        <is>
          <t>No</t>
        </is>
      </c>
      <c r="AE1158" s="755" t="n"/>
      <c r="AF1158" s="755" t="n"/>
      <c r="AG1158" s="755" t="n"/>
      <c r="AH1158" s="755" t="n"/>
      <c r="AI1158" s="740" t="inlineStr">
        <is>
          <t>Limit</t>
        </is>
      </c>
      <c r="AJ1158" s="755" t="n"/>
      <c r="AK1158" s="755" t="n"/>
      <c r="AL1158" s="755" t="n"/>
      <c r="AM1158" s="755" t="n"/>
      <c r="AN1158" s="755" t="n"/>
      <c r="AO1158" s="755" t="n"/>
      <c r="AP1158" s="740" t="inlineStr">
        <is>
          <t>Pullback</t>
        </is>
      </c>
      <c r="AQ1158" s="740" t="inlineStr">
        <is>
          <t>1H</t>
        </is>
      </c>
      <c r="AR1158" s="740" t="inlineStr">
        <is>
          <t>No</t>
        </is>
      </c>
      <c r="AS1158" s="755" t="n"/>
      <c r="AT1158" s="755" t="n"/>
      <c r="AU1158" s="755" t="n"/>
      <c r="AV1158" s="755" t="n"/>
      <c r="AW1158" s="740" t="inlineStr">
        <is>
          <t>trade</t>
        </is>
      </c>
      <c r="AX1158" s="756" t="inlineStr">
        <is>
          <t>sig:de9e0a649b493a400ccce1df</t>
        </is>
      </c>
    </row>
    <row r="1159" ht="15" customHeight="1">
      <c r="A1159" s="42" t="n"/>
      <c r="B1159" s="770" t="n">
        <v>43469</v>
      </c>
      <c r="C1159" s="771" t="n">
        <v>43469</v>
      </c>
      <c r="D1159" s="12" t="inlineStr">
        <is>
          <t>PEPPERSTONE DEMO</t>
        </is>
      </c>
      <c r="E1159" s="12" t="inlineStr">
        <is>
          <t>CASHFLOW</t>
        </is>
      </c>
      <c r="F1159" s="12" t="inlineStr">
        <is>
          <t>WITHDRAWAL</t>
        </is>
      </c>
      <c r="G1159" s="262" t="n"/>
      <c r="H1159" s="262" t="n"/>
      <c r="I1159" s="262" t="n"/>
      <c r="J1159" s="263" t="n"/>
      <c r="K1159" s="36" t="n"/>
      <c r="L1159" s="263" t="n"/>
      <c r="M1159" s="36" t="n"/>
      <c r="N1159" s="779" t="n"/>
      <c r="O1159" s="773" t="n"/>
      <c r="P1159" s="3" t="n"/>
      <c r="Q1159" s="51" t="n"/>
      <c r="R1159" s="54" t="n">
        <v>500</v>
      </c>
      <c r="S1159" s="12" t="n"/>
      <c r="T1159" s="774" t="n"/>
      <c r="U1159" s="6" t="n"/>
      <c r="V1159" s="264" t="n"/>
      <c r="W1159" s="9" t="n"/>
      <c r="X1159" s="46" t="n"/>
      <c r="Y1159" s="774" t="n"/>
      <c r="Z1159" s="6" t="n"/>
      <c r="AA1159" s="264" t="n"/>
      <c r="AB1159" s="9" t="n"/>
      <c r="AC1159" s="46" t="n"/>
      <c r="AD1159" s="12" t="inlineStr">
        <is>
          <t>No</t>
        </is>
      </c>
      <c r="AE1159" s="45" t="n"/>
      <c r="AF1159" s="45" t="n"/>
      <c r="AG1159" s="45" t="n"/>
      <c r="AH1159" s="45" t="n"/>
      <c r="AI1159" s="12" t="n"/>
      <c r="AJ1159" s="45" t="n"/>
      <c r="AK1159" s="45" t="n"/>
      <c r="AL1159" s="45" t="n"/>
      <c r="AM1159" s="45" t="n"/>
      <c r="AN1159" s="45" t="n"/>
      <c r="AO1159" s="45" t="n"/>
      <c r="AP1159" s="12" t="n"/>
      <c r="AQ1159" s="12" t="n"/>
      <c r="AR1159" s="12" t="n"/>
      <c r="AS1159" s="56" t="inlineStr">
        <is>
          <t>Withdrawal -484.95 AUD. Source: user_txt. Imported from account_cashflows.xlsx row 32.</t>
        </is>
      </c>
      <c r="AT1159" s="45" t="n"/>
      <c r="AU1159" s="12" t="n">
        <v>500</v>
      </c>
      <c r="AV1159" s="12" t="inlineStr">
        <is>
          <t>AUD</t>
        </is>
      </c>
      <c r="AW1159" s="12" t="inlineStr">
        <is>
          <t>cashflow</t>
        </is>
      </c>
      <c r="AX1159" s="57" t="inlineStr">
        <is>
          <t>cashflow:PEPPERSTONE DEMO:2019-01-04T00:00:00:18</t>
        </is>
      </c>
    </row>
    <row r="1160" ht="15" customHeight="1">
      <c r="A1160" s="716" t="inlineStr">
        <is>
          <t>F382</t>
        </is>
      </c>
      <c r="B1160" s="717" t="n">
        <v>43468.975</v>
      </c>
      <c r="C1160" s="718" t="n">
        <v>43468.97986111111</v>
      </c>
      <c r="D1160" s="719" t="inlineStr">
        <is>
          <t>PEPPERSTONE DEMO</t>
        </is>
      </c>
      <c r="E1160" s="719" t="inlineStr">
        <is>
          <t>USDJPY</t>
        </is>
      </c>
      <c r="F1160" s="719" t="inlineStr">
        <is>
          <t>BUY</t>
        </is>
      </c>
      <c r="G1160" s="735" t="n">
        <v>0.07000000000000001</v>
      </c>
      <c r="H1160" s="720" t="n">
        <v>107.83</v>
      </c>
      <c r="I1160" s="720" t="n">
        <v>107.782</v>
      </c>
      <c r="J1160" s="721" t="n">
        <v>107.78</v>
      </c>
      <c r="K1160" s="760" t="n">
        <v>0.0004636928498562289</v>
      </c>
      <c r="L1160" s="721" t="n">
        <v>107.98</v>
      </c>
      <c r="M1160" s="722" t="n">
        <v>0.001391078549568818</v>
      </c>
      <c r="N1160" s="788" t="n"/>
      <c r="O1160" s="762" t="n">
        <v>-4.66</v>
      </c>
      <c r="P1160" s="725" t="n">
        <v>-0.004708925738422207</v>
      </c>
      <c r="Q1160" s="726" t="n">
        <v>-0.960000000000091</v>
      </c>
      <c r="R1160" s="764" t="n">
        <v>984.95</v>
      </c>
      <c r="S1160" s="719" t="inlineStr">
        <is>
          <t>7M 0S</t>
        </is>
      </c>
      <c r="T1160" s="728" t="n"/>
      <c r="U1160" s="729" t="n"/>
      <c r="V1160" s="730" t="n"/>
      <c r="W1160" s="731" t="n"/>
      <c r="X1160" s="732" t="n"/>
      <c r="Y1160" s="728" t="n"/>
      <c r="Z1160" s="729" t="n"/>
      <c r="AA1160" s="730" t="n"/>
      <c r="AB1160" s="731" t="n"/>
      <c r="AC1160" s="732" t="n"/>
      <c r="AD1160" s="719" t="inlineStr">
        <is>
          <t>No</t>
        </is>
      </c>
      <c r="AE1160" s="733" t="n"/>
      <c r="AF1160" s="733" t="n"/>
      <c r="AG1160" s="733" t="n"/>
      <c r="AH1160" s="733" t="n"/>
      <c r="AI1160" s="719" t="inlineStr">
        <is>
          <t>Limit</t>
        </is>
      </c>
      <c r="AJ1160" s="733" t="n"/>
      <c r="AK1160" s="733" t="n"/>
      <c r="AL1160" s="733" t="n"/>
      <c r="AM1160" s="733" t="n"/>
      <c r="AN1160" s="733" t="n"/>
      <c r="AO1160" s="733" t="n"/>
      <c r="AP1160" s="719" t="inlineStr">
        <is>
          <t>Pullback</t>
        </is>
      </c>
      <c r="AQ1160" s="719" t="inlineStr">
        <is>
          <t>5MIN</t>
        </is>
      </c>
      <c r="AR1160" s="719" t="inlineStr">
        <is>
          <t>No</t>
        </is>
      </c>
      <c r="AS1160" s="733" t="n"/>
      <c r="AT1160" s="733" t="n"/>
      <c r="AU1160" s="733" t="n"/>
      <c r="AV1160" s="733" t="n"/>
      <c r="AW1160" s="719" t="inlineStr">
        <is>
          <t>trade</t>
        </is>
      </c>
      <c r="AX1160" s="734" t="inlineStr">
        <is>
          <t>sig:3118e6f659cc0a554a33147f</t>
        </is>
      </c>
    </row>
    <row r="1161" ht="15" customHeight="1">
      <c r="A1161" s="716" t="inlineStr">
        <is>
          <t>F383</t>
        </is>
      </c>
      <c r="B1161" s="717" t="n">
        <v>43468.95833333334</v>
      </c>
      <c r="C1161" s="718" t="n">
        <v>43468.96527777778</v>
      </c>
      <c r="D1161" s="719" t="inlineStr">
        <is>
          <t>PEPPERSTONE DEMO</t>
        </is>
      </c>
      <c r="E1161" s="719" t="inlineStr">
        <is>
          <t>GBPUSD</t>
        </is>
      </c>
      <c r="F1161" s="719" t="inlineStr">
        <is>
          <t>SELL</t>
        </is>
      </c>
      <c r="G1161" s="735" t="n">
        <v>0.02</v>
      </c>
      <c r="H1161" s="720" t="n">
        <v>1.256</v>
      </c>
      <c r="I1161" s="720" t="n">
        <v>1.25642</v>
      </c>
      <c r="J1161" s="721" t="n">
        <v>1.2572</v>
      </c>
      <c r="K1161" s="760" t="n">
        <v>0.0009554140127389251</v>
      </c>
      <c r="L1161" s="721" t="n">
        <v>1.2536</v>
      </c>
      <c r="M1161" s="722" t="n">
        <v>0.001910828025477673</v>
      </c>
      <c r="N1161" s="788" t="n"/>
      <c r="O1161" s="762" t="n">
        <v>-0.98</v>
      </c>
      <c r="P1161" s="763" t="n">
        <v>-0.000989309401467812</v>
      </c>
      <c r="Q1161" s="726" t="n">
        <v>-0.3500000000000463</v>
      </c>
      <c r="R1161" s="764" t="n">
        <v>989.61</v>
      </c>
      <c r="S1161" s="719" t="inlineStr">
        <is>
          <t>10M 0S</t>
        </is>
      </c>
      <c r="T1161" s="728" t="n"/>
      <c r="U1161" s="729" t="n"/>
      <c r="V1161" s="730" t="n"/>
      <c r="W1161" s="731" t="n"/>
      <c r="X1161" s="732" t="n"/>
      <c r="Y1161" s="728" t="n"/>
      <c r="Z1161" s="729" t="n"/>
      <c r="AA1161" s="730" t="n"/>
      <c r="AB1161" s="731" t="n"/>
      <c r="AC1161" s="732" t="n"/>
      <c r="AD1161" s="719" t="inlineStr">
        <is>
          <t>No</t>
        </is>
      </c>
      <c r="AE1161" s="733" t="n"/>
      <c r="AF1161" s="733" t="n"/>
      <c r="AG1161" s="733" t="n"/>
      <c r="AH1161" s="733" t="n"/>
      <c r="AI1161" s="719" t="inlineStr">
        <is>
          <t>Market</t>
        </is>
      </c>
      <c r="AJ1161" s="733" t="n"/>
      <c r="AK1161" s="733" t="n"/>
      <c r="AL1161" s="733" t="n"/>
      <c r="AM1161" s="733" t="n"/>
      <c r="AN1161" s="733" t="n"/>
      <c r="AO1161" s="733" t="n"/>
      <c r="AP1161" s="719" t="inlineStr">
        <is>
          <t>Pullback</t>
        </is>
      </c>
      <c r="AQ1161" s="719" t="inlineStr">
        <is>
          <t>5MIN</t>
        </is>
      </c>
      <c r="AR1161" s="719" t="inlineStr">
        <is>
          <t>No</t>
        </is>
      </c>
      <c r="AS1161" s="733" t="n"/>
      <c r="AT1161" s="733" t="n"/>
      <c r="AU1161" s="733" t="n"/>
      <c r="AV1161" s="733" t="n"/>
      <c r="AW1161" s="719" t="inlineStr">
        <is>
          <t>trade</t>
        </is>
      </c>
      <c r="AX1161" s="734" t="inlineStr">
        <is>
          <t>sig:30682689ede3ff3d4c809e47</t>
        </is>
      </c>
    </row>
    <row r="1162" ht="15" customHeight="1">
      <c r="A1162" s="737" t="inlineStr">
        <is>
          <t>F380</t>
        </is>
      </c>
      <c r="B1162" s="738" t="n">
        <v>43468.94513888889</v>
      </c>
      <c r="C1162" s="739" t="n">
        <v>43468.96319444444</v>
      </c>
      <c r="D1162" s="740" t="inlineStr">
        <is>
          <t>PEPPERSTONE DEMO</t>
        </is>
      </c>
      <c r="E1162" s="740" t="inlineStr">
        <is>
          <t>USDCHF</t>
        </is>
      </c>
      <c r="F1162" s="740" t="inlineStr">
        <is>
          <t>BUY</t>
        </is>
      </c>
      <c r="G1162" s="775" t="n">
        <v>0.06</v>
      </c>
      <c r="H1162" s="742" t="n">
        <v>0.9887</v>
      </c>
      <c r="I1162" s="742" t="n">
        <v>0.98929</v>
      </c>
      <c r="J1162" s="743" t="n">
        <v>0.9882</v>
      </c>
      <c r="K1162" s="765" t="n">
        <v>0.0005057145746940993</v>
      </c>
      <c r="L1162" s="743" t="n">
        <v>0.9897</v>
      </c>
      <c r="M1162" s="744" t="n">
        <v>0.001011429149388086</v>
      </c>
      <c r="N1162" s="796" t="n"/>
      <c r="O1162" s="767" t="n">
        <v>2.48</v>
      </c>
      <c r="P1162" s="747" t="n">
        <v>0.002509842021637267</v>
      </c>
      <c r="Q1162" s="748" t="n">
        <v>1.179999999999827</v>
      </c>
      <c r="R1162" s="769" t="n">
        <v>990.59</v>
      </c>
      <c r="S1162" s="740" t="inlineStr">
        <is>
          <t>26M 0S</t>
        </is>
      </c>
      <c r="T1162" s="738" t="n">
        <v>43468.95277777778</v>
      </c>
      <c r="U1162" s="809" t="inlineStr">
        <is>
          <t>11M 0S</t>
        </is>
      </c>
      <c r="V1162" s="752" t="n"/>
      <c r="W1162" s="753" t="n"/>
      <c r="X1162" s="754" t="n"/>
      <c r="Y1162" s="750" t="n"/>
      <c r="Z1162" s="751" t="n"/>
      <c r="AA1162" s="752" t="n"/>
      <c r="AB1162" s="753" t="n"/>
      <c r="AC1162" s="754" t="n"/>
      <c r="AD1162" s="740" t="inlineStr">
        <is>
          <t>No</t>
        </is>
      </c>
      <c r="AE1162" s="755" t="n"/>
      <c r="AF1162" s="755" t="n"/>
      <c r="AG1162" s="755" t="n"/>
      <c r="AH1162" s="755" t="n"/>
      <c r="AI1162" s="740" t="inlineStr">
        <is>
          <t>Limit</t>
        </is>
      </c>
      <c r="AJ1162" s="755" t="n"/>
      <c r="AK1162" s="755" t="n"/>
      <c r="AL1162" s="755" t="n"/>
      <c r="AM1162" s="755" t="n"/>
      <c r="AN1162" s="755" t="n"/>
      <c r="AO1162" s="755" t="n"/>
      <c r="AP1162" s="740" t="inlineStr">
        <is>
          <t>Pullback</t>
        </is>
      </c>
      <c r="AQ1162" s="740" t="inlineStr">
        <is>
          <t>5MIN</t>
        </is>
      </c>
      <c r="AR1162" s="740" t="inlineStr">
        <is>
          <t>No</t>
        </is>
      </c>
      <c r="AS1162" s="755" t="n"/>
      <c r="AT1162" s="755" t="n"/>
      <c r="AU1162" s="755" t="n"/>
      <c r="AV1162" s="755" t="n"/>
      <c r="AW1162" s="740" t="inlineStr">
        <is>
          <t>trade</t>
        </is>
      </c>
      <c r="AX1162" s="756" t="inlineStr">
        <is>
          <t>sig:d3ac7d97ef51ea0ee304e273</t>
        </is>
      </c>
    </row>
    <row r="1163" ht="15" customHeight="1">
      <c r="A1163" s="716" t="inlineStr">
        <is>
          <t>F381</t>
        </is>
      </c>
      <c r="B1163" s="717" t="n">
        <v>43468.88958333333</v>
      </c>
      <c r="C1163" s="718" t="n">
        <v>43468.90763888889</v>
      </c>
      <c r="D1163" s="719" t="inlineStr">
        <is>
          <t>PEPPERSTONE DEMO</t>
        </is>
      </c>
      <c r="E1163" s="719" t="inlineStr">
        <is>
          <t>USDCHF</t>
        </is>
      </c>
      <c r="F1163" s="719" t="inlineStr">
        <is>
          <t>SELL</t>
        </is>
      </c>
      <c r="G1163" s="735" t="n">
        <v>0.04</v>
      </c>
      <c r="H1163" s="720" t="n">
        <v>0.9882</v>
      </c>
      <c r="I1163" s="720" t="n">
        <v>0.98902</v>
      </c>
      <c r="J1163" s="721" t="n">
        <v>0.989</v>
      </c>
      <c r="K1163" s="760" t="n">
        <v>0.0008095527221210514</v>
      </c>
      <c r="L1163" s="721" t="n">
        <v>0.9866</v>
      </c>
      <c r="M1163" s="722" t="n">
        <v>0.00161910544424199</v>
      </c>
      <c r="N1163" s="788" t="n"/>
      <c r="O1163" s="762" t="n">
        <v>-4.66</v>
      </c>
      <c r="P1163" s="725" t="n">
        <v>-0.004693937165708069</v>
      </c>
      <c r="Q1163" s="726" t="n">
        <v>-1.025000000000024</v>
      </c>
      <c r="R1163" s="764" t="n">
        <v>988.11</v>
      </c>
      <c r="S1163" s="719" t="inlineStr">
        <is>
          <t>26M 0S</t>
        </is>
      </c>
      <c r="T1163" s="728" t="n"/>
      <c r="U1163" s="729" t="n"/>
      <c r="V1163" s="730" t="n"/>
      <c r="W1163" s="731" t="n"/>
      <c r="X1163" s="732" t="n"/>
      <c r="Y1163" s="728" t="n"/>
      <c r="Z1163" s="729" t="n"/>
      <c r="AA1163" s="730" t="n"/>
      <c r="AB1163" s="731" t="n"/>
      <c r="AC1163" s="732" t="n"/>
      <c r="AD1163" s="719" t="inlineStr">
        <is>
          <t>No</t>
        </is>
      </c>
      <c r="AE1163" s="733" t="n"/>
      <c r="AF1163" s="733" t="n"/>
      <c r="AG1163" s="733" t="n"/>
      <c r="AH1163" s="733" t="n"/>
      <c r="AI1163" s="719" t="inlineStr">
        <is>
          <t>Limit</t>
        </is>
      </c>
      <c r="AJ1163" s="733" t="n"/>
      <c r="AK1163" s="733" t="n"/>
      <c r="AL1163" s="733" t="n"/>
      <c r="AM1163" s="733" t="n"/>
      <c r="AN1163" s="733" t="n"/>
      <c r="AO1163" s="733" t="n"/>
      <c r="AP1163" s="719" t="inlineStr">
        <is>
          <t>Pullback</t>
        </is>
      </c>
      <c r="AQ1163" s="719" t="inlineStr">
        <is>
          <t>5MIN</t>
        </is>
      </c>
      <c r="AR1163" s="719" t="inlineStr">
        <is>
          <t>No</t>
        </is>
      </c>
      <c r="AS1163" s="733" t="n"/>
      <c r="AT1163" s="733" t="n"/>
      <c r="AU1163" s="733" t="n"/>
      <c r="AV1163" s="733" t="n"/>
      <c r="AW1163" s="719" t="inlineStr">
        <is>
          <t>trade</t>
        </is>
      </c>
      <c r="AX1163" s="734" t="inlineStr">
        <is>
          <t>sig:e2ac3d9332a80dff951db327</t>
        </is>
      </c>
    </row>
    <row r="1164" ht="15" customHeight="1">
      <c r="A1164" s="42" t="inlineStr">
        <is>
          <t>F384</t>
        </is>
      </c>
      <c r="B1164" s="770" t="n">
        <v>43468.04861111111</v>
      </c>
      <c r="C1164" s="771" t="n">
        <v>43468.13263888889</v>
      </c>
      <c r="D1164" s="12" t="inlineStr">
        <is>
          <t>PEPPERSTONE DEMO</t>
        </is>
      </c>
      <c r="E1164" s="12" t="inlineStr">
        <is>
          <t>USDJPY</t>
        </is>
      </c>
      <c r="F1164" s="12" t="inlineStr">
        <is>
          <t>SELL</t>
        </is>
      </c>
      <c r="G1164" s="272" t="n">
        <v>0.04</v>
      </c>
      <c r="H1164" s="262" t="n">
        <v>109.322</v>
      </c>
      <c r="I1164" s="262" t="n">
        <v>109.322</v>
      </c>
      <c r="J1164" s="263" t="n">
        <v>109.41</v>
      </c>
      <c r="K1164" s="273" t="n">
        <v>0.0008049614899104834</v>
      </c>
      <c r="L1164" s="263" t="n">
        <v>109.14</v>
      </c>
      <c r="M1164" s="36" t="n">
        <v>0.001664806717769545</v>
      </c>
      <c r="N1164" s="779" t="n"/>
      <c r="O1164" s="773" t="n">
        <v>0</v>
      </c>
      <c r="P1164" s="3" t="n">
        <v>0</v>
      </c>
      <c r="Q1164" s="51" t="n">
        <v>0</v>
      </c>
      <c r="R1164" s="54" t="n">
        <v>992.77</v>
      </c>
      <c r="S1164" s="12" t="inlineStr">
        <is>
          <t>2H 1M 0S</t>
        </is>
      </c>
      <c r="T1164" s="770" t="n">
        <v>43468.125</v>
      </c>
      <c r="U1164" s="4" t="inlineStr">
        <is>
          <t>1H 50M 0S</t>
        </is>
      </c>
      <c r="V1164" s="264" t="n"/>
      <c r="W1164" s="9" t="n"/>
      <c r="X1164" s="46" t="n"/>
      <c r="Y1164" s="774" t="n"/>
      <c r="Z1164" s="6" t="n"/>
      <c r="AA1164" s="264" t="n"/>
      <c r="AB1164" s="9" t="n"/>
      <c r="AC1164" s="46" t="n"/>
      <c r="AD1164" s="12" t="inlineStr">
        <is>
          <t>No</t>
        </is>
      </c>
      <c r="AE1164" s="45" t="n"/>
      <c r="AF1164" s="45" t="n"/>
      <c r="AG1164" s="45" t="n"/>
      <c r="AH1164" s="45" t="n"/>
      <c r="AI1164" s="12" t="inlineStr">
        <is>
          <t>Market</t>
        </is>
      </c>
      <c r="AJ1164" s="45" t="n"/>
      <c r="AK1164" s="45" t="n"/>
      <c r="AL1164" s="45" t="n"/>
      <c r="AM1164" s="45" t="n"/>
      <c r="AN1164" s="45" t="n"/>
      <c r="AO1164" s="45" t="n"/>
      <c r="AP1164" s="12" t="inlineStr">
        <is>
          <t>Pullback</t>
        </is>
      </c>
      <c r="AQ1164" s="12" t="inlineStr">
        <is>
          <t>5MIN</t>
        </is>
      </c>
      <c r="AR1164" s="12" t="inlineStr">
        <is>
          <t>Yes</t>
        </is>
      </c>
      <c r="AS1164" s="45" t="n"/>
      <c r="AT1164" s="45" t="n"/>
      <c r="AU1164" s="45" t="n"/>
      <c r="AV1164" s="45" t="n"/>
      <c r="AW1164" s="12" t="inlineStr">
        <is>
          <t>trade</t>
        </is>
      </c>
      <c r="AX1164" s="57" t="inlineStr">
        <is>
          <t>sig:42bd6105c55a5e69969f0726</t>
        </is>
      </c>
    </row>
    <row r="1165" ht="15" customHeight="1">
      <c r="A1165" s="42" t="n"/>
      <c r="B1165" s="770" t="n">
        <v>43468</v>
      </c>
      <c r="C1165" s="771" t="n">
        <v>43468</v>
      </c>
      <c r="D1165" s="12" t="inlineStr">
        <is>
          <t>PEPPERSTONE DEMO</t>
        </is>
      </c>
      <c r="E1165" s="12" t="inlineStr">
        <is>
          <t>CASHFLOW</t>
        </is>
      </c>
      <c r="F1165" s="12" t="inlineStr">
        <is>
          <t>DEPOSIT</t>
        </is>
      </c>
      <c r="G1165" s="262" t="n"/>
      <c r="H1165" s="262" t="n"/>
      <c r="I1165" s="262" t="n"/>
      <c r="J1165" s="263" t="n"/>
      <c r="K1165" s="36" t="n"/>
      <c r="L1165" s="263" t="n"/>
      <c r="M1165" s="36" t="n"/>
      <c r="N1165" s="779" t="n"/>
      <c r="O1165" s="773" t="n"/>
      <c r="P1165" s="3" t="n"/>
      <c r="Q1165" s="51" t="n"/>
      <c r="R1165" s="54" t="n">
        <v>992.77</v>
      </c>
      <c r="S1165" s="12" t="n"/>
      <c r="T1165" s="770" t="n"/>
      <c r="U1165" s="4" t="n"/>
      <c r="V1165" s="264" t="n"/>
      <c r="W1165" s="9" t="n"/>
      <c r="X1165" s="46" t="n"/>
      <c r="Y1165" s="774" t="n"/>
      <c r="Z1165" s="6" t="n"/>
      <c r="AA1165" s="264" t="n"/>
      <c r="AB1165" s="9" t="n"/>
      <c r="AC1165" s="46" t="n"/>
      <c r="AD1165" s="12" t="inlineStr">
        <is>
          <t>No</t>
        </is>
      </c>
      <c r="AE1165" s="45" t="n"/>
      <c r="AF1165" s="45" t="n"/>
      <c r="AG1165" s="45" t="n"/>
      <c r="AH1165" s="45" t="n"/>
      <c r="AI1165" s="12" t="n"/>
      <c r="AJ1165" s="45" t="n"/>
      <c r="AK1165" s="45" t="n"/>
      <c r="AL1165" s="45" t="n"/>
      <c r="AM1165" s="45" t="n"/>
      <c r="AN1165" s="45" t="n"/>
      <c r="AO1165" s="45" t="n"/>
      <c r="AP1165" s="12" t="n"/>
      <c r="AQ1165" s="12" t="n"/>
      <c r="AR1165" s="12" t="n"/>
      <c r="AS1165" s="56" t="inlineStr">
        <is>
          <t>Deposit 500.0 AUD. Source: user_txt. Imported from account_cashflows.xlsx row 31.</t>
        </is>
      </c>
      <c r="AT1165" s="45" t="n"/>
      <c r="AU1165" s="12" t="n">
        <v>992.77</v>
      </c>
      <c r="AV1165" s="12" t="inlineStr">
        <is>
          <t>AUD</t>
        </is>
      </c>
      <c r="AW1165" s="12" t="inlineStr">
        <is>
          <t>cashflow</t>
        </is>
      </c>
      <c r="AX1165" s="57" t="inlineStr">
        <is>
          <t>cashflow:PEPPERSTONE DEMO:2019-01-03T00:00:00:17</t>
        </is>
      </c>
    </row>
    <row r="1166" ht="15" customHeight="1">
      <c r="A1166" s="737" t="inlineStr">
        <is>
          <t>F378</t>
        </is>
      </c>
      <c r="B1166" s="738" t="n">
        <v>43466.08680555555</v>
      </c>
      <c r="C1166" s="739" t="n">
        <v>43466.13611111111</v>
      </c>
      <c r="D1166" s="740" t="inlineStr">
        <is>
          <t>PEPPERSTONE DEMO</t>
        </is>
      </c>
      <c r="E1166" s="740" t="inlineStr">
        <is>
          <t>AUDUSD</t>
        </is>
      </c>
      <c r="F1166" s="740" t="inlineStr">
        <is>
          <t>BUY</t>
        </is>
      </c>
      <c r="G1166" s="775" t="n">
        <v>0.03</v>
      </c>
      <c r="H1166" s="742" t="n">
        <v>0.7042</v>
      </c>
      <c r="I1166" s="742" t="n">
        <v>0.70444</v>
      </c>
      <c r="J1166" s="743" t="n">
        <v>0.7032</v>
      </c>
      <c r="K1166" s="744" t="n">
        <v>0.001420051121840387</v>
      </c>
      <c r="L1166" s="743" t="n">
        <v>0.7062</v>
      </c>
      <c r="M1166" s="744" t="n">
        <v>0.002840102243680775</v>
      </c>
      <c r="N1166" s="796" t="n"/>
      <c r="O1166" s="767" t="n">
        <v>1.02</v>
      </c>
      <c r="P1166" s="747" t="n">
        <v>0.002074224707676665</v>
      </c>
      <c r="Q1166" s="748" t="n">
        <v>0.2399999999999067</v>
      </c>
      <c r="R1166" s="769" t="n">
        <v>492.7699999999999</v>
      </c>
      <c r="S1166" s="740" t="inlineStr">
        <is>
          <t>1H 11M 0S</t>
        </is>
      </c>
      <c r="T1166" s="738" t="n">
        <v>43466.12361111111</v>
      </c>
      <c r="U1166" s="809" t="inlineStr">
        <is>
          <t>53M 0S</t>
        </is>
      </c>
      <c r="V1166" s="752" t="n"/>
      <c r="W1166" s="753" t="n"/>
      <c r="X1166" s="754" t="n"/>
      <c r="Y1166" s="750" t="n"/>
      <c r="Z1166" s="751" t="n"/>
      <c r="AA1166" s="752" t="n"/>
      <c r="AB1166" s="753" t="n"/>
      <c r="AC1166" s="754" t="n"/>
      <c r="AD1166" s="740" t="inlineStr">
        <is>
          <t>No</t>
        </is>
      </c>
      <c r="AE1166" s="755" t="n"/>
      <c r="AF1166" s="755" t="n"/>
      <c r="AG1166" s="755" t="n"/>
      <c r="AH1166" s="755" t="n"/>
      <c r="AI1166" s="740" t="inlineStr">
        <is>
          <t>Market</t>
        </is>
      </c>
      <c r="AJ1166" s="755" t="n"/>
      <c r="AK1166" s="755" t="n"/>
      <c r="AL1166" s="755" t="n"/>
      <c r="AM1166" s="755" t="n"/>
      <c r="AN1166" s="755" t="n"/>
      <c r="AO1166" s="755" t="n"/>
      <c r="AP1166" s="740" t="inlineStr">
        <is>
          <t>Pullback</t>
        </is>
      </c>
      <c r="AQ1166" s="740" t="inlineStr">
        <is>
          <t>5MIN</t>
        </is>
      </c>
      <c r="AR1166" s="740" t="inlineStr">
        <is>
          <t>No</t>
        </is>
      </c>
      <c r="AS1166" s="755" t="n"/>
      <c r="AT1166" s="755" t="n"/>
      <c r="AU1166" s="755" t="n"/>
      <c r="AV1166" s="755" t="n"/>
      <c r="AW1166" s="740" t="inlineStr">
        <is>
          <t>trade</t>
        </is>
      </c>
      <c r="AX1166" s="756" t="inlineStr">
        <is>
          <t>sig:63a7fe32ccf5810ea0fc008f</t>
        </is>
      </c>
    </row>
    <row r="1167" ht="15" customHeight="1">
      <c r="A1167" s="716" t="inlineStr">
        <is>
          <t>F379</t>
        </is>
      </c>
      <c r="B1167" s="717" t="n">
        <v>43466.05902777778</v>
      </c>
      <c r="C1167" s="718" t="n">
        <v>43466.07708333333</v>
      </c>
      <c r="D1167" s="719" t="inlineStr">
        <is>
          <t>PEPPERSTONE DEMO</t>
        </is>
      </c>
      <c r="E1167" s="719" t="inlineStr">
        <is>
          <t>NZDUSD</t>
        </is>
      </c>
      <c r="F1167" s="719" t="inlineStr">
        <is>
          <t>SELL</t>
        </is>
      </c>
      <c r="G1167" s="735" t="n">
        <v>0.07000000000000001</v>
      </c>
      <c r="H1167" s="720" t="n">
        <v>0.6699000000000001</v>
      </c>
      <c r="I1167" s="720" t="n">
        <v>0.67048</v>
      </c>
      <c r="J1167" s="721" t="n">
        <v>0.6704</v>
      </c>
      <c r="K1167" s="760" t="n">
        <v>0.0007463800567248021</v>
      </c>
      <c r="L1167" s="721" t="n">
        <v>0.6689000000000001</v>
      </c>
      <c r="M1167" s="722" t="n">
        <v>0.00149276011344977</v>
      </c>
      <c r="N1167" s="788" t="n"/>
      <c r="O1167" s="762" t="n">
        <v>-4.97</v>
      </c>
      <c r="P1167" s="725" t="n">
        <v>-0.01000563697857948</v>
      </c>
      <c r="Q1167" s="726" t="n">
        <v>-1.159999999999956</v>
      </c>
      <c r="R1167" s="764" t="n">
        <v>491.7499999999999</v>
      </c>
      <c r="S1167" s="719" t="inlineStr">
        <is>
          <t>26M 0S</t>
        </is>
      </c>
      <c r="T1167" s="728" t="n"/>
      <c r="U1167" s="729" t="n"/>
      <c r="V1167" s="730" t="n"/>
      <c r="W1167" s="731" t="n"/>
      <c r="X1167" s="732" t="n"/>
      <c r="Y1167" s="728" t="n"/>
      <c r="Z1167" s="729" t="n"/>
      <c r="AA1167" s="730" t="n"/>
      <c r="AB1167" s="731" t="n"/>
      <c r="AC1167" s="732" t="n"/>
      <c r="AD1167" s="719" t="inlineStr">
        <is>
          <t>No</t>
        </is>
      </c>
      <c r="AE1167" s="733" t="n"/>
      <c r="AF1167" s="733" t="n"/>
      <c r="AG1167" s="733" t="n"/>
      <c r="AH1167" s="733" t="n"/>
      <c r="AI1167" s="719" t="inlineStr">
        <is>
          <t>Market</t>
        </is>
      </c>
      <c r="AJ1167" s="733" t="n"/>
      <c r="AK1167" s="733" t="n"/>
      <c r="AL1167" s="733" t="n"/>
      <c r="AM1167" s="733" t="n"/>
      <c r="AN1167" s="733" t="n"/>
      <c r="AO1167" s="733" t="n"/>
      <c r="AP1167" s="719" t="inlineStr">
        <is>
          <t>Pullback</t>
        </is>
      </c>
      <c r="AQ1167" s="719" t="inlineStr">
        <is>
          <t>5MIN</t>
        </is>
      </c>
      <c r="AR1167" s="719" t="inlineStr">
        <is>
          <t>No</t>
        </is>
      </c>
      <c r="AS1167" s="733" t="n"/>
      <c r="AT1167" s="733" t="n"/>
      <c r="AU1167" s="733" t="n"/>
      <c r="AV1167" s="733" t="n"/>
      <c r="AW1167" s="719" t="inlineStr">
        <is>
          <t>trade</t>
        </is>
      </c>
      <c r="AX1167" s="734" t="inlineStr">
        <is>
          <t>sig:1073c91d271fc151b0848b03</t>
        </is>
      </c>
    </row>
    <row r="1168" ht="15" customHeight="1">
      <c r="A1168" s="716" t="inlineStr">
        <is>
          <t>F376</t>
        </is>
      </c>
      <c r="B1168" s="717" t="n">
        <v>43463.06041666667</v>
      </c>
      <c r="C1168" s="718" t="n">
        <v>43463.07361111111</v>
      </c>
      <c r="D1168" s="719" t="inlineStr">
        <is>
          <t>PEPPERSTONE DEMO</t>
        </is>
      </c>
      <c r="E1168" s="719" t="inlineStr">
        <is>
          <t>USDCAD</t>
        </is>
      </c>
      <c r="F1168" s="719" t="inlineStr">
        <is>
          <t>BUY</t>
        </is>
      </c>
      <c r="G1168" s="735" t="n">
        <v>0.03</v>
      </c>
      <c r="H1168" s="720" t="n">
        <v>1.3659</v>
      </c>
      <c r="I1168" s="720" t="n">
        <v>1.36456</v>
      </c>
      <c r="J1168" s="721" t="n">
        <v>1.3645</v>
      </c>
      <c r="K1168" s="722" t="n">
        <v>0.00102496522439406</v>
      </c>
      <c r="L1168" s="721" t="n">
        <v>1.3687</v>
      </c>
      <c r="M1168" s="722" t="n">
        <v>0.002049930448788444</v>
      </c>
      <c r="N1168" s="788" t="n"/>
      <c r="O1168" s="762" t="n">
        <v>-4.37</v>
      </c>
      <c r="P1168" s="725" t="n">
        <v>-0.008720988245624539</v>
      </c>
      <c r="Q1168" s="726" t="n">
        <v>-0.9571428571428888</v>
      </c>
      <c r="R1168" s="764" t="n">
        <v>496.72</v>
      </c>
      <c r="S1168" s="719" t="inlineStr">
        <is>
          <t>19M 0S</t>
        </is>
      </c>
      <c r="T1168" s="728" t="n"/>
      <c r="U1168" s="729" t="n"/>
      <c r="V1168" s="730" t="n"/>
      <c r="W1168" s="731" t="n"/>
      <c r="X1168" s="732" t="n"/>
      <c r="Y1168" s="728" t="n"/>
      <c r="Z1168" s="729" t="n"/>
      <c r="AA1168" s="730" t="n"/>
      <c r="AB1168" s="731" t="n"/>
      <c r="AC1168" s="732" t="n"/>
      <c r="AD1168" s="719" t="inlineStr">
        <is>
          <t>No</t>
        </is>
      </c>
      <c r="AE1168" s="733" t="n"/>
      <c r="AF1168" s="733" t="n"/>
      <c r="AG1168" s="733" t="n"/>
      <c r="AH1168" s="733" t="n"/>
      <c r="AI1168" s="719" t="inlineStr">
        <is>
          <t>Limit</t>
        </is>
      </c>
      <c r="AJ1168" s="733" t="n"/>
      <c r="AK1168" s="733" t="n"/>
      <c r="AL1168" s="733" t="n"/>
      <c r="AM1168" s="733" t="n"/>
      <c r="AN1168" s="733" t="n"/>
      <c r="AO1168" s="733" t="n"/>
      <c r="AP1168" s="719" t="inlineStr">
        <is>
          <t>Pullback</t>
        </is>
      </c>
      <c r="AQ1168" s="719" t="inlineStr">
        <is>
          <t>5MIN</t>
        </is>
      </c>
      <c r="AR1168" s="719" t="inlineStr">
        <is>
          <t>No</t>
        </is>
      </c>
      <c r="AS1168" s="733" t="n"/>
      <c r="AT1168" s="733" t="n"/>
      <c r="AU1168" s="733" t="n"/>
      <c r="AV1168" s="733" t="n"/>
      <c r="AW1168" s="719" t="inlineStr">
        <is>
          <t>trade</t>
        </is>
      </c>
      <c r="AX1168" s="734" t="inlineStr">
        <is>
          <t>sig:fbc42c75e8fcc514dbcdb06f</t>
        </is>
      </c>
    </row>
    <row r="1169" ht="15" customHeight="1">
      <c r="A1169" s="716" t="inlineStr">
        <is>
          <t>F377</t>
        </is>
      </c>
      <c r="B1169" s="717" t="n">
        <v>43463.00347222222</v>
      </c>
      <c r="C1169" s="718" t="n">
        <v>43463.01666666667</v>
      </c>
      <c r="D1169" s="719" t="inlineStr">
        <is>
          <t>PEPPERSTONE DEMO</t>
        </is>
      </c>
      <c r="E1169" s="719" t="inlineStr">
        <is>
          <t>USDCAD</t>
        </is>
      </c>
      <c r="F1169" s="719" t="inlineStr">
        <is>
          <t>BUY</t>
        </is>
      </c>
      <c r="G1169" s="735" t="n">
        <v>0.04</v>
      </c>
      <c r="H1169" s="720" t="n">
        <v>1.3641</v>
      </c>
      <c r="I1169" s="720" t="n">
        <v>1.36317</v>
      </c>
      <c r="J1169" s="721" t="n">
        <v>1.3631</v>
      </c>
      <c r="K1169" s="760" t="n">
        <v>0.0007330840847446022</v>
      </c>
      <c r="L1169" s="721" t="n">
        <v>1.3661</v>
      </c>
      <c r="M1169" s="722" t="n">
        <v>0.001466168169489042</v>
      </c>
      <c r="N1169" s="788" t="n"/>
      <c r="O1169" s="762" t="n">
        <v>-4.16</v>
      </c>
      <c r="P1169" s="725" t="n">
        <v>-0.008233547748639288</v>
      </c>
      <c r="Q1169" s="726" t="n">
        <v>-0.9299999999999934</v>
      </c>
      <c r="R1169" s="764" t="n">
        <v>501.09</v>
      </c>
      <c r="S1169" s="719" t="inlineStr">
        <is>
          <t>19M 0S</t>
        </is>
      </c>
      <c r="T1169" s="717" t="n"/>
      <c r="U1169" s="806" t="n"/>
      <c r="V1169" s="730" t="n"/>
      <c r="W1169" s="731" t="n"/>
      <c r="X1169" s="732" t="n"/>
      <c r="Y1169" s="728" t="n"/>
      <c r="Z1169" s="729" t="n"/>
      <c r="AA1169" s="730" t="n"/>
      <c r="AB1169" s="731" t="n"/>
      <c r="AC1169" s="732" t="n"/>
      <c r="AD1169" s="719" t="inlineStr">
        <is>
          <t>No</t>
        </is>
      </c>
      <c r="AE1169" s="733" t="n"/>
      <c r="AF1169" s="733" t="n"/>
      <c r="AG1169" s="733" t="n"/>
      <c r="AH1169" s="733" t="n"/>
      <c r="AI1169" s="719" t="inlineStr">
        <is>
          <t>Market</t>
        </is>
      </c>
      <c r="AJ1169" s="733" t="n"/>
      <c r="AK1169" s="733" t="n"/>
      <c r="AL1169" s="733" t="n"/>
      <c r="AM1169" s="733" t="n"/>
      <c r="AN1169" s="733" t="n"/>
      <c r="AO1169" s="733" t="n"/>
      <c r="AP1169" s="719" t="inlineStr">
        <is>
          <t>Pullback</t>
        </is>
      </c>
      <c r="AQ1169" s="719" t="inlineStr">
        <is>
          <t>5MIN</t>
        </is>
      </c>
      <c r="AR1169" s="719" t="inlineStr">
        <is>
          <t>No</t>
        </is>
      </c>
      <c r="AS1169" s="733" t="n"/>
      <c r="AT1169" s="733" t="n"/>
      <c r="AU1169" s="733" t="n"/>
      <c r="AV1169" s="733" t="n"/>
      <c r="AW1169" s="719" t="inlineStr">
        <is>
          <t>trade</t>
        </is>
      </c>
      <c r="AX1169" s="734" t="inlineStr">
        <is>
          <t>sig:e00a64dc84a4725cace7d17b</t>
        </is>
      </c>
    </row>
    <row r="1170" ht="15" customHeight="1">
      <c r="A1170" s="737" t="inlineStr">
        <is>
          <t>F375</t>
        </is>
      </c>
      <c r="B1170" s="738" t="n">
        <v>43462.88194444445</v>
      </c>
      <c r="C1170" s="739" t="n">
        <v>43462.95833333334</v>
      </c>
      <c r="D1170" s="740" t="inlineStr">
        <is>
          <t>PEPPERSTONE DEMO</t>
        </is>
      </c>
      <c r="E1170" s="740" t="inlineStr">
        <is>
          <t>USDCHF</t>
        </is>
      </c>
      <c r="F1170" s="740" t="inlineStr">
        <is>
          <t>SELL</t>
        </is>
      </c>
      <c r="G1170" s="775" t="n">
        <v>0.03</v>
      </c>
      <c r="H1170" s="742" t="n">
        <v>0.9809</v>
      </c>
      <c r="I1170" s="742" t="n">
        <v>0.98083</v>
      </c>
      <c r="J1170" s="743" t="n">
        <v>0.9821</v>
      </c>
      <c r="K1170" s="744" t="n">
        <v>0.001223366296258516</v>
      </c>
      <c r="L1170" s="743" t="n">
        <v>0.9785</v>
      </c>
      <c r="M1170" s="744" t="n">
        <v>0.002446732592517033</v>
      </c>
      <c r="N1170" s="796" t="n"/>
      <c r="O1170" s="767" t="n">
        <v>0.61</v>
      </c>
      <c r="P1170" s="747" t="n">
        <v>0.001208782498414711</v>
      </c>
      <c r="Q1170" s="814" t="n">
        <v>0.05833333333334644</v>
      </c>
      <c r="R1170" s="769" t="n">
        <v>505.25</v>
      </c>
      <c r="S1170" s="740" t="inlineStr">
        <is>
          <t>1H 50M 0S</t>
        </is>
      </c>
      <c r="T1170" s="738" t="n"/>
      <c r="U1170" s="809" t="n"/>
      <c r="V1170" s="752" t="n"/>
      <c r="W1170" s="753" t="n"/>
      <c r="X1170" s="754" t="n"/>
      <c r="Y1170" s="750" t="n"/>
      <c r="Z1170" s="751" t="n"/>
      <c r="AA1170" s="752" t="n"/>
      <c r="AB1170" s="753" t="n"/>
      <c r="AC1170" s="754" t="n"/>
      <c r="AD1170" s="740" t="inlineStr">
        <is>
          <t>No</t>
        </is>
      </c>
      <c r="AE1170" s="755" t="n"/>
      <c r="AF1170" s="755" t="n"/>
      <c r="AG1170" s="755" t="n"/>
      <c r="AH1170" s="755" t="n"/>
      <c r="AI1170" s="740" t="inlineStr">
        <is>
          <t>Market</t>
        </is>
      </c>
      <c r="AJ1170" s="755" t="n"/>
      <c r="AK1170" s="755" t="n"/>
      <c r="AL1170" s="755" t="n"/>
      <c r="AM1170" s="755" t="n"/>
      <c r="AN1170" s="755" t="n"/>
      <c r="AO1170" s="755" t="n"/>
      <c r="AP1170" s="740" t="inlineStr">
        <is>
          <t>Pullback</t>
        </is>
      </c>
      <c r="AQ1170" s="740" t="inlineStr">
        <is>
          <t>5MIN</t>
        </is>
      </c>
      <c r="AR1170" s="740" t="inlineStr">
        <is>
          <t>No</t>
        </is>
      </c>
      <c r="AS1170" s="755" t="n"/>
      <c r="AT1170" s="755" t="n"/>
      <c r="AU1170" s="755" t="n"/>
      <c r="AV1170" s="755" t="n"/>
      <c r="AW1170" s="740" t="inlineStr">
        <is>
          <t>trade</t>
        </is>
      </c>
      <c r="AX1170" s="756" t="inlineStr">
        <is>
          <t>sig:6beeae70768f0b7bc2c9519f</t>
        </is>
      </c>
    </row>
    <row r="1171" ht="15" customHeight="1">
      <c r="A1171" s="716" t="inlineStr">
        <is>
          <t>F374</t>
        </is>
      </c>
      <c r="B1171" s="717" t="n">
        <v>43462.04861111111</v>
      </c>
      <c r="C1171" s="718" t="n">
        <v>43462.10416666666</v>
      </c>
      <c r="D1171" s="719" t="inlineStr">
        <is>
          <t>PEPPERSTONE DEMO</t>
        </is>
      </c>
      <c r="E1171" s="719" t="inlineStr">
        <is>
          <t>AUDUSD</t>
        </is>
      </c>
      <c r="F1171" s="719" t="inlineStr">
        <is>
          <t>SELL</t>
        </is>
      </c>
      <c r="G1171" s="735" t="n">
        <v>0.03</v>
      </c>
      <c r="H1171" s="720" t="n">
        <v>0.7025</v>
      </c>
      <c r="I1171" s="720" t="n">
        <v>0.70284</v>
      </c>
      <c r="J1171" s="721" t="n">
        <v>0.7037</v>
      </c>
      <c r="K1171" s="722" t="n">
        <v>0.001708185053380753</v>
      </c>
      <c r="L1171" s="721" t="n">
        <v>0.7000999999999999</v>
      </c>
      <c r="M1171" s="722" t="n">
        <v>0.003416370106761663</v>
      </c>
      <c r="N1171" s="788" t="n"/>
      <c r="O1171" s="762" t="n">
        <v>-1.15</v>
      </c>
      <c r="P1171" s="725" t="n">
        <v>-0.002273670891081279</v>
      </c>
      <c r="Q1171" s="726" t="n">
        <v>-0.2833333333333442</v>
      </c>
      <c r="R1171" s="764" t="n">
        <v>504.64</v>
      </c>
      <c r="S1171" s="719" t="inlineStr">
        <is>
          <t>1H 20M 0S</t>
        </is>
      </c>
      <c r="T1171" s="728" t="n"/>
      <c r="U1171" s="729" t="n"/>
      <c r="V1171" s="730" t="n"/>
      <c r="W1171" s="731" t="n"/>
      <c r="X1171" s="732" t="n"/>
      <c r="Y1171" s="728" t="n"/>
      <c r="Z1171" s="729" t="n"/>
      <c r="AA1171" s="730" t="n"/>
      <c r="AB1171" s="731" t="n"/>
      <c r="AC1171" s="732" t="n"/>
      <c r="AD1171" s="719" t="inlineStr">
        <is>
          <t>No</t>
        </is>
      </c>
      <c r="AE1171" s="733" t="n"/>
      <c r="AF1171" s="733" t="n"/>
      <c r="AG1171" s="733" t="n"/>
      <c r="AH1171" s="733" t="n"/>
      <c r="AI1171" s="719" t="inlineStr">
        <is>
          <t>Market</t>
        </is>
      </c>
      <c r="AJ1171" s="733" t="n"/>
      <c r="AK1171" s="733" t="n"/>
      <c r="AL1171" s="733" t="n"/>
      <c r="AM1171" s="733" t="n"/>
      <c r="AN1171" s="733" t="n"/>
      <c r="AO1171" s="733" t="n"/>
      <c r="AP1171" s="719" t="inlineStr">
        <is>
          <t>Pullback</t>
        </is>
      </c>
      <c r="AQ1171" s="719" t="inlineStr">
        <is>
          <t>5MIN</t>
        </is>
      </c>
      <c r="AR1171" s="719" t="inlineStr">
        <is>
          <t>No</t>
        </is>
      </c>
      <c r="AS1171" s="733" t="n"/>
      <c r="AT1171" s="733" t="n"/>
      <c r="AU1171" s="733" t="n"/>
      <c r="AV1171" s="733" t="n"/>
      <c r="AW1171" s="719" t="inlineStr">
        <is>
          <t>trade</t>
        </is>
      </c>
      <c r="AX1171" s="734" t="inlineStr">
        <is>
          <t>sig:51c5cbc0fd476ef6c9198153</t>
        </is>
      </c>
    </row>
    <row r="1172" ht="15" customHeight="1">
      <c r="A1172" s="716" t="inlineStr">
        <is>
          <t>F372</t>
        </is>
      </c>
      <c r="B1172" s="717" t="n">
        <v>43461.97916666666</v>
      </c>
      <c r="C1172" s="718" t="n">
        <v>43462</v>
      </c>
      <c r="D1172" s="719" t="inlineStr">
        <is>
          <t>PEPPERSTONE DEMO</t>
        </is>
      </c>
      <c r="E1172" s="719" t="inlineStr">
        <is>
          <t>NZDUSD</t>
        </is>
      </c>
      <c r="F1172" s="719" t="inlineStr">
        <is>
          <t>SELL</t>
        </is>
      </c>
      <c r="G1172" s="735" t="n">
        <v>0.05</v>
      </c>
      <c r="H1172" s="720" t="n">
        <v>0.6703</v>
      </c>
      <c r="I1172" s="720" t="n">
        <v>0.67078</v>
      </c>
      <c r="J1172" s="721" t="n">
        <v>0.671</v>
      </c>
      <c r="K1172" s="722" t="n">
        <v>0.001044308518573824</v>
      </c>
      <c r="L1172" s="721" t="n">
        <v>0.669</v>
      </c>
      <c r="M1172" s="722" t="n">
        <v>0.001939430105922673</v>
      </c>
      <c r="N1172" s="788" t="n"/>
      <c r="O1172" s="762" t="n">
        <v>-3.12</v>
      </c>
      <c r="P1172" s="725" t="n">
        <v>-0.00613075003438722</v>
      </c>
      <c r="Q1172" s="726" t="n">
        <v>-0.6857142857143038</v>
      </c>
      <c r="R1172" s="764" t="n">
        <v>505.79</v>
      </c>
      <c r="S1172" s="719" t="inlineStr">
        <is>
          <t>30M 0S</t>
        </is>
      </c>
      <c r="T1172" s="728" t="n"/>
      <c r="U1172" s="729" t="n"/>
      <c r="V1172" s="730" t="n"/>
      <c r="W1172" s="731" t="n"/>
      <c r="X1172" s="732" t="n"/>
      <c r="Y1172" s="728" t="n"/>
      <c r="Z1172" s="729" t="n"/>
      <c r="AA1172" s="730" t="n"/>
      <c r="AB1172" s="731" t="n"/>
      <c r="AC1172" s="732" t="n"/>
      <c r="AD1172" s="719" t="inlineStr">
        <is>
          <t>No</t>
        </is>
      </c>
      <c r="AE1172" s="733" t="n"/>
      <c r="AF1172" s="733" t="n"/>
      <c r="AG1172" s="733" t="n"/>
      <c r="AH1172" s="733" t="n"/>
      <c r="AI1172" s="719" t="inlineStr">
        <is>
          <t>Market</t>
        </is>
      </c>
      <c r="AJ1172" s="733" t="n"/>
      <c r="AK1172" s="733" t="n"/>
      <c r="AL1172" s="733" t="n"/>
      <c r="AM1172" s="733" t="n"/>
      <c r="AN1172" s="733" t="n"/>
      <c r="AO1172" s="733" t="n"/>
      <c r="AP1172" s="719" t="inlineStr">
        <is>
          <t>Pullback</t>
        </is>
      </c>
      <c r="AQ1172" s="719" t="inlineStr">
        <is>
          <t>5MIN</t>
        </is>
      </c>
      <c r="AR1172" s="719" t="inlineStr">
        <is>
          <t>No</t>
        </is>
      </c>
      <c r="AS1172" s="733" t="n"/>
      <c r="AT1172" s="733" t="n"/>
      <c r="AU1172" s="733" t="n"/>
      <c r="AV1172" s="733" t="n"/>
      <c r="AW1172" s="719" t="inlineStr">
        <is>
          <t>trade</t>
        </is>
      </c>
      <c r="AX1172" s="734" t="inlineStr">
        <is>
          <t>sig:13c14cc6a494ded023c4a502</t>
        </is>
      </c>
    </row>
    <row r="1173" ht="15" customHeight="1">
      <c r="A1173" s="737" t="inlineStr">
        <is>
          <t>F373</t>
        </is>
      </c>
      <c r="B1173" s="738" t="n">
        <v>43461.92361111111</v>
      </c>
      <c r="C1173" s="739" t="n">
        <v>43461.96319444444</v>
      </c>
      <c r="D1173" s="740" t="inlineStr">
        <is>
          <t>PEPPERSTONE DEMO</t>
        </is>
      </c>
      <c r="E1173" s="740" t="inlineStr">
        <is>
          <t>USDCAD</t>
        </is>
      </c>
      <c r="F1173" s="740" t="inlineStr">
        <is>
          <t>BUY</t>
        </is>
      </c>
      <c r="G1173" s="775" t="n">
        <v>0.06</v>
      </c>
      <c r="H1173" s="742" t="n">
        <v>1.3607</v>
      </c>
      <c r="I1173" s="742" t="n">
        <v>1.36234</v>
      </c>
      <c r="J1173" s="743" t="n">
        <v>1.3599</v>
      </c>
      <c r="K1173" s="765" t="n">
        <v>0.0005879326817078797</v>
      </c>
      <c r="L1173" s="743" t="n">
        <v>1.3623</v>
      </c>
      <c r="M1173" s="744" t="n">
        <v>0.001175865363415922</v>
      </c>
      <c r="N1173" s="796" t="n"/>
      <c r="O1173" s="767" t="n">
        <v>10.14</v>
      </c>
      <c r="P1173" s="747" t="n">
        <v>0.02033001182909959</v>
      </c>
      <c r="Q1173" s="748" t="n">
        <v>2.050000000000333</v>
      </c>
      <c r="R1173" s="769" t="n">
        <v>508.91</v>
      </c>
      <c r="S1173" s="740" t="inlineStr">
        <is>
          <t>57M 0S</t>
        </is>
      </c>
      <c r="T1173" s="738" t="n">
        <v>43461.96180555555</v>
      </c>
      <c r="U1173" s="809" t="inlineStr">
        <is>
          <t>55M 0S</t>
        </is>
      </c>
      <c r="V1173" s="752" t="n"/>
      <c r="W1173" s="753" t="n"/>
      <c r="X1173" s="754" t="n"/>
      <c r="Y1173" s="750" t="n"/>
      <c r="Z1173" s="751" t="n"/>
      <c r="AA1173" s="752" t="n"/>
      <c r="AB1173" s="753" t="n"/>
      <c r="AC1173" s="754" t="n"/>
      <c r="AD1173" s="740" t="inlineStr">
        <is>
          <t>No</t>
        </is>
      </c>
      <c r="AE1173" s="755" t="n"/>
      <c r="AF1173" s="755" t="n"/>
      <c r="AG1173" s="755" t="n"/>
      <c r="AH1173" s="755" t="n"/>
      <c r="AI1173" s="740" t="inlineStr">
        <is>
          <t>Market</t>
        </is>
      </c>
      <c r="AJ1173" s="755" t="n"/>
      <c r="AK1173" s="755" t="n"/>
      <c r="AL1173" s="755" t="n"/>
      <c r="AM1173" s="755" t="n"/>
      <c r="AN1173" s="755" t="n"/>
      <c r="AO1173" s="755" t="n"/>
      <c r="AP1173" s="740" t="inlineStr">
        <is>
          <t>Pullback</t>
        </is>
      </c>
      <c r="AQ1173" s="740" t="inlineStr">
        <is>
          <t>5MIN</t>
        </is>
      </c>
      <c r="AR1173" s="740" t="inlineStr">
        <is>
          <t>No</t>
        </is>
      </c>
      <c r="AS1173" s="755" t="n"/>
      <c r="AT1173" s="755" t="n"/>
      <c r="AU1173" s="755" t="n"/>
      <c r="AV1173" s="755" t="n"/>
      <c r="AW1173" s="740" t="inlineStr">
        <is>
          <t>trade</t>
        </is>
      </c>
      <c r="AX1173" s="756" t="inlineStr">
        <is>
          <t>sig:64eeb3044ec6f385c0ca48ae</t>
        </is>
      </c>
    </row>
    <row r="1174" ht="15" customHeight="1">
      <c r="A1174" s="716" t="inlineStr">
        <is>
          <t>F371</t>
        </is>
      </c>
      <c r="B1174" s="717" t="n">
        <v>43461.1125</v>
      </c>
      <c r="C1174" s="718" t="n">
        <v>43461.125</v>
      </c>
      <c r="D1174" s="719" t="inlineStr">
        <is>
          <t>PEPPERSTONE DEMO</t>
        </is>
      </c>
      <c r="E1174" s="719" t="inlineStr">
        <is>
          <t>USDJPY</t>
        </is>
      </c>
      <c r="F1174" s="719" t="inlineStr">
        <is>
          <t>SELL</t>
        </is>
      </c>
      <c r="G1174" s="735" t="n">
        <v>0.04</v>
      </c>
      <c r="H1174" s="720" t="n">
        <v>110.39</v>
      </c>
      <c r="I1174" s="720" t="n">
        <v>110.488</v>
      </c>
      <c r="J1174" s="721" t="n">
        <v>110.48</v>
      </c>
      <c r="K1174" s="760" t="n">
        <v>0.0008152912401485951</v>
      </c>
      <c r="L1174" s="721" t="n">
        <v>110.2</v>
      </c>
      <c r="M1174" s="722" t="n">
        <v>0.001721170395869171</v>
      </c>
      <c r="N1174" s="788" t="n"/>
      <c r="O1174" s="762" t="n">
        <v>-4.61</v>
      </c>
      <c r="P1174" s="725" t="n">
        <v>-0.009158091302793119</v>
      </c>
      <c r="Q1174" s="726" t="n">
        <v>-1.088888888888836</v>
      </c>
      <c r="R1174" s="764" t="n">
        <v>498.77</v>
      </c>
      <c r="S1174" s="719" t="inlineStr">
        <is>
          <t>18M 0S</t>
        </is>
      </c>
      <c r="T1174" s="717" t="n"/>
      <c r="U1174" s="806" t="n"/>
      <c r="V1174" s="730" t="n"/>
      <c r="W1174" s="731" t="n"/>
      <c r="X1174" s="732" t="n"/>
      <c r="Y1174" s="728" t="n"/>
      <c r="Z1174" s="729" t="n"/>
      <c r="AA1174" s="730" t="n"/>
      <c r="AB1174" s="731" t="n"/>
      <c r="AC1174" s="732" t="n"/>
      <c r="AD1174" s="719" t="inlineStr">
        <is>
          <t>No</t>
        </is>
      </c>
      <c r="AE1174" s="733" t="n"/>
      <c r="AF1174" s="733" t="n"/>
      <c r="AG1174" s="733" t="n"/>
      <c r="AH1174" s="733" t="n"/>
      <c r="AI1174" s="719" t="inlineStr">
        <is>
          <t>Limit</t>
        </is>
      </c>
      <c r="AJ1174" s="733" t="n"/>
      <c r="AK1174" s="733" t="n"/>
      <c r="AL1174" s="733" t="n"/>
      <c r="AM1174" s="733" t="n"/>
      <c r="AN1174" s="733" t="n"/>
      <c r="AO1174" s="733" t="n"/>
      <c r="AP1174" s="719" t="inlineStr">
        <is>
          <t>Pullback</t>
        </is>
      </c>
      <c r="AQ1174" s="719" t="inlineStr">
        <is>
          <t>5MIN</t>
        </is>
      </c>
      <c r="AR1174" s="719" t="inlineStr">
        <is>
          <t>No</t>
        </is>
      </c>
      <c r="AS1174" s="733" t="n"/>
      <c r="AT1174" s="733" t="n"/>
      <c r="AU1174" s="733" t="n"/>
      <c r="AV1174" s="733" t="n"/>
      <c r="AW1174" s="719" t="inlineStr">
        <is>
          <t>trade</t>
        </is>
      </c>
      <c r="AX1174" s="734" t="inlineStr">
        <is>
          <t>sig:222ed7bf78998f04cd66b98f</t>
        </is>
      </c>
    </row>
    <row r="1175" ht="15" customHeight="1">
      <c r="A1175" s="716" t="inlineStr">
        <is>
          <t>F369</t>
        </is>
      </c>
      <c r="B1175" s="717" t="n">
        <v>43460.92083333333</v>
      </c>
      <c r="C1175" s="718" t="n">
        <v>43460.94097222222</v>
      </c>
      <c r="D1175" s="719" t="inlineStr">
        <is>
          <t>PEPPERSTONE DEMO</t>
        </is>
      </c>
      <c r="E1175" s="719" t="inlineStr">
        <is>
          <t>EURUSD</t>
        </is>
      </c>
      <c r="F1175" s="719" t="inlineStr">
        <is>
          <t>SELL</t>
        </is>
      </c>
      <c r="G1175" s="735" t="n">
        <v>0.03</v>
      </c>
      <c r="H1175" s="720" t="n">
        <v>1.1379</v>
      </c>
      <c r="I1175" s="720" t="n">
        <v>1.13823</v>
      </c>
      <c r="J1175" s="721" t="n">
        <v>1.1389</v>
      </c>
      <c r="K1175" s="760" t="n">
        <v>0.0008788118463837877</v>
      </c>
      <c r="L1175" s="721" t="n">
        <v>1.1359</v>
      </c>
      <c r="M1175" s="722" t="n">
        <v>0.00175762369276738</v>
      </c>
      <c r="N1175" s="788" t="n"/>
      <c r="O1175" s="762" t="n">
        <v>-1.31</v>
      </c>
      <c r="P1175" s="725" t="n">
        <v>-0.002595652776952189</v>
      </c>
      <c r="Q1175" s="726" t="n">
        <v>-0.3300000000001266</v>
      </c>
      <c r="R1175" s="764" t="n">
        <v>503.38</v>
      </c>
      <c r="S1175" s="719" t="inlineStr">
        <is>
          <t>29M 0S</t>
        </is>
      </c>
      <c r="T1175" s="728" t="n"/>
      <c r="U1175" s="729" t="n"/>
      <c r="V1175" s="730" t="n"/>
      <c r="W1175" s="731" t="n"/>
      <c r="X1175" s="732" t="n"/>
      <c r="Y1175" s="728" t="n"/>
      <c r="Z1175" s="729" t="n"/>
      <c r="AA1175" s="730" t="n"/>
      <c r="AB1175" s="731" t="n"/>
      <c r="AC1175" s="732" t="n"/>
      <c r="AD1175" s="719" t="inlineStr">
        <is>
          <t>No</t>
        </is>
      </c>
      <c r="AE1175" s="733" t="n"/>
      <c r="AF1175" s="733" t="n"/>
      <c r="AG1175" s="733" t="n"/>
      <c r="AH1175" s="733" t="n"/>
      <c r="AI1175" s="719" t="inlineStr">
        <is>
          <t>Limit</t>
        </is>
      </c>
      <c r="AJ1175" s="733" t="n"/>
      <c r="AK1175" s="733" t="n"/>
      <c r="AL1175" s="733" t="n"/>
      <c r="AM1175" s="733" t="n"/>
      <c r="AN1175" s="733" t="n"/>
      <c r="AO1175" s="733" t="n"/>
      <c r="AP1175" s="719" t="inlineStr">
        <is>
          <t>Pullback</t>
        </is>
      </c>
      <c r="AQ1175" s="719" t="inlineStr">
        <is>
          <t>5MIN</t>
        </is>
      </c>
      <c r="AR1175" s="719" t="inlineStr">
        <is>
          <t>No</t>
        </is>
      </c>
      <c r="AS1175" s="733" t="n"/>
      <c r="AT1175" s="733" t="n"/>
      <c r="AU1175" s="733" t="n"/>
      <c r="AV1175" s="733" t="n"/>
      <c r="AW1175" s="719" t="inlineStr">
        <is>
          <t>trade</t>
        </is>
      </c>
      <c r="AX1175" s="734" t="inlineStr">
        <is>
          <t>sig:b111049d07eceb1d625430f9</t>
        </is>
      </c>
    </row>
    <row r="1176" ht="15" customHeight="1">
      <c r="A1176" s="716" t="inlineStr">
        <is>
          <t>F370</t>
        </is>
      </c>
      <c r="B1176" s="717" t="n">
        <v>43460.91180555556</v>
      </c>
      <c r="C1176" s="718" t="n">
        <v>43460.91458333333</v>
      </c>
      <c r="D1176" s="719" t="inlineStr">
        <is>
          <t>PEPPERSTONE DEMO</t>
        </is>
      </c>
      <c r="E1176" s="719" t="inlineStr">
        <is>
          <t>NZDUSD</t>
        </is>
      </c>
      <c r="F1176" s="719" t="inlineStr">
        <is>
          <t>SELL</t>
        </is>
      </c>
      <c r="G1176" s="720" t="n">
        <v>0.12</v>
      </c>
      <c r="H1176" s="720" t="n">
        <v>0.6728</v>
      </c>
      <c r="I1176" s="720" t="n">
        <v>0.67316</v>
      </c>
      <c r="J1176" s="721" t="n">
        <v>0.6731</v>
      </c>
      <c r="K1176" s="760" t="n">
        <v>0.0004458977407848959</v>
      </c>
      <c r="L1176" s="721" t="n">
        <v>0.6722</v>
      </c>
      <c r="M1176" s="760" t="n">
        <v>0.0008917954815694618</v>
      </c>
      <c r="N1176" s="788" t="n"/>
      <c r="O1176" s="762" t="n">
        <v>-5.1</v>
      </c>
      <c r="P1176" s="725" t="n">
        <v>-0.01000411934325899</v>
      </c>
      <c r="Q1176" s="726" t="n">
        <v>-1.199999999999778</v>
      </c>
      <c r="R1176" s="764" t="n">
        <v>504.69</v>
      </c>
      <c r="S1176" s="719" t="inlineStr">
        <is>
          <t>4M 0S</t>
        </is>
      </c>
      <c r="T1176" s="728" t="n"/>
      <c r="U1176" s="729" t="n"/>
      <c r="V1176" s="730" t="n"/>
      <c r="W1176" s="731" t="n"/>
      <c r="X1176" s="732" t="n"/>
      <c r="Y1176" s="728" t="n"/>
      <c r="Z1176" s="729" t="n"/>
      <c r="AA1176" s="730" t="n"/>
      <c r="AB1176" s="731" t="n"/>
      <c r="AC1176" s="732" t="n"/>
      <c r="AD1176" s="719" t="inlineStr">
        <is>
          <t>No</t>
        </is>
      </c>
      <c r="AE1176" s="733" t="n"/>
      <c r="AF1176" s="733" t="n"/>
      <c r="AG1176" s="733" t="n"/>
      <c r="AH1176" s="733" t="n"/>
      <c r="AI1176" s="719" t="inlineStr">
        <is>
          <t>Limit</t>
        </is>
      </c>
      <c r="AJ1176" s="733" t="n"/>
      <c r="AK1176" s="733" t="n"/>
      <c r="AL1176" s="733" t="n"/>
      <c r="AM1176" s="733" t="n"/>
      <c r="AN1176" s="733" t="n"/>
      <c r="AO1176" s="733" t="n"/>
      <c r="AP1176" s="719" t="inlineStr">
        <is>
          <t>Pullback</t>
        </is>
      </c>
      <c r="AQ1176" s="719" t="inlineStr">
        <is>
          <t>5MIN</t>
        </is>
      </c>
      <c r="AR1176" s="719" t="inlineStr">
        <is>
          <t>No</t>
        </is>
      </c>
      <c r="AS1176" s="733" t="n"/>
      <c r="AT1176" s="733" t="n"/>
      <c r="AU1176" s="733" t="n"/>
      <c r="AV1176" s="733" t="n"/>
      <c r="AW1176" s="719" t="inlineStr">
        <is>
          <t>trade</t>
        </is>
      </c>
      <c r="AX1176" s="734" t="inlineStr">
        <is>
          <t>sig:0a0b19ac9362e0432b8c02ef</t>
        </is>
      </c>
    </row>
    <row r="1177" ht="15" customHeight="1">
      <c r="A1177" s="42" t="inlineStr">
        <is>
          <t>F368</t>
        </is>
      </c>
      <c r="B1177" s="770" t="n">
        <v>43459.09375</v>
      </c>
      <c r="C1177" s="771" t="n">
        <v>43459.1375</v>
      </c>
      <c r="D1177" s="12" t="inlineStr">
        <is>
          <t>PEPPERSTONE DEMO</t>
        </is>
      </c>
      <c r="E1177" s="12" t="inlineStr">
        <is>
          <t>GBPUSD</t>
        </is>
      </c>
      <c r="F1177" s="12" t="inlineStr">
        <is>
          <t>BUY</t>
        </is>
      </c>
      <c r="G1177" s="272" t="n">
        <v>0.01</v>
      </c>
      <c r="H1177" s="262" t="n">
        <v>1.27195</v>
      </c>
      <c r="I1177" s="262" t="n">
        <v>1.27195</v>
      </c>
      <c r="J1177" s="263" t="n">
        <v>1.2697</v>
      </c>
      <c r="K1177" s="36" t="n">
        <v>0.001768937458233314</v>
      </c>
      <c r="L1177" s="263" t="n">
        <v>1.2763</v>
      </c>
      <c r="M1177" s="36" t="n">
        <v>0.003419945752584674</v>
      </c>
      <c r="N1177" s="779" t="n"/>
      <c r="O1177" s="773" t="n">
        <v>0</v>
      </c>
      <c r="P1177" s="3" t="n">
        <v>0</v>
      </c>
      <c r="Q1177" s="51" t="n">
        <v>0</v>
      </c>
      <c r="R1177" s="54" t="n">
        <v>509.79</v>
      </c>
      <c r="S1177" s="12" t="inlineStr">
        <is>
          <t>1H 3M 0S</t>
        </is>
      </c>
      <c r="T1177" s="770" t="n">
        <v>43459.11805555555</v>
      </c>
      <c r="U1177" s="4" t="inlineStr">
        <is>
          <t>35M 0S</t>
        </is>
      </c>
      <c r="V1177" s="264" t="n"/>
      <c r="W1177" s="9" t="n"/>
      <c r="X1177" s="46" t="n"/>
      <c r="Y1177" s="774" t="n"/>
      <c r="Z1177" s="6" t="n"/>
      <c r="AA1177" s="264" t="n"/>
      <c r="AB1177" s="9" t="n"/>
      <c r="AC1177" s="46" t="n"/>
      <c r="AD1177" s="12" t="inlineStr">
        <is>
          <t>No</t>
        </is>
      </c>
      <c r="AE1177" s="45" t="n"/>
      <c r="AF1177" s="45" t="n"/>
      <c r="AG1177" s="45" t="n"/>
      <c r="AH1177" s="45" t="n"/>
      <c r="AI1177" s="12" t="inlineStr">
        <is>
          <t>Limit</t>
        </is>
      </c>
      <c r="AJ1177" s="45" t="n"/>
      <c r="AK1177" s="45" t="n"/>
      <c r="AL1177" s="45" t="n"/>
      <c r="AM1177" s="45" t="n"/>
      <c r="AN1177" s="45" t="n"/>
      <c r="AO1177" s="45" t="n"/>
      <c r="AP1177" s="12" t="inlineStr">
        <is>
          <t>Pullback</t>
        </is>
      </c>
      <c r="AQ1177" s="12" t="inlineStr">
        <is>
          <t>5MIN</t>
        </is>
      </c>
      <c r="AR1177" s="12" t="inlineStr">
        <is>
          <t>Yes</t>
        </is>
      </c>
      <c r="AS1177" s="45" t="n"/>
      <c r="AT1177" s="45" t="n"/>
      <c r="AU1177" s="45" t="n"/>
      <c r="AV1177" s="45" t="n"/>
      <c r="AW1177" s="12" t="inlineStr">
        <is>
          <t>trade</t>
        </is>
      </c>
      <c r="AX1177" s="57" t="inlineStr">
        <is>
          <t>sig:55f1f1530eb38e9a098198b8</t>
        </is>
      </c>
    </row>
    <row r="1178" ht="15" customHeight="1">
      <c r="A1178" s="737" t="inlineStr">
        <is>
          <t>F367</t>
        </is>
      </c>
      <c r="B1178" s="738" t="n">
        <v>43458.99861111111</v>
      </c>
      <c r="C1178" s="739" t="n">
        <v>43459.05208333334</v>
      </c>
      <c r="D1178" s="740" t="inlineStr">
        <is>
          <t>PEPPERSTONE DEMO</t>
        </is>
      </c>
      <c r="E1178" s="740" t="inlineStr">
        <is>
          <t>USDJPY</t>
        </is>
      </c>
      <c r="F1178" s="740" t="inlineStr">
        <is>
          <t>SELL</t>
        </is>
      </c>
      <c r="G1178" s="775" t="n">
        <v>0.01</v>
      </c>
      <c r="H1178" s="742" t="n">
        <v>110.62</v>
      </c>
      <c r="I1178" s="742" t="n">
        <v>110.555</v>
      </c>
      <c r="J1178" s="743" t="n">
        <v>110.87</v>
      </c>
      <c r="K1178" s="744" t="n">
        <v>0.00225998915205207</v>
      </c>
      <c r="L1178" s="743" t="n">
        <v>110.09</v>
      </c>
      <c r="M1178" s="744" t="n">
        <v>0.004791177002350399</v>
      </c>
      <c r="N1178" s="796" t="n"/>
      <c r="O1178" s="767" t="n">
        <v>0.9399999999999999</v>
      </c>
      <c r="P1178" s="747" t="n">
        <v>0.001847302741475877</v>
      </c>
      <c r="Q1178" s="748" t="n">
        <v>0.2599999999999909</v>
      </c>
      <c r="R1178" s="769" t="n">
        <v>509.79</v>
      </c>
      <c r="S1178" s="740" t="inlineStr">
        <is>
          <t>1H 17M 0S</t>
        </is>
      </c>
      <c r="T1178" s="738" t="n">
        <v>43459.0375</v>
      </c>
      <c r="U1178" s="809" t="inlineStr">
        <is>
          <t>56M 0S</t>
        </is>
      </c>
      <c r="V1178" s="752" t="n"/>
      <c r="W1178" s="753" t="n"/>
      <c r="X1178" s="754" t="n"/>
      <c r="Y1178" s="750" t="n"/>
      <c r="Z1178" s="751" t="n"/>
      <c r="AA1178" s="752" t="n"/>
      <c r="AB1178" s="753" t="n"/>
      <c r="AC1178" s="754" t="n"/>
      <c r="AD1178" s="740" t="inlineStr">
        <is>
          <t>No</t>
        </is>
      </c>
      <c r="AE1178" s="755" t="n"/>
      <c r="AF1178" s="755" t="n"/>
      <c r="AG1178" s="755" t="n"/>
      <c r="AH1178" s="755" t="n"/>
      <c r="AI1178" s="740" t="inlineStr">
        <is>
          <t>Market</t>
        </is>
      </c>
      <c r="AJ1178" s="755" t="n"/>
      <c r="AK1178" s="755" t="n"/>
      <c r="AL1178" s="755" t="n"/>
      <c r="AM1178" s="755" t="n"/>
      <c r="AN1178" s="755" t="n"/>
      <c r="AO1178" s="755" t="n"/>
      <c r="AP1178" s="740" t="inlineStr">
        <is>
          <t>Pullback</t>
        </is>
      </c>
      <c r="AQ1178" s="740" t="inlineStr">
        <is>
          <t>5MIN</t>
        </is>
      </c>
      <c r="AR1178" s="740" t="inlineStr">
        <is>
          <t>No</t>
        </is>
      </c>
      <c r="AS1178" s="755" t="n"/>
      <c r="AT1178" s="755" t="n"/>
      <c r="AU1178" s="755" t="n"/>
      <c r="AV1178" s="755" t="n"/>
      <c r="AW1178" s="740" t="inlineStr">
        <is>
          <t>trade</t>
        </is>
      </c>
      <c r="AX1178" s="756" t="inlineStr">
        <is>
          <t>sig:f234b42fc2645becba0326e3</t>
        </is>
      </c>
    </row>
    <row r="1179" ht="15" customHeight="1">
      <c r="A1179" s="716" t="inlineStr">
        <is>
          <t>F365</t>
        </is>
      </c>
      <c r="B1179" s="717" t="n">
        <v>43456.07291666666</v>
      </c>
      <c r="C1179" s="718" t="n">
        <v>43456.07638888889</v>
      </c>
      <c r="D1179" s="719" t="inlineStr">
        <is>
          <t>PEPPERSTONE DEMO</t>
        </is>
      </c>
      <c r="E1179" s="719" t="inlineStr">
        <is>
          <t>AUDUSD</t>
        </is>
      </c>
      <c r="F1179" s="719" t="inlineStr">
        <is>
          <t>BUY</t>
        </is>
      </c>
      <c r="G1179" s="735" t="n">
        <v>0.05</v>
      </c>
      <c r="H1179" s="720" t="n">
        <v>0.71</v>
      </c>
      <c r="I1179" s="720" t="n">
        <v>0.70941</v>
      </c>
      <c r="J1179" s="721" t="n">
        <v>0.7093</v>
      </c>
      <c r="K1179" s="760" t="n">
        <v>0.000985915492957638</v>
      </c>
      <c r="L1179" s="721" t="n">
        <v>0.7114</v>
      </c>
      <c r="M1179" s="722" t="n">
        <v>0.001971830985915589</v>
      </c>
      <c r="N1179" s="788" t="n"/>
      <c r="O1179" s="762" t="n">
        <v>-4.23</v>
      </c>
      <c r="P1179" s="725" t="n">
        <v>-0.008244328369844858</v>
      </c>
      <c r="Q1179" s="726" t="n">
        <v>-0.8428571428572063</v>
      </c>
      <c r="R1179" s="764" t="n">
        <v>508.85</v>
      </c>
      <c r="S1179" s="719" t="inlineStr">
        <is>
          <t>5M 0S</t>
        </is>
      </c>
      <c r="T1179" s="728" t="n"/>
      <c r="U1179" s="729" t="n"/>
      <c r="V1179" s="730" t="n"/>
      <c r="W1179" s="731" t="n"/>
      <c r="X1179" s="732" t="n"/>
      <c r="Y1179" s="728" t="n"/>
      <c r="Z1179" s="729" t="n"/>
      <c r="AA1179" s="730" t="n"/>
      <c r="AB1179" s="731" t="n"/>
      <c r="AC1179" s="732" t="n"/>
      <c r="AD1179" s="719" t="inlineStr">
        <is>
          <t>No</t>
        </is>
      </c>
      <c r="AE1179" s="733" t="n"/>
      <c r="AF1179" s="733" t="n"/>
      <c r="AG1179" s="733" t="n"/>
      <c r="AH1179" s="733" t="n"/>
      <c r="AI1179" s="719" t="inlineStr">
        <is>
          <t>Market</t>
        </is>
      </c>
      <c r="AJ1179" s="733" t="n"/>
      <c r="AK1179" s="733" t="n"/>
      <c r="AL1179" s="733" t="n"/>
      <c r="AM1179" s="733" t="n"/>
      <c r="AN1179" s="733" t="n"/>
      <c r="AO1179" s="733" t="n"/>
      <c r="AP1179" s="719" t="inlineStr">
        <is>
          <t>Pullback</t>
        </is>
      </c>
      <c r="AQ1179" s="719" t="inlineStr">
        <is>
          <t>5MIN</t>
        </is>
      </c>
      <c r="AR1179" s="719" t="inlineStr">
        <is>
          <t>No</t>
        </is>
      </c>
      <c r="AS1179" s="733" t="n"/>
      <c r="AT1179" s="733" t="n"/>
      <c r="AU1179" s="733" t="n"/>
      <c r="AV1179" s="733" t="n"/>
      <c r="AW1179" s="719" t="inlineStr">
        <is>
          <t>trade</t>
        </is>
      </c>
      <c r="AX1179" s="734" t="inlineStr">
        <is>
          <t>sig:b07127ce60b7cdf2b7774fc9</t>
        </is>
      </c>
    </row>
    <row r="1180" ht="15" customHeight="1">
      <c r="A1180" s="716" t="inlineStr">
        <is>
          <t>F366</t>
        </is>
      </c>
      <c r="B1180" s="717" t="n">
        <v>43456.01041666666</v>
      </c>
      <c r="C1180" s="718" t="n">
        <v>43456.02430555555</v>
      </c>
      <c r="D1180" s="719" t="inlineStr">
        <is>
          <t>PEPPERSTONE DEMO</t>
        </is>
      </c>
      <c r="E1180" s="719" t="inlineStr">
        <is>
          <t>USDCHF</t>
        </is>
      </c>
      <c r="F1180" s="719" t="inlineStr">
        <is>
          <t>BUY</t>
        </is>
      </c>
      <c r="G1180" s="735" t="n">
        <v>0.04</v>
      </c>
      <c r="H1180" s="720" t="n">
        <v>0.9915</v>
      </c>
      <c r="I1180" s="720" t="n">
        <v>0.99098</v>
      </c>
      <c r="J1180" s="721" t="n">
        <v>0.9907</v>
      </c>
      <c r="K1180" s="760" t="n">
        <v>0.0008068582955118738</v>
      </c>
      <c r="L1180" s="721" t="n">
        <v>0.9931</v>
      </c>
      <c r="M1180" s="722" t="n">
        <v>0.001613716591023636</v>
      </c>
      <c r="N1180" s="788" t="n"/>
      <c r="O1180" s="762" t="n">
        <v>-3.18</v>
      </c>
      <c r="P1180" s="725" t="n">
        <v>-0.00615968697942897</v>
      </c>
      <c r="Q1180" s="726" t="n">
        <v>-0.6500000000000763</v>
      </c>
      <c r="R1180" s="764" t="n">
        <v>513.08</v>
      </c>
      <c r="S1180" s="719" t="inlineStr">
        <is>
          <t>20M 0S</t>
        </is>
      </c>
      <c r="T1180" s="728" t="n"/>
      <c r="U1180" s="729" t="n"/>
      <c r="V1180" s="730" t="n"/>
      <c r="W1180" s="731" t="n"/>
      <c r="X1180" s="732" t="n"/>
      <c r="Y1180" s="728" t="n"/>
      <c r="Z1180" s="729" t="n"/>
      <c r="AA1180" s="730" t="n"/>
      <c r="AB1180" s="731" t="n"/>
      <c r="AC1180" s="732" t="n"/>
      <c r="AD1180" s="719" t="inlineStr">
        <is>
          <t>No</t>
        </is>
      </c>
      <c r="AE1180" s="733" t="n"/>
      <c r="AF1180" s="733" t="n"/>
      <c r="AG1180" s="733" t="n"/>
      <c r="AH1180" s="733" t="n"/>
      <c r="AI1180" s="719" t="inlineStr">
        <is>
          <t>Market</t>
        </is>
      </c>
      <c r="AJ1180" s="733" t="n"/>
      <c r="AK1180" s="733" t="n"/>
      <c r="AL1180" s="733" t="n"/>
      <c r="AM1180" s="733" t="n"/>
      <c r="AN1180" s="733" t="n"/>
      <c r="AO1180" s="733" t="n"/>
      <c r="AP1180" s="719" t="inlineStr">
        <is>
          <t>Pullback</t>
        </is>
      </c>
      <c r="AQ1180" s="719" t="inlineStr">
        <is>
          <t>5MIN</t>
        </is>
      </c>
      <c r="AR1180" s="719" t="inlineStr">
        <is>
          <t>No</t>
        </is>
      </c>
      <c r="AS1180" s="733" t="n"/>
      <c r="AT1180" s="733" t="n"/>
      <c r="AU1180" s="733" t="n"/>
      <c r="AV1180" s="733" t="n"/>
      <c r="AW1180" s="719" t="inlineStr">
        <is>
          <t>trade</t>
        </is>
      </c>
      <c r="AX1180" s="734" t="inlineStr">
        <is>
          <t>sig:95e87ceba7fc5ffc715bf9e0</t>
        </is>
      </c>
    </row>
    <row r="1181" ht="15" customHeight="1">
      <c r="A1181" s="716" t="inlineStr">
        <is>
          <t>F362</t>
        </is>
      </c>
      <c r="B1181" s="717" t="n">
        <v>43455.89930555555</v>
      </c>
      <c r="C1181" s="718" t="n">
        <v>43455.90277777778</v>
      </c>
      <c r="D1181" s="719" t="inlineStr">
        <is>
          <t>PEPPERSTONE DEMO</t>
        </is>
      </c>
      <c r="E1181" s="719" t="inlineStr">
        <is>
          <t>USDCHF</t>
        </is>
      </c>
      <c r="F1181" s="719" t="inlineStr">
        <is>
          <t>BUY</t>
        </is>
      </c>
      <c r="G1181" s="735" t="n">
        <v>0.04</v>
      </c>
      <c r="H1181" s="720" t="n">
        <v>0.9903999999999999</v>
      </c>
      <c r="I1181" s="720" t="n">
        <v>0.98992</v>
      </c>
      <c r="J1181" s="721" t="n">
        <v>0.9896</v>
      </c>
      <c r="K1181" s="760" t="n">
        <v>0.0008077544426493456</v>
      </c>
      <c r="L1181" s="721" t="n">
        <v>0.992</v>
      </c>
      <c r="M1181" s="722" t="n">
        <v>0.001615508885298915</v>
      </c>
      <c r="N1181" s="788" t="n"/>
      <c r="O1181" s="762" t="n">
        <v>-2.9</v>
      </c>
      <c r="P1181" s="725" t="n">
        <v>-0.005585946529008398</v>
      </c>
      <c r="Q1181" s="726" t="n">
        <v>-0.5999999999999722</v>
      </c>
      <c r="R1181" s="764" t="n">
        <v>516.26</v>
      </c>
      <c r="S1181" s="719" t="inlineStr">
        <is>
          <t>5M 0S</t>
        </is>
      </c>
      <c r="T1181" s="728" t="n"/>
      <c r="U1181" s="729" t="n"/>
      <c r="V1181" s="730" t="n"/>
      <c r="W1181" s="731" t="n"/>
      <c r="X1181" s="732" t="n"/>
      <c r="Y1181" s="728" t="n"/>
      <c r="Z1181" s="729" t="n"/>
      <c r="AA1181" s="730" t="n"/>
      <c r="AB1181" s="731" t="n"/>
      <c r="AC1181" s="732" t="n"/>
      <c r="AD1181" s="719" t="inlineStr">
        <is>
          <t>No</t>
        </is>
      </c>
      <c r="AE1181" s="733" t="n"/>
      <c r="AF1181" s="733" t="n"/>
      <c r="AG1181" s="733" t="n"/>
      <c r="AH1181" s="733" t="n"/>
      <c r="AI1181" s="719" t="inlineStr">
        <is>
          <t>Market</t>
        </is>
      </c>
      <c r="AJ1181" s="733" t="n"/>
      <c r="AK1181" s="733" t="n"/>
      <c r="AL1181" s="733" t="n"/>
      <c r="AM1181" s="733" t="n"/>
      <c r="AN1181" s="733" t="n"/>
      <c r="AO1181" s="733" t="n"/>
      <c r="AP1181" s="719" t="inlineStr">
        <is>
          <t>Pullback</t>
        </is>
      </c>
      <c r="AQ1181" s="719" t="inlineStr">
        <is>
          <t>5MIN</t>
        </is>
      </c>
      <c r="AR1181" s="719" t="inlineStr">
        <is>
          <t>No</t>
        </is>
      </c>
      <c r="AS1181" s="733" t="n"/>
      <c r="AT1181" s="733" t="n"/>
      <c r="AU1181" s="733" t="n"/>
      <c r="AV1181" s="733" t="n"/>
      <c r="AW1181" s="719" t="inlineStr">
        <is>
          <t>trade</t>
        </is>
      </c>
      <c r="AX1181" s="734" t="inlineStr">
        <is>
          <t>sig:51a77b915023a92821487091</t>
        </is>
      </c>
    </row>
    <row r="1182" ht="15" customHeight="1">
      <c r="A1182" s="737" t="inlineStr">
        <is>
          <t>F361</t>
        </is>
      </c>
      <c r="B1182" s="738" t="n">
        <v>43455.82291666666</v>
      </c>
      <c r="C1182" s="739" t="n">
        <v>43455.85972222222</v>
      </c>
      <c r="D1182" s="740" t="inlineStr">
        <is>
          <t>PEPPERSTONE DEMO</t>
        </is>
      </c>
      <c r="E1182" s="740" t="inlineStr">
        <is>
          <t>USDCAD</t>
        </is>
      </c>
      <c r="F1182" s="740" t="inlineStr">
        <is>
          <t>BUY</t>
        </is>
      </c>
      <c r="G1182" s="775" t="n">
        <v>0.05</v>
      </c>
      <c r="H1182" s="742" t="n">
        <v>1.3524</v>
      </c>
      <c r="I1182" s="742" t="n">
        <v>1.35292</v>
      </c>
      <c r="J1182" s="743" t="n">
        <v>1.3515</v>
      </c>
      <c r="K1182" s="765" t="n">
        <v>0.0006654835847383339</v>
      </c>
      <c r="L1182" s="743" t="n">
        <v>1.3542</v>
      </c>
      <c r="M1182" s="744" t="n">
        <v>0.001330967169476504</v>
      </c>
      <c r="N1182" s="796" t="n"/>
      <c r="O1182" s="767" t="n">
        <v>2.48</v>
      </c>
      <c r="P1182" s="747" t="n">
        <v>0.004799876132228846</v>
      </c>
      <c r="Q1182" s="748" t="n">
        <v>0.5777777777775366</v>
      </c>
      <c r="R1182" s="769" t="n">
        <v>519.16</v>
      </c>
      <c r="S1182" s="740" t="inlineStr">
        <is>
          <t>53M 0S</t>
        </is>
      </c>
      <c r="T1182" s="738" t="n">
        <v>43455.83680555555</v>
      </c>
      <c r="U1182" s="809" t="inlineStr">
        <is>
          <t>20M 0S</t>
        </is>
      </c>
      <c r="V1182" s="752" t="n"/>
      <c r="W1182" s="753" t="n"/>
      <c r="X1182" s="754" t="n"/>
      <c r="Y1182" s="750" t="n"/>
      <c r="Z1182" s="751" t="n"/>
      <c r="AA1182" s="752" t="n"/>
      <c r="AB1182" s="753" t="n"/>
      <c r="AC1182" s="754" t="n"/>
      <c r="AD1182" s="740" t="inlineStr">
        <is>
          <t>No</t>
        </is>
      </c>
      <c r="AE1182" s="755" t="n"/>
      <c r="AF1182" s="755" t="n"/>
      <c r="AG1182" s="755" t="n"/>
      <c r="AH1182" s="755" t="n"/>
      <c r="AI1182" s="740" t="inlineStr">
        <is>
          <t>Market</t>
        </is>
      </c>
      <c r="AJ1182" s="755" t="n"/>
      <c r="AK1182" s="755" t="n"/>
      <c r="AL1182" s="755" t="n"/>
      <c r="AM1182" s="755" t="n"/>
      <c r="AN1182" s="755" t="n"/>
      <c r="AO1182" s="755" t="n"/>
      <c r="AP1182" s="740" t="inlineStr">
        <is>
          <t>Pullback</t>
        </is>
      </c>
      <c r="AQ1182" s="740" t="inlineStr">
        <is>
          <t>5MIN</t>
        </is>
      </c>
      <c r="AR1182" s="740" t="inlineStr">
        <is>
          <t>No</t>
        </is>
      </c>
      <c r="AS1182" s="755" t="n"/>
      <c r="AT1182" s="755" t="n"/>
      <c r="AU1182" s="755" t="n"/>
      <c r="AV1182" s="755" t="n"/>
      <c r="AW1182" s="740" t="inlineStr">
        <is>
          <t>trade</t>
        </is>
      </c>
      <c r="AX1182" s="756" t="inlineStr">
        <is>
          <t>sig:d768a6d9f79473b7b6bc2712</t>
        </is>
      </c>
    </row>
    <row r="1183" ht="15" customHeight="1">
      <c r="A1183" s="716" t="inlineStr">
        <is>
          <t>F359</t>
        </is>
      </c>
      <c r="B1183" s="717" t="n">
        <v>43455.13055555556</v>
      </c>
      <c r="C1183" s="718" t="n">
        <v>43455.14791666667</v>
      </c>
      <c r="D1183" s="719" t="inlineStr">
        <is>
          <t>PEPPERSTONE DEMO</t>
        </is>
      </c>
      <c r="E1183" s="719" t="inlineStr">
        <is>
          <t>USDCAD</t>
        </is>
      </c>
      <c r="F1183" s="719" t="inlineStr">
        <is>
          <t>BUY</t>
        </is>
      </c>
      <c r="G1183" s="735" t="n">
        <v>0.03</v>
      </c>
      <c r="H1183" s="720" t="n">
        <v>1.3525</v>
      </c>
      <c r="I1183" s="720" t="n">
        <v>1.35157</v>
      </c>
      <c r="J1183" s="721" t="n">
        <v>1.3508</v>
      </c>
      <c r="K1183" s="722" t="n">
        <v>0.001256931608133113</v>
      </c>
      <c r="L1183" s="721" t="n">
        <v>1.3559</v>
      </c>
      <c r="M1183" s="722" t="n">
        <v>0.002513863216266225</v>
      </c>
      <c r="N1183" s="788" t="n"/>
      <c r="O1183" s="762" t="n">
        <v>-3.12</v>
      </c>
      <c r="P1183" s="725" t="n">
        <v>-0.006002308580223163</v>
      </c>
      <c r="Q1183" s="726" t="n">
        <v>-0.5470588235294579</v>
      </c>
      <c r="R1183" s="764" t="n">
        <v>516.6799999999999</v>
      </c>
      <c r="S1183" s="719" t="inlineStr">
        <is>
          <t>25M 0S</t>
        </is>
      </c>
      <c r="T1183" s="728" t="n"/>
      <c r="U1183" s="729" t="n"/>
      <c r="V1183" s="730" t="n"/>
      <c r="W1183" s="731" t="n"/>
      <c r="X1183" s="732" t="n"/>
      <c r="Y1183" s="728" t="n"/>
      <c r="Z1183" s="729" t="n"/>
      <c r="AA1183" s="730" t="n"/>
      <c r="AB1183" s="731" t="n"/>
      <c r="AC1183" s="732" t="n"/>
      <c r="AD1183" s="719" t="inlineStr">
        <is>
          <t>No</t>
        </is>
      </c>
      <c r="AE1183" s="733" t="n"/>
      <c r="AF1183" s="733" t="n"/>
      <c r="AG1183" s="733" t="n"/>
      <c r="AH1183" s="733" t="n"/>
      <c r="AI1183" s="719" t="inlineStr">
        <is>
          <t>Limit</t>
        </is>
      </c>
      <c r="AJ1183" s="733" t="n"/>
      <c r="AK1183" s="733" t="n"/>
      <c r="AL1183" s="733" t="n"/>
      <c r="AM1183" s="733" t="n"/>
      <c r="AN1183" s="733" t="n"/>
      <c r="AO1183" s="733" t="n"/>
      <c r="AP1183" s="719" t="inlineStr">
        <is>
          <t>Pullback</t>
        </is>
      </c>
      <c r="AQ1183" s="719" t="inlineStr">
        <is>
          <t>5MIN</t>
        </is>
      </c>
      <c r="AR1183" s="719" t="inlineStr">
        <is>
          <t>No</t>
        </is>
      </c>
      <c r="AS1183" s="733" t="n"/>
      <c r="AT1183" s="733" t="n"/>
      <c r="AU1183" s="733" t="n"/>
      <c r="AV1183" s="733" t="n"/>
      <c r="AW1183" s="719" t="inlineStr">
        <is>
          <t>trade</t>
        </is>
      </c>
      <c r="AX1183" s="734" t="inlineStr">
        <is>
          <t>sig:cb3d1712dca2c87845b40eda</t>
        </is>
      </c>
    </row>
    <row r="1184" ht="15" customHeight="1">
      <c r="A1184" s="716" t="inlineStr">
        <is>
          <t>F360</t>
        </is>
      </c>
      <c r="B1184" s="717" t="n">
        <v>43455.09722222222</v>
      </c>
      <c r="C1184" s="718" t="n">
        <v>43455.13888888889</v>
      </c>
      <c r="D1184" s="719" t="inlineStr">
        <is>
          <t>PEPPERSTONE DEMO</t>
        </is>
      </c>
      <c r="E1184" s="719" t="inlineStr">
        <is>
          <t>AUDUSD</t>
        </is>
      </c>
      <c r="F1184" s="719" t="inlineStr">
        <is>
          <t>SELL</t>
        </is>
      </c>
      <c r="G1184" s="735" t="n">
        <v>0.03</v>
      </c>
      <c r="H1184" s="720" t="n">
        <v>0.7105</v>
      </c>
      <c r="I1184" s="720" t="n">
        <v>0.71091</v>
      </c>
      <c r="J1184" s="721" t="n">
        <v>0.7115</v>
      </c>
      <c r="K1184" s="722" t="n">
        <v>0.001407459535538355</v>
      </c>
      <c r="L1184" s="721" t="n">
        <v>0.7085</v>
      </c>
      <c r="M1184" s="722" t="n">
        <v>0.002814919071076709</v>
      </c>
      <c r="N1184" s="788" t="n"/>
      <c r="O1184" s="762" t="n">
        <v>-1.6</v>
      </c>
      <c r="P1184" s="725" t="n">
        <v>-0.003068661296509398</v>
      </c>
      <c r="Q1184" s="726" t="n">
        <v>-0.4100000000000211</v>
      </c>
      <c r="R1184" s="764" t="n">
        <v>519.8</v>
      </c>
      <c r="S1184" s="719" t="inlineStr">
        <is>
          <t>1H 0M 0S</t>
        </is>
      </c>
      <c r="T1184" s="717" t="n"/>
      <c r="U1184" s="806" t="n"/>
      <c r="V1184" s="730" t="n"/>
      <c r="W1184" s="731" t="n"/>
      <c r="X1184" s="732" t="n"/>
      <c r="Y1184" s="728" t="n"/>
      <c r="Z1184" s="729" t="n"/>
      <c r="AA1184" s="730" t="n"/>
      <c r="AB1184" s="731" t="n"/>
      <c r="AC1184" s="732" t="n"/>
      <c r="AD1184" s="719" t="inlineStr">
        <is>
          <t>No</t>
        </is>
      </c>
      <c r="AE1184" s="733" t="n"/>
      <c r="AF1184" s="733" t="n"/>
      <c r="AG1184" s="733" t="n"/>
      <c r="AH1184" s="733" t="n"/>
      <c r="AI1184" s="719" t="inlineStr">
        <is>
          <t>Market</t>
        </is>
      </c>
      <c r="AJ1184" s="733" t="n"/>
      <c r="AK1184" s="733" t="n"/>
      <c r="AL1184" s="733" t="n"/>
      <c r="AM1184" s="733" t="n"/>
      <c r="AN1184" s="733" t="n"/>
      <c r="AO1184" s="733" t="n"/>
      <c r="AP1184" s="719" t="inlineStr">
        <is>
          <t>Pullback</t>
        </is>
      </c>
      <c r="AQ1184" s="719" t="inlineStr">
        <is>
          <t>5MIN</t>
        </is>
      </c>
      <c r="AR1184" s="719" t="inlineStr">
        <is>
          <t>No</t>
        </is>
      </c>
      <c r="AS1184" s="733" t="n"/>
      <c r="AT1184" s="733" t="n"/>
      <c r="AU1184" s="733" t="n"/>
      <c r="AV1184" s="733" t="n"/>
      <c r="AW1184" s="719" t="inlineStr">
        <is>
          <t>trade</t>
        </is>
      </c>
      <c r="AX1184" s="734" t="inlineStr">
        <is>
          <t>sig:b50cc52130f6bee88533e695</t>
        </is>
      </c>
    </row>
    <row r="1185" ht="15" customHeight="1">
      <c r="A1185" s="737" t="inlineStr">
        <is>
          <t>F363</t>
        </is>
      </c>
      <c r="B1185" s="738" t="n">
        <v>43455.0625</v>
      </c>
      <c r="C1185" s="739" t="n">
        <v>43455.07708333333</v>
      </c>
      <c r="D1185" s="740" t="inlineStr">
        <is>
          <t>PEPPERSTONE DEMO</t>
        </is>
      </c>
      <c r="E1185" s="740" t="inlineStr">
        <is>
          <t>USDCHF</t>
        </is>
      </c>
      <c r="F1185" s="740" t="inlineStr">
        <is>
          <t>BUY</t>
        </is>
      </c>
      <c r="G1185" s="775" t="n">
        <v>0.04</v>
      </c>
      <c r="H1185" s="742" t="n">
        <v>0.9918</v>
      </c>
      <c r="I1185" s="742" t="n">
        <v>0.99349</v>
      </c>
      <c r="J1185" s="743" t="n">
        <v>0.991</v>
      </c>
      <c r="K1185" s="765" t="n">
        <v>0.0008066142367413016</v>
      </c>
      <c r="L1185" s="743" t="n">
        <v>0.9933999999999999</v>
      </c>
      <c r="M1185" s="744" t="n">
        <v>0.001613228473482491</v>
      </c>
      <c r="N1185" s="796" t="n"/>
      <c r="O1185" s="767" t="n">
        <v>7.8</v>
      </c>
      <c r="P1185" s="747" t="n">
        <v>0.01518691588785047</v>
      </c>
      <c r="Q1185" s="748" t="n">
        <v>2.112499999999901</v>
      </c>
      <c r="R1185" s="769" t="n">
        <v>521.4</v>
      </c>
      <c r="S1185" s="740" t="inlineStr">
        <is>
          <t>21M 0S</t>
        </is>
      </c>
      <c r="T1185" s="738" t="n">
        <v>43455.06597222222</v>
      </c>
      <c r="U1185" s="809" t="inlineStr">
        <is>
          <t>5M 0S</t>
        </is>
      </c>
      <c r="V1185" s="752" t="n"/>
      <c r="W1185" s="753" t="n"/>
      <c r="X1185" s="754" t="n"/>
      <c r="Y1185" s="750" t="n"/>
      <c r="Z1185" s="751" t="n"/>
      <c r="AA1185" s="752" t="n"/>
      <c r="AB1185" s="753" t="n"/>
      <c r="AC1185" s="754" t="n"/>
      <c r="AD1185" s="740" t="inlineStr">
        <is>
          <t>No</t>
        </is>
      </c>
      <c r="AE1185" s="755" t="n"/>
      <c r="AF1185" s="755" t="n"/>
      <c r="AG1185" s="755" t="n"/>
      <c r="AH1185" s="755" t="n"/>
      <c r="AI1185" s="740" t="inlineStr">
        <is>
          <t>Market</t>
        </is>
      </c>
      <c r="AJ1185" s="755" t="n"/>
      <c r="AK1185" s="755" t="n"/>
      <c r="AL1185" s="755" t="n"/>
      <c r="AM1185" s="755" t="n"/>
      <c r="AN1185" s="755" t="n"/>
      <c r="AO1185" s="755" t="n"/>
      <c r="AP1185" s="740" t="inlineStr">
        <is>
          <t>Pullback</t>
        </is>
      </c>
      <c r="AQ1185" s="740" t="inlineStr">
        <is>
          <t>5MIN</t>
        </is>
      </c>
      <c r="AR1185" s="740" t="inlineStr">
        <is>
          <t>No</t>
        </is>
      </c>
      <c r="AS1185" s="755" t="n"/>
      <c r="AT1185" s="755" t="n"/>
      <c r="AU1185" s="755" t="n"/>
      <c r="AV1185" s="755" t="n"/>
      <c r="AW1185" s="740" t="inlineStr">
        <is>
          <t>trade</t>
        </is>
      </c>
      <c r="AX1185" s="756" t="inlineStr">
        <is>
          <t>sig:dd929acd29bfde963ae269d4</t>
        </is>
      </c>
    </row>
    <row r="1186" ht="15" customHeight="1">
      <c r="A1186" s="737" t="inlineStr">
        <is>
          <t>F364</t>
        </is>
      </c>
      <c r="B1186" s="738" t="n">
        <v>43455.01388888889</v>
      </c>
      <c r="C1186" s="739" t="n">
        <v>43455.02222222222</v>
      </c>
      <c r="D1186" s="740" t="inlineStr">
        <is>
          <t>PEPPERSTONE DEMO</t>
        </is>
      </c>
      <c r="E1186" s="740" t="inlineStr">
        <is>
          <t>USDCHF</t>
        </is>
      </c>
      <c r="F1186" s="740" t="inlineStr">
        <is>
          <t>BUY</t>
        </is>
      </c>
      <c r="G1186" s="775" t="n">
        <v>0.07000000000000001</v>
      </c>
      <c r="H1186" s="742" t="n">
        <v>0.9896</v>
      </c>
      <c r="I1186" s="742" t="n">
        <v>0.99055</v>
      </c>
      <c r="J1186" s="743" t="n">
        <v>0.9891</v>
      </c>
      <c r="K1186" s="765" t="n">
        <v>0.0005052546483428213</v>
      </c>
      <c r="L1186" s="743" t="n">
        <v>0.9905</v>
      </c>
      <c r="M1186" s="765" t="n">
        <v>0.0009094583670169886</v>
      </c>
      <c r="N1186" s="796" t="n"/>
      <c r="O1186" s="767" t="n">
        <v>9.210000000000001</v>
      </c>
      <c r="P1186" s="747" t="n">
        <v>0.01825968000951645</v>
      </c>
      <c r="Q1186" s="748" t="n">
        <v>1.8999999999998</v>
      </c>
      <c r="R1186" s="769" t="n">
        <v>513.6</v>
      </c>
      <c r="S1186" s="740" t="inlineStr">
        <is>
          <t>12M 0S</t>
        </is>
      </c>
      <c r="T1186" s="738" t="n">
        <v>43455.02152777778</v>
      </c>
      <c r="U1186" s="809" t="inlineStr">
        <is>
          <t>11M 0S</t>
        </is>
      </c>
      <c r="V1186" s="752" t="n"/>
      <c r="W1186" s="753" t="n"/>
      <c r="X1186" s="754" t="n"/>
      <c r="Y1186" s="750" t="n"/>
      <c r="Z1186" s="751" t="n"/>
      <c r="AA1186" s="752" t="n"/>
      <c r="AB1186" s="753" t="n"/>
      <c r="AC1186" s="754" t="n"/>
      <c r="AD1186" s="740" t="inlineStr">
        <is>
          <t>No</t>
        </is>
      </c>
      <c r="AE1186" s="755" t="n"/>
      <c r="AF1186" s="755" t="n"/>
      <c r="AG1186" s="755" t="n"/>
      <c r="AH1186" s="755" t="n"/>
      <c r="AI1186" s="740" t="inlineStr">
        <is>
          <t>Market</t>
        </is>
      </c>
      <c r="AJ1186" s="755" t="n"/>
      <c r="AK1186" s="755" t="n"/>
      <c r="AL1186" s="755" t="n"/>
      <c r="AM1186" s="755" t="n"/>
      <c r="AN1186" s="755" t="n"/>
      <c r="AO1186" s="755" t="n"/>
      <c r="AP1186" s="740" t="inlineStr">
        <is>
          <t>Pullback</t>
        </is>
      </c>
      <c r="AQ1186" s="740" t="inlineStr">
        <is>
          <t>5MIN</t>
        </is>
      </c>
      <c r="AR1186" s="740" t="inlineStr">
        <is>
          <t>No</t>
        </is>
      </c>
      <c r="AS1186" s="755" t="n"/>
      <c r="AT1186" s="755" t="n"/>
      <c r="AU1186" s="755" t="n"/>
      <c r="AV1186" s="755" t="n"/>
      <c r="AW1186" s="740" t="inlineStr">
        <is>
          <t>trade</t>
        </is>
      </c>
      <c r="AX1186" s="756" t="inlineStr">
        <is>
          <t>sig:baa02511840a059e097f76d5</t>
        </is>
      </c>
    </row>
    <row r="1187" ht="15" customHeight="1">
      <c r="A1187" s="737" t="inlineStr">
        <is>
          <t>F358</t>
        </is>
      </c>
      <c r="B1187" s="738" t="n">
        <v>43454.93472222222</v>
      </c>
      <c r="C1187" s="739" t="n">
        <v>43454.97222222222</v>
      </c>
      <c r="D1187" s="740" t="inlineStr">
        <is>
          <t>PEPPERSTONE DEMO</t>
        </is>
      </c>
      <c r="E1187" s="740" t="inlineStr">
        <is>
          <t>USDCHF</t>
        </is>
      </c>
      <c r="F1187" s="740" t="inlineStr">
        <is>
          <t>BUY</t>
        </is>
      </c>
      <c r="G1187" s="775" t="n">
        <v>0.04</v>
      </c>
      <c r="H1187" s="742" t="n">
        <v>0.9889</v>
      </c>
      <c r="I1187" s="742" t="n">
        <v>0.98908</v>
      </c>
      <c r="J1187" s="743" t="n">
        <v>0.988</v>
      </c>
      <c r="K1187" s="765" t="n">
        <v>0.0009101021336839032</v>
      </c>
      <c r="L1187" s="743" t="n">
        <v>0.9907</v>
      </c>
      <c r="M1187" s="744" t="n">
        <v>0.001820204267367806</v>
      </c>
      <c r="N1187" s="796" t="n"/>
      <c r="O1187" s="767" t="n">
        <v>0.85</v>
      </c>
      <c r="P1187" s="747" t="n">
        <v>0.001688048615800135</v>
      </c>
      <c r="Q1187" s="748" t="n">
        <v>0.1999999999999507</v>
      </c>
      <c r="R1187" s="769" t="n">
        <v>504.39</v>
      </c>
      <c r="S1187" s="740" t="inlineStr">
        <is>
          <t>54M 0S</t>
        </is>
      </c>
      <c r="T1187" s="750" t="n"/>
      <c r="U1187" s="751" t="n"/>
      <c r="V1187" s="752" t="n"/>
      <c r="W1187" s="753" t="n"/>
      <c r="X1187" s="754" t="n"/>
      <c r="Y1187" s="750" t="n"/>
      <c r="Z1187" s="751" t="n"/>
      <c r="AA1187" s="752" t="n"/>
      <c r="AB1187" s="753" t="n"/>
      <c r="AC1187" s="754" t="n"/>
      <c r="AD1187" s="740" t="inlineStr">
        <is>
          <t>No</t>
        </is>
      </c>
      <c r="AE1187" s="755" t="n"/>
      <c r="AF1187" s="755" t="n"/>
      <c r="AG1187" s="755" t="n"/>
      <c r="AH1187" s="755" t="n"/>
      <c r="AI1187" s="740" t="inlineStr">
        <is>
          <t>Market</t>
        </is>
      </c>
      <c r="AJ1187" s="755" t="n"/>
      <c r="AK1187" s="755" t="n"/>
      <c r="AL1187" s="755" t="n"/>
      <c r="AM1187" s="755" t="n"/>
      <c r="AN1187" s="755" t="n"/>
      <c r="AO1187" s="755" t="n"/>
      <c r="AP1187" s="740" t="inlineStr">
        <is>
          <t>Pullback</t>
        </is>
      </c>
      <c r="AQ1187" s="740" t="inlineStr">
        <is>
          <t>5MIN</t>
        </is>
      </c>
      <c r="AR1187" s="740" t="inlineStr">
        <is>
          <t>No</t>
        </is>
      </c>
      <c r="AS1187" s="755" t="n"/>
      <c r="AT1187" s="755" t="n"/>
      <c r="AU1187" s="755" t="n"/>
      <c r="AV1187" s="755" t="n"/>
      <c r="AW1187" s="740" t="inlineStr">
        <is>
          <t>trade</t>
        </is>
      </c>
      <c r="AX1187" s="756" t="inlineStr">
        <is>
          <t>sig:dfffa4453f14ec9551dc8cae</t>
        </is>
      </c>
    </row>
    <row r="1188" ht="15" customHeight="1">
      <c r="A1188" s="716" t="inlineStr">
        <is>
          <t>F356</t>
        </is>
      </c>
      <c r="B1188" s="717" t="n">
        <v>43454.92777777778</v>
      </c>
      <c r="C1188" s="718" t="n">
        <v>43454.93402777778</v>
      </c>
      <c r="D1188" s="719" t="inlineStr">
        <is>
          <t>PEPPERSTONE DEMO</t>
        </is>
      </c>
      <c r="E1188" s="719" t="inlineStr">
        <is>
          <t>AUDUSD</t>
        </is>
      </c>
      <c r="F1188" s="719" t="inlineStr">
        <is>
          <t>BUY</t>
        </is>
      </c>
      <c r="G1188" s="735" t="n">
        <v>0.06</v>
      </c>
      <c r="H1188" s="720" t="n">
        <v>0.7144</v>
      </c>
      <c r="I1188" s="720" t="n">
        <v>0.71412</v>
      </c>
      <c r="J1188" s="721" t="n">
        <v>0.7138</v>
      </c>
      <c r="K1188" s="760" t="n">
        <v>0.0008398656215006227</v>
      </c>
      <c r="L1188" s="721" t="n"/>
      <c r="M1188" s="722" t="n"/>
      <c r="N1188" s="788" t="n"/>
      <c r="O1188" s="762" t="n">
        <v>-2.6</v>
      </c>
      <c r="P1188" s="725" t="n">
        <v>-0.005136918639111709</v>
      </c>
      <c r="Q1188" s="726" t="n">
        <v>-0.4666666666667283</v>
      </c>
      <c r="R1188" s="764" t="n">
        <v>503.54</v>
      </c>
      <c r="S1188" s="719" t="inlineStr">
        <is>
          <t>9M 0S</t>
        </is>
      </c>
      <c r="T1188" s="728" t="n"/>
      <c r="U1188" s="729" t="n"/>
      <c r="V1188" s="730" t="n"/>
      <c r="W1188" s="731" t="n"/>
      <c r="X1188" s="732" t="n"/>
      <c r="Y1188" s="728" t="n"/>
      <c r="Z1188" s="729" t="n"/>
      <c r="AA1188" s="730" t="n"/>
      <c r="AB1188" s="731" t="n"/>
      <c r="AC1188" s="732" t="n"/>
      <c r="AD1188" s="719" t="inlineStr">
        <is>
          <t>No</t>
        </is>
      </c>
      <c r="AE1188" s="733" t="n"/>
      <c r="AF1188" s="733" t="n"/>
      <c r="AG1188" s="733" t="n"/>
      <c r="AH1188" s="733" t="n"/>
      <c r="AI1188" s="719" t="inlineStr">
        <is>
          <t>Market</t>
        </is>
      </c>
      <c r="AJ1188" s="733" t="n"/>
      <c r="AK1188" s="733" t="n"/>
      <c r="AL1188" s="733" t="n"/>
      <c r="AM1188" s="733" t="n"/>
      <c r="AN1188" s="733" t="n"/>
      <c r="AO1188" s="733" t="n"/>
      <c r="AP1188" s="719" t="inlineStr">
        <is>
          <t>Pullback</t>
        </is>
      </c>
      <c r="AQ1188" s="719" t="inlineStr">
        <is>
          <t>5MIN</t>
        </is>
      </c>
      <c r="AR1188" s="719" t="inlineStr">
        <is>
          <t>No</t>
        </is>
      </c>
      <c r="AS1188" s="733" t="n"/>
      <c r="AT1188" s="733" t="n"/>
      <c r="AU1188" s="733" t="n"/>
      <c r="AV1188" s="733" t="n"/>
      <c r="AW1188" s="719" t="inlineStr">
        <is>
          <t>trade</t>
        </is>
      </c>
      <c r="AX1188" s="734" t="inlineStr">
        <is>
          <t>sig:1a65b37de703aad14508007f</t>
        </is>
      </c>
    </row>
    <row r="1189" ht="15" customHeight="1">
      <c r="A1189" s="737" t="inlineStr">
        <is>
          <t>F355</t>
        </is>
      </c>
      <c r="B1189" s="738" t="n">
        <v>43454.20833333334</v>
      </c>
      <c r="C1189" s="739" t="n">
        <v>43454.21041666667</v>
      </c>
      <c r="D1189" s="740" t="inlineStr">
        <is>
          <t>PEPPERSTONE DEMO</t>
        </is>
      </c>
      <c r="E1189" s="740" t="inlineStr">
        <is>
          <t>EURUSD</t>
        </is>
      </c>
      <c r="F1189" s="740" t="inlineStr">
        <is>
          <t>SELL</t>
        </is>
      </c>
      <c r="G1189" s="775" t="n">
        <v>0.02</v>
      </c>
      <c r="H1189" s="742" t="n">
        <v>1.1416</v>
      </c>
      <c r="I1189" s="742" t="n">
        <v>1.13862</v>
      </c>
      <c r="J1189" s="743" t="n">
        <v>1.1431</v>
      </c>
      <c r="K1189" s="744" t="n">
        <v>0.001313945339873911</v>
      </c>
      <c r="L1189" s="743" t="n">
        <v>1.1386</v>
      </c>
      <c r="M1189" s="744" t="n">
        <v>0.002627890679747628</v>
      </c>
      <c r="N1189" s="796" t="n"/>
      <c r="O1189" s="767" t="n">
        <v>7.03</v>
      </c>
      <c r="P1189" s="747" t="n">
        <v>0.01408507142714031</v>
      </c>
      <c r="Q1189" s="748" t="n">
        <v>1.98666666666658</v>
      </c>
      <c r="R1189" s="769" t="n">
        <v>506.14</v>
      </c>
      <c r="S1189" s="740" t="inlineStr">
        <is>
          <t>3M 0S</t>
        </is>
      </c>
      <c r="T1189" s="750" t="n"/>
      <c r="U1189" s="751" t="n"/>
      <c r="V1189" s="752" t="n"/>
      <c r="W1189" s="753" t="n"/>
      <c r="X1189" s="754" t="n"/>
      <c r="Y1189" s="750" t="n"/>
      <c r="Z1189" s="751" t="n"/>
      <c r="AA1189" s="752" t="n"/>
      <c r="AB1189" s="753" t="n"/>
      <c r="AC1189" s="754" t="n"/>
      <c r="AD1189" s="740" t="inlineStr">
        <is>
          <t>No</t>
        </is>
      </c>
      <c r="AE1189" s="755" t="n"/>
      <c r="AF1189" s="755" t="n"/>
      <c r="AG1189" s="755" t="n"/>
      <c r="AH1189" s="755" t="n"/>
      <c r="AI1189" s="740" t="inlineStr">
        <is>
          <t>Limit</t>
        </is>
      </c>
      <c r="AJ1189" s="755" t="n"/>
      <c r="AK1189" s="755" t="n"/>
      <c r="AL1189" s="755" t="n"/>
      <c r="AM1189" s="755" t="n"/>
      <c r="AN1189" s="755" t="n"/>
      <c r="AO1189" s="755" t="n"/>
      <c r="AP1189" s="740" t="inlineStr">
        <is>
          <t>Pullback</t>
        </is>
      </c>
      <c r="AQ1189" s="740" t="inlineStr">
        <is>
          <t>5MIN</t>
        </is>
      </c>
      <c r="AR1189" s="740" t="inlineStr">
        <is>
          <t>No</t>
        </is>
      </c>
      <c r="AS1189" s="755" t="n"/>
      <c r="AT1189" s="755" t="n"/>
      <c r="AU1189" s="755" t="n"/>
      <c r="AV1189" s="755" t="n"/>
      <c r="AW1189" s="740" t="inlineStr">
        <is>
          <t>trade</t>
        </is>
      </c>
      <c r="AX1189" s="756" t="inlineStr">
        <is>
          <t>sig:0db4b61909f4fb95525ddc05</t>
        </is>
      </c>
    </row>
    <row r="1190" ht="15" customHeight="1">
      <c r="A1190" s="716" t="inlineStr">
        <is>
          <t>F357</t>
        </is>
      </c>
      <c r="B1190" s="717" t="n">
        <v>43454</v>
      </c>
      <c r="C1190" s="718" t="n">
        <v>43454.00347222222</v>
      </c>
      <c r="D1190" s="719" t="inlineStr">
        <is>
          <t>PEPPERSTONE DEMO</t>
        </is>
      </c>
      <c r="E1190" s="719" t="inlineStr">
        <is>
          <t>USDCAD</t>
        </is>
      </c>
      <c r="F1190" s="719" t="inlineStr">
        <is>
          <t>BUY</t>
        </is>
      </c>
      <c r="G1190" s="735" t="n">
        <v>0.04</v>
      </c>
      <c r="H1190" s="720" t="n">
        <v>1.3463</v>
      </c>
      <c r="I1190" s="720" t="n">
        <v>1.34569</v>
      </c>
      <c r="J1190" s="721" t="n">
        <v>1.3452</v>
      </c>
      <c r="K1190" s="760" t="n">
        <v>0.0008170541484068193</v>
      </c>
      <c r="L1190" s="721" t="n">
        <v>1.3485</v>
      </c>
      <c r="M1190" s="722" t="n">
        <v>0.001634108296813474</v>
      </c>
      <c r="N1190" s="788" t="n"/>
      <c r="O1190" s="762" t="n">
        <v>-2.86</v>
      </c>
      <c r="P1190" s="725" t="n">
        <v>-0.005697551646512738</v>
      </c>
      <c r="Q1190" s="726" t="n">
        <v>-0.5545454545454032</v>
      </c>
      <c r="R1190" s="764" t="n">
        <v>499.1100000000001</v>
      </c>
      <c r="S1190" s="719" t="inlineStr">
        <is>
          <t>5M 0S</t>
        </is>
      </c>
      <c r="T1190" s="728" t="n"/>
      <c r="U1190" s="729" t="n"/>
      <c r="V1190" s="730" t="n"/>
      <c r="W1190" s="731" t="n"/>
      <c r="X1190" s="732" t="n"/>
      <c r="Y1190" s="728" t="n"/>
      <c r="Z1190" s="729" t="n"/>
      <c r="AA1190" s="730" t="n"/>
      <c r="AB1190" s="731" t="n"/>
      <c r="AC1190" s="732" t="n"/>
      <c r="AD1190" s="719" t="inlineStr">
        <is>
          <t>No</t>
        </is>
      </c>
      <c r="AE1190" s="733" t="n"/>
      <c r="AF1190" s="733" t="n"/>
      <c r="AG1190" s="733" t="n"/>
      <c r="AH1190" s="733" t="n"/>
      <c r="AI1190" s="719" t="inlineStr">
        <is>
          <t>Market</t>
        </is>
      </c>
      <c r="AJ1190" s="733" t="n"/>
      <c r="AK1190" s="733" t="n"/>
      <c r="AL1190" s="733" t="n"/>
      <c r="AM1190" s="733" t="n"/>
      <c r="AN1190" s="733" t="n"/>
      <c r="AO1190" s="733" t="n"/>
      <c r="AP1190" s="719" t="inlineStr">
        <is>
          <t>Pullback</t>
        </is>
      </c>
      <c r="AQ1190" s="719" t="inlineStr">
        <is>
          <t>5MIN</t>
        </is>
      </c>
      <c r="AR1190" s="719" t="inlineStr">
        <is>
          <t>No</t>
        </is>
      </c>
      <c r="AS1190" s="733" t="n"/>
      <c r="AT1190" s="733" t="n"/>
      <c r="AU1190" s="733" t="n"/>
      <c r="AV1190" s="733" t="n"/>
      <c r="AW1190" s="719" t="inlineStr">
        <is>
          <t>trade</t>
        </is>
      </c>
      <c r="AX1190" s="734" t="inlineStr">
        <is>
          <t>sig:56e9f0c20d474cce0e175eae</t>
        </is>
      </c>
    </row>
    <row r="1191" ht="15" customHeight="1">
      <c r="A1191" s="716" t="inlineStr">
        <is>
          <t>F353</t>
        </is>
      </c>
      <c r="B1191" s="717" t="n">
        <v>43453.97916666666</v>
      </c>
      <c r="C1191" s="718" t="n">
        <v>43453.97917824074</v>
      </c>
      <c r="D1191" s="719" t="inlineStr">
        <is>
          <t>PEPPERSTONE DEMO</t>
        </is>
      </c>
      <c r="E1191" s="719" t="inlineStr">
        <is>
          <t>USDCAD</t>
        </is>
      </c>
      <c r="F1191" s="719" t="inlineStr">
        <is>
          <t>BUY</t>
        </is>
      </c>
      <c r="G1191" s="735" t="n">
        <v>0.04</v>
      </c>
      <c r="H1191" s="720" t="n">
        <v>1.3456</v>
      </c>
      <c r="I1191" s="720" t="n">
        <v>1.34442</v>
      </c>
      <c r="J1191" s="721" t="n">
        <v>1.3444</v>
      </c>
      <c r="K1191" s="760" t="n">
        <v>0.0008917954815694618</v>
      </c>
      <c r="L1191" s="721" t="n">
        <v>1.348</v>
      </c>
      <c r="M1191" s="722" t="n">
        <v>0.001783590963139254</v>
      </c>
      <c r="N1191" s="788" t="n"/>
      <c r="O1191" s="762" t="n">
        <v>-4.98</v>
      </c>
      <c r="P1191" s="725" t="n">
        <v>-0.009823453989545318</v>
      </c>
      <c r="Q1191" s="726" t="n">
        <v>-0.9833333333334073</v>
      </c>
      <c r="R1191" s="764" t="n">
        <v>501.9700000000001</v>
      </c>
      <c r="S1191" s="719" t="inlineStr">
        <is>
          <t>1S</t>
        </is>
      </c>
      <c r="T1191" s="728" t="n"/>
      <c r="U1191" s="729" t="n"/>
      <c r="V1191" s="730" t="n"/>
      <c r="W1191" s="731" t="n"/>
      <c r="X1191" s="732" t="n"/>
      <c r="Y1191" s="728" t="n"/>
      <c r="Z1191" s="729" t="n"/>
      <c r="AA1191" s="730" t="n"/>
      <c r="AB1191" s="731" t="n"/>
      <c r="AC1191" s="732" t="n"/>
      <c r="AD1191" s="719" t="inlineStr">
        <is>
          <t>No</t>
        </is>
      </c>
      <c r="AE1191" s="733" t="n"/>
      <c r="AF1191" s="733" t="n"/>
      <c r="AG1191" s="733" t="n"/>
      <c r="AH1191" s="733" t="n"/>
      <c r="AI1191" s="719" t="inlineStr">
        <is>
          <t>Limit</t>
        </is>
      </c>
      <c r="AJ1191" s="733" t="n"/>
      <c r="AK1191" s="733" t="n"/>
      <c r="AL1191" s="733" t="n"/>
      <c r="AM1191" s="733" t="n"/>
      <c r="AN1191" s="733" t="n"/>
      <c r="AO1191" s="733" t="n"/>
      <c r="AP1191" s="719" t="inlineStr">
        <is>
          <t>Pullback</t>
        </is>
      </c>
      <c r="AQ1191" s="719" t="inlineStr">
        <is>
          <t>5MIN</t>
        </is>
      </c>
      <c r="AR1191" s="719" t="inlineStr">
        <is>
          <t>No</t>
        </is>
      </c>
      <c r="AS1191" s="733" t="n"/>
      <c r="AT1191" s="733" t="n"/>
      <c r="AU1191" s="733" t="n"/>
      <c r="AV1191" s="733" t="n"/>
      <c r="AW1191" s="719" t="inlineStr">
        <is>
          <t>trade</t>
        </is>
      </c>
      <c r="AX1191" s="734" t="inlineStr">
        <is>
          <t>sig:0745aa65e15ab98eef9f9453</t>
        </is>
      </c>
    </row>
    <row r="1192" ht="15" customHeight="1">
      <c r="A1192" s="737" t="inlineStr">
        <is>
          <t>F354</t>
        </is>
      </c>
      <c r="B1192" s="738" t="n">
        <v>43453.08333333334</v>
      </c>
      <c r="C1192" s="739" t="n">
        <v>43453.14166666667</v>
      </c>
      <c r="D1192" s="740" t="inlineStr">
        <is>
          <t>PEPPERSTONE DEMO</t>
        </is>
      </c>
      <c r="E1192" s="740" t="inlineStr">
        <is>
          <t>USDCAD</t>
        </is>
      </c>
      <c r="F1192" s="740" t="inlineStr">
        <is>
          <t>BUY</t>
        </is>
      </c>
      <c r="G1192" s="775" t="n">
        <v>0.03</v>
      </c>
      <c r="H1192" s="742" t="n">
        <v>1.3445</v>
      </c>
      <c r="I1192" s="742" t="n">
        <v>1.34768</v>
      </c>
      <c r="J1192" s="743" t="n">
        <v>1.3429</v>
      </c>
      <c r="K1192" s="744" t="n">
        <v>0.001190033469691369</v>
      </c>
      <c r="L1192" s="743" t="n">
        <v>1.3476</v>
      </c>
      <c r="M1192" s="744" t="n">
        <v>0.002305689847526873</v>
      </c>
      <c r="N1192" s="796" t="n"/>
      <c r="O1192" s="767" t="n">
        <v>8.220000000000001</v>
      </c>
      <c r="P1192" s="747" t="n">
        <v>0.01648186393439336</v>
      </c>
      <c r="Q1192" s="748" t="n">
        <v>1.987499999999919</v>
      </c>
      <c r="R1192" s="769" t="n">
        <v>506.9500000000001</v>
      </c>
      <c r="S1192" s="740" t="inlineStr">
        <is>
          <t>1H 24M 0S</t>
        </is>
      </c>
      <c r="T1192" s="738" t="n">
        <v>43453.09583333333</v>
      </c>
      <c r="U1192" s="809" t="inlineStr">
        <is>
          <t>18M 0S</t>
        </is>
      </c>
      <c r="V1192" s="752" t="n"/>
      <c r="W1192" s="753" t="n"/>
      <c r="X1192" s="754" t="n"/>
      <c r="Y1192" s="750" t="n"/>
      <c r="Z1192" s="751" t="n"/>
      <c r="AA1192" s="752" t="n"/>
      <c r="AB1192" s="753" t="n"/>
      <c r="AC1192" s="754" t="n"/>
      <c r="AD1192" s="740" t="inlineStr">
        <is>
          <t>No</t>
        </is>
      </c>
      <c r="AE1192" s="755" t="n"/>
      <c r="AF1192" s="755" t="n"/>
      <c r="AG1192" s="755" t="n"/>
      <c r="AH1192" s="755" t="n"/>
      <c r="AI1192" s="740" t="inlineStr">
        <is>
          <t>Market</t>
        </is>
      </c>
      <c r="AJ1192" s="755" t="n"/>
      <c r="AK1192" s="755" t="n"/>
      <c r="AL1192" s="755" t="n"/>
      <c r="AM1192" s="755" t="n"/>
      <c r="AN1192" s="755" t="n"/>
      <c r="AO1192" s="755" t="n"/>
      <c r="AP1192" s="740" t="inlineStr">
        <is>
          <t>Pullback</t>
        </is>
      </c>
      <c r="AQ1192" s="740" t="inlineStr">
        <is>
          <t>5MIN</t>
        </is>
      </c>
      <c r="AR1192" s="740" t="inlineStr">
        <is>
          <t>No</t>
        </is>
      </c>
      <c r="AS1192" s="755" t="n"/>
      <c r="AT1192" s="755" t="n"/>
      <c r="AU1192" s="755" t="n"/>
      <c r="AV1192" s="755" t="n"/>
      <c r="AW1192" s="740" t="inlineStr">
        <is>
          <t>trade</t>
        </is>
      </c>
      <c r="AX1192" s="756" t="inlineStr">
        <is>
          <t>sig:1bb67e6b21e0c71148b5d41e</t>
        </is>
      </c>
    </row>
    <row r="1193" ht="15" customHeight="1">
      <c r="A1193" s="737" t="inlineStr">
        <is>
          <t>F351</t>
        </is>
      </c>
      <c r="B1193" s="738" t="n">
        <v>43452.98263888889</v>
      </c>
      <c r="C1193" s="739" t="n">
        <v>43453.07222222222</v>
      </c>
      <c r="D1193" s="740" t="inlineStr">
        <is>
          <t>PEPPERSTONE DEMO</t>
        </is>
      </c>
      <c r="E1193" s="740" t="inlineStr">
        <is>
          <t>USDCAD</t>
        </is>
      </c>
      <c r="F1193" s="740" t="inlineStr">
        <is>
          <t>BUY</t>
        </is>
      </c>
      <c r="G1193" s="775" t="n">
        <v>0.04</v>
      </c>
      <c r="H1193" s="742" t="n">
        <v>1.341</v>
      </c>
      <c r="I1193" s="742" t="n">
        <v>1.34319</v>
      </c>
      <c r="J1193" s="743" t="n">
        <v>1.34</v>
      </c>
      <c r="K1193" s="765" t="n">
        <v>0.0007457121551080461</v>
      </c>
      <c r="L1193" s="743" t="n">
        <v>1.3431</v>
      </c>
      <c r="M1193" s="744" t="n">
        <v>0.001565995525727063</v>
      </c>
      <c r="N1193" s="796" t="n"/>
      <c r="O1193" s="767" t="n">
        <v>8.99</v>
      </c>
      <c r="P1193" s="747" t="n">
        <v>0.01835667905419202</v>
      </c>
      <c r="Q1193" s="748" t="n">
        <v>2.190000000000377</v>
      </c>
      <c r="R1193" s="769" t="n">
        <v>498.7300000000001</v>
      </c>
      <c r="S1193" s="740" t="inlineStr">
        <is>
          <t>2H 9M 0S</t>
        </is>
      </c>
      <c r="T1193" s="738" t="n">
        <v>43453.03472222222</v>
      </c>
      <c r="U1193" s="809" t="inlineStr">
        <is>
          <t>1H 15M 0S</t>
        </is>
      </c>
      <c r="V1193" s="752" t="n"/>
      <c r="W1193" s="753" t="n"/>
      <c r="X1193" s="754" t="n"/>
      <c r="Y1193" s="750" t="n"/>
      <c r="Z1193" s="751" t="n"/>
      <c r="AA1193" s="752" t="n"/>
      <c r="AB1193" s="753" t="n"/>
      <c r="AC1193" s="754" t="n"/>
      <c r="AD1193" s="740" t="inlineStr">
        <is>
          <t>No</t>
        </is>
      </c>
      <c r="AE1193" s="755" t="n"/>
      <c r="AF1193" s="755" t="n"/>
      <c r="AG1193" s="755" t="n"/>
      <c r="AH1193" s="755" t="n"/>
      <c r="AI1193" s="740" t="inlineStr">
        <is>
          <t>Market</t>
        </is>
      </c>
      <c r="AJ1193" s="755" t="n"/>
      <c r="AK1193" s="755" t="n"/>
      <c r="AL1193" s="755" t="n"/>
      <c r="AM1193" s="755" t="n"/>
      <c r="AN1193" s="755" t="n"/>
      <c r="AO1193" s="755" t="n"/>
      <c r="AP1193" s="740" t="inlineStr">
        <is>
          <t>Pullback</t>
        </is>
      </c>
      <c r="AQ1193" s="740" t="inlineStr">
        <is>
          <t>5MIN</t>
        </is>
      </c>
      <c r="AR1193" s="740" t="inlineStr">
        <is>
          <t>No</t>
        </is>
      </c>
      <c r="AS1193" s="755" t="n"/>
      <c r="AT1193" s="755" t="n"/>
      <c r="AU1193" s="755" t="n"/>
      <c r="AV1193" s="755" t="n"/>
      <c r="AW1193" s="740" t="inlineStr">
        <is>
          <t>trade</t>
        </is>
      </c>
      <c r="AX1193" s="756" t="inlineStr">
        <is>
          <t>sig:29f5959fd7a0d57ec4be778b</t>
        </is>
      </c>
    </row>
    <row r="1194" ht="15" customHeight="1">
      <c r="A1194" s="716" t="inlineStr">
        <is>
          <t>F350</t>
        </is>
      </c>
      <c r="B1194" s="717" t="n">
        <v>43452.95138888889</v>
      </c>
      <c r="C1194" s="718" t="n">
        <v>43452.95486111111</v>
      </c>
      <c r="D1194" s="719" t="inlineStr">
        <is>
          <t>PEPPERSTONE DEMO</t>
        </is>
      </c>
      <c r="E1194" s="719" t="inlineStr">
        <is>
          <t>USDCAD</t>
        </is>
      </c>
      <c r="F1194" s="719" t="inlineStr">
        <is>
          <t>SELL</t>
        </is>
      </c>
      <c r="G1194" s="735" t="n">
        <v>0.05</v>
      </c>
      <c r="H1194" s="720" t="n">
        <v>1.3393</v>
      </c>
      <c r="I1194" s="720" t="n">
        <v>1.33995</v>
      </c>
      <c r="J1194" s="721" t="n">
        <v>1.3402</v>
      </c>
      <c r="K1194" s="760" t="n">
        <v>0.0006719928320765496</v>
      </c>
      <c r="L1194" s="721" t="n">
        <v>1.3375</v>
      </c>
      <c r="M1194" s="722" t="n">
        <v>0.001343985664152934</v>
      </c>
      <c r="N1194" s="788" t="n"/>
      <c r="O1194" s="762" t="n">
        <v>-3.26</v>
      </c>
      <c r="P1194" s="725" t="n">
        <v>-0.006612576064908721</v>
      </c>
      <c r="Q1194" s="726" t="n">
        <v>-0.7222222222221674</v>
      </c>
      <c r="R1194" s="764" t="n">
        <v>489.7400000000001</v>
      </c>
      <c r="S1194" s="719" t="inlineStr">
        <is>
          <t>5M 0S</t>
        </is>
      </c>
      <c r="T1194" s="728" t="n"/>
      <c r="U1194" s="729" t="n"/>
      <c r="V1194" s="730" t="n"/>
      <c r="W1194" s="731" t="n"/>
      <c r="X1194" s="732" t="n"/>
      <c r="Y1194" s="728" t="n"/>
      <c r="Z1194" s="729" t="n"/>
      <c r="AA1194" s="730" t="n"/>
      <c r="AB1194" s="731" t="n"/>
      <c r="AC1194" s="732" t="n"/>
      <c r="AD1194" s="719" t="inlineStr">
        <is>
          <t>No</t>
        </is>
      </c>
      <c r="AE1194" s="733" t="n"/>
      <c r="AF1194" s="733" t="n"/>
      <c r="AG1194" s="733" t="n"/>
      <c r="AH1194" s="733" t="n"/>
      <c r="AI1194" s="719" t="inlineStr">
        <is>
          <t>Market</t>
        </is>
      </c>
      <c r="AJ1194" s="733" t="n"/>
      <c r="AK1194" s="733" t="n"/>
      <c r="AL1194" s="733" t="n"/>
      <c r="AM1194" s="733" t="n"/>
      <c r="AN1194" s="733" t="n"/>
      <c r="AO1194" s="733" t="n"/>
      <c r="AP1194" s="719" t="inlineStr">
        <is>
          <t>Pullback</t>
        </is>
      </c>
      <c r="AQ1194" s="719" t="inlineStr">
        <is>
          <t>5MIN</t>
        </is>
      </c>
      <c r="AR1194" s="719" t="inlineStr">
        <is>
          <t>No</t>
        </is>
      </c>
      <c r="AS1194" s="733" t="n"/>
      <c r="AT1194" s="733" t="n"/>
      <c r="AU1194" s="733" t="n"/>
      <c r="AV1194" s="733" t="n"/>
      <c r="AW1194" s="719" t="inlineStr">
        <is>
          <t>trade</t>
        </is>
      </c>
      <c r="AX1194" s="734" t="inlineStr">
        <is>
          <t>sig:6e2e31f419a8414e36488eb9</t>
        </is>
      </c>
    </row>
    <row r="1195" ht="15" customHeight="1">
      <c r="A1195" s="716" t="inlineStr">
        <is>
          <t>F348</t>
        </is>
      </c>
      <c r="B1195" s="717" t="n">
        <v>43452.12083333333</v>
      </c>
      <c r="C1195" s="718" t="n">
        <v>43452.12777777778</v>
      </c>
      <c r="D1195" s="719" t="inlineStr">
        <is>
          <t>PEPPERSTONE DEMO</t>
        </is>
      </c>
      <c r="E1195" s="719" t="inlineStr">
        <is>
          <t>USDCHF</t>
        </is>
      </c>
      <c r="F1195" s="719" t="inlineStr">
        <is>
          <t>BUY</t>
        </is>
      </c>
      <c r="G1195" s="735" t="n">
        <v>0.06</v>
      </c>
      <c r="H1195" s="720" t="n">
        <v>0.9936</v>
      </c>
      <c r="I1195" s="720" t="n">
        <v>0.9930600000000001</v>
      </c>
      <c r="J1195" s="721" t="n">
        <v>0.993</v>
      </c>
      <c r="K1195" s="760" t="n">
        <v>0.0006038647342995621</v>
      </c>
      <c r="L1195" s="721" t="n">
        <v>0.9947</v>
      </c>
      <c r="M1195" s="722" t="n">
        <v>0.001107085346215771</v>
      </c>
      <c r="N1195" s="788" t="n"/>
      <c r="O1195" s="762" t="n">
        <v>-5.05</v>
      </c>
      <c r="P1195" s="725" t="n">
        <v>-0.01013954422246762</v>
      </c>
      <c r="Q1195" s="726" t="n">
        <v>-0.8999999999999074</v>
      </c>
      <c r="R1195" s="764" t="n">
        <v>493.0000000000001</v>
      </c>
      <c r="S1195" s="719" t="inlineStr">
        <is>
          <t>10M 0S</t>
        </is>
      </c>
      <c r="T1195" s="728" t="n"/>
      <c r="U1195" s="729" t="n"/>
      <c r="V1195" s="730" t="n"/>
      <c r="W1195" s="731" t="n"/>
      <c r="X1195" s="732" t="n"/>
      <c r="Y1195" s="728" t="n"/>
      <c r="Z1195" s="729" t="n"/>
      <c r="AA1195" s="730" t="n"/>
      <c r="AB1195" s="731" t="n"/>
      <c r="AC1195" s="732" t="n"/>
      <c r="AD1195" s="719" t="inlineStr">
        <is>
          <t>No</t>
        </is>
      </c>
      <c r="AE1195" s="733" t="n"/>
      <c r="AF1195" s="733" t="n"/>
      <c r="AG1195" s="733" t="n"/>
      <c r="AH1195" s="733" t="n"/>
      <c r="AI1195" s="719" t="inlineStr">
        <is>
          <t>Limit</t>
        </is>
      </c>
      <c r="AJ1195" s="733" t="n"/>
      <c r="AK1195" s="733" t="n"/>
      <c r="AL1195" s="733" t="n"/>
      <c r="AM1195" s="733" t="n"/>
      <c r="AN1195" s="733" t="n"/>
      <c r="AO1195" s="733" t="n"/>
      <c r="AP1195" s="719" t="inlineStr">
        <is>
          <t>Pullback</t>
        </is>
      </c>
      <c r="AQ1195" s="719" t="inlineStr">
        <is>
          <t>5MIN</t>
        </is>
      </c>
      <c r="AR1195" s="719" t="inlineStr">
        <is>
          <t>No</t>
        </is>
      </c>
      <c r="AS1195" s="733" t="n"/>
      <c r="AT1195" s="733" t="n"/>
      <c r="AU1195" s="733" t="n"/>
      <c r="AV1195" s="733" t="n"/>
      <c r="AW1195" s="719" t="inlineStr">
        <is>
          <t>trade</t>
        </is>
      </c>
      <c r="AX1195" s="734" t="inlineStr">
        <is>
          <t>sig:8be713659a204f40b2bc3147</t>
        </is>
      </c>
    </row>
    <row r="1196" ht="15" customHeight="1">
      <c r="A1196" s="716" t="inlineStr">
        <is>
          <t>F349</t>
        </is>
      </c>
      <c r="B1196" s="717" t="n">
        <v>43452.06597222222</v>
      </c>
      <c r="C1196" s="718" t="n">
        <v>43452.09722222222</v>
      </c>
      <c r="D1196" s="719" t="inlineStr">
        <is>
          <t>PEPPERSTONE DEMO</t>
        </is>
      </c>
      <c r="E1196" s="719" t="inlineStr">
        <is>
          <t>EURUSD</t>
        </is>
      </c>
      <c r="F1196" s="719" t="inlineStr">
        <is>
          <t>SELL</t>
        </is>
      </c>
      <c r="G1196" s="735" t="n">
        <v>0.04</v>
      </c>
      <c r="H1196" s="720" t="n">
        <v>1.1333</v>
      </c>
      <c r="I1196" s="720" t="n">
        <v>1.13427</v>
      </c>
      <c r="J1196" s="721" t="n">
        <v>1.1342</v>
      </c>
      <c r="K1196" s="760" t="n">
        <v>0.0007941410041472893</v>
      </c>
      <c r="L1196" s="721" t="n">
        <v>1.1314</v>
      </c>
      <c r="M1196" s="722" t="n">
        <v>0.00167651989764406</v>
      </c>
      <c r="N1196" s="788" t="n"/>
      <c r="O1196" s="762" t="n">
        <v>-5.01</v>
      </c>
      <c r="P1196" s="725" t="n">
        <v>-0.009959050610265174</v>
      </c>
      <c r="Q1196" s="726" t="n">
        <v>-1.077777777777537</v>
      </c>
      <c r="R1196" s="764" t="n">
        <v>498.0500000000001</v>
      </c>
      <c r="S1196" s="719" t="inlineStr">
        <is>
          <t>45M 0S</t>
        </is>
      </c>
      <c r="T1196" s="728" t="n"/>
      <c r="U1196" s="729" t="n"/>
      <c r="V1196" s="730" t="n"/>
      <c r="W1196" s="731" t="n"/>
      <c r="X1196" s="732" t="n"/>
      <c r="Y1196" s="728" t="n"/>
      <c r="Z1196" s="729" t="n"/>
      <c r="AA1196" s="730" t="n"/>
      <c r="AB1196" s="731" t="n"/>
      <c r="AC1196" s="732" t="n"/>
      <c r="AD1196" s="719" t="inlineStr">
        <is>
          <t>No</t>
        </is>
      </c>
      <c r="AE1196" s="733" t="n"/>
      <c r="AF1196" s="733" t="n"/>
      <c r="AG1196" s="733" t="n"/>
      <c r="AH1196" s="733" t="n"/>
      <c r="AI1196" s="719" t="inlineStr">
        <is>
          <t>Market</t>
        </is>
      </c>
      <c r="AJ1196" s="733" t="n"/>
      <c r="AK1196" s="733" t="n"/>
      <c r="AL1196" s="733" t="n"/>
      <c r="AM1196" s="733" t="n"/>
      <c r="AN1196" s="733" t="n"/>
      <c r="AO1196" s="733" t="n"/>
      <c r="AP1196" s="719" t="inlineStr">
        <is>
          <t>Pullback</t>
        </is>
      </c>
      <c r="AQ1196" s="719" t="inlineStr">
        <is>
          <t>5MIN</t>
        </is>
      </c>
      <c r="AR1196" s="719" t="inlineStr">
        <is>
          <t>No</t>
        </is>
      </c>
      <c r="AS1196" s="733" t="n"/>
      <c r="AT1196" s="733" t="n"/>
      <c r="AU1196" s="733" t="n"/>
      <c r="AV1196" s="733" t="n"/>
      <c r="AW1196" s="719" t="inlineStr">
        <is>
          <t>trade</t>
        </is>
      </c>
      <c r="AX1196" s="734" t="inlineStr">
        <is>
          <t>sig:164f3fd65a3182fa65c47fc0</t>
        </is>
      </c>
    </row>
    <row r="1197" ht="15" customHeight="1">
      <c r="A1197" s="716" t="inlineStr">
        <is>
          <t>F352</t>
        </is>
      </c>
      <c r="B1197" s="717" t="n">
        <v>43452.03125</v>
      </c>
      <c r="C1197" s="718" t="n">
        <v>43452.05208333334</v>
      </c>
      <c r="D1197" s="719" t="inlineStr">
        <is>
          <t>PEPPERSTONE DEMO</t>
        </is>
      </c>
      <c r="E1197" s="719" t="inlineStr">
        <is>
          <t>USDCAD</t>
        </is>
      </c>
      <c r="F1197" s="719" t="inlineStr">
        <is>
          <t>BUY</t>
        </is>
      </c>
      <c r="G1197" s="735" t="n">
        <v>0.04</v>
      </c>
      <c r="H1197" s="720" t="n">
        <v>1.3401</v>
      </c>
      <c r="I1197" s="720" t="n">
        <v>1.33976</v>
      </c>
      <c r="J1197" s="721" t="n">
        <v>1.3389</v>
      </c>
      <c r="K1197" s="760" t="n">
        <v>0.0008954555630177523</v>
      </c>
      <c r="L1197" s="721" t="n">
        <v>1.342</v>
      </c>
      <c r="M1197" s="722" t="n">
        <v>0.001417804641444678</v>
      </c>
      <c r="N1197" s="788" t="n"/>
      <c r="O1197" s="762" t="n">
        <v>-1.5</v>
      </c>
      <c r="P1197" s="725" t="n">
        <v>-0.002972887268114793</v>
      </c>
      <c r="Q1197" s="726" t="n">
        <v>-0.2833333333333179</v>
      </c>
      <c r="R1197" s="764" t="n">
        <v>503.0600000000001</v>
      </c>
      <c r="S1197" s="719" t="inlineStr">
        <is>
          <t>30M 0S</t>
        </is>
      </c>
      <c r="T1197" s="728" t="n"/>
      <c r="U1197" s="729" t="n"/>
      <c r="V1197" s="730" t="n"/>
      <c r="W1197" s="731" t="n"/>
      <c r="X1197" s="732" t="n"/>
      <c r="Y1197" s="728" t="n"/>
      <c r="Z1197" s="729" t="n"/>
      <c r="AA1197" s="730" t="n"/>
      <c r="AB1197" s="731" t="n"/>
      <c r="AC1197" s="732" t="n"/>
      <c r="AD1197" s="719" t="inlineStr">
        <is>
          <t>No</t>
        </is>
      </c>
      <c r="AE1197" s="733" t="n"/>
      <c r="AF1197" s="733" t="n"/>
      <c r="AG1197" s="733" t="n"/>
      <c r="AH1197" s="733" t="n"/>
      <c r="AI1197" s="719" t="inlineStr">
        <is>
          <t>Market</t>
        </is>
      </c>
      <c r="AJ1197" s="733" t="n"/>
      <c r="AK1197" s="733" t="n"/>
      <c r="AL1197" s="733" t="n"/>
      <c r="AM1197" s="733" t="n"/>
      <c r="AN1197" s="733" t="n"/>
      <c r="AO1197" s="733" t="n"/>
      <c r="AP1197" s="719" t="inlineStr">
        <is>
          <t>Pullback</t>
        </is>
      </c>
      <c r="AQ1197" s="719" t="inlineStr">
        <is>
          <t>5MIN</t>
        </is>
      </c>
      <c r="AR1197" s="719" t="inlineStr">
        <is>
          <t>No</t>
        </is>
      </c>
      <c r="AS1197" s="733" t="n"/>
      <c r="AT1197" s="733" t="n"/>
      <c r="AU1197" s="733" t="n"/>
      <c r="AV1197" s="733" t="n"/>
      <c r="AW1197" s="719" t="inlineStr">
        <is>
          <t>trade</t>
        </is>
      </c>
      <c r="AX1197" s="734" t="inlineStr">
        <is>
          <t>sig:39eee716966dfd6ca131710c</t>
        </is>
      </c>
    </row>
    <row r="1198" ht="15" customHeight="1">
      <c r="A1198" s="737" t="inlineStr">
        <is>
          <t>F347</t>
        </is>
      </c>
      <c r="B1198" s="738" t="n">
        <v>43451.96875</v>
      </c>
      <c r="C1198" s="739" t="n">
        <v>43452.01875</v>
      </c>
      <c r="D1198" s="740" t="inlineStr">
        <is>
          <t>PEPPERSTONE DEMO</t>
        </is>
      </c>
      <c r="E1198" s="740" t="inlineStr">
        <is>
          <t>USDCAD</t>
        </is>
      </c>
      <c r="F1198" s="740" t="inlineStr">
        <is>
          <t>BUY</t>
        </is>
      </c>
      <c r="G1198" s="775" t="n">
        <v>0.09</v>
      </c>
      <c r="H1198" s="742" t="n">
        <v>1.3393</v>
      </c>
      <c r="I1198" s="742" t="n">
        <v>1.33995</v>
      </c>
      <c r="J1198" s="743" t="n">
        <v>1.3388</v>
      </c>
      <c r="K1198" s="765" t="n">
        <v>0.0003733293511535466</v>
      </c>
      <c r="L1198" s="743" t="n">
        <v>1.3404</v>
      </c>
      <c r="M1198" s="765" t="n">
        <v>0.0008213245725379683</v>
      </c>
      <c r="N1198" s="796" t="n"/>
      <c r="O1198" s="767" t="n">
        <v>2.53</v>
      </c>
      <c r="P1198" s="747" t="n">
        <v>0.005039539469752802</v>
      </c>
      <c r="Q1198" s="748" t="n">
        <v>1.300000000000222</v>
      </c>
      <c r="R1198" s="769" t="n">
        <v>504.5600000000001</v>
      </c>
      <c r="S1198" s="740" t="inlineStr">
        <is>
          <t>1H 12M 0S</t>
        </is>
      </c>
      <c r="T1198" s="750" t="n"/>
      <c r="U1198" s="751" t="n"/>
      <c r="V1198" s="752" t="n"/>
      <c r="W1198" s="753" t="n"/>
      <c r="X1198" s="754" t="n"/>
      <c r="Y1198" s="750" t="n"/>
      <c r="Z1198" s="751" t="n"/>
      <c r="AA1198" s="752" t="n"/>
      <c r="AB1198" s="753" t="n"/>
      <c r="AC1198" s="754" t="n"/>
      <c r="AD1198" s="740" t="inlineStr">
        <is>
          <t>No</t>
        </is>
      </c>
      <c r="AE1198" s="755" t="n"/>
      <c r="AF1198" s="755" t="n"/>
      <c r="AG1198" s="755" t="n"/>
      <c r="AH1198" s="755" t="n"/>
      <c r="AI1198" s="740" t="inlineStr">
        <is>
          <t>Market</t>
        </is>
      </c>
      <c r="AJ1198" s="755" t="n"/>
      <c r="AK1198" s="755" t="n"/>
      <c r="AL1198" s="755" t="n"/>
      <c r="AM1198" s="755" t="n"/>
      <c r="AN1198" s="755" t="n"/>
      <c r="AO1198" s="755" t="n"/>
      <c r="AP1198" s="740" t="inlineStr">
        <is>
          <t>Pullback</t>
        </is>
      </c>
      <c r="AQ1198" s="740" t="inlineStr">
        <is>
          <t>5MIN</t>
        </is>
      </c>
      <c r="AR1198" s="740" t="inlineStr">
        <is>
          <t>No</t>
        </is>
      </c>
      <c r="AS1198" s="755" t="n"/>
      <c r="AT1198" s="755" t="n"/>
      <c r="AU1198" s="755" t="n"/>
      <c r="AV1198" s="755" t="n"/>
      <c r="AW1198" s="740" t="inlineStr">
        <is>
          <t>trade</t>
        </is>
      </c>
      <c r="AX1198" s="756" t="inlineStr">
        <is>
          <t>sig:c7fe5d67f08b693bef06c9b7</t>
        </is>
      </c>
    </row>
    <row r="1199" ht="15" customHeight="1">
      <c r="A1199" s="716" t="inlineStr">
        <is>
          <t>F341</t>
        </is>
      </c>
      <c r="B1199" s="717" t="n">
        <v>43448.97916666666</v>
      </c>
      <c r="C1199" s="718" t="n">
        <v>43449.03125</v>
      </c>
      <c r="D1199" s="719" t="inlineStr">
        <is>
          <t>PEPPERSTONE DEMO</t>
        </is>
      </c>
      <c r="E1199" s="719" t="inlineStr">
        <is>
          <t>EURUSD</t>
        </is>
      </c>
      <c r="F1199" s="719" t="inlineStr">
        <is>
          <t>SELL</t>
        </is>
      </c>
      <c r="G1199" s="735" t="n">
        <v>0.03</v>
      </c>
      <c r="H1199" s="720" t="n">
        <v>1.1276</v>
      </c>
      <c r="I1199" s="720" t="n">
        <v>1.12847</v>
      </c>
      <c r="J1199" s="721" t="n">
        <v>1.1286</v>
      </c>
      <c r="K1199" s="760" t="n">
        <v>0.0008868393047180844</v>
      </c>
      <c r="L1199" s="721" t="n">
        <v>1.1256</v>
      </c>
      <c r="M1199" s="722" t="n">
        <v>0.001773678609435972</v>
      </c>
      <c r="N1199" s="788" t="n"/>
      <c r="O1199" s="762" t="n">
        <v>-3.39</v>
      </c>
      <c r="P1199" s="725" t="n">
        <v>-0.006707292944481817</v>
      </c>
      <c r="Q1199" s="726" t="n">
        <v>-0.8700000000000511</v>
      </c>
      <c r="R1199" s="764" t="n">
        <v>502.0300000000001</v>
      </c>
      <c r="S1199" s="719" t="inlineStr">
        <is>
          <t>1H 15M 0S</t>
        </is>
      </c>
      <c r="T1199" s="728" t="n"/>
      <c r="U1199" s="729" t="n"/>
      <c r="V1199" s="730" t="n"/>
      <c r="W1199" s="731" t="n"/>
      <c r="X1199" s="732" t="n"/>
      <c r="Y1199" s="728" t="n"/>
      <c r="Z1199" s="729" t="n"/>
      <c r="AA1199" s="730" t="n"/>
      <c r="AB1199" s="731" t="n"/>
      <c r="AC1199" s="732" t="n"/>
      <c r="AD1199" s="719" t="inlineStr">
        <is>
          <t>No</t>
        </is>
      </c>
      <c r="AE1199" s="733" t="n"/>
      <c r="AF1199" s="733" t="n"/>
      <c r="AG1199" s="733" t="n"/>
      <c r="AH1199" s="733" t="n"/>
      <c r="AI1199" s="719" t="inlineStr">
        <is>
          <t>Limit</t>
        </is>
      </c>
      <c r="AJ1199" s="733" t="n"/>
      <c r="AK1199" s="733" t="n"/>
      <c r="AL1199" s="733" t="n"/>
      <c r="AM1199" s="733" t="n"/>
      <c r="AN1199" s="733" t="n"/>
      <c r="AO1199" s="733" t="n"/>
      <c r="AP1199" s="719" t="inlineStr">
        <is>
          <t>Pullback</t>
        </is>
      </c>
      <c r="AQ1199" s="719" t="inlineStr">
        <is>
          <t>5MIN</t>
        </is>
      </c>
      <c r="AR1199" s="719" t="inlineStr">
        <is>
          <t>No</t>
        </is>
      </c>
      <c r="AS1199" s="733" t="n"/>
      <c r="AT1199" s="733" t="n"/>
      <c r="AU1199" s="733" t="n"/>
      <c r="AV1199" s="733" t="n"/>
      <c r="AW1199" s="719" t="inlineStr">
        <is>
          <t>trade</t>
        </is>
      </c>
      <c r="AX1199" s="734" t="inlineStr">
        <is>
          <t>sig:b4041c4051476bf3498bce1d</t>
        </is>
      </c>
    </row>
    <row r="1200" ht="15" customHeight="1">
      <c r="A1200" s="737" t="inlineStr">
        <is>
          <t>F342</t>
        </is>
      </c>
      <c r="B1200" s="738" t="n">
        <v>43448.9375</v>
      </c>
      <c r="C1200" s="739" t="n">
        <v>43448.97361111111</v>
      </c>
      <c r="D1200" s="740" t="inlineStr">
        <is>
          <t>PEPPERSTONE DEMO</t>
        </is>
      </c>
      <c r="E1200" s="740" t="inlineStr">
        <is>
          <t>EURUSD</t>
        </is>
      </c>
      <c r="F1200" s="740" t="inlineStr">
        <is>
          <t>SELL</t>
        </is>
      </c>
      <c r="G1200" s="775" t="n">
        <v>0.05</v>
      </c>
      <c r="H1200" s="742" t="n">
        <v>1.1287</v>
      </c>
      <c r="I1200" s="742" t="n">
        <v>1.12868</v>
      </c>
      <c r="J1200" s="743" t="n">
        <v>1.1294</v>
      </c>
      <c r="K1200" s="765" t="n">
        <v>0.0006201825108531256</v>
      </c>
      <c r="L1200" s="743" t="n">
        <v>1.1273</v>
      </c>
      <c r="M1200" s="744" t="n">
        <v>0.001240365021706448</v>
      </c>
      <c r="N1200" s="796" t="n"/>
      <c r="O1200" s="767" t="n">
        <v>0.21</v>
      </c>
      <c r="P1200" s="776" t="n">
        <v>0.0004156687318144929</v>
      </c>
      <c r="Q1200" s="814" t="n">
        <v>0.02857142857161889</v>
      </c>
      <c r="R1200" s="769" t="n">
        <v>505.4200000000001</v>
      </c>
      <c r="S1200" s="740" t="inlineStr">
        <is>
          <t>52M 0S</t>
        </is>
      </c>
      <c r="T1200" s="750" t="n"/>
      <c r="U1200" s="751" t="n"/>
      <c r="V1200" s="752" t="n"/>
      <c r="W1200" s="753" t="n"/>
      <c r="X1200" s="754" t="n"/>
      <c r="Y1200" s="750" t="n"/>
      <c r="Z1200" s="751" t="n"/>
      <c r="AA1200" s="752" t="n"/>
      <c r="AB1200" s="753" t="n"/>
      <c r="AC1200" s="754" t="n"/>
      <c r="AD1200" s="740" t="inlineStr">
        <is>
          <t>No</t>
        </is>
      </c>
      <c r="AE1200" s="755" t="n"/>
      <c r="AF1200" s="755" t="n"/>
      <c r="AG1200" s="755" t="n"/>
      <c r="AH1200" s="755" t="n"/>
      <c r="AI1200" s="740" t="inlineStr">
        <is>
          <t>Market</t>
        </is>
      </c>
      <c r="AJ1200" s="755" t="n"/>
      <c r="AK1200" s="755" t="n"/>
      <c r="AL1200" s="755" t="n"/>
      <c r="AM1200" s="755" t="n"/>
      <c r="AN1200" s="755" t="n"/>
      <c r="AO1200" s="755" t="n"/>
      <c r="AP1200" s="740" t="inlineStr">
        <is>
          <t>Pullback</t>
        </is>
      </c>
      <c r="AQ1200" s="740" t="inlineStr">
        <is>
          <t>5MIN</t>
        </is>
      </c>
      <c r="AR1200" s="740" t="inlineStr">
        <is>
          <t>No</t>
        </is>
      </c>
      <c r="AS1200" s="755" t="n"/>
      <c r="AT1200" s="755" t="n"/>
      <c r="AU1200" s="755" t="n"/>
      <c r="AV1200" s="755" t="n"/>
      <c r="AW1200" s="740" t="inlineStr">
        <is>
          <t>trade</t>
        </is>
      </c>
      <c r="AX1200" s="756" t="inlineStr">
        <is>
          <t>sig:f4640f69bec5e39de99c2dfa</t>
        </is>
      </c>
    </row>
    <row r="1201" ht="15" customHeight="1">
      <c r="A1201" s="737" t="inlineStr">
        <is>
          <t>F343</t>
        </is>
      </c>
      <c r="B1201" s="738" t="n">
        <v>43448.88888888889</v>
      </c>
      <c r="C1201" s="739" t="n">
        <v>43448.91527777778</v>
      </c>
      <c r="D1201" s="740" t="inlineStr">
        <is>
          <t>PEPPERSTONE DEMO</t>
        </is>
      </c>
      <c r="E1201" s="740" t="inlineStr">
        <is>
          <t>GBPUSD</t>
        </is>
      </c>
      <c r="F1201" s="740" t="inlineStr">
        <is>
          <t>SELL</t>
        </is>
      </c>
      <c r="G1201" s="775" t="n">
        <v>0.03</v>
      </c>
      <c r="H1201" s="742" t="n">
        <v>1.2582</v>
      </c>
      <c r="I1201" s="742" t="n">
        <v>1.25619</v>
      </c>
      <c r="J1201" s="743" t="n">
        <v>1.2592</v>
      </c>
      <c r="K1201" s="765" t="n">
        <v>0.0007947862025116134</v>
      </c>
      <c r="L1201" s="743" t="n">
        <v>1.2561</v>
      </c>
      <c r="M1201" s="744" t="n">
        <v>0.001669051025274194</v>
      </c>
      <c r="N1201" s="796" t="n"/>
      <c r="O1201" s="767" t="n">
        <v>8.75</v>
      </c>
      <c r="P1201" s="747" t="n">
        <v>0.01762478346694597</v>
      </c>
      <c r="Q1201" s="748" t="n">
        <v>2.009999999999842</v>
      </c>
      <c r="R1201" s="769" t="n">
        <v>505.2100000000001</v>
      </c>
      <c r="S1201" s="740" t="inlineStr">
        <is>
          <t>38M 0S</t>
        </is>
      </c>
      <c r="T1201" s="750" t="n"/>
      <c r="U1201" s="751" t="n"/>
      <c r="V1201" s="752" t="n"/>
      <c r="W1201" s="753" t="n"/>
      <c r="X1201" s="754" t="n"/>
      <c r="Y1201" s="750" t="n"/>
      <c r="Z1201" s="751" t="n"/>
      <c r="AA1201" s="752" t="n"/>
      <c r="AB1201" s="753" t="n"/>
      <c r="AC1201" s="754" t="n"/>
      <c r="AD1201" s="740" t="inlineStr">
        <is>
          <t>No</t>
        </is>
      </c>
      <c r="AE1201" s="755" t="n"/>
      <c r="AF1201" s="755" t="n"/>
      <c r="AG1201" s="755" t="n"/>
      <c r="AH1201" s="755" t="n"/>
      <c r="AI1201" s="740" t="inlineStr">
        <is>
          <t>Market</t>
        </is>
      </c>
      <c r="AJ1201" s="755" t="n"/>
      <c r="AK1201" s="755" t="n"/>
      <c r="AL1201" s="755" t="n"/>
      <c r="AM1201" s="755" t="n"/>
      <c r="AN1201" s="755" t="n"/>
      <c r="AO1201" s="755" t="n"/>
      <c r="AP1201" s="740" t="inlineStr">
        <is>
          <t>Pullback</t>
        </is>
      </c>
      <c r="AQ1201" s="740" t="inlineStr">
        <is>
          <t>5MIN</t>
        </is>
      </c>
      <c r="AR1201" s="740" t="inlineStr">
        <is>
          <t>No</t>
        </is>
      </c>
      <c r="AS1201" s="755" t="n"/>
      <c r="AT1201" s="755" t="n"/>
      <c r="AU1201" s="755" t="n"/>
      <c r="AV1201" s="755" t="n"/>
      <c r="AW1201" s="740" t="inlineStr">
        <is>
          <t>trade</t>
        </is>
      </c>
      <c r="AX1201" s="756" t="inlineStr">
        <is>
          <t>sig:8a4b08c50224b90f25ed52cc</t>
        </is>
      </c>
    </row>
    <row r="1202" ht="15" customHeight="1">
      <c r="A1202" s="716" t="inlineStr">
        <is>
          <t>F345</t>
        </is>
      </c>
      <c r="B1202" s="717" t="n">
        <v>43448.13541666666</v>
      </c>
      <c r="C1202" s="718" t="n">
        <v>43448.13888888889</v>
      </c>
      <c r="D1202" s="719" t="inlineStr">
        <is>
          <t>PEPPERSTONE DEMO</t>
        </is>
      </c>
      <c r="E1202" s="719" t="inlineStr">
        <is>
          <t>USDCAD</t>
        </is>
      </c>
      <c r="F1202" s="719" t="inlineStr">
        <is>
          <t>SELL</t>
        </is>
      </c>
      <c r="G1202" s="735" t="n">
        <v>0.02</v>
      </c>
      <c r="H1202" s="720" t="n">
        <v>1.3339</v>
      </c>
      <c r="I1202" s="720" t="n">
        <v>1.33517</v>
      </c>
      <c r="J1202" s="721" t="n">
        <v>1.3356</v>
      </c>
      <c r="K1202" s="722" t="n">
        <v>0.0012744583551989</v>
      </c>
      <c r="L1202" s="721" t="n">
        <v>1.331</v>
      </c>
      <c r="M1202" s="722" t="n">
        <v>0.002174076017692574</v>
      </c>
      <c r="N1202" s="788" t="n"/>
      <c r="O1202" s="762" t="n">
        <v>-2.52</v>
      </c>
      <c r="P1202" s="725" t="n">
        <v>-0.005050302617339372</v>
      </c>
      <c r="Q1202" s="726" t="n">
        <v>-0.7470588235294249</v>
      </c>
      <c r="R1202" s="764" t="n">
        <v>496.4600000000001</v>
      </c>
      <c r="S1202" s="719" t="inlineStr">
        <is>
          <t>5M 0S</t>
        </is>
      </c>
      <c r="T1202" s="728" t="n"/>
      <c r="U1202" s="729" t="n"/>
      <c r="V1202" s="730" t="n"/>
      <c r="W1202" s="731" t="n"/>
      <c r="X1202" s="732" t="n"/>
      <c r="Y1202" s="728" t="n"/>
      <c r="Z1202" s="729" t="n"/>
      <c r="AA1202" s="730" t="n"/>
      <c r="AB1202" s="731" t="n"/>
      <c r="AC1202" s="732" t="n"/>
      <c r="AD1202" s="719" t="inlineStr">
        <is>
          <t>No</t>
        </is>
      </c>
      <c r="AE1202" s="733" t="n"/>
      <c r="AF1202" s="733" t="n"/>
      <c r="AG1202" s="733" t="n"/>
      <c r="AH1202" s="733" t="n"/>
      <c r="AI1202" s="719" t="inlineStr">
        <is>
          <t>Market</t>
        </is>
      </c>
      <c r="AJ1202" s="733" t="n"/>
      <c r="AK1202" s="733" t="n"/>
      <c r="AL1202" s="733" t="n"/>
      <c r="AM1202" s="733" t="n"/>
      <c r="AN1202" s="733" t="n"/>
      <c r="AO1202" s="733" t="n"/>
      <c r="AP1202" s="719" t="inlineStr">
        <is>
          <t>Pullback</t>
        </is>
      </c>
      <c r="AQ1202" s="719" t="inlineStr">
        <is>
          <t>5MIN</t>
        </is>
      </c>
      <c r="AR1202" s="719" t="inlineStr">
        <is>
          <t>No</t>
        </is>
      </c>
      <c r="AS1202" s="733" t="n"/>
      <c r="AT1202" s="733" t="n"/>
      <c r="AU1202" s="733" t="n"/>
      <c r="AV1202" s="733" t="n"/>
      <c r="AW1202" s="719" t="inlineStr">
        <is>
          <t>trade</t>
        </is>
      </c>
      <c r="AX1202" s="734" t="inlineStr">
        <is>
          <t>sig:f51d0b74ef8fe4aefb3fdf7d</t>
        </is>
      </c>
    </row>
    <row r="1203" ht="15" customHeight="1">
      <c r="A1203" s="42" t="inlineStr">
        <is>
          <t>F346</t>
        </is>
      </c>
      <c r="B1203" s="770" t="n">
        <v>43448.02083333334</v>
      </c>
      <c r="C1203" s="771" t="n">
        <v>43448.07847222222</v>
      </c>
      <c r="D1203" s="12" t="inlineStr">
        <is>
          <t>PEPPERSTONE DEMO</t>
        </is>
      </c>
      <c r="E1203" s="12" t="inlineStr">
        <is>
          <t>USDCHF</t>
        </is>
      </c>
      <c r="F1203" s="12" t="inlineStr">
        <is>
          <t>BUY</t>
        </is>
      </c>
      <c r="G1203" s="272" t="n">
        <v>0.03</v>
      </c>
      <c r="H1203" s="262" t="n">
        <v>0.99391</v>
      </c>
      <c r="I1203" s="262" t="n">
        <v>0.99391</v>
      </c>
      <c r="J1203" s="263" t="n">
        <v>0.9929</v>
      </c>
      <c r="K1203" s="36" t="n">
        <v>0.001016188588503944</v>
      </c>
      <c r="L1203" s="263" t="n">
        <v>0.9961</v>
      </c>
      <c r="M1203" s="36" t="n">
        <v>0.002203418820617586</v>
      </c>
      <c r="N1203" s="779" t="n"/>
      <c r="O1203" s="773" t="n">
        <v>0</v>
      </c>
      <c r="P1203" s="3" t="n">
        <v>0</v>
      </c>
      <c r="Q1203" s="51" t="n">
        <v>0</v>
      </c>
      <c r="R1203" s="54" t="n">
        <v>498.9800000000001</v>
      </c>
      <c r="S1203" s="12" t="inlineStr">
        <is>
          <t>1H 23M 0S</t>
        </is>
      </c>
      <c r="T1203" s="774" t="n"/>
      <c r="U1203" s="6" t="n"/>
      <c r="V1203" s="264" t="n"/>
      <c r="W1203" s="9" t="n"/>
      <c r="X1203" s="46" t="n"/>
      <c r="Y1203" s="774" t="n"/>
      <c r="Z1203" s="6" t="n"/>
      <c r="AA1203" s="264" t="n"/>
      <c r="AB1203" s="9" t="n"/>
      <c r="AC1203" s="46" t="n"/>
      <c r="AD1203" s="12" t="inlineStr">
        <is>
          <t>No</t>
        </is>
      </c>
      <c r="AE1203" s="45" t="n"/>
      <c r="AF1203" s="45" t="n"/>
      <c r="AG1203" s="45" t="n"/>
      <c r="AH1203" s="45" t="n"/>
      <c r="AI1203" s="12" t="inlineStr">
        <is>
          <t>Market</t>
        </is>
      </c>
      <c r="AJ1203" s="45" t="n"/>
      <c r="AK1203" s="45" t="n"/>
      <c r="AL1203" s="45" t="n"/>
      <c r="AM1203" s="45" t="n"/>
      <c r="AN1203" s="45" t="n"/>
      <c r="AO1203" s="45" t="n"/>
      <c r="AP1203" s="12" t="inlineStr">
        <is>
          <t>Pullback</t>
        </is>
      </c>
      <c r="AQ1203" s="12" t="inlineStr">
        <is>
          <t>5MIN</t>
        </is>
      </c>
      <c r="AR1203" s="12" t="inlineStr">
        <is>
          <t>Yes</t>
        </is>
      </c>
      <c r="AS1203" s="45" t="n"/>
      <c r="AT1203" s="45" t="n"/>
      <c r="AU1203" s="45" t="n"/>
      <c r="AV1203" s="45" t="n"/>
      <c r="AW1203" s="12" t="inlineStr">
        <is>
          <t>trade</t>
        </is>
      </c>
      <c r="AX1203" s="57" t="inlineStr">
        <is>
          <t>sig:aa697c50ad13250f6db0e983</t>
        </is>
      </c>
    </row>
    <row r="1204" ht="15" customHeight="1">
      <c r="A1204" s="716" t="inlineStr">
        <is>
          <t>F344</t>
        </is>
      </c>
      <c r="B1204" s="717" t="n">
        <v>43448.01041666666</v>
      </c>
      <c r="C1204" s="718" t="n">
        <v>43448.01805555556</v>
      </c>
      <c r="D1204" s="719" t="inlineStr">
        <is>
          <t>PEPPERSTONE DEMO</t>
        </is>
      </c>
      <c r="E1204" s="719" t="inlineStr">
        <is>
          <t>USDCAD</t>
        </is>
      </c>
      <c r="F1204" s="719" t="inlineStr">
        <is>
          <t>BUY</t>
        </is>
      </c>
      <c r="G1204" s="735" t="n">
        <v>0.03</v>
      </c>
      <c r="H1204" s="720" t="n">
        <v>1.3377</v>
      </c>
      <c r="I1204" s="720" t="n">
        <v>1.33684</v>
      </c>
      <c r="J1204" s="721" t="n">
        <v>1.3363</v>
      </c>
      <c r="K1204" s="722" t="n">
        <v>0.001046572475143789</v>
      </c>
      <c r="L1204" s="721" t="n">
        <v>1.3405</v>
      </c>
      <c r="M1204" s="722" t="n">
        <v>0.002093144950287909</v>
      </c>
      <c r="N1204" s="788" t="n"/>
      <c r="O1204" s="762" t="n">
        <v>-2.67</v>
      </c>
      <c r="P1204" s="725" t="n">
        <v>-0.005322435961327618</v>
      </c>
      <c r="Q1204" s="726" t="n">
        <v>-0.6142857142856826</v>
      </c>
      <c r="R1204" s="764" t="n">
        <v>498.9800000000001</v>
      </c>
      <c r="S1204" s="719" t="inlineStr">
        <is>
          <t>11M 0S</t>
        </is>
      </c>
      <c r="T1204" s="728" t="n"/>
      <c r="U1204" s="729" t="n"/>
      <c r="V1204" s="730" t="n"/>
      <c r="W1204" s="731" t="n"/>
      <c r="X1204" s="732" t="n"/>
      <c r="Y1204" s="728" t="n"/>
      <c r="Z1204" s="729" t="n"/>
      <c r="AA1204" s="730" t="n"/>
      <c r="AB1204" s="731" t="n"/>
      <c r="AC1204" s="732" t="n"/>
      <c r="AD1204" s="719" t="inlineStr">
        <is>
          <t>No</t>
        </is>
      </c>
      <c r="AE1204" s="733" t="n"/>
      <c r="AF1204" s="733" t="n"/>
      <c r="AG1204" s="733" t="n"/>
      <c r="AH1204" s="733" t="n"/>
      <c r="AI1204" s="719" t="inlineStr">
        <is>
          <t>Market</t>
        </is>
      </c>
      <c r="AJ1204" s="733" t="n"/>
      <c r="AK1204" s="733" t="n"/>
      <c r="AL1204" s="733" t="n"/>
      <c r="AM1204" s="733" t="n"/>
      <c r="AN1204" s="733" t="n"/>
      <c r="AO1204" s="733" t="n"/>
      <c r="AP1204" s="719" t="inlineStr">
        <is>
          <t>Pullback</t>
        </is>
      </c>
      <c r="AQ1204" s="719" t="inlineStr">
        <is>
          <t>5MIN</t>
        </is>
      </c>
      <c r="AR1204" s="719" t="inlineStr">
        <is>
          <t>No</t>
        </is>
      </c>
      <c r="AS1204" s="733" t="n"/>
      <c r="AT1204" s="733" t="n"/>
      <c r="AU1204" s="733" t="n"/>
      <c r="AV1204" s="733" t="n"/>
      <c r="AW1204" s="719" t="inlineStr">
        <is>
          <t>trade</t>
        </is>
      </c>
      <c r="AX1204" s="734" t="inlineStr">
        <is>
          <t>sig:03ba037d1d5f78be61353258</t>
        </is>
      </c>
    </row>
    <row r="1205" ht="15" customHeight="1">
      <c r="A1205" s="737" t="inlineStr">
        <is>
          <t>F339</t>
        </is>
      </c>
      <c r="B1205" s="738" t="n">
        <v>43446.98611111111</v>
      </c>
      <c r="C1205" s="739" t="n">
        <v>43447.02569444444</v>
      </c>
      <c r="D1205" s="740" t="inlineStr">
        <is>
          <t>PEPPERSTONE DEMO</t>
        </is>
      </c>
      <c r="E1205" s="740" t="inlineStr">
        <is>
          <t>GBPUSD</t>
        </is>
      </c>
      <c r="F1205" s="740" t="inlineStr">
        <is>
          <t>BUY</t>
        </is>
      </c>
      <c r="G1205" s="775" t="n">
        <v>0.01</v>
      </c>
      <c r="H1205" s="742" t="n">
        <v>1.2594</v>
      </c>
      <c r="I1205" s="742" t="n">
        <v>1.26325</v>
      </c>
      <c r="J1205" s="743" t="n">
        <v>1.2575</v>
      </c>
      <c r="K1205" s="744" t="n">
        <v>0.001508654915038918</v>
      </c>
      <c r="L1205" s="743" t="n">
        <v>1.2638</v>
      </c>
      <c r="M1205" s="744" t="n">
        <v>0.003493727171669017</v>
      </c>
      <c r="N1205" s="796" t="n"/>
      <c r="O1205" s="767" t="n">
        <v>5.25</v>
      </c>
      <c r="P1205" s="747" t="n">
        <v>0.01057614826752619</v>
      </c>
      <c r="Q1205" s="748" t="n">
        <v>2.026315789473623</v>
      </c>
      <c r="R1205" s="769" t="n">
        <v>501.6500000000001</v>
      </c>
      <c r="S1205" s="740" t="inlineStr">
        <is>
          <t>57M 0S</t>
        </is>
      </c>
      <c r="T1205" s="750" t="n"/>
      <c r="U1205" s="751" t="n"/>
      <c r="V1205" s="752" t="n"/>
      <c r="W1205" s="753" t="n"/>
      <c r="X1205" s="754" t="n"/>
      <c r="Y1205" s="750" t="n"/>
      <c r="Z1205" s="751" t="n"/>
      <c r="AA1205" s="752" t="n"/>
      <c r="AB1205" s="753" t="n"/>
      <c r="AC1205" s="754" t="n"/>
      <c r="AD1205" s="740" t="inlineStr">
        <is>
          <t>No</t>
        </is>
      </c>
      <c r="AE1205" s="755" t="n"/>
      <c r="AF1205" s="755" t="n"/>
      <c r="AG1205" s="755" t="n"/>
      <c r="AH1205" s="755" t="n"/>
      <c r="AI1205" s="740" t="inlineStr">
        <is>
          <t>Market</t>
        </is>
      </c>
      <c r="AJ1205" s="755" t="n"/>
      <c r="AK1205" s="755" t="n"/>
      <c r="AL1205" s="755" t="n"/>
      <c r="AM1205" s="755" t="n"/>
      <c r="AN1205" s="755" t="n"/>
      <c r="AO1205" s="755" t="n"/>
      <c r="AP1205" s="740" t="inlineStr">
        <is>
          <t>Pullback</t>
        </is>
      </c>
      <c r="AQ1205" s="740" t="inlineStr">
        <is>
          <t>5MIN</t>
        </is>
      </c>
      <c r="AR1205" s="740" t="inlineStr">
        <is>
          <t>No</t>
        </is>
      </c>
      <c r="AS1205" s="755" t="n"/>
      <c r="AT1205" s="755" t="n"/>
      <c r="AU1205" s="755" t="n"/>
      <c r="AV1205" s="755" t="n"/>
      <c r="AW1205" s="740" t="inlineStr">
        <is>
          <t>trade</t>
        </is>
      </c>
      <c r="AX1205" s="756" t="inlineStr">
        <is>
          <t>sig:487e09fdac4e986fc046db8f</t>
        </is>
      </c>
    </row>
    <row r="1206" ht="15" customHeight="1">
      <c r="A1206" s="716" t="inlineStr">
        <is>
          <t>F337</t>
        </is>
      </c>
      <c r="B1206" s="717" t="n">
        <v>43446.94444444445</v>
      </c>
      <c r="C1206" s="718" t="n">
        <v>43446.96875</v>
      </c>
      <c r="D1206" s="719" t="inlineStr">
        <is>
          <t>PEPPERSTONE DEMO</t>
        </is>
      </c>
      <c r="E1206" s="719" t="inlineStr">
        <is>
          <t>GBPUSD</t>
        </is>
      </c>
      <c r="F1206" s="719" t="inlineStr">
        <is>
          <t>BUY</t>
        </is>
      </c>
      <c r="G1206" s="735" t="n">
        <v>0.01</v>
      </c>
      <c r="H1206" s="720" t="n">
        <v>1.2587</v>
      </c>
      <c r="I1206" s="720" t="n">
        <v>1.25855</v>
      </c>
      <c r="J1206" s="721" t="n">
        <v>1.2557</v>
      </c>
      <c r="K1206" s="722" t="n">
        <v>0.002383411456264314</v>
      </c>
      <c r="L1206" s="721" t="n">
        <v>1.2651</v>
      </c>
      <c r="M1206" s="722" t="n">
        <v>0.005084611106697356</v>
      </c>
      <c r="N1206" s="788" t="n"/>
      <c r="O1206" s="762" t="n">
        <v>-0.21</v>
      </c>
      <c r="P1206" s="763" t="n">
        <v>-0.0004228670385211735</v>
      </c>
      <c r="Q1206" s="781" t="n">
        <v>-0.04999999999995929</v>
      </c>
      <c r="R1206" s="764" t="n">
        <v>496.4000000000001</v>
      </c>
      <c r="S1206" s="719" t="inlineStr">
        <is>
          <t>35M 0S</t>
        </is>
      </c>
      <c r="T1206" s="728" t="n"/>
      <c r="U1206" s="729" t="n"/>
      <c r="V1206" s="730" t="n"/>
      <c r="W1206" s="731" t="n"/>
      <c r="X1206" s="732" t="n"/>
      <c r="Y1206" s="728" t="n"/>
      <c r="Z1206" s="729" t="n"/>
      <c r="AA1206" s="730" t="n"/>
      <c r="AB1206" s="731" t="n"/>
      <c r="AC1206" s="732" t="n"/>
      <c r="AD1206" s="719" t="inlineStr">
        <is>
          <t>No</t>
        </is>
      </c>
      <c r="AE1206" s="733" t="n"/>
      <c r="AF1206" s="733" t="n"/>
      <c r="AG1206" s="733" t="n"/>
      <c r="AH1206" s="733" t="n"/>
      <c r="AI1206" s="719" t="inlineStr">
        <is>
          <t>Market</t>
        </is>
      </c>
      <c r="AJ1206" s="733" t="n"/>
      <c r="AK1206" s="733" t="n"/>
      <c r="AL1206" s="733" t="n"/>
      <c r="AM1206" s="733" t="n"/>
      <c r="AN1206" s="733" t="n"/>
      <c r="AO1206" s="733" t="n"/>
      <c r="AP1206" s="719" t="inlineStr">
        <is>
          <t>Pullback</t>
        </is>
      </c>
      <c r="AQ1206" s="719" t="inlineStr">
        <is>
          <t>5MIN</t>
        </is>
      </c>
      <c r="AR1206" s="719" t="inlineStr">
        <is>
          <t>No</t>
        </is>
      </c>
      <c r="AS1206" s="733" t="n"/>
      <c r="AT1206" s="733" t="n"/>
      <c r="AU1206" s="733" t="n"/>
      <c r="AV1206" s="733" t="n"/>
      <c r="AW1206" s="719" t="inlineStr">
        <is>
          <t>trade</t>
        </is>
      </c>
      <c r="AX1206" s="734" t="inlineStr">
        <is>
          <t>sig:419cc226a38d5f2342859f82</t>
        </is>
      </c>
    </row>
    <row r="1207" ht="15" customHeight="1">
      <c r="A1207" s="737" t="inlineStr">
        <is>
          <t>F338</t>
        </is>
      </c>
      <c r="B1207" s="738" t="n">
        <v>43446.92708333334</v>
      </c>
      <c r="C1207" s="739" t="n">
        <v>43446.92916666667</v>
      </c>
      <c r="D1207" s="740" t="inlineStr">
        <is>
          <t>PEPPERSTONE DEMO</t>
        </is>
      </c>
      <c r="E1207" s="740" t="inlineStr">
        <is>
          <t>GBPUSD</t>
        </is>
      </c>
      <c r="F1207" s="740" t="inlineStr">
        <is>
          <t>BUY</t>
        </is>
      </c>
      <c r="G1207" s="775" t="n">
        <v>0.03</v>
      </c>
      <c r="H1207" s="742" t="n">
        <v>1.2548</v>
      </c>
      <c r="I1207" s="742" t="n">
        <v>1.25767</v>
      </c>
      <c r="J1207" s="743" t="n">
        <v>1.2538</v>
      </c>
      <c r="K1207" s="765" t="n">
        <v>0.0007969397513547099</v>
      </c>
      <c r="L1207" s="743" t="n">
        <v>1.2576</v>
      </c>
      <c r="M1207" s="744" t="n">
        <v>0.002231431303793541</v>
      </c>
      <c r="N1207" s="796" t="n"/>
      <c r="O1207" s="767" t="n">
        <v>11.2</v>
      </c>
      <c r="P1207" s="747" t="n">
        <v>0.02307327825961557</v>
      </c>
      <c r="Q1207" s="748" t="n">
        <v>2.870000000000466</v>
      </c>
      <c r="R1207" s="769" t="n">
        <v>496.6100000000001</v>
      </c>
      <c r="S1207" s="740" t="inlineStr">
        <is>
          <t>3M 0S</t>
        </is>
      </c>
      <c r="T1207" s="750" t="n"/>
      <c r="U1207" s="751" t="n"/>
      <c r="V1207" s="752" t="n"/>
      <c r="W1207" s="753" t="n"/>
      <c r="X1207" s="754" t="n"/>
      <c r="Y1207" s="750" t="n"/>
      <c r="Z1207" s="751" t="n"/>
      <c r="AA1207" s="752" t="n"/>
      <c r="AB1207" s="753" t="n"/>
      <c r="AC1207" s="754" t="n"/>
      <c r="AD1207" s="740" t="inlineStr">
        <is>
          <t>No</t>
        </is>
      </c>
      <c r="AE1207" s="755" t="n"/>
      <c r="AF1207" s="755" t="n"/>
      <c r="AG1207" s="755" t="n"/>
      <c r="AH1207" s="755" t="n"/>
      <c r="AI1207" s="740" t="inlineStr">
        <is>
          <t>Market</t>
        </is>
      </c>
      <c r="AJ1207" s="755" t="n"/>
      <c r="AK1207" s="755" t="n"/>
      <c r="AL1207" s="755" t="n"/>
      <c r="AM1207" s="755" t="n"/>
      <c r="AN1207" s="755" t="n"/>
      <c r="AO1207" s="755" t="n"/>
      <c r="AP1207" s="740" t="inlineStr">
        <is>
          <t>Pullback</t>
        </is>
      </c>
      <c r="AQ1207" s="740" t="inlineStr">
        <is>
          <t>5MIN</t>
        </is>
      </c>
      <c r="AR1207" s="740" t="inlineStr">
        <is>
          <t>No</t>
        </is>
      </c>
      <c r="AS1207" s="755" t="n"/>
      <c r="AT1207" s="755" t="n"/>
      <c r="AU1207" s="755" t="n"/>
      <c r="AV1207" s="755" t="n"/>
      <c r="AW1207" s="740" t="inlineStr">
        <is>
          <t>trade</t>
        </is>
      </c>
      <c r="AX1207" s="756" t="inlineStr">
        <is>
          <t>sig:6ee8aee70d0398acb63a440a</t>
        </is>
      </c>
    </row>
    <row r="1208" ht="15" customHeight="1">
      <c r="A1208" s="716" t="inlineStr">
        <is>
          <t>F336</t>
        </is>
      </c>
      <c r="B1208" s="717" t="n">
        <v>43446.44513888889</v>
      </c>
      <c r="C1208" s="718" t="n">
        <v>43446.45833333334</v>
      </c>
      <c r="D1208" s="719" t="inlineStr">
        <is>
          <t>PEPPERSTONE DEMO</t>
        </is>
      </c>
      <c r="E1208" s="719" t="inlineStr">
        <is>
          <t>AUDUSD</t>
        </is>
      </c>
      <c r="F1208" s="719" t="inlineStr">
        <is>
          <t>BUY</t>
        </is>
      </c>
      <c r="G1208" s="735" t="n">
        <v>0.03</v>
      </c>
      <c r="H1208" s="720" t="n">
        <v>0.7227</v>
      </c>
      <c r="I1208" s="720" t="n">
        <v>0.72241</v>
      </c>
      <c r="J1208" s="721" t="n">
        <v>0.7217</v>
      </c>
      <c r="K1208" s="722" t="n">
        <v>0.001383700013837001</v>
      </c>
      <c r="L1208" s="721" t="n">
        <v>0.7247</v>
      </c>
      <c r="M1208" s="722" t="n">
        <v>0.002767400027674003</v>
      </c>
      <c r="N1208" s="788" t="n"/>
      <c r="O1208" s="762" t="n">
        <v>-1.2</v>
      </c>
      <c r="P1208" s="725" t="n">
        <v>-0.002466040566367316</v>
      </c>
      <c r="Q1208" s="726" t="n">
        <v>-0.2900000000000122</v>
      </c>
      <c r="R1208" s="764" t="n">
        <v>485.4100000000001</v>
      </c>
      <c r="S1208" s="719" t="inlineStr">
        <is>
          <t>19M 0S</t>
        </is>
      </c>
      <c r="T1208" s="728" t="n"/>
      <c r="U1208" s="729" t="n"/>
      <c r="V1208" s="730" t="n"/>
      <c r="W1208" s="731" t="n"/>
      <c r="X1208" s="732" t="n"/>
      <c r="Y1208" s="728" t="n"/>
      <c r="Z1208" s="729" t="n"/>
      <c r="AA1208" s="730" t="n"/>
      <c r="AB1208" s="731" t="n"/>
      <c r="AC1208" s="732" t="n"/>
      <c r="AD1208" s="719" t="inlineStr">
        <is>
          <t>No</t>
        </is>
      </c>
      <c r="AE1208" s="733" t="n"/>
      <c r="AF1208" s="733" t="n"/>
      <c r="AG1208" s="733" t="n"/>
      <c r="AH1208" s="733" t="n"/>
      <c r="AI1208" s="719" t="inlineStr">
        <is>
          <t>Market</t>
        </is>
      </c>
      <c r="AJ1208" s="733" t="n"/>
      <c r="AK1208" s="733" t="n"/>
      <c r="AL1208" s="733" t="n"/>
      <c r="AM1208" s="733" t="n"/>
      <c r="AN1208" s="733" t="n"/>
      <c r="AO1208" s="733" t="n"/>
      <c r="AP1208" s="719" t="inlineStr">
        <is>
          <t>Pullback</t>
        </is>
      </c>
      <c r="AQ1208" s="719" t="inlineStr">
        <is>
          <t>5MIN</t>
        </is>
      </c>
      <c r="AR1208" s="719" t="inlineStr">
        <is>
          <t>No</t>
        </is>
      </c>
      <c r="AS1208" s="733" t="n"/>
      <c r="AT1208" s="733" t="n"/>
      <c r="AU1208" s="733" t="n"/>
      <c r="AV1208" s="733" t="n"/>
      <c r="AW1208" s="719" t="inlineStr">
        <is>
          <t>trade</t>
        </is>
      </c>
      <c r="AX1208" s="734" t="inlineStr">
        <is>
          <t>sig:9dfe4e72b91b9d9b8b60962b</t>
        </is>
      </c>
    </row>
    <row r="1209" ht="15" customHeight="1">
      <c r="A1209" s="716" t="inlineStr">
        <is>
          <t>F335</t>
        </is>
      </c>
      <c r="B1209" s="717" t="n">
        <v>43446.0125</v>
      </c>
      <c r="C1209" s="718" t="n">
        <v>43446.01736111111</v>
      </c>
      <c r="D1209" s="719" t="inlineStr">
        <is>
          <t>PEPPERSTONE DEMO</t>
        </is>
      </c>
      <c r="E1209" s="719" t="inlineStr">
        <is>
          <t>USDCAD</t>
        </is>
      </c>
      <c r="F1209" s="719" t="inlineStr">
        <is>
          <t>SELL</t>
        </is>
      </c>
      <c r="G1209" s="735" t="n">
        <v>0.04</v>
      </c>
      <c r="H1209" s="720" t="n">
        <v>1.3382</v>
      </c>
      <c r="I1209" s="720" t="n">
        <v>1.33916</v>
      </c>
      <c r="J1209" s="721" t="n">
        <v>1.3392</v>
      </c>
      <c r="K1209" s="760" t="n">
        <v>0.0007472724555372066</v>
      </c>
      <c r="L1209" s="721" t="n">
        <v>1.3362</v>
      </c>
      <c r="M1209" s="722" t="n">
        <v>0.001494544911074579</v>
      </c>
      <c r="N1209" s="788" t="n"/>
      <c r="O1209" s="762" t="n">
        <v>-3.93</v>
      </c>
      <c r="P1209" s="725" t="n">
        <v>-0.008011579076120193</v>
      </c>
      <c r="Q1209" s="726" t="n">
        <v>-0.9599999999999556</v>
      </c>
      <c r="R1209" s="764" t="n">
        <v>486.6100000000001</v>
      </c>
      <c r="S1209" s="719" t="inlineStr">
        <is>
          <t>7M 0S</t>
        </is>
      </c>
      <c r="T1209" s="728" t="n"/>
      <c r="U1209" s="729" t="n"/>
      <c r="V1209" s="730" t="n"/>
      <c r="W1209" s="731" t="n"/>
      <c r="X1209" s="732" t="n"/>
      <c r="Y1209" s="728" t="n"/>
      <c r="Z1209" s="729" t="n"/>
      <c r="AA1209" s="730" t="n"/>
      <c r="AB1209" s="731" t="n"/>
      <c r="AC1209" s="732" t="n"/>
      <c r="AD1209" s="719" t="inlineStr">
        <is>
          <t>No</t>
        </is>
      </c>
      <c r="AE1209" s="733" t="n"/>
      <c r="AF1209" s="733" t="n"/>
      <c r="AG1209" s="733" t="n"/>
      <c r="AH1209" s="733" t="n"/>
      <c r="AI1209" s="719" t="inlineStr">
        <is>
          <t>Limit</t>
        </is>
      </c>
      <c r="AJ1209" s="733" t="n"/>
      <c r="AK1209" s="733" t="n"/>
      <c r="AL1209" s="733" t="n"/>
      <c r="AM1209" s="733" t="n"/>
      <c r="AN1209" s="733" t="n"/>
      <c r="AO1209" s="733" t="n"/>
      <c r="AP1209" s="719" t="inlineStr">
        <is>
          <t>Pullback</t>
        </is>
      </c>
      <c r="AQ1209" s="719" t="inlineStr">
        <is>
          <t>5MIN</t>
        </is>
      </c>
      <c r="AR1209" s="719" t="inlineStr">
        <is>
          <t>No</t>
        </is>
      </c>
      <c r="AS1209" s="733" t="n"/>
      <c r="AT1209" s="733" t="n"/>
      <c r="AU1209" s="733" t="n"/>
      <c r="AV1209" s="733" t="n"/>
      <c r="AW1209" s="719" t="inlineStr">
        <is>
          <t>trade</t>
        </is>
      </c>
      <c r="AX1209" s="734" t="inlineStr">
        <is>
          <t>sig:320d9c050814650ce4c83b37</t>
        </is>
      </c>
    </row>
    <row r="1210" ht="15" customHeight="1">
      <c r="A1210" s="716" t="inlineStr">
        <is>
          <t>F340</t>
        </is>
      </c>
      <c r="B1210" s="717" t="n">
        <v>43446.00347222222</v>
      </c>
      <c r="C1210" s="718" t="n">
        <v>43446.00694444445</v>
      </c>
      <c r="D1210" s="719" t="inlineStr">
        <is>
          <t>PEPPERSTONE DEMO</t>
        </is>
      </c>
      <c r="E1210" s="719" t="inlineStr">
        <is>
          <t>USDJPY</t>
        </is>
      </c>
      <c r="F1210" s="719" t="inlineStr">
        <is>
          <t>BUY</t>
        </is>
      </c>
      <c r="G1210" s="735" t="n">
        <v>0.05</v>
      </c>
      <c r="H1210" s="720" t="n">
        <v>113.27</v>
      </c>
      <c r="I1210" s="720" t="n">
        <v>113.21</v>
      </c>
      <c r="J1210" s="721" t="n">
        <v>113.2</v>
      </c>
      <c r="K1210" s="760" t="n">
        <v>0.0006179924075217902</v>
      </c>
      <c r="L1210" s="721" t="n">
        <v>113.41</v>
      </c>
      <c r="M1210" s="722" t="n">
        <v>0.001235984815043706</v>
      </c>
      <c r="N1210" s="761" t="n"/>
      <c r="O1210" s="762" t="n">
        <v>-4.04</v>
      </c>
      <c r="P1210" s="725" t="n">
        <v>-0.00816854705002224</v>
      </c>
      <c r="Q1210" s="726" t="n">
        <v>-0.8571428571429731</v>
      </c>
      <c r="R1210" s="764" t="n">
        <v>490.5400000000001</v>
      </c>
      <c r="S1210" s="719" t="inlineStr">
        <is>
          <t>5M 0S</t>
        </is>
      </c>
      <c r="T1210" s="728" t="n"/>
      <c r="U1210" s="729" t="n"/>
      <c r="V1210" s="730" t="n"/>
      <c r="W1210" s="731" t="n"/>
      <c r="X1210" s="732" t="n"/>
      <c r="Y1210" s="728" t="n"/>
      <c r="Z1210" s="729" t="n"/>
      <c r="AA1210" s="730" t="n"/>
      <c r="AB1210" s="731" t="n"/>
      <c r="AC1210" s="732" t="n"/>
      <c r="AD1210" s="719" t="inlineStr">
        <is>
          <t>No</t>
        </is>
      </c>
      <c r="AE1210" s="733" t="n"/>
      <c r="AF1210" s="733" t="n"/>
      <c r="AG1210" s="733" t="n"/>
      <c r="AH1210" s="733" t="n"/>
      <c r="AI1210" s="719" t="n"/>
      <c r="AJ1210" s="733" t="n"/>
      <c r="AK1210" s="733" t="n"/>
      <c r="AL1210" s="733" t="n"/>
      <c r="AM1210" s="733" t="n"/>
      <c r="AN1210" s="733" t="n"/>
      <c r="AO1210" s="733" t="n"/>
      <c r="AP1210" s="719" t="inlineStr">
        <is>
          <t>Pullback</t>
        </is>
      </c>
      <c r="AQ1210" s="719" t="inlineStr">
        <is>
          <t>5MIN</t>
        </is>
      </c>
      <c r="AR1210" s="719" t="inlineStr">
        <is>
          <t>No</t>
        </is>
      </c>
      <c r="AS1210" s="733" t="n"/>
      <c r="AT1210" s="733" t="n"/>
      <c r="AU1210" s="733" t="n"/>
      <c r="AV1210" s="733" t="n"/>
      <c r="AW1210" s="719" t="inlineStr">
        <is>
          <t>trade</t>
        </is>
      </c>
      <c r="AX1210" s="734" t="inlineStr">
        <is>
          <t>sig:c485e2dd48dbc82f7f05ec2c</t>
        </is>
      </c>
    </row>
    <row r="1211" ht="15" customHeight="1">
      <c r="A1211" s="716" t="inlineStr">
        <is>
          <t>F333</t>
        </is>
      </c>
      <c r="B1211" s="717" t="n">
        <v>43445.97916666666</v>
      </c>
      <c r="C1211" s="718" t="n">
        <v>43445.97986111111</v>
      </c>
      <c r="D1211" s="719" t="inlineStr">
        <is>
          <t>PEPPERSTONE DEMO</t>
        </is>
      </c>
      <c r="E1211" s="719" t="inlineStr">
        <is>
          <t>EURUSD</t>
        </is>
      </c>
      <c r="F1211" s="719" t="inlineStr">
        <is>
          <t>SELL</t>
        </is>
      </c>
      <c r="G1211" s="735" t="n">
        <v>0.07000000000000001</v>
      </c>
      <c r="H1211" s="720" t="n">
        <v>1.1379</v>
      </c>
      <c r="I1211" s="720" t="n">
        <v>1.13848</v>
      </c>
      <c r="J1211" s="721" t="n">
        <v>1.1384</v>
      </c>
      <c r="K1211" s="760" t="n">
        <v>0.0004394059231919914</v>
      </c>
      <c r="L1211" s="721" t="n">
        <v>1.1369</v>
      </c>
      <c r="M1211" s="760" t="n">
        <v>0.0008788118463835925</v>
      </c>
      <c r="N1211" s="788" t="n"/>
      <c r="O1211" s="762" t="n">
        <v>-4.85</v>
      </c>
      <c r="P1211" s="725" t="n">
        <v>-0.009711070620507375</v>
      </c>
      <c r="Q1211" s="726" t="n">
        <v>-1.159999999999662</v>
      </c>
      <c r="R1211" s="764" t="n">
        <v>494.5800000000001</v>
      </c>
      <c r="S1211" s="719" t="inlineStr">
        <is>
          <t>1M 0S</t>
        </is>
      </c>
      <c r="T1211" s="728" t="n"/>
      <c r="U1211" s="729" t="n"/>
      <c r="V1211" s="730" t="n"/>
      <c r="W1211" s="731" t="n"/>
      <c r="X1211" s="732" t="n"/>
      <c r="Y1211" s="728" t="n"/>
      <c r="Z1211" s="729" t="n"/>
      <c r="AA1211" s="730" t="n"/>
      <c r="AB1211" s="731" t="n"/>
      <c r="AC1211" s="732" t="n"/>
      <c r="AD1211" s="719" t="inlineStr">
        <is>
          <t>No</t>
        </is>
      </c>
      <c r="AE1211" s="733" t="n"/>
      <c r="AF1211" s="733" t="n"/>
      <c r="AG1211" s="733" t="n"/>
      <c r="AH1211" s="733" t="n"/>
      <c r="AI1211" s="719" t="inlineStr">
        <is>
          <t>Limit</t>
        </is>
      </c>
      <c r="AJ1211" s="733" t="n"/>
      <c r="AK1211" s="733" t="n"/>
      <c r="AL1211" s="733" t="n"/>
      <c r="AM1211" s="733" t="n"/>
      <c r="AN1211" s="733" t="n"/>
      <c r="AO1211" s="733" t="n"/>
      <c r="AP1211" s="719" t="inlineStr">
        <is>
          <t>Pullback</t>
        </is>
      </c>
      <c r="AQ1211" s="719" t="inlineStr">
        <is>
          <t>5MIN</t>
        </is>
      </c>
      <c r="AR1211" s="719" t="inlineStr">
        <is>
          <t>No</t>
        </is>
      </c>
      <c r="AS1211" s="733" t="n"/>
      <c r="AT1211" s="733" t="n"/>
      <c r="AU1211" s="733" t="n"/>
      <c r="AV1211" s="733" t="n"/>
      <c r="AW1211" s="719" t="inlineStr">
        <is>
          <t>trade</t>
        </is>
      </c>
      <c r="AX1211" s="734" t="inlineStr">
        <is>
          <t>sig:a29fce5d3239e7fc72ff1eba</t>
        </is>
      </c>
    </row>
    <row r="1212" ht="15" customHeight="1">
      <c r="A1212" s="737" t="inlineStr">
        <is>
          <t>F334</t>
        </is>
      </c>
      <c r="B1212" s="738" t="n">
        <v>43445</v>
      </c>
      <c r="C1212" s="739" t="n">
        <v>43445.06041666667</v>
      </c>
      <c r="D1212" s="740" t="inlineStr">
        <is>
          <t>PEPPERSTONE DEMO</t>
        </is>
      </c>
      <c r="E1212" s="740" t="inlineStr">
        <is>
          <t>USDCAD</t>
        </is>
      </c>
      <c r="F1212" s="740" t="inlineStr">
        <is>
          <t>BUY</t>
        </is>
      </c>
      <c r="G1212" s="775" t="n">
        <v>0.03</v>
      </c>
      <c r="H1212" s="742" t="n">
        <v>1.3338</v>
      </c>
      <c r="I1212" s="742" t="n">
        <v>1.33661</v>
      </c>
      <c r="J1212" s="743" t="n">
        <v>1.3324</v>
      </c>
      <c r="K1212" s="744" t="n">
        <v>0.001049632628580048</v>
      </c>
      <c r="L1212" s="743" t="n">
        <v>1.3366</v>
      </c>
      <c r="M1212" s="744" t="n">
        <v>0.002099265257159929</v>
      </c>
      <c r="N1212" s="796" t="n"/>
      <c r="O1212" s="767" t="n">
        <v>7.42</v>
      </c>
      <c r="P1212" s="747" t="n">
        <v>0.01508099428873397</v>
      </c>
      <c r="Q1212" s="748" t="n">
        <v>2.007142857142745</v>
      </c>
      <c r="R1212" s="769" t="n">
        <v>499.4300000000001</v>
      </c>
      <c r="S1212" s="740" t="inlineStr">
        <is>
          <t>1H 27M 0S</t>
        </is>
      </c>
      <c r="T1212" s="750" t="n"/>
      <c r="U1212" s="751" t="n"/>
      <c r="V1212" s="752" t="n"/>
      <c r="W1212" s="753" t="n"/>
      <c r="X1212" s="754" t="n"/>
      <c r="Y1212" s="750" t="n"/>
      <c r="Z1212" s="751" t="n"/>
      <c r="AA1212" s="752" t="n"/>
      <c r="AB1212" s="753" t="n"/>
      <c r="AC1212" s="754" t="n"/>
      <c r="AD1212" s="740" t="inlineStr">
        <is>
          <t>No</t>
        </is>
      </c>
      <c r="AE1212" s="755" t="n"/>
      <c r="AF1212" s="755" t="n"/>
      <c r="AG1212" s="755" t="n"/>
      <c r="AH1212" s="755" t="n"/>
      <c r="AI1212" s="740" t="inlineStr">
        <is>
          <t>Market</t>
        </is>
      </c>
      <c r="AJ1212" s="755" t="n"/>
      <c r="AK1212" s="755" t="n"/>
      <c r="AL1212" s="755" t="n"/>
      <c r="AM1212" s="755" t="n"/>
      <c r="AN1212" s="755" t="n"/>
      <c r="AO1212" s="755" t="n"/>
      <c r="AP1212" s="740" t="inlineStr">
        <is>
          <t>Pullback</t>
        </is>
      </c>
      <c r="AQ1212" s="740" t="inlineStr">
        <is>
          <t>5MIN</t>
        </is>
      </c>
      <c r="AR1212" s="740" t="inlineStr">
        <is>
          <t>No</t>
        </is>
      </c>
      <c r="AS1212" s="755" t="n"/>
      <c r="AT1212" s="755" t="n"/>
      <c r="AU1212" s="755" t="n"/>
      <c r="AV1212" s="755" t="n"/>
      <c r="AW1212" s="740" t="inlineStr">
        <is>
          <t>trade</t>
        </is>
      </c>
      <c r="AX1212" s="756" t="inlineStr">
        <is>
          <t>sig:e2091e62ed93b4854d6f2091</t>
        </is>
      </c>
    </row>
    <row r="1213" ht="15" customHeight="1">
      <c r="A1213" s="716" t="inlineStr">
        <is>
          <t>F330</t>
        </is>
      </c>
      <c r="B1213" s="717" t="n">
        <v>43444.91666666666</v>
      </c>
      <c r="C1213" s="718" t="n">
        <v>43444.9375</v>
      </c>
      <c r="D1213" s="719" t="inlineStr">
        <is>
          <t>PEPPERSTONE DEMO</t>
        </is>
      </c>
      <c r="E1213" s="719" t="inlineStr">
        <is>
          <t>USDCAD</t>
        </is>
      </c>
      <c r="F1213" s="719" t="inlineStr">
        <is>
          <t>SELL</t>
        </is>
      </c>
      <c r="G1213" s="735" t="n">
        <v>0.05</v>
      </c>
      <c r="H1213" s="720" t="n">
        <v>1.3312</v>
      </c>
      <c r="I1213" s="720" t="n">
        <v>1.3319</v>
      </c>
      <c r="J1213" s="721" t="n">
        <v>1.3321</v>
      </c>
      <c r="K1213" s="760" t="n">
        <v>0.0006760817307693231</v>
      </c>
      <c r="L1213" s="721" t="n">
        <v>1.3294</v>
      </c>
      <c r="M1213" s="722" t="n">
        <v>0.00135216346153848</v>
      </c>
      <c r="N1213" s="788" t="n"/>
      <c r="O1213" s="762" t="n">
        <v>-3.43</v>
      </c>
      <c r="P1213" s="725" t="n">
        <v>-0.006923139027934764</v>
      </c>
      <c r="Q1213" s="726" t="n">
        <v>-0.7777777777778326</v>
      </c>
      <c r="R1213" s="764" t="n">
        <v>492.0100000000001</v>
      </c>
      <c r="S1213" s="719" t="inlineStr">
        <is>
          <t>30M 0S</t>
        </is>
      </c>
      <c r="T1213" s="728" t="n"/>
      <c r="U1213" s="729" t="n"/>
      <c r="V1213" s="730" t="n"/>
      <c r="W1213" s="731" t="n"/>
      <c r="X1213" s="732" t="n"/>
      <c r="Y1213" s="728" t="n"/>
      <c r="Z1213" s="729" t="n"/>
      <c r="AA1213" s="730" t="n"/>
      <c r="AB1213" s="731" t="n"/>
      <c r="AC1213" s="732" t="n"/>
      <c r="AD1213" s="719" t="inlineStr">
        <is>
          <t>No</t>
        </is>
      </c>
      <c r="AE1213" s="733" t="n"/>
      <c r="AF1213" s="733" t="n"/>
      <c r="AG1213" s="733" t="n"/>
      <c r="AH1213" s="733" t="n"/>
      <c r="AI1213" s="719" t="inlineStr">
        <is>
          <t>Limit</t>
        </is>
      </c>
      <c r="AJ1213" s="733" t="n"/>
      <c r="AK1213" s="733" t="n"/>
      <c r="AL1213" s="733" t="n"/>
      <c r="AM1213" s="733" t="n"/>
      <c r="AN1213" s="733" t="n"/>
      <c r="AO1213" s="733" t="n"/>
      <c r="AP1213" s="719" t="inlineStr">
        <is>
          <t>Pullback</t>
        </is>
      </c>
      <c r="AQ1213" s="719" t="inlineStr">
        <is>
          <t>5MIN</t>
        </is>
      </c>
      <c r="AR1213" s="719" t="inlineStr">
        <is>
          <t>No</t>
        </is>
      </c>
      <c r="AS1213" s="733" t="n"/>
      <c r="AT1213" s="733" t="n"/>
      <c r="AU1213" s="733" t="n"/>
      <c r="AV1213" s="733" t="n"/>
      <c r="AW1213" s="719" t="inlineStr">
        <is>
          <t>trade</t>
        </is>
      </c>
      <c r="AX1213" s="734" t="inlineStr">
        <is>
          <t>sig:4de0a99123c77a32e97ce308</t>
        </is>
      </c>
    </row>
    <row r="1214" ht="15" customHeight="1">
      <c r="A1214" s="737" t="inlineStr">
        <is>
          <t>F332</t>
        </is>
      </c>
      <c r="B1214" s="738" t="n">
        <v>43444.45833333334</v>
      </c>
      <c r="C1214" s="739" t="n">
        <v>43444.56666666667</v>
      </c>
      <c r="D1214" s="740" t="inlineStr">
        <is>
          <t>PEPPERSTONE DEMO</t>
        </is>
      </c>
      <c r="E1214" s="740" t="inlineStr">
        <is>
          <t>USDJPY</t>
        </is>
      </c>
      <c r="F1214" s="740" t="inlineStr">
        <is>
          <t>SELL</t>
        </is>
      </c>
      <c r="G1214" s="775" t="n">
        <v>0.02</v>
      </c>
      <c r="H1214" s="742" t="n">
        <v>112.46</v>
      </c>
      <c r="I1214" s="742" t="n">
        <v>112.265</v>
      </c>
      <c r="J1214" s="743" t="n">
        <v>112.6</v>
      </c>
      <c r="K1214" s="744" t="n">
        <v>0.001244887070958568</v>
      </c>
      <c r="L1214" s="743" t="n">
        <v>112.18</v>
      </c>
      <c r="M1214" s="744" t="n">
        <v>0.00248977414191701</v>
      </c>
      <c r="N1214" s="796" t="n"/>
      <c r="O1214" s="767" t="n">
        <v>3.64</v>
      </c>
      <c r="P1214" s="747" t="n">
        <v>0.007401382675884504</v>
      </c>
      <c r="Q1214" s="748" t="n">
        <v>1.392857142857088</v>
      </c>
      <c r="R1214" s="769" t="n">
        <v>495.4400000000001</v>
      </c>
      <c r="S1214" s="740" t="inlineStr">
        <is>
          <t>2H 36M 0S</t>
        </is>
      </c>
      <c r="T1214" s="750" t="n"/>
      <c r="U1214" s="751" t="n"/>
      <c r="V1214" s="752" t="n"/>
      <c r="W1214" s="753" t="n"/>
      <c r="X1214" s="754" t="n"/>
      <c r="Y1214" s="750" t="n"/>
      <c r="Z1214" s="751" t="n"/>
      <c r="AA1214" s="752" t="n"/>
      <c r="AB1214" s="753" t="n"/>
      <c r="AC1214" s="754" t="n"/>
      <c r="AD1214" s="740" t="inlineStr">
        <is>
          <t>No</t>
        </is>
      </c>
      <c r="AE1214" s="755" t="n"/>
      <c r="AF1214" s="755" t="n"/>
      <c r="AG1214" s="755" t="n"/>
      <c r="AH1214" s="755" t="n"/>
      <c r="AI1214" s="740" t="inlineStr">
        <is>
          <t>Market</t>
        </is>
      </c>
      <c r="AJ1214" s="755" t="n"/>
      <c r="AK1214" s="755" t="n"/>
      <c r="AL1214" s="755" t="n"/>
      <c r="AM1214" s="755" t="n"/>
      <c r="AN1214" s="755" t="n"/>
      <c r="AO1214" s="755" t="n"/>
      <c r="AP1214" s="740" t="inlineStr">
        <is>
          <t>Pullback</t>
        </is>
      </c>
      <c r="AQ1214" s="740" t="inlineStr">
        <is>
          <t>5MIN</t>
        </is>
      </c>
      <c r="AR1214" s="740" t="inlineStr">
        <is>
          <t>No</t>
        </is>
      </c>
      <c r="AS1214" s="755" t="n"/>
      <c r="AT1214" s="755" t="n"/>
      <c r="AU1214" s="755" t="n"/>
      <c r="AV1214" s="755" t="n"/>
      <c r="AW1214" s="740" t="inlineStr">
        <is>
          <t>trade</t>
        </is>
      </c>
      <c r="AX1214" s="756" t="inlineStr">
        <is>
          <t>sig:d3479554a1fc0390c89be06c</t>
        </is>
      </c>
    </row>
    <row r="1215" ht="15" customHeight="1">
      <c r="A1215" s="716" t="inlineStr">
        <is>
          <t>F331</t>
        </is>
      </c>
      <c r="B1215" s="717" t="n">
        <v>43444.40625</v>
      </c>
      <c r="C1215" s="718" t="n">
        <v>43444.41527777778</v>
      </c>
      <c r="D1215" s="719" t="inlineStr">
        <is>
          <t>PEPPERSTONE DEMO</t>
        </is>
      </c>
      <c r="E1215" s="719" t="inlineStr">
        <is>
          <t>USDJPY</t>
        </is>
      </c>
      <c r="F1215" s="719" t="inlineStr">
        <is>
          <t>SELL</t>
        </is>
      </c>
      <c r="G1215" s="735" t="n">
        <v>0.06</v>
      </c>
      <c r="H1215" s="720" t="n">
        <v>112.45</v>
      </c>
      <c r="I1215" s="720" t="n">
        <v>112.519</v>
      </c>
      <c r="J1215" s="721" t="n">
        <v>112.51</v>
      </c>
      <c r="K1215" s="760" t="n">
        <v>0.0005335704757670278</v>
      </c>
      <c r="L1215" s="721" t="n">
        <v>112.33</v>
      </c>
      <c r="M1215" s="722" t="n">
        <v>0.001067140951534056</v>
      </c>
      <c r="N1215" s="788" t="n"/>
      <c r="O1215" s="762" t="n">
        <v>-4.46</v>
      </c>
      <c r="P1215" s="725" t="n">
        <v>-0.00898722443880224</v>
      </c>
      <c r="Q1215" s="726" t="n">
        <v>-1.15</v>
      </c>
      <c r="R1215" s="764" t="n">
        <v>491.8000000000001</v>
      </c>
      <c r="S1215" s="719" t="inlineStr">
        <is>
          <t>13M 0S</t>
        </is>
      </c>
      <c r="T1215" s="728" t="n"/>
      <c r="U1215" s="729" t="n"/>
      <c r="V1215" s="730" t="n"/>
      <c r="W1215" s="731" t="n"/>
      <c r="X1215" s="732" t="n"/>
      <c r="Y1215" s="728" t="n"/>
      <c r="Z1215" s="729" t="n"/>
      <c r="AA1215" s="730" t="n"/>
      <c r="AB1215" s="731" t="n"/>
      <c r="AC1215" s="732" t="n"/>
      <c r="AD1215" s="719" t="inlineStr">
        <is>
          <t>No</t>
        </is>
      </c>
      <c r="AE1215" s="733" t="n"/>
      <c r="AF1215" s="733" t="n"/>
      <c r="AG1215" s="733" t="n"/>
      <c r="AH1215" s="733" t="n"/>
      <c r="AI1215" s="719" t="inlineStr">
        <is>
          <t>Market</t>
        </is>
      </c>
      <c r="AJ1215" s="733" t="n"/>
      <c r="AK1215" s="733" t="n"/>
      <c r="AL1215" s="733" t="n"/>
      <c r="AM1215" s="733" t="n"/>
      <c r="AN1215" s="733" t="n"/>
      <c r="AO1215" s="733" t="n"/>
      <c r="AP1215" s="719" t="inlineStr">
        <is>
          <t>Pullback</t>
        </is>
      </c>
      <c r="AQ1215" s="719" t="inlineStr">
        <is>
          <t>5MIN</t>
        </is>
      </c>
      <c r="AR1215" s="719" t="inlineStr">
        <is>
          <t>No</t>
        </is>
      </c>
      <c r="AS1215" s="733" t="n"/>
      <c r="AT1215" s="733" t="n"/>
      <c r="AU1215" s="733" t="n"/>
      <c r="AV1215" s="733" t="n"/>
      <c r="AW1215" s="719" t="inlineStr">
        <is>
          <t>trade</t>
        </is>
      </c>
      <c r="AX1215" s="734" t="inlineStr">
        <is>
          <t>sig:4a2deeb3cb529ced25e71cf2</t>
        </is>
      </c>
    </row>
    <row r="1216" ht="15" customHeight="1">
      <c r="A1216" s="716" t="inlineStr">
        <is>
          <t>F329</t>
        </is>
      </c>
      <c r="B1216" s="717" t="n">
        <v>43442.20555555556</v>
      </c>
      <c r="C1216" s="718" t="n">
        <v>43442.31111111111</v>
      </c>
      <c r="D1216" s="719" t="inlineStr">
        <is>
          <t>PEPPERSTONE DEMO</t>
        </is>
      </c>
      <c r="E1216" s="719" t="inlineStr">
        <is>
          <t>EURUSD</t>
        </is>
      </c>
      <c r="F1216" s="719" t="inlineStr">
        <is>
          <t>BUY</t>
        </is>
      </c>
      <c r="G1216" s="735" t="n">
        <v>0.04</v>
      </c>
      <c r="H1216" s="720" t="n">
        <v>1.1408</v>
      </c>
      <c r="I1216" s="720" t="n">
        <v>1.14071</v>
      </c>
      <c r="J1216" s="721" t="n">
        <v>1.14</v>
      </c>
      <c r="K1216" s="760" t="n">
        <v>0.000701262272089879</v>
      </c>
      <c r="L1216" s="721" t="n">
        <v>1.1424</v>
      </c>
      <c r="M1216" s="722" t="n">
        <v>0.001402524544179563</v>
      </c>
      <c r="N1216" s="788" t="n"/>
      <c r="O1216" s="762" t="n">
        <v>-0.89</v>
      </c>
      <c r="P1216" s="725" t="n">
        <v>-0.001790204163733279</v>
      </c>
      <c r="Q1216" s="726" t="n">
        <v>-0.1125000000001631</v>
      </c>
      <c r="R1216" s="764" t="n">
        <v>496.2600000000001</v>
      </c>
      <c r="S1216" s="719" t="inlineStr">
        <is>
          <t>2H 32M 0S</t>
        </is>
      </c>
      <c r="T1216" s="728" t="n"/>
      <c r="U1216" s="729" t="n"/>
      <c r="V1216" s="730" t="n"/>
      <c r="W1216" s="731" t="n"/>
      <c r="X1216" s="732" t="n"/>
      <c r="Y1216" s="728" t="n"/>
      <c r="Z1216" s="729" t="n"/>
      <c r="AA1216" s="730" t="n"/>
      <c r="AB1216" s="731" t="n"/>
      <c r="AC1216" s="732" t="n"/>
      <c r="AD1216" s="719" t="inlineStr">
        <is>
          <t>No</t>
        </is>
      </c>
      <c r="AE1216" s="733" t="n"/>
      <c r="AF1216" s="733" t="n"/>
      <c r="AG1216" s="733" t="n"/>
      <c r="AH1216" s="733" t="n"/>
      <c r="AI1216" s="719" t="inlineStr">
        <is>
          <t>Market</t>
        </is>
      </c>
      <c r="AJ1216" s="733" t="n"/>
      <c r="AK1216" s="733" t="n"/>
      <c r="AL1216" s="733" t="n"/>
      <c r="AM1216" s="733" t="n"/>
      <c r="AN1216" s="733" t="n"/>
      <c r="AO1216" s="733" t="n"/>
      <c r="AP1216" s="719" t="inlineStr">
        <is>
          <t>Pullback</t>
        </is>
      </c>
      <c r="AQ1216" s="719" t="inlineStr">
        <is>
          <t>5MIN</t>
        </is>
      </c>
      <c r="AR1216" s="719" t="inlineStr">
        <is>
          <t>No</t>
        </is>
      </c>
      <c r="AS1216" s="782" t="n"/>
      <c r="AT1216" s="733" t="n"/>
      <c r="AU1216" s="719" t="n"/>
      <c r="AV1216" s="719" t="n"/>
      <c r="AW1216" s="719" t="inlineStr">
        <is>
          <t>trade</t>
        </is>
      </c>
      <c r="AX1216" s="734" t="inlineStr">
        <is>
          <t>sig:52c2da72933e308b482d4011</t>
        </is>
      </c>
    </row>
    <row r="1217" ht="15" customHeight="1">
      <c r="A1217" s="737" t="inlineStr">
        <is>
          <t>F328</t>
        </is>
      </c>
      <c r="B1217" s="738" t="n">
        <v>43441.97918981482</v>
      </c>
      <c r="C1217" s="739" t="n">
        <v>43441.97969907407</v>
      </c>
      <c r="D1217" s="740" t="inlineStr">
        <is>
          <t>PEPPERSTONE DEMO</t>
        </is>
      </c>
      <c r="E1217" s="740" t="inlineStr">
        <is>
          <t>USDCAD</t>
        </is>
      </c>
      <c r="F1217" s="740" t="inlineStr">
        <is>
          <t>SELL</t>
        </is>
      </c>
      <c r="G1217" s="775" t="n">
        <v>0.02</v>
      </c>
      <c r="H1217" s="742" t="n">
        <v>1.3361</v>
      </c>
      <c r="I1217" s="742" t="n">
        <v>1.33211</v>
      </c>
      <c r="J1217" s="743" t="n">
        <v>1.3381</v>
      </c>
      <c r="K1217" s="744" t="n">
        <v>0.001496893945063993</v>
      </c>
      <c r="L1217" s="743" t="n">
        <v>1.3321</v>
      </c>
      <c r="M1217" s="744" t="n">
        <v>0.002993787890127987</v>
      </c>
      <c r="N1217" s="796" t="n"/>
      <c r="O1217" s="767" t="n">
        <v>8.300000000000001</v>
      </c>
      <c r="P1217" s="747" t="n">
        <v>0.01697862329958065</v>
      </c>
      <c r="Q1217" s="748" t="n">
        <v>1.995000000000078</v>
      </c>
      <c r="R1217" s="769" t="n">
        <v>497.1500000000001</v>
      </c>
      <c r="S1217" s="740" t="inlineStr">
        <is>
          <t>44S</t>
        </is>
      </c>
      <c r="T1217" s="750" t="n"/>
      <c r="U1217" s="751" t="n"/>
      <c r="V1217" s="752" t="n"/>
      <c r="W1217" s="753" t="n"/>
      <c r="X1217" s="754" t="n"/>
      <c r="Y1217" s="750" t="n"/>
      <c r="Z1217" s="751" t="n"/>
      <c r="AA1217" s="752" t="n"/>
      <c r="AB1217" s="753" t="n"/>
      <c r="AC1217" s="754" t="n"/>
      <c r="AD1217" s="740" t="inlineStr">
        <is>
          <t>No</t>
        </is>
      </c>
      <c r="AE1217" s="755" t="n"/>
      <c r="AF1217" s="755" t="n"/>
      <c r="AG1217" s="755" t="n"/>
      <c r="AH1217" s="755" t="n"/>
      <c r="AI1217" s="740" t="inlineStr">
        <is>
          <t>Limit</t>
        </is>
      </c>
      <c r="AJ1217" s="755" t="n"/>
      <c r="AK1217" s="755" t="n"/>
      <c r="AL1217" s="755" t="n"/>
      <c r="AM1217" s="755" t="n"/>
      <c r="AN1217" s="755" t="n"/>
      <c r="AO1217" s="755" t="n"/>
      <c r="AP1217" s="740" t="inlineStr">
        <is>
          <t>Pullback</t>
        </is>
      </c>
      <c r="AQ1217" s="740" t="inlineStr">
        <is>
          <t>15MIN</t>
        </is>
      </c>
      <c r="AR1217" s="740" t="inlineStr">
        <is>
          <t>No</t>
        </is>
      </c>
      <c r="AS1217" s="787" t="n"/>
      <c r="AT1217" s="755" t="n"/>
      <c r="AU1217" s="740" t="n"/>
      <c r="AV1217" s="740" t="n"/>
      <c r="AW1217" s="740" t="inlineStr">
        <is>
          <t>trade</t>
        </is>
      </c>
      <c r="AX1217" s="756" t="inlineStr">
        <is>
          <t>sig:1f6534f4a6c265655a3ed2a1</t>
        </is>
      </c>
    </row>
    <row r="1218" ht="15" customHeight="1">
      <c r="A1218" s="716" t="inlineStr">
        <is>
          <t>F327</t>
        </is>
      </c>
      <c r="B1218" s="717" t="n">
        <v>43441.12638888889</v>
      </c>
      <c r="C1218" s="718" t="n">
        <v>43441.59027777778</v>
      </c>
      <c r="D1218" s="719" t="inlineStr">
        <is>
          <t>PEPPERSTONE DEMO</t>
        </is>
      </c>
      <c r="E1218" s="719" t="inlineStr">
        <is>
          <t>EURUSD</t>
        </is>
      </c>
      <c r="F1218" s="719" t="inlineStr">
        <is>
          <t>BUY</t>
        </is>
      </c>
      <c r="G1218" s="735" t="n">
        <v>0.02</v>
      </c>
      <c r="H1218" s="720" t="n">
        <v>1.1377</v>
      </c>
      <c r="I1218" s="720" t="n">
        <v>1.1375</v>
      </c>
      <c r="J1218" s="721" t="n">
        <v>1.1362</v>
      </c>
      <c r="K1218" s="722" t="n">
        <v>0.001318449503383875</v>
      </c>
      <c r="L1218" s="721" t="n">
        <v>1.1407</v>
      </c>
      <c r="M1218" s="722" t="n">
        <v>0.002636899006768141</v>
      </c>
      <c r="N1218" s="761" t="n">
        <v>0.3</v>
      </c>
      <c r="O1218" s="762" t="n">
        <v>-1.02</v>
      </c>
      <c r="P1218" s="725" t="n">
        <v>-0.002082185069508237</v>
      </c>
      <c r="Q1218" s="726" t="n">
        <v>-0.1333333333333333</v>
      </c>
      <c r="R1218" s="764" t="n">
        <v>488.8500000000001</v>
      </c>
      <c r="S1218" s="719" t="inlineStr">
        <is>
          <t>11H 8M 0S</t>
        </is>
      </c>
      <c r="T1218" s="728" t="n"/>
      <c r="U1218" s="729" t="n"/>
      <c r="V1218" s="730" t="n"/>
      <c r="W1218" s="731" t="n"/>
      <c r="X1218" s="732" t="n"/>
      <c r="Y1218" s="728" t="n"/>
      <c r="Z1218" s="729" t="n"/>
      <c r="AA1218" s="730" t="n"/>
      <c r="AB1218" s="731" t="n"/>
      <c r="AC1218" s="732" t="n"/>
      <c r="AD1218" s="719" t="inlineStr">
        <is>
          <t>No</t>
        </is>
      </c>
      <c r="AE1218" s="733" t="n"/>
      <c r="AF1218" s="733" t="n"/>
      <c r="AG1218" s="733" t="n"/>
      <c r="AH1218" s="733" t="n"/>
      <c r="AI1218" s="719" t="inlineStr">
        <is>
          <t>Market</t>
        </is>
      </c>
      <c r="AJ1218" s="733" t="n"/>
      <c r="AK1218" s="733" t="n"/>
      <c r="AL1218" s="733" t="n"/>
      <c r="AM1218" s="733" t="n"/>
      <c r="AN1218" s="733" t="n"/>
      <c r="AO1218" s="733" t="n"/>
      <c r="AP1218" s="719" t="inlineStr">
        <is>
          <t>Pullback</t>
        </is>
      </c>
      <c r="AQ1218" s="719" t="inlineStr">
        <is>
          <t>15MIN</t>
        </is>
      </c>
      <c r="AR1218" s="719" t="inlineStr">
        <is>
          <t>No</t>
        </is>
      </c>
      <c r="AS1218" s="733" t="n"/>
      <c r="AT1218" s="733" t="n"/>
      <c r="AU1218" s="733" t="n"/>
      <c r="AV1218" s="733" t="n"/>
      <c r="AW1218" s="719" t="inlineStr">
        <is>
          <t>trade</t>
        </is>
      </c>
      <c r="AX1218" s="734" t="inlineStr">
        <is>
          <t>sig:ae4ed9d486bb39fe0789f890</t>
        </is>
      </c>
    </row>
    <row r="1219" ht="15" customHeight="1">
      <c r="A1219" s="716" t="inlineStr">
        <is>
          <t>F326</t>
        </is>
      </c>
      <c r="B1219" s="717" t="n">
        <v>43440.10763888889</v>
      </c>
      <c r="C1219" s="718" t="n">
        <v>43440.15277777778</v>
      </c>
      <c r="D1219" s="719" t="inlineStr">
        <is>
          <t>PEPPERSTONE DEMO</t>
        </is>
      </c>
      <c r="E1219" s="719" t="inlineStr">
        <is>
          <t>USDCAD</t>
        </is>
      </c>
      <c r="F1219" s="719" t="inlineStr">
        <is>
          <t>BUY</t>
        </is>
      </c>
      <c r="G1219" s="735" t="n">
        <v>0.02</v>
      </c>
      <c r="H1219" s="720" t="n">
        <v>1.3378</v>
      </c>
      <c r="I1219" s="720" t="n">
        <v>1.33644</v>
      </c>
      <c r="J1219" s="721" t="n">
        <v>1.3355</v>
      </c>
      <c r="K1219" s="722" t="n">
        <v>0.001719240544177149</v>
      </c>
      <c r="L1219" s="721" t="n">
        <v>1.3424</v>
      </c>
      <c r="M1219" s="722" t="n">
        <v>0.003438481088353967</v>
      </c>
      <c r="N1219" s="788" t="n"/>
      <c r="O1219" s="762" t="n">
        <v>-2.9</v>
      </c>
      <c r="P1219" s="725" t="n">
        <v>-0.005885098524666679</v>
      </c>
      <c r="Q1219" s="726" t="n">
        <v>-0.59130434782605</v>
      </c>
      <c r="R1219" s="764" t="n">
        <v>489.8700000000001</v>
      </c>
      <c r="S1219" s="719" t="inlineStr">
        <is>
          <t>1H 5M 0S</t>
        </is>
      </c>
      <c r="T1219" s="728" t="n"/>
      <c r="U1219" s="729" t="n"/>
      <c r="V1219" s="730" t="n"/>
      <c r="W1219" s="731" t="n"/>
      <c r="X1219" s="732" t="n"/>
      <c r="Y1219" s="728" t="n"/>
      <c r="Z1219" s="729" t="n"/>
      <c r="AA1219" s="730" t="n"/>
      <c r="AB1219" s="731" t="n"/>
      <c r="AC1219" s="732" t="n"/>
      <c r="AD1219" s="719" t="inlineStr">
        <is>
          <t>No</t>
        </is>
      </c>
      <c r="AE1219" s="733" t="n"/>
      <c r="AF1219" s="733" t="n"/>
      <c r="AG1219" s="733" t="n"/>
      <c r="AH1219" s="733" t="n"/>
      <c r="AI1219" s="719" t="inlineStr">
        <is>
          <t>Limit</t>
        </is>
      </c>
      <c r="AJ1219" s="733" t="n"/>
      <c r="AK1219" s="733" t="n"/>
      <c r="AL1219" s="733" t="n"/>
      <c r="AM1219" s="733" t="n"/>
      <c r="AN1219" s="733" t="n"/>
      <c r="AO1219" s="733" t="n"/>
      <c r="AP1219" s="719" t="inlineStr">
        <is>
          <t>Pullback</t>
        </is>
      </c>
      <c r="AQ1219" s="719" t="inlineStr">
        <is>
          <t>15MIN</t>
        </is>
      </c>
      <c r="AR1219" s="719" t="inlineStr">
        <is>
          <t>No</t>
        </is>
      </c>
      <c r="AS1219" s="733" t="n"/>
      <c r="AT1219" s="733" t="n"/>
      <c r="AU1219" s="733" t="n"/>
      <c r="AV1219" s="733" t="n"/>
      <c r="AW1219" s="719" t="inlineStr">
        <is>
          <t>trade</t>
        </is>
      </c>
      <c r="AX1219" s="734" t="inlineStr">
        <is>
          <t>sig:09f9d84c5ba91f1f73a46794</t>
        </is>
      </c>
    </row>
    <row r="1220" ht="15" customHeight="1">
      <c r="A1220" s="716" t="inlineStr">
        <is>
          <t>F325</t>
        </is>
      </c>
      <c r="B1220" s="717" t="n">
        <v>43439.88541666666</v>
      </c>
      <c r="C1220" s="718" t="n">
        <v>43439.95833333334</v>
      </c>
      <c r="D1220" s="719" t="inlineStr">
        <is>
          <t>PEPPERSTONE DEMO</t>
        </is>
      </c>
      <c r="E1220" s="719" t="inlineStr">
        <is>
          <t>USDJPY</t>
        </is>
      </c>
      <c r="F1220" s="719" t="inlineStr">
        <is>
          <t>SELL</t>
        </is>
      </c>
      <c r="G1220" s="735" t="n">
        <v>0.03</v>
      </c>
      <c r="H1220" s="720" t="n">
        <v>112.93</v>
      </c>
      <c r="I1220" s="720" t="n">
        <v>112.996</v>
      </c>
      <c r="J1220" s="721" t="n">
        <v>113.05</v>
      </c>
      <c r="K1220" s="722" t="n">
        <v>0.00106260515363491</v>
      </c>
      <c r="L1220" s="721" t="n">
        <v>112.69</v>
      </c>
      <c r="M1220" s="722" t="n">
        <v>0.002125210307270071</v>
      </c>
      <c r="N1220" s="788" t="n"/>
      <c r="O1220" s="762" t="n">
        <v>-2.15</v>
      </c>
      <c r="P1220" s="725" t="n">
        <v>-0.004344136426089065</v>
      </c>
      <c r="Q1220" s="726" t="n">
        <v>-0.5499999999999468</v>
      </c>
      <c r="R1220" s="764" t="n">
        <v>492.77</v>
      </c>
      <c r="S1220" s="719" t="inlineStr">
        <is>
          <t>1H 45M 0S</t>
        </is>
      </c>
      <c r="T1220" s="728" t="n"/>
      <c r="U1220" s="729" t="n"/>
      <c r="V1220" s="730" t="n"/>
      <c r="W1220" s="731" t="n"/>
      <c r="X1220" s="732" t="n"/>
      <c r="Y1220" s="728" t="n"/>
      <c r="Z1220" s="729" t="n"/>
      <c r="AA1220" s="730" t="n"/>
      <c r="AB1220" s="731" t="n"/>
      <c r="AC1220" s="732" t="n"/>
      <c r="AD1220" s="719" t="inlineStr">
        <is>
          <t>No</t>
        </is>
      </c>
      <c r="AE1220" s="733" t="n"/>
      <c r="AF1220" s="733" t="n"/>
      <c r="AG1220" s="733" t="n"/>
      <c r="AH1220" s="733" t="n"/>
      <c r="AI1220" s="719" t="inlineStr">
        <is>
          <t>Market</t>
        </is>
      </c>
      <c r="AJ1220" s="733" t="n"/>
      <c r="AK1220" s="733" t="n"/>
      <c r="AL1220" s="733" t="n"/>
      <c r="AM1220" s="733" t="n"/>
      <c r="AN1220" s="733" t="n"/>
      <c r="AO1220" s="733" t="n"/>
      <c r="AP1220" s="719" t="inlineStr">
        <is>
          <t>Pullback</t>
        </is>
      </c>
      <c r="AQ1220" s="719" t="inlineStr">
        <is>
          <t>15MIN</t>
        </is>
      </c>
      <c r="AR1220" s="719" t="inlineStr">
        <is>
          <t>No</t>
        </is>
      </c>
      <c r="AS1220" s="733" t="n"/>
      <c r="AT1220" s="733" t="n"/>
      <c r="AU1220" s="733" t="n"/>
      <c r="AV1220" s="733" t="n"/>
      <c r="AW1220" s="719" t="inlineStr">
        <is>
          <t>trade</t>
        </is>
      </c>
      <c r="AX1220" s="734" t="inlineStr">
        <is>
          <t>sig:448163d619d73c1653ea188c</t>
        </is>
      </c>
    </row>
    <row r="1221" ht="15" customHeight="1">
      <c r="A1221" s="716" t="inlineStr">
        <is>
          <t>F324</t>
        </is>
      </c>
      <c r="B1221" s="717" t="n">
        <v>43439.43680555555</v>
      </c>
      <c r="C1221" s="718" t="n">
        <v>43439.4375</v>
      </c>
      <c r="D1221" s="719" t="inlineStr">
        <is>
          <t>PEPPERSTONE DEMO</t>
        </is>
      </c>
      <c r="E1221" s="719" t="inlineStr">
        <is>
          <t>AUDUSD</t>
        </is>
      </c>
      <c r="F1221" s="719" t="inlineStr">
        <is>
          <t>SELL</t>
        </is>
      </c>
      <c r="G1221" s="735" t="n">
        <v>0.04</v>
      </c>
      <c r="H1221" s="720" t="n">
        <v>0.7342</v>
      </c>
      <c r="I1221" s="720" t="n">
        <v>0.73508</v>
      </c>
      <c r="J1221" s="721" t="n">
        <v>0.735</v>
      </c>
      <c r="K1221" s="722" t="n">
        <v>0.00108962135657862</v>
      </c>
      <c r="L1221" s="721" t="n">
        <v>0.7326</v>
      </c>
      <c r="M1221" s="722" t="n">
        <v>0.002179242713157089</v>
      </c>
      <c r="N1221" s="788" t="n"/>
      <c r="O1221" s="762" t="n">
        <v>-4.35</v>
      </c>
      <c r="P1221" s="725" t="n">
        <v>-0.008712720572035169</v>
      </c>
      <c r="Q1221" s="726" t="n">
        <v>-1.099999999999958</v>
      </c>
      <c r="R1221" s="764" t="n">
        <v>494.92</v>
      </c>
      <c r="S1221" s="719" t="inlineStr">
        <is>
          <t>1M 0S</t>
        </is>
      </c>
      <c r="T1221" s="728" t="n"/>
      <c r="U1221" s="729" t="n"/>
      <c r="V1221" s="730" t="n"/>
      <c r="W1221" s="731" t="n"/>
      <c r="X1221" s="732" t="n"/>
      <c r="Y1221" s="728" t="n"/>
      <c r="Z1221" s="729" t="n"/>
      <c r="AA1221" s="730" t="n"/>
      <c r="AB1221" s="731" t="n"/>
      <c r="AC1221" s="732" t="n"/>
      <c r="AD1221" s="719" t="inlineStr">
        <is>
          <t>No</t>
        </is>
      </c>
      <c r="AE1221" s="733" t="n"/>
      <c r="AF1221" s="733" t="n"/>
      <c r="AG1221" s="733" t="n"/>
      <c r="AH1221" s="733" t="n"/>
      <c r="AI1221" s="719" t="inlineStr">
        <is>
          <t>Limit</t>
        </is>
      </c>
      <c r="AJ1221" s="733" t="n"/>
      <c r="AK1221" s="733" t="n"/>
      <c r="AL1221" s="733" t="n"/>
      <c r="AM1221" s="733" t="n"/>
      <c r="AN1221" s="733" t="n"/>
      <c r="AO1221" s="733" t="n"/>
      <c r="AP1221" s="719" t="inlineStr">
        <is>
          <t>Pullback</t>
        </is>
      </c>
      <c r="AQ1221" s="719" t="inlineStr">
        <is>
          <t>5MIN</t>
        </is>
      </c>
      <c r="AR1221" s="719" t="inlineStr">
        <is>
          <t>No</t>
        </is>
      </c>
      <c r="AS1221" s="733" t="n"/>
      <c r="AT1221" s="733" t="n"/>
      <c r="AU1221" s="733" t="n"/>
      <c r="AV1221" s="733" t="n"/>
      <c r="AW1221" s="719" t="inlineStr">
        <is>
          <t>trade</t>
        </is>
      </c>
      <c r="AX1221" s="734" t="inlineStr">
        <is>
          <t>sig:92f14db884ce0c56b3f2ab50</t>
        </is>
      </c>
    </row>
    <row r="1222" ht="15" customHeight="1">
      <c r="A1222" s="737" t="inlineStr">
        <is>
          <t>F323</t>
        </is>
      </c>
      <c r="B1222" s="738" t="n">
        <v>43438.99444444444</v>
      </c>
      <c r="C1222" s="739" t="n">
        <v>43439.08194444444</v>
      </c>
      <c r="D1222" s="740" t="inlineStr">
        <is>
          <t>PEPPERSTONE DEMO</t>
        </is>
      </c>
      <c r="E1222" s="740" t="inlineStr">
        <is>
          <t>USDCAD</t>
        </is>
      </c>
      <c r="F1222" s="740" t="inlineStr">
        <is>
          <t>BUY</t>
        </is>
      </c>
      <c r="G1222" s="775" t="n">
        <v>0.02</v>
      </c>
      <c r="H1222" s="742" t="n">
        <v>1.3196</v>
      </c>
      <c r="I1222" s="742" t="n">
        <v>1.32095</v>
      </c>
      <c r="J1222" s="743" t="n">
        <v>1.3172</v>
      </c>
      <c r="K1222" s="744" t="n">
        <v>0.001818732949378736</v>
      </c>
      <c r="L1222" s="743" t="n">
        <v>1.3244</v>
      </c>
      <c r="M1222" s="744" t="n">
        <v>0.003637465898757135</v>
      </c>
      <c r="N1222" s="796" t="n"/>
      <c r="O1222" s="767" t="n">
        <v>2.47</v>
      </c>
      <c r="P1222" s="747" t="n">
        <v>0.00497181964573269</v>
      </c>
      <c r="Q1222" s="748" t="n">
        <v>0.5624999999999422</v>
      </c>
      <c r="R1222" s="769" t="n">
        <v>499.27</v>
      </c>
      <c r="S1222" s="740" t="inlineStr">
        <is>
          <t>2H 6M 0S</t>
        </is>
      </c>
      <c r="T1222" s="750" t="n"/>
      <c r="U1222" s="751" t="n"/>
      <c r="V1222" s="752" t="n"/>
      <c r="W1222" s="753" t="n"/>
      <c r="X1222" s="754" t="n"/>
      <c r="Y1222" s="750" t="n"/>
      <c r="Z1222" s="751" t="n"/>
      <c r="AA1222" s="752" t="n"/>
      <c r="AB1222" s="753" t="n"/>
      <c r="AC1222" s="754" t="n"/>
      <c r="AD1222" s="740" t="inlineStr">
        <is>
          <t>No</t>
        </is>
      </c>
      <c r="AE1222" s="755" t="n"/>
      <c r="AF1222" s="755" t="n"/>
      <c r="AG1222" s="755" t="n"/>
      <c r="AH1222" s="755" t="n"/>
      <c r="AI1222" s="740" t="inlineStr">
        <is>
          <t>Market</t>
        </is>
      </c>
      <c r="AJ1222" s="755" t="n"/>
      <c r="AK1222" s="755" t="n"/>
      <c r="AL1222" s="755" t="n"/>
      <c r="AM1222" s="755" t="n"/>
      <c r="AN1222" s="755" t="n"/>
      <c r="AO1222" s="755" t="n"/>
      <c r="AP1222" s="740" t="inlineStr">
        <is>
          <t>Pullback</t>
        </is>
      </c>
      <c r="AQ1222" s="740" t="inlineStr">
        <is>
          <t>15MIN</t>
        </is>
      </c>
      <c r="AR1222" s="740" t="inlineStr">
        <is>
          <t>No</t>
        </is>
      </c>
      <c r="AS1222" s="755" t="n"/>
      <c r="AT1222" s="755" t="n"/>
      <c r="AU1222" s="755" t="n"/>
      <c r="AV1222" s="755" t="n"/>
      <c r="AW1222" s="740" t="inlineStr">
        <is>
          <t>trade</t>
        </is>
      </c>
      <c r="AX1222" s="756" t="inlineStr">
        <is>
          <t>sig:21f6e0dee905eab860b0a867</t>
        </is>
      </c>
    </row>
    <row r="1223" ht="15" customHeight="1">
      <c r="A1223" s="716" t="inlineStr">
        <is>
          <t>F322</t>
        </is>
      </c>
      <c r="B1223" s="717" t="n">
        <v>43438.94236111111</v>
      </c>
      <c r="C1223" s="718" t="n">
        <v>43438.98958333334</v>
      </c>
      <c r="D1223" s="719" t="inlineStr">
        <is>
          <t>PEPPERSTONE DEMO</t>
        </is>
      </c>
      <c r="E1223" s="719" t="inlineStr">
        <is>
          <t>EURUSD</t>
        </is>
      </c>
      <c r="F1223" s="719" t="inlineStr">
        <is>
          <t>BUY</t>
        </is>
      </c>
      <c r="G1223" s="735" t="n">
        <v>0.02</v>
      </c>
      <c r="H1223" s="720" t="n">
        <v>1.1399</v>
      </c>
      <c r="I1223" s="720" t="n">
        <v>1.13873</v>
      </c>
      <c r="J1223" s="721" t="n">
        <v>1.1384</v>
      </c>
      <c r="K1223" s="722" t="n">
        <v>0.001315904903938797</v>
      </c>
      <c r="L1223" s="721" t="n">
        <v>1.1429</v>
      </c>
      <c r="M1223" s="722" t="n">
        <v>0.002631809807877984</v>
      </c>
      <c r="N1223" s="788" t="n"/>
      <c r="O1223" s="762" t="n">
        <v>-3.2</v>
      </c>
      <c r="P1223" s="725" t="n">
        <v>-0.0064</v>
      </c>
      <c r="Q1223" s="726" t="n">
        <v>-0.7800000000000148</v>
      </c>
      <c r="R1223" s="764" t="n">
        <v>496.8</v>
      </c>
      <c r="S1223" s="719" t="inlineStr">
        <is>
          <t>1H 8M 0S</t>
        </is>
      </c>
      <c r="T1223" s="728" t="n"/>
      <c r="U1223" s="729" t="n"/>
      <c r="V1223" s="730" t="n"/>
      <c r="W1223" s="731" t="n"/>
      <c r="X1223" s="732" t="n"/>
      <c r="Y1223" s="728" t="n"/>
      <c r="Z1223" s="729" t="n"/>
      <c r="AA1223" s="730" t="n"/>
      <c r="AB1223" s="731" t="n"/>
      <c r="AC1223" s="732" t="n"/>
      <c r="AD1223" s="719" t="inlineStr">
        <is>
          <t>No</t>
        </is>
      </c>
      <c r="AE1223" s="733" t="n"/>
      <c r="AF1223" s="733" t="n"/>
      <c r="AG1223" s="733" t="n"/>
      <c r="AH1223" s="733" t="n"/>
      <c r="AI1223" s="719" t="inlineStr">
        <is>
          <t>Market</t>
        </is>
      </c>
      <c r="AJ1223" s="733" t="n"/>
      <c r="AK1223" s="733" t="n"/>
      <c r="AL1223" s="733" t="n"/>
      <c r="AM1223" s="733" t="n"/>
      <c r="AN1223" s="733" t="n"/>
      <c r="AO1223" s="733" t="n"/>
      <c r="AP1223" s="719" t="inlineStr">
        <is>
          <t>Pullback</t>
        </is>
      </c>
      <c r="AQ1223" s="719" t="inlineStr">
        <is>
          <t>15MIN</t>
        </is>
      </c>
      <c r="AR1223" s="719" t="inlineStr">
        <is>
          <t>No</t>
        </is>
      </c>
      <c r="AS1223" s="733" t="n"/>
      <c r="AT1223" s="733" t="n"/>
      <c r="AU1223" s="733" t="n"/>
      <c r="AV1223" s="733" t="n"/>
      <c r="AW1223" s="719" t="inlineStr">
        <is>
          <t>trade</t>
        </is>
      </c>
      <c r="AX1223" s="734" t="inlineStr">
        <is>
          <t>sig:eb0d5d43276dfdb3f5c64beb</t>
        </is>
      </c>
    </row>
    <row r="1224" ht="15" customHeight="1">
      <c r="A1224" s="42" t="n"/>
      <c r="B1224" s="770" t="n">
        <v>43437</v>
      </c>
      <c r="C1224" s="771" t="n">
        <v>43437</v>
      </c>
      <c r="D1224" s="12" t="inlineStr">
        <is>
          <t>PEPPERSTONE DEMO</t>
        </is>
      </c>
      <c r="E1224" s="12" t="inlineStr">
        <is>
          <t>CASHFLOW</t>
        </is>
      </c>
      <c r="F1224" s="12" t="inlineStr">
        <is>
          <t>WITHDRAWAL</t>
        </is>
      </c>
      <c r="G1224" s="262" t="n"/>
      <c r="H1224" s="262" t="n"/>
      <c r="I1224" s="262" t="n"/>
      <c r="J1224" s="263" t="n"/>
      <c r="K1224" s="36" t="n"/>
      <c r="L1224" s="263" t="n"/>
      <c r="M1224" s="36" t="n"/>
      <c r="N1224" s="779" t="n"/>
      <c r="O1224" s="773" t="n"/>
      <c r="P1224" s="3" t="n"/>
      <c r="Q1224" s="51" t="n"/>
      <c r="R1224" s="54" t="n">
        <v>0</v>
      </c>
      <c r="S1224" s="12" t="n"/>
      <c r="T1224" s="774" t="n"/>
      <c r="U1224" s="6" t="n"/>
      <c r="V1224" s="264" t="n"/>
      <c r="W1224" s="9" t="n"/>
      <c r="X1224" s="46" t="n"/>
      <c r="Y1224" s="774" t="n"/>
      <c r="Z1224" s="6" t="n"/>
      <c r="AA1224" s="264" t="n"/>
      <c r="AB1224" s="9" t="n"/>
      <c r="AC1224" s="46" t="n"/>
      <c r="AD1224" s="12" t="inlineStr">
        <is>
          <t>No</t>
        </is>
      </c>
      <c r="AE1224" s="45" t="n"/>
      <c r="AF1224" s="45" t="n"/>
      <c r="AG1224" s="45" t="n"/>
      <c r="AH1224" s="45" t="n"/>
      <c r="AI1224" s="12" t="n"/>
      <c r="AJ1224" s="45" t="n"/>
      <c r="AK1224" s="45" t="n"/>
      <c r="AL1224" s="45" t="n"/>
      <c r="AM1224" s="45" t="n"/>
      <c r="AN1224" s="45" t="n"/>
      <c r="AO1224" s="45" t="n"/>
      <c r="AP1224" s="12" t="n"/>
      <c r="AQ1224" s="12" t="n"/>
      <c r="AR1224" s="12" t="n"/>
      <c r="AS1224" s="56" t="inlineStr">
        <is>
          <t>Withdrawal -479.65 AUD. Source: user_txt. Imported from account_cashflows.xlsx row 29.</t>
        </is>
      </c>
      <c r="AT1224" s="45" t="n"/>
      <c r="AU1224" s="12" t="n">
        <v>0</v>
      </c>
      <c r="AV1224" s="12" t="inlineStr">
        <is>
          <t>AUD</t>
        </is>
      </c>
      <c r="AW1224" s="12" t="inlineStr">
        <is>
          <t>cashflow</t>
        </is>
      </c>
      <c r="AX1224" s="57" t="inlineStr">
        <is>
          <t>cashflow:PEPPERSTONE DEMO:2018-12-03T00:00:00:15</t>
        </is>
      </c>
    </row>
    <row r="1225" ht="15" customHeight="1">
      <c r="A1225" s="42" t="n"/>
      <c r="B1225" s="770" t="n">
        <v>43437</v>
      </c>
      <c r="C1225" s="771" t="n">
        <v>43437</v>
      </c>
      <c r="D1225" s="12" t="inlineStr">
        <is>
          <t>PEPPERSTONE DEMO</t>
        </is>
      </c>
      <c r="E1225" s="12" t="inlineStr">
        <is>
          <t>CASHFLOW</t>
        </is>
      </c>
      <c r="F1225" s="12" t="inlineStr">
        <is>
          <t>DEPOSIT</t>
        </is>
      </c>
      <c r="G1225" s="262" t="n"/>
      <c r="H1225" s="262" t="n"/>
      <c r="I1225" s="262" t="n"/>
      <c r="J1225" s="263" t="n"/>
      <c r="K1225" s="36" t="n"/>
      <c r="L1225" s="263" t="n"/>
      <c r="M1225" s="36" t="n"/>
      <c r="N1225" s="779" t="n"/>
      <c r="O1225" s="773" t="n"/>
      <c r="P1225" s="3" t="n"/>
      <c r="Q1225" s="51" t="n"/>
      <c r="R1225" s="54" t="n">
        <v>500</v>
      </c>
      <c r="S1225" s="12" t="n"/>
      <c r="T1225" s="774" t="n"/>
      <c r="U1225" s="6" t="n"/>
      <c r="V1225" s="264" t="n"/>
      <c r="W1225" s="9" t="n"/>
      <c r="X1225" s="46" t="n"/>
      <c r="Y1225" s="774" t="n"/>
      <c r="Z1225" s="6" t="n"/>
      <c r="AA1225" s="264" t="n"/>
      <c r="AB1225" s="9" t="n"/>
      <c r="AC1225" s="46" t="n"/>
      <c r="AD1225" s="12" t="inlineStr">
        <is>
          <t>No</t>
        </is>
      </c>
      <c r="AE1225" s="45" t="n"/>
      <c r="AF1225" s="45" t="n"/>
      <c r="AG1225" s="45" t="n"/>
      <c r="AH1225" s="45" t="n"/>
      <c r="AI1225" s="12" t="n"/>
      <c r="AJ1225" s="45" t="n"/>
      <c r="AK1225" s="45" t="n"/>
      <c r="AL1225" s="45" t="n"/>
      <c r="AM1225" s="45" t="n"/>
      <c r="AN1225" s="45" t="n"/>
      <c r="AO1225" s="45" t="n"/>
      <c r="AP1225" s="12" t="n"/>
      <c r="AQ1225" s="12" t="n"/>
      <c r="AR1225" s="12" t="n"/>
      <c r="AS1225" s="56" t="inlineStr">
        <is>
          <t>Deposit 500.0 AUD. Source: user_txt. Imported from account_cashflows.xlsx row 30.</t>
        </is>
      </c>
      <c r="AT1225" s="45" t="n"/>
      <c r="AU1225" s="12" t="n">
        <v>500</v>
      </c>
      <c r="AV1225" s="12" t="inlineStr">
        <is>
          <t>AUD</t>
        </is>
      </c>
      <c r="AW1225" s="12" t="inlineStr">
        <is>
          <t>cashflow</t>
        </is>
      </c>
      <c r="AX1225" s="57" t="inlineStr">
        <is>
          <t>cashflow:PEPPERSTONE DEMO:2018-12-03T00:00:00:16</t>
        </is>
      </c>
    </row>
    <row r="1226" ht="15" customHeight="1">
      <c r="A1226" s="716" t="inlineStr">
        <is>
          <t>F321</t>
        </is>
      </c>
      <c r="B1226" s="717" t="n">
        <v>43435.09375</v>
      </c>
      <c r="C1226" s="718" t="n">
        <v>43435.11875</v>
      </c>
      <c r="D1226" s="719" t="inlineStr">
        <is>
          <t>PEPPERSTONE DEMO</t>
        </is>
      </c>
      <c r="E1226" s="719" t="inlineStr">
        <is>
          <t>USDCAD</t>
        </is>
      </c>
      <c r="F1226" s="719" t="inlineStr">
        <is>
          <t>BUY</t>
        </is>
      </c>
      <c r="G1226" s="735" t="n">
        <v>0.02</v>
      </c>
      <c r="H1226" s="720" t="n">
        <v>1.3302</v>
      </c>
      <c r="I1226" s="720" t="n">
        <v>1.32812</v>
      </c>
      <c r="J1226" s="721" t="n">
        <v>1.3281</v>
      </c>
      <c r="K1226" s="722" t="n">
        <v>0.001578709968425794</v>
      </c>
      <c r="L1226" s="721" t="n">
        <v>1.3344</v>
      </c>
      <c r="M1226" s="722" t="n">
        <v>0.003157419936851587</v>
      </c>
      <c r="N1226" s="788" t="n"/>
      <c r="O1226" s="762" t="n">
        <v>-4.32</v>
      </c>
      <c r="P1226" s="725" t="n">
        <v>-0.003155311440925558</v>
      </c>
      <c r="Q1226" s="726" t="n">
        <v>-0.9904761904762338</v>
      </c>
      <c r="R1226" s="764" t="n">
        <v>1364.8</v>
      </c>
      <c r="S1226" s="719" t="inlineStr">
        <is>
          <t>36M 0S</t>
        </is>
      </c>
      <c r="T1226" s="728" t="n"/>
      <c r="U1226" s="729" t="n"/>
      <c r="V1226" s="730" t="n"/>
      <c r="W1226" s="731" t="n"/>
      <c r="X1226" s="732" t="n"/>
      <c r="Y1226" s="728" t="n"/>
      <c r="Z1226" s="729" t="n"/>
      <c r="AA1226" s="730" t="n"/>
      <c r="AB1226" s="731" t="n"/>
      <c r="AC1226" s="732" t="n"/>
      <c r="AD1226" s="719" t="inlineStr">
        <is>
          <t>No</t>
        </is>
      </c>
      <c r="AE1226" s="733" t="n"/>
      <c r="AF1226" s="733" t="n"/>
      <c r="AG1226" s="733" t="n"/>
      <c r="AH1226" s="733" t="n"/>
      <c r="AI1226" s="719" t="inlineStr">
        <is>
          <t>Market</t>
        </is>
      </c>
      <c r="AJ1226" s="733" t="n"/>
      <c r="AK1226" s="733" t="n"/>
      <c r="AL1226" s="733" t="n"/>
      <c r="AM1226" s="733" t="n"/>
      <c r="AN1226" s="733" t="n"/>
      <c r="AO1226" s="733" t="n"/>
      <c r="AP1226" s="719" t="inlineStr">
        <is>
          <t>Pullback</t>
        </is>
      </c>
      <c r="AQ1226" s="719" t="inlineStr">
        <is>
          <t>15MIN</t>
        </is>
      </c>
      <c r="AR1226" s="719" t="inlineStr">
        <is>
          <t>No</t>
        </is>
      </c>
      <c r="AS1226" s="733" t="n"/>
      <c r="AT1226" s="733" t="n"/>
      <c r="AU1226" s="733" t="n"/>
      <c r="AV1226" s="733" t="n"/>
      <c r="AW1226" s="719" t="inlineStr">
        <is>
          <t>trade</t>
        </is>
      </c>
      <c r="AX1226" s="734" t="inlineStr">
        <is>
          <t>sig:44482479202c9044bb5e6a65</t>
        </is>
      </c>
    </row>
    <row r="1227" ht="15" customHeight="1">
      <c r="A1227" s="737" t="inlineStr">
        <is>
          <t>F320</t>
        </is>
      </c>
      <c r="B1227" s="738" t="n">
        <v>43434.97916666666</v>
      </c>
      <c r="C1227" s="739" t="n">
        <v>43435.03333333333</v>
      </c>
      <c r="D1227" s="740" t="inlineStr">
        <is>
          <t>PEPPERSTONE DEMO</t>
        </is>
      </c>
      <c r="E1227" s="740" t="inlineStr">
        <is>
          <t>USDCAD</t>
        </is>
      </c>
      <c r="F1227" s="740" t="inlineStr">
        <is>
          <t>BUY</t>
        </is>
      </c>
      <c r="G1227" s="775" t="n">
        <v>0.03</v>
      </c>
      <c r="H1227" s="742" t="n">
        <v>1.3305</v>
      </c>
      <c r="I1227" s="742" t="n">
        <v>1.33298</v>
      </c>
      <c r="J1227" s="743" t="n">
        <v>1.3293</v>
      </c>
      <c r="K1227" s="765" t="n">
        <v>0.0009019165727170912</v>
      </c>
      <c r="L1227" s="743" t="n">
        <v>1.3329</v>
      </c>
      <c r="M1227" s="744" t="n">
        <v>0.001803833145434016</v>
      </c>
      <c r="N1227" s="796" t="n"/>
      <c r="O1227" s="767" t="n">
        <v>7.4</v>
      </c>
      <c r="P1227" s="747" t="n">
        <v>0.00543430367476427</v>
      </c>
      <c r="Q1227" s="748" t="n">
        <v>2.066666666666543</v>
      </c>
      <c r="R1227" s="769" t="n">
        <v>1369.12</v>
      </c>
      <c r="S1227" s="740" t="inlineStr">
        <is>
          <t>1H 18M 0S</t>
        </is>
      </c>
      <c r="T1227" s="750" t="n"/>
      <c r="U1227" s="751" t="n"/>
      <c r="V1227" s="752" t="n"/>
      <c r="W1227" s="753" t="n"/>
      <c r="X1227" s="754" t="n"/>
      <c r="Y1227" s="750" t="n"/>
      <c r="Z1227" s="751" t="n"/>
      <c r="AA1227" s="752" t="n"/>
      <c r="AB1227" s="753" t="n"/>
      <c r="AC1227" s="754" t="n"/>
      <c r="AD1227" s="740" t="inlineStr">
        <is>
          <t>No</t>
        </is>
      </c>
      <c r="AE1227" s="755" t="n"/>
      <c r="AF1227" s="755" t="n"/>
      <c r="AG1227" s="755" t="n"/>
      <c r="AH1227" s="755" t="n"/>
      <c r="AI1227" s="740" t="inlineStr">
        <is>
          <t>Limit</t>
        </is>
      </c>
      <c r="AJ1227" s="755" t="n"/>
      <c r="AK1227" s="755" t="n"/>
      <c r="AL1227" s="755" t="n"/>
      <c r="AM1227" s="755" t="n"/>
      <c r="AN1227" s="755" t="n"/>
      <c r="AO1227" s="755" t="n"/>
      <c r="AP1227" s="740" t="inlineStr">
        <is>
          <t>Pullback</t>
        </is>
      </c>
      <c r="AQ1227" s="740" t="inlineStr">
        <is>
          <t>5MIN</t>
        </is>
      </c>
      <c r="AR1227" s="740" t="inlineStr">
        <is>
          <t>No</t>
        </is>
      </c>
      <c r="AS1227" s="755" t="n"/>
      <c r="AT1227" s="755" t="n"/>
      <c r="AU1227" s="755" t="n"/>
      <c r="AV1227" s="755" t="n"/>
      <c r="AW1227" s="740" t="inlineStr">
        <is>
          <t>trade</t>
        </is>
      </c>
      <c r="AX1227" s="756" t="inlineStr">
        <is>
          <t>sig:01caa66df6f24e21a5c801fb</t>
        </is>
      </c>
    </row>
    <row r="1228" ht="15" customHeight="1">
      <c r="A1228" s="716" t="inlineStr">
        <is>
          <t>F319</t>
        </is>
      </c>
      <c r="B1228" s="717" t="n">
        <v>43433.07291666666</v>
      </c>
      <c r="C1228" s="718" t="n">
        <v>43433.125</v>
      </c>
      <c r="D1228" s="719" t="inlineStr">
        <is>
          <t>PEPPERSTONE DEMO</t>
        </is>
      </c>
      <c r="E1228" s="719" t="inlineStr">
        <is>
          <t>USDJPY</t>
        </is>
      </c>
      <c r="F1228" s="719" t="inlineStr">
        <is>
          <t>BUY</t>
        </is>
      </c>
      <c r="G1228" s="735" t="n">
        <v>0.05</v>
      </c>
      <c r="H1228" s="720" t="n">
        <v>113.95</v>
      </c>
      <c r="I1228" s="720" t="n">
        <v>113.87</v>
      </c>
      <c r="J1228" s="721" t="n">
        <v>113.87</v>
      </c>
      <c r="K1228" s="760" t="n">
        <v>0.0007020623080298227</v>
      </c>
      <c r="L1228" s="721" t="n">
        <v>114.11</v>
      </c>
      <c r="M1228" s="722" t="n">
        <v>0.001404124616059645</v>
      </c>
      <c r="N1228" s="788" t="n"/>
      <c r="O1228" s="762" t="n">
        <v>-4.85</v>
      </c>
      <c r="P1228" s="725" t="n">
        <v>-0.003549031516863388</v>
      </c>
      <c r="Q1228" s="726" t="n">
        <v>-1</v>
      </c>
      <c r="R1228" s="764" t="n">
        <v>1361.72</v>
      </c>
      <c r="S1228" s="719" t="inlineStr">
        <is>
          <t>1H 15M 0S</t>
        </is>
      </c>
      <c r="T1228" s="728" t="n"/>
      <c r="U1228" s="729" t="n"/>
      <c r="V1228" s="730" t="n"/>
      <c r="W1228" s="731" t="n"/>
      <c r="X1228" s="732" t="n"/>
      <c r="Y1228" s="728" t="n"/>
      <c r="Z1228" s="729" t="n"/>
      <c r="AA1228" s="730" t="n"/>
      <c r="AB1228" s="731" t="n"/>
      <c r="AC1228" s="732" t="n"/>
      <c r="AD1228" s="719" t="inlineStr">
        <is>
          <t>No</t>
        </is>
      </c>
      <c r="AE1228" s="733" t="n"/>
      <c r="AF1228" s="733" t="n"/>
      <c r="AG1228" s="733" t="n"/>
      <c r="AH1228" s="733" t="n"/>
      <c r="AI1228" s="719" t="inlineStr">
        <is>
          <t>Market</t>
        </is>
      </c>
      <c r="AJ1228" s="733" t="n"/>
      <c r="AK1228" s="733" t="n"/>
      <c r="AL1228" s="733" t="n"/>
      <c r="AM1228" s="733" t="n"/>
      <c r="AN1228" s="733" t="n"/>
      <c r="AO1228" s="733" t="n"/>
      <c r="AP1228" s="719" t="inlineStr">
        <is>
          <t>Pullback</t>
        </is>
      </c>
      <c r="AQ1228" s="719" t="inlineStr">
        <is>
          <t>15MIN</t>
        </is>
      </c>
      <c r="AR1228" s="719" t="inlineStr">
        <is>
          <t>No</t>
        </is>
      </c>
      <c r="AS1228" s="733" t="n"/>
      <c r="AT1228" s="733" t="n"/>
      <c r="AU1228" s="733" t="n"/>
      <c r="AV1228" s="733" t="n"/>
      <c r="AW1228" s="719" t="inlineStr">
        <is>
          <t>trade</t>
        </is>
      </c>
      <c r="AX1228" s="734" t="inlineStr">
        <is>
          <t>sig:6182b885bec4fe618c5eccc2</t>
        </is>
      </c>
    </row>
    <row r="1229" ht="15" customHeight="1">
      <c r="A1229" s="716" t="inlineStr">
        <is>
          <t>F318</t>
        </is>
      </c>
      <c r="B1229" s="717" t="n">
        <v>43433.08333333334</v>
      </c>
      <c r="C1229" s="718" t="n">
        <v>43433.10763888889</v>
      </c>
      <c r="D1229" s="719" t="inlineStr">
        <is>
          <t>PEPPERSTONE DEMO</t>
        </is>
      </c>
      <c r="E1229" s="719" t="inlineStr">
        <is>
          <t>AUDUSD</t>
        </is>
      </c>
      <c r="F1229" s="719" t="inlineStr">
        <is>
          <t>SELL</t>
        </is>
      </c>
      <c r="G1229" s="735" t="n">
        <v>0.02</v>
      </c>
      <c r="H1229" s="720" t="n">
        <v>0.7221</v>
      </c>
      <c r="I1229" s="720" t="n">
        <v>0.72345</v>
      </c>
      <c r="J1229" s="721" t="n">
        <v>0.7234</v>
      </c>
      <c r="K1229" s="722" t="n">
        <v>0.001800304666943746</v>
      </c>
      <c r="L1229" s="721" t="n">
        <v>0.7195</v>
      </c>
      <c r="M1229" s="722" t="n">
        <v>0.003600609333887184</v>
      </c>
      <c r="N1229" s="788" t="n"/>
      <c r="O1229" s="762" t="n">
        <v>-3.59</v>
      </c>
      <c r="P1229" s="725" t="n">
        <v>-0.002620131955392071</v>
      </c>
      <c r="Q1229" s="726" t="n">
        <v>-1.038461538461532</v>
      </c>
      <c r="R1229" s="764" t="n">
        <v>1366.57</v>
      </c>
      <c r="S1229" s="719" t="inlineStr">
        <is>
          <t>35M 0S</t>
        </is>
      </c>
      <c r="T1229" s="728" t="n"/>
      <c r="U1229" s="729" t="n"/>
      <c r="V1229" s="730" t="n"/>
      <c r="W1229" s="731" t="n"/>
      <c r="X1229" s="732" t="n"/>
      <c r="Y1229" s="728" t="n"/>
      <c r="Z1229" s="729" t="n"/>
      <c r="AA1229" s="730" t="n"/>
      <c r="AB1229" s="731" t="n"/>
      <c r="AC1229" s="732" t="n"/>
      <c r="AD1229" s="719" t="inlineStr">
        <is>
          <t>No</t>
        </is>
      </c>
      <c r="AE1229" s="733" t="n"/>
      <c r="AF1229" s="733" t="n"/>
      <c r="AG1229" s="733" t="n"/>
      <c r="AH1229" s="733" t="n"/>
      <c r="AI1229" s="719" t="inlineStr">
        <is>
          <t>Market</t>
        </is>
      </c>
      <c r="AJ1229" s="733" t="n"/>
      <c r="AK1229" s="733" t="n"/>
      <c r="AL1229" s="733" t="n"/>
      <c r="AM1229" s="733" t="n"/>
      <c r="AN1229" s="733" t="n"/>
      <c r="AO1229" s="733" t="n"/>
      <c r="AP1229" s="719" t="inlineStr">
        <is>
          <t>Pullback</t>
        </is>
      </c>
      <c r="AQ1229" s="719" t="inlineStr">
        <is>
          <t>15MIN</t>
        </is>
      </c>
      <c r="AR1229" s="719" t="inlineStr">
        <is>
          <t>No</t>
        </is>
      </c>
      <c r="AS1229" s="733" t="n"/>
      <c r="AT1229" s="733" t="n"/>
      <c r="AU1229" s="733" t="n"/>
      <c r="AV1229" s="733" t="n"/>
      <c r="AW1229" s="719" t="inlineStr">
        <is>
          <t>trade</t>
        </is>
      </c>
      <c r="AX1229" s="734" t="inlineStr">
        <is>
          <t>sig:21c6ec07f3f75c68fd6a8148</t>
        </is>
      </c>
    </row>
    <row r="1230" ht="15" customHeight="1">
      <c r="A1230" s="737" t="inlineStr">
        <is>
          <t>F316</t>
        </is>
      </c>
      <c r="B1230" s="738" t="n">
        <v>43432.03125</v>
      </c>
      <c r="C1230" s="739" t="n">
        <v>43432.25277777778</v>
      </c>
      <c r="D1230" s="740" t="inlineStr">
        <is>
          <t>PEPPERSTONE DEMO</t>
        </is>
      </c>
      <c r="E1230" s="740" t="inlineStr">
        <is>
          <t>AUDUSD</t>
        </is>
      </c>
      <c r="F1230" s="740" t="inlineStr">
        <is>
          <t>SELL</t>
        </is>
      </c>
      <c r="G1230" s="775" t="n">
        <v>0.02</v>
      </c>
      <c r="H1230" s="742" t="n">
        <v>0.723</v>
      </c>
      <c r="I1230" s="742" t="n">
        <v>0.7214699999999999</v>
      </c>
      <c r="J1230" s="743" t="n">
        <v>0.7246</v>
      </c>
      <c r="K1230" s="744" t="n">
        <v>0.002213001383125928</v>
      </c>
      <c r="L1230" s="743" t="n">
        <v>0.7198</v>
      </c>
      <c r="M1230" s="744" t="n">
        <v>0.004426002766251702</v>
      </c>
      <c r="N1230" s="796" t="n"/>
      <c r="O1230" s="767" t="n">
        <v>2.92</v>
      </c>
      <c r="P1230" s="747" t="n">
        <v>0.002135689418097773</v>
      </c>
      <c r="Q1230" s="748" t="n">
        <v>0.9562499999999922</v>
      </c>
      <c r="R1230" s="769" t="n">
        <v>1370.16</v>
      </c>
      <c r="S1230" s="740" t="inlineStr">
        <is>
          <t>5H 19M 0S</t>
        </is>
      </c>
      <c r="T1230" s="750" t="n"/>
      <c r="U1230" s="751" t="n"/>
      <c r="V1230" s="752" t="n"/>
      <c r="W1230" s="753" t="n"/>
      <c r="X1230" s="754" t="n"/>
      <c r="Y1230" s="750" t="n"/>
      <c r="Z1230" s="751" t="n"/>
      <c r="AA1230" s="752" t="n"/>
      <c r="AB1230" s="753" t="n"/>
      <c r="AC1230" s="754" t="n"/>
      <c r="AD1230" s="740" t="inlineStr">
        <is>
          <t>No</t>
        </is>
      </c>
      <c r="AE1230" s="755" t="n"/>
      <c r="AF1230" s="755" t="n"/>
      <c r="AG1230" s="755" t="n"/>
      <c r="AH1230" s="755" t="n"/>
      <c r="AI1230" s="740" t="inlineStr">
        <is>
          <t>Market</t>
        </is>
      </c>
      <c r="AJ1230" s="755" t="n"/>
      <c r="AK1230" s="755" t="n"/>
      <c r="AL1230" s="755" t="n"/>
      <c r="AM1230" s="755" t="n"/>
      <c r="AN1230" s="755" t="n"/>
      <c r="AO1230" s="755" t="n"/>
      <c r="AP1230" s="740" t="inlineStr">
        <is>
          <t>Pullback</t>
        </is>
      </c>
      <c r="AQ1230" s="740" t="inlineStr">
        <is>
          <t>15MIN</t>
        </is>
      </c>
      <c r="AR1230" s="740" t="inlineStr">
        <is>
          <t>No</t>
        </is>
      </c>
      <c r="AS1230" s="755" t="n"/>
      <c r="AT1230" s="755" t="n"/>
      <c r="AU1230" s="755" t="n"/>
      <c r="AV1230" s="755" t="n"/>
      <c r="AW1230" s="740" t="inlineStr">
        <is>
          <t>trade</t>
        </is>
      </c>
      <c r="AX1230" s="756" t="inlineStr">
        <is>
          <t>sig:d70559dcdacac6b514fba33c</t>
        </is>
      </c>
    </row>
    <row r="1231" ht="15" customHeight="1">
      <c r="A1231" s="737" t="inlineStr">
        <is>
          <t>F317</t>
        </is>
      </c>
      <c r="B1231" s="738" t="n">
        <v>43432.07291666666</v>
      </c>
      <c r="C1231" s="739" t="n">
        <v>43432.12361111111</v>
      </c>
      <c r="D1231" s="740" t="inlineStr">
        <is>
          <t>PEPPERSTONE DEMO</t>
        </is>
      </c>
      <c r="E1231" s="740" t="inlineStr">
        <is>
          <t>USDCAD</t>
        </is>
      </c>
      <c r="F1231" s="740" t="inlineStr">
        <is>
          <t>BUY</t>
        </is>
      </c>
      <c r="G1231" s="775" t="n">
        <v>0.02</v>
      </c>
      <c r="H1231" s="742" t="n">
        <v>1.3277</v>
      </c>
      <c r="I1231" s="742" t="n">
        <v>1.33118</v>
      </c>
      <c r="J1231" s="743" t="n">
        <v>1.326</v>
      </c>
      <c r="K1231" s="744" t="n">
        <v>0.001280409731113983</v>
      </c>
      <c r="L1231" s="743" t="n">
        <v>1.3311</v>
      </c>
      <c r="M1231" s="744" t="n">
        <v>0.002560819462227798</v>
      </c>
      <c r="N1231" s="796" t="n"/>
      <c r="O1231" s="767" t="n">
        <v>6.74</v>
      </c>
      <c r="P1231" s="747" t="n">
        <v>0.004954061006982727</v>
      </c>
      <c r="Q1231" s="748" t="n">
        <v>2.047058823529327</v>
      </c>
      <c r="R1231" s="769" t="n">
        <v>1367.24</v>
      </c>
      <c r="S1231" s="740" t="inlineStr">
        <is>
          <t>1H 13M 0S</t>
        </is>
      </c>
      <c r="T1231" s="750" t="n"/>
      <c r="U1231" s="751" t="n"/>
      <c r="V1231" s="752" t="n"/>
      <c r="W1231" s="753" t="n"/>
      <c r="X1231" s="754" t="n"/>
      <c r="Y1231" s="750" t="n"/>
      <c r="Z1231" s="751" t="n"/>
      <c r="AA1231" s="752" t="n"/>
      <c r="AB1231" s="753" t="n"/>
      <c r="AC1231" s="754" t="n"/>
      <c r="AD1231" s="740" t="inlineStr">
        <is>
          <t>No</t>
        </is>
      </c>
      <c r="AE1231" s="755" t="n"/>
      <c r="AF1231" s="755" t="n"/>
      <c r="AG1231" s="755" t="n"/>
      <c r="AH1231" s="755" t="n"/>
      <c r="AI1231" s="740" t="inlineStr">
        <is>
          <t>Market</t>
        </is>
      </c>
      <c r="AJ1231" s="755" t="n"/>
      <c r="AK1231" s="755" t="n"/>
      <c r="AL1231" s="755" t="n"/>
      <c r="AM1231" s="755" t="n"/>
      <c r="AN1231" s="755" t="n"/>
      <c r="AO1231" s="755" t="n"/>
      <c r="AP1231" s="740" t="inlineStr">
        <is>
          <t>Pullback</t>
        </is>
      </c>
      <c r="AQ1231" s="740" t="inlineStr">
        <is>
          <t>15MIN</t>
        </is>
      </c>
      <c r="AR1231" s="740" t="inlineStr">
        <is>
          <t>No</t>
        </is>
      </c>
      <c r="AS1231" s="755" t="n"/>
      <c r="AT1231" s="755" t="n"/>
      <c r="AU1231" s="755" t="n"/>
      <c r="AV1231" s="755" t="n"/>
      <c r="AW1231" s="740" t="inlineStr">
        <is>
          <t>trade</t>
        </is>
      </c>
      <c r="AX1231" s="756" t="inlineStr">
        <is>
          <t>sig:e7e979fb413a539044309f68</t>
        </is>
      </c>
    </row>
    <row r="1232" ht="15" customHeight="1">
      <c r="A1232" s="716" t="inlineStr">
        <is>
          <t>F315</t>
        </is>
      </c>
      <c r="B1232" s="717" t="n">
        <v>43431.94791666666</v>
      </c>
      <c r="C1232" s="718" t="n">
        <v>43432.00486111111</v>
      </c>
      <c r="D1232" s="719" t="inlineStr">
        <is>
          <t>PEPPERSTONE DEMO</t>
        </is>
      </c>
      <c r="E1232" s="719" t="inlineStr">
        <is>
          <t>AUDUSD</t>
        </is>
      </c>
      <c r="F1232" s="719" t="inlineStr">
        <is>
          <t>BUY</t>
        </is>
      </c>
      <c r="G1232" s="735" t="n">
        <v>0.02</v>
      </c>
      <c r="H1232" s="720" t="n">
        <v>0.7246</v>
      </c>
      <c r="I1232" s="720" t="n">
        <v>0.72375</v>
      </c>
      <c r="J1232" s="721" t="n">
        <v>0.7233000000000001</v>
      </c>
      <c r="K1232" s="722" t="n">
        <v>0.001794093292851184</v>
      </c>
      <c r="L1232" s="721" t="n">
        <v>0.7272</v>
      </c>
      <c r="M1232" s="722" t="n">
        <v>0.003588186585702368</v>
      </c>
      <c r="N1232" s="788" t="n"/>
      <c r="O1232" s="762" t="n">
        <v>-2.35</v>
      </c>
      <c r="P1232" s="725" t="n">
        <v>-0.001724327695637818</v>
      </c>
      <c r="Q1232" s="726" t="n">
        <v>-0.6538461538461834</v>
      </c>
      <c r="R1232" s="764" t="n">
        <v>1360.5</v>
      </c>
      <c r="S1232" s="719" t="inlineStr">
        <is>
          <t>1H 22M 0S</t>
        </is>
      </c>
      <c r="T1232" s="728" t="n"/>
      <c r="U1232" s="729" t="n"/>
      <c r="V1232" s="730" t="n"/>
      <c r="W1232" s="731" t="n"/>
      <c r="X1232" s="732" t="n"/>
      <c r="Y1232" s="728" t="n"/>
      <c r="Z1232" s="729" t="n"/>
      <c r="AA1232" s="730" t="n"/>
      <c r="AB1232" s="731" t="n"/>
      <c r="AC1232" s="732" t="n"/>
      <c r="AD1232" s="719" t="inlineStr">
        <is>
          <t>No</t>
        </is>
      </c>
      <c r="AE1232" s="733" t="n"/>
      <c r="AF1232" s="733" t="n"/>
      <c r="AG1232" s="733" t="n"/>
      <c r="AH1232" s="733" t="n"/>
      <c r="AI1232" s="719" t="inlineStr">
        <is>
          <t>Market</t>
        </is>
      </c>
      <c r="AJ1232" s="733" t="n"/>
      <c r="AK1232" s="733" t="n"/>
      <c r="AL1232" s="733" t="n"/>
      <c r="AM1232" s="733" t="n"/>
      <c r="AN1232" s="733" t="n"/>
      <c r="AO1232" s="733" t="n"/>
      <c r="AP1232" s="719" t="inlineStr">
        <is>
          <t>Pullback</t>
        </is>
      </c>
      <c r="AQ1232" s="719" t="inlineStr">
        <is>
          <t>15MIN</t>
        </is>
      </c>
      <c r="AR1232" s="719" t="inlineStr">
        <is>
          <t>No</t>
        </is>
      </c>
      <c r="AS1232" s="733" t="n"/>
      <c r="AT1232" s="733" t="n"/>
      <c r="AU1232" s="733" t="n"/>
      <c r="AV1232" s="733" t="n"/>
      <c r="AW1232" s="719" t="inlineStr">
        <is>
          <t>trade</t>
        </is>
      </c>
      <c r="AX1232" s="734" t="inlineStr">
        <is>
          <t>sig:a0af3047b65d5067e63b8027</t>
        </is>
      </c>
    </row>
    <row r="1233" ht="15" customHeight="1">
      <c r="A1233" s="716" t="inlineStr">
        <is>
          <t>F314</t>
        </is>
      </c>
      <c r="B1233" s="717" t="n">
        <v>43430.98194444444</v>
      </c>
      <c r="C1233" s="718" t="n">
        <v>43431.00555555556</v>
      </c>
      <c r="D1233" s="719" t="inlineStr">
        <is>
          <t>PEPPERSTONE DEMO</t>
        </is>
      </c>
      <c r="E1233" s="719" t="inlineStr">
        <is>
          <t>NZDUSD</t>
        </is>
      </c>
      <c r="F1233" s="719" t="inlineStr">
        <is>
          <t>BUY</t>
        </is>
      </c>
      <c r="G1233" s="735" t="n">
        <v>0.02</v>
      </c>
      <c r="H1233" s="720" t="n">
        <v>0.6804</v>
      </c>
      <c r="I1233" s="720" t="n">
        <v>0.67982</v>
      </c>
      <c r="J1233" s="721" t="n">
        <v>0.6792</v>
      </c>
      <c r="K1233" s="722" t="n">
        <v>0.001763668430335066</v>
      </c>
      <c r="L1233" s="721" t="n">
        <v>0.6828</v>
      </c>
      <c r="M1233" s="722" t="n">
        <v>0.003527336860670132</v>
      </c>
      <c r="N1233" s="788" t="n"/>
      <c r="O1233" s="762" t="n">
        <v>-1.66</v>
      </c>
      <c r="P1233" s="725" t="n">
        <v>-0.0012165539277836</v>
      </c>
      <c r="Q1233" s="726" t="n">
        <v>-0.4833333333333626</v>
      </c>
      <c r="R1233" s="764" t="n">
        <v>1362.85</v>
      </c>
      <c r="S1233" s="719" t="inlineStr">
        <is>
          <t>34M 0S</t>
        </is>
      </c>
      <c r="T1233" s="728" t="n"/>
      <c r="U1233" s="729" t="n"/>
      <c r="V1233" s="730" t="n"/>
      <c r="W1233" s="731" t="n"/>
      <c r="X1233" s="732" t="n"/>
      <c r="Y1233" s="728" t="n"/>
      <c r="Z1233" s="729" t="n"/>
      <c r="AA1233" s="730" t="n"/>
      <c r="AB1233" s="731" t="n"/>
      <c r="AC1233" s="732" t="n"/>
      <c r="AD1233" s="719" t="inlineStr">
        <is>
          <t>No</t>
        </is>
      </c>
      <c r="AE1233" s="733" t="n"/>
      <c r="AF1233" s="733" t="n"/>
      <c r="AG1233" s="733" t="n"/>
      <c r="AH1233" s="733" t="n"/>
      <c r="AI1233" s="719" t="inlineStr">
        <is>
          <t>Limit</t>
        </is>
      </c>
      <c r="AJ1233" s="733" t="n"/>
      <c r="AK1233" s="733" t="n"/>
      <c r="AL1233" s="733" t="n"/>
      <c r="AM1233" s="733" t="n"/>
      <c r="AN1233" s="733" t="n"/>
      <c r="AO1233" s="733" t="n"/>
      <c r="AP1233" s="719" t="inlineStr">
        <is>
          <t>Pullback</t>
        </is>
      </c>
      <c r="AQ1233" s="719" t="inlineStr">
        <is>
          <t>15MIN</t>
        </is>
      </c>
      <c r="AR1233" s="719" t="inlineStr">
        <is>
          <t>No</t>
        </is>
      </c>
      <c r="AS1233" s="733" t="n"/>
      <c r="AT1233" s="733" t="n"/>
      <c r="AU1233" s="733" t="n"/>
      <c r="AV1233" s="733" t="n"/>
      <c r="AW1233" s="719" t="inlineStr">
        <is>
          <t>trade</t>
        </is>
      </c>
      <c r="AX1233" s="734" t="inlineStr">
        <is>
          <t>sig:b373dc8cae72073e337793b9</t>
        </is>
      </c>
    </row>
    <row r="1234" ht="15" customHeight="1">
      <c r="A1234" s="716" t="inlineStr">
        <is>
          <t>F313</t>
        </is>
      </c>
      <c r="B1234" s="717" t="n">
        <v>43428.05</v>
      </c>
      <c r="C1234" s="718" t="n">
        <v>43428.07847222222</v>
      </c>
      <c r="D1234" s="719" t="inlineStr">
        <is>
          <t>PEPPERSTONE DEMO</t>
        </is>
      </c>
      <c r="E1234" s="719" t="inlineStr">
        <is>
          <t>USDCHF</t>
        </is>
      </c>
      <c r="F1234" s="719" t="inlineStr">
        <is>
          <t>BUY</t>
        </is>
      </c>
      <c r="G1234" s="735" t="n">
        <v>0.04</v>
      </c>
      <c r="H1234" s="720" t="n">
        <v>0.9971</v>
      </c>
      <c r="I1234" s="720" t="n">
        <v>0.99634</v>
      </c>
      <c r="J1234" s="721" t="n">
        <v>0.9963</v>
      </c>
      <c r="K1234" s="760" t="n">
        <v>0.00080232674756797</v>
      </c>
      <c r="L1234" s="721" t="n">
        <v>0.9987</v>
      </c>
      <c r="M1234" s="722" t="n">
        <v>0.00160465349513594</v>
      </c>
      <c r="N1234" s="788" t="n"/>
      <c r="O1234" s="762" t="n">
        <v>-4.44</v>
      </c>
      <c r="P1234" s="725" t="n">
        <v>-0.003243361700573432</v>
      </c>
      <c r="Q1234" s="726" t="n">
        <v>-0.9499999999999514</v>
      </c>
      <c r="R1234" s="764" t="n">
        <v>1364.51</v>
      </c>
      <c r="S1234" s="719" t="inlineStr">
        <is>
          <t>41M 0S</t>
        </is>
      </c>
      <c r="T1234" s="728" t="n"/>
      <c r="U1234" s="729" t="n"/>
      <c r="V1234" s="730" t="n"/>
      <c r="W1234" s="731" t="n"/>
      <c r="X1234" s="732" t="n"/>
      <c r="Y1234" s="728" t="n"/>
      <c r="Z1234" s="729" t="n"/>
      <c r="AA1234" s="730" t="n"/>
      <c r="AB1234" s="731" t="n"/>
      <c r="AC1234" s="732" t="n"/>
      <c r="AD1234" s="719" t="inlineStr">
        <is>
          <t>No</t>
        </is>
      </c>
      <c r="AE1234" s="733" t="n"/>
      <c r="AF1234" s="733" t="n"/>
      <c r="AG1234" s="733" t="n"/>
      <c r="AH1234" s="733" t="n"/>
      <c r="AI1234" s="719" t="inlineStr">
        <is>
          <t>Limit</t>
        </is>
      </c>
      <c r="AJ1234" s="733" t="n"/>
      <c r="AK1234" s="733" t="n"/>
      <c r="AL1234" s="733" t="n"/>
      <c r="AM1234" s="733" t="n"/>
      <c r="AN1234" s="733" t="n"/>
      <c r="AO1234" s="733" t="n"/>
      <c r="AP1234" s="719" t="inlineStr">
        <is>
          <t>Pullback</t>
        </is>
      </c>
      <c r="AQ1234" s="719" t="inlineStr">
        <is>
          <t>15MIN</t>
        </is>
      </c>
      <c r="AR1234" s="719" t="inlineStr">
        <is>
          <t>No</t>
        </is>
      </c>
      <c r="AS1234" s="733" t="n"/>
      <c r="AT1234" s="733" t="n"/>
      <c r="AU1234" s="733" t="n"/>
      <c r="AV1234" s="733" t="n"/>
      <c r="AW1234" s="719" t="inlineStr">
        <is>
          <t>trade</t>
        </is>
      </c>
      <c r="AX1234" s="734" t="inlineStr">
        <is>
          <t>sig:28a11f7def4b77799f68c982</t>
        </is>
      </c>
    </row>
    <row r="1235" ht="15" customHeight="1">
      <c r="A1235" s="716" t="inlineStr">
        <is>
          <t>F310</t>
        </is>
      </c>
      <c r="B1235" s="717" t="n">
        <v>43425.93541666667</v>
      </c>
      <c r="C1235" s="718" t="n">
        <v>43425.97430555556</v>
      </c>
      <c r="D1235" s="719" t="inlineStr">
        <is>
          <t>PEPPERSTONE DEMO</t>
        </is>
      </c>
      <c r="E1235" s="719" t="inlineStr">
        <is>
          <t>USDJPY</t>
        </is>
      </c>
      <c r="F1235" s="719" t="inlineStr">
        <is>
          <t>BUY</t>
        </is>
      </c>
      <c r="G1235" s="735" t="n">
        <v>0.05</v>
      </c>
      <c r="H1235" s="720" t="n">
        <v>113.04</v>
      </c>
      <c r="I1235" s="720" t="n">
        <v>113.021</v>
      </c>
      <c r="J1235" s="721" t="n">
        <v>112.96</v>
      </c>
      <c r="K1235" s="760" t="n">
        <v>0.0007077140835103725</v>
      </c>
      <c r="L1235" s="721" t="n">
        <v>113.2</v>
      </c>
      <c r="M1235" s="722" t="n">
        <v>0.001415428167020493</v>
      </c>
      <c r="N1235" s="788" t="n"/>
      <c r="O1235" s="762" t="n">
        <v>-1.41</v>
      </c>
      <c r="P1235" s="725" t="n">
        <v>-0.001028926705391284</v>
      </c>
      <c r="Q1235" s="726" t="n">
        <v>-0.2375000000000311</v>
      </c>
      <c r="R1235" s="764" t="n">
        <v>1368.95</v>
      </c>
      <c r="S1235" s="719" t="inlineStr">
        <is>
          <t>56M 0S</t>
        </is>
      </c>
      <c r="T1235" s="728" t="n"/>
      <c r="U1235" s="729" t="n"/>
      <c r="V1235" s="730" t="n"/>
      <c r="W1235" s="731" t="n"/>
      <c r="X1235" s="732" t="n"/>
      <c r="Y1235" s="728" t="n"/>
      <c r="Z1235" s="729" t="n"/>
      <c r="AA1235" s="730" t="n"/>
      <c r="AB1235" s="731" t="n"/>
      <c r="AC1235" s="732" t="n"/>
      <c r="AD1235" s="719" t="inlineStr">
        <is>
          <t>No</t>
        </is>
      </c>
      <c r="AE1235" s="733" t="n"/>
      <c r="AF1235" s="733" t="n"/>
      <c r="AG1235" s="733" t="n"/>
      <c r="AH1235" s="733" t="n"/>
      <c r="AI1235" s="719" t="inlineStr">
        <is>
          <t>Limit</t>
        </is>
      </c>
      <c r="AJ1235" s="733" t="n"/>
      <c r="AK1235" s="733" t="n"/>
      <c r="AL1235" s="733" t="n"/>
      <c r="AM1235" s="733" t="n"/>
      <c r="AN1235" s="733" t="n"/>
      <c r="AO1235" s="733" t="n"/>
      <c r="AP1235" s="719" t="inlineStr">
        <is>
          <t>Pullback</t>
        </is>
      </c>
      <c r="AQ1235" s="719" t="inlineStr">
        <is>
          <t>15MIN</t>
        </is>
      </c>
      <c r="AR1235" s="719" t="inlineStr">
        <is>
          <t>No</t>
        </is>
      </c>
      <c r="AS1235" s="733" t="n"/>
      <c r="AT1235" s="733" t="n"/>
      <c r="AU1235" s="733" t="n"/>
      <c r="AV1235" s="733" t="n"/>
      <c r="AW1235" s="719" t="inlineStr">
        <is>
          <t>trade</t>
        </is>
      </c>
      <c r="AX1235" s="734" t="inlineStr">
        <is>
          <t>sig:8218535061905899ef564399</t>
        </is>
      </c>
    </row>
    <row r="1236" ht="15" customHeight="1">
      <c r="A1236" s="716" t="inlineStr">
        <is>
          <t>F308</t>
        </is>
      </c>
      <c r="B1236" s="717" t="n">
        <v>43425.89930555555</v>
      </c>
      <c r="C1236" s="718" t="n">
        <v>43425.91388888889</v>
      </c>
      <c r="D1236" s="719" t="inlineStr">
        <is>
          <t>PEPPERSTONE DEMO</t>
        </is>
      </c>
      <c r="E1236" s="719" t="inlineStr">
        <is>
          <t>AUDUSD</t>
        </is>
      </c>
      <c r="F1236" s="719" t="inlineStr">
        <is>
          <t>BUY</t>
        </is>
      </c>
      <c r="G1236" s="735" t="n">
        <v>0.01</v>
      </c>
      <c r="H1236" s="720" t="n">
        <v>0.7245</v>
      </c>
      <c r="I1236" s="720" t="n">
        <v>0.72394</v>
      </c>
      <c r="J1236" s="721" t="n">
        <v>0.7223000000000001</v>
      </c>
      <c r="K1236" s="722" t="n">
        <v>0.0030365769496204</v>
      </c>
      <c r="L1236" s="721" t="n">
        <v>0.7289</v>
      </c>
      <c r="M1236" s="722" t="n">
        <v>0.006073153899240799</v>
      </c>
      <c r="N1236" s="788" t="n"/>
      <c r="O1236" s="762" t="n">
        <v>-0.88</v>
      </c>
      <c r="P1236" s="763" t="n">
        <v>-0.000641754907966512</v>
      </c>
      <c r="Q1236" s="726" t="n">
        <v>-0.2545454545454591</v>
      </c>
      <c r="R1236" s="764" t="n">
        <v>1370.36</v>
      </c>
      <c r="S1236" s="719" t="inlineStr">
        <is>
          <t>21M 0S</t>
        </is>
      </c>
      <c r="T1236" s="728" t="n"/>
      <c r="U1236" s="729" t="n"/>
      <c r="V1236" s="730" t="n"/>
      <c r="W1236" s="731" t="n"/>
      <c r="X1236" s="732" t="n"/>
      <c r="Y1236" s="728" t="n"/>
      <c r="Z1236" s="729" t="n"/>
      <c r="AA1236" s="730" t="n"/>
      <c r="AB1236" s="731" t="n"/>
      <c r="AC1236" s="732" t="n"/>
      <c r="AD1236" s="719" t="inlineStr">
        <is>
          <t>No</t>
        </is>
      </c>
      <c r="AE1236" s="733" t="n"/>
      <c r="AF1236" s="733" t="n"/>
      <c r="AG1236" s="733" t="n"/>
      <c r="AH1236" s="733" t="n"/>
      <c r="AI1236" s="719" t="inlineStr">
        <is>
          <t>Limit</t>
        </is>
      </c>
      <c r="AJ1236" s="733" t="n"/>
      <c r="AK1236" s="733" t="n"/>
      <c r="AL1236" s="733" t="n"/>
      <c r="AM1236" s="733" t="n"/>
      <c r="AN1236" s="733" t="n"/>
      <c r="AO1236" s="733" t="n"/>
      <c r="AP1236" s="719" t="inlineStr">
        <is>
          <t>Pullback</t>
        </is>
      </c>
      <c r="AQ1236" s="719" t="inlineStr">
        <is>
          <t>15MIN</t>
        </is>
      </c>
      <c r="AR1236" s="719" t="inlineStr">
        <is>
          <t>No</t>
        </is>
      </c>
      <c r="AS1236" s="733" t="n"/>
      <c r="AT1236" s="733" t="n"/>
      <c r="AU1236" s="733" t="n"/>
      <c r="AV1236" s="733" t="n"/>
      <c r="AW1236" s="719" t="inlineStr">
        <is>
          <t>trade</t>
        </is>
      </c>
      <c r="AX1236" s="734" t="inlineStr">
        <is>
          <t>sig:88163fd47e4894dbf8838b9d</t>
        </is>
      </c>
    </row>
    <row r="1237" ht="15" customHeight="1">
      <c r="A1237" s="737" t="inlineStr">
        <is>
          <t>F312</t>
        </is>
      </c>
      <c r="B1237" s="738" t="n">
        <v>43425.10416666666</v>
      </c>
      <c r="C1237" s="739" t="n">
        <v>43425.17916666667</v>
      </c>
      <c r="D1237" s="740" t="inlineStr">
        <is>
          <t>PEPPERSTONE DEMO</t>
        </is>
      </c>
      <c r="E1237" s="740" t="inlineStr">
        <is>
          <t>USDCAD</t>
        </is>
      </c>
      <c r="F1237" s="740" t="inlineStr">
        <is>
          <t>BUY</t>
        </is>
      </c>
      <c r="G1237" s="775" t="n">
        <v>0.02</v>
      </c>
      <c r="H1237" s="742" t="n">
        <v>1.3246</v>
      </c>
      <c r="I1237" s="742" t="n">
        <v>1.32823</v>
      </c>
      <c r="J1237" s="743" t="n">
        <v>1.3228</v>
      </c>
      <c r="K1237" s="744" t="n">
        <v>0.0013589008002416</v>
      </c>
      <c r="L1237" s="743" t="n">
        <v>1.3282</v>
      </c>
      <c r="M1237" s="744" t="n">
        <v>0.002717801600483201</v>
      </c>
      <c r="N1237" s="796" t="n"/>
      <c r="O1237" s="767" t="n">
        <v>7.5</v>
      </c>
      <c r="P1237" s="747" t="n">
        <v>0.005499582031765586</v>
      </c>
      <c r="Q1237" s="748" t="n">
        <v>2.016666666666652</v>
      </c>
      <c r="R1237" s="769" t="n">
        <v>1371.24</v>
      </c>
      <c r="S1237" s="740" t="inlineStr">
        <is>
          <t>1H 48M 0S</t>
        </is>
      </c>
      <c r="T1237" s="750" t="n"/>
      <c r="U1237" s="751" t="n"/>
      <c r="V1237" s="752" t="n"/>
      <c r="W1237" s="753" t="n"/>
      <c r="X1237" s="754" t="n"/>
      <c r="Y1237" s="750" t="n"/>
      <c r="Z1237" s="751" t="n"/>
      <c r="AA1237" s="752" t="n"/>
      <c r="AB1237" s="753" t="n"/>
      <c r="AC1237" s="754" t="n"/>
      <c r="AD1237" s="740" t="inlineStr">
        <is>
          <t>No</t>
        </is>
      </c>
      <c r="AE1237" s="755" t="n"/>
      <c r="AF1237" s="755" t="n"/>
      <c r="AG1237" s="755" t="n"/>
      <c r="AH1237" s="755" t="n"/>
      <c r="AI1237" s="740" t="inlineStr">
        <is>
          <t>Market</t>
        </is>
      </c>
      <c r="AJ1237" s="755" t="n"/>
      <c r="AK1237" s="755" t="n"/>
      <c r="AL1237" s="755" t="n"/>
      <c r="AM1237" s="755" t="n"/>
      <c r="AN1237" s="755" t="n"/>
      <c r="AO1237" s="755" t="n"/>
      <c r="AP1237" s="740" t="inlineStr">
        <is>
          <t>Pullback</t>
        </is>
      </c>
      <c r="AQ1237" s="740" t="inlineStr">
        <is>
          <t>15MIN</t>
        </is>
      </c>
      <c r="AR1237" s="740" t="inlineStr">
        <is>
          <t>No</t>
        </is>
      </c>
      <c r="AS1237" s="755" t="n"/>
      <c r="AT1237" s="755" t="n"/>
      <c r="AU1237" s="755" t="n"/>
      <c r="AV1237" s="755" t="n"/>
      <c r="AW1237" s="740" t="inlineStr">
        <is>
          <t>trade</t>
        </is>
      </c>
      <c r="AX1237" s="756" t="inlineStr">
        <is>
          <t>sig:d4500d1e5995ef7416c39ec4</t>
        </is>
      </c>
    </row>
    <row r="1238" ht="15" customHeight="1">
      <c r="A1238" s="716" t="inlineStr">
        <is>
          <t>F309</t>
        </is>
      </c>
      <c r="B1238" s="717" t="n">
        <v>43425.06180555555</v>
      </c>
      <c r="C1238" s="718" t="n">
        <v>43425.09236111111</v>
      </c>
      <c r="D1238" s="719" t="inlineStr">
        <is>
          <t>PEPPERSTONE DEMO</t>
        </is>
      </c>
      <c r="E1238" s="719" t="inlineStr">
        <is>
          <t>USDCHF</t>
        </is>
      </c>
      <c r="F1238" s="719" t="inlineStr">
        <is>
          <t>BUY</t>
        </is>
      </c>
      <c r="G1238" s="735" t="n">
        <v>0.02</v>
      </c>
      <c r="H1238" s="720" t="n">
        <v>0.9941</v>
      </c>
      <c r="I1238" s="720" t="n">
        <v>0.99372</v>
      </c>
      <c r="J1238" s="721" t="n">
        <v>0.9928</v>
      </c>
      <c r="K1238" s="722" t="n">
        <v>0.001307715521577274</v>
      </c>
      <c r="L1238" s="721" t="n">
        <v>0.9967</v>
      </c>
      <c r="M1238" s="722" t="n">
        <v>0.002615431043154659</v>
      </c>
      <c r="N1238" s="788" t="n"/>
      <c r="O1238" s="762" t="n">
        <v>-1.31</v>
      </c>
      <c r="P1238" s="763" t="n">
        <v>-0.0009596718068935205</v>
      </c>
      <c r="Q1238" s="726" t="n">
        <v>-0.2923076923076502</v>
      </c>
      <c r="R1238" s="764" t="n">
        <v>1363.74</v>
      </c>
      <c r="S1238" s="719" t="inlineStr">
        <is>
          <t>44M 0S</t>
        </is>
      </c>
      <c r="T1238" s="728" t="n"/>
      <c r="U1238" s="729" t="n"/>
      <c r="V1238" s="730" t="n"/>
      <c r="W1238" s="731" t="n"/>
      <c r="X1238" s="732" t="n"/>
      <c r="Y1238" s="728" t="n"/>
      <c r="Z1238" s="729" t="n"/>
      <c r="AA1238" s="730" t="n"/>
      <c r="AB1238" s="731" t="n"/>
      <c r="AC1238" s="732" t="n"/>
      <c r="AD1238" s="719" t="inlineStr">
        <is>
          <t>No</t>
        </is>
      </c>
      <c r="AE1238" s="733" t="n"/>
      <c r="AF1238" s="733" t="n"/>
      <c r="AG1238" s="733" t="n"/>
      <c r="AH1238" s="733" t="n"/>
      <c r="AI1238" s="719" t="inlineStr">
        <is>
          <t>Limit</t>
        </is>
      </c>
      <c r="AJ1238" s="733" t="n"/>
      <c r="AK1238" s="733" t="n"/>
      <c r="AL1238" s="733" t="n"/>
      <c r="AM1238" s="733" t="n"/>
      <c r="AN1238" s="733" t="n"/>
      <c r="AO1238" s="733" t="n"/>
      <c r="AP1238" s="719" t="inlineStr">
        <is>
          <t>Pullback</t>
        </is>
      </c>
      <c r="AQ1238" s="719" t="inlineStr">
        <is>
          <t>15MIN</t>
        </is>
      </c>
      <c r="AR1238" s="719" t="inlineStr">
        <is>
          <t>No</t>
        </is>
      </c>
      <c r="AS1238" s="733" t="n"/>
      <c r="AT1238" s="733" t="n"/>
      <c r="AU1238" s="733" t="n"/>
      <c r="AV1238" s="733" t="n"/>
      <c r="AW1238" s="719" t="inlineStr">
        <is>
          <t>trade</t>
        </is>
      </c>
      <c r="AX1238" s="734" t="inlineStr">
        <is>
          <t>sig:7231df8d2053976437914114</t>
        </is>
      </c>
    </row>
    <row r="1239" ht="15" customHeight="1">
      <c r="A1239" s="716" t="inlineStr">
        <is>
          <t>F311</t>
        </is>
      </c>
      <c r="B1239" s="717" t="n">
        <v>43425.05</v>
      </c>
      <c r="C1239" s="718" t="n">
        <v>43425.05625</v>
      </c>
      <c r="D1239" s="719" t="inlineStr">
        <is>
          <t>PEPPERSTONE DEMO</t>
        </is>
      </c>
      <c r="E1239" s="719" t="inlineStr">
        <is>
          <t>USDJPY</t>
        </is>
      </c>
      <c r="F1239" s="719" t="inlineStr">
        <is>
          <t>SELL</t>
        </is>
      </c>
      <c r="G1239" s="735" t="n">
        <v>0.03</v>
      </c>
      <c r="H1239" s="720" t="n">
        <v>112.39</v>
      </c>
      <c r="I1239" s="720" t="n">
        <v>112.524</v>
      </c>
      <c r="J1239" s="721" t="n">
        <v>112.52</v>
      </c>
      <c r="K1239" s="722" t="n">
        <v>0.001156686537948176</v>
      </c>
      <c r="L1239" s="721" t="n">
        <v>112.13</v>
      </c>
      <c r="M1239" s="722" t="n">
        <v>0.002313373075896478</v>
      </c>
      <c r="N1239" s="788" t="n"/>
      <c r="O1239" s="762" t="n">
        <v>-4.79</v>
      </c>
      <c r="P1239" s="725" t="n">
        <v>-0.003496758745546925</v>
      </c>
      <c r="Q1239" s="726" t="n">
        <v>-1.03076923076927</v>
      </c>
      <c r="R1239" s="764" t="n">
        <v>1365.05</v>
      </c>
      <c r="S1239" s="719" t="inlineStr">
        <is>
          <t>9M 0S</t>
        </is>
      </c>
      <c r="T1239" s="728" t="n"/>
      <c r="U1239" s="729" t="n"/>
      <c r="V1239" s="730" t="n"/>
      <c r="W1239" s="731" t="n"/>
      <c r="X1239" s="732" t="n"/>
      <c r="Y1239" s="728" t="n"/>
      <c r="Z1239" s="729" t="n"/>
      <c r="AA1239" s="730" t="n"/>
      <c r="AB1239" s="731" t="n"/>
      <c r="AC1239" s="732" t="n"/>
      <c r="AD1239" s="719" t="inlineStr">
        <is>
          <t>No</t>
        </is>
      </c>
      <c r="AE1239" s="733" t="n"/>
      <c r="AF1239" s="733" t="n"/>
      <c r="AG1239" s="733" t="n"/>
      <c r="AH1239" s="733" t="n"/>
      <c r="AI1239" s="719" t="inlineStr">
        <is>
          <t>Limit</t>
        </is>
      </c>
      <c r="AJ1239" s="733" t="n"/>
      <c r="AK1239" s="733" t="n"/>
      <c r="AL1239" s="733" t="n"/>
      <c r="AM1239" s="733" t="n"/>
      <c r="AN1239" s="733" t="n"/>
      <c r="AO1239" s="733" t="n"/>
      <c r="AP1239" s="719" t="inlineStr">
        <is>
          <t>Pullback</t>
        </is>
      </c>
      <c r="AQ1239" s="719" t="inlineStr">
        <is>
          <t>15MIN</t>
        </is>
      </c>
      <c r="AR1239" s="719" t="inlineStr">
        <is>
          <t>No</t>
        </is>
      </c>
      <c r="AS1239" s="733" t="n"/>
      <c r="AT1239" s="733" t="n"/>
      <c r="AU1239" s="733" t="n"/>
      <c r="AV1239" s="733" t="n"/>
      <c r="AW1239" s="719" t="inlineStr">
        <is>
          <t>trade</t>
        </is>
      </c>
      <c r="AX1239" s="734" t="inlineStr">
        <is>
          <t>sig:d57f60add10ff54e72630741</t>
        </is>
      </c>
    </row>
    <row r="1240" ht="15" customHeight="1">
      <c r="A1240" s="737" t="inlineStr">
        <is>
          <t>F306</t>
        </is>
      </c>
      <c r="B1240" s="738" t="n">
        <v>43419.4375</v>
      </c>
      <c r="C1240" s="739" t="n">
        <v>43419.45833333334</v>
      </c>
      <c r="D1240" s="740" t="inlineStr">
        <is>
          <t>PEPPERSTONE DEMO</t>
        </is>
      </c>
      <c r="E1240" s="740" t="inlineStr">
        <is>
          <t>AUDUSD</t>
        </is>
      </c>
      <c r="F1240" s="740" t="inlineStr">
        <is>
          <t>BUY</t>
        </is>
      </c>
      <c r="G1240" s="775" t="n">
        <v>0.02</v>
      </c>
      <c r="H1240" s="742" t="n">
        <v>0.725</v>
      </c>
      <c r="I1240" s="742" t="n">
        <v>0.728</v>
      </c>
      <c r="J1240" s="743" t="n">
        <v>0.7235</v>
      </c>
      <c r="K1240" s="744" t="n">
        <v>0.002068965517241305</v>
      </c>
      <c r="L1240" s="743" t="n">
        <v>0.728</v>
      </c>
      <c r="M1240" s="744" t="n">
        <v>0.004137931034482762</v>
      </c>
      <c r="N1240" s="796" t="n"/>
      <c r="O1240" s="767" t="n">
        <v>7.71</v>
      </c>
      <c r="P1240" s="747" t="n">
        <v>0.005660252692474287</v>
      </c>
      <c r="Q1240" s="748" t="n">
        <v>2.000000000000074</v>
      </c>
      <c r="R1240" s="769" t="n">
        <v>1369.84</v>
      </c>
      <c r="S1240" s="740" t="inlineStr">
        <is>
          <t>30M 0S</t>
        </is>
      </c>
      <c r="T1240" s="750" t="n"/>
      <c r="U1240" s="751" t="n"/>
      <c r="V1240" s="752" t="n"/>
      <c r="W1240" s="753" t="n"/>
      <c r="X1240" s="754" t="n"/>
      <c r="Y1240" s="750" t="n"/>
      <c r="Z1240" s="751" t="n"/>
      <c r="AA1240" s="752" t="n"/>
      <c r="AB1240" s="753" t="n"/>
      <c r="AC1240" s="754" t="n"/>
      <c r="AD1240" s="740" t="inlineStr">
        <is>
          <t>No</t>
        </is>
      </c>
      <c r="AE1240" s="755" t="n"/>
      <c r="AF1240" s="755" t="n"/>
      <c r="AG1240" s="755" t="n"/>
      <c r="AH1240" s="755" t="n"/>
      <c r="AI1240" s="740" t="inlineStr">
        <is>
          <t>Limit</t>
        </is>
      </c>
      <c r="AJ1240" s="755" t="n"/>
      <c r="AK1240" s="755" t="n"/>
      <c r="AL1240" s="755" t="n"/>
      <c r="AM1240" s="755" t="n"/>
      <c r="AN1240" s="755" t="n"/>
      <c r="AO1240" s="755" t="n"/>
      <c r="AP1240" s="740" t="inlineStr">
        <is>
          <t>Pullback</t>
        </is>
      </c>
      <c r="AQ1240" s="740" t="inlineStr">
        <is>
          <t>15MIN</t>
        </is>
      </c>
      <c r="AR1240" s="740" t="inlineStr">
        <is>
          <t>No</t>
        </is>
      </c>
      <c r="AS1240" s="755" t="n"/>
      <c r="AT1240" s="755" t="n"/>
      <c r="AU1240" s="755" t="n"/>
      <c r="AV1240" s="755" t="n"/>
      <c r="AW1240" s="740" t="inlineStr">
        <is>
          <t>trade</t>
        </is>
      </c>
      <c r="AX1240" s="756" t="inlineStr">
        <is>
          <t>sig:0cd1863b2b4e21dc917a0546</t>
        </is>
      </c>
    </row>
    <row r="1241" ht="15" customHeight="1">
      <c r="A1241" s="716" t="inlineStr">
        <is>
          <t>F307</t>
        </is>
      </c>
      <c r="B1241" s="717" t="n">
        <v>43419.00694444445</v>
      </c>
      <c r="C1241" s="718" t="n">
        <v>43419.03333333333</v>
      </c>
      <c r="D1241" s="719" t="inlineStr">
        <is>
          <t>PEPPERSTONE DEMO</t>
        </is>
      </c>
      <c r="E1241" s="719" t="inlineStr">
        <is>
          <t>USDCHF</t>
        </is>
      </c>
      <c r="F1241" s="719" t="inlineStr">
        <is>
          <t>BUY</t>
        </is>
      </c>
      <c r="G1241" s="735" t="n">
        <v>0.02</v>
      </c>
      <c r="H1241" s="720" t="n">
        <v>1.0099</v>
      </c>
      <c r="I1241" s="720" t="n">
        <v>1.00815</v>
      </c>
      <c r="J1241" s="721" t="n">
        <v>1.0081</v>
      </c>
      <c r="K1241" s="722" t="n">
        <v>0.001782354688583052</v>
      </c>
      <c r="L1241" s="721" t="n">
        <v>1.0135</v>
      </c>
      <c r="M1241" s="722" t="n">
        <v>0.003564709377166103</v>
      </c>
      <c r="N1241" s="788" t="n"/>
      <c r="O1241" s="762" t="n">
        <v>-4.94</v>
      </c>
      <c r="P1241" s="725" t="n">
        <v>-0.003613567703190034</v>
      </c>
      <c r="Q1241" s="726" t="n">
        <v>-0.9722222222221639</v>
      </c>
      <c r="R1241" s="764" t="n">
        <v>1362.13</v>
      </c>
      <c r="S1241" s="719" t="inlineStr">
        <is>
          <t>38M 0S</t>
        </is>
      </c>
      <c r="T1241" s="728" t="n"/>
      <c r="U1241" s="729" t="n"/>
      <c r="V1241" s="730" t="n"/>
      <c r="W1241" s="731" t="n"/>
      <c r="X1241" s="732" t="n"/>
      <c r="Y1241" s="728" t="n"/>
      <c r="Z1241" s="729" t="n"/>
      <c r="AA1241" s="730" t="n"/>
      <c r="AB1241" s="731" t="n"/>
      <c r="AC1241" s="732" t="n"/>
      <c r="AD1241" s="719" t="inlineStr">
        <is>
          <t>No</t>
        </is>
      </c>
      <c r="AE1241" s="733" t="n"/>
      <c r="AF1241" s="733" t="n"/>
      <c r="AG1241" s="733" t="n"/>
      <c r="AH1241" s="733" t="n"/>
      <c r="AI1241" s="719" t="inlineStr">
        <is>
          <t>Limit</t>
        </is>
      </c>
      <c r="AJ1241" s="733" t="n"/>
      <c r="AK1241" s="733" t="n"/>
      <c r="AL1241" s="733" t="n"/>
      <c r="AM1241" s="733" t="n"/>
      <c r="AN1241" s="733" t="n"/>
      <c r="AO1241" s="733" t="n"/>
      <c r="AP1241" s="719" t="inlineStr">
        <is>
          <t>Pullback</t>
        </is>
      </c>
      <c r="AQ1241" s="719" t="inlineStr">
        <is>
          <t>15MIN</t>
        </is>
      </c>
      <c r="AR1241" s="719" t="inlineStr">
        <is>
          <t>No</t>
        </is>
      </c>
      <c r="AS1241" s="733" t="n"/>
      <c r="AT1241" s="733" t="n"/>
      <c r="AU1241" s="733" t="n"/>
      <c r="AV1241" s="733" t="n"/>
      <c r="AW1241" s="719" t="inlineStr">
        <is>
          <t>trade</t>
        </is>
      </c>
      <c r="AX1241" s="734" t="inlineStr">
        <is>
          <t>sig:3247cbe7920f311582a2dc57</t>
        </is>
      </c>
    </row>
    <row r="1242" ht="15" customHeight="1">
      <c r="A1242" s="716" t="inlineStr">
        <is>
          <t>F305</t>
        </is>
      </c>
      <c r="B1242" s="717" t="n">
        <v>43417.84375</v>
      </c>
      <c r="C1242" s="718" t="n">
        <v>43417.86041666667</v>
      </c>
      <c r="D1242" s="719" t="inlineStr">
        <is>
          <t>PEPPERSTONE DEMO</t>
        </is>
      </c>
      <c r="E1242" s="719" t="inlineStr">
        <is>
          <t>USDCHF</t>
        </is>
      </c>
      <c r="F1242" s="719" t="inlineStr">
        <is>
          <t>BUY</t>
        </is>
      </c>
      <c r="G1242" s="735" t="n">
        <v>0.03</v>
      </c>
      <c r="H1242" s="720" t="n">
        <v>1.0119</v>
      </c>
      <c r="I1242" s="720" t="n">
        <v>1.01071</v>
      </c>
      <c r="J1242" s="721" t="n">
        <v>1.0107</v>
      </c>
      <c r="K1242" s="722" t="n">
        <v>0.001185887933590365</v>
      </c>
      <c r="L1242" s="721" t="n">
        <v>1.0143</v>
      </c>
      <c r="M1242" s="722" t="n">
        <v>0.00237177586718051</v>
      </c>
      <c r="N1242" s="788" t="n"/>
      <c r="O1242" s="762" t="n">
        <v>-4.95</v>
      </c>
      <c r="P1242" s="725" t="n">
        <v>-0.00360781912800105</v>
      </c>
      <c r="Q1242" s="726" t="n">
        <v>-0.9916666666666127</v>
      </c>
      <c r="R1242" s="764" t="n">
        <v>1367.07</v>
      </c>
      <c r="S1242" s="719" t="inlineStr">
        <is>
          <t>24M 0S</t>
        </is>
      </c>
      <c r="T1242" s="728" t="n"/>
      <c r="U1242" s="729" t="n"/>
      <c r="V1242" s="730" t="n"/>
      <c r="W1242" s="731" t="n"/>
      <c r="X1242" s="732" t="n"/>
      <c r="Y1242" s="728" t="n"/>
      <c r="Z1242" s="729" t="n"/>
      <c r="AA1242" s="730" t="n"/>
      <c r="AB1242" s="731" t="n"/>
      <c r="AC1242" s="732" t="n"/>
      <c r="AD1242" s="719" t="inlineStr">
        <is>
          <t>No</t>
        </is>
      </c>
      <c r="AE1242" s="733" t="n"/>
      <c r="AF1242" s="733" t="n"/>
      <c r="AG1242" s="733" t="n"/>
      <c r="AH1242" s="733" t="n"/>
      <c r="AI1242" s="719" t="inlineStr">
        <is>
          <t>Market</t>
        </is>
      </c>
      <c r="AJ1242" s="733" t="n"/>
      <c r="AK1242" s="733" t="n"/>
      <c r="AL1242" s="733" t="n"/>
      <c r="AM1242" s="733" t="n"/>
      <c r="AN1242" s="733" t="n"/>
      <c r="AO1242" s="733" t="n"/>
      <c r="AP1242" s="719" t="inlineStr">
        <is>
          <t>Pullback</t>
        </is>
      </c>
      <c r="AQ1242" s="719" t="inlineStr">
        <is>
          <t>15MIN</t>
        </is>
      </c>
      <c r="AR1242" s="719" t="inlineStr">
        <is>
          <t>No</t>
        </is>
      </c>
      <c r="AS1242" s="733" t="n"/>
      <c r="AT1242" s="733" t="n"/>
      <c r="AU1242" s="733" t="n"/>
      <c r="AV1242" s="733" t="n"/>
      <c r="AW1242" s="719" t="inlineStr">
        <is>
          <t>trade</t>
        </is>
      </c>
      <c r="AX1242" s="734" t="inlineStr">
        <is>
          <t>sig:343e0d56a7ed48220a356cbf</t>
        </is>
      </c>
    </row>
    <row r="1243" ht="15" customHeight="1">
      <c r="A1243" s="716" t="inlineStr">
        <is>
          <t>F304</t>
        </is>
      </c>
      <c r="B1243" s="717" t="n">
        <v>43417.69097222222</v>
      </c>
      <c r="C1243" s="718" t="n">
        <v>43417.70138888889</v>
      </c>
      <c r="D1243" s="719" t="inlineStr">
        <is>
          <t>PEPPERSTONE DEMO</t>
        </is>
      </c>
      <c r="E1243" s="719" t="inlineStr">
        <is>
          <t>EURUSD</t>
        </is>
      </c>
      <c r="F1243" s="719" t="inlineStr">
        <is>
          <t>SELL</t>
        </is>
      </c>
      <c r="G1243" s="735" t="n">
        <v>0.04</v>
      </c>
      <c r="H1243" s="720" t="n">
        <v>1.1237</v>
      </c>
      <c r="I1243" s="720" t="n">
        <v>1.12464</v>
      </c>
      <c r="J1243" s="721" t="n">
        <v>1.1246</v>
      </c>
      <c r="K1243" s="760" t="n">
        <v>0.0008009255139273142</v>
      </c>
      <c r="L1243" s="721" t="n">
        <v>1.1219</v>
      </c>
      <c r="M1243" s="722" t="n">
        <v>0.001601851027854431</v>
      </c>
      <c r="N1243" s="788" t="n"/>
      <c r="O1243" s="762" t="n">
        <v>-4.99</v>
      </c>
      <c r="P1243" s="725" t="n">
        <v>-0.003623793581745957</v>
      </c>
      <c r="Q1243" s="726" t="n">
        <v>-1.044444444444483</v>
      </c>
      <c r="R1243" s="764" t="n">
        <v>1372.02</v>
      </c>
      <c r="S1243" s="719" t="inlineStr">
        <is>
          <t>15M 0S</t>
        </is>
      </c>
      <c r="T1243" s="728" t="n"/>
      <c r="U1243" s="729" t="n"/>
      <c r="V1243" s="730" t="n"/>
      <c r="W1243" s="731" t="n"/>
      <c r="X1243" s="732" t="n"/>
      <c r="Y1243" s="728" t="n"/>
      <c r="Z1243" s="729" t="n"/>
      <c r="AA1243" s="730" t="n"/>
      <c r="AB1243" s="731" t="n"/>
      <c r="AC1243" s="732" t="n"/>
      <c r="AD1243" s="719" t="inlineStr">
        <is>
          <t>No</t>
        </is>
      </c>
      <c r="AE1243" s="733" t="n"/>
      <c r="AF1243" s="733" t="n"/>
      <c r="AG1243" s="733" t="n"/>
      <c r="AH1243" s="733" t="n"/>
      <c r="AI1243" s="719" t="inlineStr">
        <is>
          <t>Market</t>
        </is>
      </c>
      <c r="AJ1243" s="733" t="n"/>
      <c r="AK1243" s="733" t="n"/>
      <c r="AL1243" s="733" t="n"/>
      <c r="AM1243" s="733" t="n"/>
      <c r="AN1243" s="733" t="n"/>
      <c r="AO1243" s="733" t="n"/>
      <c r="AP1243" s="719" t="inlineStr">
        <is>
          <t>Pullback</t>
        </is>
      </c>
      <c r="AQ1243" s="719" t="inlineStr">
        <is>
          <t>5MIN</t>
        </is>
      </c>
      <c r="AR1243" s="719" t="inlineStr">
        <is>
          <t>No</t>
        </is>
      </c>
      <c r="AS1243" s="733" t="n"/>
      <c r="AT1243" s="733" t="n"/>
      <c r="AU1243" s="733" t="n"/>
      <c r="AV1243" s="733" t="n"/>
      <c r="AW1243" s="719" t="inlineStr">
        <is>
          <t>trade</t>
        </is>
      </c>
      <c r="AX1243" s="734" t="inlineStr">
        <is>
          <t>sig:918d49a748771d5953f9f050</t>
        </is>
      </c>
    </row>
    <row r="1244" ht="15" customHeight="1">
      <c r="A1244" s="716" t="inlineStr">
        <is>
          <t>F302</t>
        </is>
      </c>
      <c r="B1244" s="717" t="n">
        <v>43416.79513888889</v>
      </c>
      <c r="C1244" s="718" t="n">
        <v>43416.80069444444</v>
      </c>
      <c r="D1244" s="719" t="inlineStr">
        <is>
          <t>PEPPERSTONE DEMO</t>
        </is>
      </c>
      <c r="E1244" s="719" t="inlineStr">
        <is>
          <t>GBPUSD</t>
        </is>
      </c>
      <c r="F1244" s="719" t="inlineStr">
        <is>
          <t>SELL</t>
        </is>
      </c>
      <c r="G1244" s="735" t="n">
        <v>0.03</v>
      </c>
      <c r="H1244" s="720" t="n">
        <v>1.285</v>
      </c>
      <c r="I1244" s="720" t="n">
        <v>1.28615</v>
      </c>
      <c r="J1244" s="721" t="n">
        <v>1.2861</v>
      </c>
      <c r="K1244" s="760" t="n">
        <v>0.0008560311284047478</v>
      </c>
      <c r="L1244" s="721" t="n">
        <v>1.2828</v>
      </c>
      <c r="M1244" s="722" t="n">
        <v>0.001712062256809323</v>
      </c>
      <c r="N1244" s="788" t="n"/>
      <c r="O1244" s="762" t="n">
        <v>-4.59</v>
      </c>
      <c r="P1244" s="725" t="n">
        <v>-0.003322235089751013</v>
      </c>
      <c r="Q1244" s="726" t="n">
        <v>-1.045454545454435</v>
      </c>
      <c r="R1244" s="764" t="n">
        <v>1377.01</v>
      </c>
      <c r="S1244" s="719" t="inlineStr">
        <is>
          <t>8M 0S</t>
        </is>
      </c>
      <c r="T1244" s="728" t="n"/>
      <c r="U1244" s="729" t="n"/>
      <c r="V1244" s="730" t="n"/>
      <c r="W1244" s="731" t="n"/>
      <c r="X1244" s="732" t="n"/>
      <c r="Y1244" s="728" t="n"/>
      <c r="Z1244" s="729" t="n"/>
      <c r="AA1244" s="730" t="n"/>
      <c r="AB1244" s="731" t="n"/>
      <c r="AC1244" s="732" t="n"/>
      <c r="AD1244" s="719" t="inlineStr">
        <is>
          <t>No</t>
        </is>
      </c>
      <c r="AE1244" s="733" t="n"/>
      <c r="AF1244" s="733" t="n"/>
      <c r="AG1244" s="733" t="n"/>
      <c r="AH1244" s="733" t="n"/>
      <c r="AI1244" s="719" t="inlineStr">
        <is>
          <t>Market</t>
        </is>
      </c>
      <c r="AJ1244" s="733" t="n"/>
      <c r="AK1244" s="733" t="n"/>
      <c r="AL1244" s="733" t="n"/>
      <c r="AM1244" s="733" t="n"/>
      <c r="AN1244" s="733" t="n"/>
      <c r="AO1244" s="733" t="n"/>
      <c r="AP1244" s="719" t="inlineStr">
        <is>
          <t>Pullback</t>
        </is>
      </c>
      <c r="AQ1244" s="719" t="inlineStr">
        <is>
          <t>5MIN</t>
        </is>
      </c>
      <c r="AR1244" s="719" t="inlineStr">
        <is>
          <t>No</t>
        </is>
      </c>
      <c r="AS1244" s="733" t="n"/>
      <c r="AT1244" s="733" t="n"/>
      <c r="AU1244" s="733" t="n"/>
      <c r="AV1244" s="733" t="n"/>
      <c r="AW1244" s="719" t="inlineStr">
        <is>
          <t>trade</t>
        </is>
      </c>
      <c r="AX1244" s="734" t="inlineStr">
        <is>
          <t>sig:afa0de58b26e2a881f4c7b31</t>
        </is>
      </c>
    </row>
    <row r="1245" ht="15" customHeight="1">
      <c r="A1245" s="716" t="inlineStr">
        <is>
          <t>F303</t>
        </is>
      </c>
      <c r="B1245" s="717" t="n">
        <v>43416.76458333333</v>
      </c>
      <c r="C1245" s="718" t="n">
        <v>43416.77708333333</v>
      </c>
      <c r="D1245" s="719" t="inlineStr">
        <is>
          <t>PEPPERSTONE DEMO</t>
        </is>
      </c>
      <c r="E1245" s="719" t="inlineStr">
        <is>
          <t>USDCAD</t>
        </is>
      </c>
      <c r="F1245" s="719" t="inlineStr">
        <is>
          <t>BUY</t>
        </is>
      </c>
      <c r="G1245" s="735" t="n">
        <v>0.09</v>
      </c>
      <c r="H1245" s="720" t="n">
        <v>1.3209</v>
      </c>
      <c r="I1245" s="720" t="n">
        <v>1.32048</v>
      </c>
      <c r="J1245" s="721" t="n">
        <v>1.3204</v>
      </c>
      <c r="K1245" s="760" t="n">
        <v>0.0003785297902944545</v>
      </c>
      <c r="L1245" s="721" t="n">
        <v>1.3219</v>
      </c>
      <c r="M1245" s="760" t="n">
        <v>0.0007570595805890771</v>
      </c>
      <c r="N1245" s="788" t="n"/>
      <c r="O1245" s="762" t="n">
        <v>-4.74</v>
      </c>
      <c r="P1245" s="725" t="n">
        <v>-0.003419074685863497</v>
      </c>
      <c r="Q1245" s="726" t="n">
        <v>-0.8399999999998223</v>
      </c>
      <c r="R1245" s="764" t="n">
        <v>1381.6</v>
      </c>
      <c r="S1245" s="719" t="inlineStr">
        <is>
          <t>18M 0S</t>
        </is>
      </c>
      <c r="T1245" s="728" t="n"/>
      <c r="U1245" s="729" t="n"/>
      <c r="V1245" s="730" t="n"/>
      <c r="W1245" s="731" t="n"/>
      <c r="X1245" s="732" t="n"/>
      <c r="Y1245" s="728" t="n"/>
      <c r="Z1245" s="729" t="n"/>
      <c r="AA1245" s="730" t="n"/>
      <c r="AB1245" s="731" t="n"/>
      <c r="AC1245" s="732" t="n"/>
      <c r="AD1245" s="719" t="inlineStr">
        <is>
          <t>No</t>
        </is>
      </c>
      <c r="AE1245" s="733" t="n"/>
      <c r="AF1245" s="733" t="n"/>
      <c r="AG1245" s="733" t="n"/>
      <c r="AH1245" s="733" t="n"/>
      <c r="AI1245" s="719" t="inlineStr">
        <is>
          <t>Market</t>
        </is>
      </c>
      <c r="AJ1245" s="733" t="n"/>
      <c r="AK1245" s="733" t="n"/>
      <c r="AL1245" s="733" t="n"/>
      <c r="AM1245" s="733" t="n"/>
      <c r="AN1245" s="733" t="n"/>
      <c r="AO1245" s="733" t="n"/>
      <c r="AP1245" s="719" t="inlineStr">
        <is>
          <t>Pullback</t>
        </is>
      </c>
      <c r="AQ1245" s="719" t="inlineStr">
        <is>
          <t>5MIN</t>
        </is>
      </c>
      <c r="AR1245" s="719" t="inlineStr">
        <is>
          <t>No</t>
        </is>
      </c>
      <c r="AS1245" s="733" t="n"/>
      <c r="AT1245" s="733" t="n"/>
      <c r="AU1245" s="733" t="n"/>
      <c r="AV1245" s="733" t="n"/>
      <c r="AW1245" s="719" t="inlineStr">
        <is>
          <t>trade</t>
        </is>
      </c>
      <c r="AX1245" s="734" t="inlineStr">
        <is>
          <t>sig:b87740a85d60505276c257e6</t>
        </is>
      </c>
    </row>
    <row r="1246" ht="15" customHeight="1">
      <c r="A1246" s="737" t="inlineStr">
        <is>
          <t>F301</t>
        </is>
      </c>
      <c r="B1246" s="738" t="n">
        <v>43416.69097222222</v>
      </c>
      <c r="C1246" s="739" t="n">
        <v>43416.69583333333</v>
      </c>
      <c r="D1246" s="740" t="inlineStr">
        <is>
          <t>PEPPERSTONE DEMO</t>
        </is>
      </c>
      <c r="E1246" s="740" t="inlineStr">
        <is>
          <t>EURUSD</t>
        </is>
      </c>
      <c r="F1246" s="740" t="inlineStr">
        <is>
          <t>SELL</t>
        </is>
      </c>
      <c r="G1246" s="775" t="n">
        <v>0.03</v>
      </c>
      <c r="H1246" s="742" t="n">
        <v>1.1303</v>
      </c>
      <c r="I1246" s="742" t="n">
        <v>1.12815</v>
      </c>
      <c r="J1246" s="743" t="n">
        <v>1.1314</v>
      </c>
      <c r="K1246" s="765" t="n">
        <v>0.000973192957621763</v>
      </c>
      <c r="L1246" s="743" t="n">
        <v>1.1281</v>
      </c>
      <c r="M1246" s="744" t="n">
        <v>0.001946385915243723</v>
      </c>
      <c r="N1246" s="796" t="n"/>
      <c r="O1246" s="767" t="n">
        <v>9.16</v>
      </c>
      <c r="P1246" s="747" t="n">
        <v>0.006651272890980119</v>
      </c>
      <c r="Q1246" s="748" t="n">
        <v>1.954545454545757</v>
      </c>
      <c r="R1246" s="769" t="n">
        <v>1386.34</v>
      </c>
      <c r="S1246" s="740" t="inlineStr">
        <is>
          <t>7M 0S</t>
        </is>
      </c>
      <c r="T1246" s="750" t="n"/>
      <c r="U1246" s="751" t="n"/>
      <c r="V1246" s="752" t="n"/>
      <c r="W1246" s="753" t="n"/>
      <c r="X1246" s="754" t="n"/>
      <c r="Y1246" s="750" t="n"/>
      <c r="Z1246" s="751" t="n"/>
      <c r="AA1246" s="752" t="n"/>
      <c r="AB1246" s="753" t="n"/>
      <c r="AC1246" s="754" t="n"/>
      <c r="AD1246" s="740" t="inlineStr">
        <is>
          <t>No</t>
        </is>
      </c>
      <c r="AE1246" s="755" t="n"/>
      <c r="AF1246" s="755" t="n"/>
      <c r="AG1246" s="755" t="n"/>
      <c r="AH1246" s="755" t="n"/>
      <c r="AI1246" s="740" t="inlineStr">
        <is>
          <t>Market</t>
        </is>
      </c>
      <c r="AJ1246" s="755" t="n"/>
      <c r="AK1246" s="755" t="n"/>
      <c r="AL1246" s="755" t="n"/>
      <c r="AM1246" s="755" t="n"/>
      <c r="AN1246" s="755" t="n"/>
      <c r="AO1246" s="755" t="n"/>
      <c r="AP1246" s="740" t="inlineStr">
        <is>
          <t>Pullback</t>
        </is>
      </c>
      <c r="AQ1246" s="740" t="inlineStr">
        <is>
          <t>5MIN</t>
        </is>
      </c>
      <c r="AR1246" s="740" t="inlineStr">
        <is>
          <t>No</t>
        </is>
      </c>
      <c r="AS1246" s="755" t="n"/>
      <c r="AT1246" s="755" t="n"/>
      <c r="AU1246" s="755" t="n"/>
      <c r="AV1246" s="755" t="n"/>
      <c r="AW1246" s="740" t="inlineStr">
        <is>
          <t>trade</t>
        </is>
      </c>
      <c r="AX1246" s="756" t="inlineStr">
        <is>
          <t>sig:1aec4f15406e0c91625a702e</t>
        </is>
      </c>
    </row>
    <row r="1247" ht="15" customHeight="1">
      <c r="A1247" s="716" t="inlineStr">
        <is>
          <t>F300</t>
        </is>
      </c>
      <c r="B1247" s="717" t="n">
        <v>43413.97083333333</v>
      </c>
      <c r="C1247" s="718" t="n">
        <v>43413.99930555555</v>
      </c>
      <c r="D1247" s="719" t="inlineStr">
        <is>
          <t>PEPPERSTONE DEMO</t>
        </is>
      </c>
      <c r="E1247" s="719" t="inlineStr">
        <is>
          <t>USDJPY</t>
        </is>
      </c>
      <c r="F1247" s="719" t="inlineStr">
        <is>
          <t>BUY</t>
        </is>
      </c>
      <c r="G1247" s="735" t="n">
        <v>0.06</v>
      </c>
      <c r="H1247" s="720" t="n">
        <v>113.93</v>
      </c>
      <c r="I1247" s="720" t="n">
        <v>113.879</v>
      </c>
      <c r="J1247" s="721" t="n">
        <v>113.87</v>
      </c>
      <c r="K1247" s="760" t="n">
        <v>0.0005266391643992124</v>
      </c>
      <c r="L1247" s="721" t="n">
        <v>114.05</v>
      </c>
      <c r="M1247" s="722" t="n">
        <v>0.0010532783287983</v>
      </c>
      <c r="N1247" s="788" t="n"/>
      <c r="O1247" s="762" t="n">
        <v>-4.36</v>
      </c>
      <c r="P1247" s="725" t="n">
        <v>-0.003155898490090769</v>
      </c>
      <c r="Q1247" s="726" t="n">
        <v>-0.85</v>
      </c>
      <c r="R1247" s="764" t="n">
        <v>1377.18</v>
      </c>
      <c r="S1247" s="719" t="inlineStr">
        <is>
          <t>41M 0S</t>
        </is>
      </c>
      <c r="T1247" s="728" t="n"/>
      <c r="U1247" s="729" t="n"/>
      <c r="V1247" s="730" t="n"/>
      <c r="W1247" s="731" t="n"/>
      <c r="X1247" s="732" t="n"/>
      <c r="Y1247" s="728" t="n"/>
      <c r="Z1247" s="729" t="n"/>
      <c r="AA1247" s="730" t="n"/>
      <c r="AB1247" s="731" t="n"/>
      <c r="AC1247" s="732" t="n"/>
      <c r="AD1247" s="719" t="inlineStr">
        <is>
          <t>No</t>
        </is>
      </c>
      <c r="AE1247" s="733" t="n"/>
      <c r="AF1247" s="733" t="n"/>
      <c r="AG1247" s="733" t="n"/>
      <c r="AH1247" s="733" t="n"/>
      <c r="AI1247" s="719" t="inlineStr">
        <is>
          <t>Market</t>
        </is>
      </c>
      <c r="AJ1247" s="733" t="n"/>
      <c r="AK1247" s="733" t="n"/>
      <c r="AL1247" s="733" t="n"/>
      <c r="AM1247" s="733" t="n"/>
      <c r="AN1247" s="733" t="n"/>
      <c r="AO1247" s="733" t="n"/>
      <c r="AP1247" s="719" t="inlineStr">
        <is>
          <t>Pullback</t>
        </is>
      </c>
      <c r="AQ1247" s="719" t="inlineStr">
        <is>
          <t>5MIN</t>
        </is>
      </c>
      <c r="AR1247" s="719" t="inlineStr">
        <is>
          <t>No</t>
        </is>
      </c>
      <c r="AS1247" s="733" t="n"/>
      <c r="AT1247" s="733" t="n"/>
      <c r="AU1247" s="733" t="n"/>
      <c r="AV1247" s="733" t="n"/>
      <c r="AW1247" s="719" t="inlineStr">
        <is>
          <t>trade</t>
        </is>
      </c>
      <c r="AX1247" s="734" t="inlineStr">
        <is>
          <t>sig:ac23bda26d607e5dc2990869</t>
        </is>
      </c>
    </row>
    <row r="1248" ht="15" customHeight="1">
      <c r="A1248" s="716" t="inlineStr">
        <is>
          <t>F297</t>
        </is>
      </c>
      <c r="B1248" s="717" t="n">
        <v>43413.8124537037</v>
      </c>
      <c r="C1248" s="718" t="n">
        <v>43413.81246527778</v>
      </c>
      <c r="D1248" s="719" t="inlineStr">
        <is>
          <t>PEPPERSTONE DEMO</t>
        </is>
      </c>
      <c r="E1248" s="719" t="inlineStr">
        <is>
          <t>GBPUSD</t>
        </is>
      </c>
      <c r="F1248" s="719" t="inlineStr">
        <is>
          <t>SELL</t>
        </is>
      </c>
      <c r="G1248" s="735" t="n">
        <v>0.02</v>
      </c>
      <c r="H1248" s="720" t="n">
        <v>1.2991</v>
      </c>
      <c r="I1248" s="720" t="n">
        <v>1.30062</v>
      </c>
      <c r="J1248" s="721" t="n">
        <v>1.3006</v>
      </c>
      <c r="K1248" s="722" t="n">
        <v>0.00115464552382423</v>
      </c>
      <c r="L1248" s="721" t="n">
        <v>1.2961</v>
      </c>
      <c r="M1248" s="722" t="n">
        <v>0.002309291047648289</v>
      </c>
      <c r="N1248" s="788" t="n"/>
      <c r="O1248" s="762" t="n">
        <v>-4.14</v>
      </c>
      <c r="P1248" s="725" t="n">
        <v>-0.002987702788522602</v>
      </c>
      <c r="Q1248" s="726" t="n">
        <v>-1.01333333333342</v>
      </c>
      <c r="R1248" s="764" t="n">
        <v>1381.54</v>
      </c>
      <c r="S1248" s="719" t="inlineStr">
        <is>
          <t>1S</t>
        </is>
      </c>
      <c r="T1248" s="728" t="n"/>
      <c r="U1248" s="729" t="n"/>
      <c r="V1248" s="730" t="n"/>
      <c r="W1248" s="731" t="n"/>
      <c r="X1248" s="732" t="n"/>
      <c r="Y1248" s="728" t="n"/>
      <c r="Z1248" s="729" t="n"/>
      <c r="AA1248" s="730" t="n"/>
      <c r="AB1248" s="731" t="n"/>
      <c r="AC1248" s="732" t="n"/>
      <c r="AD1248" s="719" t="inlineStr">
        <is>
          <t>No</t>
        </is>
      </c>
      <c r="AE1248" s="733" t="n"/>
      <c r="AF1248" s="733" t="n"/>
      <c r="AG1248" s="733" t="n"/>
      <c r="AH1248" s="733" t="n"/>
      <c r="AI1248" s="719" t="inlineStr">
        <is>
          <t>Limit</t>
        </is>
      </c>
      <c r="AJ1248" s="733" t="n"/>
      <c r="AK1248" s="733" t="n"/>
      <c r="AL1248" s="733" t="n"/>
      <c r="AM1248" s="733" t="n"/>
      <c r="AN1248" s="733" t="n"/>
      <c r="AO1248" s="733" t="n"/>
      <c r="AP1248" s="719" t="inlineStr">
        <is>
          <t>News Scalp</t>
        </is>
      </c>
      <c r="AQ1248" s="719" t="inlineStr">
        <is>
          <t>5MIN</t>
        </is>
      </c>
      <c r="AR1248" s="719" t="inlineStr">
        <is>
          <t>No</t>
        </is>
      </c>
      <c r="AS1248" s="733" t="n"/>
      <c r="AT1248" s="733" t="n"/>
      <c r="AU1248" s="733" t="n"/>
      <c r="AV1248" s="733" t="n"/>
      <c r="AW1248" s="719" t="inlineStr">
        <is>
          <t>trade</t>
        </is>
      </c>
      <c r="AX1248" s="734" t="inlineStr">
        <is>
          <t>sig:4f7d73075c1a8dbc27d6cec9</t>
        </is>
      </c>
    </row>
    <row r="1249" ht="15" customHeight="1">
      <c r="A1249" s="737" t="inlineStr">
        <is>
          <t>F299</t>
        </is>
      </c>
      <c r="B1249" s="738" t="n">
        <v>43413.73958333334</v>
      </c>
      <c r="C1249" s="739" t="n">
        <v>43413.78819444445</v>
      </c>
      <c r="D1249" s="740" t="inlineStr">
        <is>
          <t>PEPPERSTONE DEMO</t>
        </is>
      </c>
      <c r="E1249" s="740" t="inlineStr">
        <is>
          <t>GBPUSD</t>
        </is>
      </c>
      <c r="F1249" s="740" t="inlineStr">
        <is>
          <t>SELL</t>
        </is>
      </c>
      <c r="G1249" s="775" t="n">
        <v>0.04</v>
      </c>
      <c r="H1249" s="742" t="n">
        <v>1.3019</v>
      </c>
      <c r="I1249" s="742" t="n">
        <v>1.30017</v>
      </c>
      <c r="J1249" s="743" t="n">
        <v>1.3029</v>
      </c>
      <c r="K1249" s="765" t="n">
        <v>0.000768108149627383</v>
      </c>
      <c r="L1249" s="743" t="n">
        <v>1.3001</v>
      </c>
      <c r="M1249" s="744" t="n">
        <v>0.00138259466932946</v>
      </c>
      <c r="N1249" s="796" t="n"/>
      <c r="O1249" s="767" t="n">
        <v>9.94</v>
      </c>
      <c r="P1249" s="747" t="n">
        <v>0.007225202436506897</v>
      </c>
      <c r="Q1249" s="748" t="n">
        <v>1.7300000000002</v>
      </c>
      <c r="R1249" s="769" t="n">
        <v>1385.68</v>
      </c>
      <c r="S1249" s="740" t="inlineStr">
        <is>
          <t>1H 10M 0S</t>
        </is>
      </c>
      <c r="T1249" s="750" t="n"/>
      <c r="U1249" s="751" t="n"/>
      <c r="V1249" s="752" t="n"/>
      <c r="W1249" s="753" t="n"/>
      <c r="X1249" s="754" t="n"/>
      <c r="Y1249" s="750" t="n"/>
      <c r="Z1249" s="751" t="n"/>
      <c r="AA1249" s="752" t="n"/>
      <c r="AB1249" s="753" t="n"/>
      <c r="AC1249" s="754" t="n"/>
      <c r="AD1249" s="740" t="inlineStr">
        <is>
          <t>No</t>
        </is>
      </c>
      <c r="AE1249" s="755" t="n"/>
      <c r="AF1249" s="755" t="n"/>
      <c r="AG1249" s="755" t="n"/>
      <c r="AH1249" s="755" t="n"/>
      <c r="AI1249" s="740" t="inlineStr">
        <is>
          <t>Market</t>
        </is>
      </c>
      <c r="AJ1249" s="755" t="n"/>
      <c r="AK1249" s="755" t="n"/>
      <c r="AL1249" s="755" t="n"/>
      <c r="AM1249" s="755" t="n"/>
      <c r="AN1249" s="755" t="n"/>
      <c r="AO1249" s="755" t="n"/>
      <c r="AP1249" s="740" t="inlineStr">
        <is>
          <t>Pullback</t>
        </is>
      </c>
      <c r="AQ1249" s="740" t="inlineStr">
        <is>
          <t>5MIN</t>
        </is>
      </c>
      <c r="AR1249" s="740" t="inlineStr">
        <is>
          <t>No</t>
        </is>
      </c>
      <c r="AS1249" s="755" t="n"/>
      <c r="AT1249" s="755" t="n"/>
      <c r="AU1249" s="755" t="n"/>
      <c r="AV1249" s="755" t="n"/>
      <c r="AW1249" s="740" t="inlineStr">
        <is>
          <t>trade</t>
        </is>
      </c>
      <c r="AX1249" s="756" t="inlineStr">
        <is>
          <t>sig:9469689c3f3cc2f1c6858539</t>
        </is>
      </c>
    </row>
    <row r="1250" ht="15" customHeight="1">
      <c r="A1250" s="737" t="inlineStr">
        <is>
          <t>F298</t>
        </is>
      </c>
      <c r="B1250" s="738" t="n">
        <v>43413.45833333334</v>
      </c>
      <c r="C1250" s="739" t="n">
        <v>43413.52083333334</v>
      </c>
      <c r="D1250" s="740" t="inlineStr">
        <is>
          <t>PEPPERSTONE DEMO</t>
        </is>
      </c>
      <c r="E1250" s="740" t="inlineStr">
        <is>
          <t>AUDUSD</t>
        </is>
      </c>
      <c r="F1250" s="740" t="inlineStr">
        <is>
          <t>SELL</t>
        </is>
      </c>
      <c r="G1250" s="775" t="n">
        <v>0.05</v>
      </c>
      <c r="H1250" s="742" t="n">
        <v>0.7255</v>
      </c>
      <c r="I1250" s="742" t="n">
        <v>0.72498</v>
      </c>
      <c r="J1250" s="743" t="n">
        <v>0.7261</v>
      </c>
      <c r="K1250" s="765" t="n">
        <v>0.0008270158511370556</v>
      </c>
      <c r="L1250" s="743" t="n">
        <v>0.7243000000000001</v>
      </c>
      <c r="M1250" s="744" t="n">
        <v>0.001654031702274264</v>
      </c>
      <c r="N1250" s="796" t="n"/>
      <c r="O1250" s="767" t="n">
        <v>3.86</v>
      </c>
      <c r="P1250" s="747" t="n">
        <v>0.002813657171181152</v>
      </c>
      <c r="Q1250" s="748" t="n">
        <v>0.8666666666668887</v>
      </c>
      <c r="R1250" s="769" t="n">
        <v>1375.74</v>
      </c>
      <c r="S1250" s="740" t="inlineStr">
        <is>
          <t>1H 30M 0S</t>
        </is>
      </c>
      <c r="T1250" s="750" t="n"/>
      <c r="U1250" s="751" t="n"/>
      <c r="V1250" s="752" t="n"/>
      <c r="W1250" s="753" t="n"/>
      <c r="X1250" s="754" t="n"/>
      <c r="Y1250" s="750" t="n"/>
      <c r="Z1250" s="751" t="n"/>
      <c r="AA1250" s="752" t="n"/>
      <c r="AB1250" s="753" t="n"/>
      <c r="AC1250" s="754" t="n"/>
      <c r="AD1250" s="740" t="inlineStr">
        <is>
          <t>No</t>
        </is>
      </c>
      <c r="AE1250" s="755" t="n"/>
      <c r="AF1250" s="755" t="n"/>
      <c r="AG1250" s="755" t="n"/>
      <c r="AH1250" s="755" t="n"/>
      <c r="AI1250" s="740" t="inlineStr">
        <is>
          <t>Market</t>
        </is>
      </c>
      <c r="AJ1250" s="755" t="n"/>
      <c r="AK1250" s="755" t="n"/>
      <c r="AL1250" s="755" t="n"/>
      <c r="AM1250" s="755" t="n"/>
      <c r="AN1250" s="755" t="n"/>
      <c r="AO1250" s="755" t="n"/>
      <c r="AP1250" s="740" t="inlineStr">
        <is>
          <t>Pullback</t>
        </is>
      </c>
      <c r="AQ1250" s="740" t="inlineStr">
        <is>
          <t>5MIN</t>
        </is>
      </c>
      <c r="AR1250" s="740" t="inlineStr">
        <is>
          <t>No</t>
        </is>
      </c>
      <c r="AS1250" s="755" t="n"/>
      <c r="AT1250" s="755" t="n"/>
      <c r="AU1250" s="755" t="n"/>
      <c r="AV1250" s="755" t="n"/>
      <c r="AW1250" s="740" t="inlineStr">
        <is>
          <t>trade</t>
        </is>
      </c>
      <c r="AX1250" s="756" t="inlineStr">
        <is>
          <t>sig:1074eba2e2d3f3b1bbf22210</t>
        </is>
      </c>
    </row>
    <row r="1251" ht="15" customHeight="1">
      <c r="A1251" s="716" t="inlineStr">
        <is>
          <t>F296</t>
        </is>
      </c>
      <c r="B1251" s="717" t="n">
        <v>43412.72013888889</v>
      </c>
      <c r="C1251" s="718" t="n">
        <v>43412.93680555555</v>
      </c>
      <c r="D1251" s="719" t="inlineStr">
        <is>
          <t>PEPPERSTONE DEMO</t>
        </is>
      </c>
      <c r="E1251" s="719" t="inlineStr">
        <is>
          <t>USDJPY</t>
        </is>
      </c>
      <c r="F1251" s="719" t="inlineStr">
        <is>
          <t>BUY</t>
        </is>
      </c>
      <c r="G1251" s="735" t="n">
        <v>0.04</v>
      </c>
      <c r="H1251" s="720" t="n">
        <v>113.7</v>
      </c>
      <c r="I1251" s="720" t="n">
        <v>113.613</v>
      </c>
      <c r="J1251" s="721" t="n">
        <v>113.61</v>
      </c>
      <c r="K1251" s="760" t="n">
        <v>0.00079155672823222</v>
      </c>
      <c r="L1251" s="721" t="n">
        <v>113.88</v>
      </c>
      <c r="M1251" s="722" t="n">
        <v>0.001583113456464315</v>
      </c>
      <c r="N1251" s="788" t="n"/>
      <c r="O1251" s="762" t="n">
        <v>-4.34</v>
      </c>
      <c r="P1251" s="725" t="n">
        <v>-0.003153565563645347</v>
      </c>
      <c r="Q1251" s="726" t="n">
        <v>-0.9666666666666667</v>
      </c>
      <c r="R1251" s="764" t="n">
        <v>1371.88</v>
      </c>
      <c r="S1251" s="719" t="inlineStr">
        <is>
          <t>5H 12M 0S</t>
        </is>
      </c>
      <c r="T1251" s="728" t="n"/>
      <c r="U1251" s="729" t="n"/>
      <c r="V1251" s="730" t="n"/>
      <c r="W1251" s="731" t="n"/>
      <c r="X1251" s="732" t="n"/>
      <c r="Y1251" s="728" t="n"/>
      <c r="Z1251" s="729" t="n"/>
      <c r="AA1251" s="730" t="n"/>
      <c r="AB1251" s="731" t="n"/>
      <c r="AC1251" s="732" t="n"/>
      <c r="AD1251" s="719" t="inlineStr">
        <is>
          <t>No</t>
        </is>
      </c>
      <c r="AE1251" s="733" t="n"/>
      <c r="AF1251" s="733" t="n"/>
      <c r="AG1251" s="733" t="n"/>
      <c r="AH1251" s="733" t="n"/>
      <c r="AI1251" s="719" t="inlineStr">
        <is>
          <t>Market</t>
        </is>
      </c>
      <c r="AJ1251" s="733" t="n"/>
      <c r="AK1251" s="733" t="n"/>
      <c r="AL1251" s="733" t="n"/>
      <c r="AM1251" s="733" t="n"/>
      <c r="AN1251" s="733" t="n"/>
      <c r="AO1251" s="733" t="n"/>
      <c r="AP1251" s="719" t="inlineStr">
        <is>
          <t>Pullback</t>
        </is>
      </c>
      <c r="AQ1251" s="719" t="inlineStr">
        <is>
          <t>15MIN</t>
        </is>
      </c>
      <c r="AR1251" s="719" t="inlineStr">
        <is>
          <t>No</t>
        </is>
      </c>
      <c r="AS1251" s="733" t="n"/>
      <c r="AT1251" s="733" t="n"/>
      <c r="AU1251" s="733" t="n"/>
      <c r="AV1251" s="733" t="n"/>
      <c r="AW1251" s="719" t="inlineStr">
        <is>
          <t>trade</t>
        </is>
      </c>
      <c r="AX1251" s="734" t="inlineStr">
        <is>
          <t>sig:c7ac2911eb0f7d7ed6ca7397</t>
        </is>
      </c>
    </row>
    <row r="1252" ht="15" customHeight="1">
      <c r="A1252" s="716" t="inlineStr">
        <is>
          <t>F295</t>
        </is>
      </c>
      <c r="B1252" s="717" t="n">
        <v>43412.25010416667</v>
      </c>
      <c r="C1252" s="718" t="n">
        <v>43412.25019675926</v>
      </c>
      <c r="D1252" s="719" t="inlineStr">
        <is>
          <t>PEPPERSTONE DEMO</t>
        </is>
      </c>
      <c r="E1252" s="719" t="inlineStr">
        <is>
          <t>NZDUSD</t>
        </is>
      </c>
      <c r="F1252" s="719" t="inlineStr">
        <is>
          <t>BUY</t>
        </is>
      </c>
      <c r="G1252" s="735" t="n">
        <v>0.03</v>
      </c>
      <c r="H1252" s="720" t="n">
        <v>0.6803</v>
      </c>
      <c r="I1252" s="720" t="n">
        <v>0.67916</v>
      </c>
      <c r="J1252" s="721" t="n">
        <v>0.6791</v>
      </c>
      <c r="K1252" s="722" t="n">
        <v>0.001763927678965131</v>
      </c>
      <c r="L1252" s="721" t="n">
        <v>0.6827</v>
      </c>
      <c r="M1252" s="722" t="n">
        <v>0.003527855357930263</v>
      </c>
      <c r="N1252" s="788" t="n"/>
      <c r="O1252" s="762" t="n">
        <v>-4.94</v>
      </c>
      <c r="P1252" s="725" t="n">
        <v>-0.003576703640418199</v>
      </c>
      <c r="Q1252" s="726" t="n">
        <v>-0.9500000000000416</v>
      </c>
      <c r="R1252" s="764" t="n">
        <v>1376.22</v>
      </c>
      <c r="S1252" s="719" t="inlineStr">
        <is>
          <t>8S</t>
        </is>
      </c>
      <c r="T1252" s="728" t="n"/>
      <c r="U1252" s="729" t="n"/>
      <c r="V1252" s="730" t="n"/>
      <c r="W1252" s="731" t="n"/>
      <c r="X1252" s="732" t="n"/>
      <c r="Y1252" s="728" t="n"/>
      <c r="Z1252" s="729" t="n"/>
      <c r="AA1252" s="730" t="n"/>
      <c r="AB1252" s="731" t="n"/>
      <c r="AC1252" s="732" t="n"/>
      <c r="AD1252" s="719" t="inlineStr">
        <is>
          <t>No</t>
        </is>
      </c>
      <c r="AE1252" s="733" t="n"/>
      <c r="AF1252" s="733" t="n"/>
      <c r="AG1252" s="733" t="n"/>
      <c r="AH1252" s="733" t="n"/>
      <c r="AI1252" s="719" t="inlineStr">
        <is>
          <t>Limit</t>
        </is>
      </c>
      <c r="AJ1252" s="733" t="n"/>
      <c r="AK1252" s="733" t="n"/>
      <c r="AL1252" s="733" t="n"/>
      <c r="AM1252" s="733" t="n"/>
      <c r="AN1252" s="733" t="n"/>
      <c r="AO1252" s="733" t="n"/>
      <c r="AP1252" s="719" t="inlineStr">
        <is>
          <t>Pullback</t>
        </is>
      </c>
      <c r="AQ1252" s="719" t="inlineStr">
        <is>
          <t>15MIN</t>
        </is>
      </c>
      <c r="AR1252" s="719" t="inlineStr">
        <is>
          <t>No</t>
        </is>
      </c>
      <c r="AS1252" s="733" t="n"/>
      <c r="AT1252" s="733" t="n"/>
      <c r="AU1252" s="733" t="n"/>
      <c r="AV1252" s="733" t="n"/>
      <c r="AW1252" s="719" t="inlineStr">
        <is>
          <t>trade</t>
        </is>
      </c>
      <c r="AX1252" s="734" t="inlineStr">
        <is>
          <t>sig:bbabd374a7a1e7c62aa891a2</t>
        </is>
      </c>
    </row>
    <row r="1253" ht="15" customHeight="1">
      <c r="A1253" s="737" t="inlineStr">
        <is>
          <t>F294</t>
        </is>
      </c>
      <c r="B1253" s="738" t="n">
        <v>43411.72916666666</v>
      </c>
      <c r="C1253" s="739" t="n">
        <v>43411.79444444444</v>
      </c>
      <c r="D1253" s="740" t="inlineStr">
        <is>
          <t>PEPPERSTONE DEMO</t>
        </is>
      </c>
      <c r="E1253" s="740" t="inlineStr">
        <is>
          <t>AUDUSD</t>
        </is>
      </c>
      <c r="F1253" s="740" t="inlineStr">
        <is>
          <t>BUY</t>
        </is>
      </c>
      <c r="G1253" s="775" t="n">
        <v>0.02</v>
      </c>
      <c r="H1253" s="742" t="n">
        <v>0.7251</v>
      </c>
      <c r="I1253" s="742" t="n">
        <v>0.72775</v>
      </c>
      <c r="J1253" s="743" t="n">
        <v>0.7238</v>
      </c>
      <c r="K1253" s="744" t="n">
        <v>0.001792856157771298</v>
      </c>
      <c r="L1253" s="743" t="n">
        <v>0.7277</v>
      </c>
      <c r="M1253" s="744" t="n">
        <v>0.003585712315542748</v>
      </c>
      <c r="N1253" s="796" t="n"/>
      <c r="O1253" s="767" t="n">
        <v>6.5</v>
      </c>
      <c r="P1253" s="747" t="n">
        <v>0.004728441942007478</v>
      </c>
      <c r="Q1253" s="748" t="n">
        <v>2.03846153846162</v>
      </c>
      <c r="R1253" s="769" t="n">
        <v>1381.16</v>
      </c>
      <c r="S1253" s="740" t="inlineStr">
        <is>
          <t>1H 34M 0S</t>
        </is>
      </c>
      <c r="T1253" s="750" t="n"/>
      <c r="U1253" s="751" t="n"/>
      <c r="V1253" s="752" t="n"/>
      <c r="W1253" s="753" t="n"/>
      <c r="X1253" s="754" t="n"/>
      <c r="Y1253" s="750" t="n"/>
      <c r="Z1253" s="751" t="n"/>
      <c r="AA1253" s="752" t="n"/>
      <c r="AB1253" s="753" t="n"/>
      <c r="AC1253" s="754" t="n"/>
      <c r="AD1253" s="740" t="inlineStr">
        <is>
          <t>No</t>
        </is>
      </c>
      <c r="AE1253" s="755" t="n"/>
      <c r="AF1253" s="755" t="n"/>
      <c r="AG1253" s="755" t="n"/>
      <c r="AH1253" s="755" t="n"/>
      <c r="AI1253" s="740" t="inlineStr">
        <is>
          <t>Market</t>
        </is>
      </c>
      <c r="AJ1253" s="755" t="n"/>
      <c r="AK1253" s="755" t="n"/>
      <c r="AL1253" s="755" t="n"/>
      <c r="AM1253" s="755" t="n"/>
      <c r="AN1253" s="755" t="n"/>
      <c r="AO1253" s="755" t="n"/>
      <c r="AP1253" s="740" t="inlineStr">
        <is>
          <t>Pullback</t>
        </is>
      </c>
      <c r="AQ1253" s="740" t="inlineStr">
        <is>
          <t>15MIN</t>
        </is>
      </c>
      <c r="AR1253" s="740" t="inlineStr">
        <is>
          <t>No</t>
        </is>
      </c>
      <c r="AS1253" s="787" t="n"/>
      <c r="AT1253" s="755" t="n"/>
      <c r="AU1253" s="740" t="n"/>
      <c r="AV1253" s="740" t="n"/>
      <c r="AW1253" s="740" t="inlineStr">
        <is>
          <t>trade</t>
        </is>
      </c>
      <c r="AX1253" s="756" t="inlineStr">
        <is>
          <t>sig:e7d811b218b90b6c9e9da39f</t>
        </is>
      </c>
    </row>
    <row r="1254" ht="15" customHeight="1">
      <c r="A1254" s="716" t="inlineStr">
        <is>
          <t>F293</t>
        </is>
      </c>
      <c r="B1254" s="717" t="n">
        <v>43411.32277777778</v>
      </c>
      <c r="C1254" s="718" t="n">
        <v>43411.32282407407</v>
      </c>
      <c r="D1254" s="719" t="inlineStr">
        <is>
          <t>PEPPERSTONE DEMO</t>
        </is>
      </c>
      <c r="E1254" s="719" t="inlineStr">
        <is>
          <t>NZDUSD</t>
        </is>
      </c>
      <c r="F1254" s="719" t="inlineStr">
        <is>
          <t>BUY</t>
        </is>
      </c>
      <c r="G1254" s="735" t="n">
        <v>0.03</v>
      </c>
      <c r="H1254" s="720" t="n">
        <v>0.6682</v>
      </c>
      <c r="I1254" s="720" t="n">
        <v>0.6672400000000001</v>
      </c>
      <c r="J1254" s="721" t="n">
        <v>0.6672</v>
      </c>
      <c r="K1254" s="722" t="n">
        <v>0.001496557916791381</v>
      </c>
      <c r="L1254" s="721" t="n">
        <v>0.6702</v>
      </c>
      <c r="M1254" s="722" t="n">
        <v>0.002993115833582762</v>
      </c>
      <c r="N1254" s="788" t="n"/>
      <c r="O1254" s="762" t="n">
        <v>-4.15</v>
      </c>
      <c r="P1254" s="725" t="n">
        <v>-0.003009841820120249</v>
      </c>
      <c r="Q1254" s="726" t="n">
        <v>-0.95999999999996</v>
      </c>
      <c r="R1254" s="764" t="n">
        <v>1374.66</v>
      </c>
      <c r="S1254" s="719" t="inlineStr">
        <is>
          <t>4S</t>
        </is>
      </c>
      <c r="T1254" s="728" t="n"/>
      <c r="U1254" s="729" t="n"/>
      <c r="V1254" s="730" t="n"/>
      <c r="W1254" s="731" t="n"/>
      <c r="X1254" s="732" t="n"/>
      <c r="Y1254" s="728" t="n"/>
      <c r="Z1254" s="729" t="n"/>
      <c r="AA1254" s="730" t="n"/>
      <c r="AB1254" s="731" t="n"/>
      <c r="AC1254" s="732" t="n"/>
      <c r="AD1254" s="719" t="inlineStr">
        <is>
          <t>No</t>
        </is>
      </c>
      <c r="AE1254" s="733" t="n"/>
      <c r="AF1254" s="733" t="n"/>
      <c r="AG1254" s="733" t="n"/>
      <c r="AH1254" s="733" t="n"/>
      <c r="AI1254" s="719" t="inlineStr">
        <is>
          <t>Limit</t>
        </is>
      </c>
      <c r="AJ1254" s="733" t="n"/>
      <c r="AK1254" s="733" t="n"/>
      <c r="AL1254" s="733" t="n"/>
      <c r="AM1254" s="733" t="n"/>
      <c r="AN1254" s="733" t="n"/>
      <c r="AO1254" s="733" t="n"/>
      <c r="AP1254" s="719" t="inlineStr">
        <is>
          <t>Pullback</t>
        </is>
      </c>
      <c r="AQ1254" s="719" t="inlineStr">
        <is>
          <t>15MIN</t>
        </is>
      </c>
      <c r="AR1254" s="719" t="inlineStr">
        <is>
          <t>No</t>
        </is>
      </c>
      <c r="AS1254" s="782" t="n"/>
      <c r="AT1254" s="733" t="n"/>
      <c r="AU1254" s="719" t="n"/>
      <c r="AV1254" s="719" t="n"/>
      <c r="AW1254" s="719" t="inlineStr">
        <is>
          <t>trade</t>
        </is>
      </c>
      <c r="AX1254" s="734" t="inlineStr">
        <is>
          <t>sig:fb9696348d93162835409db6</t>
        </is>
      </c>
    </row>
    <row r="1255" ht="15" customHeight="1">
      <c r="A1255" s="716" t="inlineStr">
        <is>
          <t>F292</t>
        </is>
      </c>
      <c r="B1255" s="717" t="n">
        <v>43410.17152777778</v>
      </c>
      <c r="C1255" s="718" t="n">
        <v>43410.17777777778</v>
      </c>
      <c r="D1255" s="719" t="inlineStr">
        <is>
          <t>PEPPERSTONE DEMO</t>
        </is>
      </c>
      <c r="E1255" s="719" t="inlineStr">
        <is>
          <t>GBPUSD</t>
        </is>
      </c>
      <c r="F1255" s="719" t="inlineStr">
        <is>
          <t>SELL</t>
        </is>
      </c>
      <c r="G1255" s="735" t="n">
        <v>0.02</v>
      </c>
      <c r="H1255" s="720" t="n">
        <v>1.3016</v>
      </c>
      <c r="I1255" s="720" t="n">
        <v>1.30261</v>
      </c>
      <c r="J1255" s="721" t="n">
        <v>1.3031</v>
      </c>
      <c r="K1255" s="722" t="n">
        <v>0.001152427781192252</v>
      </c>
      <c r="L1255" s="721" t="n">
        <v>1.2986</v>
      </c>
      <c r="M1255" s="722" t="n">
        <v>0.002304855562384845</v>
      </c>
      <c r="N1255" s="788" t="n"/>
      <c r="O1255" s="762" t="n">
        <v>-2.67</v>
      </c>
      <c r="P1255" s="725" t="n">
        <v>-0.001932709847410024</v>
      </c>
      <c r="Q1255" s="726" t="n">
        <v>-0.6733333333333777</v>
      </c>
      <c r="R1255" s="764" t="n">
        <v>1378.81</v>
      </c>
      <c r="S1255" s="719" t="inlineStr">
        <is>
          <t>9M 0S</t>
        </is>
      </c>
      <c r="T1255" s="728" t="n"/>
      <c r="U1255" s="729" t="n"/>
      <c r="V1255" s="730" t="n"/>
      <c r="W1255" s="731" t="n"/>
      <c r="X1255" s="732" t="n"/>
      <c r="Y1255" s="728" t="n"/>
      <c r="Z1255" s="729" t="n"/>
      <c r="AA1255" s="730" t="n"/>
      <c r="AB1255" s="731" t="n"/>
      <c r="AC1255" s="732" t="n"/>
      <c r="AD1255" s="719" t="inlineStr">
        <is>
          <t>No</t>
        </is>
      </c>
      <c r="AE1255" s="733" t="n"/>
      <c r="AF1255" s="733" t="n"/>
      <c r="AG1255" s="733" t="n"/>
      <c r="AH1255" s="733" t="n"/>
      <c r="AI1255" s="719" t="inlineStr">
        <is>
          <t>Limit</t>
        </is>
      </c>
      <c r="AJ1255" s="733" t="n"/>
      <c r="AK1255" s="733" t="n"/>
      <c r="AL1255" s="733" t="n"/>
      <c r="AM1255" s="733" t="n"/>
      <c r="AN1255" s="733" t="n"/>
      <c r="AO1255" s="733" t="n"/>
      <c r="AP1255" s="719" t="inlineStr">
        <is>
          <t>Pullback</t>
        </is>
      </c>
      <c r="AQ1255" s="719" t="inlineStr">
        <is>
          <t>15MIN</t>
        </is>
      </c>
      <c r="AR1255" s="719" t="inlineStr">
        <is>
          <t>No</t>
        </is>
      </c>
      <c r="AS1255" s="733" t="n"/>
      <c r="AT1255" s="733" t="n"/>
      <c r="AU1255" s="733" t="n"/>
      <c r="AV1255" s="733" t="n"/>
      <c r="AW1255" s="719" t="inlineStr">
        <is>
          <t>trade</t>
        </is>
      </c>
      <c r="AX1255" s="734" t="inlineStr">
        <is>
          <t>sig:a06f850ffa4328334600b161</t>
        </is>
      </c>
    </row>
    <row r="1256" ht="15" customHeight="1">
      <c r="A1256" s="737" t="inlineStr">
        <is>
          <t>F290</t>
        </is>
      </c>
      <c r="B1256" s="738" t="n">
        <v>43407.07986111111</v>
      </c>
      <c r="C1256" s="739" t="n">
        <v>43407.09305555555</v>
      </c>
      <c r="D1256" s="740" t="inlineStr">
        <is>
          <t>PEPPERSTONE DEMO</t>
        </is>
      </c>
      <c r="E1256" s="740" t="inlineStr">
        <is>
          <t>USDJPY</t>
        </is>
      </c>
      <c r="F1256" s="740" t="inlineStr">
        <is>
          <t>BUY</t>
        </is>
      </c>
      <c r="G1256" s="775" t="n">
        <v>0.05</v>
      </c>
      <c r="H1256" s="742" t="n">
        <v>113.07</v>
      </c>
      <c r="I1256" s="742" t="n">
        <v>113.214</v>
      </c>
      <c r="J1256" s="743" t="n">
        <v>113</v>
      </c>
      <c r="K1256" s="765" t="n">
        <v>0.0006190855222427981</v>
      </c>
      <c r="L1256" s="743" t="n">
        <v>113.21</v>
      </c>
      <c r="M1256" s="744" t="n">
        <v>0.001238171044485722</v>
      </c>
      <c r="N1256" s="796" t="n"/>
      <c r="O1256" s="767" t="n">
        <v>8.449999999999999</v>
      </c>
      <c r="P1256" s="747" t="n">
        <v>0.006154271938704907</v>
      </c>
      <c r="Q1256" s="748" t="n">
        <v>2.057142857143135</v>
      </c>
      <c r="R1256" s="769" t="n">
        <v>1381.48</v>
      </c>
      <c r="S1256" s="740" t="inlineStr">
        <is>
          <t>19M 0S</t>
        </is>
      </c>
      <c r="T1256" s="750" t="n"/>
      <c r="U1256" s="751" t="n"/>
      <c r="V1256" s="752" t="n"/>
      <c r="W1256" s="753" t="n"/>
      <c r="X1256" s="754" t="n"/>
      <c r="Y1256" s="750" t="n"/>
      <c r="Z1256" s="751" t="n"/>
      <c r="AA1256" s="752" t="n"/>
      <c r="AB1256" s="753" t="n"/>
      <c r="AC1256" s="754" t="n"/>
      <c r="AD1256" s="740" t="inlineStr">
        <is>
          <t>No</t>
        </is>
      </c>
      <c r="AE1256" s="755" t="n"/>
      <c r="AF1256" s="755" t="n"/>
      <c r="AG1256" s="755" t="n"/>
      <c r="AH1256" s="755" t="n"/>
      <c r="AI1256" s="740" t="inlineStr">
        <is>
          <t>Market</t>
        </is>
      </c>
      <c r="AJ1256" s="755" t="n"/>
      <c r="AK1256" s="755" t="n"/>
      <c r="AL1256" s="755" t="n"/>
      <c r="AM1256" s="755" t="n"/>
      <c r="AN1256" s="755" t="n"/>
      <c r="AO1256" s="755" t="n"/>
      <c r="AP1256" s="740" t="inlineStr">
        <is>
          <t>Pullback</t>
        </is>
      </c>
      <c r="AQ1256" s="740" t="inlineStr">
        <is>
          <t>5MIN</t>
        </is>
      </c>
      <c r="AR1256" s="740" t="inlineStr">
        <is>
          <t>No</t>
        </is>
      </c>
      <c r="AS1256" s="755" t="n"/>
      <c r="AT1256" s="755" t="n"/>
      <c r="AU1256" s="755" t="n"/>
      <c r="AV1256" s="755" t="n"/>
      <c r="AW1256" s="740" t="inlineStr">
        <is>
          <t>trade</t>
        </is>
      </c>
      <c r="AX1256" s="756" t="inlineStr">
        <is>
          <t>sig:c626f8ec70760faf0cb66246</t>
        </is>
      </c>
    </row>
    <row r="1257" ht="15" customHeight="1">
      <c r="A1257" s="716" t="inlineStr">
        <is>
          <t>F291</t>
        </is>
      </c>
      <c r="B1257" s="717" t="n">
        <v>43407.00347222222</v>
      </c>
      <c r="C1257" s="718" t="n">
        <v>43407.01666666667</v>
      </c>
      <c r="D1257" s="719" t="inlineStr">
        <is>
          <t>PEPPERSTONE DEMO</t>
        </is>
      </c>
      <c r="E1257" s="719" t="inlineStr">
        <is>
          <t>USDCAD</t>
        </is>
      </c>
      <c r="F1257" s="719" t="inlineStr">
        <is>
          <t>BUY</t>
        </is>
      </c>
      <c r="G1257" s="735" t="n">
        <v>0.04</v>
      </c>
      <c r="H1257" s="720" t="n">
        <v>1.3104</v>
      </c>
      <c r="I1257" s="720" t="n">
        <v>1.30948</v>
      </c>
      <c r="J1257" s="721" t="n">
        <v>1.3094</v>
      </c>
      <c r="K1257" s="760" t="n">
        <v>0.0007631257631258486</v>
      </c>
      <c r="L1257" s="721" t="n">
        <v>1.3124</v>
      </c>
      <c r="M1257" s="722" t="n">
        <v>0.001526251526251528</v>
      </c>
      <c r="N1257" s="788" t="n"/>
      <c r="O1257" s="762" t="n">
        <v>-4.23</v>
      </c>
      <c r="P1257" s="725" t="n">
        <v>-0.003071315510506368</v>
      </c>
      <c r="Q1257" s="726" t="n">
        <v>-0.919999999999929</v>
      </c>
      <c r="R1257" s="764" t="n">
        <v>1373.03</v>
      </c>
      <c r="S1257" s="719" t="inlineStr">
        <is>
          <t>19M 0S</t>
        </is>
      </c>
      <c r="T1257" s="728" t="n"/>
      <c r="U1257" s="729" t="n"/>
      <c r="V1257" s="730" t="n"/>
      <c r="W1257" s="731" t="n"/>
      <c r="X1257" s="732" t="n"/>
      <c r="Y1257" s="728" t="n"/>
      <c r="Z1257" s="729" t="n"/>
      <c r="AA1257" s="730" t="n"/>
      <c r="AB1257" s="731" t="n"/>
      <c r="AC1257" s="732" t="n"/>
      <c r="AD1257" s="719" t="inlineStr">
        <is>
          <t>No</t>
        </is>
      </c>
      <c r="AE1257" s="733" t="n"/>
      <c r="AF1257" s="733" t="n"/>
      <c r="AG1257" s="733" t="n"/>
      <c r="AH1257" s="733" t="n"/>
      <c r="AI1257" s="733" t="n"/>
      <c r="AJ1257" s="733" t="n"/>
      <c r="AK1257" s="733" t="n"/>
      <c r="AL1257" s="733" t="n"/>
      <c r="AM1257" s="733" t="n"/>
      <c r="AN1257" s="733" t="n"/>
      <c r="AO1257" s="733" t="n"/>
      <c r="AP1257" s="719" t="inlineStr">
        <is>
          <t>Pullback</t>
        </is>
      </c>
      <c r="AQ1257" s="719" t="inlineStr">
        <is>
          <t>5MIN</t>
        </is>
      </c>
      <c r="AR1257" s="719" t="inlineStr">
        <is>
          <t>No</t>
        </is>
      </c>
      <c r="AS1257" s="733" t="n"/>
      <c r="AT1257" s="733" t="n"/>
      <c r="AU1257" s="733" t="n"/>
      <c r="AV1257" s="733" t="n"/>
      <c r="AW1257" s="719" t="inlineStr">
        <is>
          <t>trade</t>
        </is>
      </c>
      <c r="AX1257" s="734" t="inlineStr">
        <is>
          <t>sig:46c5171721392610065f6309</t>
        </is>
      </c>
    </row>
    <row r="1258" ht="15" customHeight="1">
      <c r="A1258" s="716" t="inlineStr">
        <is>
          <t>F289</t>
        </is>
      </c>
      <c r="B1258" s="717" t="n">
        <v>43406.95694444444</v>
      </c>
      <c r="C1258" s="718" t="n">
        <v>43406.96944444445</v>
      </c>
      <c r="D1258" s="719" t="inlineStr">
        <is>
          <t>PEPPERSTONE DEMO</t>
        </is>
      </c>
      <c r="E1258" s="719" t="inlineStr">
        <is>
          <t>USDJPY</t>
        </is>
      </c>
      <c r="F1258" s="719" t="inlineStr">
        <is>
          <t>BUY</t>
        </is>
      </c>
      <c r="G1258" s="735" t="n">
        <v>0.02</v>
      </c>
      <c r="H1258" s="720" t="n">
        <v>112.98</v>
      </c>
      <c r="I1258" s="720" t="n">
        <v>112.904</v>
      </c>
      <c r="J1258" s="721" t="n">
        <v>112.83</v>
      </c>
      <c r="K1258" s="722" t="n">
        <v>0.001327668613914017</v>
      </c>
      <c r="L1258" s="721" t="n">
        <v>113.28</v>
      </c>
      <c r="M1258" s="722" t="n">
        <v>0.002655337227827909</v>
      </c>
      <c r="N1258" s="788" t="n"/>
      <c r="O1258" s="762" t="n">
        <v>-1.89</v>
      </c>
      <c r="P1258" s="725" t="n">
        <v>-0.001370409310082297</v>
      </c>
      <c r="Q1258" s="726" t="n">
        <v>-0.5066666666666982</v>
      </c>
      <c r="R1258" s="764" t="n">
        <v>1377.26</v>
      </c>
      <c r="S1258" s="719" t="inlineStr">
        <is>
          <t>18M 0S</t>
        </is>
      </c>
      <c r="T1258" s="728" t="n"/>
      <c r="U1258" s="729" t="n"/>
      <c r="V1258" s="730" t="n"/>
      <c r="W1258" s="731" t="n"/>
      <c r="X1258" s="732" t="n"/>
      <c r="Y1258" s="728" t="n"/>
      <c r="Z1258" s="729" t="n"/>
      <c r="AA1258" s="730" t="n"/>
      <c r="AB1258" s="731" t="n"/>
      <c r="AC1258" s="732" t="n"/>
      <c r="AD1258" s="719" t="inlineStr">
        <is>
          <t>No</t>
        </is>
      </c>
      <c r="AE1258" s="733" t="n"/>
      <c r="AF1258" s="733" t="n"/>
      <c r="AG1258" s="733" t="n"/>
      <c r="AH1258" s="733" t="n"/>
      <c r="AI1258" s="719" t="n"/>
      <c r="AJ1258" s="733" t="n"/>
      <c r="AK1258" s="733" t="n"/>
      <c r="AL1258" s="733" t="n"/>
      <c r="AM1258" s="733" t="n"/>
      <c r="AN1258" s="733" t="n"/>
      <c r="AO1258" s="733" t="n"/>
      <c r="AP1258" s="719" t="inlineStr">
        <is>
          <t>Pullback</t>
        </is>
      </c>
      <c r="AQ1258" s="719" t="inlineStr">
        <is>
          <t>5MIN</t>
        </is>
      </c>
      <c r="AR1258" s="719" t="inlineStr">
        <is>
          <t>No</t>
        </is>
      </c>
      <c r="AS1258" s="733" t="n"/>
      <c r="AT1258" s="733" t="n"/>
      <c r="AU1258" s="733" t="n"/>
      <c r="AV1258" s="733" t="n"/>
      <c r="AW1258" s="719" t="inlineStr">
        <is>
          <t>trade</t>
        </is>
      </c>
      <c r="AX1258" s="734" t="inlineStr">
        <is>
          <t>sig:42dcf72208c601ee436fc6eb</t>
        </is>
      </c>
    </row>
    <row r="1259" ht="15" customHeight="1">
      <c r="A1259" s="716" t="inlineStr">
        <is>
          <t>F287</t>
        </is>
      </c>
      <c r="B1259" s="717" t="n">
        <v>43406.94791666666</v>
      </c>
      <c r="C1259" s="718" t="n">
        <v>43406.95486111111</v>
      </c>
      <c r="D1259" s="719" t="inlineStr">
        <is>
          <t>PEPPERSTONE DEMO</t>
        </is>
      </c>
      <c r="E1259" s="719" t="inlineStr">
        <is>
          <t>EURUSD</t>
        </is>
      </c>
      <c r="F1259" s="719" t="inlineStr">
        <is>
          <t>BUY</t>
        </is>
      </c>
      <c r="G1259" s="735" t="n">
        <v>0.01</v>
      </c>
      <c r="H1259" s="720" t="n">
        <v>1.1428</v>
      </c>
      <c r="I1259" s="720" t="n">
        <v>1.14216</v>
      </c>
      <c r="J1259" s="721" t="n">
        <v>1.1408</v>
      </c>
      <c r="K1259" s="722" t="n">
        <v>0.00175008750437522</v>
      </c>
      <c r="L1259" s="721" t="n">
        <v>1.1468</v>
      </c>
      <c r="M1259" s="722" t="n">
        <v>0.00350017500875044</v>
      </c>
      <c r="N1259" s="788" t="n"/>
      <c r="O1259" s="762" t="n">
        <v>-0.92</v>
      </c>
      <c r="P1259" s="763" t="n">
        <v>-0.0006666328519567848</v>
      </c>
      <c r="Q1259" s="726" t="n">
        <v>-0.3199999999999867</v>
      </c>
      <c r="R1259" s="764" t="n">
        <v>1379.15</v>
      </c>
      <c r="S1259" s="719" t="inlineStr">
        <is>
          <t>10M 0S</t>
        </is>
      </c>
      <c r="T1259" s="728" t="n"/>
      <c r="U1259" s="729" t="n"/>
      <c r="V1259" s="730" t="n"/>
      <c r="W1259" s="731" t="n"/>
      <c r="X1259" s="732" t="n"/>
      <c r="Y1259" s="728" t="n"/>
      <c r="Z1259" s="729" t="n"/>
      <c r="AA1259" s="730" t="n"/>
      <c r="AB1259" s="731" t="n"/>
      <c r="AC1259" s="732" t="n"/>
      <c r="AD1259" s="719" t="inlineStr">
        <is>
          <t>No</t>
        </is>
      </c>
      <c r="AE1259" s="733" t="n"/>
      <c r="AF1259" s="733" t="n"/>
      <c r="AG1259" s="733" t="n"/>
      <c r="AH1259" s="733" t="n"/>
      <c r="AI1259" s="719" t="n"/>
      <c r="AJ1259" s="733" t="n"/>
      <c r="AK1259" s="733" t="n"/>
      <c r="AL1259" s="733" t="n"/>
      <c r="AM1259" s="733" t="n"/>
      <c r="AN1259" s="733" t="n"/>
      <c r="AO1259" s="733" t="n"/>
      <c r="AP1259" s="719" t="inlineStr">
        <is>
          <t>Pullback</t>
        </is>
      </c>
      <c r="AQ1259" s="719" t="inlineStr">
        <is>
          <t>5MIN</t>
        </is>
      </c>
      <c r="AR1259" s="719" t="inlineStr">
        <is>
          <t>No</t>
        </is>
      </c>
      <c r="AS1259" s="733" t="n"/>
      <c r="AT1259" s="733" t="n"/>
      <c r="AU1259" s="733" t="n"/>
      <c r="AV1259" s="733" t="n"/>
      <c r="AW1259" s="719" t="inlineStr">
        <is>
          <t>trade</t>
        </is>
      </c>
      <c r="AX1259" s="734" t="inlineStr">
        <is>
          <t>sig:1c1cf3a7a252ca9da8dbf4ef</t>
        </is>
      </c>
    </row>
    <row r="1260" ht="15" customHeight="1">
      <c r="A1260" s="716" t="inlineStr">
        <is>
          <t>F288</t>
        </is>
      </c>
      <c r="B1260" s="717" t="n">
        <v>43406.9375</v>
      </c>
      <c r="C1260" s="718" t="n">
        <v>43406.93819444445</v>
      </c>
      <c r="D1260" s="719" t="inlineStr">
        <is>
          <t>PEPPERSTONE DEMO</t>
        </is>
      </c>
      <c r="E1260" s="719" t="inlineStr">
        <is>
          <t>USDCAD</t>
        </is>
      </c>
      <c r="F1260" s="719" t="inlineStr">
        <is>
          <t>BUY</t>
        </is>
      </c>
      <c r="G1260" s="735" t="n">
        <v>0.04</v>
      </c>
      <c r="H1260" s="720" t="n">
        <v>1.308</v>
      </c>
      <c r="I1260" s="720" t="n">
        <v>1.30681</v>
      </c>
      <c r="J1260" s="721" t="n">
        <v>1.3068</v>
      </c>
      <c r="K1260" s="760" t="n">
        <v>0.0009174311926606191</v>
      </c>
      <c r="L1260" s="721" t="n">
        <v>1.3104</v>
      </c>
      <c r="M1260" s="722" t="n">
        <v>0.001834862385321068</v>
      </c>
      <c r="N1260" s="788" t="n"/>
      <c r="O1260" s="762" t="n">
        <v>-5.08</v>
      </c>
      <c r="P1260" s="725" t="n">
        <v>-0.003667472836876873</v>
      </c>
      <c r="Q1260" s="726" t="n">
        <v>-0.9916666666666127</v>
      </c>
      <c r="R1260" s="764" t="n">
        <v>1380.07</v>
      </c>
      <c r="S1260" s="719" t="inlineStr">
        <is>
          <t>1M 0S</t>
        </is>
      </c>
      <c r="T1260" s="728" t="n"/>
      <c r="U1260" s="729" t="n"/>
      <c r="V1260" s="730" t="n"/>
      <c r="W1260" s="731" t="n"/>
      <c r="X1260" s="732" t="n"/>
      <c r="Y1260" s="728" t="n"/>
      <c r="Z1260" s="729" t="n"/>
      <c r="AA1260" s="730" t="n"/>
      <c r="AB1260" s="731" t="n"/>
      <c r="AC1260" s="732" t="n"/>
      <c r="AD1260" s="719" t="inlineStr">
        <is>
          <t>No</t>
        </is>
      </c>
      <c r="AE1260" s="733" t="n"/>
      <c r="AF1260" s="733" t="n"/>
      <c r="AG1260" s="733" t="n"/>
      <c r="AH1260" s="733" t="n"/>
      <c r="AI1260" s="719" t="inlineStr">
        <is>
          <t>Limit</t>
        </is>
      </c>
      <c r="AJ1260" s="733" t="n"/>
      <c r="AK1260" s="733" t="n"/>
      <c r="AL1260" s="733" t="n"/>
      <c r="AM1260" s="733" t="n"/>
      <c r="AN1260" s="733" t="n"/>
      <c r="AO1260" s="733" t="n"/>
      <c r="AP1260" s="719" t="inlineStr">
        <is>
          <t>News Scalp</t>
        </is>
      </c>
      <c r="AQ1260" s="719" t="inlineStr">
        <is>
          <t>30MIN</t>
        </is>
      </c>
      <c r="AR1260" s="719" t="inlineStr">
        <is>
          <t>No</t>
        </is>
      </c>
      <c r="AS1260" s="733" t="n"/>
      <c r="AT1260" s="733" t="n"/>
      <c r="AU1260" s="733" t="n"/>
      <c r="AV1260" s="733" t="n"/>
      <c r="AW1260" s="719" t="inlineStr">
        <is>
          <t>trade</t>
        </is>
      </c>
      <c r="AX1260" s="734" t="inlineStr">
        <is>
          <t>sig:3b3ba7074146084e3cd22c91</t>
        </is>
      </c>
    </row>
    <row r="1261" ht="15" customHeight="1">
      <c r="A1261" s="42" t="n"/>
      <c r="B1261" s="770" t="n">
        <v>43406</v>
      </c>
      <c r="C1261" s="771" t="n">
        <v>43406</v>
      </c>
      <c r="D1261" s="12" t="inlineStr">
        <is>
          <t>PEPPERSTONE DEMO</t>
        </is>
      </c>
      <c r="E1261" s="12" t="inlineStr">
        <is>
          <t>CASHFLOW</t>
        </is>
      </c>
      <c r="F1261" s="12" t="inlineStr">
        <is>
          <t>WITHDRAWAL</t>
        </is>
      </c>
      <c r="G1261" s="262" t="n"/>
      <c r="H1261" s="262" t="n"/>
      <c r="I1261" s="262" t="n"/>
      <c r="J1261" s="263" t="n"/>
      <c r="K1261" s="36" t="n"/>
      <c r="L1261" s="263" t="n"/>
      <c r="M1261" s="36" t="n"/>
      <c r="N1261" s="779" t="n"/>
      <c r="O1261" s="773" t="n"/>
      <c r="P1261" s="3" t="n"/>
      <c r="Q1261" s="51" t="n"/>
      <c r="R1261" s="54" t="n">
        <v>500</v>
      </c>
      <c r="S1261" s="12" t="n"/>
      <c r="T1261" s="774" t="n"/>
      <c r="U1261" s="6" t="n"/>
      <c r="V1261" s="264" t="n"/>
      <c r="W1261" s="9" t="n"/>
      <c r="X1261" s="46" t="n"/>
      <c r="Y1261" s="774" t="n"/>
      <c r="Z1261" s="6" t="n"/>
      <c r="AA1261" s="264" t="n"/>
      <c r="AB1261" s="9" t="n"/>
      <c r="AC1261" s="46" t="n"/>
      <c r="AD1261" s="12" t="inlineStr">
        <is>
          <t>No</t>
        </is>
      </c>
      <c r="AE1261" s="45" t="n"/>
      <c r="AF1261" s="45" t="n"/>
      <c r="AG1261" s="45" t="n"/>
      <c r="AH1261" s="45" t="n"/>
      <c r="AI1261" s="12" t="n"/>
      <c r="AJ1261" s="45" t="n"/>
      <c r="AK1261" s="45" t="n"/>
      <c r="AL1261" s="45" t="n"/>
      <c r="AM1261" s="45" t="n"/>
      <c r="AN1261" s="45" t="n"/>
      <c r="AO1261" s="45" t="n"/>
      <c r="AP1261" s="12" t="n"/>
      <c r="AQ1261" s="12" t="n"/>
      <c r="AR1261" s="12" t="n"/>
      <c r="AS1261" s="56" t="inlineStr">
        <is>
          <t>Withdrawal -885.15 AUD. Source: user_txt. Imported from account_cashflows.xlsx row 27.</t>
        </is>
      </c>
      <c r="AT1261" s="45" t="n"/>
      <c r="AU1261" s="12" t="n">
        <v>500</v>
      </c>
      <c r="AV1261" s="12" t="inlineStr">
        <is>
          <t>AUD</t>
        </is>
      </c>
      <c r="AW1261" s="12" t="inlineStr">
        <is>
          <t>cashflow</t>
        </is>
      </c>
      <c r="AX1261" s="57" t="inlineStr">
        <is>
          <t>cashflow:PEPPERSTONE DEMO:2018-11-02T00:00:00:13</t>
        </is>
      </c>
    </row>
    <row r="1262" ht="15" customHeight="1">
      <c r="A1262" s="42" t="n"/>
      <c r="B1262" s="770" t="n">
        <v>43406</v>
      </c>
      <c r="C1262" s="771" t="n">
        <v>43406</v>
      </c>
      <c r="D1262" s="12" t="inlineStr">
        <is>
          <t>PEPPERSTONE DEMO</t>
        </is>
      </c>
      <c r="E1262" s="12" t="inlineStr">
        <is>
          <t>CASHFLOW</t>
        </is>
      </c>
      <c r="F1262" s="12" t="inlineStr">
        <is>
          <t>DEPOSIT</t>
        </is>
      </c>
      <c r="G1262" s="262" t="n"/>
      <c r="H1262" s="262" t="n"/>
      <c r="I1262" s="262" t="n"/>
      <c r="J1262" s="263" t="n"/>
      <c r="K1262" s="36" t="n"/>
      <c r="L1262" s="263" t="n"/>
      <c r="M1262" s="36" t="n"/>
      <c r="N1262" s="779" t="n"/>
      <c r="O1262" s="773" t="n"/>
      <c r="P1262" s="3" t="n"/>
      <c r="Q1262" s="51" t="n"/>
      <c r="R1262" s="54" t="n">
        <v>1385.15</v>
      </c>
      <c r="S1262" s="12" t="n"/>
      <c r="T1262" s="774" t="n"/>
      <c r="U1262" s="6" t="n"/>
      <c r="V1262" s="264" t="n"/>
      <c r="W1262" s="9" t="n"/>
      <c r="X1262" s="46" t="n"/>
      <c r="Y1262" s="774" t="n"/>
      <c r="Z1262" s="6" t="n"/>
      <c r="AA1262" s="264" t="n"/>
      <c r="AB1262" s="9" t="n"/>
      <c r="AC1262" s="46" t="n"/>
      <c r="AD1262" s="12" t="inlineStr">
        <is>
          <t>No</t>
        </is>
      </c>
      <c r="AE1262" s="45" t="n"/>
      <c r="AF1262" s="45" t="n"/>
      <c r="AG1262" s="45" t="n"/>
      <c r="AH1262" s="45" t="n"/>
      <c r="AI1262" s="12" t="n"/>
      <c r="AJ1262" s="45" t="n"/>
      <c r="AK1262" s="45" t="n"/>
      <c r="AL1262" s="45" t="n"/>
      <c r="AM1262" s="45" t="n"/>
      <c r="AN1262" s="45" t="n"/>
      <c r="AO1262" s="45" t="n"/>
      <c r="AP1262" s="12" t="n"/>
      <c r="AQ1262" s="12" t="n"/>
      <c r="AR1262" s="12" t="n"/>
      <c r="AS1262" s="56" t="inlineStr">
        <is>
          <t>Deposit 500.0 AUD. Source: user_txt. Imported from account_cashflows.xlsx row 28.</t>
        </is>
      </c>
      <c r="AT1262" s="45" t="n"/>
      <c r="AU1262" s="12" t="n">
        <v>1385.15</v>
      </c>
      <c r="AV1262" s="12" t="inlineStr">
        <is>
          <t>AUD</t>
        </is>
      </c>
      <c r="AW1262" s="12" t="inlineStr">
        <is>
          <t>cashflow</t>
        </is>
      </c>
      <c r="AX1262" s="57" t="inlineStr">
        <is>
          <t>cashflow:PEPPERSTONE DEMO:2018-11-02T00:00:00:14</t>
        </is>
      </c>
    </row>
    <row r="1263" ht="15" customHeight="1">
      <c r="A1263" s="716" t="inlineStr">
        <is>
          <t>F285</t>
        </is>
      </c>
      <c r="B1263" s="717" t="n">
        <v>43405.93958333333</v>
      </c>
      <c r="C1263" s="718" t="n">
        <v>43405.97569444445</v>
      </c>
      <c r="D1263" s="719" t="inlineStr">
        <is>
          <t>PEPPERSTONE DEMO</t>
        </is>
      </c>
      <c r="E1263" s="719" t="inlineStr">
        <is>
          <t>USDCHF</t>
        </is>
      </c>
      <c r="F1263" s="719" t="inlineStr">
        <is>
          <t>SELL</t>
        </is>
      </c>
      <c r="G1263" s="735" t="n">
        <v>0.06</v>
      </c>
      <c r="H1263" s="720" t="n">
        <v>1.0028</v>
      </c>
      <c r="I1263" s="720" t="n">
        <v>1.00383</v>
      </c>
      <c r="J1263" s="721" t="n">
        <v>1.0038</v>
      </c>
      <c r="K1263" s="760" t="n">
        <v>0.0009972078181094057</v>
      </c>
      <c r="L1263" s="721" t="n">
        <v>1.0008</v>
      </c>
      <c r="M1263" s="722" t="n">
        <v>0.00199441563621859</v>
      </c>
      <c r="N1263" s="788" t="n"/>
      <c r="O1263" s="762" t="n">
        <v>-8.32</v>
      </c>
      <c r="P1263" s="725" t="n">
        <v>-0.001485260750735044</v>
      </c>
      <c r="Q1263" s="726" t="n">
        <v>-1.029999999999971</v>
      </c>
      <c r="R1263" s="764" t="n">
        <v>5593.39</v>
      </c>
      <c r="S1263" s="719" t="inlineStr">
        <is>
          <t>52M 0S</t>
        </is>
      </c>
      <c r="T1263" s="728" t="n"/>
      <c r="U1263" s="729" t="n"/>
      <c r="V1263" s="730" t="n"/>
      <c r="W1263" s="731" t="n"/>
      <c r="X1263" s="732" t="n"/>
      <c r="Y1263" s="728" t="n"/>
      <c r="Z1263" s="729" t="n"/>
      <c r="AA1263" s="730" t="n"/>
      <c r="AB1263" s="731" t="n"/>
      <c r="AC1263" s="732" t="n"/>
      <c r="AD1263" s="719" t="inlineStr">
        <is>
          <t>No</t>
        </is>
      </c>
      <c r="AE1263" s="733" t="n"/>
      <c r="AF1263" s="733" t="n"/>
      <c r="AG1263" s="733" t="n"/>
      <c r="AH1263" s="733" t="n"/>
      <c r="AI1263" s="719" t="n"/>
      <c r="AJ1263" s="733" t="n"/>
      <c r="AK1263" s="733" t="n"/>
      <c r="AL1263" s="733" t="n"/>
      <c r="AM1263" s="733" t="n"/>
      <c r="AN1263" s="733" t="n"/>
      <c r="AO1263" s="733" t="n"/>
      <c r="AP1263" s="719" t="inlineStr">
        <is>
          <t>Pullback</t>
        </is>
      </c>
      <c r="AQ1263" s="719" t="inlineStr">
        <is>
          <t>5MIN</t>
        </is>
      </c>
      <c r="AR1263" s="719" t="inlineStr">
        <is>
          <t>No</t>
        </is>
      </c>
      <c r="AS1263" s="733" t="n"/>
      <c r="AT1263" s="733" t="n"/>
      <c r="AU1263" s="733" t="n"/>
      <c r="AV1263" s="733" t="n"/>
      <c r="AW1263" s="719" t="inlineStr">
        <is>
          <t>trade</t>
        </is>
      </c>
      <c r="AX1263" s="734" t="inlineStr">
        <is>
          <t>sig:22733e0ade3335eabcf75548</t>
        </is>
      </c>
    </row>
    <row r="1264" ht="15" customHeight="1">
      <c r="A1264" s="716" t="inlineStr">
        <is>
          <t>F286</t>
        </is>
      </c>
      <c r="B1264" s="717" t="n">
        <v>43405.92291666667</v>
      </c>
      <c r="C1264" s="718" t="n">
        <v>43405.92638888889</v>
      </c>
      <c r="D1264" s="719" t="inlineStr">
        <is>
          <t>PEPPERSTONE DEMO</t>
        </is>
      </c>
      <c r="E1264" s="719" t="inlineStr">
        <is>
          <t>USDJPY</t>
        </is>
      </c>
      <c r="F1264" s="719" t="inlineStr">
        <is>
          <t>BUY</t>
        </is>
      </c>
      <c r="G1264" s="720" t="n">
        <v>0.14</v>
      </c>
      <c r="H1264" s="720" t="n">
        <v>112.87</v>
      </c>
      <c r="I1264" s="720" t="n">
        <v>112.826</v>
      </c>
      <c r="J1264" s="721" t="n">
        <v>112.82</v>
      </c>
      <c r="K1264" s="760" t="n">
        <v>0.0004429875077523821</v>
      </c>
      <c r="L1264" s="721" t="n">
        <v>112.97</v>
      </c>
      <c r="M1264" s="760" t="n">
        <v>0.0008859750155045124</v>
      </c>
      <c r="N1264" s="788" t="n"/>
      <c r="O1264" s="762" t="n">
        <v>-8.65</v>
      </c>
      <c r="P1264" s="725" t="n">
        <v>-0.001541790544635282</v>
      </c>
      <c r="Q1264" s="726" t="n">
        <v>-0.8800000000000228</v>
      </c>
      <c r="R1264" s="764" t="n">
        <v>5601.71</v>
      </c>
      <c r="S1264" s="719" t="inlineStr">
        <is>
          <t>5M 0S</t>
        </is>
      </c>
      <c r="T1264" s="728" t="n"/>
      <c r="U1264" s="729" t="n"/>
      <c r="V1264" s="730" t="n"/>
      <c r="W1264" s="731" t="n"/>
      <c r="X1264" s="732" t="n"/>
      <c r="Y1264" s="728" t="n"/>
      <c r="Z1264" s="729" t="n"/>
      <c r="AA1264" s="730" t="n"/>
      <c r="AB1264" s="731" t="n"/>
      <c r="AC1264" s="732" t="n"/>
      <c r="AD1264" s="719" t="inlineStr">
        <is>
          <t>No</t>
        </is>
      </c>
      <c r="AE1264" s="733" t="n"/>
      <c r="AF1264" s="733" t="n"/>
      <c r="AG1264" s="733" t="n"/>
      <c r="AH1264" s="733" t="n"/>
      <c r="AI1264" s="719" t="n"/>
      <c r="AJ1264" s="733" t="n"/>
      <c r="AK1264" s="733" t="n"/>
      <c r="AL1264" s="733" t="n"/>
      <c r="AM1264" s="733" t="n"/>
      <c r="AN1264" s="733" t="n"/>
      <c r="AO1264" s="733" t="n"/>
      <c r="AP1264" s="719" t="inlineStr">
        <is>
          <t>Pullback</t>
        </is>
      </c>
      <c r="AQ1264" s="719" t="inlineStr">
        <is>
          <t>5MIN</t>
        </is>
      </c>
      <c r="AR1264" s="719" t="inlineStr">
        <is>
          <t>No</t>
        </is>
      </c>
      <c r="AS1264" s="733" t="n"/>
      <c r="AT1264" s="733" t="n"/>
      <c r="AU1264" s="733" t="n"/>
      <c r="AV1264" s="733" t="n"/>
      <c r="AW1264" s="719" t="inlineStr">
        <is>
          <t>trade</t>
        </is>
      </c>
      <c r="AX1264" s="734" t="inlineStr">
        <is>
          <t>sig:b038ca6d70408b4b3a55173a</t>
        </is>
      </c>
    </row>
    <row r="1265" ht="15" customHeight="1">
      <c r="A1265" s="716" t="inlineStr">
        <is>
          <t>F688</t>
        </is>
      </c>
      <c r="B1265" s="717" t="n">
        <v>43405.00763888889</v>
      </c>
      <c r="C1265" s="718" t="n">
        <v>43405.01111111111</v>
      </c>
      <c r="D1265" s="719" t="inlineStr">
        <is>
          <t>PEPPERSTONE DEMO</t>
        </is>
      </c>
      <c r="E1265" s="719" t="inlineStr">
        <is>
          <t>USDJPY</t>
        </is>
      </c>
      <c r="F1265" s="719" t="inlineStr">
        <is>
          <t>BUY</t>
        </is>
      </c>
      <c r="G1265" s="735" t="n">
        <v>0.09</v>
      </c>
      <c r="H1265" s="720" t="n">
        <v>113.3</v>
      </c>
      <c r="I1265" s="720" t="n">
        <v>113.262</v>
      </c>
      <c r="J1265" s="721" t="n">
        <v>113.26</v>
      </c>
      <c r="K1265" s="760" t="n">
        <v>0.0003530450132391178</v>
      </c>
      <c r="L1265" s="721" t="n">
        <v>113.38</v>
      </c>
      <c r="M1265" s="760" t="n">
        <v>0.000706090026478361</v>
      </c>
      <c r="N1265" s="788" t="n"/>
      <c r="O1265" s="762" t="n">
        <v>-4.48</v>
      </c>
      <c r="P1265" s="763" t="n">
        <v>-0.0007978856031516483</v>
      </c>
      <c r="Q1265" s="726" t="n">
        <v>-0.9500000000001065</v>
      </c>
      <c r="R1265" s="764" t="n">
        <v>5610.36</v>
      </c>
      <c r="S1265" s="719" t="inlineStr">
        <is>
          <t>5M 0S</t>
        </is>
      </c>
      <c r="T1265" s="728" t="n"/>
      <c r="U1265" s="729" t="n"/>
      <c r="V1265" s="730" t="n"/>
      <c r="W1265" s="731" t="n"/>
      <c r="X1265" s="732" t="n"/>
      <c r="Y1265" s="728" t="n"/>
      <c r="Z1265" s="729" t="n"/>
      <c r="AA1265" s="730" t="n"/>
      <c r="AB1265" s="731" t="n"/>
      <c r="AC1265" s="732" t="n"/>
      <c r="AD1265" s="719" t="inlineStr">
        <is>
          <t>No</t>
        </is>
      </c>
      <c r="AE1265" s="733" t="n"/>
      <c r="AF1265" s="733" t="n"/>
      <c r="AG1265" s="733" t="n"/>
      <c r="AH1265" s="733" t="n"/>
      <c r="AI1265" s="719" t="n"/>
      <c r="AJ1265" s="733" t="n"/>
      <c r="AK1265" s="733" t="n"/>
      <c r="AL1265" s="733" t="n"/>
      <c r="AM1265" s="733" t="n"/>
      <c r="AN1265" s="733" t="n"/>
      <c r="AO1265" s="733" t="n"/>
      <c r="AP1265" s="719" t="inlineStr">
        <is>
          <t>Pullback</t>
        </is>
      </c>
      <c r="AQ1265" s="719" t="n"/>
      <c r="AR1265" s="719" t="inlineStr">
        <is>
          <t>No</t>
        </is>
      </c>
      <c r="AS1265" s="733" t="n"/>
      <c r="AT1265" s="733" t="n"/>
      <c r="AU1265" s="733" t="n"/>
      <c r="AV1265" s="733" t="n"/>
      <c r="AW1265" s="719" t="inlineStr">
        <is>
          <t>trade</t>
        </is>
      </c>
      <c r="AX1265" s="734" t="inlineStr">
        <is>
          <t>sig:58625328e522cd92c60bb566</t>
        </is>
      </c>
    </row>
    <row r="1266" ht="15" customHeight="1">
      <c r="A1266" s="716" t="inlineStr">
        <is>
          <t>F284</t>
        </is>
      </c>
      <c r="B1266" s="717" t="n">
        <v>43404.97569444445</v>
      </c>
      <c r="C1266" s="718" t="n">
        <v>43404.99861111111</v>
      </c>
      <c r="D1266" s="719" t="inlineStr">
        <is>
          <t>PEPPERSTONE DEMO</t>
        </is>
      </c>
      <c r="E1266" s="719" t="inlineStr">
        <is>
          <t>USDCAD</t>
        </is>
      </c>
      <c r="F1266" s="719" t="inlineStr">
        <is>
          <t>BUY</t>
        </is>
      </c>
      <c r="G1266" s="735" t="n">
        <v>0.09</v>
      </c>
      <c r="H1266" s="720" t="n">
        <v>1.3136</v>
      </c>
      <c r="I1266" s="720" t="n">
        <v>1.31321</v>
      </c>
      <c r="J1266" s="721" t="n">
        <v>1.3127</v>
      </c>
      <c r="K1266" s="760" t="n">
        <v>0.0006851400730817013</v>
      </c>
      <c r="L1266" s="721" t="n">
        <v>1.3154</v>
      </c>
      <c r="M1266" s="722" t="n">
        <v>0.001370280146163064</v>
      </c>
      <c r="N1266" s="788" t="n"/>
      <c r="O1266" s="762" t="n">
        <v>-4.64</v>
      </c>
      <c r="P1266" s="763" t="n">
        <v>-0.0008256991750126346</v>
      </c>
      <c r="Q1266" s="726" t="n">
        <v>-0.4333333333333991</v>
      </c>
      <c r="R1266" s="764" t="n">
        <v>5614.839999999999</v>
      </c>
      <c r="S1266" s="719" t="inlineStr">
        <is>
          <t>33M 0S</t>
        </is>
      </c>
      <c r="T1266" s="728" t="n"/>
      <c r="U1266" s="729" t="n"/>
      <c r="V1266" s="730" t="n"/>
      <c r="W1266" s="731" t="n"/>
      <c r="X1266" s="732" t="n"/>
      <c r="Y1266" s="728" t="n"/>
      <c r="Z1266" s="729" t="n"/>
      <c r="AA1266" s="730" t="n"/>
      <c r="AB1266" s="731" t="n"/>
      <c r="AC1266" s="732" t="n"/>
      <c r="AD1266" s="719" t="inlineStr">
        <is>
          <t>No</t>
        </is>
      </c>
      <c r="AE1266" s="733" t="n"/>
      <c r="AF1266" s="733" t="n"/>
      <c r="AG1266" s="733" t="n"/>
      <c r="AH1266" s="733" t="n"/>
      <c r="AI1266" s="719" t="inlineStr">
        <is>
          <t>Market</t>
        </is>
      </c>
      <c r="AJ1266" s="733" t="n"/>
      <c r="AK1266" s="733" t="n"/>
      <c r="AL1266" s="733" t="n"/>
      <c r="AM1266" s="733" t="n"/>
      <c r="AN1266" s="733" t="n"/>
      <c r="AO1266" s="733" t="n"/>
      <c r="AP1266" s="719" t="inlineStr">
        <is>
          <t>Pullback</t>
        </is>
      </c>
      <c r="AQ1266" s="719" t="inlineStr">
        <is>
          <t>5MIN</t>
        </is>
      </c>
      <c r="AR1266" s="719" t="inlineStr">
        <is>
          <t>No</t>
        </is>
      </c>
      <c r="AS1266" s="733" t="n"/>
      <c r="AT1266" s="733" t="n"/>
      <c r="AU1266" s="733" t="n"/>
      <c r="AV1266" s="733" t="n"/>
      <c r="AW1266" s="719" t="inlineStr">
        <is>
          <t>trade</t>
        </is>
      </c>
      <c r="AX1266" s="734" t="inlineStr">
        <is>
          <t>sig:456aa47c598bbb62d81b1b9b</t>
        </is>
      </c>
    </row>
    <row r="1267" ht="15" customHeight="1">
      <c r="A1267" s="716" t="inlineStr">
        <is>
          <t>F283</t>
        </is>
      </c>
      <c r="B1267" s="717" t="n">
        <v>43404.92847222222</v>
      </c>
      <c r="C1267" s="718" t="n">
        <v>43404.9375</v>
      </c>
      <c r="D1267" s="719" t="inlineStr">
        <is>
          <t>PEPPERSTONE DEMO</t>
        </is>
      </c>
      <c r="E1267" s="719" t="inlineStr">
        <is>
          <t>GBPUSD</t>
        </is>
      </c>
      <c r="F1267" s="719" t="inlineStr">
        <is>
          <t>BUY</t>
        </is>
      </c>
      <c r="G1267" s="735" t="n">
        <v>0.05</v>
      </c>
      <c r="H1267" s="720" t="n">
        <v>1.2778</v>
      </c>
      <c r="I1267" s="720" t="n">
        <v>1.27651</v>
      </c>
      <c r="J1267" s="721" t="n">
        <v>1.2765</v>
      </c>
      <c r="K1267" s="722" t="n">
        <v>0.001017373610893785</v>
      </c>
      <c r="L1267" s="721" t="n">
        <v>1.2804</v>
      </c>
      <c r="M1267" s="722" t="n">
        <v>0.002034747221787397</v>
      </c>
      <c r="N1267" s="788" t="n"/>
      <c r="O1267" s="762" t="n">
        <v>-9.16</v>
      </c>
      <c r="P1267" s="725" t="n">
        <v>-0.001627391341425282</v>
      </c>
      <c r="Q1267" s="726" t="n">
        <v>-0.9923076923076424</v>
      </c>
      <c r="R1267" s="764" t="n">
        <v>5619.48</v>
      </c>
      <c r="S1267" s="719" t="inlineStr">
        <is>
          <t>13M 0S</t>
        </is>
      </c>
      <c r="T1267" s="728" t="n"/>
      <c r="U1267" s="729" t="n"/>
      <c r="V1267" s="730" t="n"/>
      <c r="W1267" s="731" t="n"/>
      <c r="X1267" s="732" t="n"/>
      <c r="Y1267" s="728" t="n"/>
      <c r="Z1267" s="729" t="n"/>
      <c r="AA1267" s="730" t="n"/>
      <c r="AB1267" s="731" t="n"/>
      <c r="AC1267" s="732" t="n"/>
      <c r="AD1267" s="719" t="inlineStr">
        <is>
          <t>No</t>
        </is>
      </c>
      <c r="AE1267" s="733" t="n"/>
      <c r="AF1267" s="733" t="n"/>
      <c r="AG1267" s="733" t="n"/>
      <c r="AH1267" s="733" t="n"/>
      <c r="AI1267" s="719" t="inlineStr">
        <is>
          <t>Limit</t>
        </is>
      </c>
      <c r="AJ1267" s="733" t="n"/>
      <c r="AK1267" s="733" t="n"/>
      <c r="AL1267" s="733" t="n"/>
      <c r="AM1267" s="733" t="n"/>
      <c r="AN1267" s="733" t="n"/>
      <c r="AO1267" s="733" t="n"/>
      <c r="AP1267" s="719" t="inlineStr">
        <is>
          <t>Pullback</t>
        </is>
      </c>
      <c r="AQ1267" s="719" t="inlineStr">
        <is>
          <t>5MIN</t>
        </is>
      </c>
      <c r="AR1267" s="719" t="inlineStr">
        <is>
          <t>No</t>
        </is>
      </c>
      <c r="AS1267" s="733" t="n"/>
      <c r="AT1267" s="733" t="n"/>
      <c r="AU1267" s="733" t="n"/>
      <c r="AV1267" s="733" t="n"/>
      <c r="AW1267" s="719" t="inlineStr">
        <is>
          <t>trade</t>
        </is>
      </c>
      <c r="AX1267" s="734" t="inlineStr">
        <is>
          <t>sig:d314765ce97b9b5845d040a2</t>
        </is>
      </c>
    </row>
    <row r="1268" ht="15" customHeight="1">
      <c r="A1268" s="716" t="inlineStr">
        <is>
          <t>F280</t>
        </is>
      </c>
      <c r="B1268" s="717" t="n">
        <v>43403.96875</v>
      </c>
      <c r="C1268" s="718" t="n">
        <v>43403.98125</v>
      </c>
      <c r="D1268" s="719" t="inlineStr">
        <is>
          <t>PEPPERSTONE DEMO</t>
        </is>
      </c>
      <c r="E1268" s="719" t="inlineStr">
        <is>
          <t>GBPUSD</t>
        </is>
      </c>
      <c r="F1268" s="719" t="inlineStr">
        <is>
          <t>SELL</t>
        </is>
      </c>
      <c r="G1268" s="735" t="n">
        <v>0.06</v>
      </c>
      <c r="H1268" s="720" t="n">
        <v>1.2753</v>
      </c>
      <c r="I1268" s="720" t="n">
        <v>1.27639</v>
      </c>
      <c r="J1268" s="721" t="n">
        <v>1.2763</v>
      </c>
      <c r="K1268" s="760" t="n">
        <v>0.0007841292244961106</v>
      </c>
      <c r="L1268" s="721" t="n">
        <v>1.2733</v>
      </c>
      <c r="M1268" s="722" t="n">
        <v>0.001568258448992395</v>
      </c>
      <c r="N1268" s="788" t="n"/>
      <c r="O1268" s="762" t="n">
        <v>-8.449999999999999</v>
      </c>
      <c r="P1268" s="725" t="n">
        <v>-0.001499000370758671</v>
      </c>
      <c r="Q1268" s="726" t="n">
        <v>-1.089999999999933</v>
      </c>
      <c r="R1268" s="764" t="n">
        <v>5628.639999999999</v>
      </c>
      <c r="S1268" s="719" t="inlineStr">
        <is>
          <t>18M 0S</t>
        </is>
      </c>
      <c r="T1268" s="728" t="n"/>
      <c r="U1268" s="729" t="n"/>
      <c r="V1268" s="730" t="n"/>
      <c r="W1268" s="731" t="n"/>
      <c r="X1268" s="732" t="n"/>
      <c r="Y1268" s="728" t="n"/>
      <c r="Z1268" s="729" t="n"/>
      <c r="AA1268" s="730" t="n"/>
      <c r="AB1268" s="731" t="n"/>
      <c r="AC1268" s="732" t="n"/>
      <c r="AD1268" s="719" t="inlineStr">
        <is>
          <t>No</t>
        </is>
      </c>
      <c r="AE1268" s="733" t="n"/>
      <c r="AF1268" s="733" t="n"/>
      <c r="AG1268" s="733" t="n"/>
      <c r="AH1268" s="733" t="n"/>
      <c r="AI1268" s="719" t="inlineStr">
        <is>
          <t>Market</t>
        </is>
      </c>
      <c r="AJ1268" s="733" t="n"/>
      <c r="AK1268" s="733" t="n"/>
      <c r="AL1268" s="733" t="n"/>
      <c r="AM1268" s="733" t="n"/>
      <c r="AN1268" s="733" t="n"/>
      <c r="AO1268" s="733" t="n"/>
      <c r="AP1268" s="719" t="inlineStr">
        <is>
          <t>Pullback</t>
        </is>
      </c>
      <c r="AQ1268" s="719" t="inlineStr">
        <is>
          <t>5MIN</t>
        </is>
      </c>
      <c r="AR1268" s="719" t="inlineStr">
        <is>
          <t>No</t>
        </is>
      </c>
      <c r="AS1268" s="733" t="n"/>
      <c r="AT1268" s="733" t="n"/>
      <c r="AU1268" s="733" t="n"/>
      <c r="AV1268" s="733" t="n"/>
      <c r="AW1268" s="719" t="inlineStr">
        <is>
          <t>trade</t>
        </is>
      </c>
      <c r="AX1268" s="734" t="inlineStr">
        <is>
          <t>sig:945feb9623f847eabdb81f89</t>
        </is>
      </c>
    </row>
    <row r="1269" ht="15" customHeight="1">
      <c r="A1269" s="716" t="inlineStr">
        <is>
          <t>F281</t>
        </is>
      </c>
      <c r="B1269" s="717" t="n">
        <v>43403.91458333333</v>
      </c>
      <c r="C1269" s="718" t="n">
        <v>43403.95902777778</v>
      </c>
      <c r="D1269" s="719" t="inlineStr">
        <is>
          <t>PEPPERSTONE DEMO</t>
        </is>
      </c>
      <c r="E1269" s="719" t="inlineStr">
        <is>
          <t>USDJPY</t>
        </is>
      </c>
      <c r="F1269" s="719" t="inlineStr">
        <is>
          <t>BUY</t>
        </is>
      </c>
      <c r="G1269" s="735" t="n">
        <v>0.08</v>
      </c>
      <c r="H1269" s="720" t="n">
        <v>112.92</v>
      </c>
      <c r="I1269" s="720" t="n">
        <v>112.836</v>
      </c>
      <c r="J1269" s="721" t="n">
        <v>112.83</v>
      </c>
      <c r="K1269" s="760" t="n">
        <v>0.0007970244420829207</v>
      </c>
      <c r="L1269" s="721" t="n">
        <v>113.1</v>
      </c>
      <c r="M1269" s="722" t="n">
        <v>0.001594048884165716</v>
      </c>
      <c r="N1269" s="788" t="n"/>
      <c r="O1269" s="762" t="n">
        <v>-9</v>
      </c>
      <c r="P1269" s="725" t="n">
        <v>-0.00159402347465237</v>
      </c>
      <c r="Q1269" s="726" t="n">
        <v>-0.9333333333333333</v>
      </c>
      <c r="R1269" s="764" t="n">
        <v>5637.089999999999</v>
      </c>
      <c r="S1269" s="719" t="inlineStr">
        <is>
          <t>1H 4M 0S</t>
        </is>
      </c>
      <c r="T1269" s="728" t="n"/>
      <c r="U1269" s="729" t="n"/>
      <c r="V1269" s="730" t="n"/>
      <c r="W1269" s="731" t="n"/>
      <c r="X1269" s="732" t="n"/>
      <c r="Y1269" s="728" t="n"/>
      <c r="Z1269" s="729" t="n"/>
      <c r="AA1269" s="730" t="n"/>
      <c r="AB1269" s="731" t="n"/>
      <c r="AC1269" s="732" t="n"/>
      <c r="AD1269" s="719" t="inlineStr">
        <is>
          <t>No</t>
        </is>
      </c>
      <c r="AE1269" s="733" t="n"/>
      <c r="AF1269" s="733" t="n"/>
      <c r="AG1269" s="733" t="n"/>
      <c r="AH1269" s="733" t="n"/>
      <c r="AI1269" s="719" t="inlineStr">
        <is>
          <t>Market</t>
        </is>
      </c>
      <c r="AJ1269" s="733" t="n"/>
      <c r="AK1269" s="733" t="n"/>
      <c r="AL1269" s="733" t="n"/>
      <c r="AM1269" s="733" t="n"/>
      <c r="AN1269" s="733" t="n"/>
      <c r="AO1269" s="733" t="n"/>
      <c r="AP1269" s="719" t="inlineStr">
        <is>
          <t>Pullback</t>
        </is>
      </c>
      <c r="AQ1269" s="719" t="inlineStr">
        <is>
          <t>5MIN</t>
        </is>
      </c>
      <c r="AR1269" s="719" t="inlineStr">
        <is>
          <t>No</t>
        </is>
      </c>
      <c r="AS1269" s="782" t="n"/>
      <c r="AT1269" s="733" t="n"/>
      <c r="AU1269" s="719" t="n"/>
      <c r="AV1269" s="719" t="n"/>
      <c r="AW1269" s="719" t="inlineStr">
        <is>
          <t>trade</t>
        </is>
      </c>
      <c r="AX1269" s="734" t="inlineStr">
        <is>
          <t>sig:cdf5cc1d6a4fba0e59c402e2</t>
        </is>
      </c>
    </row>
    <row r="1270" ht="15" customHeight="1">
      <c r="A1270" s="737" t="inlineStr">
        <is>
          <t>F279</t>
        </is>
      </c>
      <c r="B1270" s="738" t="n">
        <v>43403.79513888889</v>
      </c>
      <c r="C1270" s="739" t="n">
        <v>43403.81875</v>
      </c>
      <c r="D1270" s="740" t="inlineStr">
        <is>
          <t>PEPPERSTONE DEMO</t>
        </is>
      </c>
      <c r="E1270" s="740" t="inlineStr">
        <is>
          <t>GBPUSD</t>
        </is>
      </c>
      <c r="F1270" s="740" t="inlineStr">
        <is>
          <t>SELL</t>
        </is>
      </c>
      <c r="G1270" s="775" t="n">
        <v>0.05</v>
      </c>
      <c r="H1270" s="742" t="n">
        <v>1.2773</v>
      </c>
      <c r="I1270" s="742" t="n">
        <v>1.27623</v>
      </c>
      <c r="J1270" s="743" t="n">
        <v>1.2786</v>
      </c>
      <c r="K1270" s="744" t="n">
        <v>0.001017771862522396</v>
      </c>
      <c r="L1270" s="743" t="n">
        <v>1.2747</v>
      </c>
      <c r="M1270" s="744" t="n">
        <v>0.00203554372504514</v>
      </c>
      <c r="N1270" s="796" t="n"/>
      <c r="O1270" s="767" t="n">
        <v>1.51</v>
      </c>
      <c r="P1270" s="776" t="n">
        <v>0.0002675132605083107</v>
      </c>
      <c r="Q1270" s="748" t="n">
        <v>0.823076923077111</v>
      </c>
      <c r="R1270" s="769" t="n">
        <v>5646.089999999999</v>
      </c>
      <c r="S1270" s="740" t="inlineStr">
        <is>
          <t>34M 0S</t>
        </is>
      </c>
      <c r="T1270" s="750" t="n"/>
      <c r="U1270" s="751" t="n"/>
      <c r="V1270" s="752" t="n"/>
      <c r="W1270" s="753" t="n"/>
      <c r="X1270" s="754" t="n"/>
      <c r="Y1270" s="750" t="n"/>
      <c r="Z1270" s="751" t="n"/>
      <c r="AA1270" s="752" t="n"/>
      <c r="AB1270" s="753" t="n"/>
      <c r="AC1270" s="754" t="n"/>
      <c r="AD1270" s="740" t="inlineStr">
        <is>
          <t>No</t>
        </is>
      </c>
      <c r="AE1270" s="755" t="n"/>
      <c r="AF1270" s="755" t="n"/>
      <c r="AG1270" s="755" t="n"/>
      <c r="AH1270" s="755" t="n"/>
      <c r="AI1270" s="740" t="inlineStr">
        <is>
          <t>Market</t>
        </is>
      </c>
      <c r="AJ1270" s="755" t="n"/>
      <c r="AK1270" s="755" t="n"/>
      <c r="AL1270" s="755" t="n"/>
      <c r="AM1270" s="755" t="n"/>
      <c r="AN1270" s="755" t="n"/>
      <c r="AO1270" s="755" t="n"/>
      <c r="AP1270" s="740" t="inlineStr">
        <is>
          <t>Pullback</t>
        </is>
      </c>
      <c r="AQ1270" s="740" t="inlineStr">
        <is>
          <t>5MIN</t>
        </is>
      </c>
      <c r="AR1270" s="740" t="inlineStr">
        <is>
          <t>No</t>
        </is>
      </c>
      <c r="AS1270" s="755" t="n"/>
      <c r="AT1270" s="755" t="n"/>
      <c r="AU1270" s="755" t="n"/>
      <c r="AV1270" s="755" t="n"/>
      <c r="AW1270" s="740" t="inlineStr">
        <is>
          <t>trade</t>
        </is>
      </c>
      <c r="AX1270" s="756" t="inlineStr">
        <is>
          <t>sig:8dbbf6226226a4a2d2703117</t>
        </is>
      </c>
    </row>
    <row r="1271" ht="15" customHeight="1">
      <c r="A1271" s="737" t="inlineStr">
        <is>
          <t>F282</t>
        </is>
      </c>
      <c r="B1271" s="738" t="n">
        <v>43403.73611111111</v>
      </c>
      <c r="C1271" s="739" t="n">
        <v>43403.79097222222</v>
      </c>
      <c r="D1271" s="740" t="inlineStr">
        <is>
          <t>PEPPERSTONE DEMO</t>
        </is>
      </c>
      <c r="E1271" s="740" t="inlineStr">
        <is>
          <t>USDJPY</t>
        </is>
      </c>
      <c r="F1271" s="740" t="inlineStr">
        <is>
          <t>BUY</t>
        </is>
      </c>
      <c r="G1271" s="742" t="n">
        <v>0.15</v>
      </c>
      <c r="H1271" s="742" t="n">
        <v>112.81</v>
      </c>
      <c r="I1271" s="742" t="n">
        <v>112.842</v>
      </c>
      <c r="J1271" s="743" t="n">
        <v>112.76</v>
      </c>
      <c r="K1271" s="765" t="n">
        <v>0.0004432231185178367</v>
      </c>
      <c r="L1271" s="743" t="n">
        <v>112.91</v>
      </c>
      <c r="M1271" s="765" t="n">
        <v>0.0008864462370356734</v>
      </c>
      <c r="N1271" s="796" t="n"/>
      <c r="O1271" s="767" t="n">
        <v>2</v>
      </c>
      <c r="P1271" s="776" t="n">
        <v>0.0003544477880685786</v>
      </c>
      <c r="Q1271" s="748" t="n">
        <v>0.6399999999999659</v>
      </c>
      <c r="R1271" s="769" t="n">
        <v>5644.579999999999</v>
      </c>
      <c r="S1271" s="740" t="inlineStr">
        <is>
          <t>1H 19M 0S</t>
        </is>
      </c>
      <c r="T1271" s="750" t="n"/>
      <c r="U1271" s="751" t="n"/>
      <c r="V1271" s="752" t="n"/>
      <c r="W1271" s="753" t="n"/>
      <c r="X1271" s="754" t="n"/>
      <c r="Y1271" s="750" t="n"/>
      <c r="Z1271" s="751" t="n"/>
      <c r="AA1271" s="752" t="n"/>
      <c r="AB1271" s="753" t="n"/>
      <c r="AC1271" s="754" t="n"/>
      <c r="AD1271" s="740" t="inlineStr">
        <is>
          <t>No</t>
        </is>
      </c>
      <c r="AE1271" s="755" t="n"/>
      <c r="AF1271" s="755" t="n"/>
      <c r="AG1271" s="755" t="n"/>
      <c r="AH1271" s="755" t="n"/>
      <c r="AI1271" s="740" t="inlineStr">
        <is>
          <t>Market</t>
        </is>
      </c>
      <c r="AJ1271" s="755" t="n"/>
      <c r="AK1271" s="755" t="n"/>
      <c r="AL1271" s="755" t="n"/>
      <c r="AM1271" s="755" t="n"/>
      <c r="AN1271" s="755" t="n"/>
      <c r="AO1271" s="755" t="n"/>
      <c r="AP1271" s="740" t="inlineStr">
        <is>
          <t>Pullback</t>
        </is>
      </c>
      <c r="AQ1271" s="740" t="inlineStr">
        <is>
          <t>5MIN</t>
        </is>
      </c>
      <c r="AR1271" s="740" t="inlineStr">
        <is>
          <t>No</t>
        </is>
      </c>
      <c r="AS1271" s="755" t="n"/>
      <c r="AT1271" s="755" t="n"/>
      <c r="AU1271" s="755" t="n"/>
      <c r="AV1271" s="755" t="n"/>
      <c r="AW1271" s="740" t="inlineStr">
        <is>
          <t>trade</t>
        </is>
      </c>
      <c r="AX1271" s="756" t="inlineStr">
        <is>
          <t>sig:a184a80c457c637ae49262dd</t>
        </is>
      </c>
    </row>
    <row r="1272" ht="15" customHeight="1">
      <c r="A1272" s="737" t="inlineStr">
        <is>
          <t>F275</t>
        </is>
      </c>
      <c r="B1272" s="738" t="n">
        <v>43403.02777777778</v>
      </c>
      <c r="C1272" s="739" t="n">
        <v>43403.05763888889</v>
      </c>
      <c r="D1272" s="740" t="inlineStr">
        <is>
          <t>PEPPERSTONE DEMO</t>
        </is>
      </c>
      <c r="E1272" s="740" t="inlineStr">
        <is>
          <t>AUDUSD</t>
        </is>
      </c>
      <c r="F1272" s="740" t="inlineStr">
        <is>
          <t>SELL</t>
        </is>
      </c>
      <c r="G1272" s="742" t="n">
        <v>0.13</v>
      </c>
      <c r="H1272" s="742" t="n">
        <v>0.7077</v>
      </c>
      <c r="I1272" s="742" t="n">
        <v>0.70765</v>
      </c>
      <c r="J1272" s="743" t="n">
        <v>0.7082000000000001</v>
      </c>
      <c r="K1272" s="765" t="n">
        <v>0.0007065140596298657</v>
      </c>
      <c r="L1272" s="743" t="n">
        <v>0.7067</v>
      </c>
      <c r="M1272" s="744" t="n">
        <v>0.001413028119259574</v>
      </c>
      <c r="N1272" s="796" t="n"/>
      <c r="O1272" s="767" t="n">
        <v>0.68</v>
      </c>
      <c r="P1272" s="776" t="n">
        <v>0.0001205267728956558</v>
      </c>
      <c r="Q1272" s="814" t="n">
        <v>0.0999999999999778</v>
      </c>
      <c r="R1272" s="769" t="n">
        <v>5642.579999999999</v>
      </c>
      <c r="S1272" s="740" t="inlineStr">
        <is>
          <t>43M 0S</t>
        </is>
      </c>
      <c r="T1272" s="750" t="n"/>
      <c r="U1272" s="751" t="n"/>
      <c r="V1272" s="752" t="n"/>
      <c r="W1272" s="753" t="n"/>
      <c r="X1272" s="754" t="n"/>
      <c r="Y1272" s="750" t="n"/>
      <c r="Z1272" s="751" t="n"/>
      <c r="AA1272" s="752" t="n"/>
      <c r="AB1272" s="753" t="n"/>
      <c r="AC1272" s="754" t="n"/>
      <c r="AD1272" s="740" t="inlineStr">
        <is>
          <t>No</t>
        </is>
      </c>
      <c r="AE1272" s="755" t="n"/>
      <c r="AF1272" s="755" t="n"/>
      <c r="AG1272" s="755" t="n"/>
      <c r="AH1272" s="755" t="n"/>
      <c r="AI1272" s="740" t="inlineStr">
        <is>
          <t>Market</t>
        </is>
      </c>
      <c r="AJ1272" s="755" t="n"/>
      <c r="AK1272" s="755" t="n"/>
      <c r="AL1272" s="755" t="n"/>
      <c r="AM1272" s="755" t="n"/>
      <c r="AN1272" s="755" t="n"/>
      <c r="AO1272" s="755" t="n"/>
      <c r="AP1272" s="740" t="inlineStr">
        <is>
          <t>Pullback</t>
        </is>
      </c>
      <c r="AQ1272" s="740" t="inlineStr">
        <is>
          <t>5MIN</t>
        </is>
      </c>
      <c r="AR1272" s="740" t="inlineStr">
        <is>
          <t>No</t>
        </is>
      </c>
      <c r="AS1272" s="755" t="n"/>
      <c r="AT1272" s="755" t="n"/>
      <c r="AU1272" s="755" t="n"/>
      <c r="AV1272" s="755" t="n"/>
      <c r="AW1272" s="740" t="inlineStr">
        <is>
          <t>trade</t>
        </is>
      </c>
      <c r="AX1272" s="756" t="inlineStr">
        <is>
          <t>sig:18ddeeb14e6ab023c8e6916c</t>
        </is>
      </c>
    </row>
    <row r="1273" ht="15" customHeight="1">
      <c r="A1273" s="737" t="inlineStr">
        <is>
          <t>F274</t>
        </is>
      </c>
      <c r="B1273" s="738" t="n">
        <v>43402.95972222222</v>
      </c>
      <c r="C1273" s="739" t="n">
        <v>43402.99791666667</v>
      </c>
      <c r="D1273" s="740" t="inlineStr">
        <is>
          <t>PEPPERSTONE DEMO</t>
        </is>
      </c>
      <c r="E1273" s="740" t="inlineStr">
        <is>
          <t>USDJPY</t>
        </is>
      </c>
      <c r="F1273" s="740" t="inlineStr">
        <is>
          <t>BUY</t>
        </is>
      </c>
      <c r="G1273" s="742" t="n">
        <v>0.1</v>
      </c>
      <c r="H1273" s="742" t="n">
        <v>112.36</v>
      </c>
      <c r="I1273" s="742" t="n">
        <v>112.503</v>
      </c>
      <c r="J1273" s="743" t="n">
        <v>112.29</v>
      </c>
      <c r="K1273" s="765" t="n">
        <v>0.0006229975080099073</v>
      </c>
      <c r="L1273" s="743" t="n">
        <v>112.5</v>
      </c>
      <c r="M1273" s="744" t="n">
        <v>0.001245995016019941</v>
      </c>
      <c r="N1273" s="796" t="n"/>
      <c r="O1273" s="767" t="n">
        <v>14.89</v>
      </c>
      <c r="P1273" s="747" t="n">
        <v>0.002646165547955309</v>
      </c>
      <c r="Q1273" s="748" t="n">
        <v>2.042857142857352</v>
      </c>
      <c r="R1273" s="769" t="n">
        <v>5641.899999999999</v>
      </c>
      <c r="S1273" s="740" t="inlineStr">
        <is>
          <t>55M 0S</t>
        </is>
      </c>
      <c r="T1273" s="750" t="n"/>
      <c r="U1273" s="751" t="n"/>
      <c r="V1273" s="752" t="n"/>
      <c r="W1273" s="753" t="n"/>
      <c r="X1273" s="754" t="n"/>
      <c r="Y1273" s="750" t="n"/>
      <c r="Z1273" s="751" t="n"/>
      <c r="AA1273" s="752" t="n"/>
      <c r="AB1273" s="753" t="n"/>
      <c r="AC1273" s="754" t="n"/>
      <c r="AD1273" s="740" t="inlineStr">
        <is>
          <t>No</t>
        </is>
      </c>
      <c r="AE1273" s="755" t="n"/>
      <c r="AF1273" s="755" t="n"/>
      <c r="AG1273" s="755" t="n"/>
      <c r="AH1273" s="755" t="n"/>
      <c r="AI1273" s="740" t="inlineStr">
        <is>
          <t>Limit</t>
        </is>
      </c>
      <c r="AJ1273" s="755" t="n"/>
      <c r="AK1273" s="755" t="n"/>
      <c r="AL1273" s="755" t="n"/>
      <c r="AM1273" s="755" t="n"/>
      <c r="AN1273" s="755" t="n"/>
      <c r="AO1273" s="755" t="n"/>
      <c r="AP1273" s="740" t="inlineStr">
        <is>
          <t>Pullback</t>
        </is>
      </c>
      <c r="AQ1273" s="740" t="inlineStr">
        <is>
          <t>5MIN</t>
        </is>
      </c>
      <c r="AR1273" s="740" t="inlineStr">
        <is>
          <t>No</t>
        </is>
      </c>
      <c r="AS1273" s="755" t="n"/>
      <c r="AT1273" s="755" t="n"/>
      <c r="AU1273" s="755" t="n"/>
      <c r="AV1273" s="755" t="n"/>
      <c r="AW1273" s="740" t="inlineStr">
        <is>
          <t>trade</t>
        </is>
      </c>
      <c r="AX1273" s="756" t="inlineStr">
        <is>
          <t>sig:5368bb365d8b0127e9769823</t>
        </is>
      </c>
    </row>
    <row r="1274" ht="15" customHeight="1">
      <c r="A1274" s="737" t="inlineStr">
        <is>
          <t>F278</t>
        </is>
      </c>
      <c r="B1274" s="738" t="n">
        <v>43402.85416666666</v>
      </c>
      <c r="C1274" s="739" t="n">
        <v>43402.94027777778</v>
      </c>
      <c r="D1274" s="740" t="inlineStr">
        <is>
          <t>PEPPERSTONE DEMO</t>
        </is>
      </c>
      <c r="E1274" s="740" t="inlineStr">
        <is>
          <t>USDJPY</t>
        </is>
      </c>
      <c r="F1274" s="740" t="inlineStr">
        <is>
          <t>BUY</t>
        </is>
      </c>
      <c r="G1274" s="775" t="n">
        <v>0.06</v>
      </c>
      <c r="H1274" s="742" t="n">
        <v>112.22</v>
      </c>
      <c r="I1274" s="742" t="n">
        <v>112.359</v>
      </c>
      <c r="J1274" s="743" t="n">
        <v>112.11</v>
      </c>
      <c r="K1274" s="765" t="n">
        <v>0.0009802174300481148</v>
      </c>
      <c r="L1274" s="743" t="n">
        <v>112.44</v>
      </c>
      <c r="M1274" s="744" t="n">
        <v>0.00196043486009623</v>
      </c>
      <c r="N1274" s="796" t="n"/>
      <c r="O1274" s="767" t="n">
        <v>10.7</v>
      </c>
      <c r="P1274" s="747" t="n">
        <v>0.001905165491221105</v>
      </c>
      <c r="Q1274" s="748" t="n">
        <v>1.263636363636332</v>
      </c>
      <c r="R1274" s="769" t="n">
        <v>5627.009999999998</v>
      </c>
      <c r="S1274" s="740" t="inlineStr">
        <is>
          <t>2H 4M 0S</t>
        </is>
      </c>
      <c r="T1274" s="750" t="n"/>
      <c r="U1274" s="751" t="n"/>
      <c r="V1274" s="752" t="n"/>
      <c r="W1274" s="753" t="n"/>
      <c r="X1274" s="754" t="n"/>
      <c r="Y1274" s="750" t="n"/>
      <c r="Z1274" s="751" t="n"/>
      <c r="AA1274" s="752" t="n"/>
      <c r="AB1274" s="753" t="n"/>
      <c r="AC1274" s="754" t="n"/>
      <c r="AD1274" s="740" t="inlineStr">
        <is>
          <t>No</t>
        </is>
      </c>
      <c r="AE1274" s="755" t="n"/>
      <c r="AF1274" s="755" t="n"/>
      <c r="AG1274" s="755" t="n"/>
      <c r="AH1274" s="755" t="n"/>
      <c r="AI1274" s="740" t="inlineStr">
        <is>
          <t>Market</t>
        </is>
      </c>
      <c r="AJ1274" s="755" t="n"/>
      <c r="AK1274" s="755" t="n"/>
      <c r="AL1274" s="755" t="n"/>
      <c r="AM1274" s="755" t="n"/>
      <c r="AN1274" s="755" t="n"/>
      <c r="AO1274" s="755" t="n"/>
      <c r="AP1274" s="740" t="inlineStr">
        <is>
          <t>Pullback</t>
        </is>
      </c>
      <c r="AQ1274" s="740" t="inlineStr">
        <is>
          <t>5MIN</t>
        </is>
      </c>
      <c r="AR1274" s="740" t="inlineStr">
        <is>
          <t>No</t>
        </is>
      </c>
      <c r="AS1274" s="755" t="n"/>
      <c r="AT1274" s="755" t="n"/>
      <c r="AU1274" s="755" t="n"/>
      <c r="AV1274" s="755" t="n"/>
      <c r="AW1274" s="740" t="inlineStr">
        <is>
          <t>trade</t>
        </is>
      </c>
      <c r="AX1274" s="756" t="inlineStr">
        <is>
          <t>sig:11592ac03f4d30b5c72f1e03</t>
        </is>
      </c>
    </row>
    <row r="1275" ht="15" customHeight="1">
      <c r="A1275" s="716" t="inlineStr">
        <is>
          <t>F276</t>
        </is>
      </c>
      <c r="B1275" s="717" t="n">
        <v>43402.93333333333</v>
      </c>
      <c r="C1275" s="718" t="n">
        <v>43402.93680555555</v>
      </c>
      <c r="D1275" s="719" t="inlineStr">
        <is>
          <t>PEPPERSTONE DEMO</t>
        </is>
      </c>
      <c r="E1275" s="719" t="inlineStr">
        <is>
          <t>AUDUSD</t>
        </is>
      </c>
      <c r="F1275" s="719" t="inlineStr">
        <is>
          <t>SELL</t>
        </is>
      </c>
      <c r="G1275" s="720" t="n">
        <v>0.16</v>
      </c>
      <c r="H1275" s="720" t="n">
        <v>0.7088</v>
      </c>
      <c r="I1275" s="720" t="n">
        <v>0.70926</v>
      </c>
      <c r="J1275" s="721" t="n">
        <v>0.7092000000000001</v>
      </c>
      <c r="K1275" s="760" t="n">
        <v>0.0005643340857788755</v>
      </c>
      <c r="L1275" s="721" t="n">
        <v>0.708</v>
      </c>
      <c r="M1275" s="722" t="n">
        <v>0.001128668171557595</v>
      </c>
      <c r="N1275" s="788" t="n"/>
      <c r="O1275" s="762" t="n">
        <v>-9.02</v>
      </c>
      <c r="P1275" s="725" t="n">
        <v>-0.001603461485815055</v>
      </c>
      <c r="Q1275" s="726" t="n">
        <v>-1.149999999999847</v>
      </c>
      <c r="R1275" s="764" t="n">
        <v>5616.309999999999</v>
      </c>
      <c r="S1275" s="719" t="inlineStr">
        <is>
          <t>5M 0S</t>
        </is>
      </c>
      <c r="T1275" s="728" t="n"/>
      <c r="U1275" s="729" t="n"/>
      <c r="V1275" s="730" t="n"/>
      <c r="W1275" s="731" t="n"/>
      <c r="X1275" s="732" t="n"/>
      <c r="Y1275" s="728" t="n"/>
      <c r="Z1275" s="729" t="n"/>
      <c r="AA1275" s="730" t="n"/>
      <c r="AB1275" s="731" t="n"/>
      <c r="AC1275" s="732" t="n"/>
      <c r="AD1275" s="719" t="inlineStr">
        <is>
          <t>No</t>
        </is>
      </c>
      <c r="AE1275" s="733" t="n"/>
      <c r="AF1275" s="733" t="n"/>
      <c r="AG1275" s="733" t="n"/>
      <c r="AH1275" s="733" t="n"/>
      <c r="AI1275" s="719" t="inlineStr">
        <is>
          <t>Market</t>
        </is>
      </c>
      <c r="AJ1275" s="733" t="n"/>
      <c r="AK1275" s="733" t="n"/>
      <c r="AL1275" s="733" t="n"/>
      <c r="AM1275" s="733" t="n"/>
      <c r="AN1275" s="733" t="n"/>
      <c r="AO1275" s="733" t="n"/>
      <c r="AP1275" s="719" t="inlineStr">
        <is>
          <t>Pullback</t>
        </is>
      </c>
      <c r="AQ1275" s="719" t="inlineStr">
        <is>
          <t>5MIN</t>
        </is>
      </c>
      <c r="AR1275" s="719" t="inlineStr">
        <is>
          <t>No</t>
        </is>
      </c>
      <c r="AS1275" s="733" t="n"/>
      <c r="AT1275" s="733" t="n"/>
      <c r="AU1275" s="733" t="n"/>
      <c r="AV1275" s="733" t="n"/>
      <c r="AW1275" s="719" t="inlineStr">
        <is>
          <t>trade</t>
        </is>
      </c>
      <c r="AX1275" s="734" t="inlineStr">
        <is>
          <t>sig:9c652f3447d5977d5e01ea26</t>
        </is>
      </c>
    </row>
    <row r="1276" ht="15" customHeight="1">
      <c r="A1276" s="716" t="inlineStr">
        <is>
          <t>F277</t>
        </is>
      </c>
      <c r="B1276" s="717" t="n">
        <v>43402.78125</v>
      </c>
      <c r="C1276" s="718" t="n">
        <v>43402.78888888889</v>
      </c>
      <c r="D1276" s="719" t="inlineStr">
        <is>
          <t>PEPPERSTONE DEMO</t>
        </is>
      </c>
      <c r="E1276" s="719" t="inlineStr">
        <is>
          <t>GBPUSD</t>
        </is>
      </c>
      <c r="F1276" s="719" t="inlineStr">
        <is>
          <t>SELL</t>
        </is>
      </c>
      <c r="G1276" s="720" t="n">
        <v>0.11</v>
      </c>
      <c r="H1276" s="720" t="n">
        <v>1.2812</v>
      </c>
      <c r="I1276" s="720" t="n">
        <v>1.28176</v>
      </c>
      <c r="J1276" s="721" t="n">
        <v>1.2817</v>
      </c>
      <c r="K1276" s="760" t="n">
        <v>0.0003902591320638207</v>
      </c>
      <c r="L1276" s="721" t="n">
        <v>1.28</v>
      </c>
      <c r="M1276" s="760" t="n">
        <v>0.0009366219169527536</v>
      </c>
      <c r="N1276" s="788" t="n"/>
      <c r="O1276" s="762" t="n">
        <v>-8.06</v>
      </c>
      <c r="P1276" s="725" t="n">
        <v>-0.001430754838560796</v>
      </c>
      <c r="Q1276" s="726" t="n">
        <v>-1.119999999999858</v>
      </c>
      <c r="R1276" s="764" t="n">
        <v>5625.329999999999</v>
      </c>
      <c r="S1276" s="719" t="inlineStr">
        <is>
          <t>11M 0S</t>
        </is>
      </c>
      <c r="T1276" s="728" t="n"/>
      <c r="U1276" s="729" t="n"/>
      <c r="V1276" s="730" t="n"/>
      <c r="W1276" s="731" t="n"/>
      <c r="X1276" s="732" t="n"/>
      <c r="Y1276" s="728" t="n"/>
      <c r="Z1276" s="729" t="n"/>
      <c r="AA1276" s="730" t="n"/>
      <c r="AB1276" s="731" t="n"/>
      <c r="AC1276" s="732" t="n"/>
      <c r="AD1276" s="719" t="inlineStr">
        <is>
          <t>No</t>
        </is>
      </c>
      <c r="AE1276" s="733" t="n"/>
      <c r="AF1276" s="733" t="n"/>
      <c r="AG1276" s="733" t="n"/>
      <c r="AH1276" s="733" t="n"/>
      <c r="AI1276" s="719" t="inlineStr">
        <is>
          <t>Market</t>
        </is>
      </c>
      <c r="AJ1276" s="733" t="n"/>
      <c r="AK1276" s="733" t="n"/>
      <c r="AL1276" s="733" t="n"/>
      <c r="AM1276" s="733" t="n"/>
      <c r="AN1276" s="733" t="n"/>
      <c r="AO1276" s="733" t="n"/>
      <c r="AP1276" s="719" t="inlineStr">
        <is>
          <t>Pullback</t>
        </is>
      </c>
      <c r="AQ1276" s="719" t="inlineStr">
        <is>
          <t>5MIN</t>
        </is>
      </c>
      <c r="AR1276" s="719" t="inlineStr">
        <is>
          <t>No</t>
        </is>
      </c>
      <c r="AS1276" s="733" t="n"/>
      <c r="AT1276" s="733" t="n"/>
      <c r="AU1276" s="733" t="n"/>
      <c r="AV1276" s="733" t="n"/>
      <c r="AW1276" s="719" t="inlineStr">
        <is>
          <t>trade</t>
        </is>
      </c>
      <c r="AX1276" s="734" t="inlineStr">
        <is>
          <t>sig:8969996e14d231ca2c3b5d19</t>
        </is>
      </c>
    </row>
    <row r="1277" ht="15" customHeight="1">
      <c r="A1277" s="42" t="n"/>
      <c r="B1277" s="770" t="n">
        <v>43402</v>
      </c>
      <c r="C1277" s="771" t="n">
        <v>43402</v>
      </c>
      <c r="D1277" s="12" t="inlineStr">
        <is>
          <t>PEPPERSTONE LIVE</t>
        </is>
      </c>
      <c r="E1277" s="12" t="inlineStr">
        <is>
          <t>CASHFLOW</t>
        </is>
      </c>
      <c r="F1277" s="12" t="inlineStr">
        <is>
          <t>WITHDRAWAL</t>
        </is>
      </c>
      <c r="G1277" s="262" t="n"/>
      <c r="H1277" s="262" t="n"/>
      <c r="I1277" s="262" t="n"/>
      <c r="J1277" s="263" t="n"/>
      <c r="K1277" s="36" t="n"/>
      <c r="L1277" s="263" t="n"/>
      <c r="M1277" s="36" t="n"/>
      <c r="N1277" s="772" t="n"/>
      <c r="O1277" s="773" t="n"/>
      <c r="P1277" s="3" t="n"/>
      <c r="Q1277" s="51" t="n"/>
      <c r="R1277" s="54" t="n">
        <v>500</v>
      </c>
      <c r="S1277" s="12" t="n"/>
      <c r="T1277" s="774" t="n"/>
      <c r="U1277" s="6" t="n"/>
      <c r="V1277" s="264" t="n"/>
      <c r="W1277" s="9" t="n"/>
      <c r="X1277" s="46" t="n"/>
      <c r="Y1277" s="774" t="n"/>
      <c r="Z1277" s="6" t="n"/>
      <c r="AA1277" s="264" t="n"/>
      <c r="AB1277" s="9" t="n"/>
      <c r="AC1277" s="46" t="n"/>
      <c r="AD1277" s="12" t="inlineStr">
        <is>
          <t>No</t>
        </is>
      </c>
      <c r="AE1277" s="45" t="n"/>
      <c r="AF1277" s="45" t="n"/>
      <c r="AG1277" s="45" t="n"/>
      <c r="AH1277" s="45" t="n"/>
      <c r="AI1277" s="12" t="n"/>
      <c r="AJ1277" s="45" t="n"/>
      <c r="AK1277" s="45" t="n"/>
      <c r="AL1277" s="45" t="n"/>
      <c r="AM1277" s="45" t="n"/>
      <c r="AN1277" s="45" t="n"/>
      <c r="AO1277" s="45" t="n"/>
      <c r="AP1277" s="12" t="n"/>
      <c r="AQ1277" s="12" t="n"/>
      <c r="AR1277" s="12" t="n"/>
      <c r="AS1277" s="56" t="inlineStr">
        <is>
          <t>Withdrawal -480.01 AUD. Source: screenshot_ocr. Imported from account_cashflows.xlsx row 82.</t>
        </is>
      </c>
      <c r="AT1277" s="45" t="n"/>
      <c r="AU1277" s="12" t="n">
        <v>500</v>
      </c>
      <c r="AV1277" s="12" t="inlineStr">
        <is>
          <t>AUD</t>
        </is>
      </c>
      <c r="AW1277" s="12" t="inlineStr">
        <is>
          <t>cashflow</t>
        </is>
      </c>
      <c r="AX1277" s="57" t="inlineStr">
        <is>
          <t>cashflow:PEPPERSTONE LIVE:2018-10-29T00:00:00:3</t>
        </is>
      </c>
    </row>
    <row r="1278" ht="15" customHeight="1">
      <c r="A1278" s="716" t="inlineStr">
        <is>
          <t>F273</t>
        </is>
      </c>
      <c r="B1278" s="717" t="n">
        <v>43399.87777777778</v>
      </c>
      <c r="C1278" s="718" t="n">
        <v>43399.93402777778</v>
      </c>
      <c r="D1278" s="719" t="inlineStr">
        <is>
          <t>PEPPERSTONE DEMO</t>
        </is>
      </c>
      <c r="E1278" s="719" t="inlineStr">
        <is>
          <t>USDCAD</t>
        </is>
      </c>
      <c r="F1278" s="719" t="inlineStr">
        <is>
          <t>SELL</t>
        </is>
      </c>
      <c r="G1278" s="735" t="n">
        <v>0.06</v>
      </c>
      <c r="H1278" s="720" t="n">
        <v>1.314</v>
      </c>
      <c r="I1278" s="720" t="n">
        <v>1.31517</v>
      </c>
      <c r="J1278" s="721" t="n">
        <v>1.3154</v>
      </c>
      <c r="K1278" s="722" t="n">
        <v>0.001065449010654373</v>
      </c>
      <c r="L1278" s="721" t="n">
        <v>1.3112</v>
      </c>
      <c r="M1278" s="722" t="n">
        <v>0.002130898021309083</v>
      </c>
      <c r="N1278" s="788" t="n"/>
      <c r="O1278" s="762" t="n">
        <v>-7.01</v>
      </c>
      <c r="P1278" s="725" t="n">
        <v>-0.001242819658180271</v>
      </c>
      <c r="Q1278" s="726" t="n">
        <v>-0.8357142857143016</v>
      </c>
      <c r="R1278" s="764" t="n">
        <v>5633.389999999999</v>
      </c>
      <c r="S1278" s="719" t="inlineStr">
        <is>
          <t>1H 21M 0S</t>
        </is>
      </c>
      <c r="T1278" s="728" t="n"/>
      <c r="U1278" s="729" t="n"/>
      <c r="V1278" s="730" t="n"/>
      <c r="W1278" s="731" t="n"/>
      <c r="X1278" s="732" t="n"/>
      <c r="Y1278" s="728" t="n"/>
      <c r="Z1278" s="729" t="n"/>
      <c r="AA1278" s="730" t="n"/>
      <c r="AB1278" s="731" t="n"/>
      <c r="AC1278" s="732" t="n"/>
      <c r="AD1278" s="719" t="inlineStr">
        <is>
          <t>No</t>
        </is>
      </c>
      <c r="AE1278" s="733" t="n"/>
      <c r="AF1278" s="733" t="n"/>
      <c r="AG1278" s="733" t="n"/>
      <c r="AH1278" s="733" t="n"/>
      <c r="AI1278" s="719" t="inlineStr">
        <is>
          <t>Market</t>
        </is>
      </c>
      <c r="AJ1278" s="733" t="n"/>
      <c r="AK1278" s="733" t="n"/>
      <c r="AL1278" s="733" t="n"/>
      <c r="AM1278" s="733" t="n"/>
      <c r="AN1278" s="733" t="n"/>
      <c r="AO1278" s="733" t="n"/>
      <c r="AP1278" s="719" t="inlineStr">
        <is>
          <t>Pullback</t>
        </is>
      </c>
      <c r="AQ1278" s="719" t="inlineStr">
        <is>
          <t>30MIN</t>
        </is>
      </c>
      <c r="AR1278" s="719" t="inlineStr">
        <is>
          <t>No</t>
        </is>
      </c>
      <c r="AS1278" s="733" t="n"/>
      <c r="AT1278" s="733" t="n"/>
      <c r="AU1278" s="733" t="n"/>
      <c r="AV1278" s="733" t="n"/>
      <c r="AW1278" s="719" t="inlineStr">
        <is>
          <t>trade</t>
        </is>
      </c>
      <c r="AX1278" s="734" t="inlineStr">
        <is>
          <t>sig:bf5ef78876c1d2bd6d9b58cb</t>
        </is>
      </c>
    </row>
    <row r="1279" ht="15" customHeight="1">
      <c r="A1279" s="737" t="inlineStr">
        <is>
          <t>F272</t>
        </is>
      </c>
      <c r="B1279" s="738" t="n">
        <v>43399.08333333334</v>
      </c>
      <c r="C1279" s="739" t="n">
        <v>43399.2375</v>
      </c>
      <c r="D1279" s="740" t="inlineStr">
        <is>
          <t>PEPPERSTONE LIVE</t>
        </is>
      </c>
      <c r="E1279" s="740" t="inlineStr">
        <is>
          <t>NZDUSD</t>
        </is>
      </c>
      <c r="F1279" s="740" t="inlineStr">
        <is>
          <t>SELL</t>
        </is>
      </c>
      <c r="G1279" s="775" t="n">
        <v>0.08</v>
      </c>
      <c r="H1279" s="742" t="n">
        <v>0.6521</v>
      </c>
      <c r="I1279" s="742" t="n">
        <v>0.65149</v>
      </c>
      <c r="J1279" s="743" t="n">
        <v>0.6529</v>
      </c>
      <c r="K1279" s="744" t="n">
        <v>0.001226805704646562</v>
      </c>
      <c r="L1279" s="743" t="n">
        <v>0.6505</v>
      </c>
      <c r="M1279" s="744" t="n">
        <v>0.002453611409293123</v>
      </c>
      <c r="N1279" s="796" t="n"/>
      <c r="O1279" s="767" t="n">
        <v>1.89</v>
      </c>
      <c r="P1279" s="747" t="n">
        <v>0.001932278248067722</v>
      </c>
      <c r="Q1279" s="748" t="n">
        <v>0.7624999999999774</v>
      </c>
      <c r="R1279" s="769" t="n">
        <v>980.01</v>
      </c>
      <c r="S1279" s="740" t="inlineStr">
        <is>
          <t>3H 42M 0S</t>
        </is>
      </c>
      <c r="T1279" s="750" t="n"/>
      <c r="U1279" s="751" t="n"/>
      <c r="V1279" s="752" t="n"/>
      <c r="W1279" s="753" t="n"/>
      <c r="X1279" s="754" t="n"/>
      <c r="Y1279" s="750" t="n"/>
      <c r="Z1279" s="751" t="n"/>
      <c r="AA1279" s="752" t="n"/>
      <c r="AB1279" s="753" t="n"/>
      <c r="AC1279" s="754" t="n"/>
      <c r="AD1279" s="740" t="inlineStr">
        <is>
          <t>No</t>
        </is>
      </c>
      <c r="AE1279" s="755" t="n"/>
      <c r="AF1279" s="755" t="n"/>
      <c r="AG1279" s="755" t="n"/>
      <c r="AH1279" s="755" t="n"/>
      <c r="AI1279" s="740" t="inlineStr">
        <is>
          <t>Market</t>
        </is>
      </c>
      <c r="AJ1279" s="755" t="n"/>
      <c r="AK1279" s="755" t="n"/>
      <c r="AL1279" s="755" t="n"/>
      <c r="AM1279" s="755" t="n"/>
      <c r="AN1279" s="755" t="n"/>
      <c r="AO1279" s="755" t="n"/>
      <c r="AP1279" s="740" t="inlineStr">
        <is>
          <t>Pullback</t>
        </is>
      </c>
      <c r="AQ1279" s="740" t="inlineStr">
        <is>
          <t>30MIN</t>
        </is>
      </c>
      <c r="AR1279" s="740" t="inlineStr">
        <is>
          <t>No</t>
        </is>
      </c>
      <c r="AS1279" s="755" t="n"/>
      <c r="AT1279" s="755" t="n"/>
      <c r="AU1279" s="755" t="n"/>
      <c r="AV1279" s="755" t="n"/>
      <c r="AW1279" s="740" t="inlineStr">
        <is>
          <t>trade</t>
        </is>
      </c>
      <c r="AX1279" s="756" t="inlineStr">
        <is>
          <t>sig:bc99b3a4b13698f08b2515e5</t>
        </is>
      </c>
    </row>
    <row r="1280" ht="15" customHeight="1">
      <c r="A1280" s="737" t="inlineStr">
        <is>
          <t>F270</t>
        </is>
      </c>
      <c r="B1280" s="738" t="n">
        <v>43397.85416666666</v>
      </c>
      <c r="C1280" s="739" t="n">
        <v>43398.26180555556</v>
      </c>
      <c r="D1280" s="740" t="inlineStr">
        <is>
          <t>PEPPERSTONE LIVE</t>
        </is>
      </c>
      <c r="E1280" s="740" t="inlineStr">
        <is>
          <t>EURUSD</t>
        </is>
      </c>
      <c r="F1280" s="740" t="inlineStr">
        <is>
          <t>SELL</t>
        </is>
      </c>
      <c r="G1280" s="775" t="n">
        <v>0.03</v>
      </c>
      <c r="H1280" s="742" t="n">
        <v>1.1403</v>
      </c>
      <c r="I1280" s="742" t="n">
        <v>1.13995</v>
      </c>
      <c r="J1280" s="743" t="n">
        <v>1.1423</v>
      </c>
      <c r="K1280" s="744" t="n">
        <v>0.001753924405858109</v>
      </c>
      <c r="L1280" s="743" t="n">
        <v>1.1345</v>
      </c>
      <c r="M1280" s="744" t="n">
        <v>0.005086380776988536</v>
      </c>
      <c r="N1280" s="796" t="n"/>
      <c r="O1280" s="767" t="n">
        <v>1.27</v>
      </c>
      <c r="P1280" s="747" t="n">
        <v>0.001300097251369197</v>
      </c>
      <c r="Q1280" s="748" t="n">
        <v>0.1750000000000361</v>
      </c>
      <c r="R1280" s="769" t="n">
        <v>978.12</v>
      </c>
      <c r="S1280" s="740" t="inlineStr">
        <is>
          <t>9H 47M 0S</t>
        </is>
      </c>
      <c r="T1280" s="750" t="n"/>
      <c r="U1280" s="751" t="n"/>
      <c r="V1280" s="752" t="n"/>
      <c r="W1280" s="753" t="n"/>
      <c r="X1280" s="754" t="n"/>
      <c r="Y1280" s="750" t="n"/>
      <c r="Z1280" s="751" t="n"/>
      <c r="AA1280" s="752" t="n"/>
      <c r="AB1280" s="753" t="n"/>
      <c r="AC1280" s="754" t="n"/>
      <c r="AD1280" s="740" t="inlineStr">
        <is>
          <t>No</t>
        </is>
      </c>
      <c r="AE1280" s="755" t="n"/>
      <c r="AF1280" s="755" t="n"/>
      <c r="AG1280" s="755" t="n"/>
      <c r="AH1280" s="755" t="n"/>
      <c r="AI1280" s="740" t="inlineStr">
        <is>
          <t>Market</t>
        </is>
      </c>
      <c r="AJ1280" s="755" t="n"/>
      <c r="AK1280" s="755" t="n"/>
      <c r="AL1280" s="755" t="n"/>
      <c r="AM1280" s="755" t="n"/>
      <c r="AN1280" s="755" t="n"/>
      <c r="AO1280" s="755" t="n"/>
      <c r="AP1280" s="740" t="inlineStr">
        <is>
          <t>Pullback</t>
        </is>
      </c>
      <c r="AQ1280" s="740" t="inlineStr">
        <is>
          <t>30MIN</t>
        </is>
      </c>
      <c r="AR1280" s="740" t="inlineStr">
        <is>
          <t>No</t>
        </is>
      </c>
      <c r="AS1280" s="755" t="n"/>
      <c r="AT1280" s="755" t="n"/>
      <c r="AU1280" s="755" t="n"/>
      <c r="AV1280" s="755" t="n"/>
      <c r="AW1280" s="740" t="inlineStr">
        <is>
          <t>trade</t>
        </is>
      </c>
      <c r="AX1280" s="756" t="inlineStr">
        <is>
          <t>sig:7aac689c0413f595e9189e16</t>
        </is>
      </c>
    </row>
    <row r="1281" ht="15" customHeight="1">
      <c r="A1281" s="737" t="inlineStr">
        <is>
          <t>F271</t>
        </is>
      </c>
      <c r="B1281" s="738" t="n">
        <v>43398</v>
      </c>
      <c r="C1281" s="739" t="n">
        <v>43398.00138888889</v>
      </c>
      <c r="D1281" s="740" t="inlineStr">
        <is>
          <t>PEPPERSTONE DEMO</t>
        </is>
      </c>
      <c r="E1281" s="740" t="inlineStr">
        <is>
          <t>USDCAD</t>
        </is>
      </c>
      <c r="F1281" s="740" t="inlineStr">
        <is>
          <t>SELL</t>
        </is>
      </c>
      <c r="G1281" s="775" t="n">
        <v>0.04</v>
      </c>
      <c r="H1281" s="742" t="n">
        <v>1.3071</v>
      </c>
      <c r="I1281" s="742" t="n">
        <v>1.30359</v>
      </c>
      <c r="J1281" s="743" t="n">
        <v>1.3089</v>
      </c>
      <c r="K1281" s="744" t="n">
        <v>0.001377094330961689</v>
      </c>
      <c r="L1281" s="743" t="n">
        <v>1.3035</v>
      </c>
      <c r="M1281" s="744" t="n">
        <v>0.002754188661923208</v>
      </c>
      <c r="N1281" s="796" t="n"/>
      <c r="O1281" s="767" t="n">
        <v>14.92</v>
      </c>
      <c r="P1281" s="747" t="n">
        <v>0.002652218121831382</v>
      </c>
      <c r="Q1281" s="748" t="n">
        <v>1.94999999999992</v>
      </c>
      <c r="R1281" s="769" t="n">
        <v>5640.4</v>
      </c>
      <c r="S1281" s="740" t="inlineStr">
        <is>
          <t>2M 0S</t>
        </is>
      </c>
      <c r="T1281" s="750" t="n"/>
      <c r="U1281" s="751" t="n"/>
      <c r="V1281" s="752" t="n"/>
      <c r="W1281" s="753" t="n"/>
      <c r="X1281" s="754" t="n"/>
      <c r="Y1281" s="750" t="n"/>
      <c r="Z1281" s="751" t="n"/>
      <c r="AA1281" s="752" t="n"/>
      <c r="AB1281" s="753" t="n"/>
      <c r="AC1281" s="754" t="n"/>
      <c r="AD1281" s="740" t="inlineStr">
        <is>
          <t>No</t>
        </is>
      </c>
      <c r="AE1281" s="755" t="n"/>
      <c r="AF1281" s="755" t="n"/>
      <c r="AG1281" s="755" t="n"/>
      <c r="AH1281" s="755" t="n"/>
      <c r="AI1281" s="740" t="inlineStr">
        <is>
          <t>Limit</t>
        </is>
      </c>
      <c r="AJ1281" s="755" t="n"/>
      <c r="AK1281" s="755" t="n"/>
      <c r="AL1281" s="755" t="n"/>
      <c r="AM1281" s="755" t="n"/>
      <c r="AN1281" s="755" t="n"/>
      <c r="AO1281" s="755" t="n"/>
      <c r="AP1281" s="740" t="inlineStr">
        <is>
          <t>Pullback</t>
        </is>
      </c>
      <c r="AQ1281" s="740" t="inlineStr">
        <is>
          <t>30MIN</t>
        </is>
      </c>
      <c r="AR1281" s="740" t="inlineStr">
        <is>
          <t>No</t>
        </is>
      </c>
      <c r="AS1281" s="755" t="n"/>
      <c r="AT1281" s="755" t="n"/>
      <c r="AU1281" s="755" t="n"/>
      <c r="AV1281" s="755" t="n"/>
      <c r="AW1281" s="740" t="inlineStr">
        <is>
          <t>trade</t>
        </is>
      </c>
      <c r="AX1281" s="756" t="inlineStr">
        <is>
          <t>sig:ee3233be74260d1b24a7874d</t>
        </is>
      </c>
    </row>
    <row r="1282" ht="15" customHeight="1">
      <c r="A1282" s="716" t="inlineStr">
        <is>
          <t>F269</t>
        </is>
      </c>
      <c r="B1282" s="717" t="n">
        <v>43395.74166666667</v>
      </c>
      <c r="C1282" s="718" t="n">
        <v>43395.76041666666</v>
      </c>
      <c r="D1282" s="719" t="inlineStr">
        <is>
          <t>PEPPERSTONE LIVE</t>
        </is>
      </c>
      <c r="E1282" s="719" t="inlineStr">
        <is>
          <t>GBPUSD</t>
        </is>
      </c>
      <c r="F1282" s="719" t="inlineStr">
        <is>
          <t>BUY</t>
        </is>
      </c>
      <c r="G1282" s="735" t="n">
        <v>0.08</v>
      </c>
      <c r="H1282" s="720" t="n">
        <v>1.308</v>
      </c>
      <c r="I1282" s="720" t="n">
        <v>1.30724</v>
      </c>
      <c r="J1282" s="721" t="n">
        <v>1.3072</v>
      </c>
      <c r="K1282" s="760" t="n">
        <v>0.0006116207951071361</v>
      </c>
      <c r="L1282" s="721" t="n">
        <v>1.3096</v>
      </c>
      <c r="M1282" s="722" t="n">
        <v>0.001223241590214102</v>
      </c>
      <c r="N1282" s="761" t="n"/>
      <c r="O1282" s="762" t="n">
        <v>-9.109999999999999</v>
      </c>
      <c r="P1282" s="725" t="n">
        <v>-0.009239725749523307</v>
      </c>
      <c r="Q1282" s="726" t="n">
        <v>-0.9499999999999583</v>
      </c>
      <c r="R1282" s="764" t="n">
        <v>976.85</v>
      </c>
      <c r="S1282" s="719" t="inlineStr">
        <is>
          <t>27M 0S</t>
        </is>
      </c>
      <c r="T1282" s="728" t="n"/>
      <c r="U1282" s="729" t="n"/>
      <c r="V1282" s="730" t="n"/>
      <c r="W1282" s="731" t="n"/>
      <c r="X1282" s="732" t="n"/>
      <c r="Y1282" s="728" t="n"/>
      <c r="Z1282" s="729" t="n"/>
      <c r="AA1282" s="730" t="n"/>
      <c r="AB1282" s="731" t="n"/>
      <c r="AC1282" s="732" t="n"/>
      <c r="AD1282" s="719" t="inlineStr">
        <is>
          <t>No</t>
        </is>
      </c>
      <c r="AE1282" s="733" t="n"/>
      <c r="AF1282" s="733" t="n"/>
      <c r="AG1282" s="733" t="n"/>
      <c r="AH1282" s="733" t="n"/>
      <c r="AI1282" s="719" t="inlineStr">
        <is>
          <t>Market</t>
        </is>
      </c>
      <c r="AJ1282" s="733" t="n"/>
      <c r="AK1282" s="733" t="n"/>
      <c r="AL1282" s="733" t="n"/>
      <c r="AM1282" s="733" t="n"/>
      <c r="AN1282" s="733" t="n"/>
      <c r="AO1282" s="733" t="n"/>
      <c r="AP1282" s="719" t="inlineStr">
        <is>
          <t>Pullback</t>
        </is>
      </c>
      <c r="AQ1282" s="719" t="inlineStr">
        <is>
          <t>30MIN</t>
        </is>
      </c>
      <c r="AR1282" s="719" t="inlineStr">
        <is>
          <t>No</t>
        </is>
      </c>
      <c r="AS1282" s="733" t="n"/>
      <c r="AT1282" s="733" t="n"/>
      <c r="AU1282" s="733" t="n"/>
      <c r="AV1282" s="733" t="n"/>
      <c r="AW1282" s="719" t="inlineStr">
        <is>
          <t>trade</t>
        </is>
      </c>
      <c r="AX1282" s="734" t="inlineStr">
        <is>
          <t>sig:1d5079d6cb5786b95ecfd232</t>
        </is>
      </c>
    </row>
    <row r="1283" ht="15" customHeight="1">
      <c r="A1283" s="737" t="inlineStr">
        <is>
          <t>F268</t>
        </is>
      </c>
      <c r="B1283" s="738" t="n">
        <v>43393.04166666666</v>
      </c>
      <c r="C1283" s="739" t="n">
        <v>43393.25277777778</v>
      </c>
      <c r="D1283" s="740" t="inlineStr">
        <is>
          <t>PEPPERSTONE LIVE</t>
        </is>
      </c>
      <c r="E1283" s="740" t="inlineStr">
        <is>
          <t>USDCAD</t>
        </is>
      </c>
      <c r="F1283" s="740" t="inlineStr">
        <is>
          <t>BUY</t>
        </is>
      </c>
      <c r="G1283" s="775" t="n">
        <v>0.03</v>
      </c>
      <c r="H1283" s="742" t="n">
        <v>1.3106</v>
      </c>
      <c r="I1283" s="742" t="n">
        <v>1.31171</v>
      </c>
      <c r="J1283" s="743" t="n">
        <v>1.308</v>
      </c>
      <c r="K1283" s="744" t="n">
        <v>0.001983824202655223</v>
      </c>
      <c r="L1283" s="743" t="n">
        <v>1.3158</v>
      </c>
      <c r="M1283" s="744" t="n">
        <v>0.003967648405310617</v>
      </c>
      <c r="N1283" s="796" t="n"/>
      <c r="O1283" s="767" t="n">
        <v>1.44</v>
      </c>
      <c r="P1283" s="747" t="n">
        <v>0.00146264169341405</v>
      </c>
      <c r="Q1283" s="748" t="n">
        <v>0.4269230769230661</v>
      </c>
      <c r="R1283" s="769" t="n">
        <v>985.96</v>
      </c>
      <c r="S1283" s="740" t="inlineStr">
        <is>
          <t>5H 4M 0S</t>
        </is>
      </c>
      <c r="T1283" s="750" t="n"/>
      <c r="U1283" s="751" t="n"/>
      <c r="V1283" s="752" t="n"/>
      <c r="W1283" s="753" t="n"/>
      <c r="X1283" s="754" t="n"/>
      <c r="Y1283" s="750" t="n"/>
      <c r="Z1283" s="751" t="n"/>
      <c r="AA1283" s="752" t="n"/>
      <c r="AB1283" s="753" t="n"/>
      <c r="AC1283" s="754" t="n"/>
      <c r="AD1283" s="740" t="inlineStr">
        <is>
          <t>No</t>
        </is>
      </c>
      <c r="AE1283" s="755" t="n"/>
      <c r="AF1283" s="755" t="n"/>
      <c r="AG1283" s="755" t="n"/>
      <c r="AH1283" s="755" t="n"/>
      <c r="AI1283" s="740" t="inlineStr">
        <is>
          <t>Market</t>
        </is>
      </c>
      <c r="AJ1283" s="755" t="n"/>
      <c r="AK1283" s="755" t="n"/>
      <c r="AL1283" s="755" t="n"/>
      <c r="AM1283" s="755" t="n"/>
      <c r="AN1283" s="755" t="n"/>
      <c r="AO1283" s="755" t="n"/>
      <c r="AP1283" s="740" t="inlineStr">
        <is>
          <t>Pullback</t>
        </is>
      </c>
      <c r="AQ1283" s="740" t="inlineStr">
        <is>
          <t>30MIN</t>
        </is>
      </c>
      <c r="AR1283" s="740" t="inlineStr">
        <is>
          <t>No</t>
        </is>
      </c>
      <c r="AS1283" s="755" t="n"/>
      <c r="AT1283" s="755" t="n"/>
      <c r="AU1283" s="755" t="n"/>
      <c r="AV1283" s="755" t="n"/>
      <c r="AW1283" s="740" t="inlineStr">
        <is>
          <t>trade</t>
        </is>
      </c>
      <c r="AX1283" s="756" t="inlineStr">
        <is>
          <t>sig:ad94ac8386b7aebdbd39e52e</t>
        </is>
      </c>
    </row>
    <row r="1284" ht="15" customHeight="1">
      <c r="A1284" s="716" t="inlineStr">
        <is>
          <t>F266</t>
        </is>
      </c>
      <c r="B1284" s="717" t="n">
        <v>43392.74097222222</v>
      </c>
      <c r="C1284" s="718" t="n">
        <v>43392.83402777778</v>
      </c>
      <c r="D1284" s="719" t="inlineStr">
        <is>
          <t>PEPPERSTONE DEMO</t>
        </is>
      </c>
      <c r="E1284" s="719" t="inlineStr">
        <is>
          <t>AUDUSD</t>
        </is>
      </c>
      <c r="F1284" s="719" t="inlineStr">
        <is>
          <t>SELL</t>
        </is>
      </c>
      <c r="G1284" s="735" t="n">
        <v>0.05</v>
      </c>
      <c r="H1284" s="720" t="n">
        <v>0.7106</v>
      </c>
      <c r="I1284" s="720" t="n">
        <v>0.71195</v>
      </c>
      <c r="J1284" s="721" t="n">
        <v>0.7119</v>
      </c>
      <c r="K1284" s="722" t="n">
        <v>0.001829439909935221</v>
      </c>
      <c r="L1284" s="721" t="n">
        <v>0.708</v>
      </c>
      <c r="M1284" s="722" t="n">
        <v>0.003658879819870597</v>
      </c>
      <c r="N1284" s="788" t="n"/>
      <c r="O1284" s="762" t="n">
        <v>-9.130000000000001</v>
      </c>
      <c r="P1284" s="725" t="n">
        <v>-0.001620342845378829</v>
      </c>
      <c r="Q1284" s="726" t="n">
        <v>-1.038461538461535</v>
      </c>
      <c r="R1284" s="764" t="n">
        <v>5625.48</v>
      </c>
      <c r="S1284" s="719" t="inlineStr">
        <is>
          <t>2H 14M 0S</t>
        </is>
      </c>
      <c r="T1284" s="728" t="n"/>
      <c r="U1284" s="729" t="n"/>
      <c r="V1284" s="730" t="n"/>
      <c r="W1284" s="731" t="n"/>
      <c r="X1284" s="732" t="n"/>
      <c r="Y1284" s="728" t="n"/>
      <c r="Z1284" s="729" t="n"/>
      <c r="AA1284" s="730" t="n"/>
      <c r="AB1284" s="731" t="n"/>
      <c r="AC1284" s="732" t="n"/>
      <c r="AD1284" s="719" t="inlineStr">
        <is>
          <t>No</t>
        </is>
      </c>
      <c r="AE1284" s="733" t="n"/>
      <c r="AF1284" s="733" t="n"/>
      <c r="AG1284" s="733" t="n"/>
      <c r="AH1284" s="733" t="n"/>
      <c r="AI1284" s="719" t="inlineStr">
        <is>
          <t>Market</t>
        </is>
      </c>
      <c r="AJ1284" s="733" t="n"/>
      <c r="AK1284" s="733" t="n"/>
      <c r="AL1284" s="733" t="n"/>
      <c r="AM1284" s="733" t="n"/>
      <c r="AN1284" s="733" t="n"/>
      <c r="AO1284" s="733" t="n"/>
      <c r="AP1284" s="719" t="inlineStr">
        <is>
          <t>Pullback</t>
        </is>
      </c>
      <c r="AQ1284" s="719" t="inlineStr">
        <is>
          <t>30MIN</t>
        </is>
      </c>
      <c r="AR1284" s="719" t="inlineStr">
        <is>
          <t>No</t>
        </is>
      </c>
      <c r="AS1284" s="733" t="n"/>
      <c r="AT1284" s="733" t="n"/>
      <c r="AU1284" s="733" t="n"/>
      <c r="AV1284" s="733" t="n"/>
      <c r="AW1284" s="719" t="inlineStr">
        <is>
          <t>trade</t>
        </is>
      </c>
      <c r="AX1284" s="734" t="inlineStr">
        <is>
          <t>sig:5975080d2381b8d55d27243f</t>
        </is>
      </c>
    </row>
    <row r="1285" ht="15" customHeight="1">
      <c r="A1285" s="716" t="inlineStr">
        <is>
          <t>F264</t>
        </is>
      </c>
      <c r="B1285" s="717" t="n">
        <v>43392.23472222222</v>
      </c>
      <c r="C1285" s="718" t="n">
        <v>43392.61041666667</v>
      </c>
      <c r="D1285" s="719" t="inlineStr">
        <is>
          <t>PEPPERSTONE DEMO</t>
        </is>
      </c>
      <c r="E1285" s="719" t="inlineStr">
        <is>
          <t>AUDUSD</t>
        </is>
      </c>
      <c r="F1285" s="719" t="inlineStr">
        <is>
          <t>SELL</t>
        </is>
      </c>
      <c r="G1285" s="735" t="n">
        <v>0.05</v>
      </c>
      <c r="H1285" s="720" t="n">
        <v>0.71</v>
      </c>
      <c r="I1285" s="720" t="n">
        <v>0.71121</v>
      </c>
      <c r="J1285" s="721" t="n">
        <v>0.7112000000000001</v>
      </c>
      <c r="K1285" s="722" t="n">
        <v>0.001690140845070549</v>
      </c>
      <c r="L1285" s="721" t="n">
        <v>0.7076</v>
      </c>
      <c r="M1285" s="722" t="n">
        <v>0.003380281690140786</v>
      </c>
      <c r="N1285" s="761" t="n">
        <v>0.14</v>
      </c>
      <c r="O1285" s="762" t="n">
        <v>-8.58</v>
      </c>
      <c r="P1285" s="725" t="n">
        <v>-0.001520416643777722</v>
      </c>
      <c r="Q1285" s="726" t="n">
        <v>-1.008333333333295</v>
      </c>
      <c r="R1285" s="764" t="n">
        <v>5634.61</v>
      </c>
      <c r="S1285" s="719" t="inlineStr">
        <is>
          <t>9H 1M 0S</t>
        </is>
      </c>
      <c r="T1285" s="728" t="n"/>
      <c r="U1285" s="729" t="n"/>
      <c r="V1285" s="730" t="n"/>
      <c r="W1285" s="731" t="n"/>
      <c r="X1285" s="732" t="n"/>
      <c r="Y1285" s="728" t="n"/>
      <c r="Z1285" s="729" t="n"/>
      <c r="AA1285" s="730" t="n"/>
      <c r="AB1285" s="731" t="n"/>
      <c r="AC1285" s="732" t="n"/>
      <c r="AD1285" s="719" t="inlineStr">
        <is>
          <t>No</t>
        </is>
      </c>
      <c r="AE1285" s="733" t="n"/>
      <c r="AF1285" s="733" t="n"/>
      <c r="AG1285" s="733" t="n"/>
      <c r="AH1285" s="733" t="n"/>
      <c r="AI1285" s="719" t="inlineStr">
        <is>
          <t>Limit</t>
        </is>
      </c>
      <c r="AJ1285" s="733" t="n"/>
      <c r="AK1285" s="733" t="n"/>
      <c r="AL1285" s="733" t="n"/>
      <c r="AM1285" s="733" t="n"/>
      <c r="AN1285" s="733" t="n"/>
      <c r="AO1285" s="733" t="n"/>
      <c r="AP1285" s="719" t="inlineStr">
        <is>
          <t>Pullback</t>
        </is>
      </c>
      <c r="AQ1285" s="719" t="inlineStr">
        <is>
          <t>30MIN</t>
        </is>
      </c>
      <c r="AR1285" s="719" t="inlineStr">
        <is>
          <t>No</t>
        </is>
      </c>
      <c r="AS1285" s="733" t="n"/>
      <c r="AT1285" s="733" t="n"/>
      <c r="AU1285" s="733" t="n"/>
      <c r="AV1285" s="733" t="n"/>
      <c r="AW1285" s="719" t="inlineStr">
        <is>
          <t>trade</t>
        </is>
      </c>
      <c r="AX1285" s="734" t="inlineStr">
        <is>
          <t>sig:effdf0d9a95255eca0837f63</t>
        </is>
      </c>
    </row>
    <row r="1286" ht="15" customHeight="1">
      <c r="A1286" s="716" t="inlineStr">
        <is>
          <t>F267</t>
        </is>
      </c>
      <c r="B1286" s="717" t="n">
        <v>43392.14583333334</v>
      </c>
      <c r="C1286" s="718" t="n">
        <v>43392.23611111111</v>
      </c>
      <c r="D1286" s="719" t="inlineStr">
        <is>
          <t>PEPPERSTONE DEMO</t>
        </is>
      </c>
      <c r="E1286" s="719" t="inlineStr">
        <is>
          <t>USDJPY</t>
        </is>
      </c>
      <c r="F1286" s="719" t="inlineStr">
        <is>
          <t>SELL</t>
        </is>
      </c>
      <c r="G1286" s="735" t="n">
        <v>0.04</v>
      </c>
      <c r="H1286" s="720" t="n">
        <v>112.07</v>
      </c>
      <c r="I1286" s="720" t="n">
        <v>112.242</v>
      </c>
      <c r="J1286" s="721" t="n">
        <v>112.24</v>
      </c>
      <c r="K1286" s="722" t="n">
        <v>0.00151690907468548</v>
      </c>
      <c r="L1286" s="721" t="n">
        <v>111.73</v>
      </c>
      <c r="M1286" s="722" t="n">
        <v>0.003033818149370833</v>
      </c>
      <c r="N1286" s="788" t="n"/>
      <c r="O1286" s="762" t="n">
        <v>-8.529999999999999</v>
      </c>
      <c r="P1286" s="725" t="n">
        <v>-0.001509275052550374</v>
      </c>
      <c r="Q1286" s="726" t="n">
        <v>-1.011764705882409</v>
      </c>
      <c r="R1286" s="764" t="n">
        <v>5643.19</v>
      </c>
      <c r="S1286" s="719" t="inlineStr">
        <is>
          <t>2H 10M 0S</t>
        </is>
      </c>
      <c r="T1286" s="728" t="n"/>
      <c r="U1286" s="729" t="n"/>
      <c r="V1286" s="730" t="n"/>
      <c r="W1286" s="731" t="n"/>
      <c r="X1286" s="732" t="n"/>
      <c r="Y1286" s="728" t="n"/>
      <c r="Z1286" s="729" t="n"/>
      <c r="AA1286" s="730" t="n"/>
      <c r="AB1286" s="731" t="n"/>
      <c r="AC1286" s="732" t="n"/>
      <c r="AD1286" s="719" t="inlineStr">
        <is>
          <t>No</t>
        </is>
      </c>
      <c r="AE1286" s="733" t="n"/>
      <c r="AF1286" s="733" t="n"/>
      <c r="AG1286" s="733" t="n"/>
      <c r="AH1286" s="733" t="n"/>
      <c r="AI1286" s="719" t="inlineStr">
        <is>
          <t>Market</t>
        </is>
      </c>
      <c r="AJ1286" s="733" t="n"/>
      <c r="AK1286" s="733" t="n"/>
      <c r="AL1286" s="733" t="n"/>
      <c r="AM1286" s="733" t="n"/>
      <c r="AN1286" s="733" t="n"/>
      <c r="AO1286" s="733" t="n"/>
      <c r="AP1286" s="719" t="inlineStr">
        <is>
          <t>Pullback</t>
        </is>
      </c>
      <c r="AQ1286" s="719" t="inlineStr">
        <is>
          <t>30MIN</t>
        </is>
      </c>
      <c r="AR1286" s="719" t="inlineStr">
        <is>
          <t>No</t>
        </is>
      </c>
      <c r="AS1286" s="733" t="n"/>
      <c r="AT1286" s="733" t="n"/>
      <c r="AU1286" s="733" t="n"/>
      <c r="AV1286" s="733" t="n"/>
      <c r="AW1286" s="719" t="inlineStr">
        <is>
          <t>trade</t>
        </is>
      </c>
      <c r="AX1286" s="734" t="inlineStr">
        <is>
          <t>sig:687d7125eb17d85dceb45f59</t>
        </is>
      </c>
    </row>
    <row r="1287" ht="15" customHeight="1">
      <c r="A1287" s="716" t="inlineStr">
        <is>
          <t>F265</t>
        </is>
      </c>
      <c r="B1287" s="717" t="n">
        <v>43392.01597222222</v>
      </c>
      <c r="C1287" s="718" t="n">
        <v>43392.0625</v>
      </c>
      <c r="D1287" s="719" t="inlineStr">
        <is>
          <t>PEPPERSTONE LIVE</t>
        </is>
      </c>
      <c r="E1287" s="719" t="inlineStr">
        <is>
          <t>USDCHF</t>
        </is>
      </c>
      <c r="F1287" s="719" t="inlineStr">
        <is>
          <t>BUY</t>
        </is>
      </c>
      <c r="G1287" s="735" t="n">
        <v>0.05</v>
      </c>
      <c r="H1287" s="720" t="n">
        <v>0.9962</v>
      </c>
      <c r="I1287" s="720" t="n">
        <v>0.9948</v>
      </c>
      <c r="J1287" s="721" t="n">
        <v>0.9948</v>
      </c>
      <c r="K1287" s="722" t="n">
        <v>0.001405340293113789</v>
      </c>
      <c r="L1287" s="721" t="n">
        <v>0.999</v>
      </c>
      <c r="M1287" s="722" t="n">
        <v>0.00281068058622769</v>
      </c>
      <c r="N1287" s="788" t="n"/>
      <c r="O1287" s="762" t="n">
        <v>-9.93</v>
      </c>
      <c r="P1287" s="725" t="n">
        <v>-0.009985419075871084</v>
      </c>
      <c r="Q1287" s="726" t="n">
        <v>-1</v>
      </c>
      <c r="R1287" s="764" t="n">
        <v>984.52</v>
      </c>
      <c r="S1287" s="719" t="inlineStr">
        <is>
          <t>1H 7M 0S</t>
        </is>
      </c>
      <c r="T1287" s="728" t="n"/>
      <c r="U1287" s="729" t="n"/>
      <c r="V1287" s="730" t="n"/>
      <c r="W1287" s="731" t="n"/>
      <c r="X1287" s="732" t="n"/>
      <c r="Y1287" s="728" t="n"/>
      <c r="Z1287" s="729" t="n"/>
      <c r="AA1287" s="730" t="n"/>
      <c r="AB1287" s="731" t="n"/>
      <c r="AC1287" s="732" t="n"/>
      <c r="AD1287" s="719" t="inlineStr">
        <is>
          <t>No</t>
        </is>
      </c>
      <c r="AE1287" s="733" t="n"/>
      <c r="AF1287" s="733" t="n"/>
      <c r="AG1287" s="733" t="n"/>
      <c r="AH1287" s="733" t="n"/>
      <c r="AI1287" s="719" t="inlineStr">
        <is>
          <t>Limit</t>
        </is>
      </c>
      <c r="AJ1287" s="733" t="n"/>
      <c r="AK1287" s="733" t="n"/>
      <c r="AL1287" s="733" t="n"/>
      <c r="AM1287" s="733" t="n"/>
      <c r="AN1287" s="733" t="n"/>
      <c r="AO1287" s="733" t="n"/>
      <c r="AP1287" s="719" t="inlineStr">
        <is>
          <t>Pullback</t>
        </is>
      </c>
      <c r="AQ1287" s="719" t="inlineStr">
        <is>
          <t>30MIN</t>
        </is>
      </c>
      <c r="AR1287" s="719" t="inlineStr">
        <is>
          <t>No</t>
        </is>
      </c>
      <c r="AS1287" s="733" t="n"/>
      <c r="AT1287" s="733" t="n"/>
      <c r="AU1287" s="733" t="n"/>
      <c r="AV1287" s="733" t="n"/>
      <c r="AW1287" s="719" t="inlineStr">
        <is>
          <t>trade</t>
        </is>
      </c>
      <c r="AX1287" s="734" t="inlineStr">
        <is>
          <t>sig:d02f340bd29ddac816e114a3</t>
        </is>
      </c>
    </row>
    <row r="1288" ht="15" customHeight="1">
      <c r="A1288" s="737" t="inlineStr">
        <is>
          <t>F261</t>
        </is>
      </c>
      <c r="B1288" s="738" t="n">
        <v>43391.91666666666</v>
      </c>
      <c r="C1288" s="739" t="n">
        <v>43391.96666666667</v>
      </c>
      <c r="D1288" s="740" t="inlineStr">
        <is>
          <t>PEPPERSTONE DEMO</t>
        </is>
      </c>
      <c r="E1288" s="740" t="inlineStr">
        <is>
          <t>AUDUSD</t>
        </is>
      </c>
      <c r="F1288" s="740" t="inlineStr">
        <is>
          <t>SELL</t>
        </is>
      </c>
      <c r="G1288" s="775" t="n">
        <v>0.09</v>
      </c>
      <c r="H1288" s="742" t="n">
        <v>0.7143</v>
      </c>
      <c r="I1288" s="742" t="n">
        <v>0.71293</v>
      </c>
      <c r="J1288" s="743" t="n">
        <v>0.715</v>
      </c>
      <c r="K1288" s="765" t="n">
        <v>0.0009799804003918842</v>
      </c>
      <c r="L1288" s="743" t="n">
        <v>0.7129</v>
      </c>
      <c r="M1288" s="744" t="n">
        <v>0.001959960800784079</v>
      </c>
      <c r="N1288" s="796" t="n"/>
      <c r="O1288" s="767" t="n">
        <v>15.54</v>
      </c>
      <c r="P1288" s="747" t="n">
        <v>0.002757186605111973</v>
      </c>
      <c r="Q1288" s="748" t="n">
        <v>1.957142857143206</v>
      </c>
      <c r="R1288" s="769" t="n">
        <v>5651.719999999999</v>
      </c>
      <c r="S1288" s="740" t="inlineStr">
        <is>
          <t>1H 12M 0S</t>
        </is>
      </c>
      <c r="T1288" s="750" t="n"/>
      <c r="U1288" s="751" t="n"/>
      <c r="V1288" s="752" t="n"/>
      <c r="W1288" s="753" t="n"/>
      <c r="X1288" s="754" t="n"/>
      <c r="Y1288" s="750" t="n"/>
      <c r="Z1288" s="751" t="n"/>
      <c r="AA1288" s="752" t="n"/>
      <c r="AB1288" s="753" t="n"/>
      <c r="AC1288" s="754" t="n"/>
      <c r="AD1288" s="740" t="inlineStr">
        <is>
          <t>No</t>
        </is>
      </c>
      <c r="AE1288" s="755" t="n"/>
      <c r="AF1288" s="755" t="n"/>
      <c r="AG1288" s="755" t="n"/>
      <c r="AH1288" s="755" t="n"/>
      <c r="AI1288" s="740" t="inlineStr">
        <is>
          <t>Market</t>
        </is>
      </c>
      <c r="AJ1288" s="755" t="n"/>
      <c r="AK1288" s="755" t="n"/>
      <c r="AL1288" s="755" t="n"/>
      <c r="AM1288" s="755" t="n"/>
      <c r="AN1288" s="755" t="n"/>
      <c r="AO1288" s="755" t="n"/>
      <c r="AP1288" s="740" t="inlineStr">
        <is>
          <t>Pullback</t>
        </is>
      </c>
      <c r="AQ1288" s="740" t="inlineStr">
        <is>
          <t>30MIN</t>
        </is>
      </c>
      <c r="AR1288" s="740" t="inlineStr">
        <is>
          <t>No</t>
        </is>
      </c>
      <c r="AS1288" s="755" t="n"/>
      <c r="AT1288" s="755" t="n"/>
      <c r="AU1288" s="755" t="n"/>
      <c r="AV1288" s="755" t="n"/>
      <c r="AW1288" s="740" t="inlineStr">
        <is>
          <t>trade</t>
        </is>
      </c>
      <c r="AX1288" s="756" t="inlineStr">
        <is>
          <t>sig:2662638631e33656cad7ffb0</t>
        </is>
      </c>
    </row>
    <row r="1289" ht="15" customHeight="1">
      <c r="A1289" s="737" t="inlineStr">
        <is>
          <t>F262</t>
        </is>
      </c>
      <c r="B1289" s="738" t="n">
        <v>43391.85694444444</v>
      </c>
      <c r="C1289" s="739" t="n">
        <v>43391.9625</v>
      </c>
      <c r="D1289" s="740" t="inlineStr">
        <is>
          <t>PEPPERSTONE DEMO</t>
        </is>
      </c>
      <c r="E1289" s="740" t="inlineStr">
        <is>
          <t>EURUSD</t>
        </is>
      </c>
      <c r="F1289" s="740" t="inlineStr">
        <is>
          <t>SELL</t>
        </is>
      </c>
      <c r="G1289" s="775" t="n">
        <v>0.05</v>
      </c>
      <c r="H1289" s="742" t="n">
        <v>1.152</v>
      </c>
      <c r="I1289" s="742" t="n">
        <v>1.14969</v>
      </c>
      <c r="J1289" s="743" t="n">
        <v>1.1532</v>
      </c>
      <c r="K1289" s="744" t="n">
        <v>0.001041666666666745</v>
      </c>
      <c r="L1289" s="743" t="n">
        <v>1.1496</v>
      </c>
      <c r="M1289" s="744" t="n">
        <v>0.002083333333333297</v>
      </c>
      <c r="N1289" s="796" t="n"/>
      <c r="O1289" s="767" t="n">
        <v>16.04</v>
      </c>
      <c r="P1289" s="747" t="n">
        <v>0.002854021430071137</v>
      </c>
      <c r="Q1289" s="748" t="n">
        <v>1.924999999999699</v>
      </c>
      <c r="R1289" s="769" t="n">
        <v>5636.179999999999</v>
      </c>
      <c r="S1289" s="740" t="inlineStr">
        <is>
          <t>2H 32M 0S</t>
        </is>
      </c>
      <c r="T1289" s="750" t="n"/>
      <c r="U1289" s="751" t="n"/>
      <c r="V1289" s="752" t="n"/>
      <c r="W1289" s="753" t="n"/>
      <c r="X1289" s="754" t="n"/>
      <c r="Y1289" s="750" t="n"/>
      <c r="Z1289" s="751" t="n"/>
      <c r="AA1289" s="752" t="n"/>
      <c r="AB1289" s="753" t="n"/>
      <c r="AC1289" s="754" t="n"/>
      <c r="AD1289" s="740" t="inlineStr">
        <is>
          <t>No</t>
        </is>
      </c>
      <c r="AE1289" s="755" t="n"/>
      <c r="AF1289" s="755" t="n"/>
      <c r="AG1289" s="755" t="n"/>
      <c r="AH1289" s="755" t="n"/>
      <c r="AI1289" s="740" t="inlineStr">
        <is>
          <t>Market</t>
        </is>
      </c>
      <c r="AJ1289" s="755" t="n"/>
      <c r="AK1289" s="755" t="n"/>
      <c r="AL1289" s="755" t="n"/>
      <c r="AM1289" s="755" t="n"/>
      <c r="AN1289" s="755" t="n"/>
      <c r="AO1289" s="755" t="n"/>
      <c r="AP1289" s="740" t="inlineStr">
        <is>
          <t>Pullback</t>
        </is>
      </c>
      <c r="AQ1289" s="740" t="inlineStr">
        <is>
          <t>30MIN</t>
        </is>
      </c>
      <c r="AR1289" s="740" t="inlineStr">
        <is>
          <t>No</t>
        </is>
      </c>
      <c r="AS1289" s="755" t="n"/>
      <c r="AT1289" s="755" t="n"/>
      <c r="AU1289" s="755" t="n"/>
      <c r="AV1289" s="755" t="n"/>
      <c r="AW1289" s="740" t="inlineStr">
        <is>
          <t>trade</t>
        </is>
      </c>
      <c r="AX1289" s="756" t="inlineStr">
        <is>
          <t>sig:31bd88d434bc32cdcd57dbb4</t>
        </is>
      </c>
    </row>
    <row r="1290" ht="15" customHeight="1">
      <c r="A1290" s="737" t="inlineStr">
        <is>
          <t>F263</t>
        </is>
      </c>
      <c r="B1290" s="738" t="n">
        <v>43391.04166666666</v>
      </c>
      <c r="C1290" s="739" t="n">
        <v>43391.70208333333</v>
      </c>
      <c r="D1290" s="740" t="inlineStr">
        <is>
          <t>PEPPERSTONE LIVE</t>
        </is>
      </c>
      <c r="E1290" s="740" t="inlineStr">
        <is>
          <t>EURUSD</t>
        </is>
      </c>
      <c r="F1290" s="740" t="inlineStr">
        <is>
          <t>SELL</t>
        </is>
      </c>
      <c r="G1290" s="775" t="n">
        <v>0.03</v>
      </c>
      <c r="H1290" s="742" t="n">
        <v>1.1528</v>
      </c>
      <c r="I1290" s="742" t="n">
        <v>1.14829</v>
      </c>
      <c r="J1290" s="743" t="n">
        <v>1.1551</v>
      </c>
      <c r="K1290" s="744" t="n">
        <v>0.001995142262317808</v>
      </c>
      <c r="L1290" s="743" t="n">
        <v>1.1483</v>
      </c>
      <c r="M1290" s="744" t="n">
        <v>0.003903539208882676</v>
      </c>
      <c r="N1290" s="766" t="n">
        <v>0.86</v>
      </c>
      <c r="O1290" s="767" t="n">
        <v>18.14</v>
      </c>
      <c r="P1290" s="747" t="n">
        <v>0.0185801640872264</v>
      </c>
      <c r="Q1290" s="748" t="n">
        <v>1.960869565217424</v>
      </c>
      <c r="R1290" s="769" t="n">
        <v>994.4499999999999</v>
      </c>
      <c r="S1290" s="740" t="inlineStr">
        <is>
          <t>15H 51M 0S</t>
        </is>
      </c>
      <c r="T1290" s="750" t="n"/>
      <c r="U1290" s="751" t="n"/>
      <c r="V1290" s="752" t="n"/>
      <c r="W1290" s="753" t="n"/>
      <c r="X1290" s="754" t="n"/>
      <c r="Y1290" s="750" t="n"/>
      <c r="Z1290" s="751" t="n"/>
      <c r="AA1290" s="752" t="n"/>
      <c r="AB1290" s="753" t="n"/>
      <c r="AC1290" s="754" t="n"/>
      <c r="AD1290" s="740" t="inlineStr">
        <is>
          <t>No</t>
        </is>
      </c>
      <c r="AE1290" s="755" t="n"/>
      <c r="AF1290" s="755" t="n"/>
      <c r="AG1290" s="755" t="n"/>
      <c r="AH1290" s="755" t="n"/>
      <c r="AI1290" s="740" t="inlineStr">
        <is>
          <t>Market</t>
        </is>
      </c>
      <c r="AJ1290" s="755" t="n"/>
      <c r="AK1290" s="755" t="n"/>
      <c r="AL1290" s="755" t="n"/>
      <c r="AM1290" s="755" t="n"/>
      <c r="AN1290" s="755" t="n"/>
      <c r="AO1290" s="755" t="n"/>
      <c r="AP1290" s="740" t="inlineStr">
        <is>
          <t>Pullback</t>
        </is>
      </c>
      <c r="AQ1290" s="740" t="inlineStr">
        <is>
          <t>30MIN</t>
        </is>
      </c>
      <c r="AR1290" s="740" t="inlineStr">
        <is>
          <t>No</t>
        </is>
      </c>
      <c r="AS1290" s="755" t="n"/>
      <c r="AT1290" s="755" t="n"/>
      <c r="AU1290" s="755" t="n"/>
      <c r="AV1290" s="755" t="n"/>
      <c r="AW1290" s="740" t="inlineStr">
        <is>
          <t>trade</t>
        </is>
      </c>
      <c r="AX1290" s="756" t="inlineStr">
        <is>
          <t>sig:0e2bacff3bd8062b763a0115</t>
        </is>
      </c>
    </row>
    <row r="1291" ht="15" customHeight="1">
      <c r="A1291" s="737" t="inlineStr">
        <is>
          <t>F259</t>
        </is>
      </c>
      <c r="B1291" s="738" t="n">
        <v>43390.86041666667</v>
      </c>
      <c r="C1291" s="739" t="n">
        <v>43390.89722222222</v>
      </c>
      <c r="D1291" s="740" t="inlineStr">
        <is>
          <t>PEPPERSTONE LIVE</t>
        </is>
      </c>
      <c r="E1291" s="740" t="inlineStr">
        <is>
          <t>GBPUSD</t>
        </is>
      </c>
      <c r="F1291" s="740" t="inlineStr">
        <is>
          <t>SELL</t>
        </is>
      </c>
      <c r="G1291" s="775" t="n">
        <v>0.04</v>
      </c>
      <c r="H1291" s="742" t="n">
        <v>1.314</v>
      </c>
      <c r="I1291" s="742" t="n">
        <v>1.31119</v>
      </c>
      <c r="J1291" s="743" t="n">
        <v>1.3158</v>
      </c>
      <c r="K1291" s="744" t="n">
        <v>0.001369863013698648</v>
      </c>
      <c r="L1291" s="743" t="n">
        <v>1.3112</v>
      </c>
      <c r="M1291" s="744" t="n">
        <v>0.002130898021309083</v>
      </c>
      <c r="N1291" s="796" t="n"/>
      <c r="O1291" s="767" t="n">
        <v>15.93</v>
      </c>
      <c r="P1291" s="747" t="n">
        <v>0.01658718423957184</v>
      </c>
      <c r="Q1291" s="748" t="n">
        <v>1.561111111111079</v>
      </c>
      <c r="R1291" s="769" t="n">
        <v>976.3099999999999</v>
      </c>
      <c r="S1291" s="740" t="inlineStr">
        <is>
          <t>53M 0S</t>
        </is>
      </c>
      <c r="T1291" s="750" t="n"/>
      <c r="U1291" s="751" t="n"/>
      <c r="V1291" s="752" t="n"/>
      <c r="W1291" s="753" t="n"/>
      <c r="X1291" s="754" t="n"/>
      <c r="Y1291" s="750" t="n"/>
      <c r="Z1291" s="751" t="n"/>
      <c r="AA1291" s="752" t="n"/>
      <c r="AB1291" s="753" t="n"/>
      <c r="AC1291" s="754" t="n"/>
      <c r="AD1291" s="740" t="inlineStr">
        <is>
          <t>No</t>
        </is>
      </c>
      <c r="AE1291" s="755" t="n"/>
      <c r="AF1291" s="755" t="n"/>
      <c r="AG1291" s="755" t="n"/>
      <c r="AH1291" s="755" t="n"/>
      <c r="AI1291" s="740" t="inlineStr">
        <is>
          <t>Limit</t>
        </is>
      </c>
      <c r="AJ1291" s="755" t="n"/>
      <c r="AK1291" s="755" t="n"/>
      <c r="AL1291" s="755" t="n"/>
      <c r="AM1291" s="755" t="n"/>
      <c r="AN1291" s="755" t="n"/>
      <c r="AO1291" s="755" t="n"/>
      <c r="AP1291" s="740" t="inlineStr">
        <is>
          <t>Pullback</t>
        </is>
      </c>
      <c r="AQ1291" s="740" t="inlineStr">
        <is>
          <t>30MIN</t>
        </is>
      </c>
      <c r="AR1291" s="740" t="inlineStr">
        <is>
          <t>No</t>
        </is>
      </c>
      <c r="AS1291" s="755" t="n"/>
      <c r="AT1291" s="755" t="n"/>
      <c r="AU1291" s="755" t="n"/>
      <c r="AV1291" s="755" t="n"/>
      <c r="AW1291" s="740" t="inlineStr">
        <is>
          <t>trade</t>
        </is>
      </c>
      <c r="AX1291" s="756" t="inlineStr">
        <is>
          <t>sig:53b2b5d3e8360e3e12732f4c</t>
        </is>
      </c>
    </row>
    <row r="1292" ht="15" customHeight="1">
      <c r="A1292" s="716" t="inlineStr">
        <is>
          <t>F260</t>
        </is>
      </c>
      <c r="B1292" s="717" t="n">
        <v>43390.78333333333</v>
      </c>
      <c r="C1292" s="718" t="n">
        <v>43390.84722222222</v>
      </c>
      <c r="D1292" s="719" t="inlineStr">
        <is>
          <t>PEPPERSTONE DEMO</t>
        </is>
      </c>
      <c r="E1292" s="719" t="inlineStr">
        <is>
          <t>AUDUSD</t>
        </is>
      </c>
      <c r="F1292" s="719" t="inlineStr">
        <is>
          <t>BUY</t>
        </is>
      </c>
      <c r="G1292" s="735" t="n">
        <v>0.04</v>
      </c>
      <c r="H1292" s="720" t="n">
        <v>0.7151999999999999</v>
      </c>
      <c r="I1292" s="720" t="n">
        <v>0.71379</v>
      </c>
      <c r="J1292" s="721" t="n">
        <v>0.7137</v>
      </c>
      <c r="K1292" s="722" t="n">
        <v>0.002097315436241535</v>
      </c>
      <c r="L1292" s="721" t="n">
        <v>0.7181999999999999</v>
      </c>
      <c r="M1292" s="722" t="n">
        <v>0.004194630872483226</v>
      </c>
      <c r="N1292" s="788" t="n"/>
      <c r="O1292" s="762" t="n">
        <v>-8.41</v>
      </c>
      <c r="P1292" s="725" t="n">
        <v>-0.001494168125005552</v>
      </c>
      <c r="Q1292" s="726" t="n">
        <v>-0.9399999999999749</v>
      </c>
      <c r="R1292" s="764" t="n">
        <v>5620.139999999999</v>
      </c>
      <c r="S1292" s="719" t="inlineStr">
        <is>
          <t>1H 32M 0S</t>
        </is>
      </c>
      <c r="T1292" s="728" t="n"/>
      <c r="U1292" s="729" t="n"/>
      <c r="V1292" s="730" t="n"/>
      <c r="W1292" s="731" t="n"/>
      <c r="X1292" s="732" t="n"/>
      <c r="Y1292" s="728" t="n"/>
      <c r="Z1292" s="729" t="n"/>
      <c r="AA1292" s="730" t="n"/>
      <c r="AB1292" s="731" t="n"/>
      <c r="AC1292" s="732" t="n"/>
      <c r="AD1292" s="719" t="inlineStr">
        <is>
          <t>No</t>
        </is>
      </c>
      <c r="AE1292" s="733" t="n"/>
      <c r="AF1292" s="733" t="n"/>
      <c r="AG1292" s="733" t="n"/>
      <c r="AH1292" s="733" t="n"/>
      <c r="AI1292" s="719" t="inlineStr">
        <is>
          <t>Market</t>
        </is>
      </c>
      <c r="AJ1292" s="733" t="n"/>
      <c r="AK1292" s="733" t="n"/>
      <c r="AL1292" s="733" t="n"/>
      <c r="AM1292" s="733" t="n"/>
      <c r="AN1292" s="733" t="n"/>
      <c r="AO1292" s="733" t="n"/>
      <c r="AP1292" s="719" t="inlineStr">
        <is>
          <t>Pullback</t>
        </is>
      </c>
      <c r="AQ1292" s="719" t="inlineStr">
        <is>
          <t>30MIN</t>
        </is>
      </c>
      <c r="AR1292" s="719" t="inlineStr">
        <is>
          <t>No</t>
        </is>
      </c>
      <c r="AS1292" s="733" t="n"/>
      <c r="AT1292" s="733" t="n"/>
      <c r="AU1292" s="733" t="n"/>
      <c r="AV1292" s="733" t="n"/>
      <c r="AW1292" s="719" t="inlineStr">
        <is>
          <t>trade</t>
        </is>
      </c>
      <c r="AX1292" s="734" t="inlineStr">
        <is>
          <t>sig:a839672f08bbcd26f94653c7</t>
        </is>
      </c>
    </row>
    <row r="1293" ht="15" customHeight="1">
      <c r="A1293" s="737" t="inlineStr">
        <is>
          <t>F258</t>
        </is>
      </c>
      <c r="B1293" s="738" t="n">
        <v>43389.85763888889</v>
      </c>
      <c r="C1293" s="739" t="n">
        <v>43389.97430555556</v>
      </c>
      <c r="D1293" s="740" t="inlineStr">
        <is>
          <t>PEPPERSTONE DEMO</t>
        </is>
      </c>
      <c r="E1293" s="740" t="inlineStr">
        <is>
          <t>USDCAD</t>
        </is>
      </c>
      <c r="F1293" s="740" t="inlineStr">
        <is>
          <t>SELL</t>
        </is>
      </c>
      <c r="G1293" s="775" t="n">
        <v>0.07000000000000001</v>
      </c>
      <c r="H1293" s="742" t="n">
        <v>1.2968</v>
      </c>
      <c r="I1293" s="742" t="n">
        <v>1.29449</v>
      </c>
      <c r="J1293" s="743" t="n">
        <v>1.298</v>
      </c>
      <c r="K1293" s="765" t="n">
        <v>0.0009253547193091378</v>
      </c>
      <c r="L1293" s="743" t="n">
        <v>1.2944</v>
      </c>
      <c r="M1293" s="744" t="n">
        <v>0.001850709438618104</v>
      </c>
      <c r="N1293" s="796" t="n"/>
      <c r="O1293" s="767" t="n">
        <v>18.15</v>
      </c>
      <c r="P1293" s="747" t="n">
        <v>0.003235063453586197</v>
      </c>
      <c r="Q1293" s="748" t="n">
        <v>1.924999999999884</v>
      </c>
      <c r="R1293" s="769" t="n">
        <v>5628.549999999999</v>
      </c>
      <c r="S1293" s="740" t="inlineStr">
        <is>
          <t>2H 48M 0S</t>
        </is>
      </c>
      <c r="T1293" s="750" t="n"/>
      <c r="U1293" s="751" t="n"/>
      <c r="V1293" s="752" t="n"/>
      <c r="W1293" s="753" t="n"/>
      <c r="X1293" s="754" t="n"/>
      <c r="Y1293" s="750" t="n"/>
      <c r="Z1293" s="751" t="n"/>
      <c r="AA1293" s="752" t="n"/>
      <c r="AB1293" s="753" t="n"/>
      <c r="AC1293" s="754" t="n"/>
      <c r="AD1293" s="740" t="inlineStr">
        <is>
          <t>No</t>
        </is>
      </c>
      <c r="AE1293" s="755" t="n"/>
      <c r="AF1293" s="755" t="n"/>
      <c r="AG1293" s="755" t="n"/>
      <c r="AH1293" s="755" t="n"/>
      <c r="AI1293" s="740" t="inlineStr">
        <is>
          <t>Market</t>
        </is>
      </c>
      <c r="AJ1293" s="755" t="n"/>
      <c r="AK1293" s="755" t="n"/>
      <c r="AL1293" s="755" t="n"/>
      <c r="AM1293" s="755" t="n"/>
      <c r="AN1293" s="755" t="n"/>
      <c r="AO1293" s="755" t="n"/>
      <c r="AP1293" s="740" t="inlineStr">
        <is>
          <t>Pullback</t>
        </is>
      </c>
      <c r="AQ1293" s="740" t="inlineStr">
        <is>
          <t>30MIN</t>
        </is>
      </c>
      <c r="AR1293" s="740" t="inlineStr">
        <is>
          <t>No</t>
        </is>
      </c>
      <c r="AS1293" s="755" t="n"/>
      <c r="AT1293" s="755" t="n"/>
      <c r="AU1293" s="755" t="n"/>
      <c r="AV1293" s="755" t="n"/>
      <c r="AW1293" s="740" t="inlineStr">
        <is>
          <t>trade</t>
        </is>
      </c>
      <c r="AX1293" s="756" t="inlineStr">
        <is>
          <t>sig:301295e3de21ca96a62ced25</t>
        </is>
      </c>
    </row>
    <row r="1294" ht="15" customHeight="1">
      <c r="A1294" s="716" t="inlineStr">
        <is>
          <t>F257</t>
        </is>
      </c>
      <c r="B1294" s="717" t="n">
        <v>43389.43958333333</v>
      </c>
      <c r="C1294" s="718" t="n">
        <v>43389.54305555556</v>
      </c>
      <c r="D1294" s="719" t="inlineStr">
        <is>
          <t>PEPPERSTONE DEMO</t>
        </is>
      </c>
      <c r="E1294" s="719" t="inlineStr">
        <is>
          <t>NZDUSD</t>
        </is>
      </c>
      <c r="F1294" s="719" t="inlineStr">
        <is>
          <t>BUY</t>
        </is>
      </c>
      <c r="G1294" s="735" t="n">
        <v>0.05</v>
      </c>
      <c r="H1294" s="720" t="n">
        <v>0.6577</v>
      </c>
      <c r="I1294" s="720" t="n">
        <v>0.6565299999999999</v>
      </c>
      <c r="J1294" s="721" t="n">
        <v>0.6565</v>
      </c>
      <c r="K1294" s="722" t="n">
        <v>0.00182454006385887</v>
      </c>
      <c r="L1294" s="721" t="n">
        <v>0.6601</v>
      </c>
      <c r="M1294" s="722" t="n">
        <v>0.003649080127717909</v>
      </c>
      <c r="N1294" s="761" t="n"/>
      <c r="O1294" s="762" t="n">
        <v>-8.41</v>
      </c>
      <c r="P1294" s="725" t="n">
        <v>-0.001496758210368388</v>
      </c>
      <c r="Q1294" s="726" t="n">
        <v>-0.9750000000000208</v>
      </c>
      <c r="R1294" s="764" t="n">
        <v>5610.4</v>
      </c>
      <c r="S1294" s="719" t="inlineStr">
        <is>
          <t>2H 29M 0S</t>
        </is>
      </c>
      <c r="T1294" s="728" t="n"/>
      <c r="U1294" s="729" t="n"/>
      <c r="V1294" s="730" t="n"/>
      <c r="W1294" s="731" t="n"/>
      <c r="X1294" s="732" t="n"/>
      <c r="Y1294" s="728" t="n"/>
      <c r="Z1294" s="729" t="n"/>
      <c r="AA1294" s="730" t="n"/>
      <c r="AB1294" s="731" t="n"/>
      <c r="AC1294" s="732" t="n"/>
      <c r="AD1294" s="719" t="inlineStr">
        <is>
          <t>No</t>
        </is>
      </c>
      <c r="AE1294" s="733" t="n"/>
      <c r="AF1294" s="733" t="n"/>
      <c r="AG1294" s="733" t="n"/>
      <c r="AH1294" s="733" t="n"/>
      <c r="AI1294" s="719" t="inlineStr">
        <is>
          <t>Market</t>
        </is>
      </c>
      <c r="AJ1294" s="733" t="n"/>
      <c r="AK1294" s="733" t="n"/>
      <c r="AL1294" s="733" t="n"/>
      <c r="AM1294" s="733" t="n"/>
      <c r="AN1294" s="733" t="n"/>
      <c r="AO1294" s="733" t="n"/>
      <c r="AP1294" s="719" t="inlineStr">
        <is>
          <t>Pullback</t>
        </is>
      </c>
      <c r="AQ1294" s="719" t="inlineStr">
        <is>
          <t>30MIN</t>
        </is>
      </c>
      <c r="AR1294" s="719" t="inlineStr">
        <is>
          <t>No</t>
        </is>
      </c>
      <c r="AS1294" s="733" t="n"/>
      <c r="AT1294" s="733" t="n"/>
      <c r="AU1294" s="733" t="n"/>
      <c r="AV1294" s="733" t="n"/>
      <c r="AW1294" s="719" t="inlineStr">
        <is>
          <t>trade</t>
        </is>
      </c>
      <c r="AX1294" s="734" t="inlineStr">
        <is>
          <t>sig:0e0218d5218162f5439a0ea0</t>
        </is>
      </c>
    </row>
    <row r="1295" ht="15" customHeight="1">
      <c r="A1295" s="716" t="inlineStr">
        <is>
          <t>F255</t>
        </is>
      </c>
      <c r="B1295" s="717" t="n">
        <v>43388.94027777778</v>
      </c>
      <c r="C1295" s="718" t="n">
        <v>43389.15555555555</v>
      </c>
      <c r="D1295" s="719" t="inlineStr">
        <is>
          <t>PEPPERSTONE LIVE</t>
        </is>
      </c>
      <c r="E1295" s="719" t="inlineStr">
        <is>
          <t>USDJPY</t>
        </is>
      </c>
      <c r="F1295" s="719" t="inlineStr">
        <is>
          <t>SELL</t>
        </is>
      </c>
      <c r="G1295" s="735" t="n">
        <v>0.04</v>
      </c>
      <c r="H1295" s="720" t="n">
        <v>111.8</v>
      </c>
      <c r="I1295" s="720" t="n">
        <v>111.87</v>
      </c>
      <c r="J1295" s="721" t="n">
        <v>111.96</v>
      </c>
      <c r="K1295" s="722" t="n">
        <v>0.001431127012522331</v>
      </c>
      <c r="L1295" s="721" t="n">
        <v>111.48</v>
      </c>
      <c r="M1295" s="722" t="n">
        <v>0.002862254025044662</v>
      </c>
      <c r="N1295" s="788" t="n"/>
      <c r="O1295" s="762" t="n">
        <v>-3.45</v>
      </c>
      <c r="P1295" s="725" t="n">
        <v>-0.003579469408505649</v>
      </c>
      <c r="Q1295" s="726" t="n">
        <v>-0.4375000000000555</v>
      </c>
      <c r="R1295" s="764" t="n">
        <v>960.38</v>
      </c>
      <c r="S1295" s="719" t="inlineStr">
        <is>
          <t>5H 10M 0S</t>
        </is>
      </c>
      <c r="T1295" s="728" t="n"/>
      <c r="U1295" s="729" t="n"/>
      <c r="V1295" s="730" t="n"/>
      <c r="W1295" s="731" t="n"/>
      <c r="X1295" s="732" t="n"/>
      <c r="Y1295" s="728" t="n"/>
      <c r="Z1295" s="729" t="n"/>
      <c r="AA1295" s="730" t="n"/>
      <c r="AB1295" s="731" t="n"/>
      <c r="AC1295" s="732" t="n"/>
      <c r="AD1295" s="719" t="inlineStr">
        <is>
          <t>No</t>
        </is>
      </c>
      <c r="AE1295" s="733" t="n"/>
      <c r="AF1295" s="733" t="n"/>
      <c r="AG1295" s="733" t="n"/>
      <c r="AH1295" s="733" t="n"/>
      <c r="AI1295" s="719" t="inlineStr">
        <is>
          <t>Market</t>
        </is>
      </c>
      <c r="AJ1295" s="733" t="n"/>
      <c r="AK1295" s="733" t="n"/>
      <c r="AL1295" s="733" t="n"/>
      <c r="AM1295" s="733" t="n"/>
      <c r="AN1295" s="733" t="n"/>
      <c r="AO1295" s="733" t="n"/>
      <c r="AP1295" s="719" t="inlineStr">
        <is>
          <t>Pullback</t>
        </is>
      </c>
      <c r="AQ1295" s="719" t="inlineStr">
        <is>
          <t>30MIN</t>
        </is>
      </c>
      <c r="AR1295" s="719" t="inlineStr">
        <is>
          <t>No</t>
        </is>
      </c>
      <c r="AS1295" s="733" t="n"/>
      <c r="AT1295" s="733" t="n"/>
      <c r="AU1295" s="733" t="n"/>
      <c r="AV1295" s="733" t="n"/>
      <c r="AW1295" s="719" t="inlineStr">
        <is>
          <t>trade</t>
        </is>
      </c>
      <c r="AX1295" s="734" t="inlineStr">
        <is>
          <t>sig:fd3aafb7163d11003e00bfb2</t>
        </is>
      </c>
    </row>
    <row r="1296" ht="15" customHeight="1">
      <c r="A1296" s="716" t="inlineStr">
        <is>
          <t>F683</t>
        </is>
      </c>
      <c r="B1296" s="717" t="n">
        <v>43388.87361111111</v>
      </c>
      <c r="C1296" s="718" t="n">
        <v>43388.91458333333</v>
      </c>
      <c r="D1296" s="719" t="inlineStr">
        <is>
          <t>PEPPERSTONE DEMO</t>
        </is>
      </c>
      <c r="E1296" s="719" t="inlineStr">
        <is>
          <t>USDCHF</t>
        </is>
      </c>
      <c r="F1296" s="719" t="inlineStr">
        <is>
          <t>SELL</t>
        </is>
      </c>
      <c r="G1296" s="735" t="n">
        <v>0.01</v>
      </c>
      <c r="H1296" s="720" t="n">
        <v>0.9853</v>
      </c>
      <c r="I1296" s="720" t="n">
        <v>0.98685</v>
      </c>
      <c r="J1296" s="721" t="n">
        <v>0.9868</v>
      </c>
      <c r="K1296" s="722" t="n">
        <v>0.001522378970871873</v>
      </c>
      <c r="L1296" s="721" t="n">
        <v>0.9818</v>
      </c>
      <c r="M1296" s="722" t="n">
        <v>0.00355221759870085</v>
      </c>
      <c r="N1296" s="788" t="n"/>
      <c r="O1296" s="762" t="n">
        <v>-2.18</v>
      </c>
      <c r="P1296" s="763" t="n">
        <v>-0.000387832036705278</v>
      </c>
      <c r="Q1296" s="726" t="n">
        <v>-1.033333333333328</v>
      </c>
      <c r="R1296" s="764" t="n">
        <v>5618.809999999999</v>
      </c>
      <c r="S1296" s="719" t="inlineStr">
        <is>
          <t>59M 0S</t>
        </is>
      </c>
      <c r="T1296" s="728" t="n"/>
      <c r="U1296" s="729" t="n"/>
      <c r="V1296" s="730" t="n"/>
      <c r="W1296" s="731" t="n"/>
      <c r="X1296" s="732" t="n"/>
      <c r="Y1296" s="728" t="n"/>
      <c r="Z1296" s="729" t="n"/>
      <c r="AA1296" s="730" t="n"/>
      <c r="AB1296" s="731" t="n"/>
      <c r="AC1296" s="732" t="n"/>
      <c r="AD1296" s="719" t="inlineStr">
        <is>
          <t>No</t>
        </is>
      </c>
      <c r="AE1296" s="733" t="n"/>
      <c r="AF1296" s="733" t="n"/>
      <c r="AG1296" s="733" t="n"/>
      <c r="AH1296" s="733" t="n"/>
      <c r="AI1296" s="719" t="n"/>
      <c r="AJ1296" s="733" t="n"/>
      <c r="AK1296" s="733" t="n"/>
      <c r="AL1296" s="733" t="n"/>
      <c r="AM1296" s="733" t="n"/>
      <c r="AN1296" s="733" t="n"/>
      <c r="AO1296" s="733" t="n"/>
      <c r="AP1296" s="719" t="inlineStr">
        <is>
          <t>Pullback</t>
        </is>
      </c>
      <c r="AQ1296" s="719" t="n"/>
      <c r="AR1296" s="719" t="inlineStr">
        <is>
          <t>No</t>
        </is>
      </c>
      <c r="AS1296" s="733" t="n"/>
      <c r="AT1296" s="733" t="n"/>
      <c r="AU1296" s="733" t="n"/>
      <c r="AV1296" s="733" t="n"/>
      <c r="AW1296" s="719" t="inlineStr">
        <is>
          <t>trade</t>
        </is>
      </c>
      <c r="AX1296" s="734" t="inlineStr">
        <is>
          <t>sig:feb674258068b74ef08a0004</t>
        </is>
      </c>
    </row>
    <row r="1297" ht="15" customHeight="1">
      <c r="A1297" s="716" t="inlineStr">
        <is>
          <t>F256</t>
        </is>
      </c>
      <c r="B1297" s="717" t="n">
        <v>43388.86944444444</v>
      </c>
      <c r="C1297" s="718" t="n">
        <v>43388.8875</v>
      </c>
      <c r="D1297" s="719" t="inlineStr">
        <is>
          <t>PEPPERSTONE DEMO</t>
        </is>
      </c>
      <c r="E1297" s="719" t="inlineStr">
        <is>
          <t>NZDUSD</t>
        </is>
      </c>
      <c r="F1297" s="719" t="inlineStr">
        <is>
          <t>BUY</t>
        </is>
      </c>
      <c r="G1297" s="735" t="n">
        <v>0.09</v>
      </c>
      <c r="H1297" s="720" t="n">
        <v>0.6539</v>
      </c>
      <c r="I1297" s="720" t="n">
        <v>0.65327</v>
      </c>
      <c r="J1297" s="721" t="n">
        <v>0.6532</v>
      </c>
      <c r="K1297" s="722" t="n">
        <v>0.001070500076464343</v>
      </c>
      <c r="L1297" s="721" t="n">
        <v>0.6553</v>
      </c>
      <c r="M1297" s="722" t="n">
        <v>0.002141000152928516</v>
      </c>
      <c r="N1297" s="761" t="n"/>
      <c r="O1297" s="762" t="n">
        <v>-8.83</v>
      </c>
      <c r="P1297" s="725" t="n">
        <v>-0.001568433804277934</v>
      </c>
      <c r="Q1297" s="726" t="n">
        <v>-0.8999999999999841</v>
      </c>
      <c r="R1297" s="764" t="n">
        <v>5620.99</v>
      </c>
      <c r="S1297" s="719" t="inlineStr">
        <is>
          <t>26M 0S</t>
        </is>
      </c>
      <c r="T1297" s="728" t="n"/>
      <c r="U1297" s="729" t="n"/>
      <c r="V1297" s="730" t="n"/>
      <c r="W1297" s="731" t="n"/>
      <c r="X1297" s="732" t="n"/>
      <c r="Y1297" s="728" t="n"/>
      <c r="Z1297" s="729" t="n"/>
      <c r="AA1297" s="730" t="n"/>
      <c r="AB1297" s="731" t="n"/>
      <c r="AC1297" s="732" t="n"/>
      <c r="AD1297" s="719" t="inlineStr">
        <is>
          <t>No</t>
        </is>
      </c>
      <c r="AE1297" s="733" t="n"/>
      <c r="AF1297" s="733" t="n"/>
      <c r="AG1297" s="733" t="n"/>
      <c r="AH1297" s="733" t="n"/>
      <c r="AI1297" s="719" t="n"/>
      <c r="AJ1297" s="733" t="n"/>
      <c r="AK1297" s="733" t="n"/>
      <c r="AL1297" s="733" t="n"/>
      <c r="AM1297" s="733" t="n"/>
      <c r="AN1297" s="733" t="n"/>
      <c r="AO1297" s="733" t="n"/>
      <c r="AP1297" s="719" t="inlineStr">
        <is>
          <t>Pullback</t>
        </is>
      </c>
      <c r="AQ1297" s="719" t="inlineStr">
        <is>
          <t>30MIN</t>
        </is>
      </c>
      <c r="AR1297" s="719" t="inlineStr">
        <is>
          <t>No</t>
        </is>
      </c>
      <c r="AS1297" s="733" t="n"/>
      <c r="AT1297" s="733" t="n"/>
      <c r="AU1297" s="733" t="n"/>
      <c r="AV1297" s="733" t="n"/>
      <c r="AW1297" s="719" t="inlineStr">
        <is>
          <t>trade</t>
        </is>
      </c>
      <c r="AX1297" s="734" t="inlineStr">
        <is>
          <t>sig:0498bde3cb5d594fea65ff77</t>
        </is>
      </c>
    </row>
    <row r="1298" ht="15" customHeight="1">
      <c r="A1298" s="716" t="inlineStr">
        <is>
          <t>F254</t>
        </is>
      </c>
      <c r="B1298" s="717" t="n">
        <v>43388.74097222222</v>
      </c>
      <c r="C1298" s="718" t="n">
        <v>43388.87361111111</v>
      </c>
      <c r="D1298" s="719" t="inlineStr">
        <is>
          <t>PEPPERSTONE DEMO</t>
        </is>
      </c>
      <c r="E1298" s="719" t="inlineStr">
        <is>
          <t>USDCHF</t>
        </is>
      </c>
      <c r="F1298" s="719" t="inlineStr">
        <is>
          <t>BUY</t>
        </is>
      </c>
      <c r="G1298" s="735" t="n">
        <v>0.01</v>
      </c>
      <c r="H1298" s="720" t="n">
        <v>0.99</v>
      </c>
      <c r="I1298" s="720" t="n">
        <v>0.98532</v>
      </c>
      <c r="J1298" s="721" t="n">
        <v>0.984</v>
      </c>
      <c r="K1298" s="722" t="n">
        <v>0.006060606060606066</v>
      </c>
      <c r="L1298" s="721" t="n">
        <v>1.002</v>
      </c>
      <c r="M1298" s="722" t="n">
        <v>0.01212121212121213</v>
      </c>
      <c r="N1298" s="788" t="n"/>
      <c r="O1298" s="762" t="n">
        <v>-6.72</v>
      </c>
      <c r="P1298" s="725" t="n">
        <v>-0.001192220759543976</v>
      </c>
      <c r="Q1298" s="726" t="n">
        <v>-0.7800000000000022</v>
      </c>
      <c r="R1298" s="764" t="n">
        <v>5629.82</v>
      </c>
      <c r="S1298" s="719" t="inlineStr">
        <is>
          <t>3H 11M 0S</t>
        </is>
      </c>
      <c r="T1298" s="728" t="n"/>
      <c r="U1298" s="729" t="n"/>
      <c r="V1298" s="730" t="n"/>
      <c r="W1298" s="731" t="n"/>
      <c r="X1298" s="732" t="n"/>
      <c r="Y1298" s="728" t="n"/>
      <c r="Z1298" s="729" t="n"/>
      <c r="AA1298" s="730" t="n"/>
      <c r="AB1298" s="731" t="n"/>
      <c r="AC1298" s="732" t="n"/>
      <c r="AD1298" s="719" t="inlineStr">
        <is>
          <t>No</t>
        </is>
      </c>
      <c r="AE1298" s="733" t="n"/>
      <c r="AF1298" s="733" t="n"/>
      <c r="AG1298" s="733" t="n"/>
      <c r="AH1298" s="733" t="n"/>
      <c r="AI1298" s="719" t="inlineStr">
        <is>
          <t>Market</t>
        </is>
      </c>
      <c r="AJ1298" s="733" t="n"/>
      <c r="AK1298" s="733" t="n"/>
      <c r="AL1298" s="733" t="n"/>
      <c r="AM1298" s="733" t="n"/>
      <c r="AN1298" s="733" t="n"/>
      <c r="AO1298" s="733" t="n"/>
      <c r="AP1298" s="719" t="inlineStr">
        <is>
          <t>Pullback</t>
        </is>
      </c>
      <c r="AQ1298" s="719" t="inlineStr">
        <is>
          <t>30MIN</t>
        </is>
      </c>
      <c r="AR1298" s="719" t="inlineStr">
        <is>
          <t>No</t>
        </is>
      </c>
      <c r="AS1298" s="733" t="n"/>
      <c r="AT1298" s="733" t="n"/>
      <c r="AU1298" s="733" t="n"/>
      <c r="AV1298" s="733" t="n"/>
      <c r="AW1298" s="719" t="inlineStr">
        <is>
          <t>trade</t>
        </is>
      </c>
      <c r="AX1298" s="734" t="inlineStr">
        <is>
          <t>sig:7b0a96ff51f4c7ade3bd906e</t>
        </is>
      </c>
    </row>
    <row r="1299" ht="15" customHeight="1">
      <c r="A1299" s="716" t="inlineStr">
        <is>
          <t>F253</t>
        </is>
      </c>
      <c r="B1299" s="717" t="n">
        <v>43388.78440972222</v>
      </c>
      <c r="C1299" s="718" t="n">
        <v>43388.7844675926</v>
      </c>
      <c r="D1299" s="719" t="inlineStr">
        <is>
          <t>PEPPERSTONE DEMO</t>
        </is>
      </c>
      <c r="E1299" s="719" t="inlineStr">
        <is>
          <t>AUDUSD</t>
        </is>
      </c>
      <c r="F1299" s="719" t="inlineStr">
        <is>
          <t>SELL</t>
        </is>
      </c>
      <c r="G1299" s="735" t="n">
        <v>0.01</v>
      </c>
      <c r="H1299" s="720" t="n">
        <v>0.7131999999999999</v>
      </c>
      <c r="I1299" s="720" t="n">
        <v>0.71334</v>
      </c>
      <c r="J1299" s="721" t="n"/>
      <c r="K1299" s="722" t="n"/>
      <c r="L1299" s="721" t="n"/>
      <c r="M1299" s="722" t="n"/>
      <c r="N1299" s="788" t="n"/>
      <c r="O1299" s="762" t="n">
        <v>-0.15</v>
      </c>
      <c r="P1299" s="800" t="n">
        <v>-2.661136234208374e-05</v>
      </c>
      <c r="Q1299" s="726" t="n"/>
      <c r="R1299" s="764" t="n">
        <v>5636.54</v>
      </c>
      <c r="S1299" s="719" t="inlineStr">
        <is>
          <t>5S</t>
        </is>
      </c>
      <c r="T1299" s="728" t="n"/>
      <c r="U1299" s="729" t="n"/>
      <c r="V1299" s="730" t="n"/>
      <c r="W1299" s="731" t="n"/>
      <c r="X1299" s="732" t="n"/>
      <c r="Y1299" s="728" t="n"/>
      <c r="Z1299" s="729" t="n"/>
      <c r="AA1299" s="730" t="n"/>
      <c r="AB1299" s="731" t="n"/>
      <c r="AC1299" s="732" t="n"/>
      <c r="AD1299" s="719" t="inlineStr">
        <is>
          <t>No</t>
        </is>
      </c>
      <c r="AE1299" s="733" t="n"/>
      <c r="AF1299" s="733" t="n"/>
      <c r="AG1299" s="733" t="n"/>
      <c r="AH1299" s="733" t="n"/>
      <c r="AI1299" s="719" t="n"/>
      <c r="AJ1299" s="733" t="n"/>
      <c r="AK1299" s="733" t="n"/>
      <c r="AL1299" s="733" t="n"/>
      <c r="AM1299" s="733" t="n"/>
      <c r="AN1299" s="733" t="n"/>
      <c r="AO1299" s="733" t="n"/>
      <c r="AP1299" s="719" t="inlineStr">
        <is>
          <t>Pullback</t>
        </is>
      </c>
      <c r="AQ1299" s="719" t="n"/>
      <c r="AR1299" s="719" t="inlineStr">
        <is>
          <t>No</t>
        </is>
      </c>
      <c r="AS1299" s="733" t="n"/>
      <c r="AT1299" s="733" t="n"/>
      <c r="AU1299" s="733" t="n"/>
      <c r="AV1299" s="733" t="n"/>
      <c r="AW1299" s="719" t="inlineStr">
        <is>
          <t>trade</t>
        </is>
      </c>
      <c r="AX1299" s="734" t="inlineStr">
        <is>
          <t>sig:1bfab241b137889434d8672b</t>
        </is>
      </c>
    </row>
    <row r="1300" ht="15" customHeight="1">
      <c r="A1300" s="716" t="inlineStr">
        <is>
          <t>F251</t>
        </is>
      </c>
      <c r="B1300" s="717" t="n">
        <v>43385.9875</v>
      </c>
      <c r="C1300" s="718" t="n">
        <v>43385.98958333334</v>
      </c>
      <c r="D1300" s="719" t="inlineStr">
        <is>
          <t>PEPPERSTONE LIVE</t>
        </is>
      </c>
      <c r="E1300" s="719" t="inlineStr">
        <is>
          <t>USDCAD</t>
        </is>
      </c>
      <c r="F1300" s="719" t="inlineStr">
        <is>
          <t>SELL</t>
        </is>
      </c>
      <c r="G1300" s="720" t="n">
        <v>0.22</v>
      </c>
      <c r="H1300" s="720" t="n">
        <v>1.3016</v>
      </c>
      <c r="I1300" s="720" t="n">
        <v>1.30204</v>
      </c>
      <c r="J1300" s="721" t="n">
        <v>1.302</v>
      </c>
      <c r="K1300" s="760" t="n">
        <v>0.0003073140749846004</v>
      </c>
      <c r="L1300" s="721" t="n">
        <v>1.3007</v>
      </c>
      <c r="M1300" s="760" t="n">
        <v>0.0006914566687155216</v>
      </c>
      <c r="N1300" s="788" t="n"/>
      <c r="O1300" s="762" t="n">
        <v>-9.710000000000001</v>
      </c>
      <c r="P1300" s="725" t="n">
        <v>-0.009973909649321034</v>
      </c>
      <c r="Q1300" s="726" t="n">
        <v>-1.100000000000111</v>
      </c>
      <c r="R1300" s="764" t="n">
        <v>963.83</v>
      </c>
      <c r="S1300" s="719" t="inlineStr">
        <is>
          <t>3M 0S</t>
        </is>
      </c>
      <c r="T1300" s="728" t="n"/>
      <c r="U1300" s="729" t="n"/>
      <c r="V1300" s="730" t="n"/>
      <c r="W1300" s="731" t="n"/>
      <c r="X1300" s="732" t="n"/>
      <c r="Y1300" s="728" t="n"/>
      <c r="Z1300" s="729" t="n"/>
      <c r="AA1300" s="730" t="n"/>
      <c r="AB1300" s="731" t="n"/>
      <c r="AC1300" s="732" t="n"/>
      <c r="AD1300" s="719" t="inlineStr">
        <is>
          <t>No</t>
        </is>
      </c>
      <c r="AE1300" s="733" t="n"/>
      <c r="AF1300" s="733" t="n"/>
      <c r="AG1300" s="733" t="n"/>
      <c r="AH1300" s="733" t="n"/>
      <c r="AI1300" s="719" t="inlineStr">
        <is>
          <t>Market</t>
        </is>
      </c>
      <c r="AJ1300" s="733" t="n"/>
      <c r="AK1300" s="733" t="n"/>
      <c r="AL1300" s="733" t="n"/>
      <c r="AM1300" s="733" t="n"/>
      <c r="AN1300" s="733" t="n"/>
      <c r="AO1300" s="733" t="n"/>
      <c r="AP1300" s="719" t="inlineStr">
        <is>
          <t>Pullback</t>
        </is>
      </c>
      <c r="AQ1300" s="719" t="inlineStr">
        <is>
          <t>15MIN</t>
        </is>
      </c>
      <c r="AR1300" s="719" t="inlineStr">
        <is>
          <t>No</t>
        </is>
      </c>
      <c r="AS1300" s="733" t="n"/>
      <c r="AT1300" s="733" t="n"/>
      <c r="AU1300" s="733" t="n"/>
      <c r="AV1300" s="733" t="n"/>
      <c r="AW1300" s="719" t="inlineStr">
        <is>
          <t>trade</t>
        </is>
      </c>
      <c r="AX1300" s="734" t="inlineStr">
        <is>
          <t>sig:47205ec99ef808dcc0027534</t>
        </is>
      </c>
    </row>
    <row r="1301" ht="15" customHeight="1">
      <c r="A1301" s="737" t="inlineStr">
        <is>
          <t>F252</t>
        </is>
      </c>
      <c r="B1301" s="738" t="n">
        <v>43385.83472222222</v>
      </c>
      <c r="C1301" s="739" t="n">
        <v>43385.96319444444</v>
      </c>
      <c r="D1301" s="740" t="inlineStr">
        <is>
          <t>PEPPERSTONE LIVE</t>
        </is>
      </c>
      <c r="E1301" s="740" t="inlineStr">
        <is>
          <t>USDJPY</t>
        </is>
      </c>
      <c r="F1301" s="740" t="inlineStr">
        <is>
          <t>BUY</t>
        </is>
      </c>
      <c r="G1301" s="775" t="n">
        <v>0.08</v>
      </c>
      <c r="H1301" s="742" t="n">
        <v>112.3</v>
      </c>
      <c r="I1301" s="742" t="n">
        <v>112.305</v>
      </c>
      <c r="J1301" s="743" t="n">
        <v>112.21</v>
      </c>
      <c r="K1301" s="765" t="n">
        <v>0.0008014247551202441</v>
      </c>
      <c r="L1301" s="743" t="n">
        <v>112.49</v>
      </c>
      <c r="M1301" s="744" t="n">
        <v>0.001691896705253764</v>
      </c>
      <c r="N1301" s="796" t="n"/>
      <c r="O1301" s="767" t="n">
        <v>0.2</v>
      </c>
      <c r="P1301" s="776" t="n">
        <v>0.0002054780446709269</v>
      </c>
      <c r="Q1301" s="814" t="n">
        <v>0.05555555555566082</v>
      </c>
      <c r="R1301" s="769" t="n">
        <v>973.5400000000001</v>
      </c>
      <c r="S1301" s="740" t="inlineStr">
        <is>
          <t>3H 5M 0S</t>
        </is>
      </c>
      <c r="T1301" s="750" t="n"/>
      <c r="U1301" s="751" t="n"/>
      <c r="V1301" s="752" t="n"/>
      <c r="W1301" s="753" t="n"/>
      <c r="X1301" s="754" t="n"/>
      <c r="Y1301" s="750" t="n"/>
      <c r="Z1301" s="751" t="n"/>
      <c r="AA1301" s="752" t="n"/>
      <c r="AB1301" s="753" t="n"/>
      <c r="AC1301" s="754" t="n"/>
      <c r="AD1301" s="740" t="inlineStr">
        <is>
          <t>No</t>
        </is>
      </c>
      <c r="AE1301" s="755" t="n"/>
      <c r="AF1301" s="755" t="n"/>
      <c r="AG1301" s="755" t="n"/>
      <c r="AH1301" s="755" t="n"/>
      <c r="AI1301" s="740" t="inlineStr">
        <is>
          <t>Market</t>
        </is>
      </c>
      <c r="AJ1301" s="755" t="n"/>
      <c r="AK1301" s="755" t="n"/>
      <c r="AL1301" s="755" t="n"/>
      <c r="AM1301" s="755" t="n"/>
      <c r="AN1301" s="755" t="n"/>
      <c r="AO1301" s="755" t="n"/>
      <c r="AP1301" s="740" t="inlineStr">
        <is>
          <t>Pullback</t>
        </is>
      </c>
      <c r="AQ1301" s="740" t="inlineStr">
        <is>
          <t>15MIN</t>
        </is>
      </c>
      <c r="AR1301" s="740" t="inlineStr">
        <is>
          <t>No</t>
        </is>
      </c>
      <c r="AS1301" s="755" t="n"/>
      <c r="AT1301" s="755" t="n"/>
      <c r="AU1301" s="755" t="n"/>
      <c r="AV1301" s="755" t="n"/>
      <c r="AW1301" s="740" t="inlineStr">
        <is>
          <t>trade</t>
        </is>
      </c>
      <c r="AX1301" s="756" t="inlineStr">
        <is>
          <t>sig:0a7b8b83d4d991c5d6ca3ded</t>
        </is>
      </c>
    </row>
    <row r="1302" ht="15" customHeight="1">
      <c r="A1302" s="716" t="inlineStr">
        <is>
          <t>F250</t>
        </is>
      </c>
      <c r="B1302" s="717" t="n">
        <v>43385.225</v>
      </c>
      <c r="C1302" s="718" t="n">
        <v>43385.47708333333</v>
      </c>
      <c r="D1302" s="719" t="inlineStr">
        <is>
          <t>PEPPERSTONE DEMO</t>
        </is>
      </c>
      <c r="E1302" s="719" t="inlineStr">
        <is>
          <t>USDJPY</t>
        </is>
      </c>
      <c r="F1302" s="719" t="inlineStr">
        <is>
          <t>SELL</t>
        </is>
      </c>
      <c r="G1302" s="735" t="n">
        <v>0.06</v>
      </c>
      <c r="H1302" s="720" t="n">
        <v>112.15</v>
      </c>
      <c r="I1302" s="720" t="n">
        <v>112.268</v>
      </c>
      <c r="J1302" s="721" t="n">
        <v>112.26</v>
      </c>
      <c r="K1302" s="760" t="n">
        <v>0.000980829246544801</v>
      </c>
      <c r="L1302" s="721" t="n">
        <v>111.93</v>
      </c>
      <c r="M1302" s="722" t="n">
        <v>0.001961658493089602</v>
      </c>
      <c r="N1302" s="761" t="n">
        <v>0.87</v>
      </c>
      <c r="O1302" s="762" t="n">
        <v>-9.119999999999999</v>
      </c>
      <c r="P1302" s="725" t="n">
        <v>-0.001615357229520653</v>
      </c>
      <c r="Q1302" s="726" t="n">
        <v>-1.072727272727233</v>
      </c>
      <c r="R1302" s="764" t="n">
        <v>5636.69</v>
      </c>
      <c r="S1302" s="719" t="inlineStr">
        <is>
          <t>6H 3M 0S</t>
        </is>
      </c>
      <c r="T1302" s="728" t="n"/>
      <c r="U1302" s="729" t="n"/>
      <c r="V1302" s="730" t="n"/>
      <c r="W1302" s="731" t="n"/>
      <c r="X1302" s="732" t="n"/>
      <c r="Y1302" s="728" t="n"/>
      <c r="Z1302" s="729" t="n"/>
      <c r="AA1302" s="730" t="n"/>
      <c r="AB1302" s="731" t="n"/>
      <c r="AC1302" s="732" t="n"/>
      <c r="AD1302" s="719" t="inlineStr">
        <is>
          <t>No</t>
        </is>
      </c>
      <c r="AE1302" s="733" t="n"/>
      <c r="AF1302" s="733" t="n"/>
      <c r="AG1302" s="733" t="n"/>
      <c r="AH1302" s="733" t="n"/>
      <c r="AI1302" s="719" t="inlineStr">
        <is>
          <t>Market</t>
        </is>
      </c>
      <c r="AJ1302" s="733" t="n"/>
      <c r="AK1302" s="733" t="n"/>
      <c r="AL1302" s="733" t="n"/>
      <c r="AM1302" s="733" t="n"/>
      <c r="AN1302" s="733" t="n"/>
      <c r="AO1302" s="733" t="n"/>
      <c r="AP1302" s="719" t="inlineStr">
        <is>
          <t>Pullback</t>
        </is>
      </c>
      <c r="AQ1302" s="719" t="inlineStr">
        <is>
          <t>30MIN</t>
        </is>
      </c>
      <c r="AR1302" s="719" t="inlineStr">
        <is>
          <t>No</t>
        </is>
      </c>
      <c r="AS1302" s="733" t="n"/>
      <c r="AT1302" s="733" t="n"/>
      <c r="AU1302" s="733" t="n"/>
      <c r="AV1302" s="733" t="n"/>
      <c r="AW1302" s="719" t="inlineStr">
        <is>
          <t>trade</t>
        </is>
      </c>
      <c r="AX1302" s="734" t="inlineStr">
        <is>
          <t>sig:c1345e29ca3e751b2ffa7c25</t>
        </is>
      </c>
    </row>
    <row r="1303" ht="15" customHeight="1">
      <c r="A1303" s="716" t="inlineStr">
        <is>
          <t>F246</t>
        </is>
      </c>
      <c r="B1303" s="717" t="n">
        <v>43384.84722222222</v>
      </c>
      <c r="C1303" s="718" t="n">
        <v>43385.04375</v>
      </c>
      <c r="D1303" s="719" t="inlineStr">
        <is>
          <t>PEPPERSTONE DEMO</t>
        </is>
      </c>
      <c r="E1303" s="719" t="inlineStr">
        <is>
          <t>USDCHF</t>
        </is>
      </c>
      <c r="F1303" s="719" t="inlineStr">
        <is>
          <t>SELL</t>
        </is>
      </c>
      <c r="G1303" s="735" t="n">
        <v>0.02</v>
      </c>
      <c r="H1303" s="720" t="n">
        <v>0.9877</v>
      </c>
      <c r="I1303" s="720" t="n">
        <v>0.99014</v>
      </c>
      <c r="J1303" s="721" t="n">
        <v>0.9901</v>
      </c>
      <c r="K1303" s="722" t="n">
        <v>0.002429887617697639</v>
      </c>
      <c r="L1303" s="721" t="n"/>
      <c r="M1303" s="722" t="n"/>
      <c r="N1303" s="788" t="n"/>
      <c r="O1303" s="762" t="n">
        <v>-6.82</v>
      </c>
      <c r="P1303" s="725" t="n">
        <v>-0.001206518027891442</v>
      </c>
      <c r="Q1303" s="726" t="n">
        <v>-1.016666666666684</v>
      </c>
      <c r="R1303" s="764" t="n">
        <v>5645.809999999999</v>
      </c>
      <c r="S1303" s="719" t="inlineStr">
        <is>
          <t>4H 43M 0S</t>
        </is>
      </c>
      <c r="T1303" s="728" t="n"/>
      <c r="U1303" s="729" t="n"/>
      <c r="V1303" s="730" t="n"/>
      <c r="W1303" s="731" t="n"/>
      <c r="X1303" s="732" t="n"/>
      <c r="Y1303" s="728" t="n"/>
      <c r="Z1303" s="729" t="n"/>
      <c r="AA1303" s="730" t="n"/>
      <c r="AB1303" s="731" t="n"/>
      <c r="AC1303" s="732" t="n"/>
      <c r="AD1303" s="719" t="inlineStr">
        <is>
          <t>No</t>
        </is>
      </c>
      <c r="AE1303" s="733" t="n"/>
      <c r="AF1303" s="733" t="n"/>
      <c r="AG1303" s="733" t="n"/>
      <c r="AH1303" s="733" t="n"/>
      <c r="AI1303" s="719" t="n"/>
      <c r="AJ1303" s="733" t="n"/>
      <c r="AK1303" s="733" t="n"/>
      <c r="AL1303" s="733" t="n"/>
      <c r="AM1303" s="733" t="n"/>
      <c r="AN1303" s="733" t="n"/>
      <c r="AO1303" s="733" t="n"/>
      <c r="AP1303" s="719" t="inlineStr">
        <is>
          <t>Pullback</t>
        </is>
      </c>
      <c r="AQ1303" s="719" t="n"/>
      <c r="AR1303" s="719" t="inlineStr">
        <is>
          <t>No</t>
        </is>
      </c>
      <c r="AS1303" s="733" t="n"/>
      <c r="AT1303" s="733" t="n"/>
      <c r="AU1303" s="733" t="n"/>
      <c r="AV1303" s="733" t="n"/>
      <c r="AW1303" s="719" t="inlineStr">
        <is>
          <t>trade</t>
        </is>
      </c>
      <c r="AX1303" s="734" t="inlineStr">
        <is>
          <t>sig:20960f5e281df487722f46ef</t>
        </is>
      </c>
    </row>
    <row r="1304" ht="15" customHeight="1">
      <c r="A1304" s="737" t="inlineStr">
        <is>
          <t>F248</t>
        </is>
      </c>
      <c r="B1304" s="738" t="n">
        <v>43384.77638888889</v>
      </c>
      <c r="C1304" s="739" t="n">
        <v>43385.00138888889</v>
      </c>
      <c r="D1304" s="740" t="inlineStr">
        <is>
          <t>PEPPERSTONE LIVE</t>
        </is>
      </c>
      <c r="E1304" s="740" t="inlineStr">
        <is>
          <t>EURUSD</t>
        </is>
      </c>
      <c r="F1304" s="740" t="inlineStr">
        <is>
          <t>BUY</t>
        </is>
      </c>
      <c r="G1304" s="775" t="n">
        <v>0.03</v>
      </c>
      <c r="H1304" s="742" t="n">
        <v>1.155</v>
      </c>
      <c r="I1304" s="742" t="n">
        <v>1.15882</v>
      </c>
      <c r="J1304" s="743" t="n">
        <v>1.1532</v>
      </c>
      <c r="K1304" s="744" t="n">
        <v>0.001558441558441579</v>
      </c>
      <c r="L1304" s="743" t="n">
        <v>1.1588</v>
      </c>
      <c r="M1304" s="744" t="n">
        <v>0.003290043290043312</v>
      </c>
      <c r="N1304" s="796" t="n"/>
      <c r="O1304" s="767" t="n">
        <v>8.449999999999999</v>
      </c>
      <c r="P1304" s="747" t="n">
        <v>0.008757474945330555</v>
      </c>
      <c r="Q1304" s="748" t="n">
        <v>2.122222222222158</v>
      </c>
      <c r="R1304" s="769" t="n">
        <v>973.34</v>
      </c>
      <c r="S1304" s="740" t="inlineStr">
        <is>
          <t>5H 24M 0S</t>
        </is>
      </c>
      <c r="T1304" s="750" t="n"/>
      <c r="U1304" s="751" t="n"/>
      <c r="V1304" s="752" t="n"/>
      <c r="W1304" s="753" t="n"/>
      <c r="X1304" s="754" t="n"/>
      <c r="Y1304" s="750" t="n"/>
      <c r="Z1304" s="751" t="n"/>
      <c r="AA1304" s="752" t="n"/>
      <c r="AB1304" s="753" t="n"/>
      <c r="AC1304" s="754" t="n"/>
      <c r="AD1304" s="740" t="inlineStr">
        <is>
          <t>No</t>
        </is>
      </c>
      <c r="AE1304" s="755" t="n"/>
      <c r="AF1304" s="755" t="n"/>
      <c r="AG1304" s="755" t="n"/>
      <c r="AH1304" s="755" t="n"/>
      <c r="AI1304" s="740" t="inlineStr">
        <is>
          <t>Market</t>
        </is>
      </c>
      <c r="AJ1304" s="755" t="n"/>
      <c r="AK1304" s="755" t="n"/>
      <c r="AL1304" s="755" t="n"/>
      <c r="AM1304" s="755" t="n"/>
      <c r="AN1304" s="755" t="n"/>
      <c r="AO1304" s="755" t="n"/>
      <c r="AP1304" s="740" t="inlineStr">
        <is>
          <t>Pullback</t>
        </is>
      </c>
      <c r="AQ1304" s="740" t="inlineStr">
        <is>
          <t>30MIN</t>
        </is>
      </c>
      <c r="AR1304" s="740" t="inlineStr">
        <is>
          <t>No</t>
        </is>
      </c>
      <c r="AS1304" s="755" t="n"/>
      <c r="AT1304" s="755" t="n"/>
      <c r="AU1304" s="755" t="n"/>
      <c r="AV1304" s="755" t="n"/>
      <c r="AW1304" s="740" t="inlineStr">
        <is>
          <t>trade</t>
        </is>
      </c>
      <c r="AX1304" s="756" t="inlineStr">
        <is>
          <t>sig:14fdb56eeafd8c4464f46338</t>
        </is>
      </c>
    </row>
    <row r="1305" ht="15" customHeight="1">
      <c r="A1305" s="737" t="inlineStr">
        <is>
          <t>F247</t>
        </is>
      </c>
      <c r="B1305" s="738" t="n">
        <v>43384.14375</v>
      </c>
      <c r="C1305" s="739" t="n">
        <v>43384.80763888889</v>
      </c>
      <c r="D1305" s="740" t="inlineStr">
        <is>
          <t>PEPPERSTONE DEMO</t>
        </is>
      </c>
      <c r="E1305" s="740" t="inlineStr">
        <is>
          <t>USDCHF</t>
        </is>
      </c>
      <c r="F1305" s="740" t="inlineStr">
        <is>
          <t>SELL</t>
        </is>
      </c>
      <c r="G1305" s="775" t="n">
        <v>0.07000000000000001</v>
      </c>
      <c r="H1305" s="742" t="n">
        <v>0.9918</v>
      </c>
      <c r="I1305" s="742" t="n">
        <v>0.98643</v>
      </c>
      <c r="J1305" s="743" t="n">
        <v>0.9927</v>
      </c>
      <c r="K1305" s="765" t="n">
        <v>0.0009074410163339503</v>
      </c>
      <c r="L1305" s="743" t="n">
        <v>0.9864000000000001</v>
      </c>
      <c r="M1305" s="744" t="n">
        <v>0.00544464609800359</v>
      </c>
      <c r="N1305" s="766" t="n">
        <v>1.87</v>
      </c>
      <c r="O1305" s="767" t="n">
        <v>25.06</v>
      </c>
      <c r="P1305" s="747" t="n">
        <v>0.004453076549914084</v>
      </c>
      <c r="Q1305" s="748" t="n">
        <v>5.966666666666572</v>
      </c>
      <c r="R1305" s="769" t="n">
        <v>5652.629999999999</v>
      </c>
      <c r="S1305" s="740" t="inlineStr">
        <is>
          <t>15H 56M 0S</t>
        </is>
      </c>
      <c r="T1305" s="750" t="n"/>
      <c r="U1305" s="751" t="n"/>
      <c r="V1305" s="752" t="n"/>
      <c r="W1305" s="753" t="n"/>
      <c r="X1305" s="754" t="n"/>
      <c r="Y1305" s="750" t="n"/>
      <c r="Z1305" s="751" t="n"/>
      <c r="AA1305" s="752" t="n"/>
      <c r="AB1305" s="753" t="n"/>
      <c r="AC1305" s="754" t="n"/>
      <c r="AD1305" s="740" t="inlineStr">
        <is>
          <t>No</t>
        </is>
      </c>
      <c r="AE1305" s="755" t="n"/>
      <c r="AF1305" s="755" t="n"/>
      <c r="AG1305" s="755" t="n"/>
      <c r="AH1305" s="755" t="n"/>
      <c r="AI1305" s="740" t="inlineStr">
        <is>
          <t>Market</t>
        </is>
      </c>
      <c r="AJ1305" s="755" t="n"/>
      <c r="AK1305" s="755" t="n"/>
      <c r="AL1305" s="755" t="n"/>
      <c r="AM1305" s="755" t="n"/>
      <c r="AN1305" s="755" t="n"/>
      <c r="AO1305" s="755" t="n"/>
      <c r="AP1305" s="740" t="inlineStr">
        <is>
          <t>Pullback</t>
        </is>
      </c>
      <c r="AQ1305" s="740" t="inlineStr">
        <is>
          <t>30MIN</t>
        </is>
      </c>
      <c r="AR1305" s="740" t="inlineStr">
        <is>
          <t>No</t>
        </is>
      </c>
      <c r="AS1305" s="755" t="n"/>
      <c r="AT1305" s="755" t="n"/>
      <c r="AU1305" s="755" t="n"/>
      <c r="AV1305" s="755" t="n"/>
      <c r="AW1305" s="740" t="inlineStr">
        <is>
          <t>trade</t>
        </is>
      </c>
      <c r="AX1305" s="756" t="inlineStr">
        <is>
          <t>sig:88b9c3fe266859c7e9094f7c</t>
        </is>
      </c>
    </row>
    <row r="1306" ht="15" customHeight="1">
      <c r="A1306" s="716" t="inlineStr">
        <is>
          <t>F249</t>
        </is>
      </c>
      <c r="B1306" s="717" t="n">
        <v>43384.12638888889</v>
      </c>
      <c r="C1306" s="718" t="n">
        <v>43384.14027777778</v>
      </c>
      <c r="D1306" s="719" t="inlineStr">
        <is>
          <t>PEPPERSTONE DEMO</t>
        </is>
      </c>
      <c r="E1306" s="719" t="inlineStr">
        <is>
          <t>USDJPY</t>
        </is>
      </c>
      <c r="F1306" s="719" t="inlineStr">
        <is>
          <t>SELL</t>
        </is>
      </c>
      <c r="G1306" s="735" t="n">
        <v>0.05</v>
      </c>
      <c r="H1306" s="720" t="n">
        <v>112.66</v>
      </c>
      <c r="I1306" s="720" t="n">
        <v>112.808</v>
      </c>
      <c r="J1306" s="721" t="n">
        <v>112.8</v>
      </c>
      <c r="K1306" s="722" t="n">
        <v>0.001242677081484117</v>
      </c>
      <c r="L1306" s="721" t="n">
        <v>112.28</v>
      </c>
      <c r="M1306" s="722" t="n">
        <v>0.003372980649742548</v>
      </c>
      <c r="N1306" s="788" t="n"/>
      <c r="O1306" s="762" t="n">
        <v>-8.74</v>
      </c>
      <c r="P1306" s="725" t="n">
        <v>-0.001550659917570184</v>
      </c>
      <c r="Q1306" s="726" t="n">
        <v>-1.057142857142927</v>
      </c>
      <c r="R1306" s="764" t="n">
        <v>5627.569999999999</v>
      </c>
      <c r="S1306" s="719" t="inlineStr">
        <is>
          <t>20M 0S</t>
        </is>
      </c>
      <c r="T1306" s="728" t="n"/>
      <c r="U1306" s="729" t="n"/>
      <c r="V1306" s="730" t="n"/>
      <c r="W1306" s="731" t="n"/>
      <c r="X1306" s="732" t="n"/>
      <c r="Y1306" s="728" t="n"/>
      <c r="Z1306" s="729" t="n"/>
      <c r="AA1306" s="730" t="n"/>
      <c r="AB1306" s="731" t="n"/>
      <c r="AC1306" s="732" t="n"/>
      <c r="AD1306" s="719" t="inlineStr">
        <is>
          <t>No</t>
        </is>
      </c>
      <c r="AE1306" s="733" t="n"/>
      <c r="AF1306" s="733" t="n"/>
      <c r="AG1306" s="733" t="n"/>
      <c r="AH1306" s="733" t="n"/>
      <c r="AI1306" s="719" t="inlineStr">
        <is>
          <t>Market</t>
        </is>
      </c>
      <c r="AJ1306" s="733" t="n"/>
      <c r="AK1306" s="733" t="n"/>
      <c r="AL1306" s="733" t="n"/>
      <c r="AM1306" s="733" t="n"/>
      <c r="AN1306" s="733" t="n"/>
      <c r="AO1306" s="733" t="n"/>
      <c r="AP1306" s="719" t="inlineStr">
        <is>
          <t>Pullback</t>
        </is>
      </c>
      <c r="AQ1306" s="719" t="inlineStr">
        <is>
          <t>30MIN</t>
        </is>
      </c>
      <c r="AR1306" s="719" t="inlineStr">
        <is>
          <t>No</t>
        </is>
      </c>
      <c r="AS1306" s="733" t="n"/>
      <c r="AT1306" s="733" t="n"/>
      <c r="AU1306" s="733" t="n"/>
      <c r="AV1306" s="733" t="n"/>
      <c r="AW1306" s="719" t="inlineStr">
        <is>
          <t>trade</t>
        </is>
      </c>
      <c r="AX1306" s="734" t="inlineStr">
        <is>
          <t>sig:7c4af20d565ad81c7417e228</t>
        </is>
      </c>
    </row>
    <row r="1307" ht="15" customHeight="1">
      <c r="A1307" s="42" t="inlineStr">
        <is>
          <t>F242</t>
        </is>
      </c>
      <c r="B1307" s="770" t="n">
        <v>43383.78888888889</v>
      </c>
      <c r="C1307" s="771" t="n">
        <v>43383.93611111111</v>
      </c>
      <c r="D1307" s="12" t="inlineStr">
        <is>
          <t>PEPPERSTONE DEMO</t>
        </is>
      </c>
      <c r="E1307" s="12" t="inlineStr">
        <is>
          <t>NZDUSD</t>
        </is>
      </c>
      <c r="F1307" s="12" t="inlineStr">
        <is>
          <t>BUY</t>
        </is>
      </c>
      <c r="G1307" s="272" t="n">
        <v>0.06</v>
      </c>
      <c r="H1307" s="262" t="n">
        <v>0.646</v>
      </c>
      <c r="I1307" s="262" t="n">
        <v>0.64605</v>
      </c>
      <c r="J1307" s="263" t="n">
        <v>0.645</v>
      </c>
      <c r="K1307" s="36" t="n">
        <v>0.001547987616099073</v>
      </c>
      <c r="L1307" s="263" t="n">
        <v>0.649</v>
      </c>
      <c r="M1307" s="36" t="n">
        <v>0.004643962848297218</v>
      </c>
      <c r="N1307" s="779" t="n"/>
      <c r="O1307" s="773" t="n">
        <v>0</v>
      </c>
      <c r="P1307" s="3" t="n">
        <v>0</v>
      </c>
      <c r="Q1307" s="274" t="n">
        <v>0.04999999999999445</v>
      </c>
      <c r="R1307" s="54" t="n">
        <v>5636.309999999999</v>
      </c>
      <c r="S1307" s="12" t="inlineStr">
        <is>
          <t>3H 32M 0S</t>
        </is>
      </c>
      <c r="T1307" s="774" t="n"/>
      <c r="U1307" s="6" t="n"/>
      <c r="V1307" s="264" t="n"/>
      <c r="W1307" s="9" t="n"/>
      <c r="X1307" s="46" t="n"/>
      <c r="Y1307" s="774" t="n"/>
      <c r="Z1307" s="6" t="n"/>
      <c r="AA1307" s="264" t="n"/>
      <c r="AB1307" s="9" t="n"/>
      <c r="AC1307" s="46" t="n"/>
      <c r="AD1307" s="12" t="inlineStr">
        <is>
          <t>No</t>
        </is>
      </c>
      <c r="AE1307" s="45" t="n"/>
      <c r="AF1307" s="45" t="n"/>
      <c r="AG1307" s="45" t="n"/>
      <c r="AH1307" s="45" t="n"/>
      <c r="AI1307" s="12" t="inlineStr">
        <is>
          <t>Limit</t>
        </is>
      </c>
      <c r="AJ1307" s="45" t="n"/>
      <c r="AK1307" s="45" t="n"/>
      <c r="AL1307" s="45" t="n"/>
      <c r="AM1307" s="45" t="n"/>
      <c r="AN1307" s="45" t="n"/>
      <c r="AO1307" s="45" t="n"/>
      <c r="AP1307" s="12" t="inlineStr">
        <is>
          <t>Pullback</t>
        </is>
      </c>
      <c r="AQ1307" s="12" t="inlineStr">
        <is>
          <t>30MIN</t>
        </is>
      </c>
      <c r="AR1307" s="12" t="inlineStr">
        <is>
          <t>Yes</t>
        </is>
      </c>
      <c r="AS1307" s="45" t="n"/>
      <c r="AT1307" s="45" t="n"/>
      <c r="AU1307" s="45" t="n"/>
      <c r="AV1307" s="45" t="n"/>
      <c r="AW1307" s="12" t="inlineStr">
        <is>
          <t>trade</t>
        </is>
      </c>
      <c r="AX1307" s="57" t="inlineStr">
        <is>
          <t>sig:8c863320c04c4d0035a80ef3</t>
        </is>
      </c>
    </row>
    <row r="1308" ht="15" customHeight="1">
      <c r="A1308" s="716" t="inlineStr">
        <is>
          <t>F243</t>
        </is>
      </c>
      <c r="B1308" s="717" t="n">
        <v>43383.21875</v>
      </c>
      <c r="C1308" s="718" t="n">
        <v>43383.24722222222</v>
      </c>
      <c r="D1308" s="719" t="inlineStr">
        <is>
          <t>PEPPERSTONE DEMO</t>
        </is>
      </c>
      <c r="E1308" s="719" t="inlineStr">
        <is>
          <t>EURUSD</t>
        </is>
      </c>
      <c r="F1308" s="719" t="inlineStr">
        <is>
          <t>SELL</t>
        </is>
      </c>
      <c r="G1308" s="735" t="n">
        <v>0.08</v>
      </c>
      <c r="H1308" s="720" t="n">
        <v>1.149</v>
      </c>
      <c r="I1308" s="720" t="n">
        <v>1.14986</v>
      </c>
      <c r="J1308" s="721" t="n">
        <v>1.1498</v>
      </c>
      <c r="K1308" s="760" t="n">
        <v>0.0006962576153175909</v>
      </c>
      <c r="L1308" s="721" t="n">
        <v>1.1474</v>
      </c>
      <c r="M1308" s="722" t="n">
        <v>0.001392515230635375</v>
      </c>
      <c r="N1308" s="788" t="n"/>
      <c r="O1308" s="762" t="n">
        <v>-9.01</v>
      </c>
      <c r="P1308" s="725" t="n">
        <v>-0.001596012272112121</v>
      </c>
      <c r="Q1308" s="726" t="n">
        <v>-1.075000000000222</v>
      </c>
      <c r="R1308" s="764" t="n">
        <v>5636.309999999999</v>
      </c>
      <c r="S1308" s="719" t="inlineStr">
        <is>
          <t>41M 0S</t>
        </is>
      </c>
      <c r="T1308" s="728" t="n"/>
      <c r="U1308" s="729" t="n"/>
      <c r="V1308" s="730" t="n"/>
      <c r="W1308" s="731" t="n"/>
      <c r="X1308" s="732" t="n"/>
      <c r="Y1308" s="728" t="n"/>
      <c r="Z1308" s="729" t="n"/>
      <c r="AA1308" s="730" t="n"/>
      <c r="AB1308" s="731" t="n"/>
      <c r="AC1308" s="732" t="n"/>
      <c r="AD1308" s="719" t="inlineStr">
        <is>
          <t>No</t>
        </is>
      </c>
      <c r="AE1308" s="733" t="n"/>
      <c r="AF1308" s="733" t="n"/>
      <c r="AG1308" s="733" t="n"/>
      <c r="AH1308" s="733" t="n"/>
      <c r="AI1308" s="719" t="inlineStr">
        <is>
          <t>Market</t>
        </is>
      </c>
      <c r="AJ1308" s="733" t="n"/>
      <c r="AK1308" s="733" t="n"/>
      <c r="AL1308" s="733" t="n"/>
      <c r="AM1308" s="733" t="n"/>
      <c r="AN1308" s="733" t="n"/>
      <c r="AO1308" s="733" t="n"/>
      <c r="AP1308" s="719" t="inlineStr">
        <is>
          <t>Pullback</t>
        </is>
      </c>
      <c r="AQ1308" s="719" t="inlineStr">
        <is>
          <t>30MIN</t>
        </is>
      </c>
      <c r="AR1308" s="719" t="inlineStr">
        <is>
          <t>No</t>
        </is>
      </c>
      <c r="AS1308" s="733" t="n"/>
      <c r="AT1308" s="733" t="n"/>
      <c r="AU1308" s="733" t="n"/>
      <c r="AV1308" s="733" t="n"/>
      <c r="AW1308" s="719" t="inlineStr">
        <is>
          <t>trade</t>
        </is>
      </c>
      <c r="AX1308" s="734" t="inlineStr">
        <is>
          <t>sig:a449c1f31d110547a7fed375</t>
        </is>
      </c>
    </row>
    <row r="1309" ht="15" customHeight="1">
      <c r="A1309" s="716" t="inlineStr">
        <is>
          <t>F245</t>
        </is>
      </c>
      <c r="B1309" s="717" t="n">
        <v>43383.16666666666</v>
      </c>
      <c r="C1309" s="718" t="n">
        <v>43383.21736111111</v>
      </c>
      <c r="D1309" s="719" t="inlineStr">
        <is>
          <t>PEPPERSTONE DEMO</t>
        </is>
      </c>
      <c r="E1309" s="719" t="inlineStr">
        <is>
          <t>USDCHF</t>
        </is>
      </c>
      <c r="F1309" s="719" t="inlineStr">
        <is>
          <t>BUY</t>
        </is>
      </c>
      <c r="G1309" s="735" t="n">
        <v>0.08</v>
      </c>
      <c r="H1309" s="720" t="n">
        <v>0.9926</v>
      </c>
      <c r="I1309" s="720" t="n">
        <v>0.99188</v>
      </c>
      <c r="J1309" s="721" t="n">
        <v>0.9918</v>
      </c>
      <c r="K1309" s="760" t="n">
        <v>0.0008059641345960335</v>
      </c>
      <c r="L1309" s="721" t="n">
        <v>0.9943</v>
      </c>
      <c r="M1309" s="722" t="n">
        <v>0.001712673786016445</v>
      </c>
      <c r="N1309" s="788" t="n"/>
      <c r="O1309" s="762" t="n">
        <v>-9.09</v>
      </c>
      <c r="P1309" s="725" t="n">
        <v>-0.001607594780003573</v>
      </c>
      <c r="Q1309" s="726" t="n">
        <v>-0.9000000000000417</v>
      </c>
      <c r="R1309" s="764" t="n">
        <v>5645.319999999999</v>
      </c>
      <c r="S1309" s="719" t="inlineStr">
        <is>
          <t>1H 13M 0S</t>
        </is>
      </c>
      <c r="T1309" s="728" t="n"/>
      <c r="U1309" s="729" t="n"/>
      <c r="V1309" s="730" t="n"/>
      <c r="W1309" s="731" t="n"/>
      <c r="X1309" s="732" t="n"/>
      <c r="Y1309" s="728" t="n"/>
      <c r="Z1309" s="729" t="n"/>
      <c r="AA1309" s="730" t="n"/>
      <c r="AB1309" s="731" t="n"/>
      <c r="AC1309" s="732" t="n"/>
      <c r="AD1309" s="719" t="inlineStr">
        <is>
          <t>No</t>
        </is>
      </c>
      <c r="AE1309" s="733" t="n"/>
      <c r="AF1309" s="733" t="n"/>
      <c r="AG1309" s="733" t="n"/>
      <c r="AH1309" s="733" t="n"/>
      <c r="AI1309" s="719" t="inlineStr">
        <is>
          <t>Market</t>
        </is>
      </c>
      <c r="AJ1309" s="733" t="n"/>
      <c r="AK1309" s="733" t="n"/>
      <c r="AL1309" s="733" t="n"/>
      <c r="AM1309" s="733" t="n"/>
      <c r="AN1309" s="733" t="n"/>
      <c r="AO1309" s="733" t="n"/>
      <c r="AP1309" s="719" t="inlineStr">
        <is>
          <t>Pullback</t>
        </is>
      </c>
      <c r="AQ1309" s="719" t="inlineStr">
        <is>
          <t>30MIN</t>
        </is>
      </c>
      <c r="AR1309" s="719" t="inlineStr">
        <is>
          <t>No</t>
        </is>
      </c>
      <c r="AS1309" s="733" t="n"/>
      <c r="AT1309" s="733" t="n"/>
      <c r="AU1309" s="733" t="n"/>
      <c r="AV1309" s="733" t="n"/>
      <c r="AW1309" s="719" t="inlineStr">
        <is>
          <t>trade</t>
        </is>
      </c>
      <c r="AX1309" s="734" t="inlineStr">
        <is>
          <t>sig:56d7b5607690f22c289536df</t>
        </is>
      </c>
    </row>
    <row r="1310" ht="15" customHeight="1">
      <c r="A1310" s="716" t="inlineStr">
        <is>
          <t>F244</t>
        </is>
      </c>
      <c r="B1310" s="717" t="n">
        <v>43383.09097222222</v>
      </c>
      <c r="C1310" s="718" t="n">
        <v>43383.14444444444</v>
      </c>
      <c r="D1310" s="719" t="inlineStr">
        <is>
          <t>PEPPERSTONE LIVE</t>
        </is>
      </c>
      <c r="E1310" s="719" t="inlineStr">
        <is>
          <t>USDCAD</t>
        </is>
      </c>
      <c r="F1310" s="719" t="inlineStr">
        <is>
          <t>BUY</t>
        </is>
      </c>
      <c r="G1310" s="735" t="n">
        <v>0.06</v>
      </c>
      <c r="H1310" s="720" t="n">
        <v>1.2961</v>
      </c>
      <c r="I1310" s="720" t="n">
        <v>1.29459</v>
      </c>
      <c r="J1310" s="721" t="n">
        <v>1.2946</v>
      </c>
      <c r="K1310" s="722" t="n">
        <v>0.00115731810817071</v>
      </c>
      <c r="L1310" s="721" t="n">
        <v>1.3001</v>
      </c>
      <c r="M1310" s="722" t="n">
        <v>0.003086181621788445</v>
      </c>
      <c r="N1310" s="788" t="n"/>
      <c r="O1310" s="762" t="n">
        <v>-9.859999999999999</v>
      </c>
      <c r="P1310" s="725" t="n">
        <v>-0.01011541420877148</v>
      </c>
      <c r="Q1310" s="726" t="n">
        <v>-1.00666666666671</v>
      </c>
      <c r="R1310" s="764" t="n">
        <v>964.89</v>
      </c>
      <c r="S1310" s="719" t="inlineStr">
        <is>
          <t>1H 17M 0S</t>
        </is>
      </c>
      <c r="T1310" s="728" t="n"/>
      <c r="U1310" s="729" t="n"/>
      <c r="V1310" s="730" t="n"/>
      <c r="W1310" s="731" t="n"/>
      <c r="X1310" s="732" t="n"/>
      <c r="Y1310" s="728" t="n"/>
      <c r="Z1310" s="729" t="n"/>
      <c r="AA1310" s="730" t="n"/>
      <c r="AB1310" s="731" t="n"/>
      <c r="AC1310" s="732" t="n"/>
      <c r="AD1310" s="719" t="inlineStr">
        <is>
          <t>No</t>
        </is>
      </c>
      <c r="AE1310" s="733" t="n"/>
      <c r="AF1310" s="733" t="n"/>
      <c r="AG1310" s="733" t="n"/>
      <c r="AH1310" s="733" t="n"/>
      <c r="AI1310" s="719" t="inlineStr">
        <is>
          <t>Market</t>
        </is>
      </c>
      <c r="AJ1310" s="733" t="n"/>
      <c r="AK1310" s="733" t="n"/>
      <c r="AL1310" s="733" t="n"/>
      <c r="AM1310" s="733" t="n"/>
      <c r="AN1310" s="733" t="n"/>
      <c r="AO1310" s="733" t="n"/>
      <c r="AP1310" s="719" t="inlineStr">
        <is>
          <t>Pullback</t>
        </is>
      </c>
      <c r="AQ1310" s="719" t="inlineStr">
        <is>
          <t>30MIN</t>
        </is>
      </c>
      <c r="AR1310" s="719" t="inlineStr">
        <is>
          <t>No</t>
        </is>
      </c>
      <c r="AS1310" s="733" t="n"/>
      <c r="AT1310" s="733" t="n"/>
      <c r="AU1310" s="733" t="n"/>
      <c r="AV1310" s="733" t="n"/>
      <c r="AW1310" s="719" t="inlineStr">
        <is>
          <t>trade</t>
        </is>
      </c>
      <c r="AX1310" s="734" t="inlineStr">
        <is>
          <t>sig:4ed3083ba4a1cd50ab3dd9a3</t>
        </is>
      </c>
    </row>
    <row r="1311" ht="15" customHeight="1">
      <c r="A1311" s="737" t="inlineStr">
        <is>
          <t>F241</t>
        </is>
      </c>
      <c r="B1311" s="738" t="n">
        <v>43382.80069444444</v>
      </c>
      <c r="C1311" s="739" t="n">
        <v>43382.95625</v>
      </c>
      <c r="D1311" s="740" t="inlineStr">
        <is>
          <t>PEPPERSTONE LIVE</t>
        </is>
      </c>
      <c r="E1311" s="740" t="inlineStr">
        <is>
          <t>USDCHF</t>
        </is>
      </c>
      <c r="F1311" s="740" t="inlineStr">
        <is>
          <t>BUY</t>
        </is>
      </c>
      <c r="G1311" s="775" t="n">
        <v>0.07000000000000001</v>
      </c>
      <c r="H1311" s="742" t="n">
        <v>0.99431</v>
      </c>
      <c r="I1311" s="742" t="n">
        <v>0.99476</v>
      </c>
      <c r="J1311" s="743" t="n">
        <v>0.9933999999999999</v>
      </c>
      <c r="K1311" s="765" t="n">
        <v>0.0009152075308506174</v>
      </c>
      <c r="L1311" s="743" t="n">
        <v>0.9961</v>
      </c>
      <c r="M1311" s="744" t="n">
        <v>0.001800243384859811</v>
      </c>
      <c r="N1311" s="796" t="n"/>
      <c r="O1311" s="767" t="n">
        <v>1.92</v>
      </c>
      <c r="P1311" s="747" t="n">
        <v>0.001973623346319501</v>
      </c>
      <c r="Q1311" s="748" t="n">
        <v>0.494505494505398</v>
      </c>
      <c r="R1311" s="769" t="n">
        <v>974.75</v>
      </c>
      <c r="S1311" s="740" t="inlineStr">
        <is>
          <t>3H 44M 0S</t>
        </is>
      </c>
      <c r="T1311" s="750" t="n"/>
      <c r="U1311" s="751" t="n"/>
      <c r="V1311" s="752" t="n"/>
      <c r="W1311" s="753" t="n"/>
      <c r="X1311" s="754" t="n"/>
      <c r="Y1311" s="750" t="n"/>
      <c r="Z1311" s="751" t="n"/>
      <c r="AA1311" s="752" t="n"/>
      <c r="AB1311" s="753" t="n"/>
      <c r="AC1311" s="754" t="n"/>
      <c r="AD1311" s="740" t="inlineStr">
        <is>
          <t>No</t>
        </is>
      </c>
      <c r="AE1311" s="755" t="n"/>
      <c r="AF1311" s="755" t="n"/>
      <c r="AG1311" s="755" t="n"/>
      <c r="AH1311" s="755" t="n"/>
      <c r="AI1311" s="740" t="inlineStr">
        <is>
          <t>Market</t>
        </is>
      </c>
      <c r="AJ1311" s="755" t="n"/>
      <c r="AK1311" s="755" t="n"/>
      <c r="AL1311" s="755" t="n"/>
      <c r="AM1311" s="755" t="n"/>
      <c r="AN1311" s="755" t="n"/>
      <c r="AO1311" s="755" t="n"/>
      <c r="AP1311" s="740" t="inlineStr">
        <is>
          <t>Pullback</t>
        </is>
      </c>
      <c r="AQ1311" s="740" t="inlineStr">
        <is>
          <t>30MIN</t>
        </is>
      </c>
      <c r="AR1311" s="740" t="inlineStr">
        <is>
          <t>No</t>
        </is>
      </c>
      <c r="AS1311" s="755" t="n"/>
      <c r="AT1311" s="755" t="n"/>
      <c r="AU1311" s="755" t="n"/>
      <c r="AV1311" s="755" t="n"/>
      <c r="AW1311" s="740" t="inlineStr">
        <is>
          <t>trade</t>
        </is>
      </c>
      <c r="AX1311" s="756" t="inlineStr">
        <is>
          <t>sig:5639effd50285d7aee64666d</t>
        </is>
      </c>
    </row>
    <row r="1312" ht="15" customHeight="1">
      <c r="A1312" s="716" t="inlineStr">
        <is>
          <t>F239</t>
        </is>
      </c>
      <c r="B1312" s="717" t="n">
        <v>43382.74652777778</v>
      </c>
      <c r="C1312" s="718" t="n">
        <v>43382.79375</v>
      </c>
      <c r="D1312" s="719" t="inlineStr">
        <is>
          <t>PEPPERSTONE DEMO</t>
        </is>
      </c>
      <c r="E1312" s="719" t="inlineStr">
        <is>
          <t>USDCHF</t>
        </is>
      </c>
      <c r="F1312" s="719" t="inlineStr">
        <is>
          <t>BUY</t>
        </is>
      </c>
      <c r="G1312" s="735" t="n">
        <v>0.07000000000000001</v>
      </c>
      <c r="H1312" s="720" t="n">
        <v>0.9946</v>
      </c>
      <c r="I1312" s="720" t="n">
        <v>0.9937</v>
      </c>
      <c r="J1312" s="721" t="n">
        <v>0.9937</v>
      </c>
      <c r="K1312" s="760" t="n">
        <v>0.0009048863864870418</v>
      </c>
      <c r="L1312" s="721" t="n">
        <v>0.9964</v>
      </c>
      <c r="M1312" s="722" t="n">
        <v>0.001809772772973972</v>
      </c>
      <c r="N1312" s="788" t="n"/>
      <c r="O1312" s="762" t="n">
        <v>-8.960000000000001</v>
      </c>
      <c r="P1312" s="725" t="n">
        <v>-0.001582096878713558</v>
      </c>
      <c r="Q1312" s="726" t="n">
        <v>-1</v>
      </c>
      <c r="R1312" s="764" t="n">
        <v>5654.409999999999</v>
      </c>
      <c r="S1312" s="719" t="inlineStr">
        <is>
          <t>1H 8M 0S</t>
        </is>
      </c>
      <c r="T1312" s="728" t="n"/>
      <c r="U1312" s="729" t="n"/>
      <c r="V1312" s="730" t="n"/>
      <c r="W1312" s="731" t="n"/>
      <c r="X1312" s="732" t="n"/>
      <c r="Y1312" s="728" t="n"/>
      <c r="Z1312" s="729" t="n"/>
      <c r="AA1312" s="730" t="n"/>
      <c r="AB1312" s="731" t="n"/>
      <c r="AC1312" s="732" t="n"/>
      <c r="AD1312" s="719" t="inlineStr">
        <is>
          <t>No</t>
        </is>
      </c>
      <c r="AE1312" s="733" t="n"/>
      <c r="AF1312" s="733" t="n"/>
      <c r="AG1312" s="733" t="n"/>
      <c r="AH1312" s="733" t="n"/>
      <c r="AI1312" s="719" t="inlineStr">
        <is>
          <t>Limit</t>
        </is>
      </c>
      <c r="AJ1312" s="733" t="n"/>
      <c r="AK1312" s="733" t="n"/>
      <c r="AL1312" s="733" t="n"/>
      <c r="AM1312" s="733" t="n"/>
      <c r="AN1312" s="733" t="n"/>
      <c r="AO1312" s="733" t="n"/>
      <c r="AP1312" s="719" t="inlineStr">
        <is>
          <t>Pullback</t>
        </is>
      </c>
      <c r="AQ1312" s="719" t="inlineStr">
        <is>
          <t>30MIN</t>
        </is>
      </c>
      <c r="AR1312" s="719" t="inlineStr">
        <is>
          <t>No</t>
        </is>
      </c>
      <c r="AS1312" s="733" t="n"/>
      <c r="AT1312" s="733" t="n"/>
      <c r="AU1312" s="733" t="n"/>
      <c r="AV1312" s="733" t="n"/>
      <c r="AW1312" s="719" t="inlineStr">
        <is>
          <t>trade</t>
        </is>
      </c>
      <c r="AX1312" s="734" t="inlineStr">
        <is>
          <t>sig:c0e8fdf30a702d27e9b75386</t>
        </is>
      </c>
    </row>
    <row r="1313" ht="15" customHeight="1">
      <c r="A1313" s="716" t="inlineStr">
        <is>
          <t>F240</t>
        </is>
      </c>
      <c r="B1313" s="717" t="n">
        <v>43382.04861111111</v>
      </c>
      <c r="C1313" s="718" t="n">
        <v>43382.11666666667</v>
      </c>
      <c r="D1313" s="719" t="inlineStr">
        <is>
          <t>PEPPERSTONE LIVE</t>
        </is>
      </c>
      <c r="E1313" s="719" t="inlineStr">
        <is>
          <t>USDCAD</t>
        </is>
      </c>
      <c r="F1313" s="719" t="inlineStr">
        <is>
          <t>BUY</t>
        </is>
      </c>
      <c r="G1313" s="735" t="n">
        <v>0.07000000000000001</v>
      </c>
      <c r="H1313" s="720" t="n">
        <v>1.2977</v>
      </c>
      <c r="I1313" s="720" t="n">
        <v>1.29642</v>
      </c>
      <c r="J1313" s="721" t="n">
        <v>1.2965</v>
      </c>
      <c r="K1313" s="760" t="n">
        <v>0.0009247129536873621</v>
      </c>
      <c r="L1313" s="721" t="n">
        <v>1.3002</v>
      </c>
      <c r="M1313" s="722" t="n">
        <v>0.001926485320181819</v>
      </c>
      <c r="N1313" s="788" t="n"/>
      <c r="O1313" s="762" t="n">
        <v>-9.77</v>
      </c>
      <c r="P1313" s="725" t="n">
        <v>-0.009943008345206594</v>
      </c>
      <c r="Q1313" s="726" t="n">
        <v>-1.066666666666728</v>
      </c>
      <c r="R1313" s="764" t="n">
        <v>972.83</v>
      </c>
      <c r="S1313" s="719" t="inlineStr">
        <is>
          <t>1H 38M 0S</t>
        </is>
      </c>
      <c r="T1313" s="728" t="n"/>
      <c r="U1313" s="729" t="n"/>
      <c r="V1313" s="730" t="n"/>
      <c r="W1313" s="731" t="n"/>
      <c r="X1313" s="732" t="n"/>
      <c r="Y1313" s="728" t="n"/>
      <c r="Z1313" s="729" t="n"/>
      <c r="AA1313" s="730" t="n"/>
      <c r="AB1313" s="731" t="n"/>
      <c r="AC1313" s="732" t="n"/>
      <c r="AD1313" s="719" t="inlineStr">
        <is>
          <t>No</t>
        </is>
      </c>
      <c r="AE1313" s="733" t="n"/>
      <c r="AF1313" s="733" t="n"/>
      <c r="AG1313" s="733" t="n"/>
      <c r="AH1313" s="733" t="n"/>
      <c r="AI1313" s="719" t="inlineStr">
        <is>
          <t>Market</t>
        </is>
      </c>
      <c r="AJ1313" s="733" t="n"/>
      <c r="AK1313" s="733" t="n"/>
      <c r="AL1313" s="733" t="n"/>
      <c r="AM1313" s="733" t="n"/>
      <c r="AN1313" s="733" t="n"/>
      <c r="AO1313" s="733" t="n"/>
      <c r="AP1313" s="719" t="inlineStr">
        <is>
          <t>Pullback</t>
        </is>
      </c>
      <c r="AQ1313" s="719" t="inlineStr">
        <is>
          <t>30MIN</t>
        </is>
      </c>
      <c r="AR1313" s="719" t="inlineStr">
        <is>
          <t>No</t>
        </is>
      </c>
      <c r="AS1313" s="733" t="n"/>
      <c r="AT1313" s="733" t="n"/>
      <c r="AU1313" s="733" t="n"/>
      <c r="AV1313" s="733" t="n"/>
      <c r="AW1313" s="719" t="inlineStr">
        <is>
          <t>trade</t>
        </is>
      </c>
      <c r="AX1313" s="734" t="inlineStr">
        <is>
          <t>sig:bca87cbfdb6f44179ec4f9d1</t>
        </is>
      </c>
    </row>
    <row r="1314" ht="15" customHeight="1">
      <c r="A1314" s="737" t="inlineStr">
        <is>
          <t>F237</t>
        </is>
      </c>
      <c r="B1314" s="738" t="n">
        <v>43381.86111111111</v>
      </c>
      <c r="C1314" s="739" t="n">
        <v>43381.97638888889</v>
      </c>
      <c r="D1314" s="740" t="inlineStr">
        <is>
          <t>PEPPERSTONE LIVE</t>
        </is>
      </c>
      <c r="E1314" s="740" t="inlineStr">
        <is>
          <t>USDJPY</t>
        </is>
      </c>
      <c r="F1314" s="740" t="inlineStr">
        <is>
          <t>SELL</t>
        </is>
      </c>
      <c r="G1314" s="775" t="n">
        <v>0.07000000000000001</v>
      </c>
      <c r="H1314" s="742" t="n">
        <v>113.34</v>
      </c>
      <c r="I1314" s="742" t="n">
        <v>113.124</v>
      </c>
      <c r="J1314" s="743" t="n">
        <v>113.45</v>
      </c>
      <c r="K1314" s="765" t="n">
        <v>0.0009705311452267463</v>
      </c>
      <c r="L1314" s="743" t="n">
        <v>113.12</v>
      </c>
      <c r="M1314" s="744" t="n">
        <v>0.001941062290453493</v>
      </c>
      <c r="N1314" s="796" t="n"/>
      <c r="O1314" s="767" t="n">
        <v>18.93</v>
      </c>
      <c r="P1314" s="747" t="n">
        <v>0.01964365394792823</v>
      </c>
      <c r="Q1314" s="748" t="n">
        <v>1.963636363636448</v>
      </c>
      <c r="R1314" s="769" t="n">
        <v>982.6</v>
      </c>
      <c r="S1314" s="740" t="inlineStr">
        <is>
          <t>2H 46M 0S</t>
        </is>
      </c>
      <c r="T1314" s="738" t="n"/>
      <c r="U1314" s="809" t="n"/>
      <c r="V1314" s="752" t="n"/>
      <c r="W1314" s="753" t="n"/>
      <c r="X1314" s="754" t="n"/>
      <c r="Y1314" s="750" t="n"/>
      <c r="Z1314" s="751" t="n"/>
      <c r="AA1314" s="752" t="n"/>
      <c r="AB1314" s="753" t="n"/>
      <c r="AC1314" s="754" t="n"/>
      <c r="AD1314" s="740" t="inlineStr">
        <is>
          <t>No</t>
        </is>
      </c>
      <c r="AE1314" s="755" t="n"/>
      <c r="AF1314" s="755" t="n"/>
      <c r="AG1314" s="755" t="n"/>
      <c r="AH1314" s="755" t="n"/>
      <c r="AI1314" s="740" t="inlineStr">
        <is>
          <t>Limit</t>
        </is>
      </c>
      <c r="AJ1314" s="755" t="n"/>
      <c r="AK1314" s="755" t="n"/>
      <c r="AL1314" s="755" t="n"/>
      <c r="AM1314" s="755" t="n"/>
      <c r="AN1314" s="755" t="n"/>
      <c r="AO1314" s="755" t="n"/>
      <c r="AP1314" s="740" t="inlineStr">
        <is>
          <t>Pullback</t>
        </is>
      </c>
      <c r="AQ1314" s="740" t="inlineStr">
        <is>
          <t>30MIN</t>
        </is>
      </c>
      <c r="AR1314" s="740" t="inlineStr">
        <is>
          <t>No</t>
        </is>
      </c>
      <c r="AS1314" s="755" t="n"/>
      <c r="AT1314" s="755" t="n"/>
      <c r="AU1314" s="755" t="n"/>
      <c r="AV1314" s="755" t="n"/>
      <c r="AW1314" s="740" t="inlineStr">
        <is>
          <t>trade</t>
        </is>
      </c>
      <c r="AX1314" s="756" t="inlineStr">
        <is>
          <t>sig:fbe7e80f0e736204ebdb6929</t>
        </is>
      </c>
    </row>
    <row r="1315" ht="15" customHeight="1">
      <c r="A1315" s="716" t="inlineStr">
        <is>
          <t>F238</t>
        </is>
      </c>
      <c r="B1315" s="717" t="n">
        <v>43381.68472222222</v>
      </c>
      <c r="C1315" s="718" t="n">
        <v>43381.78125</v>
      </c>
      <c r="D1315" s="719" t="inlineStr">
        <is>
          <t>PEPPERSTONE DEMO</t>
        </is>
      </c>
      <c r="E1315" s="719" t="inlineStr">
        <is>
          <t>NZDUSD</t>
        </is>
      </c>
      <c r="F1315" s="719" t="inlineStr">
        <is>
          <t>SELL</t>
        </is>
      </c>
      <c r="G1315" s="720" t="n">
        <v>0.11</v>
      </c>
      <c r="H1315" s="720" t="n">
        <v>0.644</v>
      </c>
      <c r="I1315" s="720" t="n">
        <v>0.6446499999999999</v>
      </c>
      <c r="J1315" s="721" t="n">
        <v>0.6446</v>
      </c>
      <c r="K1315" s="760" t="n">
        <v>0.0009316770186334378</v>
      </c>
      <c r="L1315" s="721" t="n">
        <v>0.6428</v>
      </c>
      <c r="M1315" s="722" t="n">
        <v>0.001863354037267048</v>
      </c>
      <c r="N1315" s="788" t="n"/>
      <c r="O1315" s="762" t="n">
        <v>-9.359999999999999</v>
      </c>
      <c r="P1315" s="725" t="n">
        <v>-0.001649999206731151</v>
      </c>
      <c r="Q1315" s="726" t="n">
        <v>-1.083333333333333</v>
      </c>
      <c r="R1315" s="764" t="n">
        <v>5663.369999999999</v>
      </c>
      <c r="S1315" s="719" t="inlineStr">
        <is>
          <t>2H 19M 0S</t>
        </is>
      </c>
      <c r="T1315" s="717" t="n"/>
      <c r="U1315" s="806" t="n"/>
      <c r="V1315" s="730" t="n"/>
      <c r="W1315" s="731" t="n"/>
      <c r="X1315" s="732" t="n"/>
      <c r="Y1315" s="728" t="n"/>
      <c r="Z1315" s="729" t="n"/>
      <c r="AA1315" s="730" t="n"/>
      <c r="AB1315" s="731" t="n"/>
      <c r="AC1315" s="732" t="n"/>
      <c r="AD1315" s="719" t="inlineStr">
        <is>
          <t>No</t>
        </is>
      </c>
      <c r="AE1315" s="733" t="n"/>
      <c r="AF1315" s="733" t="n"/>
      <c r="AG1315" s="733" t="n"/>
      <c r="AH1315" s="733" t="n"/>
      <c r="AI1315" s="719" t="inlineStr">
        <is>
          <t>Market</t>
        </is>
      </c>
      <c r="AJ1315" s="733" t="n"/>
      <c r="AK1315" s="733" t="n"/>
      <c r="AL1315" s="733" t="n"/>
      <c r="AM1315" s="733" t="n"/>
      <c r="AN1315" s="733" t="n"/>
      <c r="AO1315" s="733" t="n"/>
      <c r="AP1315" s="719" t="inlineStr">
        <is>
          <t>Pullback</t>
        </is>
      </c>
      <c r="AQ1315" s="719" t="inlineStr">
        <is>
          <t>30MIN</t>
        </is>
      </c>
      <c r="AR1315" s="719" t="inlineStr">
        <is>
          <t>No</t>
        </is>
      </c>
      <c r="AS1315" s="733" t="n"/>
      <c r="AT1315" s="733" t="n"/>
      <c r="AU1315" s="733" t="n"/>
      <c r="AV1315" s="733" t="n"/>
      <c r="AW1315" s="719" t="inlineStr">
        <is>
          <t>trade</t>
        </is>
      </c>
      <c r="AX1315" s="734" t="inlineStr">
        <is>
          <t>sig:111e44f04f5ba7bbcfe8b99e</t>
        </is>
      </c>
    </row>
    <row r="1316" ht="15" customHeight="1">
      <c r="A1316" s="737" t="inlineStr">
        <is>
          <t>F236</t>
        </is>
      </c>
      <c r="B1316" s="738" t="n">
        <v>43378.95347222222</v>
      </c>
      <c r="C1316" s="739" t="n">
        <v>43379.28055555555</v>
      </c>
      <c r="D1316" s="740" t="inlineStr">
        <is>
          <t>PEPPERSTONE LIVE</t>
        </is>
      </c>
      <c r="E1316" s="740" t="inlineStr">
        <is>
          <t>USDCAD</t>
        </is>
      </c>
      <c r="F1316" s="740" t="inlineStr">
        <is>
          <t>BUY</t>
        </is>
      </c>
      <c r="G1316" s="775" t="n">
        <v>0.05</v>
      </c>
      <c r="H1316" s="742" t="n">
        <v>1.292</v>
      </c>
      <c r="I1316" s="742" t="n">
        <v>1.29474</v>
      </c>
      <c r="J1316" s="743" t="n">
        <v>1.2903</v>
      </c>
      <c r="K1316" s="744" t="n">
        <v>0.001315789473684237</v>
      </c>
      <c r="L1316" s="743" t="n">
        <v>1.2955</v>
      </c>
      <c r="M1316" s="744" t="n">
        <v>0.00270897832817342</v>
      </c>
      <c r="N1316" s="796" t="n"/>
      <c r="O1316" s="767" t="n">
        <v>12.61</v>
      </c>
      <c r="P1316" s="747" t="n">
        <v>0.01325889008054171</v>
      </c>
      <c r="Q1316" s="748" t="n">
        <v>1.611764705882299</v>
      </c>
      <c r="R1316" s="769" t="n">
        <v>963.6700000000001</v>
      </c>
      <c r="S1316" s="740" t="inlineStr">
        <is>
          <t>7H 51M 0S</t>
        </is>
      </c>
      <c r="T1316" s="750" t="n"/>
      <c r="U1316" s="751" t="n"/>
      <c r="V1316" s="752" t="n"/>
      <c r="W1316" s="753" t="n"/>
      <c r="X1316" s="754" t="n"/>
      <c r="Y1316" s="750" t="n"/>
      <c r="Z1316" s="751" t="n"/>
      <c r="AA1316" s="752" t="n"/>
      <c r="AB1316" s="753" t="n"/>
      <c r="AC1316" s="754" t="n"/>
      <c r="AD1316" s="740" t="inlineStr">
        <is>
          <t>No</t>
        </is>
      </c>
      <c r="AE1316" s="755" t="n"/>
      <c r="AF1316" s="755" t="n"/>
      <c r="AG1316" s="755" t="n"/>
      <c r="AH1316" s="755" t="n"/>
      <c r="AI1316" s="740" t="inlineStr">
        <is>
          <t>Limit</t>
        </is>
      </c>
      <c r="AJ1316" s="755" t="n"/>
      <c r="AK1316" s="755" t="n"/>
      <c r="AL1316" s="755" t="n"/>
      <c r="AM1316" s="755" t="n"/>
      <c r="AN1316" s="755" t="n"/>
      <c r="AO1316" s="755" t="n"/>
      <c r="AP1316" s="740" t="inlineStr">
        <is>
          <t>Pullback</t>
        </is>
      </c>
      <c r="AQ1316" s="740" t="inlineStr">
        <is>
          <t>30MIN</t>
        </is>
      </c>
      <c r="AR1316" s="740" t="inlineStr">
        <is>
          <t>No</t>
        </is>
      </c>
      <c r="AS1316" s="755" t="n"/>
      <c r="AT1316" s="755" t="n"/>
      <c r="AU1316" s="755" t="n"/>
      <c r="AV1316" s="755" t="n"/>
      <c r="AW1316" s="740" t="inlineStr">
        <is>
          <t>trade</t>
        </is>
      </c>
      <c r="AX1316" s="756" t="inlineStr">
        <is>
          <t>sig:0b2f3959cc8a9b20dbb0dd24</t>
        </is>
      </c>
    </row>
    <row r="1317" ht="15" customHeight="1">
      <c r="A1317" s="716" t="inlineStr">
        <is>
          <t>F235</t>
        </is>
      </c>
      <c r="B1317" s="717" t="n">
        <v>43377.89583333334</v>
      </c>
      <c r="C1317" s="718" t="n">
        <v>43377.89722222222</v>
      </c>
      <c r="D1317" s="719" t="inlineStr">
        <is>
          <t>PEPPERSTONE DEMO</t>
        </is>
      </c>
      <c r="E1317" s="719" t="inlineStr">
        <is>
          <t>EURUSD</t>
        </is>
      </c>
      <c r="F1317" s="719" t="inlineStr">
        <is>
          <t>BUY</t>
        </is>
      </c>
      <c r="G1317" s="720" t="n">
        <v>0.23</v>
      </c>
      <c r="H1317" s="720" t="n">
        <v>1.1502</v>
      </c>
      <c r="I1317" s="720" t="n">
        <v>1.14997</v>
      </c>
      <c r="J1317" s="721" t="n">
        <v>1.1499</v>
      </c>
      <c r="K1317" s="760" t="n">
        <v>0.0002608242044861476</v>
      </c>
      <c r="L1317" s="721" t="n">
        <v>1.1508</v>
      </c>
      <c r="M1317" s="760" t="n">
        <v>0.0005216484089724882</v>
      </c>
      <c r="N1317" s="788" t="n"/>
      <c r="O1317" s="762" t="n">
        <v>-9.74</v>
      </c>
      <c r="P1317" s="725" t="n">
        <v>-0.001714043364945174</v>
      </c>
      <c r="Q1317" s="726" t="n">
        <v>-0.7666666666665927</v>
      </c>
      <c r="R1317" s="764" t="n">
        <v>5672.729999999999</v>
      </c>
      <c r="S1317" s="719" t="inlineStr">
        <is>
          <t>2M 0S</t>
        </is>
      </c>
      <c r="T1317" s="728" t="n"/>
      <c r="U1317" s="729" t="n"/>
      <c r="V1317" s="730" t="n"/>
      <c r="W1317" s="731" t="n"/>
      <c r="X1317" s="732" t="n"/>
      <c r="Y1317" s="728" t="n"/>
      <c r="Z1317" s="729" t="n"/>
      <c r="AA1317" s="730" t="n"/>
      <c r="AB1317" s="731" t="n"/>
      <c r="AC1317" s="732" t="n"/>
      <c r="AD1317" s="719" t="inlineStr">
        <is>
          <t>No</t>
        </is>
      </c>
      <c r="AE1317" s="733" t="n"/>
      <c r="AF1317" s="733" t="n"/>
      <c r="AG1317" s="733" t="n"/>
      <c r="AH1317" s="733" t="n"/>
      <c r="AI1317" s="719" t="n"/>
      <c r="AJ1317" s="733" t="n"/>
      <c r="AK1317" s="733" t="n"/>
      <c r="AL1317" s="733" t="n"/>
      <c r="AM1317" s="733" t="n"/>
      <c r="AN1317" s="733" t="n"/>
      <c r="AO1317" s="733" t="n"/>
      <c r="AP1317" s="719" t="inlineStr">
        <is>
          <t>Pullback</t>
        </is>
      </c>
      <c r="AQ1317" s="719" t="n"/>
      <c r="AR1317" s="719" t="inlineStr">
        <is>
          <t>No</t>
        </is>
      </c>
      <c r="AS1317" s="733" t="n"/>
      <c r="AT1317" s="733" t="n"/>
      <c r="AU1317" s="733" t="n"/>
      <c r="AV1317" s="733" t="n"/>
      <c r="AW1317" s="719" t="inlineStr">
        <is>
          <t>trade</t>
        </is>
      </c>
      <c r="AX1317" s="734" t="inlineStr">
        <is>
          <t>sig:97f9ed520c6319b0cb580823</t>
        </is>
      </c>
    </row>
    <row r="1318" ht="15" customHeight="1">
      <c r="A1318" s="716" t="inlineStr">
        <is>
          <t>F234</t>
        </is>
      </c>
      <c r="B1318" s="717" t="n">
        <v>43377.88333333333</v>
      </c>
      <c r="C1318" s="718" t="n">
        <v>43377.89097222222</v>
      </c>
      <c r="D1318" s="719" t="inlineStr">
        <is>
          <t>PEPPERSTONE DEMO</t>
        </is>
      </c>
      <c r="E1318" s="719" t="inlineStr">
        <is>
          <t>EURUSD</t>
        </is>
      </c>
      <c r="F1318" s="719" t="inlineStr">
        <is>
          <t>BUY</t>
        </is>
      </c>
      <c r="G1318" s="720" t="n">
        <v>0.17</v>
      </c>
      <c r="H1318" s="720" t="n">
        <v>1.1499</v>
      </c>
      <c r="I1318" s="720" t="n">
        <v>1.14962</v>
      </c>
      <c r="J1318" s="721" t="n">
        <v>1.1496</v>
      </c>
      <c r="K1318" s="760" t="n">
        <v>0.0002608922515001017</v>
      </c>
      <c r="L1318" s="721" t="n">
        <v>1.1507</v>
      </c>
      <c r="M1318" s="760" t="n">
        <v>0.000695712670667131</v>
      </c>
      <c r="N1318" s="788" t="n"/>
      <c r="O1318" s="762" t="n">
        <v>-6.72</v>
      </c>
      <c r="P1318" s="725" t="n">
        <v>-0.001181187480115799</v>
      </c>
      <c r="Q1318" s="726" t="n">
        <v>-0.9333333333328893</v>
      </c>
      <c r="R1318" s="764" t="n">
        <v>5682.469999999998</v>
      </c>
      <c r="S1318" s="719" t="inlineStr">
        <is>
          <t>11M 0S</t>
        </is>
      </c>
      <c r="T1318" s="728" t="n"/>
      <c r="U1318" s="729" t="n"/>
      <c r="V1318" s="730" t="n"/>
      <c r="W1318" s="731" t="n"/>
      <c r="X1318" s="732" t="n"/>
      <c r="Y1318" s="728" t="n"/>
      <c r="Z1318" s="729" t="n"/>
      <c r="AA1318" s="730" t="n"/>
      <c r="AB1318" s="731" t="n"/>
      <c r="AC1318" s="732" t="n"/>
      <c r="AD1318" s="719" t="inlineStr">
        <is>
          <t>No</t>
        </is>
      </c>
      <c r="AE1318" s="733" t="n"/>
      <c r="AF1318" s="733" t="n"/>
      <c r="AG1318" s="733" t="n"/>
      <c r="AH1318" s="733" t="n"/>
      <c r="AI1318" s="719" t="inlineStr">
        <is>
          <t>Market</t>
        </is>
      </c>
      <c r="AJ1318" s="733" t="n"/>
      <c r="AK1318" s="733" t="n"/>
      <c r="AL1318" s="733" t="n"/>
      <c r="AM1318" s="733" t="n"/>
      <c r="AN1318" s="733" t="n"/>
      <c r="AO1318" s="733" t="n"/>
      <c r="AP1318" s="719" t="inlineStr">
        <is>
          <t>Pullback</t>
        </is>
      </c>
      <c r="AQ1318" s="719" t="inlineStr">
        <is>
          <t>5MIN</t>
        </is>
      </c>
      <c r="AR1318" s="719" t="inlineStr">
        <is>
          <t>No</t>
        </is>
      </c>
      <c r="AS1318" s="733" t="n"/>
      <c r="AT1318" s="733" t="n"/>
      <c r="AU1318" s="733" t="n"/>
      <c r="AV1318" s="733" t="n"/>
      <c r="AW1318" s="719" t="inlineStr">
        <is>
          <t>trade</t>
        </is>
      </c>
      <c r="AX1318" s="734" t="inlineStr">
        <is>
          <t>sig:b415de85ec276e66e8208e96</t>
        </is>
      </c>
    </row>
    <row r="1319" ht="15" customHeight="1">
      <c r="A1319" s="716" t="inlineStr">
        <is>
          <t>F233</t>
        </is>
      </c>
      <c r="B1319" s="717" t="n">
        <v>43376.89722222222</v>
      </c>
      <c r="C1319" s="718" t="n">
        <v>43376.89753472222</v>
      </c>
      <c r="D1319" s="719" t="inlineStr">
        <is>
          <t>PEPPERSTONE DEMO</t>
        </is>
      </c>
      <c r="E1319" s="719" t="inlineStr">
        <is>
          <t>USDCAD</t>
        </is>
      </c>
      <c r="F1319" s="719" t="inlineStr">
        <is>
          <t>BUY</t>
        </is>
      </c>
      <c r="G1319" s="720" t="n">
        <v>0.45</v>
      </c>
      <c r="H1319" s="720" t="n">
        <v>1.2832</v>
      </c>
      <c r="I1319" s="720" t="n">
        <v>1.28309</v>
      </c>
      <c r="J1319" s="721" t="n">
        <v>1.283</v>
      </c>
      <c r="K1319" s="760" t="n">
        <v>0.0001558603491271649</v>
      </c>
      <c r="L1319" s="721" t="n">
        <v>1.2837</v>
      </c>
      <c r="M1319" s="760" t="n">
        <v>0.0003896508728180853</v>
      </c>
      <c r="N1319" s="788" t="n"/>
      <c r="O1319" s="762" t="n">
        <v>-9.81</v>
      </c>
      <c r="P1319" s="725" t="n">
        <v>-0.001721354623618179</v>
      </c>
      <c r="Q1319" s="726" t="n">
        <v>-0.5499999999992229</v>
      </c>
      <c r="R1319" s="764" t="n">
        <v>5689.189999999999</v>
      </c>
      <c r="S1319" s="719" t="inlineStr">
        <is>
          <t>27S</t>
        </is>
      </c>
      <c r="T1319" s="728" t="n"/>
      <c r="U1319" s="729" t="n"/>
      <c r="V1319" s="730" t="n"/>
      <c r="W1319" s="731" t="n"/>
      <c r="X1319" s="732" t="n"/>
      <c r="Y1319" s="728" t="n"/>
      <c r="Z1319" s="729" t="n"/>
      <c r="AA1319" s="730" t="n"/>
      <c r="AB1319" s="731" t="n"/>
      <c r="AC1319" s="732" t="n"/>
      <c r="AD1319" s="719" t="inlineStr">
        <is>
          <t>No</t>
        </is>
      </c>
      <c r="AE1319" s="733" t="n"/>
      <c r="AF1319" s="733" t="n"/>
      <c r="AG1319" s="733" t="n"/>
      <c r="AH1319" s="733" t="n"/>
      <c r="AI1319" s="719" t="inlineStr">
        <is>
          <t>Limit</t>
        </is>
      </c>
      <c r="AJ1319" s="733" t="n"/>
      <c r="AK1319" s="733" t="n"/>
      <c r="AL1319" s="733" t="n"/>
      <c r="AM1319" s="733" t="n"/>
      <c r="AN1319" s="733" t="n"/>
      <c r="AO1319" s="733" t="n"/>
      <c r="AP1319" s="719" t="inlineStr">
        <is>
          <t>Pullback</t>
        </is>
      </c>
      <c r="AQ1319" s="719" t="inlineStr">
        <is>
          <t>30MIN</t>
        </is>
      </c>
      <c r="AR1319" s="719" t="inlineStr">
        <is>
          <t>No</t>
        </is>
      </c>
      <c r="AS1319" s="733" t="n"/>
      <c r="AT1319" s="733" t="n"/>
      <c r="AU1319" s="733" t="n"/>
      <c r="AV1319" s="733" t="n"/>
      <c r="AW1319" s="719" t="inlineStr">
        <is>
          <t>trade</t>
        </is>
      </c>
      <c r="AX1319" s="734" t="inlineStr">
        <is>
          <t>sig:73f85f4b9626cb90d64f5340</t>
        </is>
      </c>
    </row>
    <row r="1320" ht="15" customHeight="1">
      <c r="A1320" s="716" t="inlineStr">
        <is>
          <t>F231</t>
        </is>
      </c>
      <c r="B1320" s="717" t="n">
        <v>43376.03125</v>
      </c>
      <c r="C1320" s="718" t="n">
        <v>43376.03333333333</v>
      </c>
      <c r="D1320" s="719" t="inlineStr">
        <is>
          <t>PEPPERSTONE DEMO</t>
        </is>
      </c>
      <c r="E1320" s="719" t="inlineStr">
        <is>
          <t>AUDUSD</t>
        </is>
      </c>
      <c r="F1320" s="719" t="inlineStr">
        <is>
          <t>SELL</t>
        </is>
      </c>
      <c r="G1320" s="720" t="n">
        <v>0.18</v>
      </c>
      <c r="H1320" s="720" t="n">
        <v>0.719</v>
      </c>
      <c r="I1320" s="720" t="n">
        <v>0.71944</v>
      </c>
      <c r="J1320" s="721" t="n">
        <v>0.7194</v>
      </c>
      <c r="K1320" s="760" t="n">
        <v>0.0005563282336579513</v>
      </c>
      <c r="L1320" s="721" t="n">
        <v>0.7181</v>
      </c>
      <c r="M1320" s="722" t="n">
        <v>0.001251738525730198</v>
      </c>
      <c r="N1320" s="788" t="n"/>
      <c r="O1320" s="762" t="n">
        <v>-10.01</v>
      </c>
      <c r="P1320" s="725" t="n">
        <v>-0.001753368797742516</v>
      </c>
      <c r="Q1320" s="726" t="n">
        <v>-1.099999999999806</v>
      </c>
      <c r="R1320" s="764" t="n">
        <v>5698.999999999999</v>
      </c>
      <c r="S1320" s="719" t="inlineStr">
        <is>
          <t>3M 0S</t>
        </is>
      </c>
      <c r="T1320" s="728" t="n"/>
      <c r="U1320" s="729" t="n"/>
      <c r="V1320" s="730" t="n"/>
      <c r="W1320" s="731" t="n"/>
      <c r="X1320" s="732" t="n"/>
      <c r="Y1320" s="728" t="n"/>
      <c r="Z1320" s="729" t="n"/>
      <c r="AA1320" s="730" t="n"/>
      <c r="AB1320" s="731" t="n"/>
      <c r="AC1320" s="732" t="n"/>
      <c r="AD1320" s="719" t="inlineStr">
        <is>
          <t>No</t>
        </is>
      </c>
      <c r="AE1320" s="733" t="n"/>
      <c r="AF1320" s="733" t="n"/>
      <c r="AG1320" s="733" t="n"/>
      <c r="AH1320" s="733" t="n"/>
      <c r="AI1320" s="719" t="inlineStr">
        <is>
          <t>Limit</t>
        </is>
      </c>
      <c r="AJ1320" s="733" t="n"/>
      <c r="AK1320" s="733" t="n"/>
      <c r="AL1320" s="733" t="n"/>
      <c r="AM1320" s="733" t="n"/>
      <c r="AN1320" s="733" t="n"/>
      <c r="AO1320" s="733" t="n"/>
      <c r="AP1320" s="719" t="inlineStr">
        <is>
          <t>Pullback</t>
        </is>
      </c>
      <c r="AQ1320" s="719" t="inlineStr">
        <is>
          <t>30MIN</t>
        </is>
      </c>
      <c r="AR1320" s="719" t="inlineStr">
        <is>
          <t>No</t>
        </is>
      </c>
      <c r="AS1320" s="782" t="n"/>
      <c r="AT1320" s="733" t="n"/>
      <c r="AU1320" s="719" t="n"/>
      <c r="AV1320" s="719" t="n"/>
      <c r="AW1320" s="719" t="inlineStr">
        <is>
          <t>trade</t>
        </is>
      </c>
      <c r="AX1320" s="734" t="inlineStr">
        <is>
          <t>sig:9937c8df533016af74671547</t>
        </is>
      </c>
    </row>
    <row r="1321" ht="15" customHeight="1">
      <c r="A1321" s="716" t="inlineStr">
        <is>
          <t>F232</t>
        </is>
      </c>
      <c r="B1321" s="717" t="n">
        <v>43376.01041666666</v>
      </c>
      <c r="C1321" s="718" t="n">
        <v>43376.01736111111</v>
      </c>
      <c r="D1321" s="719" t="inlineStr">
        <is>
          <t>PEPPERSTONE DEMO</t>
        </is>
      </c>
      <c r="E1321" s="719" t="inlineStr">
        <is>
          <t>NZDUSD</t>
        </is>
      </c>
      <c r="F1321" s="719" t="inlineStr">
        <is>
          <t>SELL</t>
        </is>
      </c>
      <c r="G1321" s="720" t="n">
        <v>0.18</v>
      </c>
      <c r="H1321" s="720" t="n">
        <v>0.6595</v>
      </c>
      <c r="I1321" s="720" t="n">
        <v>0.65996</v>
      </c>
      <c r="J1321" s="721" t="n">
        <v>0.6599</v>
      </c>
      <c r="K1321" s="760" t="n">
        <v>0.0006065200909781152</v>
      </c>
      <c r="L1321" s="721" t="n">
        <v>0.6586</v>
      </c>
      <c r="M1321" s="722" t="n">
        <v>0.001364670204700549</v>
      </c>
      <c r="N1321" s="788" t="n"/>
      <c r="O1321" s="762" t="n">
        <v>-10.26</v>
      </c>
      <c r="P1321" s="725" t="n">
        <v>-0.001793935239986922</v>
      </c>
      <c r="Q1321" s="726" t="n">
        <v>-1.149999999999847</v>
      </c>
      <c r="R1321" s="764" t="n">
        <v>5709.009999999999</v>
      </c>
      <c r="S1321" s="719" t="inlineStr">
        <is>
          <t>10M 0S</t>
        </is>
      </c>
      <c r="T1321" s="728" t="n"/>
      <c r="U1321" s="729" t="n"/>
      <c r="V1321" s="730" t="n"/>
      <c r="W1321" s="731" t="n"/>
      <c r="X1321" s="732" t="n"/>
      <c r="Y1321" s="728" t="n"/>
      <c r="Z1321" s="729" t="n"/>
      <c r="AA1321" s="730" t="n"/>
      <c r="AB1321" s="731" t="n"/>
      <c r="AC1321" s="732" t="n"/>
      <c r="AD1321" s="719" t="inlineStr">
        <is>
          <t>No</t>
        </is>
      </c>
      <c r="AE1321" s="733" t="n"/>
      <c r="AF1321" s="733" t="n"/>
      <c r="AG1321" s="733" t="n"/>
      <c r="AH1321" s="733" t="n"/>
      <c r="AI1321" s="719" t="inlineStr">
        <is>
          <t>Limit</t>
        </is>
      </c>
      <c r="AJ1321" s="733" t="n"/>
      <c r="AK1321" s="733" t="n"/>
      <c r="AL1321" s="733" t="n"/>
      <c r="AM1321" s="733" t="n"/>
      <c r="AN1321" s="733" t="n"/>
      <c r="AO1321" s="733" t="n"/>
      <c r="AP1321" s="719" t="inlineStr">
        <is>
          <t>Pullback</t>
        </is>
      </c>
      <c r="AQ1321" s="719" t="inlineStr">
        <is>
          <t>30MIN</t>
        </is>
      </c>
      <c r="AR1321" s="719" t="inlineStr">
        <is>
          <t>No</t>
        </is>
      </c>
      <c r="AS1321" s="782" t="n"/>
      <c r="AT1321" s="733" t="n"/>
      <c r="AU1321" s="719" t="n"/>
      <c r="AV1321" s="719" t="n"/>
      <c r="AW1321" s="719" t="inlineStr">
        <is>
          <t>trade</t>
        </is>
      </c>
      <c r="AX1321" s="734" t="inlineStr">
        <is>
          <t>sig:87bdc562860fe816a77c1b0e</t>
        </is>
      </c>
    </row>
    <row r="1322" ht="15" customHeight="1">
      <c r="A1322" s="737" t="inlineStr">
        <is>
          <t>F228</t>
        </is>
      </c>
      <c r="B1322" s="738" t="n">
        <v>43375.92152777778</v>
      </c>
      <c r="C1322" s="739" t="n">
        <v>43376.00138888889</v>
      </c>
      <c r="D1322" s="740" t="inlineStr">
        <is>
          <t>PEPPERSTONE DEMO</t>
        </is>
      </c>
      <c r="E1322" s="740" t="inlineStr">
        <is>
          <t>EURUSD</t>
        </is>
      </c>
      <c r="F1322" s="740" t="inlineStr">
        <is>
          <t>SELL</t>
        </is>
      </c>
      <c r="G1322" s="775" t="n">
        <v>0.05</v>
      </c>
      <c r="H1322" s="742" t="n">
        <v>1.1543</v>
      </c>
      <c r="I1322" s="742" t="n">
        <v>1.15399</v>
      </c>
      <c r="J1322" s="743" t="n">
        <v>1.1557</v>
      </c>
      <c r="K1322" s="744" t="n">
        <v>0.001212856276531097</v>
      </c>
      <c r="L1322" s="743" t="n">
        <v>1.1515</v>
      </c>
      <c r="M1322" s="744" t="n">
        <v>0.002425712553062579</v>
      </c>
      <c r="N1322" s="796" t="n"/>
      <c r="O1322" s="767" t="n">
        <v>0.92</v>
      </c>
      <c r="P1322" s="776" t="n">
        <v>0.0001608855701382392</v>
      </c>
      <c r="Q1322" s="748" t="n">
        <v>0.221428571428619</v>
      </c>
      <c r="R1322" s="769" t="n">
        <v>5719.27</v>
      </c>
      <c r="S1322" s="740" t="inlineStr">
        <is>
          <t>1H 55M 0S</t>
        </is>
      </c>
      <c r="T1322" s="738" t="n">
        <v>43375.99236111111</v>
      </c>
      <c r="U1322" s="809" t="inlineStr">
        <is>
          <t>1H 42M 0S</t>
        </is>
      </c>
      <c r="V1322" s="752" t="n"/>
      <c r="W1322" s="753" t="n"/>
      <c r="X1322" s="754" t="n"/>
      <c r="Y1322" s="750" t="n"/>
      <c r="Z1322" s="751" t="n"/>
      <c r="AA1322" s="752" t="n"/>
      <c r="AB1322" s="753" t="n"/>
      <c r="AC1322" s="754" t="n"/>
      <c r="AD1322" s="740" t="inlineStr">
        <is>
          <t>No</t>
        </is>
      </c>
      <c r="AE1322" s="755" t="n"/>
      <c r="AF1322" s="755" t="n"/>
      <c r="AG1322" s="755" t="n"/>
      <c r="AH1322" s="755" t="n"/>
      <c r="AI1322" s="740" t="inlineStr">
        <is>
          <t>Limit</t>
        </is>
      </c>
      <c r="AJ1322" s="755" t="n"/>
      <c r="AK1322" s="755" t="n"/>
      <c r="AL1322" s="755" t="n"/>
      <c r="AM1322" s="755" t="n"/>
      <c r="AN1322" s="755" t="n"/>
      <c r="AO1322" s="755" t="n"/>
      <c r="AP1322" s="740" t="inlineStr">
        <is>
          <t>Pullback</t>
        </is>
      </c>
      <c r="AQ1322" s="740" t="inlineStr">
        <is>
          <t>30MIN</t>
        </is>
      </c>
      <c r="AR1322" s="740" t="inlineStr">
        <is>
          <t>No</t>
        </is>
      </c>
      <c r="AS1322" s="755" t="n"/>
      <c r="AT1322" s="755" t="n"/>
      <c r="AU1322" s="755" t="n"/>
      <c r="AV1322" s="755" t="n"/>
      <c r="AW1322" s="740" t="inlineStr">
        <is>
          <t>trade</t>
        </is>
      </c>
      <c r="AX1322" s="756" t="inlineStr">
        <is>
          <t>sig:9bbf5484ff9113ff16ef709b</t>
        </is>
      </c>
    </row>
    <row r="1323" ht="15" customHeight="1">
      <c r="A1323" s="737" t="inlineStr">
        <is>
          <t>F227</t>
        </is>
      </c>
      <c r="B1323" s="738" t="n">
        <v>43375.7625</v>
      </c>
      <c r="C1323" s="739" t="n">
        <v>43375.87986111111</v>
      </c>
      <c r="D1323" s="740" t="inlineStr">
        <is>
          <t>PEPPERSTONE DEMO</t>
        </is>
      </c>
      <c r="E1323" s="740" t="inlineStr">
        <is>
          <t>EURUSD</t>
        </is>
      </c>
      <c r="F1323" s="740" t="inlineStr">
        <is>
          <t>SELL</t>
        </is>
      </c>
      <c r="G1323" s="742" t="n">
        <v>0.14</v>
      </c>
      <c r="H1323" s="742" t="n">
        <v>1.1539</v>
      </c>
      <c r="I1323" s="742" t="n">
        <v>1.15109</v>
      </c>
      <c r="J1323" s="743" t="n">
        <v>1.1544</v>
      </c>
      <c r="K1323" s="765" t="n">
        <v>0.0004333131120549155</v>
      </c>
      <c r="L1323" s="743" t="n">
        <v>1.1487</v>
      </c>
      <c r="M1323" s="744" t="n">
        <v>0.004506456365369505</v>
      </c>
      <c r="N1323" s="796" t="n"/>
      <c r="O1323" s="767" t="n">
        <v>25.03</v>
      </c>
      <c r="P1323" s="747" t="n">
        <v>0.004396380319391849</v>
      </c>
      <c r="Q1323" s="748" t="n">
        <v>5.619999999998082</v>
      </c>
      <c r="R1323" s="769" t="n">
        <v>5718.349999999999</v>
      </c>
      <c r="S1323" s="740" t="inlineStr">
        <is>
          <t>2H 49M 0S</t>
        </is>
      </c>
      <c r="T1323" s="738" t="n">
        <v>43375.79305555556</v>
      </c>
      <c r="U1323" s="809" t="inlineStr">
        <is>
          <t>44M 0S</t>
        </is>
      </c>
      <c r="V1323" s="752" t="n"/>
      <c r="W1323" s="753" t="n"/>
      <c r="X1323" s="754" t="n"/>
      <c r="Y1323" s="750" t="n"/>
      <c r="Z1323" s="751" t="n"/>
      <c r="AA1323" s="752" t="n"/>
      <c r="AB1323" s="753" t="n"/>
      <c r="AC1323" s="754" t="n"/>
      <c r="AD1323" s="740" t="inlineStr">
        <is>
          <t>No</t>
        </is>
      </c>
      <c r="AE1323" s="755" t="n"/>
      <c r="AF1323" s="755" t="n"/>
      <c r="AG1323" s="755" t="n"/>
      <c r="AH1323" s="755" t="n"/>
      <c r="AI1323" s="740" t="inlineStr">
        <is>
          <t>Limit</t>
        </is>
      </c>
      <c r="AJ1323" s="755" t="n"/>
      <c r="AK1323" s="755" t="n"/>
      <c r="AL1323" s="755" t="n"/>
      <c r="AM1323" s="755" t="n"/>
      <c r="AN1323" s="755" t="n"/>
      <c r="AO1323" s="755" t="n"/>
      <c r="AP1323" s="740" t="inlineStr">
        <is>
          <t>Pullback</t>
        </is>
      </c>
      <c r="AQ1323" s="740" t="inlineStr">
        <is>
          <t>30MIN</t>
        </is>
      </c>
      <c r="AR1323" s="740" t="inlineStr">
        <is>
          <t>No</t>
        </is>
      </c>
      <c r="AS1323" s="755" t="n"/>
      <c r="AT1323" s="755" t="n"/>
      <c r="AU1323" s="755" t="n"/>
      <c r="AV1323" s="755" t="n"/>
      <c r="AW1323" s="740" t="inlineStr">
        <is>
          <t>trade</t>
        </is>
      </c>
      <c r="AX1323" s="756" t="inlineStr">
        <is>
          <t>sig:161439eb75da5976e19c3bbc</t>
        </is>
      </c>
    </row>
    <row r="1324" ht="15" customHeight="1">
      <c r="A1324" s="716" t="inlineStr">
        <is>
          <t>F226</t>
        </is>
      </c>
      <c r="B1324" s="717" t="n">
        <v>43375.62083333333</v>
      </c>
      <c r="C1324" s="718" t="n">
        <v>43375.62430555555</v>
      </c>
      <c r="D1324" s="719" t="inlineStr">
        <is>
          <t>PEPPERSTONE LIVE</t>
        </is>
      </c>
      <c r="E1324" s="719" t="inlineStr">
        <is>
          <t>AUDUSD</t>
        </is>
      </c>
      <c r="F1324" s="719" t="inlineStr">
        <is>
          <t>BUY</t>
        </is>
      </c>
      <c r="G1324" s="720" t="n">
        <v>0.23</v>
      </c>
      <c r="H1324" s="720" t="n">
        <v>0.723</v>
      </c>
      <c r="I1324" s="720" t="n">
        <v>0.72298</v>
      </c>
      <c r="J1324" s="721" t="n">
        <v>0.7227</v>
      </c>
      <c r="K1324" s="760" t="n">
        <v>0.0004149377593360539</v>
      </c>
      <c r="L1324" s="721" t="n">
        <v>0.7236</v>
      </c>
      <c r="M1324" s="760" t="n">
        <v>0.0008298755186722614</v>
      </c>
      <c r="N1324" s="788" t="n"/>
      <c r="O1324" s="762" t="n">
        <v>-3.75</v>
      </c>
      <c r="P1324" s="725" t="n">
        <v>-0.003927482954723976</v>
      </c>
      <c r="Q1324" s="781" t="n">
        <v>-0.06666666666674068</v>
      </c>
      <c r="R1324" s="764" t="n">
        <v>951.0600000000001</v>
      </c>
      <c r="S1324" s="719" t="inlineStr">
        <is>
          <t>5M 0S</t>
        </is>
      </c>
      <c r="T1324" s="728" t="n"/>
      <c r="U1324" s="729" t="n"/>
      <c r="V1324" s="730" t="n"/>
      <c r="W1324" s="731" t="n"/>
      <c r="X1324" s="732" t="n"/>
      <c r="Y1324" s="728" t="n"/>
      <c r="Z1324" s="729" t="n"/>
      <c r="AA1324" s="730" t="n"/>
      <c r="AB1324" s="731" t="n"/>
      <c r="AC1324" s="732" t="n"/>
      <c r="AD1324" s="719" t="inlineStr">
        <is>
          <t>No</t>
        </is>
      </c>
      <c r="AE1324" s="733" t="n"/>
      <c r="AF1324" s="733" t="n"/>
      <c r="AG1324" s="733" t="n"/>
      <c r="AH1324" s="733" t="n"/>
      <c r="AI1324" s="719" t="inlineStr">
        <is>
          <t>Limit</t>
        </is>
      </c>
      <c r="AJ1324" s="733" t="n"/>
      <c r="AK1324" s="733" t="n"/>
      <c r="AL1324" s="733" t="n"/>
      <c r="AM1324" s="733" t="n"/>
      <c r="AN1324" s="733" t="n"/>
      <c r="AO1324" s="733" t="n"/>
      <c r="AP1324" s="719" t="inlineStr">
        <is>
          <t>Pullback</t>
        </is>
      </c>
      <c r="AQ1324" s="719" t="inlineStr">
        <is>
          <t>1MIN</t>
        </is>
      </c>
      <c r="AR1324" s="719" t="inlineStr">
        <is>
          <t>No</t>
        </is>
      </c>
      <c r="AS1324" s="733" t="n"/>
      <c r="AT1324" s="733" t="n"/>
      <c r="AU1324" s="733" t="n"/>
      <c r="AV1324" s="733" t="n"/>
      <c r="AW1324" s="719" t="inlineStr">
        <is>
          <t>trade</t>
        </is>
      </c>
      <c r="AX1324" s="734" t="inlineStr">
        <is>
          <t>sig:a63048493e15cb604cb85d7b</t>
        </is>
      </c>
    </row>
    <row r="1325" ht="15" customHeight="1">
      <c r="A1325" s="737" t="inlineStr">
        <is>
          <t>F230</t>
        </is>
      </c>
      <c r="B1325" s="738" t="n">
        <v>43375.05972222222</v>
      </c>
      <c r="C1325" s="739" t="n">
        <v>43375.16736111111</v>
      </c>
      <c r="D1325" s="740" t="inlineStr">
        <is>
          <t>PEPPERSTONE DEMO</t>
        </is>
      </c>
      <c r="E1325" s="740" t="inlineStr">
        <is>
          <t>USDJPY</t>
        </is>
      </c>
      <c r="F1325" s="740" t="inlineStr">
        <is>
          <t>BUY</t>
        </is>
      </c>
      <c r="G1325" s="742" t="n">
        <v>0.16</v>
      </c>
      <c r="H1325" s="742" t="n">
        <v>113.94</v>
      </c>
      <c r="I1325" s="742" t="n">
        <v>113.966</v>
      </c>
      <c r="J1325" s="743" t="n">
        <v>113.89</v>
      </c>
      <c r="K1325" s="765" t="n">
        <v>0.0004388274530454376</v>
      </c>
      <c r="L1325" s="743" t="n">
        <v>114.04</v>
      </c>
      <c r="M1325" s="765" t="n">
        <v>0.0008776549060909999</v>
      </c>
      <c r="N1325" s="796" t="n"/>
      <c r="O1325" s="767" t="n">
        <v>3.99</v>
      </c>
      <c r="P1325" s="776" t="n">
        <v>0.0007013128083623203</v>
      </c>
      <c r="Q1325" s="748" t="n">
        <v>0.5199999999999545</v>
      </c>
      <c r="R1325" s="769" t="n">
        <v>5693.32</v>
      </c>
      <c r="S1325" s="740" t="inlineStr">
        <is>
          <t>2H 35M 0S</t>
        </is>
      </c>
      <c r="T1325" s="750" t="n"/>
      <c r="U1325" s="751" t="n"/>
      <c r="V1325" s="752" t="n"/>
      <c r="W1325" s="753" t="n"/>
      <c r="X1325" s="754" t="n"/>
      <c r="Y1325" s="750" t="n"/>
      <c r="Z1325" s="751" t="n"/>
      <c r="AA1325" s="752" t="n"/>
      <c r="AB1325" s="753" t="n"/>
      <c r="AC1325" s="754" t="n"/>
      <c r="AD1325" s="740" t="inlineStr">
        <is>
          <t>No</t>
        </is>
      </c>
      <c r="AE1325" s="755" t="n"/>
      <c r="AF1325" s="755" t="n"/>
      <c r="AG1325" s="755" t="n"/>
      <c r="AH1325" s="755" t="n"/>
      <c r="AI1325" s="740" t="inlineStr">
        <is>
          <t>Market</t>
        </is>
      </c>
      <c r="AJ1325" s="755" t="n"/>
      <c r="AK1325" s="755" t="n"/>
      <c r="AL1325" s="755" t="n"/>
      <c r="AM1325" s="755" t="n"/>
      <c r="AN1325" s="755" t="n"/>
      <c r="AO1325" s="755" t="n"/>
      <c r="AP1325" s="740" t="inlineStr">
        <is>
          <t>Pullback</t>
        </is>
      </c>
      <c r="AQ1325" s="740" t="inlineStr">
        <is>
          <t>30MIN</t>
        </is>
      </c>
      <c r="AR1325" s="740" t="inlineStr">
        <is>
          <t>No</t>
        </is>
      </c>
      <c r="AS1325" s="755" t="n"/>
      <c r="AT1325" s="755" t="n"/>
      <c r="AU1325" s="755" t="n"/>
      <c r="AV1325" s="755" t="n"/>
      <c r="AW1325" s="740" t="inlineStr">
        <is>
          <t>trade</t>
        </is>
      </c>
      <c r="AX1325" s="756" t="inlineStr">
        <is>
          <t>sig:1be3bd652947b23a19c0d861</t>
        </is>
      </c>
    </row>
    <row r="1326" ht="15" customHeight="1">
      <c r="A1326" s="716" t="inlineStr">
        <is>
          <t>F229</t>
        </is>
      </c>
      <c r="B1326" s="717" t="n">
        <v>43375.02083333334</v>
      </c>
      <c r="C1326" s="718" t="n">
        <v>43375.04097222222</v>
      </c>
      <c r="D1326" s="719" t="inlineStr">
        <is>
          <t>PEPPERSTONE DEMO</t>
        </is>
      </c>
      <c r="E1326" s="719" t="inlineStr">
        <is>
          <t>USDCAD</t>
        </is>
      </c>
      <c r="F1326" s="719" t="inlineStr">
        <is>
          <t>SELL</t>
        </is>
      </c>
      <c r="G1326" s="735" t="n">
        <v>0.05</v>
      </c>
      <c r="H1326" s="720" t="n">
        <v>1.2807</v>
      </c>
      <c r="I1326" s="720" t="n">
        <v>1.28247</v>
      </c>
      <c r="J1326" s="721" t="n">
        <v>1.2824</v>
      </c>
      <c r="K1326" s="722" t="n">
        <v>0.001327399078628902</v>
      </c>
      <c r="L1326" s="721" t="n">
        <v>1.2773</v>
      </c>
      <c r="M1326" s="722" t="n">
        <v>0.002654798157257631</v>
      </c>
      <c r="N1326" s="788" t="n"/>
      <c r="O1326" s="762" t="n">
        <v>-9.18</v>
      </c>
      <c r="P1326" s="725" t="n">
        <v>-0.001610947423098318</v>
      </c>
      <c r="Q1326" s="726" t="n">
        <v>-1.041176470588243</v>
      </c>
      <c r="R1326" s="764" t="n">
        <v>5689.33</v>
      </c>
      <c r="S1326" s="719" t="inlineStr">
        <is>
          <t>29M 0S</t>
        </is>
      </c>
      <c r="T1326" s="728" t="n"/>
      <c r="U1326" s="729" t="n"/>
      <c r="V1326" s="730" t="n"/>
      <c r="W1326" s="731" t="n"/>
      <c r="X1326" s="732" t="n"/>
      <c r="Y1326" s="728" t="n"/>
      <c r="Z1326" s="729" t="n"/>
      <c r="AA1326" s="730" t="n"/>
      <c r="AB1326" s="731" t="n"/>
      <c r="AC1326" s="732" t="n"/>
      <c r="AD1326" s="719" t="inlineStr">
        <is>
          <t>No</t>
        </is>
      </c>
      <c r="AE1326" s="733" t="n"/>
      <c r="AF1326" s="733" t="n"/>
      <c r="AG1326" s="733" t="n"/>
      <c r="AH1326" s="733" t="n"/>
      <c r="AI1326" s="719" t="inlineStr">
        <is>
          <t>Market</t>
        </is>
      </c>
      <c r="AJ1326" s="733" t="n"/>
      <c r="AK1326" s="733" t="n"/>
      <c r="AL1326" s="733" t="n"/>
      <c r="AM1326" s="733" t="n"/>
      <c r="AN1326" s="733" t="n"/>
      <c r="AO1326" s="733" t="n"/>
      <c r="AP1326" s="719" t="inlineStr">
        <is>
          <t>Pullback</t>
        </is>
      </c>
      <c r="AQ1326" s="719" t="inlineStr">
        <is>
          <t>30MIN</t>
        </is>
      </c>
      <c r="AR1326" s="719" t="inlineStr">
        <is>
          <t>No</t>
        </is>
      </c>
      <c r="AS1326" s="733" t="n"/>
      <c r="AT1326" s="733" t="n"/>
      <c r="AU1326" s="733" t="n"/>
      <c r="AV1326" s="733" t="n"/>
      <c r="AW1326" s="719" t="inlineStr">
        <is>
          <t>trade</t>
        </is>
      </c>
      <c r="AX1326" s="734" t="inlineStr">
        <is>
          <t>sig:dd203f64b2b99d2eb3433a97</t>
        </is>
      </c>
    </row>
    <row r="1327" ht="15" customHeight="1">
      <c r="A1327" s="716" t="inlineStr">
        <is>
          <t>F225</t>
        </is>
      </c>
      <c r="B1327" s="717" t="n">
        <v>43374.97291666667</v>
      </c>
      <c r="C1327" s="718" t="n">
        <v>43374.99236111111</v>
      </c>
      <c r="D1327" s="719" t="inlineStr">
        <is>
          <t>PEPPERSTONE DEMO</t>
        </is>
      </c>
      <c r="E1327" s="719" t="inlineStr">
        <is>
          <t>USDJPY</t>
        </is>
      </c>
      <c r="F1327" s="719" t="inlineStr">
        <is>
          <t>BUY</t>
        </is>
      </c>
      <c r="G1327" s="720" t="n">
        <v>0.2</v>
      </c>
      <c r="H1327" s="720" t="n">
        <v>113.93</v>
      </c>
      <c r="I1327" s="720" t="n">
        <v>113.895</v>
      </c>
      <c r="J1327" s="721" t="n">
        <v>113.89</v>
      </c>
      <c r="K1327" s="760" t="n">
        <v>0.0003510927762661832</v>
      </c>
      <c r="L1327" s="721" t="n">
        <v>114.02</v>
      </c>
      <c r="M1327" s="760" t="n">
        <v>0.0007899587465986939</v>
      </c>
      <c r="N1327" s="788" t="n"/>
      <c r="O1327" s="762" t="n">
        <v>-9.73</v>
      </c>
      <c r="P1327" s="725" t="n">
        <v>-0.001704553417515732</v>
      </c>
      <c r="Q1327" s="726" t="n">
        <v>-0.8750000000001332</v>
      </c>
      <c r="R1327" s="764" t="n">
        <v>5698.51</v>
      </c>
      <c r="S1327" s="719" t="inlineStr">
        <is>
          <t>28M 0S</t>
        </is>
      </c>
      <c r="T1327" s="728" t="n"/>
      <c r="U1327" s="729" t="n"/>
      <c r="V1327" s="730" t="n"/>
      <c r="W1327" s="731" t="n"/>
      <c r="X1327" s="732" t="n"/>
      <c r="Y1327" s="728" t="n"/>
      <c r="Z1327" s="729" t="n"/>
      <c r="AA1327" s="730" t="n"/>
      <c r="AB1327" s="731" t="n"/>
      <c r="AC1327" s="732" t="n"/>
      <c r="AD1327" s="719" t="inlineStr">
        <is>
          <t>No</t>
        </is>
      </c>
      <c r="AE1327" s="733" t="n"/>
      <c r="AF1327" s="733" t="n"/>
      <c r="AG1327" s="733" t="n"/>
      <c r="AH1327" s="733" t="n"/>
      <c r="AI1327" s="719" t="inlineStr">
        <is>
          <t>Market</t>
        </is>
      </c>
      <c r="AJ1327" s="733" t="n"/>
      <c r="AK1327" s="733" t="n"/>
      <c r="AL1327" s="733" t="n"/>
      <c r="AM1327" s="733" t="n"/>
      <c r="AN1327" s="733" t="n"/>
      <c r="AO1327" s="733" t="n"/>
      <c r="AP1327" s="719" t="inlineStr">
        <is>
          <t>Pullback</t>
        </is>
      </c>
      <c r="AQ1327" s="719" t="inlineStr">
        <is>
          <t>30MIN</t>
        </is>
      </c>
      <c r="AR1327" s="719" t="inlineStr">
        <is>
          <t>No</t>
        </is>
      </c>
      <c r="AS1327" s="733" t="n"/>
      <c r="AT1327" s="733" t="n"/>
      <c r="AU1327" s="733" t="n"/>
      <c r="AV1327" s="733" t="n"/>
      <c r="AW1327" s="719" t="inlineStr">
        <is>
          <t>trade</t>
        </is>
      </c>
      <c r="AX1327" s="734" t="inlineStr">
        <is>
          <t>sig:a158b4550d3fd0f71cd7f162</t>
        </is>
      </c>
    </row>
    <row r="1328" ht="15" customHeight="1">
      <c r="A1328" s="42" t="n"/>
      <c r="B1328" s="770" t="n">
        <v>43374</v>
      </c>
      <c r="C1328" s="771" t="n">
        <v>43374</v>
      </c>
      <c r="D1328" s="12" t="inlineStr">
        <is>
          <t>PEPPERSTONE DEMO</t>
        </is>
      </c>
      <c r="E1328" s="12" t="inlineStr">
        <is>
          <t>CASHFLOW</t>
        </is>
      </c>
      <c r="F1328" s="12" t="inlineStr">
        <is>
          <t>WITHDRAWAL</t>
        </is>
      </c>
      <c r="G1328" s="262" t="n"/>
      <c r="H1328" s="262" t="n"/>
      <c r="I1328" s="262" t="n"/>
      <c r="J1328" s="263" t="n"/>
      <c r="K1328" s="36" t="n"/>
      <c r="L1328" s="263" t="n"/>
      <c r="M1328" s="36" t="n"/>
      <c r="N1328" s="779" t="n"/>
      <c r="O1328" s="773" t="n"/>
      <c r="P1328" s="3" t="n"/>
      <c r="Q1328" s="51" t="n"/>
      <c r="R1328" s="54" t="n">
        <v>1000</v>
      </c>
      <c r="S1328" s="12" t="n"/>
      <c r="T1328" s="774" t="n"/>
      <c r="U1328" s="6" t="n"/>
      <c r="V1328" s="264" t="n"/>
      <c r="W1328" s="9" t="n"/>
      <c r="X1328" s="46" t="n"/>
      <c r="Y1328" s="774" t="n"/>
      <c r="Z1328" s="6" t="n"/>
      <c r="AA1328" s="264" t="n"/>
      <c r="AB1328" s="9" t="n"/>
      <c r="AC1328" s="46" t="n"/>
      <c r="AD1328" s="12" t="inlineStr">
        <is>
          <t>No</t>
        </is>
      </c>
      <c r="AE1328" s="45" t="n"/>
      <c r="AF1328" s="45" t="n"/>
      <c r="AG1328" s="45" t="n"/>
      <c r="AH1328" s="45" t="n"/>
      <c r="AI1328" s="45" t="n"/>
      <c r="AJ1328" s="45" t="n"/>
      <c r="AK1328" s="45" t="n"/>
      <c r="AL1328" s="45" t="n"/>
      <c r="AM1328" s="45" t="n"/>
      <c r="AN1328" s="45" t="n"/>
      <c r="AO1328" s="45" t="n"/>
      <c r="AP1328" s="12" t="n"/>
      <c r="AQ1328" s="12" t="n"/>
      <c r="AR1328" s="12" t="n"/>
      <c r="AS1328" s="56" t="inlineStr">
        <is>
          <t>Withdrawal -4708.24 AUD. Source: user_txt. Imported from account_cashflows.xlsx row 25.</t>
        </is>
      </c>
      <c r="AT1328" s="45" t="n"/>
      <c r="AU1328" s="12" t="n">
        <v>1000</v>
      </c>
      <c r="AV1328" s="12" t="inlineStr">
        <is>
          <t>AUD</t>
        </is>
      </c>
      <c r="AW1328" s="12" t="inlineStr">
        <is>
          <t>cashflow</t>
        </is>
      </c>
      <c r="AX1328" s="57" t="inlineStr">
        <is>
          <t>cashflow:PEPPERSTONE DEMO:2018-10-01T00:00:00:11</t>
        </is>
      </c>
    </row>
    <row r="1329" ht="15" customHeight="1">
      <c r="A1329" s="42" t="n"/>
      <c r="B1329" s="770" t="n">
        <v>43374</v>
      </c>
      <c r="C1329" s="771" t="n">
        <v>43374</v>
      </c>
      <c r="D1329" s="12" t="inlineStr">
        <is>
          <t>PEPPERSTONE DEMO</t>
        </is>
      </c>
      <c r="E1329" s="12" t="inlineStr">
        <is>
          <t>CASHFLOW</t>
        </is>
      </c>
      <c r="F1329" s="12" t="inlineStr">
        <is>
          <t>DEPOSIT</t>
        </is>
      </c>
      <c r="G1329" s="262" t="n"/>
      <c r="H1329" s="262" t="n"/>
      <c r="I1329" s="262" t="n"/>
      <c r="J1329" s="263" t="n"/>
      <c r="K1329" s="36" t="n"/>
      <c r="L1329" s="263" t="n"/>
      <c r="M1329" s="36" t="n"/>
      <c r="N1329" s="779" t="n"/>
      <c r="O1329" s="773" t="n"/>
      <c r="P1329" s="3" t="n"/>
      <c r="Q1329" s="51" t="n"/>
      <c r="R1329" s="54" t="n">
        <v>5708.24</v>
      </c>
      <c r="S1329" s="12" t="n"/>
      <c r="T1329" s="774" t="n"/>
      <c r="U1329" s="6" t="n"/>
      <c r="V1329" s="264" t="n"/>
      <c r="W1329" s="9" t="n"/>
      <c r="X1329" s="46" t="n"/>
      <c r="Y1329" s="774" t="n"/>
      <c r="Z1329" s="6" t="n"/>
      <c r="AA1329" s="264" t="n"/>
      <c r="AB1329" s="9" t="n"/>
      <c r="AC1329" s="46" t="n"/>
      <c r="AD1329" s="12" t="inlineStr">
        <is>
          <t>No</t>
        </is>
      </c>
      <c r="AE1329" s="45" t="n"/>
      <c r="AF1329" s="45" t="n"/>
      <c r="AG1329" s="45" t="n"/>
      <c r="AH1329" s="45" t="n"/>
      <c r="AI1329" s="12" t="n"/>
      <c r="AJ1329" s="45" t="n"/>
      <c r="AK1329" s="45" t="n"/>
      <c r="AL1329" s="45" t="n"/>
      <c r="AM1329" s="45" t="n"/>
      <c r="AN1329" s="45" t="n"/>
      <c r="AO1329" s="45" t="n"/>
      <c r="AP1329" s="12" t="n"/>
      <c r="AQ1329" s="12" t="n"/>
      <c r="AR1329" s="12" t="n"/>
      <c r="AS1329" s="56" t="inlineStr">
        <is>
          <t>Deposit 1000.0 AUD. Source: user_txt. Imported from account_cashflows.xlsx row 26.</t>
        </is>
      </c>
      <c r="AT1329" s="45" t="n"/>
      <c r="AU1329" s="12" t="n">
        <v>5708.24</v>
      </c>
      <c r="AV1329" s="12" t="inlineStr">
        <is>
          <t>AUD</t>
        </is>
      </c>
      <c r="AW1329" s="12" t="inlineStr">
        <is>
          <t>cashflow</t>
        </is>
      </c>
      <c r="AX1329" s="57" t="inlineStr">
        <is>
          <t>cashflow:PEPPERSTONE DEMO:2018-10-01T00:00:00:12</t>
        </is>
      </c>
    </row>
    <row r="1330" ht="15" customHeight="1">
      <c r="A1330" s="737" t="inlineStr">
        <is>
          <t>F218</t>
        </is>
      </c>
      <c r="B1330" s="738" t="n">
        <v>43371.85763888889</v>
      </c>
      <c r="C1330" s="739" t="n">
        <v>43371.94444444445</v>
      </c>
      <c r="D1330" s="740" t="inlineStr">
        <is>
          <t>PEPPERSTONE DEMO</t>
        </is>
      </c>
      <c r="E1330" s="740" t="inlineStr">
        <is>
          <t>USDCHF</t>
        </is>
      </c>
      <c r="F1330" s="740" t="inlineStr">
        <is>
          <t>BUY</t>
        </is>
      </c>
      <c r="G1330" s="742" t="n">
        <v>0.11</v>
      </c>
      <c r="H1330" s="742" t="n">
        <v>0.9754</v>
      </c>
      <c r="I1330" s="742" t="n">
        <v>0.9776</v>
      </c>
      <c r="J1330" s="743" t="n">
        <v>0.9746</v>
      </c>
      <c r="K1330" s="765" t="n">
        <v>0.0008201763379126747</v>
      </c>
      <c r="L1330" s="743" t="n">
        <v>0.9776</v>
      </c>
      <c r="M1330" s="744" t="n">
        <v>0.00225548492925977</v>
      </c>
      <c r="N1330" s="796" t="n"/>
      <c r="O1330" s="767" t="n">
        <v>91.26000000000001</v>
      </c>
      <c r="P1330" s="747" t="n">
        <v>0.0197661674947693</v>
      </c>
      <c r="Q1330" s="748" t="n">
        <v>2.749999999999896</v>
      </c>
      <c r="R1330" s="769" t="n">
        <v>4708.240000000003</v>
      </c>
      <c r="S1330" s="740" t="inlineStr">
        <is>
          <t>2H 5M 0S</t>
        </is>
      </c>
      <c r="T1330" s="750" t="n"/>
      <c r="U1330" s="751" t="n"/>
      <c r="V1330" s="752" t="n"/>
      <c r="W1330" s="753" t="n"/>
      <c r="X1330" s="754" t="n"/>
      <c r="Y1330" s="750" t="n"/>
      <c r="Z1330" s="751" t="n"/>
      <c r="AA1330" s="752" t="n"/>
      <c r="AB1330" s="753" t="n"/>
      <c r="AC1330" s="754" t="n"/>
      <c r="AD1330" s="740" t="inlineStr">
        <is>
          <t>No</t>
        </is>
      </c>
      <c r="AE1330" s="755" t="n"/>
      <c r="AF1330" s="755" t="n"/>
      <c r="AG1330" s="755" t="n"/>
      <c r="AH1330" s="755" t="n"/>
      <c r="AI1330" s="740" t="inlineStr">
        <is>
          <t>Market</t>
        </is>
      </c>
      <c r="AJ1330" s="755" t="n"/>
      <c r="AK1330" s="755" t="n"/>
      <c r="AL1330" s="755" t="n"/>
      <c r="AM1330" s="755" t="n"/>
      <c r="AN1330" s="755" t="n"/>
      <c r="AO1330" s="755" t="n"/>
      <c r="AP1330" s="740" t="inlineStr">
        <is>
          <t>Pullback</t>
        </is>
      </c>
      <c r="AQ1330" s="740" t="inlineStr">
        <is>
          <t>30MIN</t>
        </is>
      </c>
      <c r="AR1330" s="740" t="inlineStr">
        <is>
          <t>No</t>
        </is>
      </c>
      <c r="AS1330" s="755" t="n"/>
      <c r="AT1330" s="755" t="n"/>
      <c r="AU1330" s="755" t="n"/>
      <c r="AV1330" s="755" t="n"/>
      <c r="AW1330" s="740" t="inlineStr">
        <is>
          <t>trade</t>
        </is>
      </c>
      <c r="AX1330" s="756" t="inlineStr">
        <is>
          <t>sig:c61f5f298e03d0ad4fdd9d38</t>
        </is>
      </c>
    </row>
    <row r="1331" ht="15" customHeight="1">
      <c r="A1331" s="716" t="inlineStr">
        <is>
          <t>F219</t>
        </is>
      </c>
      <c r="B1331" s="717" t="n">
        <v>43371.93611111111</v>
      </c>
      <c r="C1331" s="718" t="n">
        <v>43371.93680555555</v>
      </c>
      <c r="D1331" s="719" t="inlineStr">
        <is>
          <t>PEPPERSTONE DEMO</t>
        </is>
      </c>
      <c r="E1331" s="719" t="inlineStr">
        <is>
          <t>USDCAD</t>
        </is>
      </c>
      <c r="F1331" s="719" t="inlineStr">
        <is>
          <t>BUY</t>
        </is>
      </c>
      <c r="G1331" s="720" t="n">
        <v>0.74</v>
      </c>
      <c r="H1331" s="720" t="n">
        <v>1.29998</v>
      </c>
      <c r="I1331" s="720" t="n">
        <v>1.29938</v>
      </c>
      <c r="J1331" s="721" t="n">
        <v>1.2993</v>
      </c>
      <c r="K1331" s="760" t="n">
        <v>0.000523084970538019</v>
      </c>
      <c r="L1331" s="721" t="n">
        <v>1.3023</v>
      </c>
      <c r="M1331" s="722" t="n">
        <v>0.001784642840659164</v>
      </c>
      <c r="N1331" s="788" t="n"/>
      <c r="O1331" s="762" t="n">
        <v>-47.34</v>
      </c>
      <c r="P1331" s="725" t="n">
        <v>-0.01014938940724478</v>
      </c>
      <c r="Q1331" s="726" t="n">
        <v>-0.8823529411763553</v>
      </c>
      <c r="R1331" s="764" t="n">
        <v>4616.980000000002</v>
      </c>
      <c r="S1331" s="719" t="inlineStr">
        <is>
          <t>1M 0S</t>
        </is>
      </c>
      <c r="T1331" s="728" t="n"/>
      <c r="U1331" s="729" t="n"/>
      <c r="V1331" s="730" t="n"/>
      <c r="W1331" s="731" t="n"/>
      <c r="X1331" s="732" t="n"/>
      <c r="Y1331" s="728" t="n"/>
      <c r="Z1331" s="729" t="n"/>
      <c r="AA1331" s="730" t="n"/>
      <c r="AB1331" s="731" t="n"/>
      <c r="AC1331" s="732" t="n"/>
      <c r="AD1331" s="719" t="inlineStr">
        <is>
          <t>No</t>
        </is>
      </c>
      <c r="AE1331" s="733" t="n"/>
      <c r="AF1331" s="733" t="n"/>
      <c r="AG1331" s="733" t="n"/>
      <c r="AH1331" s="733" t="n"/>
      <c r="AI1331" s="719" t="n"/>
      <c r="AJ1331" s="733" t="n"/>
      <c r="AK1331" s="733" t="n"/>
      <c r="AL1331" s="733" t="n"/>
      <c r="AM1331" s="733" t="n"/>
      <c r="AN1331" s="733" t="n"/>
      <c r="AO1331" s="733" t="n"/>
      <c r="AP1331" s="719" t="inlineStr">
        <is>
          <t>News Scalp</t>
        </is>
      </c>
      <c r="AQ1331" s="719" t="inlineStr">
        <is>
          <t>1MIN</t>
        </is>
      </c>
      <c r="AR1331" s="719" t="inlineStr">
        <is>
          <t>No</t>
        </is>
      </c>
      <c r="AS1331" s="733" t="n"/>
      <c r="AT1331" s="733" t="n"/>
      <c r="AU1331" s="733" t="n"/>
      <c r="AV1331" s="733" t="n"/>
      <c r="AW1331" s="719" t="inlineStr">
        <is>
          <t>trade</t>
        </is>
      </c>
      <c r="AX1331" s="734" t="inlineStr">
        <is>
          <t>sig:d4821647ca23849569d1dc76</t>
        </is>
      </c>
    </row>
    <row r="1332" ht="15" customHeight="1">
      <c r="A1332" s="716" t="inlineStr">
        <is>
          <t>F224</t>
        </is>
      </c>
      <c r="B1332" s="717" t="n">
        <v>43371.78125</v>
      </c>
      <c r="C1332" s="718" t="n">
        <v>43371.78194444445</v>
      </c>
      <c r="D1332" s="719" t="inlineStr">
        <is>
          <t>PEPPERSTONE LIVE</t>
        </is>
      </c>
      <c r="E1332" s="719" t="inlineStr">
        <is>
          <t>GBPUSD</t>
        </is>
      </c>
      <c r="F1332" s="719" t="inlineStr">
        <is>
          <t>SELL</t>
        </is>
      </c>
      <c r="G1332" s="720" t="n">
        <v>0.14</v>
      </c>
      <c r="H1332" s="720" t="n">
        <v>1.3055</v>
      </c>
      <c r="I1332" s="720" t="n">
        <v>1.30604</v>
      </c>
      <c r="J1332" s="721" t="n">
        <v>1.306</v>
      </c>
      <c r="K1332" s="760" t="n">
        <v>0.0003829950210646839</v>
      </c>
      <c r="L1332" s="721" t="n">
        <v>1.3045</v>
      </c>
      <c r="M1332" s="760" t="n">
        <v>0.000765990042129538</v>
      </c>
      <c r="N1332" s="788" t="n"/>
      <c r="O1332" s="762" t="n">
        <v>-9.880000000000001</v>
      </c>
      <c r="P1332" s="725" t="n">
        <v>-0.01024163202686874</v>
      </c>
      <c r="Q1332" s="726" t="n">
        <v>-1.080000000000089</v>
      </c>
      <c r="R1332" s="764" t="n">
        <v>954.8100000000001</v>
      </c>
      <c r="S1332" s="719" t="inlineStr">
        <is>
          <t>1M 0S</t>
        </is>
      </c>
      <c r="T1332" s="728" t="n"/>
      <c r="U1332" s="729" t="n"/>
      <c r="V1332" s="730" t="n"/>
      <c r="W1332" s="731" t="n"/>
      <c r="X1332" s="732" t="n"/>
      <c r="Y1332" s="728" t="n"/>
      <c r="Z1332" s="729" t="n"/>
      <c r="AA1332" s="730" t="n"/>
      <c r="AB1332" s="731" t="n"/>
      <c r="AC1332" s="732" t="n"/>
      <c r="AD1332" s="719" t="inlineStr">
        <is>
          <t>No</t>
        </is>
      </c>
      <c r="AE1332" s="733" t="n"/>
      <c r="AF1332" s="733" t="n"/>
      <c r="AG1332" s="733" t="n"/>
      <c r="AH1332" s="733" t="n"/>
      <c r="AI1332" s="733" t="n"/>
      <c r="AJ1332" s="733" t="n"/>
      <c r="AK1332" s="733" t="n"/>
      <c r="AL1332" s="733" t="n"/>
      <c r="AM1332" s="733" t="n"/>
      <c r="AN1332" s="733" t="n"/>
      <c r="AO1332" s="733" t="n"/>
      <c r="AP1332" s="719" t="inlineStr">
        <is>
          <t>Pullback</t>
        </is>
      </c>
      <c r="AQ1332" s="733" t="n"/>
      <c r="AR1332" s="719" t="inlineStr">
        <is>
          <t>No</t>
        </is>
      </c>
      <c r="AS1332" s="733" t="n"/>
      <c r="AT1332" s="733" t="n"/>
      <c r="AU1332" s="733" t="n"/>
      <c r="AV1332" s="733" t="n"/>
      <c r="AW1332" s="719" t="inlineStr">
        <is>
          <t>trade</t>
        </is>
      </c>
      <c r="AX1332" s="734" t="inlineStr">
        <is>
          <t>sig:d764c27c284620b255906c80</t>
        </is>
      </c>
    </row>
    <row r="1333" ht="15" customHeight="1">
      <c r="A1333" s="716" t="inlineStr">
        <is>
          <t>F221</t>
        </is>
      </c>
      <c r="B1333" s="717" t="n">
        <v>43371.77847222222</v>
      </c>
      <c r="C1333" s="718" t="n">
        <v>43371.78055555555</v>
      </c>
      <c r="D1333" s="719" t="inlineStr">
        <is>
          <t>PEPPERSTONE LIVE</t>
        </is>
      </c>
      <c r="E1333" s="719" t="inlineStr">
        <is>
          <t>GBPUSD</t>
        </is>
      </c>
      <c r="F1333" s="719" t="inlineStr">
        <is>
          <t>BUY</t>
        </is>
      </c>
      <c r="G1333" s="720" t="n">
        <v>0.14</v>
      </c>
      <c r="H1333" s="720" t="n">
        <v>1.3058</v>
      </c>
      <c r="I1333" s="720" t="n">
        <v>1.30579</v>
      </c>
      <c r="J1333" s="721" t="n">
        <v>1.3054</v>
      </c>
      <c r="K1333" s="760" t="n">
        <v>0.0003063256241385955</v>
      </c>
      <c r="L1333" s="721" t="n">
        <v>1.3068</v>
      </c>
      <c r="M1333" s="760" t="n">
        <v>0.0007658140603460636</v>
      </c>
      <c r="N1333" s="788" t="n"/>
      <c r="O1333" s="762" t="n">
        <v>-2.03</v>
      </c>
      <c r="P1333" s="725" t="n">
        <v>-0.002099884144323072</v>
      </c>
      <c r="Q1333" s="781" t="n">
        <v>-0.02500000000015266</v>
      </c>
      <c r="R1333" s="764" t="n">
        <v>964.6900000000001</v>
      </c>
      <c r="S1333" s="719" t="inlineStr">
        <is>
          <t>3M 0S</t>
        </is>
      </c>
      <c r="T1333" s="728" t="n"/>
      <c r="U1333" s="729" t="n"/>
      <c r="V1333" s="730" t="n"/>
      <c r="W1333" s="731" t="n"/>
      <c r="X1333" s="732" t="n"/>
      <c r="Y1333" s="728" t="n"/>
      <c r="Z1333" s="729" t="n"/>
      <c r="AA1333" s="730" t="n"/>
      <c r="AB1333" s="731" t="n"/>
      <c r="AC1333" s="732" t="n"/>
      <c r="AD1333" s="719" t="inlineStr">
        <is>
          <t>No</t>
        </is>
      </c>
      <c r="AE1333" s="733" t="n"/>
      <c r="AF1333" s="733" t="n"/>
      <c r="AG1333" s="733" t="n"/>
      <c r="AH1333" s="733" t="n"/>
      <c r="AI1333" s="733" t="n"/>
      <c r="AJ1333" s="733" t="n"/>
      <c r="AK1333" s="733" t="n"/>
      <c r="AL1333" s="733" t="n"/>
      <c r="AM1333" s="733" t="n"/>
      <c r="AN1333" s="733" t="n"/>
      <c r="AO1333" s="733" t="n"/>
      <c r="AP1333" s="719" t="inlineStr">
        <is>
          <t>Pullback</t>
        </is>
      </c>
      <c r="AQ1333" s="719" t="inlineStr">
        <is>
          <t>1MIN</t>
        </is>
      </c>
      <c r="AR1333" s="719" t="inlineStr">
        <is>
          <t>No</t>
        </is>
      </c>
      <c r="AS1333" s="733" t="n"/>
      <c r="AT1333" s="733" t="n"/>
      <c r="AU1333" s="733" t="n"/>
      <c r="AV1333" s="733" t="n"/>
      <c r="AW1333" s="719" t="inlineStr">
        <is>
          <t>trade</t>
        </is>
      </c>
      <c r="AX1333" s="734" t="inlineStr">
        <is>
          <t>sig:f7ff93287447f3ddb317c141</t>
        </is>
      </c>
    </row>
    <row r="1334" ht="15" customHeight="1">
      <c r="A1334" s="716" t="inlineStr">
        <is>
          <t>F223</t>
        </is>
      </c>
      <c r="B1334" s="717" t="n">
        <v>43371.77638888889</v>
      </c>
      <c r="C1334" s="718" t="n">
        <v>43371.77708333333</v>
      </c>
      <c r="D1334" s="719" t="inlineStr">
        <is>
          <t>PEPPERSTONE LIVE</t>
        </is>
      </c>
      <c r="E1334" s="719" t="inlineStr">
        <is>
          <t>GBPUSD</t>
        </is>
      </c>
      <c r="F1334" s="719" t="inlineStr">
        <is>
          <t>BUY</t>
        </is>
      </c>
      <c r="G1334" s="720" t="n">
        <v>0.14</v>
      </c>
      <c r="H1334" s="720" t="n">
        <v>1.3062</v>
      </c>
      <c r="I1334" s="720" t="n">
        <v>1.30572</v>
      </c>
      <c r="J1334" s="721" t="n">
        <v>1.3057</v>
      </c>
      <c r="K1334" s="760" t="n">
        <v>0.0003827897718572538</v>
      </c>
      <c r="L1334" s="721" t="n">
        <v>1.3072</v>
      </c>
      <c r="M1334" s="760" t="n">
        <v>0.0007655795437145076</v>
      </c>
      <c r="N1334" s="788" t="n"/>
      <c r="O1334" s="762" t="n">
        <v>-9.69</v>
      </c>
      <c r="P1334" s="725" t="n">
        <v>-0.009924109748978399</v>
      </c>
      <c r="Q1334" s="726" t="n">
        <v>-0.9600000000001776</v>
      </c>
      <c r="R1334" s="764" t="n">
        <v>966.72</v>
      </c>
      <c r="S1334" s="719" t="inlineStr">
        <is>
          <t>1M 0S</t>
        </is>
      </c>
      <c r="T1334" s="728" t="n"/>
      <c r="U1334" s="729" t="n"/>
      <c r="V1334" s="730" t="n"/>
      <c r="W1334" s="731" t="n"/>
      <c r="X1334" s="732" t="n"/>
      <c r="Y1334" s="728" t="n"/>
      <c r="Z1334" s="729" t="n"/>
      <c r="AA1334" s="730" t="n"/>
      <c r="AB1334" s="731" t="n"/>
      <c r="AC1334" s="732" t="n"/>
      <c r="AD1334" s="719" t="inlineStr">
        <is>
          <t>No</t>
        </is>
      </c>
      <c r="AE1334" s="733" t="n"/>
      <c r="AF1334" s="733" t="n"/>
      <c r="AG1334" s="733" t="n"/>
      <c r="AH1334" s="733" t="n"/>
      <c r="AI1334" s="733" t="n"/>
      <c r="AJ1334" s="733" t="n"/>
      <c r="AK1334" s="733" t="n"/>
      <c r="AL1334" s="733" t="n"/>
      <c r="AM1334" s="733" t="n"/>
      <c r="AN1334" s="733" t="n"/>
      <c r="AO1334" s="733" t="n"/>
      <c r="AP1334" s="719" t="inlineStr">
        <is>
          <t>Pullback</t>
        </is>
      </c>
      <c r="AQ1334" s="719" t="inlineStr">
        <is>
          <t>1MIN</t>
        </is>
      </c>
      <c r="AR1334" s="719" t="inlineStr">
        <is>
          <t>No</t>
        </is>
      </c>
      <c r="AS1334" s="733" t="n"/>
      <c r="AT1334" s="733" t="n"/>
      <c r="AU1334" s="733" t="n"/>
      <c r="AV1334" s="733" t="n"/>
      <c r="AW1334" s="719" t="inlineStr">
        <is>
          <t>trade</t>
        </is>
      </c>
      <c r="AX1334" s="734" t="inlineStr">
        <is>
          <t>sig:39dbf56253f7a0b2cf18f9d3</t>
        </is>
      </c>
    </row>
    <row r="1335" ht="15" customHeight="1">
      <c r="A1335" s="737" t="inlineStr">
        <is>
          <t>F222</t>
        </is>
      </c>
      <c r="B1335" s="738" t="n">
        <v>43371.77222222222</v>
      </c>
      <c r="C1335" s="739" t="n">
        <v>43371.77569444444</v>
      </c>
      <c r="D1335" s="740" t="inlineStr">
        <is>
          <t>PEPPERSTONE LIVE</t>
        </is>
      </c>
      <c r="E1335" s="740" t="inlineStr">
        <is>
          <t>GBPUSD</t>
        </is>
      </c>
      <c r="F1335" s="740" t="inlineStr">
        <is>
          <t>BUY</t>
        </is>
      </c>
      <c r="G1335" s="742" t="n">
        <v>0.14</v>
      </c>
      <c r="H1335" s="742" t="n">
        <v>1.306</v>
      </c>
      <c r="I1335" s="742" t="n">
        <v>1.30633</v>
      </c>
      <c r="J1335" s="743" t="n">
        <v>1.3057</v>
      </c>
      <c r="K1335" s="765" t="n">
        <v>0.0002297090352220268</v>
      </c>
      <c r="L1335" s="743" t="n">
        <v>1.307</v>
      </c>
      <c r="M1335" s="765" t="n">
        <v>0.0007656967840734226</v>
      </c>
      <c r="N1335" s="796" t="n"/>
      <c r="O1335" s="767" t="n">
        <v>3.2</v>
      </c>
      <c r="P1335" s="747" t="n">
        <v>0.003288087874148437</v>
      </c>
      <c r="Q1335" s="748" t="n">
        <v>1.099999999999926</v>
      </c>
      <c r="R1335" s="769" t="n">
        <v>976.4100000000001</v>
      </c>
      <c r="S1335" s="740" t="inlineStr">
        <is>
          <t>5M 0S</t>
        </is>
      </c>
      <c r="T1335" s="750" t="n"/>
      <c r="U1335" s="751" t="n"/>
      <c r="V1335" s="752" t="n"/>
      <c r="W1335" s="753" t="n"/>
      <c r="X1335" s="754" t="n"/>
      <c r="Y1335" s="750" t="n"/>
      <c r="Z1335" s="751" t="n"/>
      <c r="AA1335" s="752" t="n"/>
      <c r="AB1335" s="753" t="n"/>
      <c r="AC1335" s="754" t="n"/>
      <c r="AD1335" s="740" t="inlineStr">
        <is>
          <t>No</t>
        </is>
      </c>
      <c r="AE1335" s="755" t="n"/>
      <c r="AF1335" s="755" t="n"/>
      <c r="AG1335" s="755" t="n"/>
      <c r="AH1335" s="755" t="n"/>
      <c r="AI1335" s="755" t="n"/>
      <c r="AJ1335" s="755" t="n"/>
      <c r="AK1335" s="755" t="n"/>
      <c r="AL1335" s="755" t="n"/>
      <c r="AM1335" s="755" t="n"/>
      <c r="AN1335" s="755" t="n"/>
      <c r="AO1335" s="755" t="n"/>
      <c r="AP1335" s="740" t="inlineStr">
        <is>
          <t>Pullback</t>
        </is>
      </c>
      <c r="AQ1335" s="740" t="inlineStr">
        <is>
          <t>1MIN</t>
        </is>
      </c>
      <c r="AR1335" s="740" t="inlineStr">
        <is>
          <t>No</t>
        </is>
      </c>
      <c r="AS1335" s="755" t="n"/>
      <c r="AT1335" s="755" t="n"/>
      <c r="AU1335" s="755" t="n"/>
      <c r="AV1335" s="755" t="n"/>
      <c r="AW1335" s="740" t="inlineStr">
        <is>
          <t>trade</t>
        </is>
      </c>
      <c r="AX1335" s="756" t="inlineStr">
        <is>
          <t>sig:1522705a25636396a67297cf</t>
        </is>
      </c>
    </row>
    <row r="1336" ht="15" customHeight="1">
      <c r="A1336" s="716" t="inlineStr">
        <is>
          <t>F220</t>
        </is>
      </c>
      <c r="B1336" s="717" t="n">
        <v>43371.71736111111</v>
      </c>
      <c r="C1336" s="718" t="n">
        <v>43371.75208333333</v>
      </c>
      <c r="D1336" s="719" t="inlineStr">
        <is>
          <t>PEPPERSTONE DEMO</t>
        </is>
      </c>
      <c r="E1336" s="719" t="inlineStr">
        <is>
          <t>USDJPY</t>
        </is>
      </c>
      <c r="F1336" s="719" t="inlineStr">
        <is>
          <t>BUY</t>
        </is>
      </c>
      <c r="G1336" s="720" t="n">
        <v>0.24</v>
      </c>
      <c r="H1336" s="720" t="n">
        <v>113.43</v>
      </c>
      <c r="I1336" s="720" t="n">
        <v>113.439</v>
      </c>
      <c r="J1336" s="721" t="n">
        <v>113.39</v>
      </c>
      <c r="K1336" s="760" t="n">
        <v>0.0003526403949572974</v>
      </c>
      <c r="L1336" s="721" t="n">
        <v>113.59</v>
      </c>
      <c r="M1336" s="722" t="n">
        <v>0.001410561579828939</v>
      </c>
      <c r="N1336" s="788" t="n"/>
      <c r="O1336" s="762" t="n">
        <v>-13.49</v>
      </c>
      <c r="P1336" s="725" t="n">
        <v>-0.002883828116148367</v>
      </c>
      <c r="Q1336" s="726" t="n">
        <v>0.2249999999996181</v>
      </c>
      <c r="R1336" s="764" t="n">
        <v>4664.320000000002</v>
      </c>
      <c r="S1336" s="719" t="inlineStr">
        <is>
          <t>50M 0S</t>
        </is>
      </c>
      <c r="T1336" s="728" t="n"/>
      <c r="U1336" s="729" t="n"/>
      <c r="V1336" s="730" t="n"/>
      <c r="W1336" s="731" t="n"/>
      <c r="X1336" s="732" t="n"/>
      <c r="Y1336" s="728" t="n"/>
      <c r="Z1336" s="729" t="n"/>
      <c r="AA1336" s="730" t="n"/>
      <c r="AB1336" s="731" t="n"/>
      <c r="AC1336" s="732" t="n"/>
      <c r="AD1336" s="719" t="inlineStr">
        <is>
          <t>No</t>
        </is>
      </c>
      <c r="AE1336" s="733" t="n"/>
      <c r="AF1336" s="733" t="n"/>
      <c r="AG1336" s="733" t="n"/>
      <c r="AH1336" s="733" t="n"/>
      <c r="AI1336" s="719" t="n"/>
      <c r="AJ1336" s="733" t="n"/>
      <c r="AK1336" s="733" t="n"/>
      <c r="AL1336" s="733" t="n"/>
      <c r="AM1336" s="733" t="n"/>
      <c r="AN1336" s="733" t="n"/>
      <c r="AO1336" s="733" t="n"/>
      <c r="AP1336" s="719" t="inlineStr">
        <is>
          <t>Pullback</t>
        </is>
      </c>
      <c r="AQ1336" s="719" t="inlineStr">
        <is>
          <t>30MIN</t>
        </is>
      </c>
      <c r="AR1336" s="719" t="inlineStr">
        <is>
          <t>No</t>
        </is>
      </c>
      <c r="AS1336" s="733" t="n"/>
      <c r="AT1336" s="733" t="n"/>
      <c r="AU1336" s="733" t="n"/>
      <c r="AV1336" s="733" t="n"/>
      <c r="AW1336" s="719" t="inlineStr">
        <is>
          <t>trade</t>
        </is>
      </c>
      <c r="AX1336" s="734" t="inlineStr">
        <is>
          <t>sig:dc90819610c09c2d686ad971</t>
        </is>
      </c>
    </row>
    <row r="1337" ht="15" customHeight="1">
      <c r="A1337" s="737" t="inlineStr">
        <is>
          <t>F217</t>
        </is>
      </c>
      <c r="B1337" s="738" t="n">
        <v>43371.6</v>
      </c>
      <c r="C1337" s="739" t="n">
        <v>43371.64652777778</v>
      </c>
      <c r="D1337" s="740" t="inlineStr">
        <is>
          <t>PEPPERSTONE DEMO</t>
        </is>
      </c>
      <c r="E1337" s="740" t="inlineStr">
        <is>
          <t>EURUSD</t>
        </is>
      </c>
      <c r="F1337" s="740" t="inlineStr">
        <is>
          <t>SELL</t>
        </is>
      </c>
      <c r="G1337" s="742" t="n">
        <v>0.28</v>
      </c>
      <c r="H1337" s="742" t="n">
        <v>1.1645</v>
      </c>
      <c r="I1337" s="742" t="n">
        <v>1.16443</v>
      </c>
      <c r="J1337" s="743" t="n">
        <v>1.1651</v>
      </c>
      <c r="K1337" s="765" t="n">
        <v>0.0005152425933876633</v>
      </c>
      <c r="L1337" s="743" t="n">
        <v>1.1633</v>
      </c>
      <c r="M1337" s="744" t="n">
        <v>0.001030485186775517</v>
      </c>
      <c r="N1337" s="796" t="n"/>
      <c r="O1337" s="767" t="n">
        <v>3.88</v>
      </c>
      <c r="P1337" s="776" t="n">
        <v>0.0008301365232256364</v>
      </c>
      <c r="Q1337" s="748" t="n">
        <v>0.1166666666667037</v>
      </c>
      <c r="R1337" s="769" t="n">
        <v>4677.810000000002</v>
      </c>
      <c r="S1337" s="740" t="inlineStr">
        <is>
          <t>1H 7M 0S</t>
        </is>
      </c>
      <c r="T1337" s="750" t="n"/>
      <c r="U1337" s="751" t="n"/>
      <c r="V1337" s="752" t="n"/>
      <c r="W1337" s="753" t="n"/>
      <c r="X1337" s="754" t="n"/>
      <c r="Y1337" s="750" t="n"/>
      <c r="Z1337" s="751" t="n"/>
      <c r="AA1337" s="752" t="n"/>
      <c r="AB1337" s="753" t="n"/>
      <c r="AC1337" s="754" t="n"/>
      <c r="AD1337" s="740" t="inlineStr">
        <is>
          <t>No</t>
        </is>
      </c>
      <c r="AE1337" s="755" t="n"/>
      <c r="AF1337" s="755" t="n"/>
      <c r="AG1337" s="755" t="n"/>
      <c r="AH1337" s="755" t="n"/>
      <c r="AI1337" s="740" t="inlineStr">
        <is>
          <t>Market</t>
        </is>
      </c>
      <c r="AJ1337" s="755" t="n"/>
      <c r="AK1337" s="755" t="n"/>
      <c r="AL1337" s="755" t="n"/>
      <c r="AM1337" s="755" t="n"/>
      <c r="AN1337" s="755" t="n"/>
      <c r="AO1337" s="755" t="n"/>
      <c r="AP1337" s="740" t="inlineStr">
        <is>
          <t>Pullback</t>
        </is>
      </c>
      <c r="AQ1337" s="740" t="inlineStr">
        <is>
          <t>30MIN</t>
        </is>
      </c>
      <c r="AR1337" s="740" t="inlineStr">
        <is>
          <t>No</t>
        </is>
      </c>
      <c r="AS1337" s="755" t="n"/>
      <c r="AT1337" s="755" t="n"/>
      <c r="AU1337" s="755" t="n"/>
      <c r="AV1337" s="755" t="n"/>
      <c r="AW1337" s="740" t="inlineStr">
        <is>
          <t>trade</t>
        </is>
      </c>
      <c r="AX1337" s="756" t="inlineStr">
        <is>
          <t>sig:14cd7cab7c36d6642ecfd634</t>
        </is>
      </c>
    </row>
    <row r="1338" ht="15" customHeight="1">
      <c r="A1338" s="737" t="inlineStr">
        <is>
          <t>F216</t>
        </is>
      </c>
      <c r="B1338" s="738" t="n">
        <v>43371.02152777778</v>
      </c>
      <c r="C1338" s="739" t="n">
        <v>43371.17361111111</v>
      </c>
      <c r="D1338" s="740" t="inlineStr">
        <is>
          <t>PEPPERSTONE DEMO</t>
        </is>
      </c>
      <c r="E1338" s="740" t="inlineStr">
        <is>
          <t>EURUSD</t>
        </is>
      </c>
      <c r="F1338" s="740" t="inlineStr">
        <is>
          <t>SELL</t>
        </is>
      </c>
      <c r="G1338" s="742" t="n">
        <v>0.1</v>
      </c>
      <c r="H1338" s="742" t="n">
        <v>1.169</v>
      </c>
      <c r="I1338" s="742" t="n">
        <v>1.16579</v>
      </c>
      <c r="J1338" s="743" t="n">
        <v>1.1698</v>
      </c>
      <c r="K1338" s="765" t="n">
        <v>0.0006843455945251598</v>
      </c>
      <c r="L1338" s="743" t="n">
        <v>1.1657</v>
      </c>
      <c r="M1338" s="744" t="n">
        <v>0.002822925577416664</v>
      </c>
      <c r="N1338" s="796" t="n"/>
      <c r="O1338" s="767" t="n">
        <v>105.59</v>
      </c>
      <c r="P1338" s="747" t="n">
        <v>0.02311342851013715</v>
      </c>
      <c r="Q1338" s="748" t="n">
        <v>4.012500000000361</v>
      </c>
      <c r="R1338" s="769" t="n">
        <v>4673.930000000002</v>
      </c>
      <c r="S1338" s="740" t="inlineStr">
        <is>
          <t>3H 39M 0S</t>
        </is>
      </c>
      <c r="T1338" s="750" t="n"/>
      <c r="U1338" s="751" t="n"/>
      <c r="V1338" s="752" t="n"/>
      <c r="W1338" s="753" t="n"/>
      <c r="X1338" s="754" t="n"/>
      <c r="Y1338" s="750" t="n"/>
      <c r="Z1338" s="751" t="n"/>
      <c r="AA1338" s="752" t="n"/>
      <c r="AB1338" s="753" t="n"/>
      <c r="AC1338" s="754" t="n"/>
      <c r="AD1338" s="740" t="inlineStr">
        <is>
          <t>No</t>
        </is>
      </c>
      <c r="AE1338" s="755" t="n"/>
      <c r="AF1338" s="755" t="n"/>
      <c r="AG1338" s="755" t="n"/>
      <c r="AH1338" s="755" t="n"/>
      <c r="AI1338" s="740" t="inlineStr">
        <is>
          <t>Market</t>
        </is>
      </c>
      <c r="AJ1338" s="755" t="n"/>
      <c r="AK1338" s="755" t="n"/>
      <c r="AL1338" s="755" t="n"/>
      <c r="AM1338" s="755" t="n"/>
      <c r="AN1338" s="755" t="n"/>
      <c r="AO1338" s="755" t="n"/>
      <c r="AP1338" s="740" t="inlineStr">
        <is>
          <t>Pullback</t>
        </is>
      </c>
      <c r="AQ1338" s="740" t="inlineStr">
        <is>
          <t>30MIN</t>
        </is>
      </c>
      <c r="AR1338" s="740" t="inlineStr">
        <is>
          <t>No</t>
        </is>
      </c>
      <c r="AS1338" s="755" t="n"/>
      <c r="AT1338" s="755" t="n"/>
      <c r="AU1338" s="755" t="n"/>
      <c r="AV1338" s="755" t="n"/>
      <c r="AW1338" s="740" t="inlineStr">
        <is>
          <t>trade</t>
        </is>
      </c>
      <c r="AX1338" s="756" t="inlineStr">
        <is>
          <t>sig:b942372c5a3436f9c3f5d32a</t>
        </is>
      </c>
    </row>
    <row r="1339" ht="15" customHeight="1">
      <c r="A1339" s="737" t="inlineStr">
        <is>
          <t>F211</t>
        </is>
      </c>
      <c r="B1339" s="738" t="n">
        <v>43370.84791666667</v>
      </c>
      <c r="C1339" s="739" t="n">
        <v>43370.96805555555</v>
      </c>
      <c r="D1339" s="740" t="inlineStr">
        <is>
          <t>PEPPERSTONE DEMO</t>
        </is>
      </c>
      <c r="E1339" s="740" t="inlineStr">
        <is>
          <t>USDCHF</t>
        </is>
      </c>
      <c r="F1339" s="740" t="inlineStr">
        <is>
          <t>BUY</t>
        </is>
      </c>
      <c r="G1339" s="775" t="n">
        <v>0.09</v>
      </c>
      <c r="H1339" s="742" t="n">
        <v>0.9705</v>
      </c>
      <c r="I1339" s="742" t="n">
        <v>0.97399</v>
      </c>
      <c r="J1339" s="743" t="n">
        <v>0.9688</v>
      </c>
      <c r="K1339" s="744" t="n">
        <v>0.001751674394641973</v>
      </c>
      <c r="L1339" s="743" t="n">
        <v>0.9739</v>
      </c>
      <c r="M1339" s="744" t="n">
        <v>0.003503348789283832</v>
      </c>
      <c r="N1339" s="796" t="n"/>
      <c r="O1339" s="767" t="n">
        <v>39.72</v>
      </c>
      <c r="P1339" s="747" t="n">
        <v>0.008770883845409857</v>
      </c>
      <c r="Q1339" s="748" t="n">
        <v>2.052941176470542</v>
      </c>
      <c r="R1339" s="769" t="n">
        <v>4568.340000000002</v>
      </c>
      <c r="S1339" s="740" t="inlineStr">
        <is>
          <t>2H 53M 0S</t>
        </is>
      </c>
      <c r="T1339" s="750" t="n"/>
      <c r="U1339" s="751" t="n"/>
      <c r="V1339" s="752" t="n"/>
      <c r="W1339" s="753" t="n"/>
      <c r="X1339" s="754" t="n"/>
      <c r="Y1339" s="750" t="n"/>
      <c r="Z1339" s="751" t="n"/>
      <c r="AA1339" s="752" t="n"/>
      <c r="AB1339" s="753" t="n"/>
      <c r="AC1339" s="754" t="n"/>
      <c r="AD1339" s="740" t="inlineStr">
        <is>
          <t>No</t>
        </is>
      </c>
      <c r="AE1339" s="755" t="n"/>
      <c r="AF1339" s="755" t="n"/>
      <c r="AG1339" s="755" t="n"/>
      <c r="AH1339" s="755" t="n"/>
      <c r="AI1339" s="740" t="inlineStr">
        <is>
          <t>Market</t>
        </is>
      </c>
      <c r="AJ1339" s="755" t="n"/>
      <c r="AK1339" s="755" t="n"/>
      <c r="AL1339" s="755" t="n"/>
      <c r="AM1339" s="755" t="n"/>
      <c r="AN1339" s="755" t="n"/>
      <c r="AO1339" s="755" t="n"/>
      <c r="AP1339" s="740" t="inlineStr">
        <is>
          <t>Pullback</t>
        </is>
      </c>
      <c r="AQ1339" s="740" t="inlineStr">
        <is>
          <t>30MIN</t>
        </is>
      </c>
      <c r="AR1339" s="740" t="inlineStr">
        <is>
          <t>No</t>
        </is>
      </c>
      <c r="AS1339" s="755" t="n"/>
      <c r="AT1339" s="755" t="n"/>
      <c r="AU1339" s="755" t="n"/>
      <c r="AV1339" s="755" t="n"/>
      <c r="AW1339" s="740" t="inlineStr">
        <is>
          <t>trade</t>
        </is>
      </c>
      <c r="AX1339" s="756" t="inlineStr">
        <is>
          <t>sig:7d12ca066085c70c31e50b91</t>
        </is>
      </c>
    </row>
    <row r="1340" ht="15" customHeight="1">
      <c r="A1340" s="716" t="inlineStr">
        <is>
          <t>F215</t>
        </is>
      </c>
      <c r="B1340" s="717" t="n">
        <v>43370.96319444444</v>
      </c>
      <c r="C1340" s="718" t="n">
        <v>43370.96527777778</v>
      </c>
      <c r="D1340" s="719" t="inlineStr">
        <is>
          <t>PEPPERSTONE LIVE</t>
        </is>
      </c>
      <c r="E1340" s="719" t="inlineStr">
        <is>
          <t>EURUSD</t>
        </is>
      </c>
      <c r="F1340" s="719" t="inlineStr">
        <is>
          <t>SELL</t>
        </is>
      </c>
      <c r="G1340" s="720" t="n">
        <v>0.23</v>
      </c>
      <c r="H1340" s="720" t="n">
        <v>1.1675</v>
      </c>
      <c r="I1340" s="720" t="n">
        <v>1.16783</v>
      </c>
      <c r="J1340" s="721" t="n">
        <v>1.1678</v>
      </c>
      <c r="K1340" s="760" t="n">
        <v>0.0002569593147751323</v>
      </c>
      <c r="L1340" s="721" t="n">
        <v>1.1669</v>
      </c>
      <c r="M1340" s="760" t="n">
        <v>0.0005139186295502646</v>
      </c>
      <c r="N1340" s="788" t="n"/>
      <c r="O1340" s="762" t="n">
        <v>-7.65</v>
      </c>
      <c r="P1340" s="725" t="n">
        <v>-0.007799278184450381</v>
      </c>
      <c r="Q1340" s="726" t="n">
        <v>-1.099999999999926</v>
      </c>
      <c r="R1340" s="764" t="n">
        <v>973.21</v>
      </c>
      <c r="S1340" s="719" t="inlineStr">
        <is>
          <t>3M 0S</t>
        </is>
      </c>
      <c r="T1340" s="728" t="n"/>
      <c r="U1340" s="729" t="n"/>
      <c r="V1340" s="730" t="n"/>
      <c r="W1340" s="731" t="n"/>
      <c r="X1340" s="732" t="n"/>
      <c r="Y1340" s="728" t="n"/>
      <c r="Z1340" s="729" t="n"/>
      <c r="AA1340" s="730" t="n"/>
      <c r="AB1340" s="731" t="n"/>
      <c r="AC1340" s="732" t="n"/>
      <c r="AD1340" s="719" t="inlineStr">
        <is>
          <t>No</t>
        </is>
      </c>
      <c r="AE1340" s="733" t="n"/>
      <c r="AF1340" s="733" t="n"/>
      <c r="AG1340" s="733" t="n"/>
      <c r="AH1340" s="733" t="n"/>
      <c r="AI1340" s="719" t="n"/>
      <c r="AJ1340" s="733" t="n"/>
      <c r="AK1340" s="733" t="n"/>
      <c r="AL1340" s="733" t="n"/>
      <c r="AM1340" s="733" t="n"/>
      <c r="AN1340" s="733" t="n"/>
      <c r="AO1340" s="733" t="n"/>
      <c r="AP1340" s="719" t="inlineStr">
        <is>
          <t>Pullback</t>
        </is>
      </c>
      <c r="AQ1340" s="719" t="n"/>
      <c r="AR1340" s="719" t="inlineStr">
        <is>
          <t>No</t>
        </is>
      </c>
      <c r="AS1340" s="733" t="n"/>
      <c r="AT1340" s="733" t="n"/>
      <c r="AU1340" s="733" t="n"/>
      <c r="AV1340" s="733" t="n"/>
      <c r="AW1340" s="719" t="inlineStr">
        <is>
          <t>trade</t>
        </is>
      </c>
      <c r="AX1340" s="734" t="inlineStr">
        <is>
          <t>sig:3dd221ef5b02c31c66f3bbc1</t>
        </is>
      </c>
    </row>
    <row r="1341" ht="15" customHeight="1">
      <c r="A1341" s="737" t="inlineStr">
        <is>
          <t>F214</t>
        </is>
      </c>
      <c r="B1341" s="738" t="n">
        <v>43370.95625</v>
      </c>
      <c r="C1341" s="739" t="n">
        <v>43370.96111111111</v>
      </c>
      <c r="D1341" s="740" t="inlineStr">
        <is>
          <t>PEPPERSTONE LIVE</t>
        </is>
      </c>
      <c r="E1341" s="740" t="inlineStr">
        <is>
          <t>EURUSD</t>
        </is>
      </c>
      <c r="F1341" s="740" t="inlineStr">
        <is>
          <t>SELL</t>
        </is>
      </c>
      <c r="G1341" s="742" t="n">
        <v>0.11</v>
      </c>
      <c r="H1341" s="742" t="n">
        <v>1.1677</v>
      </c>
      <c r="I1341" s="742" t="n">
        <v>1.16752</v>
      </c>
      <c r="J1341" s="743" t="n">
        <v>1.1683</v>
      </c>
      <c r="K1341" s="765" t="n">
        <v>0.0005138306071764443</v>
      </c>
      <c r="L1341" s="743" t="n"/>
      <c r="M1341" s="744" t="n"/>
      <c r="N1341" s="796" t="n"/>
      <c r="O1341" s="767" t="n">
        <v>3.2</v>
      </c>
      <c r="P1341" s="747" t="n">
        <v>0.003273121535094</v>
      </c>
      <c r="Q1341" s="748" t="n">
        <v>0.300000000000148</v>
      </c>
      <c r="R1341" s="769" t="n">
        <v>980.86</v>
      </c>
      <c r="S1341" s="740" t="inlineStr">
        <is>
          <t>7M 0S</t>
        </is>
      </c>
      <c r="T1341" s="750" t="n"/>
      <c r="U1341" s="751" t="n"/>
      <c r="V1341" s="752" t="n"/>
      <c r="W1341" s="753" t="n"/>
      <c r="X1341" s="754" t="n"/>
      <c r="Y1341" s="750" t="n"/>
      <c r="Z1341" s="751" t="n"/>
      <c r="AA1341" s="752" t="n"/>
      <c r="AB1341" s="753" t="n"/>
      <c r="AC1341" s="754" t="n"/>
      <c r="AD1341" s="740" t="inlineStr">
        <is>
          <t>No</t>
        </is>
      </c>
      <c r="AE1341" s="755" t="n"/>
      <c r="AF1341" s="755" t="n"/>
      <c r="AG1341" s="755" t="n"/>
      <c r="AH1341" s="755" t="n"/>
      <c r="AI1341" s="740" t="n"/>
      <c r="AJ1341" s="755" t="n"/>
      <c r="AK1341" s="755" t="n"/>
      <c r="AL1341" s="755" t="n"/>
      <c r="AM1341" s="755" t="n"/>
      <c r="AN1341" s="755" t="n"/>
      <c r="AO1341" s="755" t="n"/>
      <c r="AP1341" s="740" t="inlineStr">
        <is>
          <t>Pullback</t>
        </is>
      </c>
      <c r="AQ1341" s="740" t="n"/>
      <c r="AR1341" s="740" t="inlineStr">
        <is>
          <t>No</t>
        </is>
      </c>
      <c r="AS1341" s="755" t="n"/>
      <c r="AT1341" s="755" t="n"/>
      <c r="AU1341" s="755" t="n"/>
      <c r="AV1341" s="755" t="n"/>
      <c r="AW1341" s="740" t="inlineStr">
        <is>
          <t>trade</t>
        </is>
      </c>
      <c r="AX1341" s="756" t="inlineStr">
        <is>
          <t>sig:8c573506d6fc3e76d7e979ea</t>
        </is>
      </c>
    </row>
    <row r="1342" ht="15" customHeight="1">
      <c r="A1342" s="716" t="inlineStr">
        <is>
          <t>F213</t>
        </is>
      </c>
      <c r="B1342" s="717" t="n">
        <v>43370.95069444444</v>
      </c>
      <c r="C1342" s="718" t="n">
        <v>43370.95208333333</v>
      </c>
      <c r="D1342" s="719" t="inlineStr">
        <is>
          <t>PEPPERSTONE LIVE</t>
        </is>
      </c>
      <c r="E1342" s="719" t="inlineStr">
        <is>
          <t>EURUSD</t>
        </is>
      </c>
      <c r="F1342" s="719" t="inlineStr">
        <is>
          <t>SELL</t>
        </is>
      </c>
      <c r="G1342" s="720" t="n">
        <v>0.23</v>
      </c>
      <c r="H1342" s="720" t="n">
        <v>1.1683</v>
      </c>
      <c r="I1342" s="720" t="n">
        <v>1.16814</v>
      </c>
      <c r="J1342" s="721" t="n">
        <v>1.1686</v>
      </c>
      <c r="K1342" s="760" t="n">
        <v>0.0002567833604384054</v>
      </c>
      <c r="L1342" s="721" t="n">
        <v>1.1677</v>
      </c>
      <c r="M1342" s="760" t="n">
        <v>0.0005135667208764307</v>
      </c>
      <c r="N1342" s="788" t="n"/>
      <c r="O1342" s="762" t="n">
        <v>-0.42</v>
      </c>
      <c r="P1342" s="763" t="n">
        <v>-0.0004294127269752985</v>
      </c>
      <c r="Q1342" s="726" t="n">
        <v>0.5333333333327905</v>
      </c>
      <c r="R1342" s="764" t="n">
        <v>977.66</v>
      </c>
      <c r="S1342" s="719" t="inlineStr">
        <is>
          <t>2M 0S</t>
        </is>
      </c>
      <c r="T1342" s="728" t="n"/>
      <c r="U1342" s="729" t="n"/>
      <c r="V1342" s="730" t="n"/>
      <c r="W1342" s="731" t="n"/>
      <c r="X1342" s="732" t="n"/>
      <c r="Y1342" s="728" t="n"/>
      <c r="Z1342" s="729" t="n"/>
      <c r="AA1342" s="730" t="n"/>
      <c r="AB1342" s="731" t="n"/>
      <c r="AC1342" s="732" t="n"/>
      <c r="AD1342" s="719" t="inlineStr">
        <is>
          <t>No</t>
        </is>
      </c>
      <c r="AE1342" s="733" t="n"/>
      <c r="AF1342" s="733" t="n"/>
      <c r="AG1342" s="733" t="n"/>
      <c r="AH1342" s="733" t="n"/>
      <c r="AI1342" s="719" t="n"/>
      <c r="AJ1342" s="733" t="n"/>
      <c r="AK1342" s="733" t="n"/>
      <c r="AL1342" s="733" t="n"/>
      <c r="AM1342" s="733" t="n"/>
      <c r="AN1342" s="733" t="n"/>
      <c r="AO1342" s="733" t="n"/>
      <c r="AP1342" s="719" t="inlineStr">
        <is>
          <t>Pullback</t>
        </is>
      </c>
      <c r="AQ1342" s="719" t="n"/>
      <c r="AR1342" s="719" t="inlineStr">
        <is>
          <t>No</t>
        </is>
      </c>
      <c r="AS1342" s="733" t="n"/>
      <c r="AT1342" s="733" t="n"/>
      <c r="AU1342" s="733" t="n"/>
      <c r="AV1342" s="733" t="n"/>
      <c r="AW1342" s="719" t="inlineStr">
        <is>
          <t>trade</t>
        </is>
      </c>
      <c r="AX1342" s="734" t="inlineStr">
        <is>
          <t>sig:114f850637c180458f71d160</t>
        </is>
      </c>
    </row>
    <row r="1343" ht="15" customHeight="1">
      <c r="A1343" s="737" t="inlineStr">
        <is>
          <t>F212</t>
        </is>
      </c>
      <c r="B1343" s="738" t="n">
        <v>43370.94375</v>
      </c>
      <c r="C1343" s="739" t="n">
        <v>43370.95</v>
      </c>
      <c r="D1343" s="740" t="inlineStr">
        <is>
          <t>PEPPERSTONE LIVE</t>
        </is>
      </c>
      <c r="E1343" s="740" t="inlineStr">
        <is>
          <t>EURUSD</t>
        </is>
      </c>
      <c r="F1343" s="740" t="inlineStr">
        <is>
          <t>SELL</t>
        </is>
      </c>
      <c r="G1343" s="742" t="n">
        <v>0.14</v>
      </c>
      <c r="H1343" s="742" t="n">
        <v>1.1687</v>
      </c>
      <c r="I1343" s="742" t="n">
        <v>1.16833</v>
      </c>
      <c r="J1343" s="743" t="n">
        <v>1.1691</v>
      </c>
      <c r="K1343" s="765" t="n">
        <v>0.0003422606314708273</v>
      </c>
      <c r="L1343" s="743" t="n">
        <v>1.1677</v>
      </c>
      <c r="M1343" s="765" t="n">
        <v>0.0008556515786772584</v>
      </c>
      <c r="N1343" s="796" t="n"/>
      <c r="O1343" s="767" t="n">
        <v>2.96</v>
      </c>
      <c r="P1343" s="747" t="n">
        <v>0.003035523832964148</v>
      </c>
      <c r="Q1343" s="748" t="n">
        <v>0.9250000000000556</v>
      </c>
      <c r="R1343" s="769" t="n">
        <v>978.0799999999999</v>
      </c>
      <c r="S1343" s="740" t="inlineStr">
        <is>
          <t>9M 0S</t>
        </is>
      </c>
      <c r="T1343" s="750" t="n"/>
      <c r="U1343" s="751" t="n"/>
      <c r="V1343" s="752" t="n"/>
      <c r="W1343" s="753" t="n"/>
      <c r="X1343" s="754" t="n"/>
      <c r="Y1343" s="750" t="n"/>
      <c r="Z1343" s="751" t="n"/>
      <c r="AA1343" s="752" t="n"/>
      <c r="AB1343" s="753" t="n"/>
      <c r="AC1343" s="754" t="n"/>
      <c r="AD1343" s="740" t="inlineStr">
        <is>
          <t>No</t>
        </is>
      </c>
      <c r="AE1343" s="755" t="n"/>
      <c r="AF1343" s="755" t="n"/>
      <c r="AG1343" s="755" t="n"/>
      <c r="AH1343" s="755" t="n"/>
      <c r="AI1343" s="755" t="n"/>
      <c r="AJ1343" s="755" t="n"/>
      <c r="AK1343" s="755" t="n"/>
      <c r="AL1343" s="755" t="n"/>
      <c r="AM1343" s="755" t="n"/>
      <c r="AN1343" s="755" t="n"/>
      <c r="AO1343" s="755" t="n"/>
      <c r="AP1343" s="740" t="inlineStr">
        <is>
          <t>Pullback</t>
        </is>
      </c>
      <c r="AQ1343" s="755" t="n"/>
      <c r="AR1343" s="740" t="inlineStr">
        <is>
          <t>No</t>
        </is>
      </c>
      <c r="AS1343" s="755" t="n"/>
      <c r="AT1343" s="755" t="n"/>
      <c r="AU1343" s="755" t="n"/>
      <c r="AV1343" s="755" t="n"/>
      <c r="AW1343" s="740" t="inlineStr">
        <is>
          <t>trade</t>
        </is>
      </c>
      <c r="AX1343" s="756" t="inlineStr">
        <is>
          <t>sig:435ae26c7751c60eb9a371a0</t>
        </is>
      </c>
    </row>
    <row r="1344" ht="15" customHeight="1">
      <c r="A1344" s="716" t="inlineStr">
        <is>
          <t>F209</t>
        </is>
      </c>
      <c r="B1344" s="717" t="n">
        <v>43370.94097222222</v>
      </c>
      <c r="C1344" s="718" t="n">
        <v>43370.94166666667</v>
      </c>
      <c r="D1344" s="719" t="inlineStr">
        <is>
          <t>PEPPERSTONE LIVE</t>
        </is>
      </c>
      <c r="E1344" s="719" t="inlineStr">
        <is>
          <t>EURUSD</t>
        </is>
      </c>
      <c r="F1344" s="719" t="inlineStr">
        <is>
          <t>SELL</t>
        </is>
      </c>
      <c r="G1344" s="720" t="n">
        <v>0.17</v>
      </c>
      <c r="H1344" s="720" t="n">
        <v>1.1688</v>
      </c>
      <c r="I1344" s="720" t="n">
        <v>1.16921</v>
      </c>
      <c r="J1344" s="721" t="n">
        <v>1.1692</v>
      </c>
      <c r="K1344" s="760" t="n">
        <v>0.0003422313483914749</v>
      </c>
      <c r="L1344" s="721" t="n">
        <v>1.168</v>
      </c>
      <c r="M1344" s="760" t="n">
        <v>0.0006844626967831399</v>
      </c>
      <c r="N1344" s="788" t="n"/>
      <c r="O1344" s="762" t="n">
        <v>-9.42</v>
      </c>
      <c r="P1344" s="725" t="n">
        <v>-0.009567920043878362</v>
      </c>
      <c r="Q1344" s="726" t="n">
        <v>-1.025000000000166</v>
      </c>
      <c r="R1344" s="764" t="n">
        <v>975.1199999999999</v>
      </c>
      <c r="S1344" s="719" t="inlineStr">
        <is>
          <t>1M 0S</t>
        </is>
      </c>
      <c r="T1344" s="728" t="n"/>
      <c r="U1344" s="729" t="n"/>
      <c r="V1344" s="730" t="n"/>
      <c r="W1344" s="731" t="n"/>
      <c r="X1344" s="732" t="n"/>
      <c r="Y1344" s="728" t="n"/>
      <c r="Z1344" s="729" t="n"/>
      <c r="AA1344" s="730" t="n"/>
      <c r="AB1344" s="731" t="n"/>
      <c r="AC1344" s="732" t="n"/>
      <c r="AD1344" s="719" t="inlineStr">
        <is>
          <t>No</t>
        </is>
      </c>
      <c r="AE1344" s="733" t="n"/>
      <c r="AF1344" s="733" t="n"/>
      <c r="AG1344" s="733" t="n"/>
      <c r="AH1344" s="733" t="n"/>
      <c r="AI1344" s="719" t="inlineStr">
        <is>
          <t>Market</t>
        </is>
      </c>
      <c r="AJ1344" s="733" t="n"/>
      <c r="AK1344" s="733" t="n"/>
      <c r="AL1344" s="733" t="n"/>
      <c r="AM1344" s="733" t="n"/>
      <c r="AN1344" s="733" t="n"/>
      <c r="AO1344" s="733" t="n"/>
      <c r="AP1344" s="719" t="inlineStr">
        <is>
          <t>Pullback</t>
        </is>
      </c>
      <c r="AQ1344" s="719" t="inlineStr">
        <is>
          <t>1MIN</t>
        </is>
      </c>
      <c r="AR1344" s="719" t="inlineStr">
        <is>
          <t>No</t>
        </is>
      </c>
      <c r="AS1344" s="733" t="n"/>
      <c r="AT1344" s="733" t="n"/>
      <c r="AU1344" s="733" t="n"/>
      <c r="AV1344" s="733" t="n"/>
      <c r="AW1344" s="719" t="inlineStr">
        <is>
          <t>trade</t>
        </is>
      </c>
      <c r="AX1344" s="734" t="inlineStr">
        <is>
          <t>sig:c4253a7aded057cf6428197a</t>
        </is>
      </c>
    </row>
    <row r="1345" ht="15" customHeight="1">
      <c r="A1345" s="716" t="inlineStr">
        <is>
          <t>F208</t>
        </is>
      </c>
      <c r="B1345" s="717" t="n">
        <v>43370.17361111111</v>
      </c>
      <c r="C1345" s="718" t="n">
        <v>43370.17708333334</v>
      </c>
      <c r="D1345" s="719" t="inlineStr">
        <is>
          <t>PEPPERSTONE LIVE</t>
        </is>
      </c>
      <c r="E1345" s="719" t="inlineStr">
        <is>
          <t>EURUSD</t>
        </is>
      </c>
      <c r="F1345" s="719" t="inlineStr">
        <is>
          <t>BUY</t>
        </is>
      </c>
      <c r="G1345" s="735" t="n">
        <v>0.07000000000000001</v>
      </c>
      <c r="H1345" s="720" t="n">
        <v>1.1772</v>
      </c>
      <c r="I1345" s="720" t="n">
        <v>1.17749</v>
      </c>
      <c r="J1345" s="721" t="n">
        <v>1.1765</v>
      </c>
      <c r="K1345" s="760" t="n">
        <v>0.0005946313285762172</v>
      </c>
      <c r="L1345" s="721" t="n">
        <v>1.1795</v>
      </c>
      <c r="M1345" s="722" t="n">
        <v>0.001953788651036331</v>
      </c>
      <c r="N1345" s="788" t="n"/>
      <c r="O1345" s="762" t="n">
        <v>-0.71</v>
      </c>
      <c r="P1345" s="763" t="n">
        <v>-0.0007206292819081452</v>
      </c>
      <c r="Q1345" s="726" t="n">
        <v>0.4142857142856191</v>
      </c>
      <c r="R1345" s="764" t="n">
        <v>984.5399999999998</v>
      </c>
      <c r="S1345" s="719" t="inlineStr">
        <is>
          <t>5M 0S</t>
        </is>
      </c>
      <c r="T1345" s="728" t="n"/>
      <c r="U1345" s="729" t="n"/>
      <c r="V1345" s="730" t="n"/>
      <c r="W1345" s="731" t="n"/>
      <c r="X1345" s="732" t="n"/>
      <c r="Y1345" s="728" t="n"/>
      <c r="Z1345" s="729" t="n"/>
      <c r="AA1345" s="730" t="n"/>
      <c r="AB1345" s="731" t="n"/>
      <c r="AC1345" s="732" t="n"/>
      <c r="AD1345" s="719" t="inlineStr">
        <is>
          <t>No</t>
        </is>
      </c>
      <c r="AE1345" s="733" t="n"/>
      <c r="AF1345" s="733" t="n"/>
      <c r="AG1345" s="733" t="n"/>
      <c r="AH1345" s="733" t="n"/>
      <c r="AI1345" s="719" t="inlineStr">
        <is>
          <t>Market</t>
        </is>
      </c>
      <c r="AJ1345" s="733" t="n"/>
      <c r="AK1345" s="733" t="n"/>
      <c r="AL1345" s="733" t="n"/>
      <c r="AM1345" s="733" t="n"/>
      <c r="AN1345" s="733" t="n"/>
      <c r="AO1345" s="733" t="n"/>
      <c r="AP1345" s="719" t="inlineStr">
        <is>
          <t>Pullback</t>
        </is>
      </c>
      <c r="AQ1345" s="719" t="inlineStr">
        <is>
          <t>1MIN</t>
        </is>
      </c>
      <c r="AR1345" s="719" t="inlineStr">
        <is>
          <t>No</t>
        </is>
      </c>
      <c r="AS1345" s="782" t="n"/>
      <c r="AT1345" s="733" t="n"/>
      <c r="AU1345" s="719" t="n"/>
      <c r="AV1345" s="719" t="n"/>
      <c r="AW1345" s="719" t="inlineStr">
        <is>
          <t>trade</t>
        </is>
      </c>
      <c r="AX1345" s="734" t="inlineStr">
        <is>
          <t>sig:c53bc67e864359c8b1212d4d</t>
        </is>
      </c>
    </row>
    <row r="1346" ht="15" customHeight="1">
      <c r="A1346" s="737" t="inlineStr">
        <is>
          <t>F692</t>
        </is>
      </c>
      <c r="B1346" s="738" t="n">
        <v>43370.02222222222</v>
      </c>
      <c r="C1346" s="739" t="n">
        <v>43370.16944444444</v>
      </c>
      <c r="D1346" s="740" t="inlineStr">
        <is>
          <t>PEPPERSTONE DEMO</t>
        </is>
      </c>
      <c r="E1346" s="740" t="inlineStr">
        <is>
          <t>NZDUSD</t>
        </is>
      </c>
      <c r="F1346" s="740" t="inlineStr">
        <is>
          <t>BUY</t>
        </is>
      </c>
      <c r="G1346" s="775" t="n">
        <v>0.07000000000000001</v>
      </c>
      <c r="H1346" s="742" t="n">
        <v>0.665</v>
      </c>
      <c r="I1346" s="742" t="n">
        <v>0.6674</v>
      </c>
      <c r="J1346" s="743" t="n"/>
      <c r="K1346" s="744" t="n"/>
      <c r="L1346" s="743" t="n">
        <v>0.6674</v>
      </c>
      <c r="M1346" s="744" t="n">
        <v>0.003609022556390914</v>
      </c>
      <c r="N1346" s="796" t="n"/>
      <c r="O1346" s="767" t="n">
        <v>36.6</v>
      </c>
      <c r="P1346" s="747" t="n">
        <v>0.008147782066865238</v>
      </c>
      <c r="Q1346" s="748" t="n"/>
      <c r="R1346" s="769" t="n">
        <v>4528.620000000002</v>
      </c>
      <c r="S1346" s="740" t="inlineStr">
        <is>
          <t>3H 32M 0S</t>
        </is>
      </c>
      <c r="T1346" s="750" t="n"/>
      <c r="U1346" s="751" t="n"/>
      <c r="V1346" s="752" t="n"/>
      <c r="W1346" s="753" t="n"/>
      <c r="X1346" s="754" t="n"/>
      <c r="Y1346" s="750" t="n"/>
      <c r="Z1346" s="751" t="n"/>
      <c r="AA1346" s="752" t="n"/>
      <c r="AB1346" s="753" t="n"/>
      <c r="AC1346" s="754" t="n"/>
      <c r="AD1346" s="740" t="inlineStr">
        <is>
          <t>No</t>
        </is>
      </c>
      <c r="AE1346" s="755" t="n"/>
      <c r="AF1346" s="755" t="n"/>
      <c r="AG1346" s="755" t="n"/>
      <c r="AH1346" s="755" t="n"/>
      <c r="AI1346" s="755" t="n"/>
      <c r="AJ1346" s="755" t="n"/>
      <c r="AK1346" s="755" t="n"/>
      <c r="AL1346" s="755" t="n"/>
      <c r="AM1346" s="755" t="n"/>
      <c r="AN1346" s="755" t="n"/>
      <c r="AO1346" s="755" t="n"/>
      <c r="AP1346" s="740" t="inlineStr">
        <is>
          <t>Pullback</t>
        </is>
      </c>
      <c r="AQ1346" s="740" t="n"/>
      <c r="AR1346" s="740" t="inlineStr">
        <is>
          <t>No</t>
        </is>
      </c>
      <c r="AS1346" s="755" t="n"/>
      <c r="AT1346" s="755" t="n"/>
      <c r="AU1346" s="755" t="n"/>
      <c r="AV1346" s="755" t="n"/>
      <c r="AW1346" s="740" t="inlineStr">
        <is>
          <t>trade</t>
        </is>
      </c>
      <c r="AX1346" s="756" t="inlineStr">
        <is>
          <t>sig:ad2ca78d11762062460f341a</t>
        </is>
      </c>
    </row>
    <row r="1347" ht="15" customHeight="1">
      <c r="A1347" s="737" t="inlineStr">
        <is>
          <t>F210</t>
        </is>
      </c>
      <c r="B1347" s="738" t="n">
        <v>43370.03194444445</v>
      </c>
      <c r="C1347" s="739" t="n">
        <v>43370.03611111111</v>
      </c>
      <c r="D1347" s="740" t="inlineStr">
        <is>
          <t>PEPPERSTONE LIVE</t>
        </is>
      </c>
      <c r="E1347" s="740" t="inlineStr">
        <is>
          <t>USDCAD</t>
        </is>
      </c>
      <c r="F1347" s="740" t="inlineStr">
        <is>
          <t>BUY</t>
        </is>
      </c>
      <c r="G1347" s="742" t="n">
        <v>0.23</v>
      </c>
      <c r="H1347" s="742" t="n">
        <v>1.2967</v>
      </c>
      <c r="I1347" s="742" t="n">
        <v>1.29699</v>
      </c>
      <c r="J1347" s="743" t="n">
        <v>1.2964</v>
      </c>
      <c r="K1347" s="765" t="n">
        <v>0.0002313565203979077</v>
      </c>
      <c r="L1347" s="743" t="n">
        <v>1.2979</v>
      </c>
      <c r="M1347" s="765" t="n">
        <v>0.0009254260815918022</v>
      </c>
      <c r="N1347" s="796" t="n"/>
      <c r="O1347" s="767" t="n">
        <v>1.04</v>
      </c>
      <c r="P1347" s="747" t="n">
        <v>0.001056685057050833</v>
      </c>
      <c r="Q1347" s="748" t="n">
        <v>0.9666666666671848</v>
      </c>
      <c r="R1347" s="769" t="n">
        <v>985.2499999999999</v>
      </c>
      <c r="S1347" s="740" t="inlineStr">
        <is>
          <t>6M 0S</t>
        </is>
      </c>
      <c r="T1347" s="750" t="n"/>
      <c r="U1347" s="751" t="n"/>
      <c r="V1347" s="752" t="n"/>
      <c r="W1347" s="753" t="n"/>
      <c r="X1347" s="754" t="n"/>
      <c r="Y1347" s="750" t="n"/>
      <c r="Z1347" s="751" t="n"/>
      <c r="AA1347" s="752" t="n"/>
      <c r="AB1347" s="753" t="n"/>
      <c r="AC1347" s="754" t="n"/>
      <c r="AD1347" s="740" t="inlineStr">
        <is>
          <t>No</t>
        </is>
      </c>
      <c r="AE1347" s="755" t="n"/>
      <c r="AF1347" s="755" t="n"/>
      <c r="AG1347" s="755" t="n"/>
      <c r="AH1347" s="755" t="n"/>
      <c r="AI1347" s="740" t="inlineStr">
        <is>
          <t>Market</t>
        </is>
      </c>
      <c r="AJ1347" s="755" t="n"/>
      <c r="AK1347" s="755" t="n"/>
      <c r="AL1347" s="755" t="n"/>
      <c r="AM1347" s="755" t="n"/>
      <c r="AN1347" s="755" t="n"/>
      <c r="AO1347" s="755" t="n"/>
      <c r="AP1347" s="740" t="inlineStr">
        <is>
          <t>Pullback</t>
        </is>
      </c>
      <c r="AQ1347" s="740" t="inlineStr">
        <is>
          <t>1MIN</t>
        </is>
      </c>
      <c r="AR1347" s="740" t="inlineStr">
        <is>
          <t>No</t>
        </is>
      </c>
      <c r="AS1347" s="755" t="n"/>
      <c r="AT1347" s="755" t="n"/>
      <c r="AU1347" s="755" t="n"/>
      <c r="AV1347" s="755" t="n"/>
      <c r="AW1347" s="740" t="inlineStr">
        <is>
          <t>trade</t>
        </is>
      </c>
      <c r="AX1347" s="756" t="inlineStr">
        <is>
          <t>sig:96c79ae0d025ebfb1a848952</t>
        </is>
      </c>
    </row>
    <row r="1348" ht="15" customHeight="1">
      <c r="A1348" s="716" t="inlineStr">
        <is>
          <t>F207</t>
        </is>
      </c>
      <c r="B1348" s="717" t="n">
        <v>43369.72430555556</v>
      </c>
      <c r="C1348" s="718" t="n">
        <v>43369.73402777778</v>
      </c>
      <c r="D1348" s="719" t="inlineStr">
        <is>
          <t>PEPPERSTONE DEMO</t>
        </is>
      </c>
      <c r="E1348" s="719" t="inlineStr">
        <is>
          <t>NZDUSD</t>
        </is>
      </c>
      <c r="F1348" s="719" t="inlineStr">
        <is>
          <t>BUY</t>
        </is>
      </c>
      <c r="G1348" s="720" t="n">
        <v>0.47</v>
      </c>
      <c r="H1348" s="720" t="n">
        <v>0.6665</v>
      </c>
      <c r="I1348" s="720" t="n">
        <v>0.66584</v>
      </c>
      <c r="J1348" s="721" t="n">
        <v>0.6657999999999999</v>
      </c>
      <c r="K1348" s="722" t="n">
        <v>0.001050262565641461</v>
      </c>
      <c r="L1348" s="721" t="n">
        <v>0.6679</v>
      </c>
      <c r="M1348" s="722" t="n">
        <v>0.002100525131282923</v>
      </c>
      <c r="N1348" s="788" t="n"/>
      <c r="O1348" s="762" t="n">
        <v>-45.34</v>
      </c>
      <c r="P1348" s="725" t="n">
        <v>-0.009992594812842709</v>
      </c>
      <c r="Q1348" s="726" t="n">
        <v>-0.9428571428570884</v>
      </c>
      <c r="R1348" s="764" t="n">
        <v>4492.020000000001</v>
      </c>
      <c r="S1348" s="719" t="inlineStr">
        <is>
          <t>14M 0S</t>
        </is>
      </c>
      <c r="T1348" s="728" t="n"/>
      <c r="U1348" s="729" t="n"/>
      <c r="V1348" s="730" t="n"/>
      <c r="W1348" s="731" t="n"/>
      <c r="X1348" s="732" t="n"/>
      <c r="Y1348" s="728" t="n"/>
      <c r="Z1348" s="729" t="n"/>
      <c r="AA1348" s="730" t="n"/>
      <c r="AB1348" s="731" t="n"/>
      <c r="AC1348" s="732" t="n"/>
      <c r="AD1348" s="719" t="inlineStr">
        <is>
          <t>No</t>
        </is>
      </c>
      <c r="AE1348" s="733" t="n"/>
      <c r="AF1348" s="733" t="n"/>
      <c r="AG1348" s="733" t="n"/>
      <c r="AH1348" s="733" t="n"/>
      <c r="AI1348" s="719" t="inlineStr">
        <is>
          <t>Market</t>
        </is>
      </c>
      <c r="AJ1348" s="733" t="n"/>
      <c r="AK1348" s="733" t="n"/>
      <c r="AL1348" s="733" t="n"/>
      <c r="AM1348" s="733" t="n"/>
      <c r="AN1348" s="733" t="n"/>
      <c r="AO1348" s="733" t="n"/>
      <c r="AP1348" s="719" t="inlineStr">
        <is>
          <t>Pullback</t>
        </is>
      </c>
      <c r="AQ1348" s="719" t="inlineStr">
        <is>
          <t>30MIN</t>
        </is>
      </c>
      <c r="AR1348" s="719" t="inlineStr">
        <is>
          <t>No</t>
        </is>
      </c>
      <c r="AS1348" s="733" t="n"/>
      <c r="AT1348" s="733" t="n"/>
      <c r="AU1348" s="733" t="n"/>
      <c r="AV1348" s="733" t="n"/>
      <c r="AW1348" s="719" t="inlineStr">
        <is>
          <t>trade</t>
        </is>
      </c>
      <c r="AX1348" s="734" t="inlineStr">
        <is>
          <t>sig:a7c902a1f1c0d4ab5a34502f</t>
        </is>
      </c>
    </row>
    <row r="1349" ht="15" customHeight="1">
      <c r="A1349" s="737" t="inlineStr">
        <is>
          <t>F205</t>
        </is>
      </c>
      <c r="B1349" s="738" t="n">
        <v>43364.96805555555</v>
      </c>
      <c r="C1349" s="739" t="n">
        <v>43364.96944444445</v>
      </c>
      <c r="D1349" s="740" t="inlineStr">
        <is>
          <t>PEPPERSTONE LIVE</t>
        </is>
      </c>
      <c r="E1349" s="740" t="inlineStr">
        <is>
          <t>GBPUSD</t>
        </is>
      </c>
      <c r="F1349" s="740" t="inlineStr">
        <is>
          <t>SELL</t>
        </is>
      </c>
      <c r="G1349" s="775" t="n">
        <v>0.04</v>
      </c>
      <c r="H1349" s="742" t="n">
        <v>1.3097</v>
      </c>
      <c r="I1349" s="742" t="n">
        <v>1.30865</v>
      </c>
      <c r="J1349" s="743" t="n"/>
      <c r="K1349" s="744" t="n"/>
      <c r="L1349" s="743" t="n">
        <v>1.3065</v>
      </c>
      <c r="M1349" s="744" t="n">
        <v>0.00244330762770107</v>
      </c>
      <c r="N1349" s="796" t="n"/>
      <c r="O1349" s="767" t="n">
        <v>1.4</v>
      </c>
      <c r="P1349" s="747" t="n">
        <v>0.001424486930332414</v>
      </c>
      <c r="Q1349" s="748" t="n"/>
      <c r="R1349" s="769" t="n">
        <v>984.2099999999999</v>
      </c>
      <c r="S1349" s="740" t="inlineStr">
        <is>
          <t>2M 0S</t>
        </is>
      </c>
      <c r="T1349" s="750" t="n"/>
      <c r="U1349" s="751" t="n"/>
      <c r="V1349" s="752" t="n"/>
      <c r="W1349" s="753" t="n"/>
      <c r="X1349" s="754" t="n"/>
      <c r="Y1349" s="750" t="n"/>
      <c r="Z1349" s="751" t="n"/>
      <c r="AA1349" s="752" t="n"/>
      <c r="AB1349" s="753" t="n"/>
      <c r="AC1349" s="754" t="n"/>
      <c r="AD1349" s="740" t="inlineStr">
        <is>
          <t>No</t>
        </is>
      </c>
      <c r="AE1349" s="755" t="n"/>
      <c r="AF1349" s="755" t="n"/>
      <c r="AG1349" s="755" t="n"/>
      <c r="AH1349" s="755" t="n"/>
      <c r="AI1349" s="740" t="inlineStr">
        <is>
          <t>Market</t>
        </is>
      </c>
      <c r="AJ1349" s="755" t="n"/>
      <c r="AK1349" s="755" t="n"/>
      <c r="AL1349" s="755" t="n"/>
      <c r="AM1349" s="755" t="n"/>
      <c r="AN1349" s="755" t="n"/>
      <c r="AO1349" s="755" t="n"/>
      <c r="AP1349" s="740" t="inlineStr">
        <is>
          <t>Pullback</t>
        </is>
      </c>
      <c r="AQ1349" s="740" t="inlineStr">
        <is>
          <t>1MIN</t>
        </is>
      </c>
      <c r="AR1349" s="740" t="inlineStr">
        <is>
          <t>No</t>
        </is>
      </c>
      <c r="AS1349" s="755" t="n"/>
      <c r="AT1349" s="755" t="n"/>
      <c r="AU1349" s="755" t="n"/>
      <c r="AV1349" s="755" t="n"/>
      <c r="AW1349" s="740" t="inlineStr">
        <is>
          <t>trade</t>
        </is>
      </c>
      <c r="AX1349" s="756" t="inlineStr">
        <is>
          <t>sig:d460df33abc70f3d42c1157a</t>
        </is>
      </c>
    </row>
    <row r="1350" ht="15" customHeight="1">
      <c r="A1350" s="716" t="inlineStr">
        <is>
          <t>F204</t>
        </is>
      </c>
      <c r="B1350" s="717" t="n">
        <v>43364.93751157408</v>
      </c>
      <c r="C1350" s="718" t="n">
        <v>43364.93792824074</v>
      </c>
      <c r="D1350" s="719" t="inlineStr">
        <is>
          <t>PEPPERSTONE LIVE</t>
        </is>
      </c>
      <c r="E1350" s="719" t="inlineStr">
        <is>
          <t>GBPUSD</t>
        </is>
      </c>
      <c r="F1350" s="719" t="inlineStr">
        <is>
          <t>BUY</t>
        </is>
      </c>
      <c r="G1350" s="720" t="n">
        <v>0.1</v>
      </c>
      <c r="H1350" s="720" t="n">
        <v>1.3156</v>
      </c>
      <c r="I1350" s="720" t="n">
        <v>1.31535</v>
      </c>
      <c r="J1350" s="721" t="n">
        <v>1.3148</v>
      </c>
      <c r="K1350" s="760" t="n">
        <v>0.0006080875646094054</v>
      </c>
      <c r="L1350" s="721" t="n">
        <v>1.3176</v>
      </c>
      <c r="M1350" s="722" t="n">
        <v>0.001520218911523261</v>
      </c>
      <c r="N1350" s="788" t="n"/>
      <c r="O1350" s="762" t="n">
        <v>-3.44</v>
      </c>
      <c r="P1350" s="725" t="n">
        <v>-0.003487959442332066</v>
      </c>
      <c r="Q1350" s="726" t="n">
        <v>-0.312500000000052</v>
      </c>
      <c r="R1350" s="764" t="n">
        <v>982.8099999999999</v>
      </c>
      <c r="S1350" s="719" t="inlineStr">
        <is>
          <t>36S</t>
        </is>
      </c>
      <c r="T1350" s="728" t="n"/>
      <c r="U1350" s="729" t="n"/>
      <c r="V1350" s="730" t="n"/>
      <c r="W1350" s="731" t="n"/>
      <c r="X1350" s="732" t="n"/>
      <c r="Y1350" s="728" t="n"/>
      <c r="Z1350" s="729" t="n"/>
      <c r="AA1350" s="730" t="n"/>
      <c r="AB1350" s="731" t="n"/>
      <c r="AC1350" s="732" t="n"/>
      <c r="AD1350" s="719" t="inlineStr">
        <is>
          <t>No</t>
        </is>
      </c>
      <c r="AE1350" s="733" t="n"/>
      <c r="AF1350" s="733" t="n"/>
      <c r="AG1350" s="733" t="n"/>
      <c r="AH1350" s="733" t="n"/>
      <c r="AI1350" s="719" t="inlineStr">
        <is>
          <t>Limit</t>
        </is>
      </c>
      <c r="AJ1350" s="733" t="n"/>
      <c r="AK1350" s="733" t="n"/>
      <c r="AL1350" s="733" t="n"/>
      <c r="AM1350" s="733" t="n"/>
      <c r="AN1350" s="733" t="n"/>
      <c r="AO1350" s="733" t="n"/>
      <c r="AP1350" s="719" t="inlineStr">
        <is>
          <t>News Scalp</t>
        </is>
      </c>
      <c r="AQ1350" s="719" t="inlineStr">
        <is>
          <t>1MIN</t>
        </is>
      </c>
      <c r="AR1350" s="719" t="inlineStr">
        <is>
          <t>No</t>
        </is>
      </c>
      <c r="AS1350" s="733" t="n"/>
      <c r="AT1350" s="733" t="n"/>
      <c r="AU1350" s="733" t="n"/>
      <c r="AV1350" s="733" t="n"/>
      <c r="AW1350" s="719" t="inlineStr">
        <is>
          <t>trade</t>
        </is>
      </c>
      <c r="AX1350" s="734" t="inlineStr">
        <is>
          <t>sig:3ce7ffc49d2d86a43391b2bf</t>
        </is>
      </c>
    </row>
    <row r="1351" ht="15" customHeight="1">
      <c r="A1351" s="716" t="inlineStr">
        <is>
          <t>F691</t>
        </is>
      </c>
      <c r="B1351" s="717" t="n">
        <v>43364.8125</v>
      </c>
      <c r="C1351" s="718" t="n">
        <v>43364.92986111111</v>
      </c>
      <c r="D1351" s="719" t="inlineStr">
        <is>
          <t>PEPPERSTONE DEMO</t>
        </is>
      </c>
      <c r="E1351" s="719" t="inlineStr">
        <is>
          <t>USDJPY</t>
        </is>
      </c>
      <c r="F1351" s="719" t="inlineStr">
        <is>
          <t>BUY</t>
        </is>
      </c>
      <c r="G1351" s="720" t="n">
        <v>0.23</v>
      </c>
      <c r="H1351" s="720" t="n">
        <v>112.73</v>
      </c>
      <c r="I1351" s="720" t="n">
        <v>112.579</v>
      </c>
      <c r="J1351" s="721" t="n">
        <v>112.57</v>
      </c>
      <c r="K1351" s="722" t="n">
        <v>0.001419320500310572</v>
      </c>
      <c r="L1351" s="721" t="n">
        <v>113.05</v>
      </c>
      <c r="M1351" s="722" t="n">
        <v>0.002838641000620892</v>
      </c>
      <c r="N1351" s="788" t="n"/>
      <c r="O1351" s="762" t="n">
        <v>-44.9</v>
      </c>
      <c r="P1351" s="725" t="n">
        <v>-0.009798658303981004</v>
      </c>
      <c r="Q1351" s="726" t="n">
        <v>-0.9437500000000016</v>
      </c>
      <c r="R1351" s="764" t="n">
        <v>4537.360000000001</v>
      </c>
      <c r="S1351" s="719" t="inlineStr">
        <is>
          <t>2H 49M 0S</t>
        </is>
      </c>
      <c r="T1351" s="728" t="n"/>
      <c r="U1351" s="729" t="n"/>
      <c r="V1351" s="730" t="n"/>
      <c r="W1351" s="731" t="n"/>
      <c r="X1351" s="732" t="n"/>
      <c r="Y1351" s="728" t="n"/>
      <c r="Z1351" s="729" t="n"/>
      <c r="AA1351" s="730" t="n"/>
      <c r="AB1351" s="731" t="n"/>
      <c r="AC1351" s="732" t="n"/>
      <c r="AD1351" s="719" t="inlineStr">
        <is>
          <t>No</t>
        </is>
      </c>
      <c r="AE1351" s="733" t="n"/>
      <c r="AF1351" s="733" t="n"/>
      <c r="AG1351" s="733" t="n"/>
      <c r="AH1351" s="733" t="n"/>
      <c r="AI1351" s="719" t="n"/>
      <c r="AJ1351" s="733" t="n"/>
      <c r="AK1351" s="733" t="n"/>
      <c r="AL1351" s="733" t="n"/>
      <c r="AM1351" s="733" t="n"/>
      <c r="AN1351" s="733" t="n"/>
      <c r="AO1351" s="733" t="n"/>
      <c r="AP1351" s="719" t="inlineStr">
        <is>
          <t>Pullback</t>
        </is>
      </c>
      <c r="AQ1351" s="719" t="n"/>
      <c r="AR1351" s="719" t="inlineStr">
        <is>
          <t>No</t>
        </is>
      </c>
      <c r="AS1351" s="733" t="n"/>
      <c r="AT1351" s="733" t="n"/>
      <c r="AU1351" s="733" t="n"/>
      <c r="AV1351" s="733" t="n"/>
      <c r="AW1351" s="719" t="inlineStr">
        <is>
          <t>trade</t>
        </is>
      </c>
      <c r="AX1351" s="734" t="inlineStr">
        <is>
          <t>sig:5dd2aa6e43cda4a54e727ac4</t>
        </is>
      </c>
    </row>
    <row r="1352" ht="15" customHeight="1">
      <c r="A1352" s="716" t="inlineStr">
        <is>
          <t>F206</t>
        </is>
      </c>
      <c r="B1352" s="717" t="n">
        <v>43364.77083333334</v>
      </c>
      <c r="C1352" s="718" t="n">
        <v>43364.79097222222</v>
      </c>
      <c r="D1352" s="719" t="inlineStr">
        <is>
          <t>PEPPERSTONE DEMO</t>
        </is>
      </c>
      <c r="E1352" s="719" t="inlineStr">
        <is>
          <t>USDJPY</t>
        </is>
      </c>
      <c r="F1352" s="719" t="inlineStr">
        <is>
          <t>BUY</t>
        </is>
      </c>
      <c r="G1352" s="720" t="n">
        <v>0.42</v>
      </c>
      <c r="H1352" s="720" t="n">
        <v>112.74</v>
      </c>
      <c r="I1352" s="720" t="n">
        <v>112.652</v>
      </c>
      <c r="J1352" s="721" t="n">
        <v>112.65</v>
      </c>
      <c r="K1352" s="760" t="n">
        <v>0.0007982969664714316</v>
      </c>
      <c r="L1352" s="721" t="n">
        <v>112.92</v>
      </c>
      <c r="M1352" s="722" t="n">
        <v>0.001596593932943115</v>
      </c>
      <c r="N1352" s="788" t="n"/>
      <c r="O1352" s="762" t="n">
        <v>-45.99</v>
      </c>
      <c r="P1352" s="725" t="n">
        <v>-0.009936801166747689</v>
      </c>
      <c r="Q1352" s="726" t="n">
        <v>-0.9777777777778269</v>
      </c>
      <c r="R1352" s="764" t="n">
        <v>4582.260000000001</v>
      </c>
      <c r="S1352" s="719" t="inlineStr">
        <is>
          <t>29M 0S</t>
        </is>
      </c>
      <c r="T1352" s="728" t="n"/>
      <c r="U1352" s="729" t="n"/>
      <c r="V1352" s="730" t="n"/>
      <c r="W1352" s="731" t="n"/>
      <c r="X1352" s="732" t="n"/>
      <c r="Y1352" s="728" t="n"/>
      <c r="Z1352" s="729" t="n"/>
      <c r="AA1352" s="730" t="n"/>
      <c r="AB1352" s="731" t="n"/>
      <c r="AC1352" s="732" t="n"/>
      <c r="AD1352" s="719" t="inlineStr">
        <is>
          <t>No</t>
        </is>
      </c>
      <c r="AE1352" s="733" t="n"/>
      <c r="AF1352" s="733" t="n"/>
      <c r="AG1352" s="733" t="n"/>
      <c r="AH1352" s="733" t="n"/>
      <c r="AI1352" s="719" t="inlineStr">
        <is>
          <t>Market</t>
        </is>
      </c>
      <c r="AJ1352" s="733" t="n"/>
      <c r="AK1352" s="733" t="n"/>
      <c r="AL1352" s="733" t="n"/>
      <c r="AM1352" s="733" t="n"/>
      <c r="AN1352" s="733" t="n"/>
      <c r="AO1352" s="733" t="n"/>
      <c r="AP1352" s="719" t="inlineStr">
        <is>
          <t>Pullback</t>
        </is>
      </c>
      <c r="AQ1352" s="719" t="inlineStr">
        <is>
          <t>30MIN</t>
        </is>
      </c>
      <c r="AR1352" s="719" t="inlineStr">
        <is>
          <t>No</t>
        </is>
      </c>
      <c r="AS1352" s="733" t="n"/>
      <c r="AT1352" s="733" t="n"/>
      <c r="AU1352" s="733" t="n"/>
      <c r="AV1352" s="733" t="n"/>
      <c r="AW1352" s="719" t="inlineStr">
        <is>
          <t>trade</t>
        </is>
      </c>
      <c r="AX1352" s="734" t="inlineStr">
        <is>
          <t>sig:5a7d7b8fb840f4798d3c89c7</t>
        </is>
      </c>
    </row>
    <row r="1353" ht="15" customHeight="1">
      <c r="A1353" s="42" t="n"/>
      <c r="B1353" s="770" t="n">
        <v>43364</v>
      </c>
      <c r="C1353" s="771" t="n">
        <v>43364</v>
      </c>
      <c r="D1353" s="12" t="inlineStr">
        <is>
          <t>PEPPERSTONE LIVE</t>
        </is>
      </c>
      <c r="E1353" s="12" t="inlineStr">
        <is>
          <t>CASHFLOW</t>
        </is>
      </c>
      <c r="F1353" s="12" t="inlineStr">
        <is>
          <t>WITHDRAWAL</t>
        </is>
      </c>
      <c r="G1353" s="262" t="n"/>
      <c r="H1353" s="262" t="n"/>
      <c r="I1353" s="262" t="n"/>
      <c r="J1353" s="263" t="n"/>
      <c r="K1353" s="36" t="n"/>
      <c r="L1353" s="263" t="n"/>
      <c r="M1353" s="36" t="n"/>
      <c r="N1353" s="779" t="n"/>
      <c r="O1353" s="773" t="n"/>
      <c r="P1353" s="3" t="n"/>
      <c r="Q1353" s="51" t="n"/>
      <c r="R1353" s="54" t="n">
        <v>986.25</v>
      </c>
      <c r="S1353" s="12" t="n"/>
      <c r="T1353" s="774" t="n"/>
      <c r="U1353" s="6" t="n"/>
      <c r="V1353" s="264" t="n"/>
      <c r="W1353" s="9" t="n"/>
      <c r="X1353" s="46" t="n"/>
      <c r="Y1353" s="774" t="n"/>
      <c r="Z1353" s="6" t="n"/>
      <c r="AA1353" s="264" t="n"/>
      <c r="AB1353" s="9" t="n"/>
      <c r="AC1353" s="46" t="n"/>
      <c r="AD1353" s="12" t="inlineStr">
        <is>
          <t>No</t>
        </is>
      </c>
      <c r="AE1353" s="45" t="n"/>
      <c r="AF1353" s="45" t="n"/>
      <c r="AG1353" s="45" t="n"/>
      <c r="AH1353" s="45" t="n"/>
      <c r="AI1353" s="12" t="n"/>
      <c r="AJ1353" s="45" t="n"/>
      <c r="AK1353" s="45" t="n"/>
      <c r="AL1353" s="45" t="n"/>
      <c r="AM1353" s="45" t="n"/>
      <c r="AN1353" s="45" t="n"/>
      <c r="AO1353" s="45" t="n"/>
      <c r="AP1353" s="12" t="n"/>
      <c r="AQ1353" s="12" t="n"/>
      <c r="AR1353" s="12" t="n"/>
      <c r="AS1353" s="56" t="inlineStr">
        <is>
          <t>Withdrawal -2855.28 AUD. Source: screenshot_ocr. Imported from account_cashflows.xlsx row 81.</t>
        </is>
      </c>
      <c r="AT1353" s="45" t="n"/>
      <c r="AU1353" s="12" t="n">
        <v>986.25</v>
      </c>
      <c r="AV1353" s="12" t="inlineStr">
        <is>
          <t>AUD</t>
        </is>
      </c>
      <c r="AW1353" s="12" t="inlineStr">
        <is>
          <t>cashflow</t>
        </is>
      </c>
      <c r="AX1353" s="57" t="inlineStr">
        <is>
          <t>cashflow:PEPPERSTONE LIVE:2018-09-21T00:00:00:2</t>
        </is>
      </c>
    </row>
    <row r="1354" ht="15" customHeight="1">
      <c r="A1354" s="716" t="inlineStr">
        <is>
          <t>F202</t>
        </is>
      </c>
      <c r="B1354" s="717" t="n">
        <v>43363.77083333334</v>
      </c>
      <c r="C1354" s="718" t="n">
        <v>43363.77291666667</v>
      </c>
      <c r="D1354" s="719" t="inlineStr">
        <is>
          <t>PEPPERSTONE LIVE</t>
        </is>
      </c>
      <c r="E1354" s="719" t="inlineStr">
        <is>
          <t>GBPUSD</t>
        </is>
      </c>
      <c r="F1354" s="719" t="inlineStr">
        <is>
          <t>BUY</t>
        </is>
      </c>
      <c r="G1354" s="735" t="n">
        <v>0.09</v>
      </c>
      <c r="H1354" s="720" t="n">
        <v>1.3204</v>
      </c>
      <c r="I1354" s="720" t="n">
        <v>1.31929</v>
      </c>
      <c r="J1354" s="721" t="n">
        <v>1.3193</v>
      </c>
      <c r="K1354" s="760" t="n">
        <v>0.0008330808845805065</v>
      </c>
      <c r="L1354" s="721" t="n">
        <v>1.3225</v>
      </c>
      <c r="M1354" s="722" t="n">
        <v>0.001590427143289905</v>
      </c>
      <c r="N1354" s="788" t="n"/>
      <c r="O1354" s="762" t="n">
        <v>-13.75</v>
      </c>
      <c r="P1354" s="725" t="n">
        <v>-0.003566537320246519</v>
      </c>
      <c r="Q1354" s="726" t="n">
        <v>-1.009090909090766</v>
      </c>
      <c r="R1354" s="764" t="n">
        <v>3841.53</v>
      </c>
      <c r="S1354" s="719" t="inlineStr">
        <is>
          <t>3M 0S</t>
        </is>
      </c>
      <c r="T1354" s="728" t="n"/>
      <c r="U1354" s="729" t="n"/>
      <c r="V1354" s="730" t="n"/>
      <c r="W1354" s="731" t="n"/>
      <c r="X1354" s="732" t="n"/>
      <c r="Y1354" s="728" t="n"/>
      <c r="Z1354" s="729" t="n"/>
      <c r="AA1354" s="730" t="n"/>
      <c r="AB1354" s="731" t="n"/>
      <c r="AC1354" s="732" t="n"/>
      <c r="AD1354" s="719" t="inlineStr">
        <is>
          <t>No</t>
        </is>
      </c>
      <c r="AE1354" s="733" t="n"/>
      <c r="AF1354" s="733" t="n"/>
      <c r="AG1354" s="733" t="n"/>
      <c r="AH1354" s="733" t="n"/>
      <c r="AI1354" s="719" t="n"/>
      <c r="AJ1354" s="733" t="n"/>
      <c r="AK1354" s="733" t="n"/>
      <c r="AL1354" s="733" t="n"/>
      <c r="AM1354" s="733" t="n"/>
      <c r="AN1354" s="733" t="n"/>
      <c r="AO1354" s="733" t="n"/>
      <c r="AP1354" s="719" t="inlineStr">
        <is>
          <t>News Scalp</t>
        </is>
      </c>
      <c r="AQ1354" s="719" t="inlineStr">
        <is>
          <t>1MIN</t>
        </is>
      </c>
      <c r="AR1354" s="719" t="inlineStr">
        <is>
          <t>No</t>
        </is>
      </c>
      <c r="AS1354" s="733" t="n"/>
      <c r="AT1354" s="733" t="n"/>
      <c r="AU1354" s="733" t="n"/>
      <c r="AV1354" s="733" t="n"/>
      <c r="AW1354" s="719" t="inlineStr">
        <is>
          <t>trade</t>
        </is>
      </c>
      <c r="AX1354" s="734" t="inlineStr">
        <is>
          <t>sig:02de965786b4bba19081cefa</t>
        </is>
      </c>
    </row>
    <row r="1355" ht="15" customHeight="1">
      <c r="A1355" s="716" t="inlineStr">
        <is>
          <t>F203</t>
        </is>
      </c>
      <c r="B1355" s="717" t="n">
        <v>43363.73194444444</v>
      </c>
      <c r="C1355" s="718" t="n">
        <v>43363.73263888889</v>
      </c>
      <c r="D1355" s="719" t="inlineStr">
        <is>
          <t>PEPPERSTONE DEMO</t>
        </is>
      </c>
      <c r="E1355" s="719" t="inlineStr">
        <is>
          <t>USDCHF</t>
        </is>
      </c>
      <c r="F1355" s="719" t="inlineStr">
        <is>
          <t>SELL</t>
        </is>
      </c>
      <c r="G1355" s="720" t="n">
        <v>0.82</v>
      </c>
      <c r="H1355" s="720" t="n">
        <v>0.9664</v>
      </c>
      <c r="I1355" s="720" t="n">
        <v>0.9668</v>
      </c>
      <c r="J1355" s="721" t="n">
        <v>0.9668</v>
      </c>
      <c r="K1355" s="760" t="n">
        <v>0.0004139072847681663</v>
      </c>
      <c r="L1355" s="721" t="n">
        <v>0.9656</v>
      </c>
      <c r="M1355" s="760" t="n">
        <v>0.0008278145695364475</v>
      </c>
      <c r="N1355" s="788" t="n"/>
      <c r="O1355" s="762" t="n">
        <v>-46.7</v>
      </c>
      <c r="P1355" s="725" t="n">
        <v>-0.009989411651461512</v>
      </c>
      <c r="Q1355" s="726" t="n">
        <v>-1</v>
      </c>
      <c r="R1355" s="764" t="n">
        <v>4628.250000000001</v>
      </c>
      <c r="S1355" s="719" t="inlineStr">
        <is>
          <t>1M 0S</t>
        </is>
      </c>
      <c r="T1355" s="728" t="n"/>
      <c r="U1355" s="729" t="n"/>
      <c r="V1355" s="730" t="n"/>
      <c r="W1355" s="731" t="n"/>
      <c r="X1355" s="732" t="n"/>
      <c r="Y1355" s="728" t="n"/>
      <c r="Z1355" s="729" t="n"/>
      <c r="AA1355" s="730" t="n"/>
      <c r="AB1355" s="731" t="n"/>
      <c r="AC1355" s="732" t="n"/>
      <c r="AD1355" s="719" t="inlineStr">
        <is>
          <t>No</t>
        </is>
      </c>
      <c r="AE1355" s="733" t="n"/>
      <c r="AF1355" s="733" t="n"/>
      <c r="AG1355" s="733" t="n"/>
      <c r="AH1355" s="733" t="n"/>
      <c r="AI1355" s="733" t="n"/>
      <c r="AJ1355" s="733" t="n"/>
      <c r="AK1355" s="733" t="n"/>
      <c r="AL1355" s="733" t="n"/>
      <c r="AM1355" s="733" t="n"/>
      <c r="AN1355" s="733" t="n"/>
      <c r="AO1355" s="733" t="n"/>
      <c r="AP1355" s="719" t="inlineStr">
        <is>
          <t>Pullback</t>
        </is>
      </c>
      <c r="AQ1355" s="719" t="inlineStr">
        <is>
          <t>1MIN</t>
        </is>
      </c>
      <c r="AR1355" s="719" t="inlineStr">
        <is>
          <t>No</t>
        </is>
      </c>
      <c r="AS1355" s="733" t="n"/>
      <c r="AT1355" s="733" t="n"/>
      <c r="AU1355" s="733" t="n"/>
      <c r="AV1355" s="733" t="n"/>
      <c r="AW1355" s="719" t="inlineStr">
        <is>
          <t>trade</t>
        </is>
      </c>
      <c r="AX1355" s="734" t="inlineStr">
        <is>
          <t>sig:3f885c7faf01e0698f1fd69c</t>
        </is>
      </c>
    </row>
    <row r="1356" ht="15" customHeight="1">
      <c r="A1356" s="716" t="inlineStr">
        <is>
          <t>F201</t>
        </is>
      </c>
      <c r="B1356" s="717" t="n">
        <v>43363.36388888889</v>
      </c>
      <c r="C1356" s="718" t="n">
        <v>43363.36458333334</v>
      </c>
      <c r="D1356" s="719" t="inlineStr">
        <is>
          <t>PEPPERSTONE LIVE</t>
        </is>
      </c>
      <c r="E1356" s="719" t="inlineStr">
        <is>
          <t>NZDUSD</t>
        </is>
      </c>
      <c r="F1356" s="719" t="inlineStr">
        <is>
          <t>BUY</t>
        </is>
      </c>
      <c r="G1356" s="720" t="n">
        <v>0.99</v>
      </c>
      <c r="H1356" s="720" t="n">
        <v>0.6629</v>
      </c>
      <c r="I1356" s="720" t="n">
        <v>0.66113</v>
      </c>
      <c r="J1356" s="721" t="n">
        <v>0.6619</v>
      </c>
      <c r="K1356" s="722" t="n">
        <v>0.001508523155830443</v>
      </c>
      <c r="L1356" s="721" t="n">
        <v>0.6649</v>
      </c>
      <c r="M1356" s="722" t="n">
        <v>0.003017046311660887</v>
      </c>
      <c r="N1356" s="788" t="n"/>
      <c r="O1356" s="762" t="n">
        <v>-246.77</v>
      </c>
      <c r="P1356" s="725" t="n">
        <v>-0.06015772601504125</v>
      </c>
      <c r="Q1356" s="726" t="n">
        <v>-1.770000000000048</v>
      </c>
      <c r="R1356" s="764" t="n">
        <v>3855.28</v>
      </c>
      <c r="S1356" s="719" t="inlineStr">
        <is>
          <t>1M 0S</t>
        </is>
      </c>
      <c r="T1356" s="728" t="n"/>
      <c r="U1356" s="729" t="n"/>
      <c r="V1356" s="730" t="n"/>
      <c r="W1356" s="731" t="n"/>
      <c r="X1356" s="732" t="n"/>
      <c r="Y1356" s="728" t="n"/>
      <c r="Z1356" s="729" t="n"/>
      <c r="AA1356" s="730" t="n"/>
      <c r="AB1356" s="731" t="n"/>
      <c r="AC1356" s="732" t="n"/>
      <c r="AD1356" s="719" t="inlineStr">
        <is>
          <t>No</t>
        </is>
      </c>
      <c r="AE1356" s="733" t="n"/>
      <c r="AF1356" s="733" t="n"/>
      <c r="AG1356" s="733" t="n"/>
      <c r="AH1356" s="733" t="n"/>
      <c r="AI1356" s="719" t="inlineStr">
        <is>
          <t>Limit</t>
        </is>
      </c>
      <c r="AJ1356" s="733" t="n"/>
      <c r="AK1356" s="733" t="n"/>
      <c r="AL1356" s="733" t="n"/>
      <c r="AM1356" s="733" t="n"/>
      <c r="AN1356" s="733" t="n"/>
      <c r="AO1356" s="733" t="n"/>
      <c r="AP1356" s="719" t="inlineStr">
        <is>
          <t>News Scalp</t>
        </is>
      </c>
      <c r="AQ1356" s="719" t="inlineStr">
        <is>
          <t>1MIN</t>
        </is>
      </c>
      <c r="AR1356" s="719" t="inlineStr">
        <is>
          <t>No</t>
        </is>
      </c>
      <c r="AS1356" s="733" t="n"/>
      <c r="AT1356" s="733" t="n"/>
      <c r="AU1356" s="733" t="n"/>
      <c r="AV1356" s="733" t="n"/>
      <c r="AW1356" s="719" t="inlineStr">
        <is>
          <t>trade</t>
        </is>
      </c>
      <c r="AX1356" s="734" t="inlineStr">
        <is>
          <t>sig:4ea955c3eac8c547587e6d39</t>
        </is>
      </c>
    </row>
    <row r="1357" ht="15" customHeight="1">
      <c r="A1357" s="716" t="inlineStr">
        <is>
          <t>F200</t>
        </is>
      </c>
      <c r="B1357" s="717" t="n">
        <v>43362.95833333334</v>
      </c>
      <c r="C1357" s="718" t="n">
        <v>43363.01666666667</v>
      </c>
      <c r="D1357" s="719" t="inlineStr">
        <is>
          <t>PEPPERSTONE DEMO</t>
        </is>
      </c>
      <c r="E1357" s="719" t="inlineStr">
        <is>
          <t>USDCAD</t>
        </is>
      </c>
      <c r="F1357" s="719" t="inlineStr">
        <is>
          <t>SELL</t>
        </is>
      </c>
      <c r="G1357" s="720" t="n">
        <v>0.27</v>
      </c>
      <c r="H1357" s="720" t="n">
        <v>1.2965</v>
      </c>
      <c r="I1357" s="720" t="n">
        <v>1.29817</v>
      </c>
      <c r="J1357" s="721" t="n">
        <v>1.2981</v>
      </c>
      <c r="K1357" s="722" t="n">
        <v>0.001234091785576588</v>
      </c>
      <c r="L1357" s="721" t="n">
        <v>1.2933</v>
      </c>
      <c r="M1357" s="722" t="n">
        <v>0.002468183571153175</v>
      </c>
      <c r="N1357" s="788" t="n"/>
      <c r="O1357" s="762" t="n">
        <v>-45.89</v>
      </c>
      <c r="P1357" s="725" t="n">
        <v>-0.009720727667110088</v>
      </c>
      <c r="Q1357" s="726" t="n">
        <v>-1.043750000000008</v>
      </c>
      <c r="R1357" s="764" t="n">
        <v>4674.950000000001</v>
      </c>
      <c r="S1357" s="719" t="inlineStr">
        <is>
          <t>1H 24M 0S</t>
        </is>
      </c>
      <c r="T1357" s="728" t="n"/>
      <c r="U1357" s="729" t="n"/>
      <c r="V1357" s="730" t="n"/>
      <c r="W1357" s="731" t="n"/>
      <c r="X1357" s="732" t="n"/>
      <c r="Y1357" s="728" t="n"/>
      <c r="Z1357" s="729" t="n"/>
      <c r="AA1357" s="730" t="n"/>
      <c r="AB1357" s="731" t="n"/>
      <c r="AC1357" s="732" t="n"/>
      <c r="AD1357" s="719" t="inlineStr">
        <is>
          <t>No</t>
        </is>
      </c>
      <c r="AE1357" s="733" t="n"/>
      <c r="AF1357" s="733" t="n"/>
      <c r="AG1357" s="733" t="n"/>
      <c r="AH1357" s="733" t="n"/>
      <c r="AI1357" s="719" t="inlineStr">
        <is>
          <t>Market</t>
        </is>
      </c>
      <c r="AJ1357" s="733" t="n"/>
      <c r="AK1357" s="733" t="n"/>
      <c r="AL1357" s="733" t="n"/>
      <c r="AM1357" s="733" t="n"/>
      <c r="AN1357" s="733" t="n"/>
      <c r="AO1357" s="733" t="n"/>
      <c r="AP1357" s="719" t="inlineStr">
        <is>
          <t>Pullback</t>
        </is>
      </c>
      <c r="AQ1357" s="719" t="inlineStr">
        <is>
          <t>30MIN</t>
        </is>
      </c>
      <c r="AR1357" s="719" t="inlineStr">
        <is>
          <t>No</t>
        </is>
      </c>
      <c r="AS1357" s="733" t="n"/>
      <c r="AT1357" s="733" t="n"/>
      <c r="AU1357" s="733" t="n"/>
      <c r="AV1357" s="733" t="n"/>
      <c r="AW1357" s="719" t="inlineStr">
        <is>
          <t>trade</t>
        </is>
      </c>
      <c r="AX1357" s="734" t="inlineStr">
        <is>
          <t>sig:a294bb43eefdb09a9d0e4ed1</t>
        </is>
      </c>
    </row>
    <row r="1358" ht="15" customHeight="1">
      <c r="A1358" s="716" t="inlineStr">
        <is>
          <t>F199</t>
        </is>
      </c>
      <c r="B1358" s="717" t="n">
        <v>43362.91666666666</v>
      </c>
      <c r="C1358" s="718" t="n">
        <v>43362.91875</v>
      </c>
      <c r="D1358" s="719" t="inlineStr">
        <is>
          <t>PEPPERSTONE DEMO</t>
        </is>
      </c>
      <c r="E1358" s="719" t="inlineStr">
        <is>
          <t>NZDUSD</t>
        </is>
      </c>
      <c r="F1358" s="719" t="inlineStr">
        <is>
          <t>BUY</t>
        </is>
      </c>
      <c r="G1358" s="720" t="n">
        <v>0.28</v>
      </c>
      <c r="H1358" s="720" t="n">
        <v>0.6607</v>
      </c>
      <c r="I1358" s="720" t="n">
        <v>0.66011</v>
      </c>
      <c r="J1358" s="721" t="n">
        <v>0.6601</v>
      </c>
      <c r="K1358" s="760" t="n">
        <v>0.0009081277433024579</v>
      </c>
      <c r="L1358" s="721" t="n">
        <v>0.6619</v>
      </c>
      <c r="M1358" s="722" t="n">
        <v>0.001816255486605252</v>
      </c>
      <c r="N1358" s="788" t="n"/>
      <c r="O1358" s="762" t="n">
        <v>-23.18</v>
      </c>
      <c r="P1358" s="725" t="n">
        <v>-0.004886151407456122</v>
      </c>
      <c r="Q1358" s="726" t="n">
        <v>-0.9833333333334073</v>
      </c>
      <c r="R1358" s="764" t="n">
        <v>4720.840000000001</v>
      </c>
      <c r="S1358" s="719" t="inlineStr">
        <is>
          <t>3M 0S</t>
        </is>
      </c>
      <c r="T1358" s="728" t="n"/>
      <c r="U1358" s="729" t="n"/>
      <c r="V1358" s="730" t="n"/>
      <c r="W1358" s="731" t="n"/>
      <c r="X1358" s="732" t="n"/>
      <c r="Y1358" s="728" t="n"/>
      <c r="Z1358" s="729" t="n"/>
      <c r="AA1358" s="730" t="n"/>
      <c r="AB1358" s="731" t="n"/>
      <c r="AC1358" s="732" t="n"/>
      <c r="AD1358" s="719" t="inlineStr">
        <is>
          <t>No</t>
        </is>
      </c>
      <c r="AE1358" s="733" t="n"/>
      <c r="AF1358" s="733" t="n"/>
      <c r="AG1358" s="733" t="n"/>
      <c r="AH1358" s="733" t="n"/>
      <c r="AI1358" s="719" t="inlineStr">
        <is>
          <t>Market</t>
        </is>
      </c>
      <c r="AJ1358" s="733" t="n"/>
      <c r="AK1358" s="733" t="n"/>
      <c r="AL1358" s="733" t="n"/>
      <c r="AM1358" s="733" t="n"/>
      <c r="AN1358" s="733" t="n"/>
      <c r="AO1358" s="733" t="n"/>
      <c r="AP1358" s="719" t="inlineStr">
        <is>
          <t>Pullback</t>
        </is>
      </c>
      <c r="AQ1358" s="719" t="inlineStr">
        <is>
          <t>30MIN</t>
        </is>
      </c>
      <c r="AR1358" s="719" t="inlineStr">
        <is>
          <t>No</t>
        </is>
      </c>
      <c r="AS1358" s="733" t="n"/>
      <c r="AT1358" s="733" t="n"/>
      <c r="AU1358" s="733" t="n"/>
      <c r="AV1358" s="733" t="n"/>
      <c r="AW1358" s="719" t="inlineStr">
        <is>
          <t>trade</t>
        </is>
      </c>
      <c r="AX1358" s="734" t="inlineStr">
        <is>
          <t>sig:994df85b15e70f12ffb31179</t>
        </is>
      </c>
    </row>
    <row r="1359" ht="15" customHeight="1">
      <c r="A1359" s="737" t="inlineStr">
        <is>
          <t>F198</t>
        </is>
      </c>
      <c r="B1359" s="738" t="n">
        <v>43362.77084490741</v>
      </c>
      <c r="C1359" s="739" t="n">
        <v>43362.77085648148</v>
      </c>
      <c r="D1359" s="740" t="inlineStr">
        <is>
          <t>PEPPERSTONE LIVE</t>
        </is>
      </c>
      <c r="E1359" s="740" t="inlineStr">
        <is>
          <t>GBPUSD</t>
        </is>
      </c>
      <c r="F1359" s="740" t="inlineStr">
        <is>
          <t>BUY</t>
        </is>
      </c>
      <c r="G1359" s="742" t="n">
        <v>0.21</v>
      </c>
      <c r="H1359" s="742" t="n">
        <v>1.3183</v>
      </c>
      <c r="I1359" s="742" t="n">
        <v>1.31943</v>
      </c>
      <c r="J1359" s="743" t="n">
        <v>1.3172</v>
      </c>
      <c r="K1359" s="765" t="n">
        <v>0.0008344079496321785</v>
      </c>
      <c r="L1359" s="743" t="n">
        <v>1.3193</v>
      </c>
      <c r="M1359" s="765" t="n">
        <v>0.0007585526814836455</v>
      </c>
      <c r="N1359" s="796" t="n"/>
      <c r="O1359" s="767" t="n">
        <v>31.58</v>
      </c>
      <c r="P1359" s="747" t="n">
        <v>0.007758317835532504</v>
      </c>
      <c r="Q1359" s="748" t="n">
        <v>1.027272727272702</v>
      </c>
      <c r="R1359" s="769" t="n">
        <v>4102.05</v>
      </c>
      <c r="S1359" s="740" t="inlineStr">
        <is>
          <t>1S</t>
        </is>
      </c>
      <c r="T1359" s="750" t="n"/>
      <c r="U1359" s="751" t="n"/>
      <c r="V1359" s="752" t="n"/>
      <c r="W1359" s="753" t="n"/>
      <c r="X1359" s="754" t="n"/>
      <c r="Y1359" s="750" t="n"/>
      <c r="Z1359" s="751" t="n"/>
      <c r="AA1359" s="752" t="n"/>
      <c r="AB1359" s="753" t="n"/>
      <c r="AC1359" s="754" t="n"/>
      <c r="AD1359" s="740" t="inlineStr">
        <is>
          <t>No</t>
        </is>
      </c>
      <c r="AE1359" s="755" t="n"/>
      <c r="AF1359" s="755" t="n"/>
      <c r="AG1359" s="755" t="n"/>
      <c r="AH1359" s="755" t="n"/>
      <c r="AI1359" s="740" t="inlineStr">
        <is>
          <t>Limit</t>
        </is>
      </c>
      <c r="AJ1359" s="755" t="n"/>
      <c r="AK1359" s="755" t="n"/>
      <c r="AL1359" s="755" t="n"/>
      <c r="AM1359" s="755" t="n"/>
      <c r="AN1359" s="755" t="n"/>
      <c r="AO1359" s="755" t="n"/>
      <c r="AP1359" s="740" t="inlineStr">
        <is>
          <t>News Scalp</t>
        </is>
      </c>
      <c r="AQ1359" s="740" t="inlineStr">
        <is>
          <t>1MIN</t>
        </is>
      </c>
      <c r="AR1359" s="740" t="inlineStr">
        <is>
          <t>No</t>
        </is>
      </c>
      <c r="AS1359" s="755" t="n"/>
      <c r="AT1359" s="755" t="n"/>
      <c r="AU1359" s="755" t="n"/>
      <c r="AV1359" s="755" t="n"/>
      <c r="AW1359" s="740" t="inlineStr">
        <is>
          <t>trade</t>
        </is>
      </c>
      <c r="AX1359" s="756" t="inlineStr">
        <is>
          <t>sig:039f2dbf44bdfdc938dd2587</t>
        </is>
      </c>
    </row>
    <row r="1360" ht="15" customHeight="1">
      <c r="A1360" s="716" t="inlineStr">
        <is>
          <t>F197</t>
        </is>
      </c>
      <c r="B1360" s="717" t="n">
        <v>43361.52291666667</v>
      </c>
      <c r="C1360" s="718" t="n">
        <v>43361.54166666666</v>
      </c>
      <c r="D1360" s="719" t="inlineStr">
        <is>
          <t>PEPPERSTONE DEMO</t>
        </is>
      </c>
      <c r="E1360" s="719" t="inlineStr">
        <is>
          <t>USDCAD</t>
        </is>
      </c>
      <c r="F1360" s="719" t="inlineStr">
        <is>
          <t>BUY</t>
        </is>
      </c>
      <c r="G1360" s="720" t="n">
        <v>0.2</v>
      </c>
      <c r="H1360" s="720" t="n">
        <v>1.3056</v>
      </c>
      <c r="I1360" s="720" t="n">
        <v>1.30457</v>
      </c>
      <c r="J1360" s="721" t="n">
        <v>1.3045</v>
      </c>
      <c r="K1360" s="760" t="n">
        <v>0.0008425245098039988</v>
      </c>
      <c r="L1360" s="721" t="n">
        <v>1.3078</v>
      </c>
      <c r="M1360" s="722" t="n">
        <v>0.001685049019607828</v>
      </c>
      <c r="N1360" s="788" t="n"/>
      <c r="O1360" s="762" t="n">
        <v>-23.47</v>
      </c>
      <c r="P1360" s="725" t="n">
        <v>-0.004922925900211639</v>
      </c>
      <c r="Q1360" s="726" t="n">
        <v>-0.9363636363636291</v>
      </c>
      <c r="R1360" s="764" t="n">
        <v>4744.020000000001</v>
      </c>
      <c r="S1360" s="719" t="inlineStr">
        <is>
          <t>27M 0S</t>
        </is>
      </c>
      <c r="T1360" s="728" t="n"/>
      <c r="U1360" s="729" t="n"/>
      <c r="V1360" s="730" t="n"/>
      <c r="W1360" s="731" t="n"/>
      <c r="X1360" s="732" t="n"/>
      <c r="Y1360" s="728" t="n"/>
      <c r="Z1360" s="729" t="n"/>
      <c r="AA1360" s="730" t="n"/>
      <c r="AB1360" s="731" t="n"/>
      <c r="AC1360" s="732" t="n"/>
      <c r="AD1360" s="719" t="inlineStr">
        <is>
          <t>No</t>
        </is>
      </c>
      <c r="AE1360" s="733" t="n"/>
      <c r="AF1360" s="733" t="n"/>
      <c r="AG1360" s="733" t="n"/>
      <c r="AH1360" s="733" t="n"/>
      <c r="AI1360" s="719" t="inlineStr">
        <is>
          <t>Market</t>
        </is>
      </c>
      <c r="AJ1360" s="733" t="n"/>
      <c r="AK1360" s="733" t="n"/>
      <c r="AL1360" s="733" t="n"/>
      <c r="AM1360" s="733" t="n"/>
      <c r="AN1360" s="733" t="n"/>
      <c r="AO1360" s="733" t="n"/>
      <c r="AP1360" s="719" t="inlineStr">
        <is>
          <t>Pullback</t>
        </is>
      </c>
      <c r="AQ1360" s="719" t="inlineStr">
        <is>
          <t>30MIN</t>
        </is>
      </c>
      <c r="AR1360" s="719" t="inlineStr">
        <is>
          <t>No</t>
        </is>
      </c>
      <c r="AS1360" s="733" t="n"/>
      <c r="AT1360" s="733" t="n"/>
      <c r="AU1360" s="733" t="n"/>
      <c r="AV1360" s="733" t="n"/>
      <c r="AW1360" s="719" t="inlineStr">
        <is>
          <t>trade</t>
        </is>
      </c>
      <c r="AX1360" s="734" t="inlineStr">
        <is>
          <t>sig:c26466a5e130a5a6a68da242</t>
        </is>
      </c>
    </row>
    <row r="1361" ht="15" customHeight="1">
      <c r="A1361" s="737" t="inlineStr">
        <is>
          <t>F196</t>
        </is>
      </c>
      <c r="B1361" s="738" t="n">
        <v>43360.77083333334</v>
      </c>
      <c r="C1361" s="739" t="n">
        <v>43361.00208333333</v>
      </c>
      <c r="D1361" s="740" t="inlineStr">
        <is>
          <t>PEPPERSTONE DEMO</t>
        </is>
      </c>
      <c r="E1361" s="740" t="inlineStr">
        <is>
          <t>USDJPY</t>
        </is>
      </c>
      <c r="F1361" s="740" t="inlineStr">
        <is>
          <t>BUY</t>
        </is>
      </c>
      <c r="G1361" s="742" t="n">
        <v>0.15</v>
      </c>
      <c r="H1361" s="742" t="n">
        <v>111.93</v>
      </c>
      <c r="I1361" s="742" t="n">
        <v>112.034</v>
      </c>
      <c r="J1361" s="743" t="n">
        <v>111.83</v>
      </c>
      <c r="K1361" s="765" t="n">
        <v>0.0008934155275619451</v>
      </c>
      <c r="L1361" s="743" t="n">
        <v>112.13</v>
      </c>
      <c r="M1361" s="744" t="n">
        <v>0.001786831055123636</v>
      </c>
      <c r="N1361" s="796" t="n"/>
      <c r="O1361" s="767" t="n">
        <v>4.72</v>
      </c>
      <c r="P1361" s="776" t="n">
        <v>0.0009910199316784138</v>
      </c>
      <c r="Q1361" s="748" t="n">
        <v>1.039999999999903</v>
      </c>
      <c r="R1361" s="769" t="n">
        <v>4767.490000000002</v>
      </c>
      <c r="S1361" s="740" t="inlineStr">
        <is>
          <t>5H 33M 0S</t>
        </is>
      </c>
      <c r="T1361" s="750" t="n"/>
      <c r="U1361" s="751" t="n"/>
      <c r="V1361" s="752" t="n"/>
      <c r="W1361" s="753" t="n"/>
      <c r="X1361" s="754" t="n"/>
      <c r="Y1361" s="750" t="n"/>
      <c r="Z1361" s="751" t="n"/>
      <c r="AA1361" s="752" t="n"/>
      <c r="AB1361" s="753" t="n"/>
      <c r="AC1361" s="754" t="n"/>
      <c r="AD1361" s="740" t="inlineStr">
        <is>
          <t>No</t>
        </is>
      </c>
      <c r="AE1361" s="755" t="n"/>
      <c r="AF1361" s="755" t="n"/>
      <c r="AG1361" s="755" t="n"/>
      <c r="AH1361" s="755" t="n"/>
      <c r="AI1361" s="740" t="inlineStr">
        <is>
          <t>Market</t>
        </is>
      </c>
      <c r="AJ1361" s="755" t="n"/>
      <c r="AK1361" s="755" t="n"/>
      <c r="AL1361" s="755" t="n"/>
      <c r="AM1361" s="755" t="n"/>
      <c r="AN1361" s="755" t="n"/>
      <c r="AO1361" s="755" t="n"/>
      <c r="AP1361" s="740" t="inlineStr">
        <is>
          <t>Pullback</t>
        </is>
      </c>
      <c r="AQ1361" s="740" t="inlineStr">
        <is>
          <t>30MIN</t>
        </is>
      </c>
      <c r="AR1361" s="740" t="inlineStr">
        <is>
          <t>No</t>
        </is>
      </c>
      <c r="AS1361" s="755" t="n"/>
      <c r="AT1361" s="755" t="n"/>
      <c r="AU1361" s="755" t="n"/>
      <c r="AV1361" s="755" t="n"/>
      <c r="AW1361" s="740" t="inlineStr">
        <is>
          <t>trade</t>
        </is>
      </c>
      <c r="AX1361" s="756" t="inlineStr">
        <is>
          <t>sig:dfd84bcb85d83915bf445b58</t>
        </is>
      </c>
    </row>
    <row r="1362" ht="15" customHeight="1">
      <c r="A1362" s="737" t="inlineStr">
        <is>
          <t>F194</t>
        </is>
      </c>
      <c r="B1362" s="738" t="n">
        <v>43357.94791666666</v>
      </c>
      <c r="C1362" s="739" t="n">
        <v>43357.96597222222</v>
      </c>
      <c r="D1362" s="740" t="inlineStr">
        <is>
          <t>PEPPERSTONE DEMO</t>
        </is>
      </c>
      <c r="E1362" s="740" t="inlineStr">
        <is>
          <t>EURUSD</t>
        </is>
      </c>
      <c r="F1362" s="740" t="inlineStr">
        <is>
          <t>SELL</t>
        </is>
      </c>
      <c r="G1362" s="742" t="n">
        <v>0.16</v>
      </c>
      <c r="H1362" s="742" t="n">
        <v>1.1675</v>
      </c>
      <c r="I1362" s="742" t="n">
        <v>1.16638</v>
      </c>
      <c r="J1362" s="743" t="n">
        <v>1.1681</v>
      </c>
      <c r="K1362" s="765" t="n">
        <v>0.0005139186295502646</v>
      </c>
      <c r="L1362" s="743" t="n">
        <v>1.1663</v>
      </c>
      <c r="M1362" s="744" t="n">
        <v>0.001027837259100719</v>
      </c>
      <c r="N1362" s="796" t="n"/>
      <c r="O1362" s="767" t="n">
        <v>38.63</v>
      </c>
      <c r="P1362" s="747" t="n">
        <v>0.008177149703438084</v>
      </c>
      <c r="Q1362" s="748" t="n">
        <v>1.866666666666889</v>
      </c>
      <c r="R1362" s="769" t="n">
        <v>4762.770000000001</v>
      </c>
      <c r="S1362" s="740" t="inlineStr">
        <is>
          <t>26M 0S</t>
        </is>
      </c>
      <c r="T1362" s="750" t="n"/>
      <c r="U1362" s="751" t="n"/>
      <c r="V1362" s="752" t="n"/>
      <c r="W1362" s="753" t="n"/>
      <c r="X1362" s="754" t="n"/>
      <c r="Y1362" s="750" t="n"/>
      <c r="Z1362" s="751" t="n"/>
      <c r="AA1362" s="752" t="n"/>
      <c r="AB1362" s="753" t="n"/>
      <c r="AC1362" s="754" t="n"/>
      <c r="AD1362" s="740" t="inlineStr">
        <is>
          <t>No</t>
        </is>
      </c>
      <c r="AE1362" s="755" t="n"/>
      <c r="AF1362" s="755" t="n"/>
      <c r="AG1362" s="755" t="n"/>
      <c r="AH1362" s="755" t="n"/>
      <c r="AI1362" s="740" t="inlineStr">
        <is>
          <t>Market</t>
        </is>
      </c>
      <c r="AJ1362" s="755" t="n"/>
      <c r="AK1362" s="755" t="n"/>
      <c r="AL1362" s="755" t="n"/>
      <c r="AM1362" s="755" t="n"/>
      <c r="AN1362" s="755" t="n"/>
      <c r="AO1362" s="755" t="n"/>
      <c r="AP1362" s="740" t="inlineStr">
        <is>
          <t>Pullback</t>
        </is>
      </c>
      <c r="AQ1362" s="740" t="inlineStr">
        <is>
          <t>1MIN</t>
        </is>
      </c>
      <c r="AR1362" s="740" t="inlineStr">
        <is>
          <t>No</t>
        </is>
      </c>
      <c r="AS1362" s="755" t="n"/>
      <c r="AT1362" s="755" t="n"/>
      <c r="AU1362" s="755" t="n"/>
      <c r="AV1362" s="755" t="n"/>
      <c r="AW1362" s="740" t="inlineStr">
        <is>
          <t>trade</t>
        </is>
      </c>
      <c r="AX1362" s="756" t="inlineStr">
        <is>
          <t>sig:d92043109da7773df3c523bb</t>
        </is>
      </c>
    </row>
    <row r="1363" ht="15" customHeight="1">
      <c r="A1363" s="716" t="inlineStr">
        <is>
          <t>F195</t>
        </is>
      </c>
      <c r="B1363" s="717" t="n">
        <v>43357.9375</v>
      </c>
      <c r="C1363" s="718" t="n">
        <v>43357.93819444445</v>
      </c>
      <c r="D1363" s="719" t="inlineStr">
        <is>
          <t>PEPPERSTONE LIVE</t>
        </is>
      </c>
      <c r="E1363" s="719" t="inlineStr">
        <is>
          <t>EURUSD</t>
        </is>
      </c>
      <c r="F1363" s="719" t="inlineStr">
        <is>
          <t>BUY</t>
        </is>
      </c>
      <c r="G1363" s="720" t="n">
        <v>0.16</v>
      </c>
      <c r="H1363" s="720" t="n">
        <v>1.1703</v>
      </c>
      <c r="I1363" s="720" t="n">
        <v>1.16935</v>
      </c>
      <c r="J1363" s="721" t="n">
        <v>1.1693</v>
      </c>
      <c r="K1363" s="760" t="n">
        <v>0.000854481756814398</v>
      </c>
      <c r="L1363" s="721" t="n">
        <v>1.172</v>
      </c>
      <c r="M1363" s="722" t="n">
        <v>0.001452618986584666</v>
      </c>
      <c r="N1363" s="788" t="n"/>
      <c r="O1363" s="762" t="n">
        <v>-22.04</v>
      </c>
      <c r="P1363" s="725" t="n">
        <v>-0.00538544805021857</v>
      </c>
      <c r="Q1363" s="726" t="n">
        <v>-0.950000000000111</v>
      </c>
      <c r="R1363" s="764" t="n">
        <v>4070.47</v>
      </c>
      <c r="S1363" s="719" t="inlineStr">
        <is>
          <t>1M 0S</t>
        </is>
      </c>
      <c r="T1363" s="728" t="n"/>
      <c r="U1363" s="729" t="n"/>
      <c r="V1363" s="730" t="n"/>
      <c r="W1363" s="731" t="n"/>
      <c r="X1363" s="732" t="n"/>
      <c r="Y1363" s="728" t="n"/>
      <c r="Z1363" s="729" t="n"/>
      <c r="AA1363" s="730" t="n"/>
      <c r="AB1363" s="731" t="n"/>
      <c r="AC1363" s="732" t="n"/>
      <c r="AD1363" s="719" t="inlineStr">
        <is>
          <t>No</t>
        </is>
      </c>
      <c r="AE1363" s="733" t="n"/>
      <c r="AF1363" s="733" t="n"/>
      <c r="AG1363" s="733" t="n"/>
      <c r="AH1363" s="733" t="n"/>
      <c r="AI1363" s="719" t="n"/>
      <c r="AJ1363" s="733" t="n"/>
      <c r="AK1363" s="733" t="n"/>
      <c r="AL1363" s="733" t="n"/>
      <c r="AM1363" s="733" t="n"/>
      <c r="AN1363" s="733" t="n"/>
      <c r="AO1363" s="733" t="n"/>
      <c r="AP1363" s="719" t="inlineStr">
        <is>
          <t>Pullback</t>
        </is>
      </c>
      <c r="AQ1363" s="719" t="inlineStr">
        <is>
          <t>1MIN</t>
        </is>
      </c>
      <c r="AR1363" s="719" t="inlineStr">
        <is>
          <t>No</t>
        </is>
      </c>
      <c r="AS1363" s="733" t="n"/>
      <c r="AT1363" s="733" t="n"/>
      <c r="AU1363" s="733" t="n"/>
      <c r="AV1363" s="733" t="n"/>
      <c r="AW1363" s="719" t="inlineStr">
        <is>
          <t>trade</t>
        </is>
      </c>
      <c r="AX1363" s="734" t="inlineStr">
        <is>
          <t>sig:15bde318ab97d93220708cb8</t>
        </is>
      </c>
    </row>
    <row r="1364" ht="15" customHeight="1">
      <c r="A1364" s="737" t="inlineStr">
        <is>
          <t>F190</t>
        </is>
      </c>
      <c r="B1364" s="738" t="n">
        <v>43356.9375</v>
      </c>
      <c r="C1364" s="739" t="n">
        <v>43356.94027777778</v>
      </c>
      <c r="D1364" s="740" t="inlineStr">
        <is>
          <t>PEPPERSTONE DEMO</t>
        </is>
      </c>
      <c r="E1364" s="740" t="inlineStr">
        <is>
          <t>USDCAD</t>
        </is>
      </c>
      <c r="F1364" s="740" t="inlineStr">
        <is>
          <t>SELL</t>
        </is>
      </c>
      <c r="G1364" s="742" t="n">
        <v>0.11</v>
      </c>
      <c r="H1364" s="742" t="n">
        <v>1.299</v>
      </c>
      <c r="I1364" s="742" t="n">
        <v>1.29885</v>
      </c>
      <c r="J1364" s="743" t="n">
        <v>1.3002</v>
      </c>
      <c r="K1364" s="765" t="n">
        <v>0.0009237875288684295</v>
      </c>
      <c r="L1364" s="743" t="n">
        <v>1.2966</v>
      </c>
      <c r="M1364" s="744" t="n">
        <v>0.001847575057736688</v>
      </c>
      <c r="N1364" s="796" t="n"/>
      <c r="O1364" s="767" t="n">
        <v>1.6</v>
      </c>
      <c r="P1364" s="776" t="n">
        <v>0.0003388007301155734</v>
      </c>
      <c r="Q1364" s="748" t="n">
        <v>0.1249999999998844</v>
      </c>
      <c r="R1364" s="769" t="n">
        <v>4724.140000000001</v>
      </c>
      <c r="S1364" s="740" t="inlineStr">
        <is>
          <t>4M 0S</t>
        </is>
      </c>
      <c r="T1364" s="750" t="n"/>
      <c r="U1364" s="751" t="n"/>
      <c r="V1364" s="752" t="n"/>
      <c r="W1364" s="753" t="n"/>
      <c r="X1364" s="754" t="n"/>
      <c r="Y1364" s="750" t="n"/>
      <c r="Z1364" s="751" t="n"/>
      <c r="AA1364" s="752" t="n"/>
      <c r="AB1364" s="753" t="n"/>
      <c r="AC1364" s="754" t="n"/>
      <c r="AD1364" s="740" t="inlineStr">
        <is>
          <t>No</t>
        </is>
      </c>
      <c r="AE1364" s="755" t="n"/>
      <c r="AF1364" s="755" t="n"/>
      <c r="AG1364" s="755" t="n"/>
      <c r="AH1364" s="755" t="n"/>
      <c r="AI1364" s="740" t="inlineStr">
        <is>
          <t>Limit</t>
        </is>
      </c>
      <c r="AJ1364" s="755" t="n"/>
      <c r="AK1364" s="755" t="n"/>
      <c r="AL1364" s="755" t="n"/>
      <c r="AM1364" s="755" t="n"/>
      <c r="AN1364" s="755" t="n"/>
      <c r="AO1364" s="755" t="n"/>
      <c r="AP1364" s="740" t="inlineStr">
        <is>
          <t>News Scalp</t>
        </is>
      </c>
      <c r="AQ1364" s="740" t="inlineStr">
        <is>
          <t>1MIN</t>
        </is>
      </c>
      <c r="AR1364" s="740" t="inlineStr">
        <is>
          <t>No</t>
        </is>
      </c>
      <c r="AS1364" s="755" t="n"/>
      <c r="AT1364" s="755" t="n"/>
      <c r="AU1364" s="755" t="n"/>
      <c r="AV1364" s="755" t="n"/>
      <c r="AW1364" s="740" t="inlineStr">
        <is>
          <t>trade</t>
        </is>
      </c>
      <c r="AX1364" s="756" t="inlineStr">
        <is>
          <t>sig:ca0a809b2d1b15d9b6cf08d7</t>
        </is>
      </c>
    </row>
    <row r="1365" ht="15" customHeight="1">
      <c r="A1365" s="716" t="inlineStr">
        <is>
          <t>F191</t>
        </is>
      </c>
      <c r="B1365" s="717" t="n">
        <v>43356.88263888889</v>
      </c>
      <c r="C1365" s="718" t="n">
        <v>43356.88611111111</v>
      </c>
      <c r="D1365" s="719" t="inlineStr">
        <is>
          <t>PEPPERSTONE LIVE</t>
        </is>
      </c>
      <c r="E1365" s="719" t="inlineStr">
        <is>
          <t>GBPUSD</t>
        </is>
      </c>
      <c r="F1365" s="719" t="inlineStr">
        <is>
          <t>BUY</t>
        </is>
      </c>
      <c r="G1365" s="735" t="n">
        <v>0.06</v>
      </c>
      <c r="H1365" s="720" t="n">
        <v>1.3055</v>
      </c>
      <c r="I1365" s="720" t="n">
        <v>1.30424</v>
      </c>
      <c r="J1365" s="721" t="n">
        <v>1.3042</v>
      </c>
      <c r="K1365" s="760" t="n">
        <v>0.0009957870547683484</v>
      </c>
      <c r="L1365" s="721" t="n">
        <v>1.308</v>
      </c>
      <c r="M1365" s="722" t="n">
        <v>0.00191497510532359</v>
      </c>
      <c r="N1365" s="788" t="n"/>
      <c r="O1365" s="762" t="n">
        <v>-10.69</v>
      </c>
      <c r="P1365" s="725" t="n">
        <v>-0.002605283681029441</v>
      </c>
      <c r="Q1365" s="726" t="n">
        <v>-0.9692307692307404</v>
      </c>
      <c r="R1365" s="764" t="n">
        <v>4092.51</v>
      </c>
      <c r="S1365" s="719" t="inlineStr">
        <is>
          <t>5M 0S</t>
        </is>
      </c>
      <c r="T1365" s="728" t="n"/>
      <c r="U1365" s="729" t="n"/>
      <c r="V1365" s="730" t="n"/>
      <c r="W1365" s="731" t="n"/>
      <c r="X1365" s="732" t="n"/>
      <c r="Y1365" s="728" t="n"/>
      <c r="Z1365" s="729" t="n"/>
      <c r="AA1365" s="730" t="n"/>
      <c r="AB1365" s="731" t="n"/>
      <c r="AC1365" s="732" t="n"/>
      <c r="AD1365" s="719" t="inlineStr">
        <is>
          <t>No</t>
        </is>
      </c>
      <c r="AE1365" s="733" t="n"/>
      <c r="AF1365" s="733" t="n"/>
      <c r="AG1365" s="733" t="n"/>
      <c r="AH1365" s="733" t="n"/>
      <c r="AI1365" s="733" t="n"/>
      <c r="AJ1365" s="733" t="n"/>
      <c r="AK1365" s="733" t="n"/>
      <c r="AL1365" s="733" t="n"/>
      <c r="AM1365" s="733" t="n"/>
      <c r="AN1365" s="733" t="n"/>
      <c r="AO1365" s="733" t="n"/>
      <c r="AP1365" s="719" t="inlineStr">
        <is>
          <t>Pullback</t>
        </is>
      </c>
      <c r="AQ1365" s="719" t="inlineStr">
        <is>
          <t>1MIN</t>
        </is>
      </c>
      <c r="AR1365" s="719" t="inlineStr">
        <is>
          <t>No</t>
        </is>
      </c>
      <c r="AS1365" s="733" t="n"/>
      <c r="AT1365" s="733" t="n"/>
      <c r="AU1365" s="733" t="n"/>
      <c r="AV1365" s="733" t="n"/>
      <c r="AW1365" s="719" t="inlineStr">
        <is>
          <t>trade</t>
        </is>
      </c>
      <c r="AX1365" s="734" t="inlineStr">
        <is>
          <t>sig:6d976f29d9abb61ee5dd6a36</t>
        </is>
      </c>
    </row>
    <row r="1366" ht="15" customHeight="1">
      <c r="A1366" s="716" t="inlineStr">
        <is>
          <t>F193</t>
        </is>
      </c>
      <c r="B1366" s="717" t="n">
        <v>43356.69027777778</v>
      </c>
      <c r="C1366" s="718" t="n">
        <v>43356.79166666666</v>
      </c>
      <c r="D1366" s="719" t="inlineStr">
        <is>
          <t>PEPPERSTONE DEMO</t>
        </is>
      </c>
      <c r="E1366" s="719" t="inlineStr">
        <is>
          <t>EURUSD</t>
        </is>
      </c>
      <c r="F1366" s="719" t="inlineStr">
        <is>
          <t>BUY</t>
        </is>
      </c>
      <c r="G1366" s="720" t="n">
        <v>0.1</v>
      </c>
      <c r="H1366" s="720" t="n">
        <v>1.1629</v>
      </c>
      <c r="I1366" s="720" t="n">
        <v>1.16122</v>
      </c>
      <c r="J1366" s="721" t="n">
        <v>1.1612</v>
      </c>
      <c r="K1366" s="722" t="n">
        <v>0.001461862584917048</v>
      </c>
      <c r="L1366" s="721" t="n">
        <v>1.1663</v>
      </c>
      <c r="M1366" s="722" t="n">
        <v>0.002923725169833905</v>
      </c>
      <c r="N1366" s="788" t="n"/>
      <c r="O1366" s="762" t="n">
        <v>-23.66</v>
      </c>
      <c r="P1366" s="725" t="n">
        <v>-0.004985040664110235</v>
      </c>
      <c r="Q1366" s="726" t="n">
        <v>-0.9882352941177008</v>
      </c>
      <c r="R1366" s="764" t="n">
        <v>4722.540000000001</v>
      </c>
      <c r="S1366" s="719" t="inlineStr">
        <is>
          <t>2H 26M 0S</t>
        </is>
      </c>
      <c r="T1366" s="728" t="n"/>
      <c r="U1366" s="729" t="n"/>
      <c r="V1366" s="730" t="n"/>
      <c r="W1366" s="731" t="n"/>
      <c r="X1366" s="732" t="n"/>
      <c r="Y1366" s="728" t="n"/>
      <c r="Z1366" s="729" t="n"/>
      <c r="AA1366" s="730" t="n"/>
      <c r="AB1366" s="731" t="n"/>
      <c r="AC1366" s="732" t="n"/>
      <c r="AD1366" s="719" t="inlineStr">
        <is>
          <t>No</t>
        </is>
      </c>
      <c r="AE1366" s="733" t="n"/>
      <c r="AF1366" s="733" t="n"/>
      <c r="AG1366" s="733" t="n"/>
      <c r="AH1366" s="733" t="n"/>
      <c r="AI1366" s="733" t="n"/>
      <c r="AJ1366" s="733" t="n"/>
      <c r="AK1366" s="733" t="n"/>
      <c r="AL1366" s="733" t="n"/>
      <c r="AM1366" s="733" t="n"/>
      <c r="AN1366" s="733" t="n"/>
      <c r="AO1366" s="733" t="n"/>
      <c r="AP1366" s="719" t="inlineStr">
        <is>
          <t>Pullback</t>
        </is>
      </c>
      <c r="AQ1366" s="719" t="inlineStr">
        <is>
          <t>15MIN</t>
        </is>
      </c>
      <c r="AR1366" s="719" t="inlineStr">
        <is>
          <t>No</t>
        </is>
      </c>
      <c r="AS1366" s="733" t="n"/>
      <c r="AT1366" s="733" t="n"/>
      <c r="AU1366" s="733" t="n"/>
      <c r="AV1366" s="733" t="n"/>
      <c r="AW1366" s="719" t="inlineStr">
        <is>
          <t>trade</t>
        </is>
      </c>
      <c r="AX1366" s="734" t="inlineStr">
        <is>
          <t>sig:4a0c56913d38779545adb2d8</t>
        </is>
      </c>
    </row>
    <row r="1367" ht="15" customHeight="1">
      <c r="A1367" s="716" t="inlineStr">
        <is>
          <t>F192</t>
        </is>
      </c>
      <c r="B1367" s="717" t="n">
        <v>43356.47916666666</v>
      </c>
      <c r="C1367" s="718" t="n">
        <v>43356.52847222222</v>
      </c>
      <c r="D1367" s="719" t="inlineStr">
        <is>
          <t>PEPPERSTONE LIVE</t>
        </is>
      </c>
      <c r="E1367" s="719" t="inlineStr">
        <is>
          <t>AUDUSD</t>
        </is>
      </c>
      <c r="F1367" s="719" t="inlineStr">
        <is>
          <t>BUY</t>
        </is>
      </c>
      <c r="G1367" s="735" t="n">
        <v>0.09</v>
      </c>
      <c r="H1367" s="720" t="n">
        <v>0.7193000000000001</v>
      </c>
      <c r="I1367" s="720" t="n">
        <v>0.71828</v>
      </c>
      <c r="J1367" s="721" t="n">
        <v>0.7176</v>
      </c>
      <c r="K1367" s="722" t="n">
        <v>0.002363408869734512</v>
      </c>
      <c r="L1367" s="721" t="n">
        <v>0.7221</v>
      </c>
      <c r="M1367" s="722" t="n">
        <v>0.003892673432503703</v>
      </c>
      <c r="N1367" s="788" t="n"/>
      <c r="O1367" s="762" t="n">
        <v>-13.41</v>
      </c>
      <c r="P1367" s="725" t="n">
        <v>-0.003257534719101397</v>
      </c>
      <c r="Q1367" s="726" t="n">
        <v>-0.6</v>
      </c>
      <c r="R1367" s="764" t="n">
        <v>4103.2</v>
      </c>
      <c r="S1367" s="719" t="inlineStr">
        <is>
          <t>1H 11M 0S</t>
        </is>
      </c>
      <c r="T1367" s="728" t="n"/>
      <c r="U1367" s="729" t="n"/>
      <c r="V1367" s="730" t="n"/>
      <c r="W1367" s="731" t="n"/>
      <c r="X1367" s="732" t="n"/>
      <c r="Y1367" s="728" t="n"/>
      <c r="Z1367" s="729" t="n"/>
      <c r="AA1367" s="730" t="n"/>
      <c r="AB1367" s="731" t="n"/>
      <c r="AC1367" s="732" t="n"/>
      <c r="AD1367" s="719" t="inlineStr">
        <is>
          <t>No</t>
        </is>
      </c>
      <c r="AE1367" s="733" t="n"/>
      <c r="AF1367" s="733" t="n"/>
      <c r="AG1367" s="733" t="n"/>
      <c r="AH1367" s="733" t="n"/>
      <c r="AI1367" s="719" t="n"/>
      <c r="AJ1367" s="733" t="n"/>
      <c r="AK1367" s="733" t="n"/>
      <c r="AL1367" s="733" t="n"/>
      <c r="AM1367" s="733" t="n"/>
      <c r="AN1367" s="733" t="n"/>
      <c r="AO1367" s="733" t="n"/>
      <c r="AP1367" s="719" t="inlineStr">
        <is>
          <t>Pullback</t>
        </is>
      </c>
      <c r="AQ1367" s="719" t="inlineStr">
        <is>
          <t>1MIN</t>
        </is>
      </c>
      <c r="AR1367" s="719" t="inlineStr">
        <is>
          <t>No</t>
        </is>
      </c>
      <c r="AS1367" s="733" t="n"/>
      <c r="AT1367" s="733" t="n"/>
      <c r="AU1367" s="733" t="n"/>
      <c r="AV1367" s="733" t="n"/>
      <c r="AW1367" s="719" t="inlineStr">
        <is>
          <t>trade</t>
        </is>
      </c>
      <c r="AX1367" s="734" t="inlineStr">
        <is>
          <t>sig:fde65193c8e2c40e948d395c</t>
        </is>
      </c>
    </row>
    <row r="1368" ht="15" customHeight="1">
      <c r="A1368" s="737" t="inlineStr">
        <is>
          <t>F189</t>
        </is>
      </c>
      <c r="B1368" s="738" t="n">
        <v>43355.96041666667</v>
      </c>
      <c r="C1368" s="739" t="n">
        <v>43355.97291666667</v>
      </c>
      <c r="D1368" s="740" t="inlineStr">
        <is>
          <t>PEPPERSTONE LIVE</t>
        </is>
      </c>
      <c r="E1368" s="740" t="inlineStr">
        <is>
          <t>EURUSD</t>
        </is>
      </c>
      <c r="F1368" s="740" t="inlineStr">
        <is>
          <t>BUY</t>
        </is>
      </c>
      <c r="G1368" s="742" t="n">
        <v>0.36</v>
      </c>
      <c r="H1368" s="742" t="n">
        <v>1.159</v>
      </c>
      <c r="I1368" s="742" t="n">
        <v>1.15975</v>
      </c>
      <c r="J1368" s="743" t="n">
        <v>1.1587</v>
      </c>
      <c r="K1368" s="765" t="n">
        <v>0.0002588438308886687</v>
      </c>
      <c r="L1368" s="743" t="n"/>
      <c r="M1368" s="744" t="n"/>
      <c r="N1368" s="796" t="n"/>
      <c r="O1368" s="767" t="n">
        <v>24.05</v>
      </c>
      <c r="P1368" s="747" t="n">
        <v>0.005876517387649784</v>
      </c>
      <c r="Q1368" s="748" t="n">
        <v>2.50000000000037</v>
      </c>
      <c r="R1368" s="769" t="n">
        <v>4116.61</v>
      </c>
      <c r="S1368" s="740" t="inlineStr">
        <is>
          <t>18M 0S</t>
        </is>
      </c>
      <c r="T1368" s="750" t="n"/>
      <c r="U1368" s="751" t="n"/>
      <c r="V1368" s="752" t="n"/>
      <c r="W1368" s="753" t="n"/>
      <c r="X1368" s="754" t="n"/>
      <c r="Y1368" s="750" t="n"/>
      <c r="Z1368" s="751" t="n"/>
      <c r="AA1368" s="752" t="n"/>
      <c r="AB1368" s="753" t="n"/>
      <c r="AC1368" s="754" t="n"/>
      <c r="AD1368" s="740" t="inlineStr">
        <is>
          <t>No</t>
        </is>
      </c>
      <c r="AE1368" s="755" t="n"/>
      <c r="AF1368" s="755" t="n"/>
      <c r="AG1368" s="755" t="n"/>
      <c r="AH1368" s="755" t="n"/>
      <c r="AI1368" s="740" t="n"/>
      <c r="AJ1368" s="755" t="n"/>
      <c r="AK1368" s="755" t="n"/>
      <c r="AL1368" s="755" t="n"/>
      <c r="AM1368" s="755" t="n"/>
      <c r="AN1368" s="755" t="n"/>
      <c r="AO1368" s="755" t="n"/>
      <c r="AP1368" s="740" t="inlineStr">
        <is>
          <t>Pullback</t>
        </is>
      </c>
      <c r="AQ1368" s="740" t="inlineStr">
        <is>
          <t>1MIN</t>
        </is>
      </c>
      <c r="AR1368" s="740" t="inlineStr">
        <is>
          <t>No</t>
        </is>
      </c>
      <c r="AS1368" s="755" t="n"/>
      <c r="AT1368" s="755" t="n"/>
      <c r="AU1368" s="755" t="n"/>
      <c r="AV1368" s="755" t="n"/>
      <c r="AW1368" s="740" t="inlineStr">
        <is>
          <t>trade</t>
        </is>
      </c>
      <c r="AX1368" s="756" t="inlineStr">
        <is>
          <t>sig:687068e03dc504f2a8c97288</t>
        </is>
      </c>
    </row>
    <row r="1369" ht="15" customHeight="1">
      <c r="A1369" s="737" t="inlineStr">
        <is>
          <t>F187</t>
        </is>
      </c>
      <c r="B1369" s="738" t="n">
        <v>43355.95069444444</v>
      </c>
      <c r="C1369" s="739" t="n">
        <v>43355.95625</v>
      </c>
      <c r="D1369" s="740" t="inlineStr">
        <is>
          <t>PEPPERSTONE LIVE</t>
        </is>
      </c>
      <c r="E1369" s="740" t="inlineStr">
        <is>
          <t>EURUSD</t>
        </is>
      </c>
      <c r="F1369" s="740" t="inlineStr">
        <is>
          <t>BUY</t>
        </is>
      </c>
      <c r="G1369" s="742" t="n">
        <v>0.36</v>
      </c>
      <c r="H1369" s="742" t="n">
        <v>1.1593</v>
      </c>
      <c r="I1369" s="742" t="n">
        <v>1.15942</v>
      </c>
      <c r="J1369" s="743" t="n">
        <v>1.1581</v>
      </c>
      <c r="K1369" s="744" t="n">
        <v>0.001035107392392038</v>
      </c>
      <c r="L1369" s="743" t="n">
        <v>1.1617</v>
      </c>
      <c r="M1369" s="744" t="n">
        <v>0.002070214784783885</v>
      </c>
      <c r="N1369" s="796" t="n"/>
      <c r="O1369" s="767" t="n">
        <v>1.01</v>
      </c>
      <c r="P1369" s="776" t="n">
        <v>0.000246850215688431</v>
      </c>
      <c r="Q1369" s="814" t="n">
        <v>0.09999999999990748</v>
      </c>
      <c r="R1369" s="769" t="n">
        <v>4092.56</v>
      </c>
      <c r="S1369" s="740" t="inlineStr">
        <is>
          <t>8M 0S</t>
        </is>
      </c>
      <c r="T1369" s="750" t="n"/>
      <c r="U1369" s="751" t="n"/>
      <c r="V1369" s="752" t="n"/>
      <c r="W1369" s="753" t="n"/>
      <c r="X1369" s="754" t="n"/>
      <c r="Y1369" s="750" t="n"/>
      <c r="Z1369" s="751" t="n"/>
      <c r="AA1369" s="752" t="n"/>
      <c r="AB1369" s="753" t="n"/>
      <c r="AC1369" s="754" t="n"/>
      <c r="AD1369" s="740" t="inlineStr">
        <is>
          <t>No</t>
        </is>
      </c>
      <c r="AE1369" s="755" t="n"/>
      <c r="AF1369" s="755" t="n"/>
      <c r="AG1369" s="755" t="n"/>
      <c r="AH1369" s="755" t="n"/>
      <c r="AI1369" s="740" t="inlineStr">
        <is>
          <t>Limit</t>
        </is>
      </c>
      <c r="AJ1369" s="755" t="n"/>
      <c r="AK1369" s="755" t="n"/>
      <c r="AL1369" s="755" t="n"/>
      <c r="AM1369" s="755" t="n"/>
      <c r="AN1369" s="755" t="n"/>
      <c r="AO1369" s="755" t="n"/>
      <c r="AP1369" s="740" t="inlineStr">
        <is>
          <t>Pullback</t>
        </is>
      </c>
      <c r="AQ1369" s="740" t="inlineStr">
        <is>
          <t>1MIN</t>
        </is>
      </c>
      <c r="AR1369" s="740" t="inlineStr">
        <is>
          <t>No</t>
        </is>
      </c>
      <c r="AS1369" s="755" t="n"/>
      <c r="AT1369" s="755" t="n"/>
      <c r="AU1369" s="755" t="n"/>
      <c r="AV1369" s="755" t="n"/>
      <c r="AW1369" s="740" t="inlineStr">
        <is>
          <t>trade</t>
        </is>
      </c>
      <c r="AX1369" s="756" t="inlineStr">
        <is>
          <t>sig:d91641dd04530d65076d4e37</t>
        </is>
      </c>
    </row>
    <row r="1370" ht="15" customHeight="1">
      <c r="A1370" s="716" t="inlineStr">
        <is>
          <t>F188</t>
        </is>
      </c>
      <c r="B1370" s="717" t="n">
        <v>43355.70833333334</v>
      </c>
      <c r="C1370" s="718" t="n">
        <v>43355.72222222222</v>
      </c>
      <c r="D1370" s="719" t="inlineStr">
        <is>
          <t>PEPPERSTONE DEMO</t>
        </is>
      </c>
      <c r="E1370" s="719" t="inlineStr">
        <is>
          <t>EURUSD</t>
        </is>
      </c>
      <c r="F1370" s="719" t="inlineStr">
        <is>
          <t>SELL</t>
        </is>
      </c>
      <c r="G1370" s="735" t="n">
        <v>0.09</v>
      </c>
      <c r="H1370" s="720" t="n">
        <v>1.1571</v>
      </c>
      <c r="I1370" s="720" t="n">
        <v>1.15895</v>
      </c>
      <c r="J1370" s="721" t="n">
        <v>1.1589</v>
      </c>
      <c r="K1370" s="722" t="n">
        <v>0.0015556131708582</v>
      </c>
      <c r="L1370" s="721" t="n">
        <v>1.1535</v>
      </c>
      <c r="M1370" s="722" t="n">
        <v>0.003111226341716401</v>
      </c>
      <c r="N1370" s="788" t="n"/>
      <c r="O1370" s="762" t="n">
        <v>-22.53</v>
      </c>
      <c r="P1370" s="725" t="n">
        <v>-0.004724528333539538</v>
      </c>
      <c r="Q1370" s="726" t="n">
        <v>-1.027777777777713</v>
      </c>
      <c r="R1370" s="764" t="n">
        <v>4746.200000000001</v>
      </c>
      <c r="S1370" s="719" t="inlineStr">
        <is>
          <t>20M 0S</t>
        </is>
      </c>
      <c r="T1370" s="728" t="n"/>
      <c r="U1370" s="729" t="n"/>
      <c r="V1370" s="730" t="n"/>
      <c r="W1370" s="731" t="n"/>
      <c r="X1370" s="732" t="n"/>
      <c r="Y1370" s="728" t="n"/>
      <c r="Z1370" s="729" t="n"/>
      <c r="AA1370" s="730" t="n"/>
      <c r="AB1370" s="731" t="n"/>
      <c r="AC1370" s="732" t="n"/>
      <c r="AD1370" s="719" t="inlineStr">
        <is>
          <t>No</t>
        </is>
      </c>
      <c r="AE1370" s="733" t="n"/>
      <c r="AF1370" s="733" t="n"/>
      <c r="AG1370" s="733" t="n"/>
      <c r="AH1370" s="733" t="n"/>
      <c r="AI1370" s="733" t="n"/>
      <c r="AJ1370" s="733" t="n"/>
      <c r="AK1370" s="733" t="n"/>
      <c r="AL1370" s="733" t="n"/>
      <c r="AM1370" s="733" t="n"/>
      <c r="AN1370" s="733" t="n"/>
      <c r="AO1370" s="733" t="n"/>
      <c r="AP1370" s="719" t="inlineStr">
        <is>
          <t>Pullback</t>
        </is>
      </c>
      <c r="AQ1370" s="719" t="inlineStr">
        <is>
          <t>15MIN</t>
        </is>
      </c>
      <c r="AR1370" s="719" t="inlineStr">
        <is>
          <t>No</t>
        </is>
      </c>
      <c r="AS1370" s="733" t="n"/>
      <c r="AT1370" s="733" t="n"/>
      <c r="AU1370" s="733" t="n"/>
      <c r="AV1370" s="733" t="n"/>
      <c r="AW1370" s="719" t="inlineStr">
        <is>
          <t>trade</t>
        </is>
      </c>
      <c r="AX1370" s="734" t="inlineStr">
        <is>
          <t>sig:0ad3e980f3716b91d46155f5</t>
        </is>
      </c>
    </row>
    <row r="1371" ht="15" customHeight="1">
      <c r="A1371" s="716" t="inlineStr">
        <is>
          <t>F186</t>
        </is>
      </c>
      <c r="B1371" s="717" t="n">
        <v>43355.67708333334</v>
      </c>
      <c r="C1371" s="718" t="n">
        <v>43355.70486111111</v>
      </c>
      <c r="D1371" s="719" t="inlineStr">
        <is>
          <t>PEPPERSTONE DEMO</t>
        </is>
      </c>
      <c r="E1371" s="719" t="inlineStr">
        <is>
          <t>EURUSD</t>
        </is>
      </c>
      <c r="F1371" s="719" t="inlineStr">
        <is>
          <t>BUY</t>
        </is>
      </c>
      <c r="G1371" s="720" t="n">
        <v>0.12</v>
      </c>
      <c r="H1371" s="720" t="n">
        <v>1.1593</v>
      </c>
      <c r="I1371" s="720" t="n">
        <v>1.15794</v>
      </c>
      <c r="J1371" s="721" t="n">
        <v>1.1579</v>
      </c>
      <c r="K1371" s="722" t="n">
        <v>0.001207625291124013</v>
      </c>
      <c r="L1371" s="721" t="n">
        <v>1.1622</v>
      </c>
      <c r="M1371" s="722" t="n">
        <v>0.002501509531613821</v>
      </c>
      <c r="N1371" s="788" t="n"/>
      <c r="O1371" s="762" t="n">
        <v>-23.68</v>
      </c>
      <c r="P1371" s="725" t="n">
        <v>-0.004941146521270092</v>
      </c>
      <c r="Q1371" s="726" t="n">
        <v>-0.9714285714285442</v>
      </c>
      <c r="R1371" s="764" t="n">
        <v>4768.73</v>
      </c>
      <c r="S1371" s="719" t="inlineStr">
        <is>
          <t>40M 0S</t>
        </is>
      </c>
      <c r="T1371" s="728" t="n"/>
      <c r="U1371" s="729" t="n"/>
      <c r="V1371" s="730" t="n"/>
      <c r="W1371" s="731" t="n"/>
      <c r="X1371" s="732" t="n"/>
      <c r="Y1371" s="728" t="n"/>
      <c r="Z1371" s="729" t="n"/>
      <c r="AA1371" s="730" t="n"/>
      <c r="AB1371" s="731" t="n"/>
      <c r="AC1371" s="732" t="n"/>
      <c r="AD1371" s="719" t="inlineStr">
        <is>
          <t>No</t>
        </is>
      </c>
      <c r="AE1371" s="733" t="n"/>
      <c r="AF1371" s="733" t="n"/>
      <c r="AG1371" s="733" t="n"/>
      <c r="AH1371" s="733" t="n"/>
      <c r="AI1371" s="719" t="inlineStr">
        <is>
          <t>Limit</t>
        </is>
      </c>
      <c r="AJ1371" s="733" t="n"/>
      <c r="AK1371" s="733" t="n"/>
      <c r="AL1371" s="733" t="n"/>
      <c r="AM1371" s="733" t="n"/>
      <c r="AN1371" s="733" t="n"/>
      <c r="AO1371" s="733" t="n"/>
      <c r="AP1371" s="719" t="inlineStr">
        <is>
          <t>Pullback</t>
        </is>
      </c>
      <c r="AQ1371" s="719" t="inlineStr">
        <is>
          <t>15MIN</t>
        </is>
      </c>
      <c r="AR1371" s="719" t="inlineStr">
        <is>
          <t>No</t>
        </is>
      </c>
      <c r="AS1371" s="733" t="n"/>
      <c r="AT1371" s="733" t="n"/>
      <c r="AU1371" s="733" t="n"/>
      <c r="AV1371" s="733" t="n"/>
      <c r="AW1371" s="719" t="inlineStr">
        <is>
          <t>trade</t>
        </is>
      </c>
      <c r="AX1371" s="734" t="inlineStr">
        <is>
          <t>sig:f9f1728641830a9d47d23403</t>
        </is>
      </c>
    </row>
    <row r="1372" ht="15" customHeight="1">
      <c r="A1372" s="716" t="inlineStr">
        <is>
          <t>F184</t>
        </is>
      </c>
      <c r="B1372" s="717" t="n">
        <v>43354.89791666667</v>
      </c>
      <c r="C1372" s="718" t="n">
        <v>43354.91875</v>
      </c>
      <c r="D1372" s="719" t="inlineStr">
        <is>
          <t>PEPPERSTONE DEMO</t>
        </is>
      </c>
      <c r="E1372" s="719" t="inlineStr">
        <is>
          <t>EURUSD</t>
        </is>
      </c>
      <c r="F1372" s="719" t="inlineStr">
        <is>
          <t>BUY</t>
        </is>
      </c>
      <c r="G1372" s="720" t="n">
        <v>0.17</v>
      </c>
      <c r="H1372" s="720" t="n">
        <v>1.1585</v>
      </c>
      <c r="I1372" s="720" t="n">
        <v>1.15754</v>
      </c>
      <c r="J1372" s="721" t="n">
        <v>1.1575</v>
      </c>
      <c r="K1372" s="760" t="n">
        <v>0.0008631851532154612</v>
      </c>
      <c r="L1372" s="721" t="n">
        <v>1.1605</v>
      </c>
      <c r="M1372" s="722" t="n">
        <v>0.001726370306430731</v>
      </c>
      <c r="N1372" s="788" t="n"/>
      <c r="O1372" s="762" t="n">
        <v>-23.96</v>
      </c>
      <c r="P1372" s="725" t="n">
        <v>-0.004974700863928642</v>
      </c>
      <c r="Q1372" s="726" t="n">
        <v>-0.9599999999999644</v>
      </c>
      <c r="R1372" s="764" t="n">
        <v>4792.410000000001</v>
      </c>
      <c r="S1372" s="719" t="inlineStr">
        <is>
          <t>30M 0S</t>
        </is>
      </c>
      <c r="T1372" s="728" t="n"/>
      <c r="U1372" s="729" t="n"/>
      <c r="V1372" s="730" t="n"/>
      <c r="W1372" s="731" t="n"/>
      <c r="X1372" s="732" t="n"/>
      <c r="Y1372" s="728" t="n"/>
      <c r="Z1372" s="729" t="n"/>
      <c r="AA1372" s="730" t="n"/>
      <c r="AB1372" s="731" t="n"/>
      <c r="AC1372" s="732" t="n"/>
      <c r="AD1372" s="719" t="inlineStr">
        <is>
          <t>No</t>
        </is>
      </c>
      <c r="AE1372" s="733" t="n"/>
      <c r="AF1372" s="733" t="n"/>
      <c r="AG1372" s="733" t="n"/>
      <c r="AH1372" s="733" t="n"/>
      <c r="AI1372" s="733" t="n"/>
      <c r="AJ1372" s="733" t="n"/>
      <c r="AK1372" s="733" t="n"/>
      <c r="AL1372" s="733" t="n"/>
      <c r="AM1372" s="733" t="n"/>
      <c r="AN1372" s="733" t="n"/>
      <c r="AO1372" s="733" t="n"/>
      <c r="AP1372" s="719" t="inlineStr">
        <is>
          <t>Pullback</t>
        </is>
      </c>
      <c r="AQ1372" s="719" t="inlineStr">
        <is>
          <t>15MIN</t>
        </is>
      </c>
      <c r="AR1372" s="719" t="inlineStr">
        <is>
          <t>No</t>
        </is>
      </c>
      <c r="AS1372" s="733" t="n"/>
      <c r="AT1372" s="733" t="n"/>
      <c r="AU1372" s="733" t="n"/>
      <c r="AV1372" s="733" t="n"/>
      <c r="AW1372" s="719" t="inlineStr">
        <is>
          <t>trade</t>
        </is>
      </c>
      <c r="AX1372" s="734" t="inlineStr">
        <is>
          <t>sig:1a8879abfbfe72a635f5e1fb</t>
        </is>
      </c>
    </row>
    <row r="1373" ht="15" customHeight="1">
      <c r="A1373" s="716" t="inlineStr">
        <is>
          <t>F185</t>
        </is>
      </c>
      <c r="B1373" s="717" t="n">
        <v>43354.77083333334</v>
      </c>
      <c r="C1373" s="718" t="n">
        <v>43354.775</v>
      </c>
      <c r="D1373" s="719" t="inlineStr">
        <is>
          <t>PEPPERSTONE LIVE</t>
        </is>
      </c>
      <c r="E1373" s="719" t="inlineStr">
        <is>
          <t>GBPUSD</t>
        </is>
      </c>
      <c r="F1373" s="719" t="inlineStr">
        <is>
          <t>BUY</t>
        </is>
      </c>
      <c r="G1373" s="735" t="n">
        <v>0.09</v>
      </c>
      <c r="H1373" s="720" t="n">
        <v>1.3078</v>
      </c>
      <c r="I1373" s="720" t="n">
        <v>1.3063</v>
      </c>
      <c r="J1373" s="721" t="n">
        <v>1.3062</v>
      </c>
      <c r="K1373" s="722" t="n">
        <v>0.001223428658816368</v>
      </c>
      <c r="L1373" s="721" t="n">
        <v>1.3107</v>
      </c>
      <c r="M1373" s="722" t="n">
        <v>0.002217464444104528</v>
      </c>
      <c r="N1373" s="788" t="n"/>
      <c r="O1373" s="762" t="n">
        <v>-19.6</v>
      </c>
      <c r="P1373" s="725" t="n">
        <v>-0.004767522469382046</v>
      </c>
      <c r="Q1373" s="726" t="n">
        <v>-0.9375000000000087</v>
      </c>
      <c r="R1373" s="764" t="n">
        <v>4091.55</v>
      </c>
      <c r="S1373" s="719" t="inlineStr">
        <is>
          <t>6M 0S</t>
        </is>
      </c>
      <c r="T1373" s="728" t="n"/>
      <c r="U1373" s="729" t="n"/>
      <c r="V1373" s="730" t="n"/>
      <c r="W1373" s="731" t="n"/>
      <c r="X1373" s="732" t="n"/>
      <c r="Y1373" s="728" t="n"/>
      <c r="Z1373" s="729" t="n"/>
      <c r="AA1373" s="730" t="n"/>
      <c r="AB1373" s="731" t="n"/>
      <c r="AC1373" s="732" t="n"/>
      <c r="AD1373" s="719" t="inlineStr">
        <is>
          <t>No</t>
        </is>
      </c>
      <c r="AE1373" s="733" t="n"/>
      <c r="AF1373" s="733" t="n"/>
      <c r="AG1373" s="733" t="n"/>
      <c r="AH1373" s="733" t="n"/>
      <c r="AI1373" s="733" t="n"/>
      <c r="AJ1373" s="733" t="n"/>
      <c r="AK1373" s="733" t="n"/>
      <c r="AL1373" s="733" t="n"/>
      <c r="AM1373" s="733" t="n"/>
      <c r="AN1373" s="733" t="n"/>
      <c r="AO1373" s="733" t="n"/>
      <c r="AP1373" s="719" t="inlineStr">
        <is>
          <t>Pullback</t>
        </is>
      </c>
      <c r="AQ1373" s="719" t="inlineStr">
        <is>
          <t>1MIN</t>
        </is>
      </c>
      <c r="AR1373" s="719" t="inlineStr">
        <is>
          <t>No</t>
        </is>
      </c>
      <c r="AS1373" s="733" t="n"/>
      <c r="AT1373" s="733" t="n"/>
      <c r="AU1373" s="733" t="n"/>
      <c r="AV1373" s="733" t="n"/>
      <c r="AW1373" s="719" t="inlineStr">
        <is>
          <t>trade</t>
        </is>
      </c>
      <c r="AX1373" s="734" t="inlineStr">
        <is>
          <t>sig:30c11c797686dd8d41352ebc</t>
        </is>
      </c>
    </row>
    <row r="1374" ht="15" customHeight="1">
      <c r="A1374" s="737" t="inlineStr">
        <is>
          <t>F183</t>
        </is>
      </c>
      <c r="B1374" s="738" t="n">
        <v>43354.65625</v>
      </c>
      <c r="C1374" s="739" t="n">
        <v>43354.76319444444</v>
      </c>
      <c r="D1374" s="740" t="inlineStr">
        <is>
          <t>PEPPERSTONE DEMO</t>
        </is>
      </c>
      <c r="E1374" s="740" t="inlineStr">
        <is>
          <t>GBPUSD</t>
        </is>
      </c>
      <c r="F1374" s="740" t="inlineStr">
        <is>
          <t>BUY</t>
        </is>
      </c>
      <c r="G1374" s="775" t="n">
        <v>0.03</v>
      </c>
      <c r="H1374" s="742" t="n">
        <v>1.3045</v>
      </c>
      <c r="I1374" s="742" t="n">
        <v>1.30823</v>
      </c>
      <c r="J1374" s="743" t="n">
        <v>1.3029</v>
      </c>
      <c r="K1374" s="744" t="n">
        <v>0.001226523572249939</v>
      </c>
      <c r="L1374" s="743" t="n">
        <v>1.3078</v>
      </c>
      <c r="M1374" s="744" t="n">
        <v>0.002529704867765489</v>
      </c>
      <c r="N1374" s="796" t="n"/>
      <c r="O1374" s="767" t="n">
        <v>13.95</v>
      </c>
      <c r="P1374" s="747" t="n">
        <v>0.002904785503975079</v>
      </c>
      <c r="Q1374" s="748" t="n">
        <v>2.33124999999994</v>
      </c>
      <c r="R1374" s="769" t="n">
        <v>4816.370000000001</v>
      </c>
      <c r="S1374" s="740" t="inlineStr">
        <is>
          <t>2H 34M 0S</t>
        </is>
      </c>
      <c r="T1374" s="750" t="n"/>
      <c r="U1374" s="751" t="n"/>
      <c r="V1374" s="752" t="n"/>
      <c r="W1374" s="753" t="n"/>
      <c r="X1374" s="754" t="n"/>
      <c r="Y1374" s="750" t="n"/>
      <c r="Z1374" s="751" t="n"/>
      <c r="AA1374" s="752" t="n"/>
      <c r="AB1374" s="753" t="n"/>
      <c r="AC1374" s="754" t="n"/>
      <c r="AD1374" s="740" t="inlineStr">
        <is>
          <t>No</t>
        </is>
      </c>
      <c r="AE1374" s="755" t="n"/>
      <c r="AF1374" s="755" t="n"/>
      <c r="AG1374" s="755" t="n"/>
      <c r="AH1374" s="755" t="n"/>
      <c r="AI1374" s="740" t="n"/>
      <c r="AJ1374" s="755" t="n"/>
      <c r="AK1374" s="755" t="n"/>
      <c r="AL1374" s="755" t="n"/>
      <c r="AM1374" s="755" t="n"/>
      <c r="AN1374" s="755" t="n"/>
      <c r="AO1374" s="755" t="n"/>
      <c r="AP1374" s="740" t="inlineStr">
        <is>
          <t>Pullback</t>
        </is>
      </c>
      <c r="AQ1374" s="740" t="inlineStr">
        <is>
          <t>15MIN</t>
        </is>
      </c>
      <c r="AR1374" s="740" t="inlineStr">
        <is>
          <t>No</t>
        </is>
      </c>
      <c r="AS1374" s="755" t="n"/>
      <c r="AT1374" s="755" t="n"/>
      <c r="AU1374" s="755" t="n"/>
      <c r="AV1374" s="755" t="n"/>
      <c r="AW1374" s="740" t="inlineStr">
        <is>
          <t>trade</t>
        </is>
      </c>
      <c r="AX1374" s="756" t="inlineStr">
        <is>
          <t>sig:a76991d093ecefd214a63bd7</t>
        </is>
      </c>
    </row>
    <row r="1375" ht="15" customHeight="1">
      <c r="A1375" s="716" t="inlineStr">
        <is>
          <t>F182</t>
        </is>
      </c>
      <c r="B1375" s="717" t="n">
        <v>43354.53125</v>
      </c>
      <c r="C1375" s="718" t="n">
        <v>43354.53402777778</v>
      </c>
      <c r="D1375" s="719" t="inlineStr">
        <is>
          <t>PEPPERSTONE DEMO</t>
        </is>
      </c>
      <c r="E1375" s="719" t="inlineStr">
        <is>
          <t>USDCHF</t>
        </is>
      </c>
      <c r="F1375" s="719" t="inlineStr">
        <is>
          <t>BUY</t>
        </is>
      </c>
      <c r="G1375" s="720" t="n">
        <v>0.55</v>
      </c>
      <c r="H1375" s="720" t="n">
        <v>0.9755</v>
      </c>
      <c r="I1375" s="720" t="n">
        <v>0.97522</v>
      </c>
      <c r="J1375" s="721" t="n">
        <v>0.9752</v>
      </c>
      <c r="K1375" s="760" t="n">
        <v>0.0003075345976423147</v>
      </c>
      <c r="L1375" s="721" t="n">
        <v>0.9761</v>
      </c>
      <c r="M1375" s="760" t="n">
        <v>0.0006150691952844017</v>
      </c>
      <c r="N1375" s="788" t="n"/>
      <c r="O1375" s="762" t="n">
        <v>-24.6</v>
      </c>
      <c r="P1375" s="725" t="n">
        <v>-0.005096312010308637</v>
      </c>
      <c r="Q1375" s="726" t="n">
        <v>-0.9333333333332839</v>
      </c>
      <c r="R1375" s="764" t="n">
        <v>4802.420000000001</v>
      </c>
      <c r="S1375" s="719" t="inlineStr">
        <is>
          <t>4M 0S</t>
        </is>
      </c>
      <c r="T1375" s="728" t="n"/>
      <c r="U1375" s="729" t="n"/>
      <c r="V1375" s="730" t="n"/>
      <c r="W1375" s="731" t="n"/>
      <c r="X1375" s="732" t="n"/>
      <c r="Y1375" s="728" t="n"/>
      <c r="Z1375" s="729" t="n"/>
      <c r="AA1375" s="730" t="n"/>
      <c r="AB1375" s="731" t="n"/>
      <c r="AC1375" s="732" t="n"/>
      <c r="AD1375" s="719" t="inlineStr">
        <is>
          <t>No</t>
        </is>
      </c>
      <c r="AE1375" s="733" t="n"/>
      <c r="AF1375" s="733" t="n"/>
      <c r="AG1375" s="733" t="n"/>
      <c r="AH1375" s="733" t="n"/>
      <c r="AI1375" s="719" t="inlineStr">
        <is>
          <t>Limit</t>
        </is>
      </c>
      <c r="AJ1375" s="733" t="n"/>
      <c r="AK1375" s="733" t="n"/>
      <c r="AL1375" s="733" t="n"/>
      <c r="AM1375" s="733" t="n"/>
      <c r="AN1375" s="733" t="n"/>
      <c r="AO1375" s="733" t="n"/>
      <c r="AP1375" s="719" t="inlineStr">
        <is>
          <t>Pullback</t>
        </is>
      </c>
      <c r="AQ1375" s="719" t="inlineStr">
        <is>
          <t>15MIN</t>
        </is>
      </c>
      <c r="AR1375" s="719" t="inlineStr">
        <is>
          <t>No</t>
        </is>
      </c>
      <c r="AS1375" s="733" t="n"/>
      <c r="AT1375" s="733" t="n"/>
      <c r="AU1375" s="733" t="n"/>
      <c r="AV1375" s="733" t="n"/>
      <c r="AW1375" s="719" t="inlineStr">
        <is>
          <t>trade</t>
        </is>
      </c>
      <c r="AX1375" s="734" t="inlineStr">
        <is>
          <t>sig:856b258fb0c8dc120dcf8c68</t>
        </is>
      </c>
    </row>
    <row r="1376" ht="15" customHeight="1">
      <c r="A1376" s="716" t="inlineStr">
        <is>
          <t>F178</t>
        </is>
      </c>
      <c r="B1376" s="717" t="n">
        <v>43353.96180555555</v>
      </c>
      <c r="C1376" s="718" t="n">
        <v>43353.98194444444</v>
      </c>
      <c r="D1376" s="719" t="inlineStr">
        <is>
          <t>PEPPERSTONE LIVE</t>
        </is>
      </c>
      <c r="E1376" s="719" t="inlineStr">
        <is>
          <t>GBPUSD</t>
        </is>
      </c>
      <c r="F1376" s="719" t="inlineStr">
        <is>
          <t>BUY</t>
        </is>
      </c>
      <c r="G1376" s="735" t="n">
        <v>0.04</v>
      </c>
      <c r="H1376" s="720" t="n">
        <v>1.3036</v>
      </c>
      <c r="I1376" s="720" t="n">
        <v>1.30218</v>
      </c>
      <c r="J1376" s="721" t="n">
        <v>1.3022</v>
      </c>
      <c r="K1376" s="722" t="n">
        <v>0.001073949064130153</v>
      </c>
      <c r="L1376" s="721" t="n">
        <v>1.3066</v>
      </c>
      <c r="M1376" s="722" t="n">
        <v>0.002301319423135848</v>
      </c>
      <c r="N1376" s="788" t="n"/>
      <c r="O1376" s="762" t="n">
        <v>-8.48</v>
      </c>
      <c r="P1376" s="725" t="n">
        <v>-0.002058437286843722</v>
      </c>
      <c r="Q1376" s="726" t="n">
        <v>-1.014285714285807</v>
      </c>
      <c r="R1376" s="764" t="n">
        <v>4111.15</v>
      </c>
      <c r="S1376" s="719" t="inlineStr">
        <is>
          <t>29M 0S</t>
        </is>
      </c>
      <c r="T1376" s="728" t="n"/>
      <c r="U1376" s="729" t="n"/>
      <c r="V1376" s="730" t="n"/>
      <c r="W1376" s="731" t="n"/>
      <c r="X1376" s="732" t="n"/>
      <c r="Y1376" s="728" t="n"/>
      <c r="Z1376" s="729" t="n"/>
      <c r="AA1376" s="730" t="n"/>
      <c r="AB1376" s="731" t="n"/>
      <c r="AC1376" s="732" t="n"/>
      <c r="AD1376" s="719" t="inlineStr">
        <is>
          <t>No</t>
        </is>
      </c>
      <c r="AE1376" s="733" t="n"/>
      <c r="AF1376" s="733" t="n"/>
      <c r="AG1376" s="733" t="n"/>
      <c r="AH1376" s="733" t="n"/>
      <c r="AI1376" s="719" t="inlineStr">
        <is>
          <t>Limit</t>
        </is>
      </c>
      <c r="AJ1376" s="733" t="n"/>
      <c r="AK1376" s="733" t="n"/>
      <c r="AL1376" s="733" t="n"/>
      <c r="AM1376" s="733" t="n"/>
      <c r="AN1376" s="733" t="n"/>
      <c r="AO1376" s="733" t="n"/>
      <c r="AP1376" s="719" t="inlineStr">
        <is>
          <t>Pullback</t>
        </is>
      </c>
      <c r="AQ1376" s="719" t="inlineStr">
        <is>
          <t>1MIN</t>
        </is>
      </c>
      <c r="AR1376" s="719" t="inlineStr">
        <is>
          <t>No</t>
        </is>
      </c>
      <c r="AS1376" s="733" t="n"/>
      <c r="AT1376" s="733" t="n"/>
      <c r="AU1376" s="733" t="n"/>
      <c r="AV1376" s="733" t="n"/>
      <c r="AW1376" s="719" t="inlineStr">
        <is>
          <t>trade</t>
        </is>
      </c>
      <c r="AX1376" s="734" t="inlineStr">
        <is>
          <t>sig:81208d0c6b637ad5a027e045</t>
        </is>
      </c>
    </row>
    <row r="1377" ht="15" customHeight="1">
      <c r="A1377" s="716" t="inlineStr">
        <is>
          <t>F179</t>
        </is>
      </c>
      <c r="B1377" s="717" t="n">
        <v>43353.95138888889</v>
      </c>
      <c r="C1377" s="718" t="n">
        <v>43353.95416666667</v>
      </c>
      <c r="D1377" s="719" t="inlineStr">
        <is>
          <t>PEPPERSTONE DEMO</t>
        </is>
      </c>
      <c r="E1377" s="719" t="inlineStr">
        <is>
          <t>USDCHF</t>
        </is>
      </c>
      <c r="F1377" s="719" t="inlineStr">
        <is>
          <t>BUY</t>
        </is>
      </c>
      <c r="G1377" s="735" t="n">
        <v>0.09</v>
      </c>
      <c r="H1377" s="720" t="n">
        <v>0.9741</v>
      </c>
      <c r="I1377" s="720" t="n">
        <v>0.97341</v>
      </c>
      <c r="J1377" s="721" t="n">
        <v>0.9734</v>
      </c>
      <c r="K1377" s="760" t="n">
        <v>0.0007186120521506241</v>
      </c>
      <c r="L1377" s="721" t="n">
        <v>0.9755</v>
      </c>
      <c r="M1377" s="722" t="n">
        <v>0.001437224104301476</v>
      </c>
      <c r="N1377" s="788" t="n"/>
      <c r="O1377" s="762" t="n">
        <v>-9.6</v>
      </c>
      <c r="P1377" s="725" t="n">
        <v>-0.001984857193660035</v>
      </c>
      <c r="Q1377" s="726" t="n">
        <v>-0.9857142857143492</v>
      </c>
      <c r="R1377" s="764" t="n">
        <v>4827.020000000001</v>
      </c>
      <c r="S1377" s="719" t="inlineStr">
        <is>
          <t>4M 0S</t>
        </is>
      </c>
      <c r="T1377" s="728" t="n"/>
      <c r="U1377" s="729" t="n"/>
      <c r="V1377" s="730" t="n"/>
      <c r="W1377" s="731" t="n"/>
      <c r="X1377" s="732" t="n"/>
      <c r="Y1377" s="728" t="n"/>
      <c r="Z1377" s="729" t="n"/>
      <c r="AA1377" s="730" t="n"/>
      <c r="AB1377" s="731" t="n"/>
      <c r="AC1377" s="732" t="n"/>
      <c r="AD1377" s="719" t="inlineStr">
        <is>
          <t>No</t>
        </is>
      </c>
      <c r="AE1377" s="733" t="n"/>
      <c r="AF1377" s="733" t="n"/>
      <c r="AG1377" s="733" t="n"/>
      <c r="AH1377" s="733" t="n"/>
      <c r="AI1377" s="719" t="n"/>
      <c r="AJ1377" s="733" t="n"/>
      <c r="AK1377" s="733" t="n"/>
      <c r="AL1377" s="733" t="n"/>
      <c r="AM1377" s="733" t="n"/>
      <c r="AN1377" s="733" t="n"/>
      <c r="AO1377" s="733" t="n"/>
      <c r="AP1377" s="719" t="inlineStr">
        <is>
          <t>Pullback</t>
        </is>
      </c>
      <c r="AQ1377" s="719" t="inlineStr">
        <is>
          <t>15MIN</t>
        </is>
      </c>
      <c r="AR1377" s="719" t="inlineStr">
        <is>
          <t>No</t>
        </is>
      </c>
      <c r="AS1377" s="733" t="n"/>
      <c r="AT1377" s="733" t="n"/>
      <c r="AU1377" s="733" t="n"/>
      <c r="AV1377" s="733" t="n"/>
      <c r="AW1377" s="719" t="inlineStr">
        <is>
          <t>trade</t>
        </is>
      </c>
      <c r="AX1377" s="734" t="inlineStr">
        <is>
          <t>sig:f30390ef54b6a7bf881c4ba5</t>
        </is>
      </c>
    </row>
    <row r="1378" ht="15" customHeight="1">
      <c r="A1378" s="716" t="inlineStr">
        <is>
          <t>F180</t>
        </is>
      </c>
      <c r="B1378" s="717" t="n">
        <v>43353.93888888889</v>
      </c>
      <c r="C1378" s="718" t="n">
        <v>43353.94652777778</v>
      </c>
      <c r="D1378" s="719" t="inlineStr">
        <is>
          <t>PEPPERSTONE DEMO</t>
        </is>
      </c>
      <c r="E1378" s="719" t="inlineStr">
        <is>
          <t>NZDUSD</t>
        </is>
      </c>
      <c r="F1378" s="719" t="inlineStr">
        <is>
          <t>BUY</t>
        </is>
      </c>
      <c r="G1378" s="720" t="n">
        <v>0.46</v>
      </c>
      <c r="H1378" s="720" t="n">
        <v>0.65372</v>
      </c>
      <c r="I1378" s="720" t="n">
        <v>0.65344</v>
      </c>
      <c r="J1378" s="721" t="n">
        <v>0.6534</v>
      </c>
      <c r="K1378" s="760" t="n">
        <v>0.0004895062106100272</v>
      </c>
      <c r="L1378" s="721" t="n">
        <v>0.6543</v>
      </c>
      <c r="M1378" s="760" t="n">
        <v>0.0008872300067307486</v>
      </c>
      <c r="N1378" s="788" t="n"/>
      <c r="O1378" s="762" t="n">
        <v>-18.09</v>
      </c>
      <c r="P1378" s="725" t="n">
        <v>-0.00372627819169425</v>
      </c>
      <c r="Q1378" s="726" t="n">
        <v>-0.8749999999998699</v>
      </c>
      <c r="R1378" s="764" t="n">
        <v>4836.620000000002</v>
      </c>
      <c r="S1378" s="719" t="inlineStr">
        <is>
          <t>11M 0S</t>
        </is>
      </c>
      <c r="T1378" s="728" t="n"/>
      <c r="U1378" s="729" t="n"/>
      <c r="V1378" s="730" t="n"/>
      <c r="W1378" s="731" t="n"/>
      <c r="X1378" s="732" t="n"/>
      <c r="Y1378" s="728" t="n"/>
      <c r="Z1378" s="729" t="n"/>
      <c r="AA1378" s="730" t="n"/>
      <c r="AB1378" s="731" t="n"/>
      <c r="AC1378" s="732" t="n"/>
      <c r="AD1378" s="719" t="inlineStr">
        <is>
          <t>No</t>
        </is>
      </c>
      <c r="AE1378" s="733" t="n"/>
      <c r="AF1378" s="733" t="n"/>
      <c r="AG1378" s="733" t="n"/>
      <c r="AH1378" s="733" t="n"/>
      <c r="AI1378" s="719" t="n"/>
      <c r="AJ1378" s="733" t="n"/>
      <c r="AK1378" s="733" t="n"/>
      <c r="AL1378" s="733" t="n"/>
      <c r="AM1378" s="733" t="n"/>
      <c r="AN1378" s="733" t="n"/>
      <c r="AO1378" s="733" t="n"/>
      <c r="AP1378" s="719" t="inlineStr">
        <is>
          <t>Pullback</t>
        </is>
      </c>
      <c r="AQ1378" s="719" t="inlineStr">
        <is>
          <t>15MIN</t>
        </is>
      </c>
      <c r="AR1378" s="719" t="inlineStr">
        <is>
          <t>No</t>
        </is>
      </c>
      <c r="AS1378" s="733" t="n"/>
      <c r="AT1378" s="733" t="n"/>
      <c r="AU1378" s="733" t="n"/>
      <c r="AV1378" s="733" t="n"/>
      <c r="AW1378" s="719" t="inlineStr">
        <is>
          <t>trade</t>
        </is>
      </c>
      <c r="AX1378" s="734" t="inlineStr">
        <is>
          <t>sig:c13acdf9ff68d9df01e39f8c</t>
        </is>
      </c>
    </row>
    <row r="1379" ht="15" customHeight="1">
      <c r="A1379" s="716" t="inlineStr">
        <is>
          <t>F181</t>
        </is>
      </c>
      <c r="B1379" s="717" t="n">
        <v>43353.77777777778</v>
      </c>
      <c r="C1379" s="718" t="n">
        <v>43353.79027777778</v>
      </c>
      <c r="D1379" s="719" t="inlineStr">
        <is>
          <t>PEPPERSTONE DEMO</t>
        </is>
      </c>
      <c r="E1379" s="719" t="inlineStr">
        <is>
          <t>AUDUSD</t>
        </is>
      </c>
      <c r="F1379" s="719" t="inlineStr">
        <is>
          <t>SELL</t>
        </is>
      </c>
      <c r="G1379" s="720" t="n">
        <v>0.21</v>
      </c>
      <c r="H1379" s="720" t="n">
        <v>0.7116</v>
      </c>
      <c r="I1379" s="720" t="n">
        <v>0.71246</v>
      </c>
      <c r="J1379" s="721" t="n">
        <v>0.7124</v>
      </c>
      <c r="K1379" s="722" t="n">
        <v>0.001124227093872994</v>
      </c>
      <c r="L1379" s="721" t="n">
        <v>0.71</v>
      </c>
      <c r="M1379" s="722" t="n">
        <v>0.002248454187745989</v>
      </c>
      <c r="N1379" s="788" t="n"/>
      <c r="O1379" s="762" t="n">
        <v>-23.58</v>
      </c>
      <c r="P1379" s="725" t="n">
        <v>-0.004833660975464761</v>
      </c>
      <c r="Q1379" s="726" t="n">
        <v>-1.074999999999934</v>
      </c>
      <c r="R1379" s="764" t="n">
        <v>4854.710000000002</v>
      </c>
      <c r="S1379" s="719" t="inlineStr">
        <is>
          <t>18M 0S</t>
        </is>
      </c>
      <c r="T1379" s="728" t="n"/>
      <c r="U1379" s="729" t="n"/>
      <c r="V1379" s="730" t="n"/>
      <c r="W1379" s="731" t="n"/>
      <c r="X1379" s="732" t="n"/>
      <c r="Y1379" s="728" t="n"/>
      <c r="Z1379" s="729" t="n"/>
      <c r="AA1379" s="730" t="n"/>
      <c r="AB1379" s="731" t="n"/>
      <c r="AC1379" s="732" t="n"/>
      <c r="AD1379" s="719" t="inlineStr">
        <is>
          <t>No</t>
        </is>
      </c>
      <c r="AE1379" s="733" t="n"/>
      <c r="AF1379" s="733" t="n"/>
      <c r="AG1379" s="733" t="n"/>
      <c r="AH1379" s="733" t="n"/>
      <c r="AI1379" s="719" t="n"/>
      <c r="AJ1379" s="733" t="n"/>
      <c r="AK1379" s="733" t="n"/>
      <c r="AL1379" s="733" t="n"/>
      <c r="AM1379" s="733" t="n"/>
      <c r="AN1379" s="733" t="n"/>
      <c r="AO1379" s="733" t="n"/>
      <c r="AP1379" s="719" t="inlineStr">
        <is>
          <t>Pullback</t>
        </is>
      </c>
      <c r="AQ1379" s="719" t="inlineStr">
        <is>
          <t>15MIN</t>
        </is>
      </c>
      <c r="AR1379" s="719" t="inlineStr">
        <is>
          <t>No</t>
        </is>
      </c>
      <c r="AS1379" s="733" t="n"/>
      <c r="AT1379" s="733" t="n"/>
      <c r="AU1379" s="733" t="n"/>
      <c r="AV1379" s="733" t="n"/>
      <c r="AW1379" s="719" t="inlineStr">
        <is>
          <t>trade</t>
        </is>
      </c>
      <c r="AX1379" s="734" t="inlineStr">
        <is>
          <t>sig:af9430830eccc2cb86229c21</t>
        </is>
      </c>
    </row>
    <row r="1380" ht="15" customHeight="1">
      <c r="A1380" s="737" t="inlineStr">
        <is>
          <t>F177</t>
        </is>
      </c>
      <c r="B1380" s="738" t="n">
        <v>43351.02083333334</v>
      </c>
      <c r="C1380" s="739" t="n">
        <v>43351.27986111111</v>
      </c>
      <c r="D1380" s="740" t="inlineStr">
        <is>
          <t>PEPPERSTONE DEMO</t>
        </is>
      </c>
      <c r="E1380" s="740" t="inlineStr">
        <is>
          <t>USDCAD</t>
        </is>
      </c>
      <c r="F1380" s="740" t="inlineStr">
        <is>
          <t>BUY</t>
        </is>
      </c>
      <c r="G1380" s="775" t="n">
        <v>0.07000000000000001</v>
      </c>
      <c r="H1380" s="742" t="n">
        <v>1.3149</v>
      </c>
      <c r="I1380" s="742" t="n">
        <v>1.31866</v>
      </c>
      <c r="J1380" s="743" t="n">
        <v>1.3132</v>
      </c>
      <c r="K1380" s="744" t="n">
        <v>0.001292873982812408</v>
      </c>
      <c r="L1380" s="743" t="n">
        <v>1.3182</v>
      </c>
      <c r="M1380" s="744" t="n">
        <v>0.002509696554871154</v>
      </c>
      <c r="N1380" s="796" t="n"/>
      <c r="O1380" s="767" t="n">
        <v>41.88</v>
      </c>
      <c r="P1380" s="747" t="n">
        <v>0.008659315484005696</v>
      </c>
      <c r="Q1380" s="748" t="n">
        <v>2.211764705882299</v>
      </c>
      <c r="R1380" s="769" t="n">
        <v>4878.290000000002</v>
      </c>
      <c r="S1380" s="740" t="inlineStr">
        <is>
          <t>6H 13M 0S</t>
        </is>
      </c>
      <c r="T1380" s="750" t="n"/>
      <c r="U1380" s="751" t="n"/>
      <c r="V1380" s="752" t="n"/>
      <c r="W1380" s="753" t="n"/>
      <c r="X1380" s="754" t="n"/>
      <c r="Y1380" s="750" t="n"/>
      <c r="Z1380" s="751" t="n"/>
      <c r="AA1380" s="752" t="n"/>
      <c r="AB1380" s="753" t="n"/>
      <c r="AC1380" s="754" t="n"/>
      <c r="AD1380" s="740" t="inlineStr">
        <is>
          <t>No</t>
        </is>
      </c>
      <c r="AE1380" s="755" t="n"/>
      <c r="AF1380" s="755" t="n"/>
      <c r="AG1380" s="755" t="n"/>
      <c r="AH1380" s="755" t="n"/>
      <c r="AI1380" s="740" t="n"/>
      <c r="AJ1380" s="755" t="n"/>
      <c r="AK1380" s="755" t="n"/>
      <c r="AL1380" s="755" t="n"/>
      <c r="AM1380" s="755" t="n"/>
      <c r="AN1380" s="755" t="n"/>
      <c r="AO1380" s="755" t="n"/>
      <c r="AP1380" s="740" t="inlineStr">
        <is>
          <t>Pullback</t>
        </is>
      </c>
      <c r="AQ1380" s="740" t="inlineStr">
        <is>
          <t>15MIN</t>
        </is>
      </c>
      <c r="AR1380" s="740" t="inlineStr">
        <is>
          <t>No</t>
        </is>
      </c>
      <c r="AS1380" s="755" t="n"/>
      <c r="AT1380" s="755" t="n"/>
      <c r="AU1380" s="755" t="n"/>
      <c r="AV1380" s="755" t="n"/>
      <c r="AW1380" s="740" t="inlineStr">
        <is>
          <t>trade</t>
        </is>
      </c>
      <c r="AX1380" s="756" t="inlineStr">
        <is>
          <t>sig:05c0e303852c2b9b8da6bbbb</t>
        </is>
      </c>
    </row>
    <row r="1381" ht="15" customHeight="1">
      <c r="A1381" s="716" t="inlineStr">
        <is>
          <t>F176</t>
        </is>
      </c>
      <c r="B1381" s="717" t="n">
        <v>43350.94166666667</v>
      </c>
      <c r="C1381" s="718" t="n">
        <v>43350.94305555556</v>
      </c>
      <c r="D1381" s="719" t="inlineStr">
        <is>
          <t>PEPPERSTONE LIVE</t>
        </is>
      </c>
      <c r="E1381" s="719" t="inlineStr">
        <is>
          <t>USDCAD</t>
        </is>
      </c>
      <c r="F1381" s="719" t="inlineStr">
        <is>
          <t>BUY</t>
        </is>
      </c>
      <c r="G1381" s="720" t="n">
        <v>0.12</v>
      </c>
      <c r="H1381" s="720" t="n">
        <v>1.3174</v>
      </c>
      <c r="I1381" s="720" t="n">
        <v>1.31665</v>
      </c>
      <c r="J1381" s="721" t="n">
        <v>1.3166</v>
      </c>
      <c r="K1381" s="760" t="n">
        <v>0.0006072567177773736</v>
      </c>
      <c r="L1381" s="721" t="n"/>
      <c r="M1381" s="722" t="n"/>
      <c r="N1381" s="788" t="n"/>
      <c r="O1381" s="762" t="n">
        <v>-10.34</v>
      </c>
      <c r="P1381" s="725" t="n">
        <v>-0.002503650147579765</v>
      </c>
      <c r="Q1381" s="726" t="n">
        <v>-0.9374999999998612</v>
      </c>
      <c r="R1381" s="764" t="n">
        <v>4119.629999999999</v>
      </c>
      <c r="S1381" s="719" t="inlineStr">
        <is>
          <t>2M 0S</t>
        </is>
      </c>
      <c r="T1381" s="728" t="n"/>
      <c r="U1381" s="729" t="n"/>
      <c r="V1381" s="730" t="n"/>
      <c r="W1381" s="731" t="n"/>
      <c r="X1381" s="732" t="n"/>
      <c r="Y1381" s="728" t="n"/>
      <c r="Z1381" s="729" t="n"/>
      <c r="AA1381" s="730" t="n"/>
      <c r="AB1381" s="731" t="n"/>
      <c r="AC1381" s="732" t="n"/>
      <c r="AD1381" s="719" t="inlineStr">
        <is>
          <t>No</t>
        </is>
      </c>
      <c r="AE1381" s="733" t="n"/>
      <c r="AF1381" s="733" t="n"/>
      <c r="AG1381" s="733" t="n"/>
      <c r="AH1381" s="733" t="n"/>
      <c r="AI1381" s="733" t="n"/>
      <c r="AJ1381" s="733" t="n"/>
      <c r="AK1381" s="733" t="n"/>
      <c r="AL1381" s="733" t="n"/>
      <c r="AM1381" s="733" t="n"/>
      <c r="AN1381" s="733" t="n"/>
      <c r="AO1381" s="733" t="n"/>
      <c r="AP1381" s="719" t="inlineStr">
        <is>
          <t>Pullback</t>
        </is>
      </c>
      <c r="AQ1381" s="719" t="n"/>
      <c r="AR1381" s="719" t="inlineStr">
        <is>
          <t>No</t>
        </is>
      </c>
      <c r="AS1381" s="733" t="n"/>
      <c r="AT1381" s="733" t="n"/>
      <c r="AU1381" s="733" t="n"/>
      <c r="AV1381" s="733" t="n"/>
      <c r="AW1381" s="719" t="inlineStr">
        <is>
          <t>trade</t>
        </is>
      </c>
      <c r="AX1381" s="734" t="inlineStr">
        <is>
          <t>sig:4551d732ffe23501ec5a83be</t>
        </is>
      </c>
    </row>
    <row r="1382" ht="15" customHeight="1">
      <c r="A1382" s="716" t="inlineStr">
        <is>
          <t>F169</t>
        </is>
      </c>
      <c r="B1382" s="717" t="n">
        <v>43350.93744212963</v>
      </c>
      <c r="C1382" s="718" t="n">
        <v>43350.93748842592</v>
      </c>
      <c r="D1382" s="719" t="inlineStr">
        <is>
          <t>PEPPERSTONE LIVE</t>
        </is>
      </c>
      <c r="E1382" s="719" t="inlineStr">
        <is>
          <t>USDCAD</t>
        </is>
      </c>
      <c r="F1382" s="719" t="inlineStr">
        <is>
          <t>BUY</t>
        </is>
      </c>
      <c r="G1382" s="720" t="n">
        <v>0.16</v>
      </c>
      <c r="H1382" s="720" t="n">
        <v>1.3128</v>
      </c>
      <c r="I1382" s="720" t="n">
        <v>1.31114</v>
      </c>
      <c r="J1382" s="721" t="n">
        <v>1.3113</v>
      </c>
      <c r="K1382" s="722" t="n">
        <v>0.001142595978062201</v>
      </c>
      <c r="L1382" s="721" t="n">
        <v>1.3161</v>
      </c>
      <c r="M1382" s="722" t="n">
        <v>0.002513711151736807</v>
      </c>
      <c r="N1382" s="788" t="n"/>
      <c r="O1382" s="762" t="n">
        <v>-29.47</v>
      </c>
      <c r="P1382" s="725" t="n">
        <v>-0.007085088377281557</v>
      </c>
      <c r="Q1382" s="726" t="n">
        <v>-1.106666666666621</v>
      </c>
      <c r="R1382" s="764" t="n">
        <v>4129.969999999999</v>
      </c>
      <c r="S1382" s="719" t="inlineStr">
        <is>
          <t>4S</t>
        </is>
      </c>
      <c r="T1382" s="728" t="n"/>
      <c r="U1382" s="729" t="n"/>
      <c r="V1382" s="730" t="n"/>
      <c r="W1382" s="731" t="n"/>
      <c r="X1382" s="732" t="n"/>
      <c r="Y1382" s="728" t="n"/>
      <c r="Z1382" s="729" t="n"/>
      <c r="AA1382" s="730" t="n"/>
      <c r="AB1382" s="731" t="n"/>
      <c r="AC1382" s="732" t="n"/>
      <c r="AD1382" s="719" t="inlineStr">
        <is>
          <t>No</t>
        </is>
      </c>
      <c r="AE1382" s="733" t="n"/>
      <c r="AF1382" s="733" t="n"/>
      <c r="AG1382" s="733" t="n"/>
      <c r="AH1382" s="733" t="n"/>
      <c r="AI1382" s="719" t="inlineStr">
        <is>
          <t>Limit</t>
        </is>
      </c>
      <c r="AJ1382" s="733" t="n"/>
      <c r="AK1382" s="733" t="n"/>
      <c r="AL1382" s="733" t="n"/>
      <c r="AM1382" s="733" t="n"/>
      <c r="AN1382" s="733" t="n"/>
      <c r="AO1382" s="733" t="n"/>
      <c r="AP1382" s="719" t="inlineStr">
        <is>
          <t>News Scalp</t>
        </is>
      </c>
      <c r="AQ1382" s="719" t="inlineStr">
        <is>
          <t>1MIN</t>
        </is>
      </c>
      <c r="AR1382" s="719" t="inlineStr">
        <is>
          <t>No</t>
        </is>
      </c>
      <c r="AS1382" s="733" t="n"/>
      <c r="AT1382" s="733" t="n"/>
      <c r="AU1382" s="733" t="n"/>
      <c r="AV1382" s="733" t="n"/>
      <c r="AW1382" s="719" t="inlineStr">
        <is>
          <t>trade</t>
        </is>
      </c>
      <c r="AX1382" s="734" t="inlineStr">
        <is>
          <t>sig:9628b4796e4ba401b80645a0</t>
        </is>
      </c>
    </row>
    <row r="1383" ht="15" customHeight="1">
      <c r="A1383" s="716" t="inlineStr">
        <is>
          <t>F170</t>
        </is>
      </c>
      <c r="B1383" s="717" t="n">
        <v>43350.77393518519</v>
      </c>
      <c r="C1383" s="718" t="n">
        <v>43350.77405092592</v>
      </c>
      <c r="D1383" s="719" t="inlineStr">
        <is>
          <t>PEPPERSTONE DEMO</t>
        </is>
      </c>
      <c r="E1383" s="719" t="inlineStr">
        <is>
          <t>GBPUSD</t>
        </is>
      </c>
      <c r="F1383" s="719" t="inlineStr">
        <is>
          <t>SELL</t>
        </is>
      </c>
      <c r="G1383" s="720" t="n">
        <v>0.87</v>
      </c>
      <c r="H1383" s="720" t="n">
        <v>1.2936</v>
      </c>
      <c r="I1383" s="720" t="n">
        <v>1.2938</v>
      </c>
      <c r="J1383" s="721" t="n">
        <v>1.2938</v>
      </c>
      <c r="K1383" s="760" t="n">
        <v>0.0001546072974644233</v>
      </c>
      <c r="L1383" s="721" t="n">
        <v>1.293</v>
      </c>
      <c r="M1383" s="760" t="n">
        <v>0.0004638218923934415</v>
      </c>
      <c r="N1383" s="788" t="n"/>
      <c r="O1383" s="762" t="n">
        <v>-24.31</v>
      </c>
      <c r="P1383" s="725" t="n">
        <v>-0.005001316677364667</v>
      </c>
      <c r="Q1383" s="726" t="n">
        <v>-1</v>
      </c>
      <c r="R1383" s="764" t="n">
        <v>4836.410000000002</v>
      </c>
      <c r="S1383" s="719" t="inlineStr">
        <is>
          <t>10S</t>
        </is>
      </c>
      <c r="T1383" s="728" t="n"/>
      <c r="U1383" s="729" t="n"/>
      <c r="V1383" s="730" t="n"/>
      <c r="W1383" s="731" t="n"/>
      <c r="X1383" s="732" t="n"/>
      <c r="Y1383" s="728" t="n"/>
      <c r="Z1383" s="729" t="n"/>
      <c r="AA1383" s="730" t="n"/>
      <c r="AB1383" s="731" t="n"/>
      <c r="AC1383" s="732" t="n"/>
      <c r="AD1383" s="719" t="inlineStr">
        <is>
          <t>No</t>
        </is>
      </c>
      <c r="AE1383" s="733" t="n"/>
      <c r="AF1383" s="733" t="n"/>
      <c r="AG1383" s="733" t="n"/>
      <c r="AH1383" s="733" t="n"/>
      <c r="AI1383" s="719" t="inlineStr">
        <is>
          <t>Limit</t>
        </is>
      </c>
      <c r="AJ1383" s="733" t="n"/>
      <c r="AK1383" s="733" t="n"/>
      <c r="AL1383" s="733" t="n"/>
      <c r="AM1383" s="733" t="n"/>
      <c r="AN1383" s="733" t="n"/>
      <c r="AO1383" s="733" t="n"/>
      <c r="AP1383" s="719" t="inlineStr">
        <is>
          <t>Pullback</t>
        </is>
      </c>
      <c r="AQ1383" s="719" t="inlineStr">
        <is>
          <t>15MIN</t>
        </is>
      </c>
      <c r="AR1383" s="719" t="inlineStr">
        <is>
          <t>No</t>
        </is>
      </c>
      <c r="AS1383" s="733" t="n"/>
      <c r="AT1383" s="733" t="n"/>
      <c r="AU1383" s="733" t="n"/>
      <c r="AV1383" s="733" t="n"/>
      <c r="AW1383" s="719" t="inlineStr">
        <is>
          <t>trade</t>
        </is>
      </c>
      <c r="AX1383" s="734" t="inlineStr">
        <is>
          <t>sig:a383dda3a5aff8cceac2bfe8</t>
        </is>
      </c>
    </row>
    <row r="1384" ht="15" customHeight="1">
      <c r="A1384" s="737" t="inlineStr">
        <is>
          <t>F175</t>
        </is>
      </c>
      <c r="B1384" s="738" t="n">
        <v>43350.64305555556</v>
      </c>
      <c r="C1384" s="739" t="n">
        <v>43350.67152777778</v>
      </c>
      <c r="D1384" s="740" t="inlineStr">
        <is>
          <t>PEPPERSTONE DEMO</t>
        </is>
      </c>
      <c r="E1384" s="740" t="inlineStr">
        <is>
          <t>NZDUSD</t>
        </is>
      </c>
      <c r="F1384" s="740" t="inlineStr">
        <is>
          <t>SELL</t>
        </is>
      </c>
      <c r="G1384" s="742" t="n">
        <v>0.22</v>
      </c>
      <c r="H1384" s="742" t="n">
        <v>0.6577</v>
      </c>
      <c r="I1384" s="742" t="n">
        <v>0.6567499999999999</v>
      </c>
      <c r="J1384" s="743" t="n">
        <v>0.6581</v>
      </c>
      <c r="K1384" s="765" t="n">
        <v>0.0006081800212864026</v>
      </c>
      <c r="L1384" s="743" t="n">
        <v>0.6567</v>
      </c>
      <c r="M1384" s="744" t="n">
        <v>0.001520450053215753</v>
      </c>
      <c r="N1384" s="796" t="n"/>
      <c r="O1384" s="767" t="n">
        <v>29.67</v>
      </c>
      <c r="P1384" s="747" t="n">
        <v>0.006141522029372495</v>
      </c>
      <c r="Q1384" s="748" t="n">
        <v>2.374999999999619</v>
      </c>
      <c r="R1384" s="769" t="n">
        <v>4860.720000000002</v>
      </c>
      <c r="S1384" s="740" t="inlineStr">
        <is>
          <t>41M 0S</t>
        </is>
      </c>
      <c r="T1384" s="750" t="n"/>
      <c r="U1384" s="751" t="n"/>
      <c r="V1384" s="752" t="n"/>
      <c r="W1384" s="753" t="n"/>
      <c r="X1384" s="754" t="n"/>
      <c r="Y1384" s="750" t="n"/>
      <c r="Z1384" s="751" t="n"/>
      <c r="AA1384" s="752" t="n"/>
      <c r="AB1384" s="753" t="n"/>
      <c r="AC1384" s="754" t="n"/>
      <c r="AD1384" s="740" t="inlineStr">
        <is>
          <t>No</t>
        </is>
      </c>
      <c r="AE1384" s="755" t="n"/>
      <c r="AF1384" s="755" t="n"/>
      <c r="AG1384" s="755" t="n"/>
      <c r="AH1384" s="755" t="n"/>
      <c r="AI1384" s="740" t="n"/>
      <c r="AJ1384" s="755" t="n"/>
      <c r="AK1384" s="755" t="n"/>
      <c r="AL1384" s="755" t="n"/>
      <c r="AM1384" s="755" t="n"/>
      <c r="AN1384" s="755" t="n"/>
      <c r="AO1384" s="755" t="n"/>
      <c r="AP1384" s="740" t="inlineStr">
        <is>
          <t>Pullback</t>
        </is>
      </c>
      <c r="AQ1384" s="740" t="inlineStr">
        <is>
          <t>15MIN</t>
        </is>
      </c>
      <c r="AR1384" s="740" t="inlineStr">
        <is>
          <t>No</t>
        </is>
      </c>
      <c r="AS1384" s="755" t="n"/>
      <c r="AT1384" s="755" t="n"/>
      <c r="AU1384" s="755" t="n"/>
      <c r="AV1384" s="755" t="n"/>
      <c r="AW1384" s="740" t="inlineStr">
        <is>
          <t>trade</t>
        </is>
      </c>
      <c r="AX1384" s="756" t="inlineStr">
        <is>
          <t>sig:24d70b3472e6d28d336d488f</t>
        </is>
      </c>
    </row>
    <row r="1385" ht="15" customHeight="1">
      <c r="A1385" s="716" t="inlineStr">
        <is>
          <t>F171</t>
        </is>
      </c>
      <c r="B1385" s="717" t="n">
        <v>43350.00414351852</v>
      </c>
      <c r="C1385" s="718" t="n">
        <v>43350.0041550926</v>
      </c>
      <c r="D1385" s="719" t="inlineStr">
        <is>
          <t>PEPPERSTONE DEMO</t>
        </is>
      </c>
      <c r="E1385" s="719" t="inlineStr">
        <is>
          <t>USDCAD</t>
        </is>
      </c>
      <c r="F1385" s="719" t="inlineStr">
        <is>
          <t>BUY</t>
        </is>
      </c>
      <c r="G1385" s="720" t="n">
        <v>2.3</v>
      </c>
      <c r="H1385" s="720" t="n">
        <v>1.319</v>
      </c>
      <c r="I1385" s="720" t="n">
        <v>1.31898</v>
      </c>
      <c r="J1385" s="721" t="n">
        <v>1.3189</v>
      </c>
      <c r="K1385" s="799" t="n">
        <v>7.581501137224336e-05</v>
      </c>
      <c r="L1385" s="721" t="n">
        <v>1.3194</v>
      </c>
      <c r="M1385" s="760" t="n">
        <v>0.0003032600454889734</v>
      </c>
      <c r="N1385" s="788" t="n"/>
      <c r="O1385" s="762" t="n">
        <v>-24.23</v>
      </c>
      <c r="P1385" s="725" t="n">
        <v>-0.004990443393583891</v>
      </c>
      <c r="Q1385" s="726" t="n">
        <v>-0.1999999999991118</v>
      </c>
      <c r="R1385" s="764" t="n">
        <v>4831.050000000002</v>
      </c>
      <c r="S1385" s="719" t="inlineStr">
        <is>
          <t>1S</t>
        </is>
      </c>
      <c r="T1385" s="728" t="n"/>
      <c r="U1385" s="729" t="n"/>
      <c r="V1385" s="730" t="n"/>
      <c r="W1385" s="731" t="n"/>
      <c r="X1385" s="732" t="n"/>
      <c r="Y1385" s="728" t="n"/>
      <c r="Z1385" s="729" t="n"/>
      <c r="AA1385" s="730" t="n"/>
      <c r="AB1385" s="731" t="n"/>
      <c r="AC1385" s="732" t="n"/>
      <c r="AD1385" s="719" t="inlineStr">
        <is>
          <t>No</t>
        </is>
      </c>
      <c r="AE1385" s="733" t="n"/>
      <c r="AF1385" s="733" t="n"/>
      <c r="AG1385" s="733" t="n"/>
      <c r="AH1385" s="733" t="n"/>
      <c r="AI1385" s="719" t="inlineStr">
        <is>
          <t>Limit</t>
        </is>
      </c>
      <c r="AJ1385" s="733" t="n"/>
      <c r="AK1385" s="733" t="n"/>
      <c r="AL1385" s="733" t="n"/>
      <c r="AM1385" s="733" t="n"/>
      <c r="AN1385" s="733" t="n"/>
      <c r="AO1385" s="733" t="n"/>
      <c r="AP1385" s="719" t="inlineStr">
        <is>
          <t>Pullback</t>
        </is>
      </c>
      <c r="AQ1385" s="719" t="inlineStr">
        <is>
          <t>1MIN</t>
        </is>
      </c>
      <c r="AR1385" s="719" t="inlineStr">
        <is>
          <t>No</t>
        </is>
      </c>
      <c r="AS1385" s="733" t="n"/>
      <c r="AT1385" s="733" t="n"/>
      <c r="AU1385" s="733" t="n"/>
      <c r="AV1385" s="733" t="n"/>
      <c r="AW1385" s="719" t="inlineStr">
        <is>
          <t>trade</t>
        </is>
      </c>
      <c r="AX1385" s="734" t="inlineStr">
        <is>
          <t>sig:bcb40595af1b4c682914d8ef</t>
        </is>
      </c>
    </row>
    <row r="1386" ht="15" customHeight="1">
      <c r="A1386" s="716" t="inlineStr">
        <is>
          <t>F167</t>
        </is>
      </c>
      <c r="B1386" s="717" t="n">
        <v>43349.69027777778</v>
      </c>
      <c r="C1386" s="718" t="n">
        <v>43349.70694444444</v>
      </c>
      <c r="D1386" s="719" t="inlineStr">
        <is>
          <t>PEPPERSTONE DEMO</t>
        </is>
      </c>
      <c r="E1386" s="719" t="inlineStr">
        <is>
          <t>EURUSD</t>
        </is>
      </c>
      <c r="F1386" s="719" t="inlineStr">
        <is>
          <t>BUY</t>
        </is>
      </c>
      <c r="G1386" s="720" t="n">
        <v>0.17</v>
      </c>
      <c r="H1386" s="720" t="n">
        <v>1.1628</v>
      </c>
      <c r="I1386" s="720" t="n">
        <v>1.16184</v>
      </c>
      <c r="J1386" s="721" t="n">
        <v>1.1618</v>
      </c>
      <c r="K1386" s="760" t="n">
        <v>0.0008599931200551357</v>
      </c>
      <c r="L1386" s="721" t="n">
        <v>1.1648</v>
      </c>
      <c r="M1386" s="722" t="n">
        <v>0.001719986240110081</v>
      </c>
      <c r="N1386" s="788" t="n"/>
      <c r="O1386" s="762" t="n">
        <v>-23.71</v>
      </c>
      <c r="P1386" s="725" t="n">
        <v>-0.004859612337799421</v>
      </c>
      <c r="Q1386" s="726" t="n">
        <v>-0.9599999999999644</v>
      </c>
      <c r="R1386" s="764" t="n">
        <v>4855.280000000002</v>
      </c>
      <c r="S1386" s="719" t="inlineStr">
        <is>
          <t>24M 0S</t>
        </is>
      </c>
      <c r="T1386" s="728" t="n"/>
      <c r="U1386" s="729" t="n"/>
      <c r="V1386" s="730" t="n"/>
      <c r="W1386" s="731" t="n"/>
      <c r="X1386" s="732" t="n"/>
      <c r="Y1386" s="728" t="n"/>
      <c r="Z1386" s="729" t="n"/>
      <c r="AA1386" s="730" t="n"/>
      <c r="AB1386" s="731" t="n"/>
      <c r="AC1386" s="732" t="n"/>
      <c r="AD1386" s="719" t="inlineStr">
        <is>
          <t>No</t>
        </is>
      </c>
      <c r="AE1386" s="733" t="n"/>
      <c r="AF1386" s="733" t="n"/>
      <c r="AG1386" s="733" t="n"/>
      <c r="AH1386" s="733" t="n"/>
      <c r="AI1386" s="719" t="inlineStr">
        <is>
          <t>Limit</t>
        </is>
      </c>
      <c r="AJ1386" s="733" t="n"/>
      <c r="AK1386" s="733" t="n"/>
      <c r="AL1386" s="733" t="n"/>
      <c r="AM1386" s="733" t="n"/>
      <c r="AN1386" s="733" t="n"/>
      <c r="AO1386" s="733" t="n"/>
      <c r="AP1386" s="719" t="inlineStr">
        <is>
          <t>Pullback</t>
        </is>
      </c>
      <c r="AQ1386" s="719" t="inlineStr">
        <is>
          <t>15MIN</t>
        </is>
      </c>
      <c r="AR1386" s="719" t="inlineStr">
        <is>
          <t>No</t>
        </is>
      </c>
      <c r="AS1386" s="733" t="n"/>
      <c r="AT1386" s="733" t="n"/>
      <c r="AU1386" s="733" t="n"/>
      <c r="AV1386" s="733" t="n"/>
      <c r="AW1386" s="719" t="inlineStr">
        <is>
          <t>trade</t>
        </is>
      </c>
      <c r="AX1386" s="734" t="inlineStr">
        <is>
          <t>sig:ebf77f4baee66f4fd52c4d7c</t>
        </is>
      </c>
    </row>
    <row r="1387" ht="15" customHeight="1">
      <c r="A1387" s="716" t="inlineStr">
        <is>
          <t>F168</t>
        </is>
      </c>
      <c r="B1387" s="717" t="n">
        <v>43349.63888888889</v>
      </c>
      <c r="C1387" s="718" t="n">
        <v>43349.64652777778</v>
      </c>
      <c r="D1387" s="719" t="inlineStr">
        <is>
          <t>PEPPERSTONE DEMO</t>
        </is>
      </c>
      <c r="E1387" s="719" t="inlineStr">
        <is>
          <t>USDJPY</t>
        </is>
      </c>
      <c r="F1387" s="719" t="inlineStr">
        <is>
          <t>SELL</t>
        </is>
      </c>
      <c r="G1387" s="720" t="n">
        <v>0.39</v>
      </c>
      <c r="H1387" s="720" t="n">
        <v>111.34</v>
      </c>
      <c r="I1387" s="720" t="n">
        <v>111.396</v>
      </c>
      <c r="J1387" s="721" t="n">
        <v>111.39</v>
      </c>
      <c r="K1387" s="760" t="n">
        <v>0.0004490749056942443</v>
      </c>
      <c r="L1387" s="721" t="n">
        <v>111.18</v>
      </c>
      <c r="M1387" s="722" t="n">
        <v>0.001437039698221633</v>
      </c>
      <c r="N1387" s="788" t="n"/>
      <c r="O1387" s="762" t="n">
        <v>-24.41</v>
      </c>
      <c r="P1387" s="725" t="n">
        <v>-0.004978178406819756</v>
      </c>
      <c r="Q1387" s="726" t="n">
        <v>-1.120000000000011</v>
      </c>
      <c r="R1387" s="764" t="n">
        <v>4878.990000000002</v>
      </c>
      <c r="S1387" s="719" t="inlineStr">
        <is>
          <t>11M 0S</t>
        </is>
      </c>
      <c r="T1387" s="728" t="n"/>
      <c r="U1387" s="729" t="n"/>
      <c r="V1387" s="730" t="n"/>
      <c r="W1387" s="731" t="n"/>
      <c r="X1387" s="732" t="n"/>
      <c r="Y1387" s="728" t="n"/>
      <c r="Z1387" s="729" t="n"/>
      <c r="AA1387" s="730" t="n"/>
      <c r="AB1387" s="731" t="n"/>
      <c r="AC1387" s="732" t="n"/>
      <c r="AD1387" s="719" t="inlineStr">
        <is>
          <t>No</t>
        </is>
      </c>
      <c r="AE1387" s="733" t="n"/>
      <c r="AF1387" s="733" t="n"/>
      <c r="AG1387" s="733" t="n"/>
      <c r="AH1387" s="733" t="n"/>
      <c r="AI1387" s="719" t="inlineStr">
        <is>
          <t>Limit</t>
        </is>
      </c>
      <c r="AJ1387" s="733" t="n"/>
      <c r="AK1387" s="733" t="n"/>
      <c r="AL1387" s="733" t="n"/>
      <c r="AM1387" s="733" t="n"/>
      <c r="AN1387" s="733" t="n"/>
      <c r="AO1387" s="733" t="n"/>
      <c r="AP1387" s="719" t="inlineStr">
        <is>
          <t>Pullback</t>
        </is>
      </c>
      <c r="AQ1387" s="719" t="inlineStr">
        <is>
          <t>15MIN</t>
        </is>
      </c>
      <c r="AR1387" s="719" t="inlineStr">
        <is>
          <t>No</t>
        </is>
      </c>
      <c r="AS1387" s="733" t="n"/>
      <c r="AT1387" s="733" t="n"/>
      <c r="AU1387" s="733" t="n"/>
      <c r="AV1387" s="733" t="n"/>
      <c r="AW1387" s="719" t="inlineStr">
        <is>
          <t>trade</t>
        </is>
      </c>
      <c r="AX1387" s="734" t="inlineStr">
        <is>
          <t>sig:068344858c04cc167a7a234d</t>
        </is>
      </c>
    </row>
    <row r="1388" ht="15" customHeight="1">
      <c r="A1388" s="716" t="inlineStr">
        <is>
          <t>F166</t>
        </is>
      </c>
      <c r="B1388" s="717" t="n">
        <v>43349.00001157408</v>
      </c>
      <c r="C1388" s="718" t="n">
        <v>43349.00002314815</v>
      </c>
      <c r="D1388" s="719" t="inlineStr">
        <is>
          <t>PEPPERSTONE LIVE</t>
        </is>
      </c>
      <c r="E1388" s="719" t="inlineStr">
        <is>
          <t>USDCAD</t>
        </is>
      </c>
      <c r="F1388" s="719" t="inlineStr">
        <is>
          <t>BUY</t>
        </is>
      </c>
      <c r="G1388" s="720" t="n">
        <v>0.4</v>
      </c>
      <c r="H1388" s="720" t="n">
        <v>1.3181</v>
      </c>
      <c r="I1388" s="720" t="n">
        <v>1.31615</v>
      </c>
      <c r="J1388" s="721" t="n">
        <v>1.3174</v>
      </c>
      <c r="K1388" s="760" t="n">
        <v>0.0005310674455656967</v>
      </c>
      <c r="L1388" s="721" t="n">
        <v>1.3229</v>
      </c>
      <c r="M1388" s="722" t="n">
        <v>0.003641605341021102</v>
      </c>
      <c r="N1388" s="788" t="n"/>
      <c r="O1388" s="762" t="n">
        <v>-85.42</v>
      </c>
      <c r="P1388" s="725" t="n">
        <v>-0.02012316071672564</v>
      </c>
      <c r="Q1388" s="726" t="n">
        <v>-2.785714285713878</v>
      </c>
      <c r="R1388" s="764" t="n">
        <v>4159.44</v>
      </c>
      <c r="S1388" s="719" t="inlineStr">
        <is>
          <t>1S</t>
        </is>
      </c>
      <c r="T1388" s="728" t="n"/>
      <c r="U1388" s="729" t="n"/>
      <c r="V1388" s="730" t="n"/>
      <c r="W1388" s="731" t="n"/>
      <c r="X1388" s="732" t="n"/>
      <c r="Y1388" s="728" t="n"/>
      <c r="Z1388" s="729" t="n"/>
      <c r="AA1388" s="730" t="n"/>
      <c r="AB1388" s="731" t="n"/>
      <c r="AC1388" s="732" t="n"/>
      <c r="AD1388" s="719" t="inlineStr">
        <is>
          <t>No</t>
        </is>
      </c>
      <c r="AE1388" s="733" t="n"/>
      <c r="AF1388" s="733" t="n"/>
      <c r="AG1388" s="733" t="n"/>
      <c r="AH1388" s="733" t="n"/>
      <c r="AI1388" s="719" t="inlineStr">
        <is>
          <t>Limit</t>
        </is>
      </c>
      <c r="AJ1388" s="733" t="n"/>
      <c r="AK1388" s="733" t="n"/>
      <c r="AL1388" s="733" t="n"/>
      <c r="AM1388" s="733" t="n"/>
      <c r="AN1388" s="733" t="n"/>
      <c r="AO1388" s="733" t="n"/>
      <c r="AP1388" s="719" t="inlineStr">
        <is>
          <t>News Scalp</t>
        </is>
      </c>
      <c r="AQ1388" s="719" t="inlineStr">
        <is>
          <t>1MIN</t>
        </is>
      </c>
      <c r="AR1388" s="719" t="inlineStr">
        <is>
          <t>No</t>
        </is>
      </c>
      <c r="AS1388" s="733" t="n"/>
      <c r="AT1388" s="733" t="n"/>
      <c r="AU1388" s="733" t="n"/>
      <c r="AV1388" s="733" t="n"/>
      <c r="AW1388" s="719" t="inlineStr">
        <is>
          <t>trade</t>
        </is>
      </c>
      <c r="AX1388" s="734" t="inlineStr">
        <is>
          <t>sig:ce4f0c3f9548457940e72696</t>
        </is>
      </c>
    </row>
    <row r="1389" ht="15" customHeight="1">
      <c r="A1389" s="716" t="inlineStr">
        <is>
          <t>F165</t>
        </is>
      </c>
      <c r="B1389" s="717" t="n">
        <v>43348.94792824074</v>
      </c>
      <c r="C1389" s="718" t="n">
        <v>43348.94818287037</v>
      </c>
      <c r="D1389" s="719" t="inlineStr">
        <is>
          <t>PEPPERSTONE LIVE</t>
        </is>
      </c>
      <c r="E1389" s="719" t="inlineStr">
        <is>
          <t>USDCAD</t>
        </is>
      </c>
      <c r="F1389" s="719" t="inlineStr">
        <is>
          <t>BUY</t>
        </is>
      </c>
      <c r="G1389" s="720" t="n">
        <v>0.67</v>
      </c>
      <c r="H1389" s="720" t="n">
        <v>1.3182</v>
      </c>
      <c r="I1389" s="720" t="n">
        <v>1.31794</v>
      </c>
      <c r="J1389" s="721" t="n">
        <v>1.3179</v>
      </c>
      <c r="K1389" s="760" t="n">
        <v>0.0002275830678197291</v>
      </c>
      <c r="L1389" s="721" t="n">
        <v>1.3222</v>
      </c>
      <c r="M1389" s="722" t="n">
        <v>0.003034440904263392</v>
      </c>
      <c r="N1389" s="788" t="n"/>
      <c r="O1389" s="762" t="n">
        <v>-21.25</v>
      </c>
      <c r="P1389" s="725" t="n">
        <v>-0.0049811186303213</v>
      </c>
      <c r="Q1389" s="726" t="n">
        <v>-0.8666666666672588</v>
      </c>
      <c r="R1389" s="764" t="n">
        <v>4244.86</v>
      </c>
      <c r="S1389" s="719" t="inlineStr">
        <is>
          <t>22S</t>
        </is>
      </c>
      <c r="T1389" s="728" t="n"/>
      <c r="U1389" s="729" t="n"/>
      <c r="V1389" s="730" t="n"/>
      <c r="W1389" s="731" t="n"/>
      <c r="X1389" s="732" t="n"/>
      <c r="Y1389" s="728" t="n"/>
      <c r="Z1389" s="729" t="n"/>
      <c r="AA1389" s="730" t="n"/>
      <c r="AB1389" s="731" t="n"/>
      <c r="AC1389" s="732" t="n"/>
      <c r="AD1389" s="719" t="inlineStr">
        <is>
          <t>No</t>
        </is>
      </c>
      <c r="AE1389" s="733" t="n"/>
      <c r="AF1389" s="733" t="n"/>
      <c r="AG1389" s="733" t="n"/>
      <c r="AH1389" s="733" t="n"/>
      <c r="AI1389" s="733" t="n"/>
      <c r="AJ1389" s="733" t="n"/>
      <c r="AK1389" s="733" t="n"/>
      <c r="AL1389" s="733" t="n"/>
      <c r="AM1389" s="733" t="n"/>
      <c r="AN1389" s="733" t="n"/>
      <c r="AO1389" s="733" t="n"/>
      <c r="AP1389" s="719" t="inlineStr">
        <is>
          <t>Pullback</t>
        </is>
      </c>
      <c r="AQ1389" s="719" t="inlineStr">
        <is>
          <t>1MIN</t>
        </is>
      </c>
      <c r="AR1389" s="719" t="inlineStr">
        <is>
          <t>No</t>
        </is>
      </c>
      <c r="AS1389" s="733" t="n"/>
      <c r="AT1389" s="733" t="n"/>
      <c r="AU1389" s="733" t="n"/>
      <c r="AV1389" s="733" t="n"/>
      <c r="AW1389" s="719" t="inlineStr">
        <is>
          <t>trade</t>
        </is>
      </c>
      <c r="AX1389" s="734" t="inlineStr">
        <is>
          <t>sig:c46176d03c0e7b7a4dc5111f</t>
        </is>
      </c>
    </row>
    <row r="1390" ht="15" customHeight="1">
      <c r="A1390" s="716" t="inlineStr">
        <is>
          <t>F156</t>
        </is>
      </c>
      <c r="B1390" s="717" t="n">
        <v>43348.9375</v>
      </c>
      <c r="C1390" s="718" t="n">
        <v>43348.93819444445</v>
      </c>
      <c r="D1390" s="719" t="inlineStr">
        <is>
          <t>PEPPERSTONE LIVE</t>
        </is>
      </c>
      <c r="E1390" s="719" t="inlineStr">
        <is>
          <t>USDCAD</t>
        </is>
      </c>
      <c r="F1390" s="719" t="inlineStr">
        <is>
          <t>SELL</t>
        </is>
      </c>
      <c r="G1390" s="720" t="n">
        <v>1.65</v>
      </c>
      <c r="H1390" s="720" t="n">
        <v>1.3177</v>
      </c>
      <c r="I1390" s="720" t="n">
        <v>1.31832</v>
      </c>
      <c r="J1390" s="721" t="n">
        <v>1.3183</v>
      </c>
      <c r="K1390" s="760" t="n">
        <v>0.0004553388479926644</v>
      </c>
      <c r="L1390" s="721" t="n">
        <v>1.3138</v>
      </c>
      <c r="M1390" s="722" t="n">
        <v>0.002959702511952655</v>
      </c>
      <c r="N1390" s="788" t="n"/>
      <c r="O1390" s="762" t="n">
        <v>-95.95999999999999</v>
      </c>
      <c r="P1390" s="725" t="n">
        <v>-0.0219987299607755</v>
      </c>
      <c r="Q1390" s="726" t="n">
        <v>-1.033333333333185</v>
      </c>
      <c r="R1390" s="764" t="n">
        <v>4266.11</v>
      </c>
      <c r="S1390" s="719" t="inlineStr">
        <is>
          <t>1M 0S</t>
        </is>
      </c>
      <c r="T1390" s="728" t="n"/>
      <c r="U1390" s="729" t="n"/>
      <c r="V1390" s="730" t="n"/>
      <c r="W1390" s="731" t="n"/>
      <c r="X1390" s="732" t="n"/>
      <c r="Y1390" s="728" t="n"/>
      <c r="Z1390" s="729" t="n"/>
      <c r="AA1390" s="730" t="n"/>
      <c r="AB1390" s="731" t="n"/>
      <c r="AC1390" s="732" t="n"/>
      <c r="AD1390" s="719" t="inlineStr">
        <is>
          <t>No</t>
        </is>
      </c>
      <c r="AE1390" s="733" t="n"/>
      <c r="AF1390" s="733" t="n"/>
      <c r="AG1390" s="733" t="n"/>
      <c r="AH1390" s="733" t="n"/>
      <c r="AI1390" s="719" t="inlineStr">
        <is>
          <t>Limit</t>
        </is>
      </c>
      <c r="AJ1390" s="733" t="n"/>
      <c r="AK1390" s="733" t="n"/>
      <c r="AL1390" s="733" t="n"/>
      <c r="AM1390" s="733" t="n"/>
      <c r="AN1390" s="733" t="n"/>
      <c r="AO1390" s="733" t="n"/>
      <c r="AP1390" s="719" t="inlineStr">
        <is>
          <t>News Scalp</t>
        </is>
      </c>
      <c r="AQ1390" s="719" t="inlineStr">
        <is>
          <t>1MIN</t>
        </is>
      </c>
      <c r="AR1390" s="719" t="inlineStr">
        <is>
          <t>No</t>
        </is>
      </c>
      <c r="AS1390" s="733" t="n"/>
      <c r="AT1390" s="733" t="n"/>
      <c r="AU1390" s="733" t="n"/>
      <c r="AV1390" s="733" t="n"/>
      <c r="AW1390" s="719" t="inlineStr">
        <is>
          <t>trade</t>
        </is>
      </c>
      <c r="AX1390" s="734" t="inlineStr">
        <is>
          <t>sig:4c9f064fa9b193adc232dfae</t>
        </is>
      </c>
    </row>
    <row r="1391" ht="15" customHeight="1">
      <c r="A1391" s="716" t="inlineStr">
        <is>
          <t>F161</t>
        </is>
      </c>
      <c r="B1391" s="717" t="n">
        <v>43348.77083333334</v>
      </c>
      <c r="C1391" s="718" t="n">
        <v>43348.79027777778</v>
      </c>
      <c r="D1391" s="719" t="inlineStr">
        <is>
          <t>PEPPERSTONE LIVE</t>
        </is>
      </c>
      <c r="E1391" s="719" t="inlineStr">
        <is>
          <t>GBPUSD</t>
        </is>
      </c>
      <c r="F1391" s="719" t="inlineStr">
        <is>
          <t>BUY</t>
        </is>
      </c>
      <c r="G1391" s="720" t="n">
        <v>0.52</v>
      </c>
      <c r="H1391" s="720" t="n">
        <v>1.2819</v>
      </c>
      <c r="I1391" s="720" t="n">
        <v>1.28182</v>
      </c>
      <c r="J1391" s="721" t="n">
        <v>1.2809</v>
      </c>
      <c r="K1391" s="760" t="n">
        <v>0.000780092050862089</v>
      </c>
      <c r="L1391" s="721" t="n">
        <v>1.285</v>
      </c>
      <c r="M1391" s="722" t="n">
        <v>0.002418285357672112</v>
      </c>
      <c r="N1391" s="788" t="n"/>
      <c r="O1391" s="762" t="n">
        <v>-21.4</v>
      </c>
      <c r="P1391" s="725" t="n">
        <v>-0.004881977063832991</v>
      </c>
      <c r="Q1391" s="781" t="n">
        <v>-0.08000000000007106</v>
      </c>
      <c r="R1391" s="764" t="n">
        <v>4362.07</v>
      </c>
      <c r="S1391" s="719" t="inlineStr">
        <is>
          <t>28M 0S</t>
        </is>
      </c>
      <c r="T1391" s="728" t="n"/>
      <c r="U1391" s="729" t="n"/>
      <c r="V1391" s="730" t="n"/>
      <c r="W1391" s="731" t="n"/>
      <c r="X1391" s="732" t="n"/>
      <c r="Y1391" s="728" t="n"/>
      <c r="Z1391" s="729" t="n"/>
      <c r="AA1391" s="730" t="n"/>
      <c r="AB1391" s="731" t="n"/>
      <c r="AC1391" s="732" t="n"/>
      <c r="AD1391" s="719" t="inlineStr">
        <is>
          <t>No</t>
        </is>
      </c>
      <c r="AE1391" s="733" t="n"/>
      <c r="AF1391" s="733" t="n"/>
      <c r="AG1391" s="733" t="n"/>
      <c r="AH1391" s="733" t="n"/>
      <c r="AI1391" s="719" t="inlineStr">
        <is>
          <t>Limit</t>
        </is>
      </c>
      <c r="AJ1391" s="733" t="n"/>
      <c r="AK1391" s="733" t="n"/>
      <c r="AL1391" s="733" t="n"/>
      <c r="AM1391" s="733" t="n"/>
      <c r="AN1391" s="733" t="n"/>
      <c r="AO1391" s="733" t="n"/>
      <c r="AP1391" s="719" t="inlineStr">
        <is>
          <t>Pullback</t>
        </is>
      </c>
      <c r="AQ1391" s="719" t="inlineStr">
        <is>
          <t>1MIN</t>
        </is>
      </c>
      <c r="AR1391" s="719" t="inlineStr">
        <is>
          <t>No</t>
        </is>
      </c>
      <c r="AS1391" s="733" t="n"/>
      <c r="AT1391" s="733" t="n"/>
      <c r="AU1391" s="733" t="n"/>
      <c r="AV1391" s="733" t="n"/>
      <c r="AW1391" s="719" t="inlineStr">
        <is>
          <t>trade</t>
        </is>
      </c>
      <c r="AX1391" s="734" t="inlineStr">
        <is>
          <t>sig:c2a7d7f01f686784d537f656</t>
        </is>
      </c>
    </row>
    <row r="1392" ht="15" customHeight="1">
      <c r="A1392" s="716" t="inlineStr">
        <is>
          <t>F160</t>
        </is>
      </c>
      <c r="B1392" s="717" t="n">
        <v>43348.67291666667</v>
      </c>
      <c r="C1392" s="718" t="n">
        <v>43348.69652777778</v>
      </c>
      <c r="D1392" s="719" t="inlineStr">
        <is>
          <t>PEPPERSTONE DEMO</t>
        </is>
      </c>
      <c r="E1392" s="719" t="inlineStr">
        <is>
          <t>NZDUSD</t>
        </is>
      </c>
      <c r="F1392" s="719" t="inlineStr">
        <is>
          <t>SELL</t>
        </is>
      </c>
      <c r="G1392" s="720" t="n">
        <v>0.35</v>
      </c>
      <c r="H1392" s="720" t="n">
        <v>0.6546</v>
      </c>
      <c r="I1392" s="720" t="n">
        <v>0.6551399999999999</v>
      </c>
      <c r="J1392" s="721" t="n">
        <v>0.6551</v>
      </c>
      <c r="K1392" s="760" t="n">
        <v>0.0007638252367859089</v>
      </c>
      <c r="L1392" s="721" t="n">
        <v>0.6536</v>
      </c>
      <c r="M1392" s="722" t="n">
        <v>0.001527650473571648</v>
      </c>
      <c r="N1392" s="788" t="n"/>
      <c r="O1392" s="762" t="n">
        <v>-23.88</v>
      </c>
      <c r="P1392" s="725" t="n">
        <v>-0.004846487311457842</v>
      </c>
      <c r="Q1392" s="726" t="n">
        <v>-1.079999999999849</v>
      </c>
      <c r="R1392" s="764" t="n">
        <v>4903.400000000001</v>
      </c>
      <c r="S1392" s="719" t="inlineStr">
        <is>
          <t>34M 0S</t>
        </is>
      </c>
      <c r="T1392" s="728" t="n"/>
      <c r="U1392" s="729" t="n"/>
      <c r="V1392" s="730" t="n"/>
      <c r="W1392" s="731" t="n"/>
      <c r="X1392" s="732" t="n"/>
      <c r="Y1392" s="728" t="n"/>
      <c r="Z1392" s="729" t="n"/>
      <c r="AA1392" s="730" t="n"/>
      <c r="AB1392" s="731" t="n"/>
      <c r="AC1392" s="732" t="n"/>
      <c r="AD1392" s="719" t="inlineStr">
        <is>
          <t>No</t>
        </is>
      </c>
      <c r="AE1392" s="733" t="n"/>
      <c r="AF1392" s="733" t="n"/>
      <c r="AG1392" s="733" t="n"/>
      <c r="AH1392" s="733" t="n"/>
      <c r="AI1392" s="719" t="inlineStr">
        <is>
          <t>Limit</t>
        </is>
      </c>
      <c r="AJ1392" s="733" t="n"/>
      <c r="AK1392" s="733" t="n"/>
      <c r="AL1392" s="733" t="n"/>
      <c r="AM1392" s="733" t="n"/>
      <c r="AN1392" s="733" t="n"/>
      <c r="AO1392" s="733" t="n"/>
      <c r="AP1392" s="719" t="inlineStr">
        <is>
          <t>Pullback</t>
        </is>
      </c>
      <c r="AQ1392" s="719" t="inlineStr">
        <is>
          <t>15MIN</t>
        </is>
      </c>
      <c r="AR1392" s="719" t="inlineStr">
        <is>
          <t>No</t>
        </is>
      </c>
      <c r="AS1392" s="733" t="n"/>
      <c r="AT1392" s="733" t="n"/>
      <c r="AU1392" s="733" t="n"/>
      <c r="AV1392" s="733" t="n"/>
      <c r="AW1392" s="719" t="inlineStr">
        <is>
          <t>trade</t>
        </is>
      </c>
      <c r="AX1392" s="734" t="inlineStr">
        <is>
          <t>sig:dec2970bc9888f9c8e8fe555</t>
        </is>
      </c>
    </row>
    <row r="1393" ht="15" customHeight="1">
      <c r="A1393" s="716" t="inlineStr">
        <is>
          <t>F159</t>
        </is>
      </c>
      <c r="B1393" s="717" t="n">
        <v>43348.57638888889</v>
      </c>
      <c r="C1393" s="718" t="n">
        <v>43348.59027777778</v>
      </c>
      <c r="D1393" s="719" t="inlineStr">
        <is>
          <t>PEPPERSTONE DEMO</t>
        </is>
      </c>
      <c r="E1393" s="719" t="inlineStr">
        <is>
          <t>EURUSD</t>
        </is>
      </c>
      <c r="F1393" s="719" t="inlineStr">
        <is>
          <t>BUY</t>
        </is>
      </c>
      <c r="G1393" s="720" t="n">
        <v>0.59</v>
      </c>
      <c r="H1393" s="720" t="n">
        <v>1.1597</v>
      </c>
      <c r="I1393" s="720" t="n">
        <v>1.15941</v>
      </c>
      <c r="J1393" s="721" t="n">
        <v>1.1594</v>
      </c>
      <c r="K1393" s="760" t="n">
        <v>0.0002586875916184936</v>
      </c>
      <c r="L1393" s="721" t="n">
        <v>1.1604</v>
      </c>
      <c r="M1393" s="760" t="n">
        <v>0.0006036043804433431</v>
      </c>
      <c r="N1393" s="788" t="n"/>
      <c r="O1393" s="762" t="n">
        <v>-25.44</v>
      </c>
      <c r="P1393" s="725" t="n">
        <v>-0.00513657141934129</v>
      </c>
      <c r="Q1393" s="726" t="n">
        <v>-0.9666666666664446</v>
      </c>
      <c r="R1393" s="764" t="n">
        <v>4927.280000000002</v>
      </c>
      <c r="S1393" s="719" t="inlineStr">
        <is>
          <t>20M 0S</t>
        </is>
      </c>
      <c r="T1393" s="728" t="n"/>
      <c r="U1393" s="729" t="n"/>
      <c r="V1393" s="730" t="n"/>
      <c r="W1393" s="731" t="n"/>
      <c r="X1393" s="732" t="n"/>
      <c r="Y1393" s="728" t="n"/>
      <c r="Z1393" s="729" t="n"/>
      <c r="AA1393" s="730" t="n"/>
      <c r="AB1393" s="731" t="n"/>
      <c r="AC1393" s="732" t="n"/>
      <c r="AD1393" s="719" t="inlineStr">
        <is>
          <t>No</t>
        </is>
      </c>
      <c r="AE1393" s="733" t="n"/>
      <c r="AF1393" s="733" t="n"/>
      <c r="AG1393" s="733" t="n"/>
      <c r="AH1393" s="733" t="n"/>
      <c r="AI1393" s="719" t="inlineStr">
        <is>
          <t>Limit</t>
        </is>
      </c>
      <c r="AJ1393" s="733" t="n"/>
      <c r="AK1393" s="733" t="n"/>
      <c r="AL1393" s="733" t="n"/>
      <c r="AM1393" s="733" t="n"/>
      <c r="AN1393" s="733" t="n"/>
      <c r="AO1393" s="733" t="n"/>
      <c r="AP1393" s="719" t="inlineStr">
        <is>
          <t>Pullback</t>
        </is>
      </c>
      <c r="AQ1393" s="719" t="inlineStr">
        <is>
          <t>15MIN</t>
        </is>
      </c>
      <c r="AR1393" s="719" t="inlineStr">
        <is>
          <t>No</t>
        </is>
      </c>
      <c r="AS1393" s="733" t="n"/>
      <c r="AT1393" s="733" t="n"/>
      <c r="AU1393" s="733" t="n"/>
      <c r="AV1393" s="733" t="n"/>
      <c r="AW1393" s="719" t="inlineStr">
        <is>
          <t>trade</t>
        </is>
      </c>
      <c r="AX1393" s="734" t="inlineStr">
        <is>
          <t>sig:5c6a73c78e5b5857caee62e2</t>
        </is>
      </c>
    </row>
    <row r="1394" ht="15" customHeight="1">
      <c r="A1394" s="737" t="inlineStr">
        <is>
          <t>F162</t>
        </is>
      </c>
      <c r="B1394" s="738" t="n">
        <v>43348.51041666666</v>
      </c>
      <c r="C1394" s="739" t="n">
        <v>43348.54652777778</v>
      </c>
      <c r="D1394" s="740" t="inlineStr">
        <is>
          <t>PEPPERSTONE DEMO</t>
        </is>
      </c>
      <c r="E1394" s="740" t="inlineStr">
        <is>
          <t>AUDUSD</t>
        </is>
      </c>
      <c r="F1394" s="740" t="inlineStr">
        <is>
          <t>BUY</t>
        </is>
      </c>
      <c r="G1394" s="742" t="n">
        <v>0.18</v>
      </c>
      <c r="H1394" s="742" t="n">
        <v>0.7204</v>
      </c>
      <c r="I1394" s="742" t="n">
        <v>0.72132</v>
      </c>
      <c r="J1394" s="743" t="n">
        <v>0.72</v>
      </c>
      <c r="K1394" s="765" t="n">
        <v>0.000555247084952897</v>
      </c>
      <c r="L1394" s="743" t="n">
        <v>0.7212</v>
      </c>
      <c r="M1394" s="744" t="n">
        <v>0.001110494169905486</v>
      </c>
      <c r="N1394" s="796" t="n"/>
      <c r="O1394" s="767" t="n">
        <v>7.56</v>
      </c>
      <c r="P1394" s="747" t="n">
        <v>0.001528767522183306</v>
      </c>
      <c r="Q1394" s="748" t="n">
        <v>2.299999999999417</v>
      </c>
      <c r="R1394" s="769" t="n">
        <v>4952.720000000001</v>
      </c>
      <c r="S1394" s="740" t="inlineStr">
        <is>
          <t>52M 0S</t>
        </is>
      </c>
      <c r="T1394" s="750" t="n"/>
      <c r="U1394" s="751" t="n"/>
      <c r="V1394" s="752" t="n"/>
      <c r="W1394" s="753" t="n"/>
      <c r="X1394" s="754" t="n"/>
      <c r="Y1394" s="750" t="n"/>
      <c r="Z1394" s="751" t="n"/>
      <c r="AA1394" s="752" t="n"/>
      <c r="AB1394" s="753" t="n"/>
      <c r="AC1394" s="754" t="n"/>
      <c r="AD1394" s="740" t="inlineStr">
        <is>
          <t>No</t>
        </is>
      </c>
      <c r="AE1394" s="755" t="n"/>
      <c r="AF1394" s="755" t="n"/>
      <c r="AG1394" s="755" t="n"/>
      <c r="AH1394" s="755" t="n"/>
      <c r="AI1394" s="740" t="n"/>
      <c r="AJ1394" s="755" t="n"/>
      <c r="AK1394" s="755" t="n"/>
      <c r="AL1394" s="755" t="n"/>
      <c r="AM1394" s="755" t="n"/>
      <c r="AN1394" s="755" t="n"/>
      <c r="AO1394" s="755" t="n"/>
      <c r="AP1394" s="740" t="inlineStr">
        <is>
          <t>Pullback</t>
        </is>
      </c>
      <c r="AQ1394" s="740" t="inlineStr">
        <is>
          <t>15MIN</t>
        </is>
      </c>
      <c r="AR1394" s="740" t="inlineStr">
        <is>
          <t>No</t>
        </is>
      </c>
      <c r="AS1394" s="755" t="n"/>
      <c r="AT1394" s="755" t="n"/>
      <c r="AU1394" s="755" t="n"/>
      <c r="AV1394" s="755" t="n"/>
      <c r="AW1394" s="740" t="inlineStr">
        <is>
          <t>trade</t>
        </is>
      </c>
      <c r="AX1394" s="756" t="inlineStr">
        <is>
          <t>sig:9ff2261ee8f53c1743466822</t>
        </is>
      </c>
    </row>
    <row r="1395" ht="15" customHeight="1">
      <c r="A1395" s="737" t="inlineStr">
        <is>
          <t>F157</t>
        </is>
      </c>
      <c r="B1395" s="738" t="n">
        <v>43348.47917824074</v>
      </c>
      <c r="C1395" s="739" t="n">
        <v>43348.47925925926</v>
      </c>
      <c r="D1395" s="740" t="inlineStr">
        <is>
          <t>PEPPERSTONE LIVE</t>
        </is>
      </c>
      <c r="E1395" s="740" t="inlineStr">
        <is>
          <t>AUDUSD</t>
        </is>
      </c>
      <c r="F1395" s="740" t="inlineStr">
        <is>
          <t>BUY</t>
        </is>
      </c>
      <c r="G1395" s="742" t="n">
        <v>0.61</v>
      </c>
      <c r="H1395" s="742" t="n">
        <v>0.7195</v>
      </c>
      <c r="I1395" s="742" t="n">
        <v>0.72116</v>
      </c>
      <c r="J1395" s="743" t="n">
        <v>0.7186</v>
      </c>
      <c r="K1395" s="744" t="n">
        <v>0.001250868658790844</v>
      </c>
      <c r="L1395" s="743" t="n">
        <v>0.7211</v>
      </c>
      <c r="M1395" s="744" t="n">
        <v>0.002223766504516935</v>
      </c>
      <c r="N1395" s="796" t="n"/>
      <c r="O1395" s="767" t="n">
        <v>139.57</v>
      </c>
      <c r="P1395" s="747" t="n">
        <v>0.03288720280873725</v>
      </c>
      <c r="Q1395" s="748" t="n">
        <v>1.844444444444414</v>
      </c>
      <c r="R1395" s="769" t="n">
        <v>4383.469999999999</v>
      </c>
      <c r="S1395" s="740" t="inlineStr">
        <is>
          <t>7S</t>
        </is>
      </c>
      <c r="T1395" s="750" t="n"/>
      <c r="U1395" s="751" t="n"/>
      <c r="V1395" s="752" t="n"/>
      <c r="W1395" s="753" t="n"/>
      <c r="X1395" s="754" t="n"/>
      <c r="Y1395" s="750" t="n"/>
      <c r="Z1395" s="751" t="n"/>
      <c r="AA1395" s="752" t="n"/>
      <c r="AB1395" s="753" t="n"/>
      <c r="AC1395" s="754" t="n"/>
      <c r="AD1395" s="740" t="inlineStr">
        <is>
          <t>No</t>
        </is>
      </c>
      <c r="AE1395" s="755" t="n"/>
      <c r="AF1395" s="755" t="n"/>
      <c r="AG1395" s="755" t="n"/>
      <c r="AH1395" s="755" t="n"/>
      <c r="AI1395" s="740" t="inlineStr">
        <is>
          <t>Limit</t>
        </is>
      </c>
      <c r="AJ1395" s="755" t="n"/>
      <c r="AK1395" s="755" t="n"/>
      <c r="AL1395" s="755" t="n"/>
      <c r="AM1395" s="755" t="n"/>
      <c r="AN1395" s="755" t="n"/>
      <c r="AO1395" s="755" t="n"/>
      <c r="AP1395" s="740" t="inlineStr">
        <is>
          <t>News Scalp</t>
        </is>
      </c>
      <c r="AQ1395" s="740" t="inlineStr">
        <is>
          <t>1MIN</t>
        </is>
      </c>
      <c r="AR1395" s="740" t="inlineStr">
        <is>
          <t>No</t>
        </is>
      </c>
      <c r="AS1395" s="755" t="n"/>
      <c r="AT1395" s="755" t="n"/>
      <c r="AU1395" s="755" t="n"/>
      <c r="AV1395" s="755" t="n"/>
      <c r="AW1395" s="740" t="inlineStr">
        <is>
          <t>trade</t>
        </is>
      </c>
      <c r="AX1395" s="756" t="inlineStr">
        <is>
          <t>sig:ddaee753993bedb74ffc98f0</t>
        </is>
      </c>
    </row>
    <row r="1396" ht="15" customHeight="1">
      <c r="A1396" s="716" t="inlineStr">
        <is>
          <t>F690</t>
        </is>
      </c>
      <c r="B1396" s="717" t="n">
        <v>43348.23283564814</v>
      </c>
      <c r="C1396" s="718" t="n">
        <v>43348.23284722222</v>
      </c>
      <c r="D1396" s="719" t="inlineStr">
        <is>
          <t>PEPPERSTONE DEMO</t>
        </is>
      </c>
      <c r="E1396" s="719" t="inlineStr">
        <is>
          <t>GBPUSD</t>
        </is>
      </c>
      <c r="F1396" s="719" t="inlineStr">
        <is>
          <t>SELL</t>
        </is>
      </c>
      <c r="G1396" s="720" t="n">
        <v>0.89</v>
      </c>
      <c r="H1396" s="720" t="n">
        <v>1.2849</v>
      </c>
      <c r="I1396" s="720" t="n">
        <v>1.28512</v>
      </c>
      <c r="J1396" s="721" t="n">
        <v>1.2851</v>
      </c>
      <c r="K1396" s="760" t="n">
        <v>0.0001556541365086606</v>
      </c>
      <c r="L1396" s="721" t="n"/>
      <c r="M1396" s="722" t="n"/>
      <c r="N1396" s="788" t="n"/>
      <c r="O1396" s="762" t="n">
        <v>-23.57</v>
      </c>
      <c r="P1396" s="725" t="n">
        <v>-0.004743666892747241</v>
      </c>
      <c r="Q1396" s="726" t="n">
        <v>-1.100000000000666</v>
      </c>
      <c r="R1396" s="764" t="n">
        <v>4945.160000000001</v>
      </c>
      <c r="S1396" s="719" t="inlineStr">
        <is>
          <t>1S</t>
        </is>
      </c>
      <c r="T1396" s="728" t="n"/>
      <c r="U1396" s="729" t="n"/>
      <c r="V1396" s="730" t="n"/>
      <c r="W1396" s="731" t="n"/>
      <c r="X1396" s="732" t="n"/>
      <c r="Y1396" s="728" t="n"/>
      <c r="Z1396" s="729" t="n"/>
      <c r="AA1396" s="730" t="n"/>
      <c r="AB1396" s="731" t="n"/>
      <c r="AC1396" s="732" t="n"/>
      <c r="AD1396" s="719" t="inlineStr">
        <is>
          <t>No</t>
        </is>
      </c>
      <c r="AE1396" s="733" t="n"/>
      <c r="AF1396" s="733" t="n"/>
      <c r="AG1396" s="733" t="n"/>
      <c r="AH1396" s="733" t="n"/>
      <c r="AI1396" s="733" t="n"/>
      <c r="AJ1396" s="733" t="n"/>
      <c r="AK1396" s="733" t="n"/>
      <c r="AL1396" s="733" t="n"/>
      <c r="AM1396" s="733" t="n"/>
      <c r="AN1396" s="733" t="n"/>
      <c r="AO1396" s="733" t="n"/>
      <c r="AP1396" s="719" t="inlineStr">
        <is>
          <t>Pullback</t>
        </is>
      </c>
      <c r="AQ1396" s="719" t="n"/>
      <c r="AR1396" s="719" t="inlineStr">
        <is>
          <t>No</t>
        </is>
      </c>
      <c r="AS1396" s="733" t="n"/>
      <c r="AT1396" s="733" t="n"/>
      <c r="AU1396" s="733" t="n"/>
      <c r="AV1396" s="733" t="n"/>
      <c r="AW1396" s="719" t="inlineStr">
        <is>
          <t>trade</t>
        </is>
      </c>
      <c r="AX1396" s="734" t="inlineStr">
        <is>
          <t>sig:c4cd642fd6edf4cf5197941d</t>
        </is>
      </c>
    </row>
    <row r="1397" ht="15" customHeight="1">
      <c r="A1397" s="737" t="inlineStr">
        <is>
          <t>F163</t>
        </is>
      </c>
      <c r="B1397" s="738" t="n">
        <v>43348.13541666666</v>
      </c>
      <c r="C1397" s="739" t="n">
        <v>43348.22638888889</v>
      </c>
      <c r="D1397" s="740" t="inlineStr">
        <is>
          <t>PEPPERSTONE DEMO</t>
        </is>
      </c>
      <c r="E1397" s="740" t="inlineStr">
        <is>
          <t>EURUSD</t>
        </is>
      </c>
      <c r="F1397" s="740" t="inlineStr">
        <is>
          <t>SELL</t>
        </is>
      </c>
      <c r="G1397" s="742" t="n">
        <v>0.11</v>
      </c>
      <c r="H1397" s="742" t="n">
        <v>1.1577</v>
      </c>
      <c r="I1397" s="742" t="n">
        <v>1.15759</v>
      </c>
      <c r="J1397" s="743" t="n">
        <v>1.1592</v>
      </c>
      <c r="K1397" s="744" t="n">
        <v>0.001295672454003677</v>
      </c>
      <c r="L1397" s="743" t="n">
        <v>1.1537</v>
      </c>
      <c r="M1397" s="744" t="n">
        <v>0.003455126544009677</v>
      </c>
      <c r="N1397" s="796" t="n"/>
      <c r="O1397" s="767" t="n">
        <v>1.84</v>
      </c>
      <c r="P1397" s="776" t="n">
        <v>0.0003704531406977002</v>
      </c>
      <c r="Q1397" s="814" t="n">
        <v>0.07333333333336689</v>
      </c>
      <c r="R1397" s="769" t="n">
        <v>4968.73</v>
      </c>
      <c r="S1397" s="740" t="inlineStr">
        <is>
          <t>2H 11M 0S</t>
        </is>
      </c>
      <c r="T1397" s="750" t="n"/>
      <c r="U1397" s="751" t="n"/>
      <c r="V1397" s="752" t="n"/>
      <c r="W1397" s="753" t="n"/>
      <c r="X1397" s="754" t="n"/>
      <c r="Y1397" s="750" t="n"/>
      <c r="Z1397" s="751" t="n"/>
      <c r="AA1397" s="752" t="n"/>
      <c r="AB1397" s="753" t="n"/>
      <c r="AC1397" s="754" t="n"/>
      <c r="AD1397" s="740" t="inlineStr">
        <is>
          <t>No</t>
        </is>
      </c>
      <c r="AE1397" s="755" t="n"/>
      <c r="AF1397" s="755" t="n"/>
      <c r="AG1397" s="755" t="n"/>
      <c r="AH1397" s="755" t="n"/>
      <c r="AI1397" s="755" t="n"/>
      <c r="AJ1397" s="755" t="n"/>
      <c r="AK1397" s="755" t="n"/>
      <c r="AL1397" s="755" t="n"/>
      <c r="AM1397" s="755" t="n"/>
      <c r="AN1397" s="755" t="n"/>
      <c r="AO1397" s="755" t="n"/>
      <c r="AP1397" s="740" t="inlineStr">
        <is>
          <t>Pullback</t>
        </is>
      </c>
      <c r="AQ1397" s="740" t="inlineStr">
        <is>
          <t>15MIN</t>
        </is>
      </c>
      <c r="AR1397" s="740" t="inlineStr">
        <is>
          <t>No</t>
        </is>
      </c>
      <c r="AS1397" s="755" t="n"/>
      <c r="AT1397" s="755" t="n"/>
      <c r="AU1397" s="755" t="n"/>
      <c r="AV1397" s="755" t="n"/>
      <c r="AW1397" s="740" t="inlineStr">
        <is>
          <t>trade</t>
        </is>
      </c>
      <c r="AX1397" s="756" t="inlineStr">
        <is>
          <t>sig:f7277de5082c02dfc7494914</t>
        </is>
      </c>
    </row>
    <row r="1398" ht="15" customHeight="1">
      <c r="A1398" s="737" t="inlineStr">
        <is>
          <t>F164</t>
        </is>
      </c>
      <c r="B1398" s="738" t="n">
        <v>43348.12152777778</v>
      </c>
      <c r="C1398" s="739" t="n">
        <v>43348.13125</v>
      </c>
      <c r="D1398" s="740" t="inlineStr">
        <is>
          <t>PEPPERSTONE DEMO</t>
        </is>
      </c>
      <c r="E1398" s="740" t="inlineStr">
        <is>
          <t>GBPUSD</t>
        </is>
      </c>
      <c r="F1398" s="740" t="inlineStr">
        <is>
          <t>BUY</t>
        </is>
      </c>
      <c r="G1398" s="742" t="n">
        <v>0.22</v>
      </c>
      <c r="H1398" s="742" t="n">
        <v>1.2854</v>
      </c>
      <c r="I1398" s="742" t="n">
        <v>1.28653</v>
      </c>
      <c r="J1398" s="743" t="n">
        <v>1.285</v>
      </c>
      <c r="K1398" s="765" t="n">
        <v>0.00031118717908836</v>
      </c>
      <c r="L1398" s="743" t="n">
        <v>1.2863</v>
      </c>
      <c r="M1398" s="765" t="n">
        <v>0.0007001711529484214</v>
      </c>
      <c r="N1398" s="796" t="n"/>
      <c r="O1398" s="767" t="n">
        <v>44.74</v>
      </c>
      <c r="P1398" s="747" t="n">
        <v>0.009089523886919334</v>
      </c>
      <c r="Q1398" s="748" t="n">
        <v>2.824999999998376</v>
      </c>
      <c r="R1398" s="769" t="n">
        <v>4966.89</v>
      </c>
      <c r="S1398" s="740" t="inlineStr">
        <is>
          <t>14M 0S</t>
        </is>
      </c>
      <c r="T1398" s="750" t="n"/>
      <c r="U1398" s="751" t="n"/>
      <c r="V1398" s="752" t="n"/>
      <c r="W1398" s="753" t="n"/>
      <c r="X1398" s="754" t="n"/>
      <c r="Y1398" s="750" t="n"/>
      <c r="Z1398" s="751" t="n"/>
      <c r="AA1398" s="752" t="n"/>
      <c r="AB1398" s="753" t="n"/>
      <c r="AC1398" s="754" t="n"/>
      <c r="AD1398" s="740" t="inlineStr">
        <is>
          <t>No</t>
        </is>
      </c>
      <c r="AE1398" s="755" t="n"/>
      <c r="AF1398" s="755" t="n"/>
      <c r="AG1398" s="755" t="n"/>
      <c r="AH1398" s="755" t="n"/>
      <c r="AI1398" s="755" t="n"/>
      <c r="AJ1398" s="755" t="n"/>
      <c r="AK1398" s="755" t="n"/>
      <c r="AL1398" s="755" t="n"/>
      <c r="AM1398" s="755" t="n"/>
      <c r="AN1398" s="755" t="n"/>
      <c r="AO1398" s="755" t="n"/>
      <c r="AP1398" s="740" t="inlineStr">
        <is>
          <t>Pullback</t>
        </is>
      </c>
      <c r="AQ1398" s="740" t="inlineStr">
        <is>
          <t>1MIN</t>
        </is>
      </c>
      <c r="AR1398" s="740" t="inlineStr">
        <is>
          <t>No</t>
        </is>
      </c>
      <c r="AS1398" s="755" t="n"/>
      <c r="AT1398" s="755" t="n"/>
      <c r="AU1398" s="755" t="n"/>
      <c r="AV1398" s="755" t="n"/>
      <c r="AW1398" s="740" t="inlineStr">
        <is>
          <t>trade</t>
        </is>
      </c>
      <c r="AX1398" s="756" t="inlineStr">
        <is>
          <t>sig:8ecf84a78179eff1df682137</t>
        </is>
      </c>
    </row>
    <row r="1399" ht="15" customHeight="1">
      <c r="A1399" s="716" t="inlineStr">
        <is>
          <t>F158</t>
        </is>
      </c>
      <c r="B1399" s="717" t="n">
        <v>43348.00069444445</v>
      </c>
      <c r="C1399" s="718" t="n">
        <v>43348.00555555556</v>
      </c>
      <c r="D1399" s="719" t="inlineStr">
        <is>
          <t>PEPPERSTONE LIVE</t>
        </is>
      </c>
      <c r="E1399" s="719" t="inlineStr">
        <is>
          <t>USDCAD</t>
        </is>
      </c>
      <c r="F1399" s="719" t="inlineStr">
        <is>
          <t>BUY</t>
        </is>
      </c>
      <c r="G1399" s="720" t="n">
        <v>0.67</v>
      </c>
      <c r="H1399" s="720" t="n">
        <v>1.3204</v>
      </c>
      <c r="I1399" s="720" t="n">
        <v>1.32011</v>
      </c>
      <c r="J1399" s="721" t="n">
        <v>1.3198</v>
      </c>
      <c r="K1399" s="760" t="n">
        <v>0.0004544077552256391</v>
      </c>
      <c r="L1399" s="721" t="n">
        <v>1.3216</v>
      </c>
      <c r="M1399" s="760" t="n">
        <v>0.0009088155104514464</v>
      </c>
      <c r="N1399" s="788" t="n"/>
      <c r="O1399" s="762" t="n">
        <v>-31.2</v>
      </c>
      <c r="P1399" s="725" t="n">
        <v>-0.007298074898832776</v>
      </c>
      <c r="Q1399" s="726" t="n">
        <v>-0.4833333333335924</v>
      </c>
      <c r="R1399" s="764" t="n">
        <v>4243.9</v>
      </c>
      <c r="S1399" s="719" t="inlineStr">
        <is>
          <t>7M 0S</t>
        </is>
      </c>
      <c r="T1399" s="728" t="n"/>
      <c r="U1399" s="729" t="n"/>
      <c r="V1399" s="730" t="n"/>
      <c r="W1399" s="731" t="n"/>
      <c r="X1399" s="732" t="n"/>
      <c r="Y1399" s="728" t="n"/>
      <c r="Z1399" s="729" t="n"/>
      <c r="AA1399" s="730" t="n"/>
      <c r="AB1399" s="731" t="n"/>
      <c r="AC1399" s="732" t="n"/>
      <c r="AD1399" s="719" t="inlineStr">
        <is>
          <t>No</t>
        </is>
      </c>
      <c r="AE1399" s="733" t="n"/>
      <c r="AF1399" s="733" t="n"/>
      <c r="AG1399" s="733" t="n"/>
      <c r="AH1399" s="733" t="n"/>
      <c r="AI1399" s="719" t="inlineStr">
        <is>
          <t>Limit</t>
        </is>
      </c>
      <c r="AJ1399" s="733" t="n"/>
      <c r="AK1399" s="733" t="n"/>
      <c r="AL1399" s="733" t="n"/>
      <c r="AM1399" s="733" t="n"/>
      <c r="AN1399" s="733" t="n"/>
      <c r="AO1399" s="733" t="n"/>
      <c r="AP1399" s="719" t="inlineStr">
        <is>
          <t>News Scalp</t>
        </is>
      </c>
      <c r="AQ1399" s="719" t="inlineStr">
        <is>
          <t>1MIN</t>
        </is>
      </c>
      <c r="AR1399" s="719" t="inlineStr">
        <is>
          <t>No</t>
        </is>
      </c>
      <c r="AS1399" s="733" t="n"/>
      <c r="AT1399" s="733" t="n"/>
      <c r="AU1399" s="733" t="n"/>
      <c r="AV1399" s="733" t="n"/>
      <c r="AW1399" s="719" t="inlineStr">
        <is>
          <t>trade</t>
        </is>
      </c>
      <c r="AX1399" s="734" t="inlineStr">
        <is>
          <t>sig:dafe92ed32ff68c3439bee62</t>
        </is>
      </c>
    </row>
    <row r="1400" ht="15" customHeight="1">
      <c r="A1400" s="716" t="inlineStr">
        <is>
          <t>F155</t>
        </is>
      </c>
      <c r="B1400" s="717" t="n">
        <v>43347.60416666666</v>
      </c>
      <c r="C1400" s="718" t="n">
        <v>43347.60486111111</v>
      </c>
      <c r="D1400" s="719" t="inlineStr">
        <is>
          <t>PEPPERSTONE LIVE</t>
        </is>
      </c>
      <c r="E1400" s="719" t="inlineStr">
        <is>
          <t>AUDUSD</t>
        </is>
      </c>
      <c r="F1400" s="719" t="inlineStr">
        <is>
          <t>BUY</t>
        </is>
      </c>
      <c r="G1400" s="720" t="n">
        <v>1.02</v>
      </c>
      <c r="H1400" s="720" t="n">
        <v>0.71982</v>
      </c>
      <c r="I1400" s="720" t="n">
        <v>0.7198</v>
      </c>
      <c r="J1400" s="721" t="n">
        <v>0.7195</v>
      </c>
      <c r="K1400" s="760" t="n">
        <v>0.0004445555833402614</v>
      </c>
      <c r="L1400" s="721" t="n">
        <v>0.721</v>
      </c>
      <c r="M1400" s="722" t="n">
        <v>0.001639298713567224</v>
      </c>
      <c r="N1400" s="788" t="n"/>
      <c r="O1400" s="762" t="n">
        <v>-2.83</v>
      </c>
      <c r="P1400" s="763" t="n">
        <v>-0.0006615349012255928</v>
      </c>
      <c r="Q1400" s="781" t="n">
        <v>-0.06250000000006506</v>
      </c>
      <c r="R1400" s="764" t="n">
        <v>4275.099999999999</v>
      </c>
      <c r="S1400" s="719" t="inlineStr">
        <is>
          <t>1M 0S</t>
        </is>
      </c>
      <c r="T1400" s="728" t="n"/>
      <c r="U1400" s="729" t="n"/>
      <c r="V1400" s="730" t="n"/>
      <c r="W1400" s="731" t="n"/>
      <c r="X1400" s="732" t="n"/>
      <c r="Y1400" s="728" t="n"/>
      <c r="Z1400" s="729" t="n"/>
      <c r="AA1400" s="730" t="n"/>
      <c r="AB1400" s="731" t="n"/>
      <c r="AC1400" s="732" t="n"/>
      <c r="AD1400" s="719" t="inlineStr">
        <is>
          <t>No</t>
        </is>
      </c>
      <c r="AE1400" s="733" t="n"/>
      <c r="AF1400" s="733" t="n"/>
      <c r="AG1400" s="733" t="n"/>
      <c r="AH1400" s="733" t="n"/>
      <c r="AI1400" s="719" t="inlineStr">
        <is>
          <t>Limit</t>
        </is>
      </c>
      <c r="AJ1400" s="733" t="n"/>
      <c r="AK1400" s="733" t="n"/>
      <c r="AL1400" s="733" t="n"/>
      <c r="AM1400" s="733" t="n"/>
      <c r="AN1400" s="733" t="n"/>
      <c r="AO1400" s="733" t="n"/>
      <c r="AP1400" s="719" t="inlineStr">
        <is>
          <t>News Scalp</t>
        </is>
      </c>
      <c r="AQ1400" s="719" t="inlineStr">
        <is>
          <t>1MIN</t>
        </is>
      </c>
      <c r="AR1400" s="719" t="inlineStr">
        <is>
          <t>No</t>
        </is>
      </c>
      <c r="AS1400" s="733" t="n"/>
      <c r="AT1400" s="733" t="n"/>
      <c r="AU1400" s="733" t="n"/>
      <c r="AV1400" s="733" t="n"/>
      <c r="AW1400" s="719" t="inlineStr">
        <is>
          <t>trade</t>
        </is>
      </c>
      <c r="AX1400" s="734" t="inlineStr">
        <is>
          <t>sig:4d6b59fcf554eda82224d991</t>
        </is>
      </c>
    </row>
    <row r="1401" ht="15" customHeight="1">
      <c r="A1401" s="737" t="inlineStr">
        <is>
          <t>F153</t>
        </is>
      </c>
      <c r="B1401" s="738" t="n">
        <v>43346.77083333334</v>
      </c>
      <c r="C1401" s="739" t="n">
        <v>43346.77138888889</v>
      </c>
      <c r="D1401" s="740" t="inlineStr">
        <is>
          <t>PEPPERSTONE LIVE</t>
        </is>
      </c>
      <c r="E1401" s="740" t="inlineStr">
        <is>
          <t>GBPUSD</t>
        </is>
      </c>
      <c r="F1401" s="740" t="inlineStr">
        <is>
          <t>SELL</t>
        </is>
      </c>
      <c r="G1401" s="742" t="n">
        <v>0.25</v>
      </c>
      <c r="H1401" s="742" t="n">
        <v>1.2895</v>
      </c>
      <c r="I1401" s="742" t="n">
        <v>1.28884</v>
      </c>
      <c r="J1401" s="743" t="n">
        <v>1.2909</v>
      </c>
      <c r="K1401" s="744" t="n">
        <v>0.001085692128731947</v>
      </c>
      <c r="L1401" s="743" t="n">
        <v>1.2837</v>
      </c>
      <c r="M1401" s="744" t="n">
        <v>0.00449786739046144</v>
      </c>
      <c r="N1401" s="796" t="n"/>
      <c r="O1401" s="767" t="n">
        <v>24.28</v>
      </c>
      <c r="P1401" s="747" t="n">
        <v>0.005708038978289235</v>
      </c>
      <c r="Q1401" s="748" t="n">
        <v>0.4714285714286983</v>
      </c>
      <c r="R1401" s="769" t="n">
        <v>4277.929999999999</v>
      </c>
      <c r="S1401" s="740" t="inlineStr">
        <is>
          <t>48S</t>
        </is>
      </c>
      <c r="T1401" s="750" t="n"/>
      <c r="U1401" s="751" t="n"/>
      <c r="V1401" s="752" t="n"/>
      <c r="W1401" s="753" t="n"/>
      <c r="X1401" s="754" t="n"/>
      <c r="Y1401" s="750" t="n"/>
      <c r="Z1401" s="751" t="n"/>
      <c r="AA1401" s="752" t="n"/>
      <c r="AB1401" s="753" t="n"/>
      <c r="AC1401" s="754" t="n"/>
      <c r="AD1401" s="740" t="inlineStr">
        <is>
          <t>No</t>
        </is>
      </c>
      <c r="AE1401" s="755" t="n"/>
      <c r="AF1401" s="755" t="n"/>
      <c r="AG1401" s="755" t="n"/>
      <c r="AH1401" s="755" t="n"/>
      <c r="AI1401" s="740" t="inlineStr">
        <is>
          <t>Limit</t>
        </is>
      </c>
      <c r="AJ1401" s="755" t="n"/>
      <c r="AK1401" s="755" t="n"/>
      <c r="AL1401" s="755" t="n"/>
      <c r="AM1401" s="755" t="n"/>
      <c r="AN1401" s="755" t="n"/>
      <c r="AO1401" s="755" t="n"/>
      <c r="AP1401" s="740" t="inlineStr">
        <is>
          <t>News Scalp</t>
        </is>
      </c>
      <c r="AQ1401" s="740" t="inlineStr">
        <is>
          <t>1MIN</t>
        </is>
      </c>
      <c r="AR1401" s="740" t="inlineStr">
        <is>
          <t>No</t>
        </is>
      </c>
      <c r="AS1401" s="755" t="n"/>
      <c r="AT1401" s="755" t="n"/>
      <c r="AU1401" s="755" t="n"/>
      <c r="AV1401" s="755" t="n"/>
      <c r="AW1401" s="740" t="inlineStr">
        <is>
          <t>trade</t>
        </is>
      </c>
      <c r="AX1401" s="756" t="inlineStr">
        <is>
          <t>sig:7741152f42e0ecdc6d8eab1e</t>
        </is>
      </c>
    </row>
    <row r="1402" ht="15" customHeight="1">
      <c r="A1402" s="737" t="inlineStr">
        <is>
          <t>F154</t>
        </is>
      </c>
      <c r="B1402" s="738" t="n">
        <v>43346.74027777778</v>
      </c>
      <c r="C1402" s="739" t="n">
        <v>43346.76041666666</v>
      </c>
      <c r="D1402" s="740" t="inlineStr">
        <is>
          <t>PEPPERSTONE DEMO</t>
        </is>
      </c>
      <c r="E1402" s="740" t="inlineStr">
        <is>
          <t>GBPUSD</t>
        </is>
      </c>
      <c r="F1402" s="740" t="inlineStr">
        <is>
          <t>SELL</t>
        </is>
      </c>
      <c r="G1402" s="742" t="n">
        <v>0.58</v>
      </c>
      <c r="H1402" s="742" t="n">
        <v>1.292</v>
      </c>
      <c r="I1402" s="742" t="n">
        <v>1.29156</v>
      </c>
      <c r="J1402" s="743" t="n">
        <v>1.2926</v>
      </c>
      <c r="K1402" s="765" t="n">
        <v>0.0004643962848296702</v>
      </c>
      <c r="L1402" s="743" t="n">
        <v>1.2908</v>
      </c>
      <c r="M1402" s="765" t="n">
        <v>0.0009287925696595123</v>
      </c>
      <c r="N1402" s="796" t="n"/>
      <c r="O1402" s="767" t="n">
        <v>41.01</v>
      </c>
      <c r="P1402" s="747" t="n">
        <v>0.008401725826343845</v>
      </c>
      <c r="Q1402" s="748" t="n">
        <v>0.7333333333334073</v>
      </c>
      <c r="R1402" s="769" t="n">
        <v>4922.150000000001</v>
      </c>
      <c r="S1402" s="740" t="inlineStr">
        <is>
          <t>29M 0S</t>
        </is>
      </c>
      <c r="T1402" s="750" t="n"/>
      <c r="U1402" s="751" t="n"/>
      <c r="V1402" s="752" t="n"/>
      <c r="W1402" s="753" t="n"/>
      <c r="X1402" s="754" t="n"/>
      <c r="Y1402" s="750" t="n"/>
      <c r="Z1402" s="751" t="n"/>
      <c r="AA1402" s="752" t="n"/>
      <c r="AB1402" s="753" t="n"/>
      <c r="AC1402" s="754" t="n"/>
      <c r="AD1402" s="740" t="inlineStr">
        <is>
          <t>No</t>
        </is>
      </c>
      <c r="AE1402" s="755" t="n"/>
      <c r="AF1402" s="755" t="n"/>
      <c r="AG1402" s="755" t="n"/>
      <c r="AH1402" s="755" t="n"/>
      <c r="AI1402" s="740" t="inlineStr">
        <is>
          <t>Limit</t>
        </is>
      </c>
      <c r="AJ1402" s="755" t="n"/>
      <c r="AK1402" s="755" t="n"/>
      <c r="AL1402" s="755" t="n"/>
      <c r="AM1402" s="755" t="n"/>
      <c r="AN1402" s="755" t="n"/>
      <c r="AO1402" s="755" t="n"/>
      <c r="AP1402" s="740" t="inlineStr">
        <is>
          <t>Pullback</t>
        </is>
      </c>
      <c r="AQ1402" s="740" t="inlineStr">
        <is>
          <t>15MIN</t>
        </is>
      </c>
      <c r="AR1402" s="740" t="inlineStr">
        <is>
          <t>No</t>
        </is>
      </c>
      <c r="AS1402" s="755" t="n"/>
      <c r="AT1402" s="755" t="n"/>
      <c r="AU1402" s="755" t="n"/>
      <c r="AV1402" s="755" t="n"/>
      <c r="AW1402" s="740" t="inlineStr">
        <is>
          <t>trade</t>
        </is>
      </c>
      <c r="AX1402" s="756" t="inlineStr">
        <is>
          <t>sig:635e02fa622d718563a54d79</t>
        </is>
      </c>
    </row>
    <row r="1403" ht="15" customHeight="1">
      <c r="A1403" s="737" t="inlineStr">
        <is>
          <t>F152</t>
        </is>
      </c>
      <c r="B1403" s="738" t="n">
        <v>43346.47916666666</v>
      </c>
      <c r="C1403" s="739" t="n">
        <v>43346.48055555556</v>
      </c>
      <c r="D1403" s="740" t="inlineStr">
        <is>
          <t>PEPPERSTONE LIVE</t>
        </is>
      </c>
      <c r="E1403" s="740" t="inlineStr">
        <is>
          <t>AUDUSD</t>
        </is>
      </c>
      <c r="F1403" s="740" t="inlineStr">
        <is>
          <t>SELL</t>
        </is>
      </c>
      <c r="G1403" s="742" t="n">
        <v>0.5</v>
      </c>
      <c r="H1403" s="742" t="n">
        <v>0.7178</v>
      </c>
      <c r="I1403" s="742" t="n">
        <v>0.71718</v>
      </c>
      <c r="J1403" s="743" t="n">
        <v>0.7184</v>
      </c>
      <c r="K1403" s="765" t="n">
        <v>0.0008358874338256408</v>
      </c>
      <c r="L1403" s="743" t="n">
        <v>0.716</v>
      </c>
      <c r="M1403" s="744" t="n">
        <v>0.002507662301476768</v>
      </c>
      <c r="N1403" s="796" t="n"/>
      <c r="O1403" s="767" t="n">
        <v>38.69</v>
      </c>
      <c r="P1403" s="747" t="n">
        <v>0.009179209292614876</v>
      </c>
      <c r="Q1403" s="748" t="n">
        <v>1.033333333333179</v>
      </c>
      <c r="R1403" s="769" t="n">
        <v>4253.65</v>
      </c>
      <c r="S1403" s="740" t="inlineStr">
        <is>
          <t>2M 0S</t>
        </is>
      </c>
      <c r="T1403" s="750" t="n"/>
      <c r="U1403" s="751" t="n"/>
      <c r="V1403" s="752" t="n"/>
      <c r="W1403" s="753" t="n"/>
      <c r="X1403" s="754" t="n"/>
      <c r="Y1403" s="750" t="n"/>
      <c r="Z1403" s="751" t="n"/>
      <c r="AA1403" s="752" t="n"/>
      <c r="AB1403" s="753" t="n"/>
      <c r="AC1403" s="754" t="n"/>
      <c r="AD1403" s="740" t="inlineStr">
        <is>
          <t>No</t>
        </is>
      </c>
      <c r="AE1403" s="755" t="n"/>
      <c r="AF1403" s="755" t="n"/>
      <c r="AG1403" s="755" t="n"/>
      <c r="AH1403" s="755" t="n"/>
      <c r="AI1403" s="740" t="inlineStr">
        <is>
          <t>Limit</t>
        </is>
      </c>
      <c r="AJ1403" s="755" t="n"/>
      <c r="AK1403" s="755" t="n"/>
      <c r="AL1403" s="755" t="n"/>
      <c r="AM1403" s="755" t="n"/>
      <c r="AN1403" s="755" t="n"/>
      <c r="AO1403" s="755" t="n"/>
      <c r="AP1403" s="740" t="inlineStr">
        <is>
          <t>News Scalp</t>
        </is>
      </c>
      <c r="AQ1403" s="740" t="inlineStr">
        <is>
          <t>1MIN</t>
        </is>
      </c>
      <c r="AR1403" s="740" t="inlineStr">
        <is>
          <t>No</t>
        </is>
      </c>
      <c r="AS1403" s="755" t="n"/>
      <c r="AT1403" s="755" t="n"/>
      <c r="AU1403" s="755" t="n"/>
      <c r="AV1403" s="755" t="n"/>
      <c r="AW1403" s="740" t="inlineStr">
        <is>
          <t>trade</t>
        </is>
      </c>
      <c r="AX1403" s="756" t="inlineStr">
        <is>
          <t>sig:ea80bef7a62b08d2e65bcc09</t>
        </is>
      </c>
    </row>
    <row r="1404" ht="15" customHeight="1">
      <c r="A1404" s="716" t="inlineStr">
        <is>
          <t>F151</t>
        </is>
      </c>
      <c r="B1404" s="717" t="n">
        <v>43344.1</v>
      </c>
      <c r="C1404" s="718" t="n">
        <v>43344.12152777778</v>
      </c>
      <c r="D1404" s="719" t="inlineStr">
        <is>
          <t>PEPPERSTONE DEMO</t>
        </is>
      </c>
      <c r="E1404" s="719" t="inlineStr">
        <is>
          <t>USDCAD</t>
        </is>
      </c>
      <c r="F1404" s="719" t="inlineStr">
        <is>
          <t>BUY</t>
        </is>
      </c>
      <c r="G1404" s="720" t="n">
        <v>0.17</v>
      </c>
      <c r="H1404" s="720" t="n">
        <v>1.3077</v>
      </c>
      <c r="I1404" s="720" t="n">
        <v>1.30651</v>
      </c>
      <c r="J1404" s="721" t="n">
        <v>1.3065</v>
      </c>
      <c r="K1404" s="760" t="n">
        <v>0.000917641660931475</v>
      </c>
      <c r="L1404" s="721" t="n">
        <v>1.3102</v>
      </c>
      <c r="M1404" s="722" t="n">
        <v>0.001911753460273722</v>
      </c>
      <c r="N1404" s="788" t="n"/>
      <c r="O1404" s="762" t="n">
        <v>-22.82</v>
      </c>
      <c r="P1404" s="725" t="n">
        <v>-0.004653382164617983</v>
      </c>
      <c r="Q1404" s="726" t="n">
        <v>-0.9916666666666127</v>
      </c>
      <c r="R1404" s="764" t="n">
        <v>4881.14</v>
      </c>
      <c r="S1404" s="719" t="inlineStr">
        <is>
          <t>31M 0S</t>
        </is>
      </c>
      <c r="T1404" s="728" t="n"/>
      <c r="U1404" s="729" t="n"/>
      <c r="V1404" s="730" t="n"/>
      <c r="W1404" s="731" t="n"/>
      <c r="X1404" s="732" t="n"/>
      <c r="Y1404" s="728" t="n"/>
      <c r="Z1404" s="729" t="n"/>
      <c r="AA1404" s="730" t="n"/>
      <c r="AB1404" s="731" t="n"/>
      <c r="AC1404" s="732" t="n"/>
      <c r="AD1404" s="719" t="inlineStr">
        <is>
          <t>No</t>
        </is>
      </c>
      <c r="AE1404" s="733" t="n"/>
      <c r="AF1404" s="733" t="n"/>
      <c r="AG1404" s="733" t="n"/>
      <c r="AH1404" s="733" t="n"/>
      <c r="AI1404" s="733" t="n"/>
      <c r="AJ1404" s="733" t="n"/>
      <c r="AK1404" s="733" t="n"/>
      <c r="AL1404" s="733" t="n"/>
      <c r="AM1404" s="733" t="n"/>
      <c r="AN1404" s="733" t="n"/>
      <c r="AO1404" s="733" t="n"/>
      <c r="AP1404" s="719" t="inlineStr">
        <is>
          <t>Pullback</t>
        </is>
      </c>
      <c r="AQ1404" s="719" t="inlineStr">
        <is>
          <t>15MIN</t>
        </is>
      </c>
      <c r="AR1404" s="719" t="inlineStr">
        <is>
          <t>No</t>
        </is>
      </c>
      <c r="AS1404" s="733" t="n"/>
      <c r="AT1404" s="733" t="n"/>
      <c r="AU1404" s="733" t="n"/>
      <c r="AV1404" s="733" t="n"/>
      <c r="AW1404" s="719" t="inlineStr">
        <is>
          <t>trade</t>
        </is>
      </c>
      <c r="AX1404" s="734" t="inlineStr">
        <is>
          <t>sig:b262617e0bbad84660be5b22</t>
        </is>
      </c>
    </row>
    <row r="1405" ht="15" customHeight="1">
      <c r="A1405" s="716" t="inlineStr">
        <is>
          <t>F149</t>
        </is>
      </c>
      <c r="B1405" s="717" t="n">
        <v>43343.62516203704</v>
      </c>
      <c r="C1405" s="718" t="n">
        <v>43343.62525462963</v>
      </c>
      <c r="D1405" s="719" t="inlineStr">
        <is>
          <t>PEPPERSTONE DEMO</t>
        </is>
      </c>
      <c r="E1405" s="719" t="inlineStr">
        <is>
          <t>AUDUSD</t>
        </is>
      </c>
      <c r="F1405" s="719" t="inlineStr">
        <is>
          <t>SELL</t>
        </is>
      </c>
      <c r="G1405" s="720" t="n">
        <v>0.89</v>
      </c>
      <c r="H1405" s="720" t="n">
        <v>0.7252999999999999</v>
      </c>
      <c r="I1405" s="720" t="n">
        <v>0.7255</v>
      </c>
      <c r="J1405" s="721" t="n">
        <v>0.7255</v>
      </c>
      <c r="K1405" s="760" t="n">
        <v>0.0002757479663588708</v>
      </c>
      <c r="L1405" s="721" t="n">
        <v>0.7248</v>
      </c>
      <c r="M1405" s="760" t="n">
        <v>0.0006893699158967944</v>
      </c>
      <c r="N1405" s="788" t="n"/>
      <c r="O1405" s="762" t="n">
        <v>-23.31</v>
      </c>
      <c r="P1405" s="725" t="n">
        <v>-0.004730814426650051</v>
      </c>
      <c r="Q1405" s="726" t="n">
        <v>-1</v>
      </c>
      <c r="R1405" s="764" t="n">
        <v>4903.96</v>
      </c>
      <c r="S1405" s="719" t="inlineStr">
        <is>
          <t>8S</t>
        </is>
      </c>
      <c r="T1405" s="717" t="n"/>
      <c r="U1405" s="806" t="n"/>
      <c r="V1405" s="730" t="n"/>
      <c r="W1405" s="731" t="n"/>
      <c r="X1405" s="732" t="n"/>
      <c r="Y1405" s="728" t="n"/>
      <c r="Z1405" s="729" t="n"/>
      <c r="AA1405" s="730" t="n"/>
      <c r="AB1405" s="731" t="n"/>
      <c r="AC1405" s="732" t="n"/>
      <c r="AD1405" s="719" t="inlineStr">
        <is>
          <t>No</t>
        </is>
      </c>
      <c r="AE1405" s="733" t="n"/>
      <c r="AF1405" s="733" t="n"/>
      <c r="AG1405" s="733" t="n"/>
      <c r="AH1405" s="733" t="n"/>
      <c r="AI1405" s="733" t="n"/>
      <c r="AJ1405" s="733" t="n"/>
      <c r="AK1405" s="733" t="n"/>
      <c r="AL1405" s="733" t="n"/>
      <c r="AM1405" s="733" t="n"/>
      <c r="AN1405" s="733" t="n"/>
      <c r="AO1405" s="733" t="n"/>
      <c r="AP1405" s="719" t="inlineStr">
        <is>
          <t>Pullback</t>
        </is>
      </c>
      <c r="AQ1405" s="719" t="inlineStr">
        <is>
          <t>15MIN</t>
        </is>
      </c>
      <c r="AR1405" s="719" t="inlineStr">
        <is>
          <t>No</t>
        </is>
      </c>
      <c r="AS1405" s="733" t="n"/>
      <c r="AT1405" s="733" t="n"/>
      <c r="AU1405" s="733" t="n"/>
      <c r="AV1405" s="733" t="n"/>
      <c r="AW1405" s="719" t="inlineStr">
        <is>
          <t>trade</t>
        </is>
      </c>
      <c r="AX1405" s="734" t="inlineStr">
        <is>
          <t>sig:dd46a5ea03e29f84de9e9d02</t>
        </is>
      </c>
    </row>
    <row r="1406" ht="15" customHeight="1">
      <c r="A1406" s="716" t="inlineStr">
        <is>
          <t>F150</t>
        </is>
      </c>
      <c r="B1406" s="717" t="n">
        <v>43343.42847222222</v>
      </c>
      <c r="C1406" s="718" t="n">
        <v>43343.46736111111</v>
      </c>
      <c r="D1406" s="719" t="inlineStr">
        <is>
          <t>PEPPERSTONE DEMO</t>
        </is>
      </c>
      <c r="E1406" s="719" t="inlineStr">
        <is>
          <t>USDJPY</t>
        </is>
      </c>
      <c r="F1406" s="719" t="inlineStr">
        <is>
          <t>SELL</t>
        </is>
      </c>
      <c r="G1406" s="720" t="n">
        <v>0.2</v>
      </c>
      <c r="H1406" s="720" t="n">
        <v>110.95</v>
      </c>
      <c r="I1406" s="720" t="n">
        <v>111.045</v>
      </c>
      <c r="J1406" s="721" t="n">
        <v>111.04</v>
      </c>
      <c r="K1406" s="760" t="n">
        <v>0.0008111762054980028</v>
      </c>
      <c r="L1406" s="789" t="n"/>
      <c r="M1406" s="732" t="n"/>
      <c r="N1406" s="788" t="n"/>
      <c r="O1406" s="762" t="n">
        <v>-23.57</v>
      </c>
      <c r="P1406" s="725" t="n">
        <v>-0.004760808266879963</v>
      </c>
      <c r="Q1406" s="726" t="n">
        <v>-1.055555555555503</v>
      </c>
      <c r="R1406" s="764" t="n">
        <v>4927.27</v>
      </c>
      <c r="S1406" s="719" t="inlineStr">
        <is>
          <t>56M 0S</t>
        </is>
      </c>
      <c r="T1406" s="728" t="n"/>
      <c r="U1406" s="729" t="n"/>
      <c r="V1406" s="730" t="n"/>
      <c r="W1406" s="731" t="n"/>
      <c r="X1406" s="732" t="n"/>
      <c r="Y1406" s="728" t="n"/>
      <c r="Z1406" s="729" t="n"/>
      <c r="AA1406" s="730" t="n"/>
      <c r="AB1406" s="731" t="n"/>
      <c r="AC1406" s="732" t="n"/>
      <c r="AD1406" s="719" t="inlineStr">
        <is>
          <t>No</t>
        </is>
      </c>
      <c r="AE1406" s="733" t="n"/>
      <c r="AF1406" s="733" t="n"/>
      <c r="AG1406" s="733" t="n"/>
      <c r="AH1406" s="733" t="n"/>
      <c r="AI1406" s="733" t="n"/>
      <c r="AJ1406" s="733" t="n"/>
      <c r="AK1406" s="733" t="n"/>
      <c r="AL1406" s="733" t="n"/>
      <c r="AM1406" s="733" t="n"/>
      <c r="AN1406" s="733" t="n"/>
      <c r="AO1406" s="733" t="n"/>
      <c r="AP1406" s="719" t="inlineStr">
        <is>
          <t>Pullback</t>
        </is>
      </c>
      <c r="AQ1406" s="719" t="inlineStr">
        <is>
          <t>15MIN</t>
        </is>
      </c>
      <c r="AR1406" s="719" t="inlineStr">
        <is>
          <t>No</t>
        </is>
      </c>
      <c r="AS1406" s="782" t="n"/>
      <c r="AT1406" s="733" t="n"/>
      <c r="AU1406" s="719" t="n"/>
      <c r="AV1406" s="719" t="n"/>
      <c r="AW1406" s="719" t="inlineStr">
        <is>
          <t>trade</t>
        </is>
      </c>
      <c r="AX1406" s="734" t="inlineStr">
        <is>
          <t>sig:99e2ece2d771ea753c72d188</t>
        </is>
      </c>
    </row>
    <row r="1407" ht="15" customHeight="1">
      <c r="A1407" s="737" t="inlineStr">
        <is>
          <t>F147</t>
        </is>
      </c>
      <c r="B1407" s="738" t="n">
        <v>43342.9375</v>
      </c>
      <c r="C1407" s="739" t="n">
        <v>43342.93752314815</v>
      </c>
      <c r="D1407" s="740" t="inlineStr">
        <is>
          <t>PEPPERSTONE LIVE</t>
        </is>
      </c>
      <c r="E1407" s="740" t="inlineStr">
        <is>
          <t>USDCAD</t>
        </is>
      </c>
      <c r="F1407" s="740" t="inlineStr">
        <is>
          <t>BUY</t>
        </is>
      </c>
      <c r="G1407" s="742" t="n">
        <v>0.55</v>
      </c>
      <c r="H1407" s="742" t="n">
        <v>1.29475</v>
      </c>
      <c r="I1407" s="742" t="n">
        <v>1.29705</v>
      </c>
      <c r="J1407" s="743" t="n">
        <v>1.2934</v>
      </c>
      <c r="K1407" s="744" t="n">
        <v>0.001042672330565717</v>
      </c>
      <c r="L1407" s="743" t="n">
        <v>1.2969</v>
      </c>
      <c r="M1407" s="744" t="n">
        <v>0.001660552230160165</v>
      </c>
      <c r="N1407" s="796" t="n"/>
      <c r="O1407" s="767" t="n">
        <v>133.77</v>
      </c>
      <c r="P1407" s="747" t="n">
        <v>0.0327772046878484</v>
      </c>
      <c r="Q1407" s="748" t="n">
        <v>1.703703703703728</v>
      </c>
      <c r="R1407" s="769" t="n">
        <v>4214.96</v>
      </c>
      <c r="S1407" s="740" t="inlineStr">
        <is>
          <t>2S</t>
        </is>
      </c>
      <c r="T1407" s="750" t="n"/>
      <c r="U1407" s="751" t="n"/>
      <c r="V1407" s="752" t="n"/>
      <c r="W1407" s="753" t="n"/>
      <c r="X1407" s="754" t="n"/>
      <c r="Y1407" s="750" t="n"/>
      <c r="Z1407" s="751" t="n"/>
      <c r="AA1407" s="752" t="n"/>
      <c r="AB1407" s="753" t="n"/>
      <c r="AC1407" s="754" t="n"/>
      <c r="AD1407" s="740" t="inlineStr">
        <is>
          <t>No</t>
        </is>
      </c>
      <c r="AE1407" s="755" t="n"/>
      <c r="AF1407" s="755" t="n"/>
      <c r="AG1407" s="755" t="n"/>
      <c r="AH1407" s="755" t="n"/>
      <c r="AI1407" s="740" t="inlineStr">
        <is>
          <t>Limit</t>
        </is>
      </c>
      <c r="AJ1407" s="755" t="n"/>
      <c r="AK1407" s="755" t="n"/>
      <c r="AL1407" s="755" t="n"/>
      <c r="AM1407" s="755" t="n"/>
      <c r="AN1407" s="755" t="n"/>
      <c r="AO1407" s="755" t="n"/>
      <c r="AP1407" s="740" t="inlineStr">
        <is>
          <t>News Scalp</t>
        </is>
      </c>
      <c r="AQ1407" s="740" t="inlineStr">
        <is>
          <t>1MIN</t>
        </is>
      </c>
      <c r="AR1407" s="740" t="inlineStr">
        <is>
          <t>No</t>
        </is>
      </c>
      <c r="AS1407" s="787" t="n"/>
      <c r="AT1407" s="755" t="n"/>
      <c r="AU1407" s="740" t="n"/>
      <c r="AV1407" s="740" t="n"/>
      <c r="AW1407" s="740" t="inlineStr">
        <is>
          <t>trade</t>
        </is>
      </c>
      <c r="AX1407" s="756" t="inlineStr">
        <is>
          <t>sig:d8f826a909c2f4968da2045b</t>
        </is>
      </c>
    </row>
    <row r="1408" ht="15" customHeight="1">
      <c r="A1408" s="716" t="inlineStr">
        <is>
          <t>F148</t>
        </is>
      </c>
      <c r="B1408" s="717" t="n">
        <v>43342.62638888889</v>
      </c>
      <c r="C1408" s="718" t="n">
        <v>43342.71805555555</v>
      </c>
      <c r="D1408" s="719" t="inlineStr">
        <is>
          <t>PEPPERSTONE DEMO</t>
        </is>
      </c>
      <c r="E1408" s="719" t="inlineStr">
        <is>
          <t>NZDUSD</t>
        </is>
      </c>
      <c r="F1408" s="719" t="inlineStr">
        <is>
          <t>SELL</t>
        </is>
      </c>
      <c r="G1408" s="720" t="n">
        <v>0.22</v>
      </c>
      <c r="H1408" s="720" t="n">
        <v>0.6653</v>
      </c>
      <c r="I1408" s="720" t="n">
        <v>0.66617</v>
      </c>
      <c r="J1408" s="721" t="n">
        <v>0.6661</v>
      </c>
      <c r="K1408" s="722" t="n">
        <v>0.001202465053359421</v>
      </c>
      <c r="L1408" s="721" t="n">
        <v>0.6637</v>
      </c>
      <c r="M1408" s="722" t="n">
        <v>0.002404930106718843</v>
      </c>
      <c r="N1408" s="788" t="n"/>
      <c r="O1408" s="762" t="n">
        <v>-24.12</v>
      </c>
      <c r="P1408" s="725" t="n">
        <v>-0.004848280187177385</v>
      </c>
      <c r="Q1408" s="726" t="n">
        <v>-1.087500000000016</v>
      </c>
      <c r="R1408" s="764" t="n">
        <v>4950.84</v>
      </c>
      <c r="S1408" s="719" t="inlineStr">
        <is>
          <t>2H 12M 0S</t>
        </is>
      </c>
      <c r="T1408" s="728" t="n"/>
      <c r="U1408" s="729" t="n"/>
      <c r="V1408" s="730" t="n"/>
      <c r="W1408" s="731" t="n"/>
      <c r="X1408" s="732" t="n"/>
      <c r="Y1408" s="728" t="n"/>
      <c r="Z1408" s="729" t="n"/>
      <c r="AA1408" s="730" t="n"/>
      <c r="AB1408" s="731" t="n"/>
      <c r="AC1408" s="732" t="n"/>
      <c r="AD1408" s="719" t="inlineStr">
        <is>
          <t>No</t>
        </is>
      </c>
      <c r="AE1408" s="733" t="n"/>
      <c r="AF1408" s="733" t="n"/>
      <c r="AG1408" s="733" t="n"/>
      <c r="AH1408" s="733" t="n"/>
      <c r="AI1408" s="719" t="n"/>
      <c r="AJ1408" s="733" t="n"/>
      <c r="AK1408" s="733" t="n"/>
      <c r="AL1408" s="733" t="n"/>
      <c r="AM1408" s="733" t="n"/>
      <c r="AN1408" s="733" t="n"/>
      <c r="AO1408" s="733" t="n"/>
      <c r="AP1408" s="719" t="inlineStr">
        <is>
          <t>Pullback</t>
        </is>
      </c>
      <c r="AQ1408" s="719" t="inlineStr">
        <is>
          <t>15MIN</t>
        </is>
      </c>
      <c r="AR1408" s="719" t="inlineStr">
        <is>
          <t>No</t>
        </is>
      </c>
      <c r="AS1408" s="733" t="n"/>
      <c r="AT1408" s="733" t="n"/>
      <c r="AU1408" s="733" t="n"/>
      <c r="AV1408" s="733" t="n"/>
      <c r="AW1408" s="719" t="inlineStr">
        <is>
          <t>trade</t>
        </is>
      </c>
      <c r="AX1408" s="734" t="inlineStr">
        <is>
          <t>sig:2755964f6c8f50f707336717</t>
        </is>
      </c>
    </row>
    <row r="1409" ht="15" customHeight="1">
      <c r="A1409" s="737" t="inlineStr">
        <is>
          <t>F145</t>
        </is>
      </c>
      <c r="B1409" s="738" t="n">
        <v>43342.47922453703</v>
      </c>
      <c r="C1409" s="739" t="n">
        <v>43342.47983796296</v>
      </c>
      <c r="D1409" s="740" t="inlineStr">
        <is>
          <t>PEPPERSTONE LIVE</t>
        </is>
      </c>
      <c r="E1409" s="740" t="inlineStr">
        <is>
          <t>AUDUSD</t>
        </is>
      </c>
      <c r="F1409" s="740" t="inlineStr">
        <is>
          <t>SELL</t>
        </is>
      </c>
      <c r="G1409" s="742" t="n">
        <v>0.29</v>
      </c>
      <c r="H1409" s="742" t="n">
        <v>0.72937</v>
      </c>
      <c r="I1409" s="742" t="n">
        <v>0.72837</v>
      </c>
      <c r="J1409" s="743" t="n">
        <v>0.7298</v>
      </c>
      <c r="K1409" s="765" t="n">
        <v>0.0005895498855176954</v>
      </c>
      <c r="L1409" s="743" t="n">
        <v>0.7282999999999999</v>
      </c>
      <c r="M1409" s="744" t="n">
        <v>0.001467019482567168</v>
      </c>
      <c r="N1409" s="796" t="n"/>
      <c r="O1409" s="767" t="n">
        <v>39.81</v>
      </c>
      <c r="P1409" s="747" t="n">
        <v>0.009850595588635566</v>
      </c>
      <c r="Q1409" s="748" t="n">
        <v>2.325581395348615</v>
      </c>
      <c r="R1409" s="769" t="n">
        <v>4081.19</v>
      </c>
      <c r="S1409" s="740" t="inlineStr">
        <is>
          <t>53S</t>
        </is>
      </c>
      <c r="T1409" s="750" t="n"/>
      <c r="U1409" s="751" t="n"/>
      <c r="V1409" s="752" t="n"/>
      <c r="W1409" s="753" t="n"/>
      <c r="X1409" s="754" t="n"/>
      <c r="Y1409" s="750" t="n"/>
      <c r="Z1409" s="751" t="n"/>
      <c r="AA1409" s="752" t="n"/>
      <c r="AB1409" s="753" t="n"/>
      <c r="AC1409" s="754" t="n"/>
      <c r="AD1409" s="740" t="inlineStr">
        <is>
          <t>No</t>
        </is>
      </c>
      <c r="AE1409" s="755" t="n"/>
      <c r="AF1409" s="755" t="n"/>
      <c r="AG1409" s="755" t="n"/>
      <c r="AH1409" s="755" t="n"/>
      <c r="AI1409" s="740" t="inlineStr">
        <is>
          <t>Limit</t>
        </is>
      </c>
      <c r="AJ1409" s="755" t="n"/>
      <c r="AK1409" s="755" t="n"/>
      <c r="AL1409" s="755" t="n"/>
      <c r="AM1409" s="755" t="n"/>
      <c r="AN1409" s="755" t="n"/>
      <c r="AO1409" s="755" t="n"/>
      <c r="AP1409" s="740" t="inlineStr">
        <is>
          <t>News Scalp</t>
        </is>
      </c>
      <c r="AQ1409" s="740" t="inlineStr">
        <is>
          <t>1MIN</t>
        </is>
      </c>
      <c r="AR1409" s="740" t="inlineStr">
        <is>
          <t>No</t>
        </is>
      </c>
      <c r="AS1409" s="755" t="n"/>
      <c r="AT1409" s="755" t="n"/>
      <c r="AU1409" s="755" t="n"/>
      <c r="AV1409" s="755" t="n"/>
      <c r="AW1409" s="740" t="inlineStr">
        <is>
          <t>trade</t>
        </is>
      </c>
      <c r="AX1409" s="756" t="inlineStr">
        <is>
          <t>sig:52bb3991ebb6a1f378c1af5f</t>
        </is>
      </c>
    </row>
    <row r="1410" ht="15" customHeight="1">
      <c r="A1410" s="737" t="inlineStr">
        <is>
          <t>F146</t>
        </is>
      </c>
      <c r="B1410" s="738" t="n">
        <v>43342.45833333334</v>
      </c>
      <c r="C1410" s="739" t="n">
        <v>43342.45839120371</v>
      </c>
      <c r="D1410" s="740" t="inlineStr">
        <is>
          <t>PEPPERSTONE LIVE</t>
        </is>
      </c>
      <c r="E1410" s="740" t="inlineStr">
        <is>
          <t>NZDUSD</t>
        </is>
      </c>
      <c r="F1410" s="740" t="inlineStr">
        <is>
          <t>SELL</t>
        </is>
      </c>
      <c r="G1410" s="742" t="n">
        <v>0.48</v>
      </c>
      <c r="H1410" s="742" t="n">
        <v>0.67037</v>
      </c>
      <c r="I1410" s="742" t="n">
        <v>0.66974</v>
      </c>
      <c r="J1410" s="743" t="n">
        <v>0.6706</v>
      </c>
      <c r="K1410" s="765" t="n">
        <v>0.0003430941122066209</v>
      </c>
      <c r="L1410" s="743" t="n">
        <v>0.6697</v>
      </c>
      <c r="M1410" s="765" t="n">
        <v>0.0009994480659934952</v>
      </c>
      <c r="N1410" s="796" t="n"/>
      <c r="O1410" s="767" t="n">
        <v>41.38</v>
      </c>
      <c r="P1410" s="747" t="n">
        <v>0.010345</v>
      </c>
      <c r="Q1410" s="748" t="n">
        <v>2.739130434783259</v>
      </c>
      <c r="R1410" s="769" t="n">
        <v>4041.38</v>
      </c>
      <c r="S1410" s="740" t="inlineStr">
        <is>
          <t>5S</t>
        </is>
      </c>
      <c r="T1410" s="750" t="n"/>
      <c r="U1410" s="751" t="n"/>
      <c r="V1410" s="752" t="n"/>
      <c r="W1410" s="753" t="n"/>
      <c r="X1410" s="754" t="n"/>
      <c r="Y1410" s="750" t="n"/>
      <c r="Z1410" s="751" t="n"/>
      <c r="AA1410" s="752" t="n"/>
      <c r="AB1410" s="753" t="n"/>
      <c r="AC1410" s="754" t="n"/>
      <c r="AD1410" s="740" t="inlineStr">
        <is>
          <t>No</t>
        </is>
      </c>
      <c r="AE1410" s="755" t="n"/>
      <c r="AF1410" s="755" t="n"/>
      <c r="AG1410" s="755" t="n"/>
      <c r="AH1410" s="755" t="n"/>
      <c r="AI1410" s="740" t="inlineStr">
        <is>
          <t>Limit</t>
        </is>
      </c>
      <c r="AJ1410" s="755" t="n"/>
      <c r="AK1410" s="755" t="n"/>
      <c r="AL1410" s="755" t="n"/>
      <c r="AM1410" s="755" t="n"/>
      <c r="AN1410" s="755" t="n"/>
      <c r="AO1410" s="755" t="n"/>
      <c r="AP1410" s="740" t="inlineStr">
        <is>
          <t>News Scalp</t>
        </is>
      </c>
      <c r="AQ1410" s="740" t="inlineStr">
        <is>
          <t>1MIN</t>
        </is>
      </c>
      <c r="AR1410" s="740" t="inlineStr">
        <is>
          <t>No</t>
        </is>
      </c>
      <c r="AS1410" s="787" t="n"/>
      <c r="AT1410" s="755" t="n"/>
      <c r="AU1410" s="740" t="n"/>
      <c r="AV1410" s="740" t="n"/>
      <c r="AW1410" s="740" t="inlineStr">
        <is>
          <t>trade</t>
        </is>
      </c>
      <c r="AX1410" s="756" t="inlineStr">
        <is>
          <t>sig:026d3352e4b7b3164cc97d78</t>
        </is>
      </c>
    </row>
    <row r="1411" ht="15" customHeight="1">
      <c r="A1411" s="42" t="inlineStr">
        <is>
          <t>F144</t>
        </is>
      </c>
      <c r="B1411" s="770" t="n">
        <v>43340.91875</v>
      </c>
      <c r="C1411" s="771" t="n">
        <v>43341.17708333334</v>
      </c>
      <c r="D1411" s="12" t="inlineStr">
        <is>
          <t>PEPPERSTONE DEMO</t>
        </is>
      </c>
      <c r="E1411" s="12" t="inlineStr">
        <is>
          <t>USDCHF</t>
        </is>
      </c>
      <c r="F1411" s="12" t="inlineStr">
        <is>
          <t>SELL</t>
        </is>
      </c>
      <c r="G1411" s="262" t="n">
        <v>0.17</v>
      </c>
      <c r="H1411" s="262" t="n">
        <v>0.9755</v>
      </c>
      <c r="I1411" s="262" t="n">
        <v>0.97557</v>
      </c>
      <c r="J1411" s="263" t="n"/>
      <c r="K1411" s="36" t="n"/>
      <c r="L1411" s="263" t="n">
        <v>0.9739</v>
      </c>
      <c r="M1411" s="36" t="n">
        <v>0.001640184520758632</v>
      </c>
      <c r="N1411" s="779" t="n"/>
      <c r="O1411" s="773" t="n">
        <v>0</v>
      </c>
      <c r="P1411" s="3" t="n">
        <v>0</v>
      </c>
      <c r="Q1411" s="51" t="n"/>
      <c r="R1411" s="54" t="n">
        <v>4974.96</v>
      </c>
      <c r="S1411" s="12" t="inlineStr">
        <is>
          <t>6H 12M 0S</t>
        </is>
      </c>
      <c r="T1411" s="774" t="n"/>
      <c r="U1411" s="6" t="n"/>
      <c r="V1411" s="264" t="n"/>
      <c r="W1411" s="9" t="n"/>
      <c r="X1411" s="46" t="n"/>
      <c r="Y1411" s="774" t="n"/>
      <c r="Z1411" s="6" t="n"/>
      <c r="AA1411" s="264" t="n"/>
      <c r="AB1411" s="9" t="n"/>
      <c r="AC1411" s="46" t="n"/>
      <c r="AD1411" s="12" t="inlineStr">
        <is>
          <t>No</t>
        </is>
      </c>
      <c r="AE1411" s="45" t="n"/>
      <c r="AF1411" s="45" t="n"/>
      <c r="AG1411" s="45" t="n"/>
      <c r="AH1411" s="45" t="n"/>
      <c r="AI1411" s="12" t="n"/>
      <c r="AJ1411" s="45" t="n"/>
      <c r="AK1411" s="45" t="n"/>
      <c r="AL1411" s="45" t="n"/>
      <c r="AM1411" s="45" t="n"/>
      <c r="AN1411" s="45" t="n"/>
      <c r="AO1411" s="45" t="n"/>
      <c r="AP1411" s="12" t="inlineStr">
        <is>
          <t>Pullback</t>
        </is>
      </c>
      <c r="AQ1411" s="12" t="n"/>
      <c r="AR1411" s="12" t="inlineStr">
        <is>
          <t>Yes</t>
        </is>
      </c>
      <c r="AS1411" s="45" t="n"/>
      <c r="AT1411" s="45" t="n"/>
      <c r="AU1411" s="45" t="n"/>
      <c r="AV1411" s="45" t="n"/>
      <c r="AW1411" s="12" t="inlineStr">
        <is>
          <t>trade</t>
        </is>
      </c>
      <c r="AX1411" s="57" t="inlineStr">
        <is>
          <t>sig:492e37eb4ced0f8428b03870</t>
        </is>
      </c>
    </row>
    <row r="1412" ht="15" customHeight="1">
      <c r="A1412" s="716" t="inlineStr">
        <is>
          <t>F689</t>
        </is>
      </c>
      <c r="B1412" s="717" t="n">
        <v>43340.44791666666</v>
      </c>
      <c r="C1412" s="718" t="n">
        <v>43340.45833333334</v>
      </c>
      <c r="D1412" s="719" t="inlineStr">
        <is>
          <t>PEPPERSTONE DEMO</t>
        </is>
      </c>
      <c r="E1412" s="719" t="inlineStr">
        <is>
          <t>NZDUSD</t>
        </is>
      </c>
      <c r="F1412" s="719" t="inlineStr">
        <is>
          <t>BUY</t>
        </is>
      </c>
      <c r="G1412" s="720" t="n">
        <v>0.23</v>
      </c>
      <c r="H1412" s="720" t="n">
        <v>0.6711</v>
      </c>
      <c r="I1412" s="720" t="n">
        <v>0.67039</v>
      </c>
      <c r="J1412" s="721" t="n">
        <v>0.6703</v>
      </c>
      <c r="K1412" s="722" t="n">
        <v>0.001192072716435737</v>
      </c>
      <c r="L1412" s="789" t="n"/>
      <c r="M1412" s="732" t="n"/>
      <c r="N1412" s="788" t="n"/>
      <c r="O1412" s="762" t="n">
        <v>-25.04</v>
      </c>
      <c r="P1412" s="725" t="n">
        <v>-0.005007999999999999</v>
      </c>
      <c r="Q1412" s="726" t="n">
        <v>-0.8874999999999601</v>
      </c>
      <c r="R1412" s="764" t="n">
        <v>4974.96</v>
      </c>
      <c r="S1412" s="719" t="inlineStr">
        <is>
          <t>15M 0S</t>
        </is>
      </c>
      <c r="T1412" s="728" t="n"/>
      <c r="U1412" s="729" t="n"/>
      <c r="V1412" s="730" t="n"/>
      <c r="W1412" s="731" t="n"/>
      <c r="X1412" s="732" t="n"/>
      <c r="Y1412" s="728" t="n"/>
      <c r="Z1412" s="729" t="n"/>
      <c r="AA1412" s="730" t="n"/>
      <c r="AB1412" s="731" t="n"/>
      <c r="AC1412" s="732" t="n"/>
      <c r="AD1412" s="719" t="inlineStr">
        <is>
          <t>No</t>
        </is>
      </c>
      <c r="AE1412" s="733" t="n"/>
      <c r="AF1412" s="733" t="n"/>
      <c r="AG1412" s="733" t="n"/>
      <c r="AH1412" s="733" t="n"/>
      <c r="AI1412" s="733" t="n"/>
      <c r="AJ1412" s="733" t="n"/>
      <c r="AK1412" s="733" t="n"/>
      <c r="AL1412" s="733" t="n"/>
      <c r="AM1412" s="733" t="n"/>
      <c r="AN1412" s="733" t="n"/>
      <c r="AO1412" s="733" t="n"/>
      <c r="AP1412" s="719" t="inlineStr">
        <is>
          <t>Pullback</t>
        </is>
      </c>
      <c r="AQ1412" s="733" t="n"/>
      <c r="AR1412" s="719" t="inlineStr">
        <is>
          <t>No</t>
        </is>
      </c>
      <c r="AS1412" s="733" t="n"/>
      <c r="AT1412" s="733" t="n"/>
      <c r="AU1412" s="733" t="n"/>
      <c r="AV1412" s="733" t="n"/>
      <c r="AW1412" s="719" t="inlineStr">
        <is>
          <t>trade</t>
        </is>
      </c>
      <c r="AX1412" s="734" t="inlineStr">
        <is>
          <t>sig:0931e50c97c955a12918820a</t>
        </is>
      </c>
    </row>
    <row r="1413" ht="15" customHeight="1">
      <c r="A1413" s="737" t="inlineStr">
        <is>
          <t>F142</t>
        </is>
      </c>
      <c r="B1413" s="738" t="n">
        <v>43339.94375</v>
      </c>
      <c r="C1413" s="739" t="n">
        <v>43340.00138888889</v>
      </c>
      <c r="D1413" s="740" t="inlineStr">
        <is>
          <t>PEPPERSTONE DEMO</t>
        </is>
      </c>
      <c r="E1413" s="740" t="inlineStr">
        <is>
          <t>GBPUSD</t>
        </is>
      </c>
      <c r="F1413" s="740" t="inlineStr">
        <is>
          <t>BUY</t>
        </is>
      </c>
      <c r="G1413" s="742" t="n">
        <v>0.4</v>
      </c>
      <c r="H1413" s="742" t="n">
        <v>1.2876</v>
      </c>
      <c r="I1413" s="742" t="n">
        <v>1.28865</v>
      </c>
      <c r="J1413" s="743" t="n">
        <v>1.2871</v>
      </c>
      <c r="K1413" s="765" t="n">
        <v>0.0003883193538367249</v>
      </c>
      <c r="L1413" s="743" t="n"/>
      <c r="M1413" s="744" t="n"/>
      <c r="N1413" s="796" t="n"/>
      <c r="O1413" s="767" t="n">
        <v>28.36</v>
      </c>
      <c r="P1413" s="747" t="n">
        <v>0.005704355102139334</v>
      </c>
      <c r="Q1413" s="748" t="n">
        <v>2.09999999999929</v>
      </c>
      <c r="R1413" s="769" t="n">
        <v>5000</v>
      </c>
      <c r="S1413" s="740" t="inlineStr">
        <is>
          <t>1H 23M 0S</t>
        </is>
      </c>
      <c r="T1413" s="738" t="n">
        <v>43339.98055555556</v>
      </c>
      <c r="U1413" s="809" t="inlineStr">
        <is>
          <t>53M 0S</t>
        </is>
      </c>
      <c r="V1413" s="752" t="n"/>
      <c r="W1413" s="753" t="n"/>
      <c r="X1413" s="754" t="n"/>
      <c r="Y1413" s="750" t="n"/>
      <c r="Z1413" s="751" t="n"/>
      <c r="AA1413" s="752" t="n"/>
      <c r="AB1413" s="753" t="n"/>
      <c r="AC1413" s="754" t="n"/>
      <c r="AD1413" s="740" t="inlineStr">
        <is>
          <t>No</t>
        </is>
      </c>
      <c r="AE1413" s="755" t="n"/>
      <c r="AF1413" s="755" t="n"/>
      <c r="AG1413" s="755" t="n"/>
      <c r="AH1413" s="755" t="n"/>
      <c r="AI1413" s="755" t="n"/>
      <c r="AJ1413" s="755" t="n"/>
      <c r="AK1413" s="755" t="n"/>
      <c r="AL1413" s="755" t="n"/>
      <c r="AM1413" s="755" t="n"/>
      <c r="AN1413" s="755" t="n"/>
      <c r="AO1413" s="755" t="n"/>
      <c r="AP1413" s="740" t="inlineStr">
        <is>
          <t>Pullback</t>
        </is>
      </c>
      <c r="AQ1413" s="740" t="inlineStr">
        <is>
          <t>5MIN</t>
        </is>
      </c>
      <c r="AR1413" s="740" t="inlineStr">
        <is>
          <t>No</t>
        </is>
      </c>
      <c r="AS1413" s="755" t="n"/>
      <c r="AT1413" s="755" t="n"/>
      <c r="AU1413" s="755" t="n"/>
      <c r="AV1413" s="755" t="n"/>
      <c r="AW1413" s="740" t="inlineStr">
        <is>
          <t>trade</t>
        </is>
      </c>
      <c r="AX1413" s="756" t="inlineStr">
        <is>
          <t>sig:9b35511c7ff180a24de593aa</t>
        </is>
      </c>
    </row>
    <row r="1414" ht="15" customHeight="1">
      <c r="A1414" s="42" t="n"/>
      <c r="B1414" s="770" t="n">
        <v>43340</v>
      </c>
      <c r="C1414" s="771" t="n">
        <v>43340</v>
      </c>
      <c r="D1414" s="12" t="inlineStr">
        <is>
          <t>PEPPERSTONE DEMO</t>
        </is>
      </c>
      <c r="E1414" s="12" t="inlineStr">
        <is>
          <t>CASHFLOW</t>
        </is>
      </c>
      <c r="F1414" s="12" t="inlineStr">
        <is>
          <t>WITHDRAWAL</t>
        </is>
      </c>
      <c r="G1414" s="262" t="n"/>
      <c r="H1414" s="262" t="n"/>
      <c r="I1414" s="262" t="n"/>
      <c r="J1414" s="263" t="n"/>
      <c r="K1414" s="36" t="n"/>
      <c r="L1414" s="263" t="n"/>
      <c r="M1414" s="36" t="n"/>
      <c r="N1414" s="779" t="n"/>
      <c r="O1414" s="773" t="n"/>
      <c r="P1414" s="3" t="n"/>
      <c r="Q1414" s="51" t="n"/>
      <c r="R1414" s="54" t="n">
        <v>-28.36</v>
      </c>
      <c r="S1414" s="12" t="n"/>
      <c r="T1414" s="774" t="n"/>
      <c r="U1414" s="6" t="n"/>
      <c r="V1414" s="264" t="n"/>
      <c r="W1414" s="9" t="n"/>
      <c r="X1414" s="46" t="n"/>
      <c r="Y1414" s="774" t="n"/>
      <c r="Z1414" s="6" t="n"/>
      <c r="AA1414" s="264" t="n"/>
      <c r="AB1414" s="9" t="n"/>
      <c r="AC1414" s="46" t="n"/>
      <c r="AD1414" s="12" t="inlineStr">
        <is>
          <t>No</t>
        </is>
      </c>
      <c r="AE1414" s="45" t="n"/>
      <c r="AF1414" s="45" t="n"/>
      <c r="AG1414" s="45" t="n"/>
      <c r="AH1414" s="45" t="n"/>
      <c r="AI1414" s="12" t="n"/>
      <c r="AJ1414" s="45" t="n"/>
      <c r="AK1414" s="45" t="n"/>
      <c r="AL1414" s="45" t="n"/>
      <c r="AM1414" s="45" t="n"/>
      <c r="AN1414" s="45" t="n"/>
      <c r="AO1414" s="45" t="n"/>
      <c r="AP1414" s="12" t="n"/>
      <c r="AQ1414" s="12" t="n"/>
      <c r="AR1414" s="12" t="n"/>
      <c r="AS1414" s="56" t="inlineStr">
        <is>
          <t>Withdrawal -5566.15 AUD. Source: user_txt. Imported from account_cashflows.xlsx row 23.</t>
        </is>
      </c>
      <c r="AT1414" s="45" t="n"/>
      <c r="AU1414" s="12" t="n">
        <v>-28.36</v>
      </c>
      <c r="AV1414" s="12" t="inlineStr">
        <is>
          <t>AUD</t>
        </is>
      </c>
      <c r="AW1414" s="12" t="inlineStr">
        <is>
          <t>cashflow</t>
        </is>
      </c>
      <c r="AX1414" s="57" t="inlineStr">
        <is>
          <t>cashflow:PEPPERSTONE DEMO:2018-08-28T00:00:00:9</t>
        </is>
      </c>
    </row>
    <row r="1415" ht="15" customHeight="1">
      <c r="A1415" s="42" t="n"/>
      <c r="B1415" s="770" t="n">
        <v>43340</v>
      </c>
      <c r="C1415" s="771" t="n">
        <v>43340</v>
      </c>
      <c r="D1415" s="12" t="inlineStr">
        <is>
          <t>PEPPERSTONE DEMO</t>
        </is>
      </c>
      <c r="E1415" s="12" t="inlineStr">
        <is>
          <t>CASHFLOW</t>
        </is>
      </c>
      <c r="F1415" s="12" t="inlineStr">
        <is>
          <t>DEPOSIT</t>
        </is>
      </c>
      <c r="G1415" s="262" t="n"/>
      <c r="H1415" s="262" t="n"/>
      <c r="I1415" s="262" t="n"/>
      <c r="J1415" s="266" t="n"/>
      <c r="K1415" s="46" t="n"/>
      <c r="L1415" s="263" t="n"/>
      <c r="M1415" s="36" t="n"/>
      <c r="N1415" s="779" t="n"/>
      <c r="O1415" s="773" t="n"/>
      <c r="P1415" s="3" t="n"/>
      <c r="Q1415" s="49" t="n"/>
      <c r="R1415" s="54" t="n">
        <v>4971.64</v>
      </c>
      <c r="S1415" s="12" t="n"/>
      <c r="T1415" s="770" t="n"/>
      <c r="U1415" s="4" t="n"/>
      <c r="V1415" s="264" t="n"/>
      <c r="W1415" s="9" t="n"/>
      <c r="X1415" s="46" t="n"/>
      <c r="Y1415" s="774" t="n"/>
      <c r="Z1415" s="6" t="n"/>
      <c r="AA1415" s="264" t="n"/>
      <c r="AB1415" s="9" t="n"/>
      <c r="AC1415" s="46" t="n"/>
      <c r="AD1415" s="12" t="inlineStr">
        <is>
          <t>No</t>
        </is>
      </c>
      <c r="AE1415" s="45" t="n"/>
      <c r="AF1415" s="45" t="n"/>
      <c r="AG1415" s="45" t="n"/>
      <c r="AH1415" s="45" t="n"/>
      <c r="AI1415" s="45" t="n"/>
      <c r="AJ1415" s="45" t="n"/>
      <c r="AK1415" s="45" t="n"/>
      <c r="AL1415" s="45" t="n"/>
      <c r="AM1415" s="45" t="n"/>
      <c r="AN1415" s="45" t="n"/>
      <c r="AO1415" s="45" t="n"/>
      <c r="AP1415" s="12" t="n"/>
      <c r="AQ1415" s="12" t="n"/>
      <c r="AR1415" s="12" t="n"/>
      <c r="AS1415" s="56" t="inlineStr">
        <is>
          <t>Deposit 5000.0 AUD. Source: user_txt. Imported from account_cashflows.xlsx row 24.</t>
        </is>
      </c>
      <c r="AT1415" s="45" t="n"/>
      <c r="AU1415" s="12" t="n">
        <v>4971.64</v>
      </c>
      <c r="AV1415" s="12" t="inlineStr">
        <is>
          <t>AUD</t>
        </is>
      </c>
      <c r="AW1415" s="12" t="inlineStr">
        <is>
          <t>cashflow</t>
        </is>
      </c>
      <c r="AX1415" s="57" t="inlineStr">
        <is>
          <t>cashflow:PEPPERSTONE DEMO:2018-08-28T00:00:00:10</t>
        </is>
      </c>
    </row>
    <row r="1416" ht="15" customHeight="1">
      <c r="A1416" s="716" t="inlineStr">
        <is>
          <t>F141</t>
        </is>
      </c>
      <c r="B1416" s="717" t="n">
        <v>43339.73819444444</v>
      </c>
      <c r="C1416" s="718" t="n">
        <v>43339.74375</v>
      </c>
      <c r="D1416" s="719" t="inlineStr">
        <is>
          <t>PEPPERSTONE DEMO</t>
        </is>
      </c>
      <c r="E1416" s="719" t="inlineStr">
        <is>
          <t>EURUSD</t>
        </is>
      </c>
      <c r="F1416" s="719" t="inlineStr">
        <is>
          <t>SELL</t>
        </is>
      </c>
      <c r="G1416" s="720" t="n">
        <v>0.5</v>
      </c>
      <c r="H1416" s="720" t="n">
        <v>1.1606</v>
      </c>
      <c r="I1416" s="720" t="n">
        <v>1.1611</v>
      </c>
      <c r="J1416" s="721" t="n">
        <v>1.1611</v>
      </c>
      <c r="K1416" s="760" t="n">
        <v>0.0004308116491469455</v>
      </c>
      <c r="L1416" s="721" t="n"/>
      <c r="M1416" s="722" t="n"/>
      <c r="N1416" s="788" t="n"/>
      <c r="O1416" s="762" t="n">
        <v>-28.71</v>
      </c>
      <c r="P1416" s="725" t="n">
        <v>-0.002728213490545329</v>
      </c>
      <c r="Q1416" s="726" t="n">
        <v>-1</v>
      </c>
      <c r="R1416" s="764" t="n">
        <v>10494.66</v>
      </c>
      <c r="S1416" s="719" t="inlineStr">
        <is>
          <t>8M 0S</t>
        </is>
      </c>
      <c r="T1416" s="728" t="n"/>
      <c r="U1416" s="729" t="n"/>
      <c r="V1416" s="730" t="n"/>
      <c r="W1416" s="731" t="n"/>
      <c r="X1416" s="732" t="n"/>
      <c r="Y1416" s="728" t="n"/>
      <c r="Z1416" s="729" t="n"/>
      <c r="AA1416" s="730" t="n"/>
      <c r="AB1416" s="731" t="n"/>
      <c r="AC1416" s="732" t="n"/>
      <c r="AD1416" s="719" t="inlineStr">
        <is>
          <t>No</t>
        </is>
      </c>
      <c r="AE1416" s="733" t="n"/>
      <c r="AF1416" s="733" t="n"/>
      <c r="AG1416" s="733" t="n"/>
      <c r="AH1416" s="733" t="n"/>
      <c r="AI1416" s="719" t="inlineStr">
        <is>
          <t>Limit</t>
        </is>
      </c>
      <c r="AJ1416" s="733" t="n"/>
      <c r="AK1416" s="733" t="n"/>
      <c r="AL1416" s="733" t="n"/>
      <c r="AM1416" s="733" t="n"/>
      <c r="AN1416" s="733" t="n"/>
      <c r="AO1416" s="733" t="n"/>
      <c r="AP1416" s="719" t="inlineStr">
        <is>
          <t>Pullback</t>
        </is>
      </c>
      <c r="AQ1416" s="719" t="inlineStr">
        <is>
          <t>5MIN</t>
        </is>
      </c>
      <c r="AR1416" s="719" t="inlineStr">
        <is>
          <t>No</t>
        </is>
      </c>
      <c r="AS1416" s="733" t="n"/>
      <c r="AT1416" s="733" t="n"/>
      <c r="AU1416" s="733" t="n"/>
      <c r="AV1416" s="733" t="n"/>
      <c r="AW1416" s="719" t="inlineStr">
        <is>
          <t>trade</t>
        </is>
      </c>
      <c r="AX1416" s="734" t="inlineStr">
        <is>
          <t>sig:626adf30487b4a9e3d3f9eac</t>
        </is>
      </c>
    </row>
    <row r="1417" ht="15" customHeight="1">
      <c r="A1417" s="716" t="inlineStr">
        <is>
          <t>F143</t>
        </is>
      </c>
      <c r="B1417" s="717" t="n">
        <v>43339.42013888889</v>
      </c>
      <c r="C1417" s="718" t="n">
        <v>43339.42083333333</v>
      </c>
      <c r="D1417" s="719" t="inlineStr">
        <is>
          <t>PEPPERSTONE DEMO</t>
        </is>
      </c>
      <c r="E1417" s="719" t="inlineStr">
        <is>
          <t>USDJPY</t>
        </is>
      </c>
      <c r="F1417" s="719" t="inlineStr">
        <is>
          <t>BUY</t>
        </is>
      </c>
      <c r="G1417" s="720" t="n">
        <v>0.76</v>
      </c>
      <c r="H1417" s="720" t="n">
        <v>111.31</v>
      </c>
      <c r="I1417" s="720" t="n">
        <v>111.285</v>
      </c>
      <c r="J1417" s="721" t="n">
        <v>111.28</v>
      </c>
      <c r="K1417" s="760" t="n">
        <v>0.0002695175635612356</v>
      </c>
      <c r="L1417" s="721" t="n"/>
      <c r="M1417" s="722" t="n"/>
      <c r="N1417" s="788" t="n"/>
      <c r="O1417" s="762" t="n">
        <v>-23.25</v>
      </c>
      <c r="P1417" s="725" t="n">
        <v>-0.002204497744301018</v>
      </c>
      <c r="Q1417" s="726" t="n">
        <v>-0.8333333333334912</v>
      </c>
      <c r="R1417" s="764" t="n">
        <v>10523.37</v>
      </c>
      <c r="S1417" s="719" t="inlineStr">
        <is>
          <t>1M 0S</t>
        </is>
      </c>
      <c r="T1417" s="728" t="n"/>
      <c r="U1417" s="729" t="n"/>
      <c r="V1417" s="730" t="n"/>
      <c r="W1417" s="731" t="n"/>
      <c r="X1417" s="732" t="n"/>
      <c r="Y1417" s="728" t="n"/>
      <c r="Z1417" s="729" t="n"/>
      <c r="AA1417" s="730" t="n"/>
      <c r="AB1417" s="731" t="n"/>
      <c r="AC1417" s="732" t="n"/>
      <c r="AD1417" s="719" t="inlineStr">
        <is>
          <t>No</t>
        </is>
      </c>
      <c r="AE1417" s="733" t="n"/>
      <c r="AF1417" s="733" t="n"/>
      <c r="AG1417" s="733" t="n"/>
      <c r="AH1417" s="733" t="n"/>
      <c r="AI1417" s="733" t="n"/>
      <c r="AJ1417" s="733" t="n"/>
      <c r="AK1417" s="733" t="n"/>
      <c r="AL1417" s="733" t="n"/>
      <c r="AM1417" s="733" t="n"/>
      <c r="AN1417" s="733" t="n"/>
      <c r="AO1417" s="733" t="n"/>
      <c r="AP1417" s="719" t="inlineStr">
        <is>
          <t>Pullback</t>
        </is>
      </c>
      <c r="AQ1417" s="719" t="inlineStr">
        <is>
          <t>5MIN</t>
        </is>
      </c>
      <c r="AR1417" s="719" t="inlineStr">
        <is>
          <t>No</t>
        </is>
      </c>
      <c r="AS1417" s="733" t="n"/>
      <c r="AT1417" s="733" t="n"/>
      <c r="AU1417" s="733" t="n"/>
      <c r="AV1417" s="733" t="n"/>
      <c r="AW1417" s="719" t="inlineStr">
        <is>
          <t>trade</t>
        </is>
      </c>
      <c r="AX1417" s="734" t="inlineStr">
        <is>
          <t>sig:3538595e175dfaa9f878e4ef</t>
        </is>
      </c>
    </row>
    <row r="1418" ht="15" customHeight="1">
      <c r="A1418" s="42" t="n"/>
      <c r="B1418" s="770" t="n">
        <v>43339</v>
      </c>
      <c r="C1418" s="771" t="n">
        <v>43339</v>
      </c>
      <c r="D1418" s="12" t="inlineStr">
        <is>
          <t>PEPPERSTONE LIVE</t>
        </is>
      </c>
      <c r="E1418" s="12" t="inlineStr">
        <is>
          <t>CASHFLOW</t>
        </is>
      </c>
      <c r="F1418" s="12" t="inlineStr">
        <is>
          <t>DEPOSIT</t>
        </is>
      </c>
      <c r="G1418" s="262" t="n"/>
      <c r="H1418" s="262" t="n"/>
      <c r="I1418" s="262" t="n"/>
      <c r="J1418" s="263" t="n"/>
      <c r="K1418" s="36" t="n"/>
      <c r="L1418" s="266" t="n"/>
      <c r="M1418" s="46" t="n"/>
      <c r="N1418" s="779" t="n"/>
      <c r="O1418" s="773" t="n"/>
      <c r="P1418" s="3" t="n"/>
      <c r="Q1418" s="51" t="n"/>
      <c r="R1418" s="54" t="n">
        <v>4000</v>
      </c>
      <c r="S1418" s="12" t="n"/>
      <c r="T1418" s="774" t="n"/>
      <c r="U1418" s="6" t="n"/>
      <c r="V1418" s="264" t="n"/>
      <c r="W1418" s="9" t="n"/>
      <c r="X1418" s="46" t="n"/>
      <c r="Y1418" s="774" t="n"/>
      <c r="Z1418" s="6" t="n"/>
      <c r="AA1418" s="264" t="n"/>
      <c r="AB1418" s="9" t="n"/>
      <c r="AC1418" s="46" t="n"/>
      <c r="AD1418" s="12" t="inlineStr">
        <is>
          <t>No</t>
        </is>
      </c>
      <c r="AE1418" s="45" t="n"/>
      <c r="AF1418" s="45" t="n"/>
      <c r="AG1418" s="45" t="n"/>
      <c r="AH1418" s="45" t="n"/>
      <c r="AI1418" s="45" t="n"/>
      <c r="AJ1418" s="45" t="n"/>
      <c r="AK1418" s="45" t="n"/>
      <c r="AL1418" s="45" t="n"/>
      <c r="AM1418" s="45" t="n"/>
      <c r="AN1418" s="45" t="n"/>
      <c r="AO1418" s="45" t="n"/>
      <c r="AP1418" s="12" t="n"/>
      <c r="AQ1418" s="12" t="n"/>
      <c r="AR1418" s="12" t="n"/>
      <c r="AS1418" s="56" t="inlineStr">
        <is>
          <t>Deposit 3800.0 AUD. Source: screenshot_ocr. Imported from account_cashflows.xlsx row 80.</t>
        </is>
      </c>
      <c r="AT1418" s="45" t="n"/>
      <c r="AU1418" s="12" t="n">
        <v>4000</v>
      </c>
      <c r="AV1418" s="12" t="inlineStr">
        <is>
          <t>AUD</t>
        </is>
      </c>
      <c r="AW1418" s="12" t="inlineStr">
        <is>
          <t>cashflow</t>
        </is>
      </c>
      <c r="AX1418" s="57" t="inlineStr">
        <is>
          <t>cashflow:PEPPERSTONE LIVE:2018-08-27T00:00:00:1</t>
        </is>
      </c>
    </row>
    <row r="1419" ht="15" customHeight="1">
      <c r="A1419" s="737" t="inlineStr">
        <is>
          <t>F138</t>
        </is>
      </c>
      <c r="B1419" s="738" t="n">
        <v>43336.9375</v>
      </c>
      <c r="C1419" s="739" t="n">
        <v>43336.94652777778</v>
      </c>
      <c r="D1419" s="740" t="inlineStr">
        <is>
          <t>PEPPERSTONE DEMO</t>
        </is>
      </c>
      <c r="E1419" s="740" t="inlineStr">
        <is>
          <t>USDCAD</t>
        </is>
      </c>
      <c r="F1419" s="740" t="inlineStr">
        <is>
          <t>SELL</t>
        </is>
      </c>
      <c r="G1419" s="742" t="n">
        <v>0.66</v>
      </c>
      <c r="H1419" s="742" t="n">
        <v>1.30683</v>
      </c>
      <c r="I1419" s="742" t="n">
        <v>1.3068</v>
      </c>
      <c r="J1419" s="743" t="n">
        <v>1.3072</v>
      </c>
      <c r="K1419" s="765" t="n">
        <v>0.0002831278743218181</v>
      </c>
      <c r="L1419" s="743" t="n">
        <v>1.306</v>
      </c>
      <c r="M1419" s="765" t="n">
        <v>0.0006351246910461854</v>
      </c>
      <c r="N1419" s="796" t="n"/>
      <c r="O1419" s="767" t="n">
        <v>0.23</v>
      </c>
      <c r="P1419" s="768" t="n">
        <v>2.180841027119232e-05</v>
      </c>
      <c r="Q1419" s="814" t="n">
        <v>0.08108108108101621</v>
      </c>
      <c r="R1419" s="769" t="n">
        <v>10546.62</v>
      </c>
      <c r="S1419" s="740" t="inlineStr">
        <is>
          <t>13M 0S</t>
        </is>
      </c>
      <c r="T1419" s="750" t="n"/>
      <c r="U1419" s="751" t="n"/>
      <c r="V1419" s="752" t="n"/>
      <c r="W1419" s="753" t="n"/>
      <c r="X1419" s="754" t="n"/>
      <c r="Y1419" s="750" t="n"/>
      <c r="Z1419" s="751" t="n"/>
      <c r="AA1419" s="752" t="n"/>
      <c r="AB1419" s="753" t="n"/>
      <c r="AC1419" s="754" t="n"/>
      <c r="AD1419" s="740" t="inlineStr">
        <is>
          <t>No</t>
        </is>
      </c>
      <c r="AE1419" s="755" t="n"/>
      <c r="AF1419" s="755" t="n"/>
      <c r="AG1419" s="755" t="n"/>
      <c r="AH1419" s="755" t="n"/>
      <c r="AI1419" s="740" t="inlineStr">
        <is>
          <t>Limit</t>
        </is>
      </c>
      <c r="AJ1419" s="755" t="n"/>
      <c r="AK1419" s="755" t="n"/>
      <c r="AL1419" s="755" t="n"/>
      <c r="AM1419" s="755" t="n"/>
      <c r="AN1419" s="755" t="n"/>
      <c r="AO1419" s="755" t="n"/>
      <c r="AP1419" s="740" t="inlineStr">
        <is>
          <t>News Scalp</t>
        </is>
      </c>
      <c r="AQ1419" s="740" t="inlineStr">
        <is>
          <t>1MIN</t>
        </is>
      </c>
      <c r="AR1419" s="740" t="inlineStr">
        <is>
          <t>No</t>
        </is>
      </c>
      <c r="AS1419" s="755" t="n"/>
      <c r="AT1419" s="755" t="n"/>
      <c r="AU1419" s="755" t="n"/>
      <c r="AV1419" s="755" t="n"/>
      <c r="AW1419" s="740" t="inlineStr">
        <is>
          <t>trade</t>
        </is>
      </c>
      <c r="AX1419" s="756" t="inlineStr">
        <is>
          <t>sig:4b2dc9b6ac1b802eea759aa1</t>
        </is>
      </c>
    </row>
    <row r="1420" ht="15" customHeight="1">
      <c r="A1420" s="716" t="inlineStr">
        <is>
          <t>F1096</t>
        </is>
      </c>
      <c r="B1420" s="717" t="n">
        <v>43336.73680555556</v>
      </c>
      <c r="C1420" s="718" t="n">
        <v>43336.74444444444</v>
      </c>
      <c r="D1420" s="719" t="inlineStr">
        <is>
          <t>PEPPERSTONE DEMO</t>
        </is>
      </c>
      <c r="E1420" s="719" t="inlineStr">
        <is>
          <t>GBPUSD</t>
        </is>
      </c>
      <c r="F1420" s="719" t="inlineStr">
        <is>
          <t>BUY</t>
        </is>
      </c>
      <c r="G1420" s="720" t="n">
        <v>0.68</v>
      </c>
      <c r="H1420" s="720" t="n">
        <v>1.283</v>
      </c>
      <c r="I1420" s="720" t="n">
        <v>1.28291</v>
      </c>
      <c r="J1420" s="721" t="n">
        <v>1.2829</v>
      </c>
      <c r="K1420" s="799" t="n">
        <v>7.794232268120732e-05</v>
      </c>
      <c r="L1420" s="721" t="n"/>
      <c r="M1420" s="722" t="n"/>
      <c r="N1420" s="788" t="n"/>
      <c r="O1420" s="762" t="n">
        <v>-15.89</v>
      </c>
      <c r="P1420" s="725" t="n">
        <v>-0.001504410032682338</v>
      </c>
      <c r="Q1420" s="726" t="n">
        <v>-0.8999999999993339</v>
      </c>
      <c r="R1420" s="764" t="n">
        <v>10546.39</v>
      </c>
      <c r="S1420" s="719" t="inlineStr">
        <is>
          <t>11M 0S</t>
        </is>
      </c>
      <c r="T1420" s="728" t="n"/>
      <c r="U1420" s="729" t="n"/>
      <c r="V1420" s="730" t="n"/>
      <c r="W1420" s="731" t="n"/>
      <c r="X1420" s="732" t="n"/>
      <c r="Y1420" s="728" t="n"/>
      <c r="Z1420" s="729" t="n"/>
      <c r="AA1420" s="730" t="n"/>
      <c r="AB1420" s="731" t="n"/>
      <c r="AC1420" s="732" t="n"/>
      <c r="AD1420" s="719" t="inlineStr">
        <is>
          <t>No</t>
        </is>
      </c>
      <c r="AE1420" s="733" t="n"/>
      <c r="AF1420" s="733" t="n"/>
      <c r="AG1420" s="733" t="n"/>
      <c r="AH1420" s="733" t="n"/>
      <c r="AI1420" s="719" t="n"/>
      <c r="AJ1420" s="733" t="n"/>
      <c r="AK1420" s="733" t="n"/>
      <c r="AL1420" s="733" t="n"/>
      <c r="AM1420" s="733" t="n"/>
      <c r="AN1420" s="733" t="n"/>
      <c r="AO1420" s="733" t="n"/>
      <c r="AP1420" s="719" t="inlineStr">
        <is>
          <t>Pullback</t>
        </is>
      </c>
      <c r="AQ1420" s="719" t="n"/>
      <c r="AR1420" s="719" t="inlineStr">
        <is>
          <t>No</t>
        </is>
      </c>
      <c r="AS1420" s="733" t="n"/>
      <c r="AT1420" s="733" t="n"/>
      <c r="AU1420" s="733" t="n"/>
      <c r="AV1420" s="733" t="n"/>
      <c r="AW1420" s="719" t="inlineStr">
        <is>
          <t>trade</t>
        </is>
      </c>
      <c r="AX1420" s="734" t="inlineStr">
        <is>
          <t>sig:be2415103fb1215730f3e6e9</t>
        </is>
      </c>
    </row>
    <row r="1421" ht="15" customHeight="1">
      <c r="A1421" s="716" t="inlineStr">
        <is>
          <t>F140</t>
        </is>
      </c>
      <c r="B1421" s="717" t="n">
        <v>43336.71875</v>
      </c>
      <c r="C1421" s="718" t="n">
        <v>43336.71944444445</v>
      </c>
      <c r="D1421" s="719" t="inlineStr">
        <is>
          <t>PEPPERSTONE DEMO</t>
        </is>
      </c>
      <c r="E1421" s="719" t="inlineStr">
        <is>
          <t>GBPUSD</t>
        </is>
      </c>
      <c r="F1421" s="719" t="inlineStr">
        <is>
          <t>BUY</t>
        </is>
      </c>
      <c r="G1421" s="720" t="n">
        <v>0.68</v>
      </c>
      <c r="H1421" s="720" t="n">
        <v>1.2838</v>
      </c>
      <c r="I1421" s="720" t="n">
        <v>1.28341</v>
      </c>
      <c r="J1421" s="721" t="n">
        <v>1.2834</v>
      </c>
      <c r="K1421" s="760" t="n">
        <v>0.0003115750116840286</v>
      </c>
      <c r="L1421" s="721" t="n">
        <v>1.2841</v>
      </c>
      <c r="M1421" s="760" t="n">
        <v>0.0002336812587630215</v>
      </c>
      <c r="N1421" s="788" t="n"/>
      <c r="O1421" s="762" t="n">
        <v>-40.15</v>
      </c>
      <c r="P1421" s="725" t="n">
        <v>-0.00378686772749266</v>
      </c>
      <c r="Q1421" s="726" t="n">
        <v>-0.9750000000003886</v>
      </c>
      <c r="R1421" s="764" t="n">
        <v>10562.28</v>
      </c>
      <c r="S1421" s="719" t="inlineStr">
        <is>
          <t>1M 0S</t>
        </is>
      </c>
      <c r="T1421" s="728" t="n"/>
      <c r="U1421" s="729" t="n"/>
      <c r="V1421" s="730" t="n"/>
      <c r="W1421" s="731" t="n"/>
      <c r="X1421" s="732" t="n"/>
      <c r="Y1421" s="728" t="n"/>
      <c r="Z1421" s="729" t="n"/>
      <c r="AA1421" s="730" t="n"/>
      <c r="AB1421" s="731" t="n"/>
      <c r="AC1421" s="732" t="n"/>
      <c r="AD1421" s="719" t="inlineStr">
        <is>
          <t>No</t>
        </is>
      </c>
      <c r="AE1421" s="733" t="n"/>
      <c r="AF1421" s="733" t="n"/>
      <c r="AG1421" s="733" t="n"/>
      <c r="AH1421" s="733" t="n"/>
      <c r="AI1421" s="733" t="n"/>
      <c r="AJ1421" s="733" t="n"/>
      <c r="AK1421" s="733" t="n"/>
      <c r="AL1421" s="733" t="n"/>
      <c r="AM1421" s="733" t="n"/>
      <c r="AN1421" s="733" t="n"/>
      <c r="AO1421" s="733" t="n"/>
      <c r="AP1421" s="719" t="inlineStr">
        <is>
          <t>Pullback</t>
        </is>
      </c>
      <c r="AQ1421" s="719" t="inlineStr">
        <is>
          <t>5MIN</t>
        </is>
      </c>
      <c r="AR1421" s="719" t="inlineStr">
        <is>
          <t>No</t>
        </is>
      </c>
      <c r="AS1421" s="733" t="n"/>
      <c r="AT1421" s="733" t="n"/>
      <c r="AU1421" s="733" t="n"/>
      <c r="AV1421" s="733" t="n"/>
      <c r="AW1421" s="719" t="inlineStr">
        <is>
          <t>trade</t>
        </is>
      </c>
      <c r="AX1421" s="734" t="inlineStr">
        <is>
          <t>sig:f63b1d7ca4fa797af17f023d</t>
        </is>
      </c>
    </row>
    <row r="1422" ht="15" customHeight="1">
      <c r="A1422" s="737" t="inlineStr">
        <is>
          <t>F135</t>
        </is>
      </c>
      <c r="B1422" s="738" t="n">
        <v>43334.9375</v>
      </c>
      <c r="C1422" s="739" t="n">
        <v>43334.94305555556</v>
      </c>
      <c r="D1422" s="740" t="inlineStr">
        <is>
          <t>PEPPERSTONE DEMO</t>
        </is>
      </c>
      <c r="E1422" s="740" t="inlineStr">
        <is>
          <t>USDCAD</t>
        </is>
      </c>
      <c r="F1422" s="740" t="inlineStr">
        <is>
          <t>SELL</t>
        </is>
      </c>
      <c r="G1422" s="742" t="n">
        <v>1.19</v>
      </c>
      <c r="H1422" s="742" t="n">
        <v>1.3021</v>
      </c>
      <c r="I1422" s="742" t="n">
        <v>1.30167</v>
      </c>
      <c r="J1422" s="743" t="n">
        <v>1.303</v>
      </c>
      <c r="K1422" s="765" t="n">
        <v>0.0006911911527531686</v>
      </c>
      <c r="L1422" s="743" t="n">
        <v>1.2985</v>
      </c>
      <c r="M1422" s="744" t="n">
        <v>0.002764764611013016</v>
      </c>
      <c r="N1422" s="796" t="n"/>
      <c r="O1422" s="767" t="n">
        <v>28.33</v>
      </c>
      <c r="P1422" s="747" t="n">
        <v>0.002679187826859969</v>
      </c>
      <c r="Q1422" s="748" t="n">
        <v>0.4777777777777531</v>
      </c>
      <c r="R1422" s="769" t="n">
        <v>10602.43</v>
      </c>
      <c r="S1422" s="740" t="inlineStr">
        <is>
          <t>8M 0S</t>
        </is>
      </c>
      <c r="T1422" s="750" t="n"/>
      <c r="U1422" s="751" t="n"/>
      <c r="V1422" s="752" t="n"/>
      <c r="W1422" s="753" t="n"/>
      <c r="X1422" s="754" t="n"/>
      <c r="Y1422" s="750" t="n"/>
      <c r="Z1422" s="751" t="n"/>
      <c r="AA1422" s="752" t="n"/>
      <c r="AB1422" s="753" t="n"/>
      <c r="AC1422" s="754" t="n"/>
      <c r="AD1422" s="740" t="inlineStr">
        <is>
          <t>No</t>
        </is>
      </c>
      <c r="AE1422" s="755" t="n"/>
      <c r="AF1422" s="755" t="n"/>
      <c r="AG1422" s="755" t="n"/>
      <c r="AH1422" s="755" t="n"/>
      <c r="AI1422" s="740" t="inlineStr">
        <is>
          <t>Limit</t>
        </is>
      </c>
      <c r="AJ1422" s="755" t="n"/>
      <c r="AK1422" s="755" t="n"/>
      <c r="AL1422" s="755" t="n"/>
      <c r="AM1422" s="755" t="n"/>
      <c r="AN1422" s="755" t="n"/>
      <c r="AO1422" s="755" t="n"/>
      <c r="AP1422" s="740" t="inlineStr">
        <is>
          <t>News Scalp</t>
        </is>
      </c>
      <c r="AQ1422" s="740" t="inlineStr">
        <is>
          <t>1MIN</t>
        </is>
      </c>
      <c r="AR1422" s="740" t="inlineStr">
        <is>
          <t>No</t>
        </is>
      </c>
      <c r="AS1422" s="755" t="n"/>
      <c r="AT1422" s="755" t="n"/>
      <c r="AU1422" s="755" t="n"/>
      <c r="AV1422" s="755" t="n"/>
      <c r="AW1422" s="740" t="inlineStr">
        <is>
          <t>trade</t>
        </is>
      </c>
      <c r="AX1422" s="756" t="inlineStr">
        <is>
          <t>sig:288f75e36b4c7cd6a0f32f12</t>
        </is>
      </c>
    </row>
    <row r="1423" ht="15" customHeight="1">
      <c r="A1423" s="737" t="inlineStr">
        <is>
          <t>F137</t>
        </is>
      </c>
      <c r="B1423" s="738" t="n">
        <v>43334.90625</v>
      </c>
      <c r="C1423" s="739" t="n">
        <v>43334.93402777778</v>
      </c>
      <c r="D1423" s="740" t="inlineStr">
        <is>
          <t>PEPPERSTONE DEMO</t>
        </is>
      </c>
      <c r="E1423" s="740" t="inlineStr">
        <is>
          <t>EURUSD</t>
        </is>
      </c>
      <c r="F1423" s="740" t="inlineStr">
        <is>
          <t>BUY</t>
        </is>
      </c>
      <c r="G1423" s="742" t="n">
        <v>0.67</v>
      </c>
      <c r="H1423" s="742" t="n">
        <v>1.1607</v>
      </c>
      <c r="I1423" s="742" t="n">
        <v>1.16178</v>
      </c>
      <c r="J1423" s="743" t="n"/>
      <c r="K1423" s="744" t="n"/>
      <c r="L1423" s="743" t="n">
        <v>1.1617</v>
      </c>
      <c r="M1423" s="765" t="n">
        <v>0.0008615490652191693</v>
      </c>
      <c r="N1423" s="796" t="n"/>
      <c r="O1423" s="767" t="n">
        <v>91.5</v>
      </c>
      <c r="P1423" s="747" t="n">
        <v>0.008728750500829946</v>
      </c>
      <c r="Q1423" s="748" t="n"/>
      <c r="R1423" s="769" t="n">
        <v>10574.1</v>
      </c>
      <c r="S1423" s="740" t="inlineStr">
        <is>
          <t>40M 0S</t>
        </is>
      </c>
      <c r="T1423" s="738" t="n">
        <v>43334.92777777778</v>
      </c>
      <c r="U1423" s="809" t="inlineStr">
        <is>
          <t>31M 0S</t>
        </is>
      </c>
      <c r="V1423" s="752" t="n"/>
      <c r="W1423" s="753" t="n"/>
      <c r="X1423" s="754" t="n"/>
      <c r="Y1423" s="750" t="n"/>
      <c r="Z1423" s="751" t="n"/>
      <c r="AA1423" s="752" t="n"/>
      <c r="AB1423" s="753" t="n"/>
      <c r="AC1423" s="754" t="n"/>
      <c r="AD1423" s="740" t="inlineStr">
        <is>
          <t>No</t>
        </is>
      </c>
      <c r="AE1423" s="755" t="n"/>
      <c r="AF1423" s="755" t="n"/>
      <c r="AG1423" s="755" t="n"/>
      <c r="AH1423" s="755" t="n"/>
      <c r="AI1423" s="755" t="n"/>
      <c r="AJ1423" s="755" t="n"/>
      <c r="AK1423" s="755" t="n"/>
      <c r="AL1423" s="755" t="n"/>
      <c r="AM1423" s="755" t="n"/>
      <c r="AN1423" s="755" t="n"/>
      <c r="AO1423" s="755" t="n"/>
      <c r="AP1423" s="740" t="inlineStr">
        <is>
          <t>Pullback</t>
        </is>
      </c>
      <c r="AQ1423" s="740" t="inlineStr">
        <is>
          <t>5MIN</t>
        </is>
      </c>
      <c r="AR1423" s="740" t="inlineStr">
        <is>
          <t>No</t>
        </is>
      </c>
      <c r="AS1423" s="755" t="n"/>
      <c r="AT1423" s="755" t="n"/>
      <c r="AU1423" s="755" t="n"/>
      <c r="AV1423" s="755" t="n"/>
      <c r="AW1423" s="740" t="inlineStr">
        <is>
          <t>trade</t>
        </is>
      </c>
      <c r="AX1423" s="756" t="inlineStr">
        <is>
          <t>sig:5472bf58b38a16286a2dab12</t>
        </is>
      </c>
    </row>
    <row r="1424" ht="15" customHeight="1">
      <c r="A1424" s="737" t="inlineStr">
        <is>
          <t>F136</t>
        </is>
      </c>
      <c r="B1424" s="738" t="n">
        <v>43334.36458333334</v>
      </c>
      <c r="C1424" s="739" t="n">
        <v>43334.37291666667</v>
      </c>
      <c r="D1424" s="740" t="inlineStr">
        <is>
          <t>PEPPERSTONE DEMO</t>
        </is>
      </c>
      <c r="E1424" s="740" t="inlineStr">
        <is>
          <t>NZDUSD</t>
        </is>
      </c>
      <c r="F1424" s="740" t="inlineStr">
        <is>
          <t>BUY</t>
        </is>
      </c>
      <c r="G1424" s="742" t="n">
        <v>0.44</v>
      </c>
      <c r="H1424" s="742" t="n">
        <v>0.6705</v>
      </c>
      <c r="I1424" s="742" t="n">
        <v>0.67152</v>
      </c>
      <c r="J1424" s="743" t="n">
        <v>0.6696</v>
      </c>
      <c r="K1424" s="744" t="n">
        <v>0.001342281879194649</v>
      </c>
      <c r="L1424" s="743" t="n">
        <v>0.6723</v>
      </c>
      <c r="M1424" s="744" t="n">
        <v>0.002684563758389297</v>
      </c>
      <c r="N1424" s="796" t="n"/>
      <c r="O1424" s="767" t="n">
        <v>37.98</v>
      </c>
      <c r="P1424" s="747" t="n">
        <v>0.003636321857568776</v>
      </c>
      <c r="Q1424" s="748" t="n">
        <v>1.133333333333342</v>
      </c>
      <c r="R1424" s="769" t="n">
        <v>10482.6</v>
      </c>
      <c r="S1424" s="740" t="inlineStr">
        <is>
          <t>12M 0S</t>
        </is>
      </c>
      <c r="T1424" s="750" t="n"/>
      <c r="U1424" s="751" t="n"/>
      <c r="V1424" s="752" t="n"/>
      <c r="W1424" s="753" t="n"/>
      <c r="X1424" s="754" t="n"/>
      <c r="Y1424" s="750" t="n"/>
      <c r="Z1424" s="751" t="n"/>
      <c r="AA1424" s="752" t="n"/>
      <c r="AB1424" s="753" t="n"/>
      <c r="AC1424" s="754" t="n"/>
      <c r="AD1424" s="740" t="inlineStr">
        <is>
          <t>No</t>
        </is>
      </c>
      <c r="AE1424" s="755" t="n"/>
      <c r="AF1424" s="755" t="n"/>
      <c r="AG1424" s="755" t="n"/>
      <c r="AH1424" s="755" t="n"/>
      <c r="AI1424" s="740" t="inlineStr">
        <is>
          <t>Limit</t>
        </is>
      </c>
      <c r="AJ1424" s="755" t="n"/>
      <c r="AK1424" s="755" t="n"/>
      <c r="AL1424" s="755" t="n"/>
      <c r="AM1424" s="755" t="n"/>
      <c r="AN1424" s="755" t="n"/>
      <c r="AO1424" s="755" t="n"/>
      <c r="AP1424" s="740" t="inlineStr">
        <is>
          <t>News Scalp</t>
        </is>
      </c>
      <c r="AQ1424" s="740" t="inlineStr">
        <is>
          <t>1MIN</t>
        </is>
      </c>
      <c r="AR1424" s="740" t="inlineStr">
        <is>
          <t>No</t>
        </is>
      </c>
      <c r="AS1424" s="755" t="n"/>
      <c r="AT1424" s="755" t="n"/>
      <c r="AU1424" s="755" t="n"/>
      <c r="AV1424" s="755" t="n"/>
      <c r="AW1424" s="740" t="inlineStr">
        <is>
          <t>trade</t>
        </is>
      </c>
      <c r="AX1424" s="756" t="inlineStr">
        <is>
          <t>sig:90d7e96f7db3db111ebb9909</t>
        </is>
      </c>
    </row>
    <row r="1425" ht="15" customHeight="1">
      <c r="A1425" s="716" t="inlineStr">
        <is>
          <t>F133</t>
        </is>
      </c>
      <c r="B1425" s="717" t="n">
        <v>43333.97222222222</v>
      </c>
      <c r="C1425" s="718" t="n">
        <v>43333.975</v>
      </c>
      <c r="D1425" s="719" t="inlineStr">
        <is>
          <t>PEPPERSTONE DEMO</t>
        </is>
      </c>
      <c r="E1425" s="719" t="inlineStr">
        <is>
          <t>USDJPY</t>
        </is>
      </c>
      <c r="F1425" s="719" t="inlineStr">
        <is>
          <t>BUY</t>
        </is>
      </c>
      <c r="G1425" s="720" t="n">
        <v>0.44</v>
      </c>
      <c r="H1425" s="720" t="n">
        <v>110.35</v>
      </c>
      <c r="I1425" s="720" t="n">
        <v>110.303</v>
      </c>
      <c r="J1425" s="721" t="n">
        <v>110.3</v>
      </c>
      <c r="K1425" s="760" t="n">
        <v>0.0004531037607611886</v>
      </c>
      <c r="L1425" s="721" t="n">
        <v>110.43</v>
      </c>
      <c r="M1425" s="760" t="n">
        <v>0.0007249660172180563</v>
      </c>
      <c r="N1425" s="788" t="n"/>
      <c r="O1425" s="762" t="n">
        <v>-26.06</v>
      </c>
      <c r="P1425" s="725" t="n">
        <v>-0.002488854592060878</v>
      </c>
      <c r="Q1425" s="726" t="n">
        <v>-0.9399999999999943</v>
      </c>
      <c r="R1425" s="764" t="n">
        <v>10444.62</v>
      </c>
      <c r="S1425" s="719" t="inlineStr">
        <is>
          <t>4M 0S</t>
        </is>
      </c>
      <c r="T1425" s="728" t="n"/>
      <c r="U1425" s="729" t="n"/>
      <c r="V1425" s="730" t="n"/>
      <c r="W1425" s="731" t="n"/>
      <c r="X1425" s="732" t="n"/>
      <c r="Y1425" s="728" t="n"/>
      <c r="Z1425" s="729" t="n"/>
      <c r="AA1425" s="730" t="n"/>
      <c r="AB1425" s="731" t="n"/>
      <c r="AC1425" s="732" t="n"/>
      <c r="AD1425" s="719" t="inlineStr">
        <is>
          <t>No</t>
        </is>
      </c>
      <c r="AE1425" s="733" t="n"/>
      <c r="AF1425" s="733" t="n"/>
      <c r="AG1425" s="733" t="n"/>
      <c r="AH1425" s="733" t="n"/>
      <c r="AI1425" s="719" t="n"/>
      <c r="AJ1425" s="733" t="n"/>
      <c r="AK1425" s="733" t="n"/>
      <c r="AL1425" s="733" t="n"/>
      <c r="AM1425" s="733" t="n"/>
      <c r="AN1425" s="733" t="n"/>
      <c r="AO1425" s="733" t="n"/>
      <c r="AP1425" s="719" t="inlineStr">
        <is>
          <t>Pullback</t>
        </is>
      </c>
      <c r="AQ1425" s="719" t="inlineStr">
        <is>
          <t>5MIN</t>
        </is>
      </c>
      <c r="AR1425" s="719" t="inlineStr">
        <is>
          <t>No</t>
        </is>
      </c>
      <c r="AS1425" s="733" t="n"/>
      <c r="AT1425" s="733" t="n"/>
      <c r="AU1425" s="733" t="n"/>
      <c r="AV1425" s="733" t="n"/>
      <c r="AW1425" s="719" t="inlineStr">
        <is>
          <t>trade</t>
        </is>
      </c>
      <c r="AX1425" s="734" t="inlineStr">
        <is>
          <t>sig:ef6d0749e9d41ab959533724</t>
        </is>
      </c>
    </row>
    <row r="1426" ht="15" customHeight="1">
      <c r="A1426" s="716" t="inlineStr">
        <is>
          <t>F134</t>
        </is>
      </c>
      <c r="B1426" s="717" t="n">
        <v>43333.72222222222</v>
      </c>
      <c r="C1426" s="718" t="n">
        <v>43333.72916666666</v>
      </c>
      <c r="D1426" s="719" t="inlineStr">
        <is>
          <t>PEPPERSTONE DEMO</t>
        </is>
      </c>
      <c r="E1426" s="719" t="inlineStr">
        <is>
          <t>GBPUSD</t>
        </is>
      </c>
      <c r="F1426" s="719" t="inlineStr">
        <is>
          <t>BUY</t>
        </is>
      </c>
      <c r="G1426" s="720" t="n">
        <v>0.51</v>
      </c>
      <c r="H1426" s="720" t="n">
        <v>1.2831</v>
      </c>
      <c r="I1426" s="720" t="n">
        <v>1.28239</v>
      </c>
      <c r="J1426" s="721" t="n">
        <v>1.2823</v>
      </c>
      <c r="K1426" s="760" t="n">
        <v>0.0006234899851920442</v>
      </c>
      <c r="L1426" s="721" t="n"/>
      <c r="M1426" s="722" t="n"/>
      <c r="N1426" s="788" t="n"/>
      <c r="O1426" s="762" t="n">
        <v>-51.34</v>
      </c>
      <c r="P1426" s="725" t="n">
        <v>-0.004879291238754536</v>
      </c>
      <c r="Q1426" s="726" t="n">
        <v>-0.8875000000000832</v>
      </c>
      <c r="R1426" s="764" t="n">
        <v>10470.68</v>
      </c>
      <c r="S1426" s="719" t="inlineStr">
        <is>
          <t>10M 0S</t>
        </is>
      </c>
      <c r="T1426" s="728" t="n"/>
      <c r="U1426" s="729" t="n"/>
      <c r="V1426" s="730" t="n"/>
      <c r="W1426" s="731" t="n"/>
      <c r="X1426" s="732" t="n"/>
      <c r="Y1426" s="728" t="n"/>
      <c r="Z1426" s="729" t="n"/>
      <c r="AA1426" s="730" t="n"/>
      <c r="AB1426" s="731" t="n"/>
      <c r="AC1426" s="732" t="n"/>
      <c r="AD1426" s="719" t="inlineStr">
        <is>
          <t>No</t>
        </is>
      </c>
      <c r="AE1426" s="733" t="n"/>
      <c r="AF1426" s="733" t="n"/>
      <c r="AG1426" s="733" t="n"/>
      <c r="AH1426" s="733" t="n"/>
      <c r="AI1426" s="719" t="n"/>
      <c r="AJ1426" s="733" t="n"/>
      <c r="AK1426" s="733" t="n"/>
      <c r="AL1426" s="733" t="n"/>
      <c r="AM1426" s="733" t="n"/>
      <c r="AN1426" s="733" t="n"/>
      <c r="AO1426" s="733" t="n"/>
      <c r="AP1426" s="719" t="inlineStr">
        <is>
          <t>Pullback</t>
        </is>
      </c>
      <c r="AQ1426" s="719" t="inlineStr">
        <is>
          <t>5MIN</t>
        </is>
      </c>
      <c r="AR1426" s="719" t="inlineStr">
        <is>
          <t>No</t>
        </is>
      </c>
      <c r="AS1426" s="733" t="n"/>
      <c r="AT1426" s="733" t="n"/>
      <c r="AU1426" s="733" t="n"/>
      <c r="AV1426" s="733" t="n"/>
      <c r="AW1426" s="719" t="inlineStr">
        <is>
          <t>trade</t>
        </is>
      </c>
      <c r="AX1426" s="734" t="inlineStr">
        <is>
          <t>sig:515efb324ca0ea75c84a78b1</t>
        </is>
      </c>
    </row>
    <row r="1427" ht="15" customHeight="1">
      <c r="A1427" s="716" t="inlineStr">
        <is>
          <t>F132</t>
        </is>
      </c>
      <c r="B1427" s="717" t="n">
        <v>43332.94305555556</v>
      </c>
      <c r="C1427" s="718" t="n">
        <v>43332.95902777778</v>
      </c>
      <c r="D1427" s="719" t="inlineStr">
        <is>
          <t>PEPPERSTONE DEMO</t>
        </is>
      </c>
      <c r="E1427" s="719" t="inlineStr">
        <is>
          <t>GBPUSD</t>
        </is>
      </c>
      <c r="F1427" s="719" t="inlineStr">
        <is>
          <t>BUY</t>
        </is>
      </c>
      <c r="G1427" s="720" t="n">
        <v>0.8100000000000001</v>
      </c>
      <c r="H1427" s="720" t="n">
        <v>1.276</v>
      </c>
      <c r="I1427" s="720" t="n">
        <v>1.27578</v>
      </c>
      <c r="J1427" s="721" t="n">
        <v>1.2757</v>
      </c>
      <c r="K1427" s="760" t="n">
        <v>0.0002351097178683126</v>
      </c>
      <c r="L1427" s="721" t="n"/>
      <c r="M1427" s="722" t="n"/>
      <c r="N1427" s="788" t="n"/>
      <c r="O1427" s="762" t="n">
        <v>-28.84</v>
      </c>
      <c r="P1427" s="725" t="n">
        <v>-0.002733426469501064</v>
      </c>
      <c r="Q1427" s="726" t="n">
        <v>-0.7333333333337774</v>
      </c>
      <c r="R1427" s="764" t="n">
        <v>10522.02</v>
      </c>
      <c r="S1427" s="719" t="inlineStr">
        <is>
          <t>23M 0S</t>
        </is>
      </c>
      <c r="T1427" s="728" t="n"/>
      <c r="U1427" s="729" t="n"/>
      <c r="V1427" s="730" t="n"/>
      <c r="W1427" s="731" t="n"/>
      <c r="X1427" s="732" t="n"/>
      <c r="Y1427" s="717" t="n"/>
      <c r="Z1427" s="806" t="n"/>
      <c r="AA1427" s="730" t="n"/>
      <c r="AB1427" s="731" t="n"/>
      <c r="AC1427" s="732" t="n"/>
      <c r="AD1427" s="719" t="inlineStr">
        <is>
          <t>No</t>
        </is>
      </c>
      <c r="AE1427" s="733" t="n"/>
      <c r="AF1427" s="733" t="n"/>
      <c r="AG1427" s="733" t="n"/>
      <c r="AH1427" s="733" t="n"/>
      <c r="AI1427" s="719" t="n"/>
      <c r="AJ1427" s="733" t="n"/>
      <c r="AK1427" s="733" t="n"/>
      <c r="AL1427" s="733" t="n"/>
      <c r="AM1427" s="733" t="n"/>
      <c r="AN1427" s="733" t="n"/>
      <c r="AO1427" s="733" t="n"/>
      <c r="AP1427" s="719" t="inlineStr">
        <is>
          <t>Pullback</t>
        </is>
      </c>
      <c r="AQ1427" s="719" t="inlineStr">
        <is>
          <t>5MIN</t>
        </is>
      </c>
      <c r="AR1427" s="719" t="inlineStr">
        <is>
          <t>No</t>
        </is>
      </c>
      <c r="AS1427" s="733" t="n"/>
      <c r="AT1427" s="733" t="n"/>
      <c r="AU1427" s="733" t="n"/>
      <c r="AV1427" s="733" t="n"/>
      <c r="AW1427" s="719" t="inlineStr">
        <is>
          <t>trade</t>
        </is>
      </c>
      <c r="AX1427" s="734" t="inlineStr">
        <is>
          <t>sig:1ecaee1ce72238a43fcb6ee2</t>
        </is>
      </c>
    </row>
    <row r="1428" ht="15" customHeight="1">
      <c r="A1428" s="737" t="inlineStr">
        <is>
          <t>F129</t>
        </is>
      </c>
      <c r="B1428" s="738" t="n">
        <v>43329.93751157408</v>
      </c>
      <c r="C1428" s="739" t="n">
        <v>43329.93752314815</v>
      </c>
      <c r="D1428" s="740" t="inlineStr">
        <is>
          <t>PEPPERSTONE DEMO</t>
        </is>
      </c>
      <c r="E1428" s="740" t="inlineStr">
        <is>
          <t>USDCAD</t>
        </is>
      </c>
      <c r="F1428" s="740" t="inlineStr">
        <is>
          <t>SELL</t>
        </is>
      </c>
      <c r="G1428" s="742" t="n">
        <v>1.44</v>
      </c>
      <c r="H1428" s="742" t="n">
        <v>1.3131</v>
      </c>
      <c r="I1428" s="742" t="n">
        <v>1.31107</v>
      </c>
      <c r="J1428" s="743" t="n">
        <v>1.3138</v>
      </c>
      <c r="K1428" s="765" t="n">
        <v>0.0005330896352144886</v>
      </c>
      <c r="L1428" s="743" t="n">
        <v>1.311</v>
      </c>
      <c r="M1428" s="744" t="n">
        <v>0.001599268905643128</v>
      </c>
      <c r="N1428" s="796" t="n"/>
      <c r="O1428" s="767" t="n">
        <v>316.5</v>
      </c>
      <c r="P1428" s="747" t="n">
        <v>0.03092523616523163</v>
      </c>
      <c r="Q1428" s="748" t="n">
        <v>2.899999999999366</v>
      </c>
      <c r="R1428" s="769" t="n">
        <v>10550.86</v>
      </c>
      <c r="S1428" s="740" t="inlineStr">
        <is>
          <t>1S</t>
        </is>
      </c>
      <c r="T1428" s="750" t="n"/>
      <c r="U1428" s="751" t="n"/>
      <c r="V1428" s="752" t="n"/>
      <c r="W1428" s="753" t="n"/>
      <c r="X1428" s="754" t="n"/>
      <c r="Y1428" s="750" t="n"/>
      <c r="Z1428" s="751" t="n"/>
      <c r="AA1428" s="752" t="n"/>
      <c r="AB1428" s="753" t="n"/>
      <c r="AC1428" s="754" t="n"/>
      <c r="AD1428" s="740" t="inlineStr">
        <is>
          <t>No</t>
        </is>
      </c>
      <c r="AE1428" s="755" t="n"/>
      <c r="AF1428" s="755" t="n"/>
      <c r="AG1428" s="755" t="n"/>
      <c r="AH1428" s="755" t="n"/>
      <c r="AI1428" s="740" t="inlineStr">
        <is>
          <t>Limit</t>
        </is>
      </c>
      <c r="AJ1428" s="755" t="n"/>
      <c r="AK1428" s="755" t="n"/>
      <c r="AL1428" s="755" t="n"/>
      <c r="AM1428" s="755" t="n"/>
      <c r="AN1428" s="755" t="n"/>
      <c r="AO1428" s="755" t="n"/>
      <c r="AP1428" s="740" t="inlineStr">
        <is>
          <t>News Scalp</t>
        </is>
      </c>
      <c r="AQ1428" s="740" t="inlineStr">
        <is>
          <t>1MIN</t>
        </is>
      </c>
      <c r="AR1428" s="740" t="inlineStr">
        <is>
          <t>No</t>
        </is>
      </c>
      <c r="AS1428" s="755" t="n"/>
      <c r="AT1428" s="755" t="n"/>
      <c r="AU1428" s="755" t="n"/>
      <c r="AV1428" s="755" t="n"/>
      <c r="AW1428" s="740" t="inlineStr">
        <is>
          <t>trade</t>
        </is>
      </c>
      <c r="AX1428" s="756" t="inlineStr">
        <is>
          <t>sig:991c44ecb342369af0caebcf</t>
        </is>
      </c>
    </row>
    <row r="1429" ht="15" customHeight="1">
      <c r="A1429" s="716" t="inlineStr">
        <is>
          <t>F131</t>
        </is>
      </c>
      <c r="B1429" s="717" t="n">
        <v>43329.77361111111</v>
      </c>
      <c r="C1429" s="718" t="n">
        <v>43329.77777777778</v>
      </c>
      <c r="D1429" s="719" t="inlineStr">
        <is>
          <t>PEPPERSTONE DEMO</t>
        </is>
      </c>
      <c r="E1429" s="719" t="inlineStr">
        <is>
          <t>GBPUSD</t>
        </is>
      </c>
      <c r="F1429" s="719" t="inlineStr">
        <is>
          <t>BUY</t>
        </is>
      </c>
      <c r="G1429" s="720" t="n">
        <v>0.21</v>
      </c>
      <c r="H1429" s="720" t="n">
        <v>1.2729</v>
      </c>
      <c r="I1429" s="720" t="n">
        <v>1.27207</v>
      </c>
      <c r="J1429" s="721" t="n">
        <v>1.272</v>
      </c>
      <c r="K1429" s="760" t="n">
        <v>0.0007070469007776737</v>
      </c>
      <c r="L1429" s="721" t="n"/>
      <c r="M1429" s="722" t="n"/>
      <c r="N1429" s="788" t="n"/>
      <c r="O1429" s="762" t="n">
        <v>-25.38</v>
      </c>
      <c r="P1429" s="725" t="n">
        <v>-0.002473746898069542</v>
      </c>
      <c r="Q1429" s="726" t="n">
        <v>-0.9222222222221975</v>
      </c>
      <c r="R1429" s="764" t="n">
        <v>10234.36</v>
      </c>
      <c r="S1429" s="719" t="inlineStr">
        <is>
          <t>6M 0S</t>
        </is>
      </c>
      <c r="T1429" s="717" t="n"/>
      <c r="U1429" s="806" t="n"/>
      <c r="V1429" s="730" t="n"/>
      <c r="W1429" s="731" t="n"/>
      <c r="X1429" s="732" t="n"/>
      <c r="Y1429" s="728" t="n"/>
      <c r="Z1429" s="729" t="n"/>
      <c r="AA1429" s="730" t="n"/>
      <c r="AB1429" s="731" t="n"/>
      <c r="AC1429" s="732" t="n"/>
      <c r="AD1429" s="719" t="inlineStr">
        <is>
          <t>No</t>
        </is>
      </c>
      <c r="AE1429" s="733" t="n"/>
      <c r="AF1429" s="733" t="n"/>
      <c r="AG1429" s="733" t="n"/>
      <c r="AH1429" s="733" t="n"/>
      <c r="AI1429" s="719" t="n"/>
      <c r="AJ1429" s="733" t="n"/>
      <c r="AK1429" s="733" t="n"/>
      <c r="AL1429" s="733" t="n"/>
      <c r="AM1429" s="733" t="n"/>
      <c r="AN1429" s="733" t="n"/>
      <c r="AO1429" s="733" t="n"/>
      <c r="AP1429" s="719" t="inlineStr">
        <is>
          <t>Pullback</t>
        </is>
      </c>
      <c r="AQ1429" s="719" t="n"/>
      <c r="AR1429" s="719" t="inlineStr">
        <is>
          <t>No</t>
        </is>
      </c>
      <c r="AS1429" s="733" t="n"/>
      <c r="AT1429" s="733" t="n"/>
      <c r="AU1429" s="733" t="n"/>
      <c r="AV1429" s="733" t="n"/>
      <c r="AW1429" s="719" t="inlineStr">
        <is>
          <t>trade</t>
        </is>
      </c>
      <c r="AX1429" s="734" t="inlineStr">
        <is>
          <t>sig:90d04315e6917ba8a0f71e2f</t>
        </is>
      </c>
    </row>
    <row r="1430" ht="15" customHeight="1">
      <c r="A1430" s="716" t="inlineStr">
        <is>
          <t>F130</t>
        </is>
      </c>
      <c r="B1430" s="717" t="n">
        <v>43329.73263888889</v>
      </c>
      <c r="C1430" s="718" t="n">
        <v>43329.74791666667</v>
      </c>
      <c r="D1430" s="719" t="inlineStr">
        <is>
          <t>PEPPERSTONE DEMO</t>
        </is>
      </c>
      <c r="E1430" s="719" t="inlineStr">
        <is>
          <t>GBPUSD</t>
        </is>
      </c>
      <c r="F1430" s="719" t="inlineStr">
        <is>
          <t>BUY</t>
        </is>
      </c>
      <c r="G1430" s="720" t="n">
        <v>0.24</v>
      </c>
      <c r="H1430" s="720" t="n">
        <v>1.2717</v>
      </c>
      <c r="I1430" s="720" t="n">
        <v>1.27206</v>
      </c>
      <c r="J1430" s="721" t="n">
        <v>1.2714</v>
      </c>
      <c r="K1430" s="760" t="n">
        <v>0.0002359046945033946</v>
      </c>
      <c r="L1430" s="721" t="n">
        <v>1.272</v>
      </c>
      <c r="M1430" s="760" t="n">
        <v>0.0002359046945033946</v>
      </c>
      <c r="N1430" s="788" t="n"/>
      <c r="O1430" s="762" t="n">
        <v>-5.69</v>
      </c>
      <c r="P1430" s="763" t="n">
        <v>-0.0005542875456751447</v>
      </c>
      <c r="Q1430" s="726" t="n">
        <v>1.199999999999852</v>
      </c>
      <c r="R1430" s="764" t="n">
        <v>10259.74</v>
      </c>
      <c r="S1430" s="719" t="inlineStr">
        <is>
          <t>22M 0S</t>
        </is>
      </c>
      <c r="T1430" s="728" t="n"/>
      <c r="U1430" s="729" t="n"/>
      <c r="V1430" s="730" t="n"/>
      <c r="W1430" s="731" t="n"/>
      <c r="X1430" s="732" t="n"/>
      <c r="Y1430" s="728" t="n"/>
      <c r="Z1430" s="729" t="n"/>
      <c r="AA1430" s="730" t="n"/>
      <c r="AB1430" s="731" t="n"/>
      <c r="AC1430" s="732" t="n"/>
      <c r="AD1430" s="719" t="inlineStr">
        <is>
          <t>No</t>
        </is>
      </c>
      <c r="AE1430" s="733" t="n"/>
      <c r="AF1430" s="733" t="n"/>
      <c r="AG1430" s="733" t="n"/>
      <c r="AH1430" s="733" t="n"/>
      <c r="AI1430" s="719" t="n"/>
      <c r="AJ1430" s="733" t="n"/>
      <c r="AK1430" s="733" t="n"/>
      <c r="AL1430" s="733" t="n"/>
      <c r="AM1430" s="733" t="n"/>
      <c r="AN1430" s="733" t="n"/>
      <c r="AO1430" s="733" t="n"/>
      <c r="AP1430" s="719" t="inlineStr">
        <is>
          <t>Pullback</t>
        </is>
      </c>
      <c r="AQ1430" s="719" t="inlineStr">
        <is>
          <t>5MIN</t>
        </is>
      </c>
      <c r="AR1430" s="719" t="inlineStr">
        <is>
          <t>No</t>
        </is>
      </c>
      <c r="AS1430" s="733" t="n"/>
      <c r="AT1430" s="733" t="n"/>
      <c r="AU1430" s="733" t="n"/>
      <c r="AV1430" s="733" t="n"/>
      <c r="AW1430" s="719" t="inlineStr">
        <is>
          <t>trade</t>
        </is>
      </c>
      <c r="AX1430" s="734" t="inlineStr">
        <is>
          <t>sig:468be4e0b95f8de9b6449027</t>
        </is>
      </c>
    </row>
    <row r="1431" ht="15" customHeight="1">
      <c r="A1431" s="42" t="inlineStr">
        <is>
          <t>F128</t>
        </is>
      </c>
      <c r="B1431" s="770" t="n">
        <v>43328.80208333334</v>
      </c>
      <c r="C1431" s="771" t="n">
        <v>43328.80763888889</v>
      </c>
      <c r="D1431" s="12" t="inlineStr">
        <is>
          <t>PEPPERSTONE DEMO</t>
        </is>
      </c>
      <c r="E1431" s="12" t="inlineStr">
        <is>
          <t>GBPUSD</t>
        </is>
      </c>
      <c r="F1431" s="12" t="inlineStr">
        <is>
          <t>BUY</t>
        </is>
      </c>
      <c r="G1431" s="262" t="n">
        <v>0.21</v>
      </c>
      <c r="H1431" s="262" t="n">
        <v>1.27069</v>
      </c>
      <c r="I1431" s="262" t="n">
        <v>1.27069</v>
      </c>
      <c r="J1431" s="263" t="n">
        <v>1.2699</v>
      </c>
      <c r="K1431" s="273" t="n">
        <v>0.0006217094649364269</v>
      </c>
      <c r="L1431" s="263" t="n">
        <v>1.2724</v>
      </c>
      <c r="M1431" s="36" t="n">
        <v>0.001345725550684965</v>
      </c>
      <c r="N1431" s="779" t="n"/>
      <c r="O1431" s="773" t="n">
        <v>0</v>
      </c>
      <c r="P1431" s="3" t="n">
        <v>0</v>
      </c>
      <c r="Q1431" s="51" t="n">
        <v>0</v>
      </c>
      <c r="R1431" s="54" t="n">
        <v>10265.43</v>
      </c>
      <c r="S1431" s="12" t="inlineStr">
        <is>
          <t>8M 0S</t>
        </is>
      </c>
      <c r="T1431" s="774" t="n"/>
      <c r="U1431" s="6" t="n"/>
      <c r="V1431" s="264" t="n"/>
      <c r="W1431" s="9" t="n"/>
      <c r="X1431" s="46" t="n"/>
      <c r="Y1431" s="774" t="n"/>
      <c r="Z1431" s="6" t="n"/>
      <c r="AA1431" s="264" t="n"/>
      <c r="AB1431" s="9" t="n"/>
      <c r="AC1431" s="46" t="n"/>
      <c r="AD1431" s="12" t="inlineStr">
        <is>
          <t>No</t>
        </is>
      </c>
      <c r="AE1431" s="45" t="n"/>
      <c r="AF1431" s="45" t="n"/>
      <c r="AG1431" s="45" t="n"/>
      <c r="AH1431" s="45" t="n"/>
      <c r="AI1431" s="12" t="n"/>
      <c r="AJ1431" s="45" t="n"/>
      <c r="AK1431" s="45" t="n"/>
      <c r="AL1431" s="45" t="n"/>
      <c r="AM1431" s="45" t="n"/>
      <c r="AN1431" s="45" t="n"/>
      <c r="AO1431" s="45" t="n"/>
      <c r="AP1431" s="12" t="inlineStr">
        <is>
          <t>Pullback</t>
        </is>
      </c>
      <c r="AQ1431" s="12" t="inlineStr">
        <is>
          <t>5MIN</t>
        </is>
      </c>
      <c r="AR1431" s="12" t="inlineStr">
        <is>
          <t>Yes</t>
        </is>
      </c>
      <c r="AS1431" s="45" t="n"/>
      <c r="AT1431" s="45" t="n"/>
      <c r="AU1431" s="45" t="n"/>
      <c r="AV1431" s="45" t="n"/>
      <c r="AW1431" s="12" t="inlineStr">
        <is>
          <t>trade</t>
        </is>
      </c>
      <c r="AX1431" s="57" t="inlineStr">
        <is>
          <t>sig:a106c3985450805dd2c91d72</t>
        </is>
      </c>
    </row>
    <row r="1432" ht="15" customHeight="1">
      <c r="A1432" s="716" t="inlineStr">
        <is>
          <t>F126</t>
        </is>
      </c>
      <c r="B1432" s="717" t="n">
        <v>43327.92847222222</v>
      </c>
      <c r="C1432" s="718" t="n">
        <v>43327.93055555555</v>
      </c>
      <c r="D1432" s="719" t="inlineStr">
        <is>
          <t>PEPPERSTONE DEMO</t>
        </is>
      </c>
      <c r="E1432" s="719" t="inlineStr">
        <is>
          <t>USDCAD</t>
        </is>
      </c>
      <c r="F1432" s="719" t="inlineStr">
        <is>
          <t>BUY</t>
        </is>
      </c>
      <c r="G1432" s="720" t="n">
        <v>0.42</v>
      </c>
      <c r="H1432" s="720" t="n">
        <v>1.3101</v>
      </c>
      <c r="I1432" s="720" t="n">
        <v>1.30958</v>
      </c>
      <c r="J1432" s="721" t="n">
        <v>1.3095</v>
      </c>
      <c r="K1432" s="760" t="n">
        <v>0.0004579803068467551</v>
      </c>
      <c r="L1432" s="721" t="n">
        <v>1.311</v>
      </c>
      <c r="M1432" s="760" t="n">
        <v>0.0006869704602701327</v>
      </c>
      <c r="N1432" s="788" t="n"/>
      <c r="O1432" s="762" t="n">
        <v>-26.17</v>
      </c>
      <c r="P1432" s="725" t="n">
        <v>-0.002542850480003109</v>
      </c>
      <c r="Q1432" s="726" t="n">
        <v>-0.8666666666668887</v>
      </c>
      <c r="R1432" s="764" t="n">
        <v>10265.43</v>
      </c>
      <c r="S1432" s="719" t="inlineStr">
        <is>
          <t>3M 0S</t>
        </is>
      </c>
      <c r="T1432" s="728" t="n"/>
      <c r="U1432" s="729" t="n"/>
      <c r="V1432" s="730" t="n"/>
      <c r="W1432" s="731" t="n"/>
      <c r="X1432" s="732" t="n"/>
      <c r="Y1432" s="728" t="n"/>
      <c r="Z1432" s="729" t="n"/>
      <c r="AA1432" s="730" t="n"/>
      <c r="AB1432" s="731" t="n"/>
      <c r="AC1432" s="732" t="n"/>
      <c r="AD1432" s="719" t="inlineStr">
        <is>
          <t>No</t>
        </is>
      </c>
      <c r="AE1432" s="733" t="n"/>
      <c r="AF1432" s="733" t="n"/>
      <c r="AG1432" s="733" t="n"/>
      <c r="AH1432" s="733" t="n"/>
      <c r="AI1432" s="719" t="inlineStr">
        <is>
          <t>Limit</t>
        </is>
      </c>
      <c r="AJ1432" s="733" t="n"/>
      <c r="AK1432" s="733" t="n"/>
      <c r="AL1432" s="733" t="n"/>
      <c r="AM1432" s="733" t="n"/>
      <c r="AN1432" s="733" t="n"/>
      <c r="AO1432" s="733" t="n"/>
      <c r="AP1432" s="719" t="inlineStr">
        <is>
          <t>Pullback</t>
        </is>
      </c>
      <c r="AQ1432" s="719" t="inlineStr">
        <is>
          <t>5MIN</t>
        </is>
      </c>
      <c r="AR1432" s="719" t="inlineStr">
        <is>
          <t>No</t>
        </is>
      </c>
      <c r="AS1432" s="733" t="n"/>
      <c r="AT1432" s="733" t="n"/>
      <c r="AU1432" s="733" t="n"/>
      <c r="AV1432" s="733" t="n"/>
      <c r="AW1432" s="719" t="inlineStr">
        <is>
          <t>trade</t>
        </is>
      </c>
      <c r="AX1432" s="734" t="inlineStr">
        <is>
          <t>sig:7e6083355b091c9a7f24bc03</t>
        </is>
      </c>
    </row>
    <row r="1433" ht="15" customHeight="1">
      <c r="A1433" s="716" t="inlineStr">
        <is>
          <t>F127</t>
        </is>
      </c>
      <c r="B1433" s="717" t="n">
        <v>43327.46180555555</v>
      </c>
      <c r="C1433" s="718" t="n">
        <v>43327.46875</v>
      </c>
      <c r="D1433" s="719" t="inlineStr">
        <is>
          <t>PEPPERSTONE DEMO</t>
        </is>
      </c>
      <c r="E1433" s="719" t="inlineStr">
        <is>
          <t>USDJPY</t>
        </is>
      </c>
      <c r="F1433" s="719" t="inlineStr">
        <is>
          <t>BUY</t>
        </is>
      </c>
      <c r="G1433" s="720" t="n">
        <v>0.72</v>
      </c>
      <c r="H1433" s="720" t="n">
        <v>111.36</v>
      </c>
      <c r="I1433" s="720" t="n">
        <v>111.337</v>
      </c>
      <c r="J1433" s="721" t="n">
        <v>111.33</v>
      </c>
      <c r="K1433" s="760" t="n">
        <v>0.0002693965517241481</v>
      </c>
      <c r="L1433" s="721" t="n">
        <v>111.41</v>
      </c>
      <c r="M1433" s="760" t="n">
        <v>0.0004489942528735377</v>
      </c>
      <c r="N1433" s="788" t="n"/>
      <c r="O1433" s="762" t="n">
        <v>-26.84</v>
      </c>
      <c r="P1433" s="725" t="n">
        <v>-0.002601168393671912</v>
      </c>
      <c r="Q1433" s="726" t="n">
        <v>-0.7666666666665087</v>
      </c>
      <c r="R1433" s="764" t="n">
        <v>10291.6</v>
      </c>
      <c r="S1433" s="719" t="inlineStr">
        <is>
          <t>10M 0S</t>
        </is>
      </c>
      <c r="T1433" s="728" t="n"/>
      <c r="U1433" s="729" t="n"/>
      <c r="V1433" s="730" t="n"/>
      <c r="W1433" s="731" t="n"/>
      <c r="X1433" s="732" t="n"/>
      <c r="Y1433" s="728" t="n"/>
      <c r="Z1433" s="729" t="n"/>
      <c r="AA1433" s="730" t="n"/>
      <c r="AB1433" s="731" t="n"/>
      <c r="AC1433" s="732" t="n"/>
      <c r="AD1433" s="719" t="inlineStr">
        <is>
          <t>No</t>
        </is>
      </c>
      <c r="AE1433" s="733" t="n"/>
      <c r="AF1433" s="733" t="n"/>
      <c r="AG1433" s="733" t="n"/>
      <c r="AH1433" s="733" t="n"/>
      <c r="AI1433" s="719" t="inlineStr">
        <is>
          <t>Limit</t>
        </is>
      </c>
      <c r="AJ1433" s="733" t="n"/>
      <c r="AK1433" s="733" t="n"/>
      <c r="AL1433" s="733" t="n"/>
      <c r="AM1433" s="733" t="n"/>
      <c r="AN1433" s="733" t="n"/>
      <c r="AO1433" s="733" t="n"/>
      <c r="AP1433" s="719" t="inlineStr">
        <is>
          <t>Pullback</t>
        </is>
      </c>
      <c r="AQ1433" s="719" t="inlineStr">
        <is>
          <t>5MIN</t>
        </is>
      </c>
      <c r="AR1433" s="719" t="inlineStr">
        <is>
          <t>No</t>
        </is>
      </c>
      <c r="AS1433" s="733" t="n"/>
      <c r="AT1433" s="733" t="n"/>
      <c r="AU1433" s="733" t="n"/>
      <c r="AV1433" s="733" t="n"/>
      <c r="AW1433" s="719" t="inlineStr">
        <is>
          <t>trade</t>
        </is>
      </c>
      <c r="AX1433" s="734" t="inlineStr">
        <is>
          <t>sig:4af1277d6ac8649894a8a968</t>
        </is>
      </c>
    </row>
    <row r="1434" ht="15" customHeight="1">
      <c r="A1434" s="737" t="inlineStr">
        <is>
          <t>F125</t>
        </is>
      </c>
      <c r="B1434" s="738" t="n">
        <v>43326.77090277777</v>
      </c>
      <c r="C1434" s="739" t="n">
        <v>43326.77152777778</v>
      </c>
      <c r="D1434" s="740" t="inlineStr">
        <is>
          <t>PEPPERSTONE DEMO</t>
        </is>
      </c>
      <c r="E1434" s="740" t="inlineStr">
        <is>
          <t>GBPUSD</t>
        </is>
      </c>
      <c r="F1434" s="740" t="inlineStr">
        <is>
          <t>BUY</t>
        </is>
      </c>
      <c r="G1434" s="742" t="n">
        <v>0.38</v>
      </c>
      <c r="H1434" s="742" t="n">
        <v>1.2802</v>
      </c>
      <c r="I1434" s="742" t="n">
        <v>1.28164</v>
      </c>
      <c r="J1434" s="743" t="n">
        <v>1.2792</v>
      </c>
      <c r="K1434" s="765" t="n">
        <v>0.000781127948758094</v>
      </c>
      <c r="L1434" s="743" t="n">
        <v>1.2816</v>
      </c>
      <c r="M1434" s="744" t="n">
        <v>0.001093579128261262</v>
      </c>
      <c r="N1434" s="796" t="n"/>
      <c r="O1434" s="767" t="n">
        <v>51.54</v>
      </c>
      <c r="P1434" s="747" t="n">
        <v>0.005020015778862168</v>
      </c>
      <c r="Q1434" s="748" t="n">
        <v>1.439999999999725</v>
      </c>
      <c r="R1434" s="769" t="n">
        <v>10318.44</v>
      </c>
      <c r="S1434" s="740" t="inlineStr">
        <is>
          <t>54S</t>
        </is>
      </c>
      <c r="T1434" s="738" t="n"/>
      <c r="U1434" s="809" t="n"/>
      <c r="V1434" s="752" t="n"/>
      <c r="W1434" s="753" t="n"/>
      <c r="X1434" s="754" t="n"/>
      <c r="Y1434" s="738" t="n"/>
      <c r="Z1434" s="809" t="n"/>
      <c r="AA1434" s="752" t="n"/>
      <c r="AB1434" s="753" t="n"/>
      <c r="AC1434" s="754" t="n"/>
      <c r="AD1434" s="740" t="inlineStr">
        <is>
          <t>No</t>
        </is>
      </c>
      <c r="AE1434" s="755" t="n"/>
      <c r="AF1434" s="755" t="n"/>
      <c r="AG1434" s="755" t="n"/>
      <c r="AH1434" s="755" t="n"/>
      <c r="AI1434" s="740" t="inlineStr">
        <is>
          <t>Limit</t>
        </is>
      </c>
      <c r="AJ1434" s="755" t="n"/>
      <c r="AK1434" s="755" t="n"/>
      <c r="AL1434" s="755" t="n"/>
      <c r="AM1434" s="755" t="n"/>
      <c r="AN1434" s="755" t="n"/>
      <c r="AO1434" s="755" t="n"/>
      <c r="AP1434" s="740" t="inlineStr">
        <is>
          <t>News Scalp</t>
        </is>
      </c>
      <c r="AQ1434" s="740" t="inlineStr">
        <is>
          <t>1MIN</t>
        </is>
      </c>
      <c r="AR1434" s="740" t="inlineStr">
        <is>
          <t>No</t>
        </is>
      </c>
      <c r="AS1434" s="755" t="n"/>
      <c r="AT1434" s="755" t="n"/>
      <c r="AU1434" s="755" t="n"/>
      <c r="AV1434" s="755" t="n"/>
      <c r="AW1434" s="740" t="inlineStr">
        <is>
          <t>trade</t>
        </is>
      </c>
      <c r="AX1434" s="756" t="inlineStr">
        <is>
          <t>sig:c308a75bd4a281a7feb5fc88</t>
        </is>
      </c>
    </row>
    <row r="1435" ht="15" customHeight="1">
      <c r="A1435" s="737" t="inlineStr">
        <is>
          <t>F124</t>
        </is>
      </c>
      <c r="B1435" s="738" t="n">
        <v>43326.72638888889</v>
      </c>
      <c r="C1435" s="739" t="n">
        <v>43326.75972222222</v>
      </c>
      <c r="D1435" s="740" t="inlineStr">
        <is>
          <t>PEPPERSTONE DEMO</t>
        </is>
      </c>
      <c r="E1435" s="740" t="inlineStr">
        <is>
          <t>GBPUSD</t>
        </is>
      </c>
      <c r="F1435" s="740" t="inlineStr">
        <is>
          <t>BUY</t>
        </is>
      </c>
      <c r="G1435" s="742" t="n">
        <v>0.27</v>
      </c>
      <c r="H1435" s="742" t="n">
        <v>1.2799</v>
      </c>
      <c r="I1435" s="742" t="n">
        <v>1.28123</v>
      </c>
      <c r="J1435" s="743" t="n">
        <v>1.2792</v>
      </c>
      <c r="K1435" s="765" t="n">
        <v>0.0005469177279476092</v>
      </c>
      <c r="L1435" s="743" t="n">
        <v>1.2812</v>
      </c>
      <c r="M1435" s="744" t="n">
        <v>0.001015704351902381</v>
      </c>
      <c r="N1435" s="796" t="n"/>
      <c r="O1435" s="767" t="n">
        <v>40.41</v>
      </c>
      <c r="P1435" s="747" t="n">
        <v>0.003951502421652003</v>
      </c>
      <c r="Q1435" s="748" t="n">
        <v>1.899999999999683</v>
      </c>
      <c r="R1435" s="769" t="n">
        <v>10266.9</v>
      </c>
      <c r="S1435" s="740" t="inlineStr">
        <is>
          <t>48M 0S</t>
        </is>
      </c>
      <c r="T1435" s="750" t="n"/>
      <c r="U1435" s="751" t="n"/>
      <c r="V1435" s="752" t="n"/>
      <c r="W1435" s="753" t="n"/>
      <c r="X1435" s="754" t="n"/>
      <c r="Y1435" s="738" t="n">
        <v>43326.75347222222</v>
      </c>
      <c r="Z1435" s="809" t="inlineStr">
        <is>
          <t>39M 0S</t>
        </is>
      </c>
      <c r="AA1435" s="752" t="n"/>
      <c r="AB1435" s="753" t="n"/>
      <c r="AC1435" s="754" t="n"/>
      <c r="AD1435" s="740" t="inlineStr">
        <is>
          <t>No</t>
        </is>
      </c>
      <c r="AE1435" s="755" t="n"/>
      <c r="AF1435" s="755" t="n"/>
      <c r="AG1435" s="755" t="n"/>
      <c r="AH1435" s="755" t="n"/>
      <c r="AI1435" s="740" t="inlineStr">
        <is>
          <t>Limit</t>
        </is>
      </c>
      <c r="AJ1435" s="755" t="n"/>
      <c r="AK1435" s="755" t="n"/>
      <c r="AL1435" s="755" t="n"/>
      <c r="AM1435" s="755" t="n"/>
      <c r="AN1435" s="755" t="n"/>
      <c r="AO1435" s="755" t="n"/>
      <c r="AP1435" s="740" t="inlineStr">
        <is>
          <t>Pullback</t>
        </is>
      </c>
      <c r="AQ1435" s="740" t="inlineStr">
        <is>
          <t>5MIN</t>
        </is>
      </c>
      <c r="AR1435" s="740" t="inlineStr">
        <is>
          <t>No</t>
        </is>
      </c>
      <c r="AS1435" s="755" t="n"/>
      <c r="AT1435" s="755" t="n"/>
      <c r="AU1435" s="755" t="n"/>
      <c r="AV1435" s="755" t="n"/>
      <c r="AW1435" s="740" t="inlineStr">
        <is>
          <t>trade</t>
        </is>
      </c>
      <c r="AX1435" s="756" t="inlineStr">
        <is>
          <t>sig:6e0fc36671cd38e33457f41c</t>
        </is>
      </c>
    </row>
    <row r="1436" ht="15" customHeight="1">
      <c r="A1436" s="737" t="inlineStr">
        <is>
          <t>F123</t>
        </is>
      </c>
      <c r="B1436" s="738" t="n">
        <v>43325.84652777778</v>
      </c>
      <c r="C1436" s="739" t="n">
        <v>43325.88888888889</v>
      </c>
      <c r="D1436" s="740" t="inlineStr">
        <is>
          <t>PEPPERSTONE DEMO</t>
        </is>
      </c>
      <c r="E1436" s="740" t="inlineStr">
        <is>
          <t>USDJPY</t>
        </is>
      </c>
      <c r="F1436" s="740" t="inlineStr">
        <is>
          <t>BUY</t>
        </is>
      </c>
      <c r="G1436" s="742" t="n">
        <v>1.05</v>
      </c>
      <c r="H1436" s="742" t="n">
        <v>110.35</v>
      </c>
      <c r="I1436" s="742" t="n">
        <v>110.367</v>
      </c>
      <c r="J1436" s="743" t="n">
        <v>110.31</v>
      </c>
      <c r="K1436" s="765" t="n">
        <v>0.0003624830086088994</v>
      </c>
      <c r="L1436" s="743" t="n">
        <v>110.44</v>
      </c>
      <c r="M1436" s="765" t="n">
        <v>0.0008155867693702167</v>
      </c>
      <c r="N1436" s="796" t="n"/>
      <c r="O1436" s="767" t="n">
        <v>11.78</v>
      </c>
      <c r="P1436" s="747" t="n">
        <v>0.001153238809520779</v>
      </c>
      <c r="Q1436" s="748" t="n">
        <v>0.4250000000003375</v>
      </c>
      <c r="R1436" s="769" t="n">
        <v>10226.49</v>
      </c>
      <c r="S1436" s="740" t="inlineStr">
        <is>
          <t>1H 1M 0S</t>
        </is>
      </c>
      <c r="T1436" s="750" t="n"/>
      <c r="U1436" s="751" t="n"/>
      <c r="V1436" s="752" t="n"/>
      <c r="W1436" s="753" t="n"/>
      <c r="X1436" s="754" t="n"/>
      <c r="Y1436" s="750" t="n"/>
      <c r="Z1436" s="751" t="n"/>
      <c r="AA1436" s="752" t="n"/>
      <c r="AB1436" s="753" t="n"/>
      <c r="AC1436" s="754" t="n"/>
      <c r="AD1436" s="740" t="inlineStr">
        <is>
          <t>No</t>
        </is>
      </c>
      <c r="AE1436" s="755" t="n"/>
      <c r="AF1436" s="755" t="n"/>
      <c r="AG1436" s="755" t="n"/>
      <c r="AH1436" s="755" t="n"/>
      <c r="AI1436" s="740" t="inlineStr">
        <is>
          <t>Limit</t>
        </is>
      </c>
      <c r="AJ1436" s="755" t="n"/>
      <c r="AK1436" s="755" t="n"/>
      <c r="AL1436" s="755" t="n"/>
      <c r="AM1436" s="755" t="n"/>
      <c r="AN1436" s="755" t="n"/>
      <c r="AO1436" s="755" t="n"/>
      <c r="AP1436" s="740" t="inlineStr">
        <is>
          <t>Pullback</t>
        </is>
      </c>
      <c r="AQ1436" s="740" t="inlineStr">
        <is>
          <t>5MIN</t>
        </is>
      </c>
      <c r="AR1436" s="740" t="inlineStr">
        <is>
          <t>No</t>
        </is>
      </c>
      <c r="AS1436" s="755" t="n"/>
      <c r="AT1436" s="755" t="n"/>
      <c r="AU1436" s="755" t="n"/>
      <c r="AV1436" s="755" t="n"/>
      <c r="AW1436" s="740" t="inlineStr">
        <is>
          <t>trade</t>
        </is>
      </c>
      <c r="AX1436" s="756" t="inlineStr">
        <is>
          <t>sig:79214ce873d1fa7e74576408</t>
        </is>
      </c>
    </row>
    <row r="1437" ht="15" customHeight="1">
      <c r="A1437" s="737" t="inlineStr">
        <is>
          <t>F120</t>
        </is>
      </c>
      <c r="B1437" s="738" t="n">
        <v>43322.9375</v>
      </c>
      <c r="C1437" s="739" t="n">
        <v>43322.93819444445</v>
      </c>
      <c r="D1437" s="740" t="inlineStr">
        <is>
          <t>PEPPERSTONE DEMO</t>
        </is>
      </c>
      <c r="E1437" s="740" t="inlineStr">
        <is>
          <t>USDCAD</t>
        </is>
      </c>
      <c r="F1437" s="740" t="inlineStr">
        <is>
          <t>SELL</t>
        </is>
      </c>
      <c r="G1437" s="742" t="n">
        <v>0.82</v>
      </c>
      <c r="H1437" s="742" t="n">
        <v>1.3077</v>
      </c>
      <c r="I1437" s="742" t="n">
        <v>1.30501</v>
      </c>
      <c r="J1437" s="743" t="n">
        <v>1.3089</v>
      </c>
      <c r="K1437" s="765" t="n">
        <v>0.0009176416609313052</v>
      </c>
      <c r="L1437" s="743" t="n">
        <v>1.3005</v>
      </c>
      <c r="M1437" s="744" t="n">
        <v>0.00550584996558851</v>
      </c>
      <c r="N1437" s="796" t="n"/>
      <c r="O1437" s="767" t="n">
        <v>116.85</v>
      </c>
      <c r="P1437" s="747" t="n">
        <v>0.0115717587686896</v>
      </c>
      <c r="Q1437" s="748" t="n">
        <v>2.241666666666981</v>
      </c>
      <c r="R1437" s="769" t="n">
        <v>10214.71</v>
      </c>
      <c r="S1437" s="740" t="inlineStr">
        <is>
          <t>1M 0S</t>
        </is>
      </c>
      <c r="T1437" s="738" t="n">
        <v>43322.93784722222</v>
      </c>
      <c r="U1437" s="809" t="inlineStr">
        <is>
          <t>30S</t>
        </is>
      </c>
      <c r="V1437" s="752" t="n"/>
      <c r="W1437" s="753" t="n"/>
      <c r="X1437" s="754" t="n"/>
      <c r="Y1437" s="738" t="n"/>
      <c r="Z1437" s="809" t="n"/>
      <c r="AA1437" s="752" t="n"/>
      <c r="AB1437" s="753" t="n"/>
      <c r="AC1437" s="754" t="n"/>
      <c r="AD1437" s="740" t="inlineStr">
        <is>
          <t>No</t>
        </is>
      </c>
      <c r="AE1437" s="755" t="n"/>
      <c r="AF1437" s="755" t="n"/>
      <c r="AG1437" s="755" t="n"/>
      <c r="AH1437" s="755" t="n"/>
      <c r="AI1437" s="740" t="inlineStr">
        <is>
          <t>Limit</t>
        </is>
      </c>
      <c r="AJ1437" s="755" t="n"/>
      <c r="AK1437" s="755" t="n"/>
      <c r="AL1437" s="755" t="n"/>
      <c r="AM1437" s="755" t="n"/>
      <c r="AN1437" s="755" t="n"/>
      <c r="AO1437" s="755" t="n"/>
      <c r="AP1437" s="740" t="inlineStr">
        <is>
          <t>News Scalp</t>
        </is>
      </c>
      <c r="AQ1437" s="740" t="inlineStr">
        <is>
          <t>1MIN</t>
        </is>
      </c>
      <c r="AR1437" s="740" t="inlineStr">
        <is>
          <t>No</t>
        </is>
      </c>
      <c r="AS1437" s="755" t="n"/>
      <c r="AT1437" s="755" t="n"/>
      <c r="AU1437" s="755" t="n"/>
      <c r="AV1437" s="755" t="n"/>
      <c r="AW1437" s="740" t="inlineStr">
        <is>
          <t>trade</t>
        </is>
      </c>
      <c r="AX1437" s="756" t="inlineStr">
        <is>
          <t>sig:782f63c42b5c7792379cabdd</t>
        </is>
      </c>
    </row>
    <row r="1438" ht="15" customHeight="1">
      <c r="A1438" s="716" t="inlineStr">
        <is>
          <t>F122</t>
        </is>
      </c>
      <c r="B1438" s="717" t="n">
        <v>43322.83333333334</v>
      </c>
      <c r="C1438" s="718" t="n">
        <v>43322.84722222222</v>
      </c>
      <c r="D1438" s="719" t="inlineStr">
        <is>
          <t>PEPPERSTONE DEMO</t>
        </is>
      </c>
      <c r="E1438" s="719" t="inlineStr">
        <is>
          <t>USDCAD</t>
        </is>
      </c>
      <c r="F1438" s="719" t="inlineStr">
        <is>
          <t>BUY</t>
        </is>
      </c>
      <c r="G1438" s="720" t="n">
        <v>0.35</v>
      </c>
      <c r="H1438" s="720" t="n">
        <v>1.31</v>
      </c>
      <c r="I1438" s="720" t="n">
        <v>1.30938</v>
      </c>
      <c r="J1438" s="721" t="n">
        <v>1.3093</v>
      </c>
      <c r="K1438" s="760" t="n">
        <v>0.0005343511450382786</v>
      </c>
      <c r="L1438" s="721" t="n">
        <v>1.3118</v>
      </c>
      <c r="M1438" s="722" t="n">
        <v>0.001374045801526736</v>
      </c>
      <c r="N1438" s="788" t="n"/>
      <c r="O1438" s="762" t="n">
        <v>-25.6</v>
      </c>
      <c r="P1438" s="725" t="n">
        <v>-0.002528779685996685</v>
      </c>
      <c r="Q1438" s="726" t="n">
        <v>-0.8857142857141951</v>
      </c>
      <c r="R1438" s="764" t="n">
        <v>10097.86</v>
      </c>
      <c r="S1438" s="719" t="inlineStr">
        <is>
          <t>20M 0S</t>
        </is>
      </c>
      <c r="T1438" s="728" t="n"/>
      <c r="U1438" s="729" t="n"/>
      <c r="V1438" s="730" t="n"/>
      <c r="W1438" s="731" t="n"/>
      <c r="X1438" s="732" t="n"/>
      <c r="Y1438" s="728" t="n"/>
      <c r="Z1438" s="729" t="n"/>
      <c r="AA1438" s="730" t="n"/>
      <c r="AB1438" s="731" t="n"/>
      <c r="AC1438" s="732" t="n"/>
      <c r="AD1438" s="719" t="inlineStr">
        <is>
          <t>No</t>
        </is>
      </c>
      <c r="AE1438" s="733" t="n"/>
      <c r="AF1438" s="733" t="n"/>
      <c r="AG1438" s="733" t="n"/>
      <c r="AH1438" s="733" t="n"/>
      <c r="AI1438" s="719" t="inlineStr">
        <is>
          <t>Limit</t>
        </is>
      </c>
      <c r="AJ1438" s="733" t="n"/>
      <c r="AK1438" s="733" t="n"/>
      <c r="AL1438" s="733" t="n"/>
      <c r="AM1438" s="733" t="n"/>
      <c r="AN1438" s="733" t="n"/>
      <c r="AO1438" s="733" t="n"/>
      <c r="AP1438" s="719" t="inlineStr">
        <is>
          <t>Pullback</t>
        </is>
      </c>
      <c r="AQ1438" s="719" t="inlineStr">
        <is>
          <t>5MIN</t>
        </is>
      </c>
      <c r="AR1438" s="719" t="inlineStr">
        <is>
          <t>No</t>
        </is>
      </c>
      <c r="AS1438" s="733" t="n"/>
      <c r="AT1438" s="733" t="n"/>
      <c r="AU1438" s="733" t="n"/>
      <c r="AV1438" s="733" t="n"/>
      <c r="AW1438" s="719" t="inlineStr">
        <is>
          <t>trade</t>
        </is>
      </c>
      <c r="AX1438" s="734" t="inlineStr">
        <is>
          <t>sig:0d0d44f3f99af556efa4f9e8</t>
        </is>
      </c>
    </row>
    <row r="1439" ht="15" customHeight="1">
      <c r="A1439" s="716" t="inlineStr">
        <is>
          <t>F121</t>
        </is>
      </c>
      <c r="B1439" s="717" t="n">
        <v>43322.80694444444</v>
      </c>
      <c r="C1439" s="718" t="n">
        <v>43322.81944444445</v>
      </c>
      <c r="D1439" s="719" t="inlineStr">
        <is>
          <t>PEPPERSTONE DEMO</t>
        </is>
      </c>
      <c r="E1439" s="719" t="inlineStr">
        <is>
          <t>USDCAD</t>
        </is>
      </c>
      <c r="F1439" s="719" t="inlineStr">
        <is>
          <t>BUY</t>
        </is>
      </c>
      <c r="G1439" s="720" t="n">
        <v>0.35</v>
      </c>
      <c r="H1439" s="720" t="n">
        <v>1.3106</v>
      </c>
      <c r="I1439" s="720" t="n">
        <v>1.30999</v>
      </c>
      <c r="J1439" s="721" t="n">
        <v>1.3099</v>
      </c>
      <c r="K1439" s="760" t="n">
        <v>0.0005341065160994376</v>
      </c>
      <c r="L1439" s="721" t="n">
        <v>1.3119</v>
      </c>
      <c r="M1439" s="760" t="n">
        <v>0.0009919121013276964</v>
      </c>
      <c r="N1439" s="788" t="n"/>
      <c r="O1439" s="762" t="n">
        <v>-25.59</v>
      </c>
      <c r="P1439" s="725" t="n">
        <v>-0.002521418260822442</v>
      </c>
      <c r="Q1439" s="726" t="n">
        <v>-0.8714285714286666</v>
      </c>
      <c r="R1439" s="764" t="n">
        <v>10123.46</v>
      </c>
      <c r="S1439" s="719" t="inlineStr">
        <is>
          <t>18M 0S</t>
        </is>
      </c>
      <c r="T1439" s="728" t="n"/>
      <c r="U1439" s="729" t="n"/>
      <c r="V1439" s="730" t="n"/>
      <c r="W1439" s="731" t="n"/>
      <c r="X1439" s="732" t="n"/>
      <c r="Y1439" s="728" t="n"/>
      <c r="Z1439" s="729" t="n"/>
      <c r="AA1439" s="730" t="n"/>
      <c r="AB1439" s="731" t="n"/>
      <c r="AC1439" s="732" t="n"/>
      <c r="AD1439" s="719" t="inlineStr">
        <is>
          <t>No</t>
        </is>
      </c>
      <c r="AE1439" s="733" t="n"/>
      <c r="AF1439" s="733" t="n"/>
      <c r="AG1439" s="733" t="n"/>
      <c r="AH1439" s="733" t="n"/>
      <c r="AI1439" s="719" t="inlineStr">
        <is>
          <t>Limit</t>
        </is>
      </c>
      <c r="AJ1439" s="733" t="n"/>
      <c r="AK1439" s="733" t="n"/>
      <c r="AL1439" s="733" t="n"/>
      <c r="AM1439" s="733" t="n"/>
      <c r="AN1439" s="733" t="n"/>
      <c r="AO1439" s="733" t="n"/>
      <c r="AP1439" s="719" t="inlineStr">
        <is>
          <t>Pullback</t>
        </is>
      </c>
      <c r="AQ1439" s="719" t="inlineStr">
        <is>
          <t>5MIN</t>
        </is>
      </c>
      <c r="AR1439" s="719" t="inlineStr">
        <is>
          <t>No</t>
        </is>
      </c>
      <c r="AS1439" s="733" t="n"/>
      <c r="AT1439" s="733" t="n"/>
      <c r="AU1439" s="733" t="n"/>
      <c r="AV1439" s="733" t="n"/>
      <c r="AW1439" s="719" t="inlineStr">
        <is>
          <t>trade</t>
        </is>
      </c>
      <c r="AX1439" s="734" t="inlineStr">
        <is>
          <t>sig:5a09407506e3e4266f1f7e2f</t>
        </is>
      </c>
    </row>
    <row r="1440" ht="15" customHeight="1">
      <c r="A1440" s="716" t="inlineStr">
        <is>
          <t>F119</t>
        </is>
      </c>
      <c r="B1440" s="717" t="n">
        <v>43321.95208333333</v>
      </c>
      <c r="C1440" s="718" t="n">
        <v>43321.95486111111</v>
      </c>
      <c r="D1440" s="719" t="inlineStr">
        <is>
          <t>PEPPERSTONE DEMO</t>
        </is>
      </c>
      <c r="E1440" s="719" t="inlineStr">
        <is>
          <t>USDCAD</t>
        </is>
      </c>
      <c r="F1440" s="719" t="inlineStr">
        <is>
          <t>BUY</t>
        </is>
      </c>
      <c r="G1440" s="720" t="n">
        <v>0.84</v>
      </c>
      <c r="H1440" s="720" t="n">
        <v>1.3031</v>
      </c>
      <c r="I1440" s="720" t="n">
        <v>1.30254</v>
      </c>
      <c r="J1440" s="721" t="n">
        <v>1.3025</v>
      </c>
      <c r="K1440" s="760" t="n">
        <v>0.0004604404880668667</v>
      </c>
      <c r="L1440" s="721" t="n">
        <v>1.3046</v>
      </c>
      <c r="M1440" s="722" t="n">
        <v>0.001151101220167337</v>
      </c>
      <c r="N1440" s="788" t="n"/>
      <c r="O1440" s="762" t="n">
        <v>-53.04</v>
      </c>
      <c r="P1440" s="725" t="n">
        <v>-0.005198934728080227</v>
      </c>
      <c r="Q1440" s="726" t="n">
        <v>-0.9333333333332593</v>
      </c>
      <c r="R1440" s="764" t="n">
        <v>10149.05</v>
      </c>
      <c r="S1440" s="719" t="inlineStr">
        <is>
          <t>4M 0S</t>
        </is>
      </c>
      <c r="T1440" s="728" t="n"/>
      <c r="U1440" s="729" t="n"/>
      <c r="V1440" s="730" t="n"/>
      <c r="W1440" s="731" t="n"/>
      <c r="X1440" s="732" t="n"/>
      <c r="Y1440" s="728" t="n"/>
      <c r="Z1440" s="729" t="n"/>
      <c r="AA1440" s="730" t="n"/>
      <c r="AB1440" s="731" t="n"/>
      <c r="AC1440" s="732" t="n"/>
      <c r="AD1440" s="719" t="inlineStr">
        <is>
          <t>No</t>
        </is>
      </c>
      <c r="AE1440" s="733" t="n"/>
      <c r="AF1440" s="733" t="n"/>
      <c r="AG1440" s="733" t="n"/>
      <c r="AH1440" s="733" t="n"/>
      <c r="AI1440" s="719" t="n"/>
      <c r="AJ1440" s="733" t="n"/>
      <c r="AK1440" s="733" t="n"/>
      <c r="AL1440" s="733" t="n"/>
      <c r="AM1440" s="733" t="n"/>
      <c r="AN1440" s="733" t="n"/>
      <c r="AO1440" s="733" t="n"/>
      <c r="AP1440" s="719" t="inlineStr">
        <is>
          <t>Pullback</t>
        </is>
      </c>
      <c r="AQ1440" s="719" t="inlineStr">
        <is>
          <t>5MIN</t>
        </is>
      </c>
      <c r="AR1440" s="719" t="inlineStr">
        <is>
          <t>No</t>
        </is>
      </c>
      <c r="AS1440" s="733" t="n"/>
      <c r="AT1440" s="733" t="n"/>
      <c r="AU1440" s="733" t="n"/>
      <c r="AV1440" s="733" t="n"/>
      <c r="AW1440" s="719" t="inlineStr">
        <is>
          <t>trade</t>
        </is>
      </c>
      <c r="AX1440" s="734" t="inlineStr">
        <is>
          <t>sig:e2cec326bc61533a9a65251f</t>
        </is>
      </c>
    </row>
    <row r="1441" ht="15" customHeight="1">
      <c r="A1441" s="42" t="inlineStr">
        <is>
          <t>F118</t>
        </is>
      </c>
      <c r="B1441" s="770" t="n">
        <v>43320.90277777778</v>
      </c>
      <c r="C1441" s="771" t="n">
        <v>43320.925</v>
      </c>
      <c r="D1441" s="12" t="inlineStr">
        <is>
          <t>PEPPERSTONE DEMO</t>
        </is>
      </c>
      <c r="E1441" s="12" t="inlineStr">
        <is>
          <t>USDCAD</t>
        </is>
      </c>
      <c r="F1441" s="12" t="inlineStr">
        <is>
          <t>BUY</t>
        </is>
      </c>
      <c r="G1441" s="262" t="n">
        <v>1.01</v>
      </c>
      <c r="H1441" s="262" t="n">
        <v>1.30832</v>
      </c>
      <c r="I1441" s="262" t="n">
        <v>1.30832</v>
      </c>
      <c r="J1441" s="263" t="n">
        <v>1.3078</v>
      </c>
      <c r="K1441" s="273" t="n">
        <v>0.0003974562798091093</v>
      </c>
      <c r="L1441" s="263" t="n">
        <v>1.3093</v>
      </c>
      <c r="M1441" s="273" t="n">
        <v>0.0007490522196404403</v>
      </c>
      <c r="N1441" s="779" t="n"/>
      <c r="O1441" s="773" t="n">
        <v>0</v>
      </c>
      <c r="P1441" s="3" t="n">
        <v>0</v>
      </c>
      <c r="Q1441" s="51" t="n">
        <v>0</v>
      </c>
      <c r="R1441" s="54" t="n">
        <v>10202.09</v>
      </c>
      <c r="S1441" s="12" t="inlineStr">
        <is>
          <t>32M 0S</t>
        </is>
      </c>
      <c r="T1441" s="774" t="n"/>
      <c r="U1441" s="6" t="n"/>
      <c r="V1441" s="264" t="n"/>
      <c r="W1441" s="9" t="n"/>
      <c r="X1441" s="46" t="n"/>
      <c r="Y1441" s="770" t="n"/>
      <c r="Z1441" s="4" t="n"/>
      <c r="AA1441" s="264" t="n"/>
      <c r="AB1441" s="9" t="n"/>
      <c r="AC1441" s="46" t="n"/>
      <c r="AD1441" s="12" t="inlineStr">
        <is>
          <t>No</t>
        </is>
      </c>
      <c r="AE1441" s="45" t="n"/>
      <c r="AF1441" s="45" t="n"/>
      <c r="AG1441" s="45" t="n"/>
      <c r="AH1441" s="45" t="n"/>
      <c r="AI1441" s="12" t="n"/>
      <c r="AJ1441" s="45" t="n"/>
      <c r="AK1441" s="45" t="n"/>
      <c r="AL1441" s="45" t="n"/>
      <c r="AM1441" s="45" t="n"/>
      <c r="AN1441" s="45" t="n"/>
      <c r="AO1441" s="45" t="n"/>
      <c r="AP1441" s="12" t="inlineStr">
        <is>
          <t>Pullback</t>
        </is>
      </c>
      <c r="AQ1441" s="12" t="inlineStr">
        <is>
          <t>5MIN</t>
        </is>
      </c>
      <c r="AR1441" s="12" t="inlineStr">
        <is>
          <t>Yes</t>
        </is>
      </c>
      <c r="AS1441" s="45" t="n"/>
      <c r="AT1441" s="45" t="n"/>
      <c r="AU1441" s="45" t="n"/>
      <c r="AV1441" s="45" t="n"/>
      <c r="AW1441" s="12" t="inlineStr">
        <is>
          <t>trade</t>
        </is>
      </c>
      <c r="AX1441" s="57" t="inlineStr">
        <is>
          <t>sig:04fff232e76989c63ec1de5e</t>
        </is>
      </c>
    </row>
    <row r="1442" ht="15" customHeight="1">
      <c r="A1442" s="737" t="inlineStr">
        <is>
          <t>F117</t>
        </is>
      </c>
      <c r="B1442" s="738" t="n">
        <v>43318.75</v>
      </c>
      <c r="C1442" s="739" t="n">
        <v>43318.96527777778</v>
      </c>
      <c r="D1442" s="740" t="inlineStr">
        <is>
          <t>PEPPERSTONE DEMO</t>
        </is>
      </c>
      <c r="E1442" s="740" t="inlineStr">
        <is>
          <t>GBPUSD</t>
        </is>
      </c>
      <c r="F1442" s="740" t="inlineStr">
        <is>
          <t>SELL</t>
        </is>
      </c>
      <c r="G1442" s="742" t="n">
        <v>0.34</v>
      </c>
      <c r="H1442" s="742" t="n">
        <v>1.2973</v>
      </c>
      <c r="I1442" s="742" t="n">
        <v>1.29254</v>
      </c>
      <c r="J1442" s="743" t="n">
        <v>1.2983</v>
      </c>
      <c r="K1442" s="765" t="n">
        <v>0.0007708317274339875</v>
      </c>
      <c r="L1442" s="743" t="n">
        <v>1.2925</v>
      </c>
      <c r="M1442" s="744" t="n">
        <v>0.003699992291682661</v>
      </c>
      <c r="N1442" s="796" t="n"/>
      <c r="O1442" s="767" t="n">
        <v>134.94</v>
      </c>
      <c r="P1442" s="747" t="n">
        <v>0.01340399219242785</v>
      </c>
      <c r="Q1442" s="748" t="n">
        <v>4.759999999999343</v>
      </c>
      <c r="R1442" s="769" t="n">
        <v>10202.09</v>
      </c>
      <c r="S1442" s="740" t="inlineStr">
        <is>
          <t>5H 10M 0S</t>
        </is>
      </c>
      <c r="T1442" s="738" t="n">
        <v>43318.8375</v>
      </c>
      <c r="U1442" s="809" t="inlineStr">
        <is>
          <t>2H 6M 0S</t>
        </is>
      </c>
      <c r="V1442" s="752" t="n"/>
      <c r="W1442" s="753" t="n"/>
      <c r="X1442" s="754" t="n"/>
      <c r="Y1442" s="738" t="n">
        <v>43318.85069444445</v>
      </c>
      <c r="Z1442" s="809" t="inlineStr">
        <is>
          <t>2H 25M 0S</t>
        </is>
      </c>
      <c r="AA1442" s="752" t="n"/>
      <c r="AB1442" s="753" t="n"/>
      <c r="AC1442" s="754" t="n"/>
      <c r="AD1442" s="740" t="inlineStr">
        <is>
          <t>No</t>
        </is>
      </c>
      <c r="AE1442" s="755" t="n"/>
      <c r="AF1442" s="755" t="n"/>
      <c r="AG1442" s="755" t="n"/>
      <c r="AH1442" s="755" t="n"/>
      <c r="AI1442" s="740" t="inlineStr">
        <is>
          <t>Limit</t>
        </is>
      </c>
      <c r="AJ1442" s="755" t="n"/>
      <c r="AK1442" s="755" t="n"/>
      <c r="AL1442" s="755" t="n"/>
      <c r="AM1442" s="755" t="n"/>
      <c r="AN1442" s="755" t="n"/>
      <c r="AO1442" s="755" t="n"/>
      <c r="AP1442" s="740" t="inlineStr">
        <is>
          <t>Pullback</t>
        </is>
      </c>
      <c r="AQ1442" s="740" t="inlineStr">
        <is>
          <t>5MIN</t>
        </is>
      </c>
      <c r="AR1442" s="740" t="inlineStr">
        <is>
          <t>No</t>
        </is>
      </c>
      <c r="AS1442" s="755" t="n"/>
      <c r="AT1442" s="755" t="n"/>
      <c r="AU1442" s="755" t="n"/>
      <c r="AV1442" s="755" t="n"/>
      <c r="AW1442" s="740" t="inlineStr">
        <is>
          <t>trade</t>
        </is>
      </c>
      <c r="AX1442" s="756" t="inlineStr">
        <is>
          <t>sig:1c9bd4a1895a8815ddc780b4</t>
        </is>
      </c>
    </row>
    <row r="1443" ht="15" customHeight="1">
      <c r="A1443" s="716" t="inlineStr">
        <is>
          <t>F116</t>
        </is>
      </c>
      <c r="B1443" s="717" t="n">
        <v>43315.99305555555</v>
      </c>
      <c r="C1443" s="718" t="n">
        <v>43316.01319444444</v>
      </c>
      <c r="D1443" s="719" t="inlineStr">
        <is>
          <t>PEPPERSTONE DEMO</t>
        </is>
      </c>
      <c r="E1443" s="719" t="inlineStr">
        <is>
          <t>GBPUSD</t>
        </is>
      </c>
      <c r="F1443" s="719" t="inlineStr">
        <is>
          <t>BUY</t>
        </is>
      </c>
      <c r="G1443" s="720" t="n">
        <v>0.23</v>
      </c>
      <c r="H1443" s="720" t="n">
        <v>1.3006</v>
      </c>
      <c r="I1443" s="720" t="n">
        <v>1.30007</v>
      </c>
      <c r="J1443" s="721" t="n">
        <v>1.3</v>
      </c>
      <c r="K1443" s="760" t="n">
        <v>0.0004613255420574611</v>
      </c>
      <c r="L1443" s="721" t="n">
        <v>1.3012</v>
      </c>
      <c r="M1443" s="760" t="n">
        <v>0.0004613255420574611</v>
      </c>
      <c r="N1443" s="788" t="n"/>
      <c r="O1443" s="762" t="n">
        <v>-16.8</v>
      </c>
      <c r="P1443" s="725" t="n">
        <v>-0.001666013814031208</v>
      </c>
      <c r="Q1443" s="726" t="n">
        <v>-0.8833333333332963</v>
      </c>
      <c r="R1443" s="764" t="n">
        <v>10067.15</v>
      </c>
      <c r="S1443" s="719" t="inlineStr">
        <is>
          <t>29M 0S</t>
        </is>
      </c>
      <c r="T1443" s="728" t="n"/>
      <c r="U1443" s="729" t="n"/>
      <c r="V1443" s="730" t="n"/>
      <c r="W1443" s="731" t="n"/>
      <c r="X1443" s="732" t="n"/>
      <c r="Y1443" s="728" t="n"/>
      <c r="Z1443" s="729" t="n"/>
      <c r="AA1443" s="730" t="n"/>
      <c r="AB1443" s="731" t="n"/>
      <c r="AC1443" s="732" t="n"/>
      <c r="AD1443" s="719" t="inlineStr">
        <is>
          <t>No</t>
        </is>
      </c>
      <c r="AE1443" s="733" t="n"/>
      <c r="AF1443" s="733" t="n"/>
      <c r="AG1443" s="733" t="n"/>
      <c r="AH1443" s="733" t="n"/>
      <c r="AI1443" s="733" t="n"/>
      <c r="AJ1443" s="733" t="n"/>
      <c r="AK1443" s="733" t="n"/>
      <c r="AL1443" s="733" t="n"/>
      <c r="AM1443" s="733" t="n"/>
      <c r="AN1443" s="733" t="n"/>
      <c r="AO1443" s="733" t="n"/>
      <c r="AP1443" s="719" t="inlineStr">
        <is>
          <t>Pullback</t>
        </is>
      </c>
      <c r="AQ1443" s="719" t="inlineStr">
        <is>
          <t>5MIN</t>
        </is>
      </c>
      <c r="AR1443" s="719" t="inlineStr">
        <is>
          <t>No</t>
        </is>
      </c>
      <c r="AS1443" s="733" t="n"/>
      <c r="AT1443" s="733" t="n"/>
      <c r="AU1443" s="733" t="n"/>
      <c r="AV1443" s="733" t="n"/>
      <c r="AW1443" s="719" t="inlineStr">
        <is>
          <t>trade</t>
        </is>
      </c>
      <c r="AX1443" s="734" t="inlineStr">
        <is>
          <t>sig:2b1bd3b7979312cf2b48efd1</t>
        </is>
      </c>
    </row>
    <row r="1444" ht="15" customHeight="1">
      <c r="A1444" s="737" t="inlineStr">
        <is>
          <t>F113</t>
        </is>
      </c>
      <c r="B1444" s="738" t="n">
        <v>43314.875</v>
      </c>
      <c r="C1444" s="739" t="n">
        <v>43314.87555555555</v>
      </c>
      <c r="D1444" s="740" t="inlineStr">
        <is>
          <t>PEPPERSTONE DEMO</t>
        </is>
      </c>
      <c r="E1444" s="740" t="inlineStr">
        <is>
          <t>GBPUSD</t>
        </is>
      </c>
      <c r="F1444" s="740" t="inlineStr">
        <is>
          <t>BUY</t>
        </is>
      </c>
      <c r="G1444" s="742" t="n">
        <v>0.37</v>
      </c>
      <c r="H1444" s="742" t="n">
        <v>1.3097</v>
      </c>
      <c r="I1444" s="742" t="n">
        <v>1.312</v>
      </c>
      <c r="J1444" s="743" t="n">
        <v>1.3087</v>
      </c>
      <c r="K1444" s="765" t="n">
        <v>0.0007635336336566479</v>
      </c>
      <c r="L1444" s="743" t="n"/>
      <c r="M1444" s="744" t="n"/>
      <c r="N1444" s="796" t="n"/>
      <c r="O1444" s="767" t="n">
        <v>54.25</v>
      </c>
      <c r="P1444" s="747" t="n">
        <v>0.005408935461678813</v>
      </c>
      <c r="Q1444" s="748" t="n">
        <v>2.299999999999711</v>
      </c>
      <c r="R1444" s="769" t="n">
        <v>10083.95</v>
      </c>
      <c r="S1444" s="740" t="inlineStr">
        <is>
          <t>48S</t>
        </is>
      </c>
      <c r="T1444" s="750" t="n"/>
      <c r="U1444" s="751" t="n"/>
      <c r="V1444" s="752" t="n"/>
      <c r="W1444" s="753" t="n"/>
      <c r="X1444" s="754" t="n"/>
      <c r="Y1444" s="750" t="n"/>
      <c r="Z1444" s="751" t="n"/>
      <c r="AA1444" s="752" t="n"/>
      <c r="AB1444" s="753" t="n"/>
      <c r="AC1444" s="754" t="n"/>
      <c r="AD1444" s="740" t="inlineStr">
        <is>
          <t>No</t>
        </is>
      </c>
      <c r="AE1444" s="755" t="n"/>
      <c r="AF1444" s="755" t="n"/>
      <c r="AG1444" s="755" t="n"/>
      <c r="AH1444" s="755" t="n"/>
      <c r="AI1444" s="740" t="inlineStr">
        <is>
          <t>Limit</t>
        </is>
      </c>
      <c r="AJ1444" s="755" t="n"/>
      <c r="AK1444" s="755" t="n"/>
      <c r="AL1444" s="755" t="n"/>
      <c r="AM1444" s="755" t="n"/>
      <c r="AN1444" s="755" t="n"/>
      <c r="AO1444" s="755" t="n"/>
      <c r="AP1444" s="740" t="inlineStr">
        <is>
          <t>News Scalp</t>
        </is>
      </c>
      <c r="AQ1444" s="740" t="inlineStr">
        <is>
          <t>1MIN</t>
        </is>
      </c>
      <c r="AR1444" s="740" t="inlineStr">
        <is>
          <t>No</t>
        </is>
      </c>
      <c r="AS1444" s="755" t="n"/>
      <c r="AT1444" s="755" t="n"/>
      <c r="AU1444" s="755" t="n"/>
      <c r="AV1444" s="755" t="n"/>
      <c r="AW1444" s="740" t="inlineStr">
        <is>
          <t>trade</t>
        </is>
      </c>
      <c r="AX1444" s="756" t="inlineStr">
        <is>
          <t>sig:32de5cec2e5f0b885e426705</t>
        </is>
      </c>
    </row>
    <row r="1445" ht="15" customHeight="1">
      <c r="A1445" s="737" t="inlineStr">
        <is>
          <t>F114</t>
        </is>
      </c>
      <c r="B1445" s="738" t="n">
        <v>43314.69791666666</v>
      </c>
      <c r="C1445" s="739" t="n">
        <v>43314.71805555555</v>
      </c>
      <c r="D1445" s="740" t="inlineStr">
        <is>
          <t>PEPPERSTONE DEMO</t>
        </is>
      </c>
      <c r="E1445" s="740" t="inlineStr">
        <is>
          <t>GBPUSD</t>
        </is>
      </c>
      <c r="F1445" s="740" t="inlineStr">
        <is>
          <t>SELL</t>
        </is>
      </c>
      <c r="G1445" s="742" t="n">
        <v>0.26</v>
      </c>
      <c r="H1445" s="742" t="n">
        <v>1.3092</v>
      </c>
      <c r="I1445" s="742" t="n">
        <v>1.30736</v>
      </c>
      <c r="J1445" s="743" t="n">
        <v>1.3099</v>
      </c>
      <c r="K1445" s="765" t="n">
        <v>0.0005346776657501871</v>
      </c>
      <c r="L1445" s="743" t="n">
        <v>1.3081</v>
      </c>
      <c r="M1445" s="765" t="n">
        <v>0.0008402077604643133</v>
      </c>
      <c r="N1445" s="796" t="n"/>
      <c r="O1445" s="767" t="n">
        <v>43.35</v>
      </c>
      <c r="P1445" s="747" t="n">
        <v>0.00434092536312066</v>
      </c>
      <c r="Q1445" s="748" t="n">
        <v>2.628571428570658</v>
      </c>
      <c r="R1445" s="769" t="n">
        <v>10029.7</v>
      </c>
      <c r="S1445" s="740" t="inlineStr">
        <is>
          <t>29M 0S</t>
        </is>
      </c>
      <c r="T1445" s="750" t="n"/>
      <c r="U1445" s="751" t="n"/>
      <c r="V1445" s="752" t="n"/>
      <c r="W1445" s="753" t="n"/>
      <c r="X1445" s="754" t="n"/>
      <c r="Y1445" s="738" t="n">
        <v>43314.71319444444</v>
      </c>
      <c r="Z1445" s="809" t="inlineStr">
        <is>
          <t>22M 0S</t>
        </is>
      </c>
      <c r="AA1445" s="752" t="n"/>
      <c r="AB1445" s="753" t="n"/>
      <c r="AC1445" s="754" t="n"/>
      <c r="AD1445" s="740" t="inlineStr">
        <is>
          <t>No</t>
        </is>
      </c>
      <c r="AE1445" s="755" t="n"/>
      <c r="AF1445" s="755" t="n"/>
      <c r="AG1445" s="755" t="n"/>
      <c r="AH1445" s="755" t="n"/>
      <c r="AI1445" s="755" t="n"/>
      <c r="AJ1445" s="755" t="n"/>
      <c r="AK1445" s="755" t="n"/>
      <c r="AL1445" s="755" t="n"/>
      <c r="AM1445" s="755" t="n"/>
      <c r="AN1445" s="755" t="n"/>
      <c r="AO1445" s="755" t="n"/>
      <c r="AP1445" s="740" t="inlineStr">
        <is>
          <t>Pullback</t>
        </is>
      </c>
      <c r="AQ1445" s="740" t="inlineStr">
        <is>
          <t>5MIN</t>
        </is>
      </c>
      <c r="AR1445" s="740" t="inlineStr">
        <is>
          <t>No</t>
        </is>
      </c>
      <c r="AS1445" s="787" t="n"/>
      <c r="AT1445" s="755" t="n"/>
      <c r="AU1445" s="740" t="n"/>
      <c r="AV1445" s="740" t="n"/>
      <c r="AW1445" s="740" t="inlineStr">
        <is>
          <t>trade</t>
        </is>
      </c>
      <c r="AX1445" s="756" t="inlineStr">
        <is>
          <t>sig:dd9f095c4ef22f1584786cb2</t>
        </is>
      </c>
    </row>
    <row r="1446" ht="15" customHeight="1">
      <c r="A1446" s="716" t="inlineStr">
        <is>
          <t>F115</t>
        </is>
      </c>
      <c r="B1446" s="717" t="n">
        <v>43314.62986111111</v>
      </c>
      <c r="C1446" s="718" t="n">
        <v>43314.67083333333</v>
      </c>
      <c r="D1446" s="719" t="inlineStr">
        <is>
          <t>PEPPERSTONE DEMO</t>
        </is>
      </c>
      <c r="E1446" s="719" t="inlineStr">
        <is>
          <t>GBPUSD</t>
        </is>
      </c>
      <c r="F1446" s="719" t="inlineStr">
        <is>
          <t>SELL</t>
        </is>
      </c>
      <c r="G1446" s="720" t="n">
        <v>0.37</v>
      </c>
      <c r="H1446" s="720" t="n">
        <v>1.3101</v>
      </c>
      <c r="I1446" s="720" t="n">
        <v>1.31068</v>
      </c>
      <c r="J1446" s="721" t="n">
        <v>1.3106</v>
      </c>
      <c r="K1446" s="760" t="n">
        <v>0.0003816502557056293</v>
      </c>
      <c r="L1446" s="789" t="n"/>
      <c r="M1446" s="732" t="n"/>
      <c r="N1446" s="788" t="n"/>
      <c r="O1446" s="762" t="n">
        <v>-25.04</v>
      </c>
      <c r="P1446" s="725" t="n">
        <v>-0.002501151188795962</v>
      </c>
      <c r="Q1446" s="726" t="n">
        <v>-1.160000000000178</v>
      </c>
      <c r="R1446" s="764" t="n">
        <v>9986.349999999999</v>
      </c>
      <c r="S1446" s="719" t="inlineStr">
        <is>
          <t>59M 0S</t>
        </is>
      </c>
      <c r="T1446" s="728" t="n"/>
      <c r="U1446" s="729" t="n"/>
      <c r="V1446" s="730" t="n"/>
      <c r="W1446" s="731" t="n"/>
      <c r="X1446" s="732" t="n"/>
      <c r="Y1446" s="728" t="n"/>
      <c r="Z1446" s="729" t="n"/>
      <c r="AA1446" s="730" t="n"/>
      <c r="AB1446" s="731" t="n"/>
      <c r="AC1446" s="732" t="n"/>
      <c r="AD1446" s="719" t="inlineStr">
        <is>
          <t>No</t>
        </is>
      </c>
      <c r="AE1446" s="733" t="n"/>
      <c r="AF1446" s="733" t="n"/>
      <c r="AG1446" s="733" t="n"/>
      <c r="AH1446" s="733" t="n"/>
      <c r="AI1446" s="733" t="n"/>
      <c r="AJ1446" s="733" t="n"/>
      <c r="AK1446" s="733" t="n"/>
      <c r="AL1446" s="733" t="n"/>
      <c r="AM1446" s="733" t="n"/>
      <c r="AN1446" s="733" t="n"/>
      <c r="AO1446" s="733" t="n"/>
      <c r="AP1446" s="719" t="inlineStr">
        <is>
          <t>Pullback</t>
        </is>
      </c>
      <c r="AQ1446" s="719" t="inlineStr">
        <is>
          <t>5MIN</t>
        </is>
      </c>
      <c r="AR1446" s="719" t="inlineStr">
        <is>
          <t>No</t>
        </is>
      </c>
      <c r="AS1446" s="782" t="n"/>
      <c r="AT1446" s="733" t="n"/>
      <c r="AU1446" s="719" t="n"/>
      <c r="AV1446" s="719" t="n"/>
      <c r="AW1446" s="719" t="inlineStr">
        <is>
          <t>trade</t>
        </is>
      </c>
      <c r="AX1446" s="734" t="inlineStr">
        <is>
          <t>sig:98382333038f72de92fae9c9</t>
        </is>
      </c>
    </row>
    <row r="1447" ht="15" customHeight="1">
      <c r="A1447" s="716" t="inlineStr">
        <is>
          <t>F112</t>
        </is>
      </c>
      <c r="B1447" s="717" t="n">
        <v>43313.95416666667</v>
      </c>
      <c r="C1447" s="718" t="n">
        <v>43313.95486111111</v>
      </c>
      <c r="D1447" s="719" t="inlineStr">
        <is>
          <t>PEPPERSTONE DEMO</t>
        </is>
      </c>
      <c r="E1447" s="719" t="inlineStr">
        <is>
          <t>GBPUSD</t>
        </is>
      </c>
      <c r="F1447" s="719" t="inlineStr">
        <is>
          <t>BUY</t>
        </is>
      </c>
      <c r="G1447" s="720" t="n">
        <v>0.7</v>
      </c>
      <c r="H1447" s="720" t="n">
        <v>1.314</v>
      </c>
      <c r="I1447" s="720" t="n">
        <v>1.31365</v>
      </c>
      <c r="J1447" s="721" t="n">
        <v>1.3136</v>
      </c>
      <c r="K1447" s="760" t="n">
        <v>0.0003044140030441065</v>
      </c>
      <c r="L1447" s="721" t="n">
        <v>1.3151</v>
      </c>
      <c r="M1447" s="760" t="n">
        <v>0.0008371385083712928</v>
      </c>
      <c r="N1447" s="788" t="n"/>
      <c r="O1447" s="762" t="n">
        <v>-37.78</v>
      </c>
      <c r="P1447" s="725" t="n">
        <v>-0.003759514467363971</v>
      </c>
      <c r="Q1447" s="726" t="n">
        <v>-0.8750000000002776</v>
      </c>
      <c r="R1447" s="764" t="n">
        <v>10011.39</v>
      </c>
      <c r="S1447" s="719" t="inlineStr">
        <is>
          <t>1M 0S</t>
        </is>
      </c>
      <c r="T1447" s="728" t="n"/>
      <c r="U1447" s="729" t="n"/>
      <c r="V1447" s="730" t="n"/>
      <c r="W1447" s="731" t="n"/>
      <c r="X1447" s="732" t="n"/>
      <c r="Y1447" s="728" t="n"/>
      <c r="Z1447" s="729" t="n"/>
      <c r="AA1447" s="730" t="n"/>
      <c r="AB1447" s="731" t="n"/>
      <c r="AC1447" s="732" t="n"/>
      <c r="AD1447" s="719" t="inlineStr">
        <is>
          <t>No</t>
        </is>
      </c>
      <c r="AE1447" s="733" t="n"/>
      <c r="AF1447" s="733" t="n"/>
      <c r="AG1447" s="733" t="n"/>
      <c r="AH1447" s="733" t="n"/>
      <c r="AI1447" s="719" t="n"/>
      <c r="AJ1447" s="733" t="n"/>
      <c r="AK1447" s="733" t="n"/>
      <c r="AL1447" s="733" t="n"/>
      <c r="AM1447" s="733" t="n"/>
      <c r="AN1447" s="733" t="n"/>
      <c r="AO1447" s="733" t="n"/>
      <c r="AP1447" s="719" t="inlineStr">
        <is>
          <t>Pullback</t>
        </is>
      </c>
      <c r="AQ1447" s="719" t="inlineStr">
        <is>
          <t>5MIN</t>
        </is>
      </c>
      <c r="AR1447" s="719" t="inlineStr">
        <is>
          <t>No</t>
        </is>
      </c>
      <c r="AS1447" s="733" t="n"/>
      <c r="AT1447" s="733" t="n"/>
      <c r="AU1447" s="733" t="n"/>
      <c r="AV1447" s="733" t="n"/>
      <c r="AW1447" s="719" t="inlineStr">
        <is>
          <t>trade</t>
        </is>
      </c>
      <c r="AX1447" s="734" t="inlineStr">
        <is>
          <t>sig:af9bea25efbfe063ad9ee0bc</t>
        </is>
      </c>
    </row>
    <row r="1448" ht="15" customHeight="1">
      <c r="A1448" s="716" t="inlineStr">
        <is>
          <t>F111</t>
        </is>
      </c>
      <c r="B1448" s="717" t="n">
        <v>43313.78125</v>
      </c>
      <c r="C1448" s="718" t="n">
        <v>43313.79097222222</v>
      </c>
      <c r="D1448" s="719" t="inlineStr">
        <is>
          <t>PEPPERSTONE DEMO</t>
        </is>
      </c>
      <c r="E1448" s="719" t="inlineStr">
        <is>
          <t>USDJPY</t>
        </is>
      </c>
      <c r="F1448" s="719" t="inlineStr">
        <is>
          <t>BUY</t>
        </is>
      </c>
      <c r="G1448" s="720" t="n">
        <v>0.85</v>
      </c>
      <c r="H1448" s="720" t="n">
        <v>112.03</v>
      </c>
      <c r="I1448" s="720" t="n">
        <v>112.002</v>
      </c>
      <c r="J1448" s="721" t="n">
        <v>112</v>
      </c>
      <c r="K1448" s="760" t="n">
        <v>0.0002677854146210938</v>
      </c>
      <c r="L1448" s="721" t="n">
        <v>112.13</v>
      </c>
      <c r="M1448" s="760" t="n">
        <v>0.0008926180487368947</v>
      </c>
      <c r="N1448" s="788" t="n"/>
      <c r="O1448" s="762" t="n">
        <v>-36.89</v>
      </c>
      <c r="P1448" s="725" t="n">
        <v>-0.003657523354015344</v>
      </c>
      <c r="Q1448" s="726" t="n">
        <v>-0.9333333333334912</v>
      </c>
      <c r="R1448" s="764" t="n">
        <v>10049.17</v>
      </c>
      <c r="S1448" s="719" t="inlineStr">
        <is>
          <t>14M 0S</t>
        </is>
      </c>
      <c r="T1448" s="728" t="n"/>
      <c r="U1448" s="729" t="n"/>
      <c r="V1448" s="730" t="n"/>
      <c r="W1448" s="731" t="n"/>
      <c r="X1448" s="732" t="n"/>
      <c r="Y1448" s="728" t="n"/>
      <c r="Z1448" s="729" t="n"/>
      <c r="AA1448" s="730" t="n"/>
      <c r="AB1448" s="731" t="n"/>
      <c r="AC1448" s="732" t="n"/>
      <c r="AD1448" s="719" t="inlineStr">
        <is>
          <t>No</t>
        </is>
      </c>
      <c r="AE1448" s="733" t="n"/>
      <c r="AF1448" s="733" t="n"/>
      <c r="AG1448" s="733" t="n"/>
      <c r="AH1448" s="733" t="n"/>
      <c r="AI1448" s="719" t="inlineStr">
        <is>
          <t>Limit</t>
        </is>
      </c>
      <c r="AJ1448" s="733" t="n"/>
      <c r="AK1448" s="733" t="n"/>
      <c r="AL1448" s="733" t="n"/>
      <c r="AM1448" s="733" t="n"/>
      <c r="AN1448" s="733" t="n"/>
      <c r="AO1448" s="733" t="n"/>
      <c r="AP1448" s="719" t="inlineStr">
        <is>
          <t>Pullback</t>
        </is>
      </c>
      <c r="AQ1448" s="719" t="inlineStr">
        <is>
          <t>5MIN</t>
        </is>
      </c>
      <c r="AR1448" s="719" t="inlineStr">
        <is>
          <t>No</t>
        </is>
      </c>
      <c r="AS1448" s="733" t="n"/>
      <c r="AT1448" s="733" t="n"/>
      <c r="AU1448" s="733" t="n"/>
      <c r="AV1448" s="733" t="n"/>
      <c r="AW1448" s="719" t="inlineStr">
        <is>
          <t>trade</t>
        </is>
      </c>
      <c r="AX1448" s="734" t="inlineStr">
        <is>
          <t>sig:b206bcedb4b48abc95cccc27</t>
        </is>
      </c>
    </row>
    <row r="1449" ht="15" customHeight="1">
      <c r="A1449" s="737" t="inlineStr">
        <is>
          <t>F108</t>
        </is>
      </c>
      <c r="B1449" s="738" t="n">
        <v>43312.9375</v>
      </c>
      <c r="C1449" s="739" t="n">
        <v>43312.93888888889</v>
      </c>
      <c r="D1449" s="740" t="inlineStr">
        <is>
          <t>PEPPERSTONE DEMO</t>
        </is>
      </c>
      <c r="E1449" s="740" t="inlineStr">
        <is>
          <t>USDCAD</t>
        </is>
      </c>
      <c r="F1449" s="740" t="inlineStr">
        <is>
          <t>SELL</t>
        </is>
      </c>
      <c r="G1449" s="742" t="n">
        <v>0.53</v>
      </c>
      <c r="H1449" s="742" t="n">
        <v>1.3031</v>
      </c>
      <c r="I1449" s="742" t="n">
        <v>1.30032</v>
      </c>
      <c r="J1449" s="743" t="n">
        <v>1.304</v>
      </c>
      <c r="K1449" s="765" t="n">
        <v>0.0006906607321004704</v>
      </c>
      <c r="L1449" s="785" t="n"/>
      <c r="M1449" s="754" t="n"/>
      <c r="N1449" s="796" t="n"/>
      <c r="O1449" s="767" t="n">
        <v>147.09</v>
      </c>
      <c r="P1449" s="747" t="n">
        <v>0.01479932025149487</v>
      </c>
      <c r="Q1449" s="748" t="n">
        <v>3.088888888888472</v>
      </c>
      <c r="R1449" s="769" t="n">
        <v>10086.06</v>
      </c>
      <c r="S1449" s="740" t="inlineStr">
        <is>
          <t>2M 0S</t>
        </is>
      </c>
      <c r="T1449" s="750" t="n"/>
      <c r="U1449" s="751" t="n"/>
      <c r="V1449" s="752" t="n"/>
      <c r="W1449" s="753" t="n"/>
      <c r="X1449" s="754" t="n"/>
      <c r="Y1449" s="738" t="n">
        <v>43312.93793981482</v>
      </c>
      <c r="Z1449" s="809" t="inlineStr">
        <is>
          <t>38S</t>
        </is>
      </c>
      <c r="AA1449" s="752" t="n"/>
      <c r="AB1449" s="753" t="n"/>
      <c r="AC1449" s="754" t="n"/>
      <c r="AD1449" s="740" t="inlineStr">
        <is>
          <t>No</t>
        </is>
      </c>
      <c r="AE1449" s="755" t="n"/>
      <c r="AF1449" s="755" t="n"/>
      <c r="AG1449" s="755" t="n"/>
      <c r="AH1449" s="755" t="n"/>
      <c r="AI1449" s="740" t="inlineStr">
        <is>
          <t>Limit</t>
        </is>
      </c>
      <c r="AJ1449" s="755" t="n"/>
      <c r="AK1449" s="755" t="n"/>
      <c r="AL1449" s="755" t="n"/>
      <c r="AM1449" s="755" t="n"/>
      <c r="AN1449" s="755" t="n"/>
      <c r="AO1449" s="755" t="n"/>
      <c r="AP1449" s="740" t="inlineStr">
        <is>
          <t>News Scalp</t>
        </is>
      </c>
      <c r="AQ1449" s="740" t="inlineStr">
        <is>
          <t>1MIN</t>
        </is>
      </c>
      <c r="AR1449" s="740" t="inlineStr">
        <is>
          <t>No</t>
        </is>
      </c>
      <c r="AS1449" s="755" t="n"/>
      <c r="AT1449" s="755" t="n"/>
      <c r="AU1449" s="755" t="n"/>
      <c r="AV1449" s="755" t="n"/>
      <c r="AW1449" s="740" t="inlineStr">
        <is>
          <t>trade</t>
        </is>
      </c>
      <c r="AX1449" s="756" t="inlineStr">
        <is>
          <t>sig:64c0b70484de0c32f3acbb8f</t>
        </is>
      </c>
    </row>
    <row r="1450" ht="15" customHeight="1">
      <c r="A1450" s="42" t="inlineStr">
        <is>
          <t>F110</t>
        </is>
      </c>
      <c r="B1450" s="770" t="n">
        <v>43312.91666666666</v>
      </c>
      <c r="C1450" s="771" t="n">
        <v>43312.92430555556</v>
      </c>
      <c r="D1450" s="12" t="inlineStr">
        <is>
          <t>PEPPERSTONE DEMO</t>
        </is>
      </c>
      <c r="E1450" s="12" t="inlineStr">
        <is>
          <t>EURUSD</t>
        </is>
      </c>
      <c r="F1450" s="12" t="inlineStr">
        <is>
          <t>BUY</t>
        </is>
      </c>
      <c r="G1450" s="262" t="n">
        <v>0.37</v>
      </c>
      <c r="H1450" s="262" t="n">
        <v>1.17356</v>
      </c>
      <c r="I1450" s="262" t="n">
        <v>1.17356</v>
      </c>
      <c r="J1450" s="263" t="n">
        <v>1.173</v>
      </c>
      <c r="K1450" s="273" t="n">
        <v>0.000477180544667417</v>
      </c>
      <c r="L1450" s="263" t="n">
        <v>1.1744</v>
      </c>
      <c r="M1450" s="273" t="n">
        <v>0.0007157708170014094</v>
      </c>
      <c r="N1450" s="779" t="n"/>
      <c r="O1450" s="773" t="n">
        <v>0</v>
      </c>
      <c r="P1450" s="3" t="n">
        <v>0</v>
      </c>
      <c r="Q1450" s="51" t="n">
        <v>0</v>
      </c>
      <c r="R1450" s="54" t="n">
        <v>9938.969999999999</v>
      </c>
      <c r="S1450" s="12" t="inlineStr">
        <is>
          <t>11M 0S</t>
        </is>
      </c>
      <c r="T1450" s="770" t="n">
        <v>43312.92361111111</v>
      </c>
      <c r="U1450" s="4" t="inlineStr">
        <is>
          <t>10M 0S</t>
        </is>
      </c>
      <c r="V1450" s="264" t="n"/>
      <c r="W1450" s="9" t="n"/>
      <c r="X1450" s="46" t="n"/>
      <c r="Y1450" s="774" t="n"/>
      <c r="Z1450" s="6" t="n"/>
      <c r="AA1450" s="264" t="n"/>
      <c r="AB1450" s="9" t="n"/>
      <c r="AC1450" s="46" t="n"/>
      <c r="AD1450" s="12" t="inlineStr">
        <is>
          <t>No</t>
        </is>
      </c>
      <c r="AE1450" s="45" t="n"/>
      <c r="AF1450" s="45" t="n"/>
      <c r="AG1450" s="45" t="n"/>
      <c r="AH1450" s="45" t="n"/>
      <c r="AI1450" s="45" t="n"/>
      <c r="AJ1450" s="45" t="n"/>
      <c r="AK1450" s="45" t="n"/>
      <c r="AL1450" s="45" t="n"/>
      <c r="AM1450" s="45" t="n"/>
      <c r="AN1450" s="45" t="n"/>
      <c r="AO1450" s="45" t="n"/>
      <c r="AP1450" s="12" t="inlineStr">
        <is>
          <t>Pullback</t>
        </is>
      </c>
      <c r="AQ1450" s="12" t="inlineStr">
        <is>
          <t>5MIN</t>
        </is>
      </c>
      <c r="AR1450" s="12" t="inlineStr">
        <is>
          <t>Yes</t>
        </is>
      </c>
      <c r="AS1450" s="56" t="n"/>
      <c r="AT1450" s="45" t="n"/>
      <c r="AU1450" s="12" t="n"/>
      <c r="AV1450" s="12" t="n"/>
      <c r="AW1450" s="12" t="inlineStr">
        <is>
          <t>trade</t>
        </is>
      </c>
      <c r="AX1450" s="57" t="inlineStr">
        <is>
          <t>sig:85e0f55f48977eccc8cf094d</t>
        </is>
      </c>
    </row>
    <row r="1451" ht="15" customHeight="1">
      <c r="A1451" s="737" t="inlineStr">
        <is>
          <t>F109</t>
        </is>
      </c>
      <c r="B1451" s="738" t="n">
        <v>43312.75972222222</v>
      </c>
      <c r="C1451" s="739" t="n">
        <v>43312.77638888889</v>
      </c>
      <c r="D1451" s="740" t="inlineStr">
        <is>
          <t>PEPPERSTONE DEMO</t>
        </is>
      </c>
      <c r="E1451" s="740" t="inlineStr">
        <is>
          <t>EURUSD</t>
        </is>
      </c>
      <c r="F1451" s="740" t="inlineStr">
        <is>
          <t>BUY</t>
        </is>
      </c>
      <c r="G1451" s="742" t="n">
        <v>0.3</v>
      </c>
      <c r="H1451" s="742" t="n">
        <v>1.1716</v>
      </c>
      <c r="I1451" s="742" t="n">
        <v>1.1726</v>
      </c>
      <c r="J1451" s="743" t="n">
        <v>1.171</v>
      </c>
      <c r="K1451" s="765" t="n">
        <v>0.0005121201775349385</v>
      </c>
      <c r="L1451" s="743" t="n">
        <v>1.1728</v>
      </c>
      <c r="M1451" s="744" t="n">
        <v>0.001024240355070066</v>
      </c>
      <c r="N1451" s="796" t="n"/>
      <c r="O1451" s="767" t="n">
        <v>32.13</v>
      </c>
      <c r="P1451" s="747" t="n">
        <v>0.003243213779570479</v>
      </c>
      <c r="Q1451" s="748" t="n">
        <v>1.666666666667037</v>
      </c>
      <c r="R1451" s="769" t="n">
        <v>9938.969999999999</v>
      </c>
      <c r="S1451" s="740" t="inlineStr">
        <is>
          <t>24M 0S</t>
        </is>
      </c>
      <c r="T1451" s="750" t="n"/>
      <c r="U1451" s="751" t="n"/>
      <c r="V1451" s="752" t="n"/>
      <c r="W1451" s="753" t="n"/>
      <c r="X1451" s="754" t="n"/>
      <c r="Y1451" s="750" t="n"/>
      <c r="Z1451" s="751" t="n"/>
      <c r="AA1451" s="752" t="n"/>
      <c r="AB1451" s="753" t="n"/>
      <c r="AC1451" s="754" t="n"/>
      <c r="AD1451" s="740" t="inlineStr">
        <is>
          <t>No</t>
        </is>
      </c>
      <c r="AE1451" s="755" t="n"/>
      <c r="AF1451" s="755" t="n"/>
      <c r="AG1451" s="755" t="n"/>
      <c r="AH1451" s="755" t="n"/>
      <c r="AI1451" s="755" t="n"/>
      <c r="AJ1451" s="755" t="n"/>
      <c r="AK1451" s="755" t="n"/>
      <c r="AL1451" s="755" t="n"/>
      <c r="AM1451" s="755" t="n"/>
      <c r="AN1451" s="755" t="n"/>
      <c r="AO1451" s="755" t="n"/>
      <c r="AP1451" s="740" t="inlineStr">
        <is>
          <t>Pullback</t>
        </is>
      </c>
      <c r="AQ1451" s="740" t="inlineStr">
        <is>
          <t>5MIN</t>
        </is>
      </c>
      <c r="AR1451" s="740" t="inlineStr">
        <is>
          <t>No</t>
        </is>
      </c>
      <c r="AS1451" s="787" t="n"/>
      <c r="AT1451" s="755" t="n"/>
      <c r="AU1451" s="740" t="n"/>
      <c r="AV1451" s="740" t="n"/>
      <c r="AW1451" s="740" t="inlineStr">
        <is>
          <t>trade</t>
        </is>
      </c>
      <c r="AX1451" s="756" t="inlineStr">
        <is>
          <t>sig:c6cf405e15321f75d10b2a95</t>
        </is>
      </c>
    </row>
    <row r="1452" ht="15" customHeight="1">
      <c r="A1452" s="716" t="inlineStr">
        <is>
          <t>F107</t>
        </is>
      </c>
      <c r="B1452" s="717" t="n">
        <v>43311.77986111111</v>
      </c>
      <c r="C1452" s="718" t="n">
        <v>43311.79305555556</v>
      </c>
      <c r="D1452" s="719" t="inlineStr">
        <is>
          <t>PEPPERSTONE DEMO</t>
        </is>
      </c>
      <c r="E1452" s="719" t="inlineStr">
        <is>
          <t>GBPUSD</t>
        </is>
      </c>
      <c r="F1452" s="719" t="inlineStr">
        <is>
          <t>BUY</t>
        </is>
      </c>
      <c r="G1452" s="720" t="n">
        <v>0.74</v>
      </c>
      <c r="H1452" s="720" t="n">
        <v>1.3124</v>
      </c>
      <c r="I1452" s="720" t="n">
        <v>1.3119</v>
      </c>
      <c r="J1452" s="721" t="n">
        <v>1.3119</v>
      </c>
      <c r="K1452" s="760" t="n">
        <v>0.0003809814081072424</v>
      </c>
      <c r="L1452" s="721" t="n">
        <v>1.3134</v>
      </c>
      <c r="M1452" s="760" t="n">
        <v>0.0007619628162144848</v>
      </c>
      <c r="N1452" s="788" t="n"/>
      <c r="O1452" s="762" t="n">
        <v>-50.03</v>
      </c>
      <c r="P1452" s="725" t="n">
        <v>-0.005024671407781764</v>
      </c>
      <c r="Q1452" s="726" t="n">
        <v>-1</v>
      </c>
      <c r="R1452" s="764" t="n">
        <v>9906.84</v>
      </c>
      <c r="S1452" s="719" t="inlineStr">
        <is>
          <t>19M 0S</t>
        </is>
      </c>
      <c r="T1452" s="728" t="n"/>
      <c r="U1452" s="729" t="n"/>
      <c r="V1452" s="730" t="n"/>
      <c r="W1452" s="731" t="n"/>
      <c r="X1452" s="732" t="n"/>
      <c r="Y1452" s="728" t="n"/>
      <c r="Z1452" s="729" t="n"/>
      <c r="AA1452" s="730" t="n"/>
      <c r="AB1452" s="731" t="n"/>
      <c r="AC1452" s="732" t="n"/>
      <c r="AD1452" s="719" t="inlineStr">
        <is>
          <t>No</t>
        </is>
      </c>
      <c r="AE1452" s="733" t="n"/>
      <c r="AF1452" s="733" t="n"/>
      <c r="AG1452" s="733" t="n"/>
      <c r="AH1452" s="733" t="n"/>
      <c r="AI1452" s="719" t="inlineStr">
        <is>
          <t>Limit</t>
        </is>
      </c>
      <c r="AJ1452" s="733" t="n"/>
      <c r="AK1452" s="733" t="n"/>
      <c r="AL1452" s="733" t="n"/>
      <c r="AM1452" s="733" t="n"/>
      <c r="AN1452" s="733" t="n"/>
      <c r="AO1452" s="733" t="n"/>
      <c r="AP1452" s="719" t="inlineStr">
        <is>
          <t>Pullback</t>
        </is>
      </c>
      <c r="AQ1452" s="719" t="inlineStr">
        <is>
          <t>5MIN</t>
        </is>
      </c>
      <c r="AR1452" s="719" t="inlineStr">
        <is>
          <t>No</t>
        </is>
      </c>
      <c r="AS1452" s="733" t="n"/>
      <c r="AT1452" s="733" t="n"/>
      <c r="AU1452" s="733" t="n"/>
      <c r="AV1452" s="733" t="n"/>
      <c r="AW1452" s="719" t="inlineStr">
        <is>
          <t>trade</t>
        </is>
      </c>
      <c r="AX1452" s="734" t="inlineStr">
        <is>
          <t>sig:d838014eb1d827f7ee939174</t>
        </is>
      </c>
    </row>
    <row r="1453" ht="15" customHeight="1">
      <c r="A1453" s="42" t="n"/>
      <c r="B1453" s="770" t="n">
        <v>43309</v>
      </c>
      <c r="C1453" s="771" t="n">
        <v>43309</v>
      </c>
      <c r="D1453" s="12" t="inlineStr">
        <is>
          <t>PEPPERSTONE DEMO</t>
        </is>
      </c>
      <c r="E1453" s="12" t="inlineStr">
        <is>
          <t>CASHFLOW</t>
        </is>
      </c>
      <c r="F1453" s="12" t="inlineStr">
        <is>
          <t>WITHDRAWAL</t>
        </is>
      </c>
      <c r="G1453" s="262" t="n"/>
      <c r="H1453" s="262" t="n"/>
      <c r="I1453" s="262" t="n"/>
      <c r="J1453" s="263" t="n"/>
      <c r="K1453" s="36" t="n"/>
      <c r="L1453" s="266" t="n"/>
      <c r="M1453" s="46" t="n"/>
      <c r="N1453" s="779" t="n"/>
      <c r="O1453" s="773" t="n"/>
      <c r="P1453" s="3" t="n"/>
      <c r="Q1453" s="51" t="n"/>
      <c r="R1453" s="54" t="n">
        <v>5000</v>
      </c>
      <c r="S1453" s="12" t="n"/>
      <c r="T1453" s="774" t="n"/>
      <c r="U1453" s="6" t="n"/>
      <c r="V1453" s="264" t="n"/>
      <c r="W1453" s="9" t="n"/>
      <c r="X1453" s="46" t="n"/>
      <c r="Y1453" s="774" t="n"/>
      <c r="Z1453" s="6" t="n"/>
      <c r="AA1453" s="264" t="n"/>
      <c r="AB1453" s="9" t="n"/>
      <c r="AC1453" s="46" t="n"/>
      <c r="AD1453" s="12" t="inlineStr">
        <is>
          <t>No</t>
        </is>
      </c>
      <c r="AE1453" s="45" t="n"/>
      <c r="AF1453" s="45" t="n"/>
      <c r="AG1453" s="45" t="n"/>
      <c r="AH1453" s="45" t="n"/>
      <c r="AI1453" s="12" t="n"/>
      <c r="AJ1453" s="45" t="n"/>
      <c r="AK1453" s="45" t="n"/>
      <c r="AL1453" s="45" t="n"/>
      <c r="AM1453" s="45" t="n"/>
      <c r="AN1453" s="45" t="n"/>
      <c r="AO1453" s="45" t="n"/>
      <c r="AP1453" s="12" t="n"/>
      <c r="AQ1453" s="12" t="n"/>
      <c r="AR1453" s="12" t="n"/>
      <c r="AS1453" s="56" t="inlineStr">
        <is>
          <t>Withdrawal -4956.87 AUD. Source: user_txt. Imported from account_cashflows.xlsx row 21.</t>
        </is>
      </c>
      <c r="AT1453" s="45" t="n"/>
      <c r="AU1453" s="12" t="n">
        <v>5000</v>
      </c>
      <c r="AV1453" s="12" t="inlineStr">
        <is>
          <t>AUD</t>
        </is>
      </c>
      <c r="AW1453" s="12" t="inlineStr">
        <is>
          <t>cashflow</t>
        </is>
      </c>
      <c r="AX1453" s="57" t="inlineStr">
        <is>
          <t>cashflow:PEPPERSTONE DEMO:2018-07-28T00:00:00:7</t>
        </is>
      </c>
    </row>
    <row r="1454" ht="15" customHeight="1">
      <c r="A1454" s="42" t="n"/>
      <c r="B1454" s="770" t="n">
        <v>43309</v>
      </c>
      <c r="C1454" s="771" t="n">
        <v>43309</v>
      </c>
      <c r="D1454" s="12" t="inlineStr">
        <is>
          <t>PEPPERSTONE DEMO</t>
        </is>
      </c>
      <c r="E1454" s="12" t="inlineStr">
        <is>
          <t>CASHFLOW</t>
        </is>
      </c>
      <c r="F1454" s="12" t="inlineStr">
        <is>
          <t>DEPOSIT</t>
        </is>
      </c>
      <c r="G1454" s="262" t="n"/>
      <c r="H1454" s="262" t="n"/>
      <c r="I1454" s="262" t="n"/>
      <c r="J1454" s="263" t="n"/>
      <c r="K1454" s="36" t="n"/>
      <c r="L1454" s="263" t="n"/>
      <c r="M1454" s="36" t="n"/>
      <c r="N1454" s="779" t="n"/>
      <c r="O1454" s="773" t="n"/>
      <c r="P1454" s="3" t="n"/>
      <c r="Q1454" s="51" t="n"/>
      <c r="R1454" s="54" t="n">
        <v>9956.870000000001</v>
      </c>
      <c r="S1454" s="12" t="n"/>
      <c r="T1454" s="770" t="n"/>
      <c r="U1454" s="4" t="n"/>
      <c r="V1454" s="264" t="n"/>
      <c r="W1454" s="9" t="n"/>
      <c r="X1454" s="46" t="n"/>
      <c r="Y1454" s="770" t="n"/>
      <c r="Z1454" s="4" t="n"/>
      <c r="AA1454" s="264" t="n"/>
      <c r="AB1454" s="9" t="n"/>
      <c r="AC1454" s="46" t="n"/>
      <c r="AD1454" s="12" t="inlineStr">
        <is>
          <t>No</t>
        </is>
      </c>
      <c r="AE1454" s="45" t="n"/>
      <c r="AF1454" s="45" t="n"/>
      <c r="AG1454" s="45" t="n"/>
      <c r="AH1454" s="45" t="n"/>
      <c r="AI1454" s="12" t="n"/>
      <c r="AJ1454" s="45" t="n"/>
      <c r="AK1454" s="45" t="n"/>
      <c r="AL1454" s="45" t="n"/>
      <c r="AM1454" s="45" t="n"/>
      <c r="AN1454" s="45" t="n"/>
      <c r="AO1454" s="45" t="n"/>
      <c r="AP1454" s="12" t="n"/>
      <c r="AQ1454" s="12" t="n"/>
      <c r="AR1454" s="12" t="n"/>
      <c r="AS1454" s="56" t="inlineStr">
        <is>
          <t>Deposit 5000.0 AUD. Source: user_txt. Imported from account_cashflows.xlsx row 22.</t>
        </is>
      </c>
      <c r="AT1454" s="45" t="n"/>
      <c r="AU1454" s="12" t="n">
        <v>9956.870000000001</v>
      </c>
      <c r="AV1454" s="12" t="inlineStr">
        <is>
          <t>AUD</t>
        </is>
      </c>
      <c r="AW1454" s="12" t="inlineStr">
        <is>
          <t>cashflow</t>
        </is>
      </c>
      <c r="AX1454" s="57" t="inlineStr">
        <is>
          <t>cashflow:PEPPERSTONE DEMO:2018-07-28T00:00:00:8</t>
        </is>
      </c>
    </row>
    <row r="1455" ht="15" customHeight="1">
      <c r="A1455" s="716" t="inlineStr">
        <is>
          <t>F106</t>
        </is>
      </c>
      <c r="B1455" s="717" t="n">
        <v>43308.9375</v>
      </c>
      <c r="C1455" s="718" t="n">
        <v>43308.94027777778</v>
      </c>
      <c r="D1455" s="719" t="inlineStr">
        <is>
          <t>PEPPERSTONE DEMO</t>
        </is>
      </c>
      <c r="E1455" s="719" t="inlineStr">
        <is>
          <t>EURUSD</t>
        </is>
      </c>
      <c r="F1455" s="719" t="inlineStr">
        <is>
          <t>BUY</t>
        </is>
      </c>
      <c r="G1455" s="720" t="n">
        <v>0.4</v>
      </c>
      <c r="H1455" s="720" t="n">
        <v>1.1637</v>
      </c>
      <c r="I1455" s="720" t="n">
        <v>1.16381</v>
      </c>
      <c r="J1455" s="721" t="n">
        <v>1.1628</v>
      </c>
      <c r="K1455" s="760" t="n">
        <v>0.0007733952049496441</v>
      </c>
      <c r="L1455" s="721" t="n"/>
      <c r="M1455" s="722" t="n"/>
      <c r="N1455" s="788" t="n"/>
      <c r="O1455" s="762" t="n">
        <v>-10.83</v>
      </c>
      <c r="P1455" s="725" t="n">
        <v>-0.002180083338365843</v>
      </c>
      <c r="Q1455" s="726" t="n">
        <v>0.1222222222222962</v>
      </c>
      <c r="R1455" s="764" t="n">
        <v>4956.87</v>
      </c>
      <c r="S1455" s="719" t="inlineStr">
        <is>
          <t>4M 0S</t>
        </is>
      </c>
      <c r="T1455" s="728" t="n"/>
      <c r="U1455" s="729" t="n"/>
      <c r="V1455" s="730" t="n"/>
      <c r="W1455" s="731" t="n"/>
      <c r="X1455" s="732" t="n"/>
      <c r="Y1455" s="728" t="n"/>
      <c r="Z1455" s="729" t="n"/>
      <c r="AA1455" s="730" t="n"/>
      <c r="AB1455" s="731" t="n"/>
      <c r="AC1455" s="732" t="n"/>
      <c r="AD1455" s="719" t="inlineStr">
        <is>
          <t>No</t>
        </is>
      </c>
      <c r="AE1455" s="733" t="n"/>
      <c r="AF1455" s="733" t="n"/>
      <c r="AG1455" s="733" t="n"/>
      <c r="AH1455" s="733" t="n"/>
      <c r="AI1455" s="719" t="inlineStr">
        <is>
          <t>Limit</t>
        </is>
      </c>
      <c r="AJ1455" s="733" t="n"/>
      <c r="AK1455" s="733" t="n"/>
      <c r="AL1455" s="733" t="n"/>
      <c r="AM1455" s="733" t="n"/>
      <c r="AN1455" s="733" t="n"/>
      <c r="AO1455" s="733" t="n"/>
      <c r="AP1455" s="719" t="inlineStr">
        <is>
          <t>News Scalp</t>
        </is>
      </c>
      <c r="AQ1455" s="719" t="inlineStr">
        <is>
          <t>1MIN</t>
        </is>
      </c>
      <c r="AR1455" s="719" t="inlineStr">
        <is>
          <t>No</t>
        </is>
      </c>
      <c r="AS1455" s="733" t="n"/>
      <c r="AT1455" s="733" t="n"/>
      <c r="AU1455" s="733" t="n"/>
      <c r="AV1455" s="733" t="n"/>
      <c r="AW1455" s="719" t="inlineStr">
        <is>
          <t>trade</t>
        </is>
      </c>
      <c r="AX1455" s="734" t="inlineStr">
        <is>
          <t>sig:3ec96011cf0b9459ae524b13</t>
        </is>
      </c>
    </row>
    <row r="1456" ht="15" customHeight="1">
      <c r="A1456" s="716" t="inlineStr">
        <is>
          <t>F105</t>
        </is>
      </c>
      <c r="B1456" s="717" t="n">
        <v>43307.93819444445</v>
      </c>
      <c r="C1456" s="718" t="n">
        <v>43307.93888888889</v>
      </c>
      <c r="D1456" s="719" t="inlineStr">
        <is>
          <t>PEPPERSTONE DEMO</t>
        </is>
      </c>
      <c r="E1456" s="719" t="inlineStr">
        <is>
          <t>EURUSD</t>
        </is>
      </c>
      <c r="F1456" s="719" t="inlineStr">
        <is>
          <t>SELL</t>
        </is>
      </c>
      <c r="G1456" s="720" t="n">
        <v>0.62</v>
      </c>
      <c r="H1456" s="720" t="n">
        <v>1.1705</v>
      </c>
      <c r="I1456" s="720" t="n">
        <v>1.17113</v>
      </c>
      <c r="J1456" s="721" t="n">
        <v>1.1711</v>
      </c>
      <c r="K1456" s="760" t="n">
        <v>0.0005126014523707252</v>
      </c>
      <c r="L1456" s="721" t="n"/>
      <c r="M1456" s="722" t="n"/>
      <c r="N1456" s="788" t="n"/>
      <c r="O1456" s="762" t="n">
        <v>-50.16</v>
      </c>
      <c r="P1456" s="725" t="n">
        <v>-0.009996293240544773</v>
      </c>
      <c r="Q1456" s="726" t="n">
        <v>-1.049999999999963</v>
      </c>
      <c r="R1456" s="764" t="n">
        <v>4967.7</v>
      </c>
      <c r="S1456" s="719" t="inlineStr">
        <is>
          <t>1M 0S</t>
        </is>
      </c>
      <c r="T1456" s="728" t="n"/>
      <c r="U1456" s="729" t="n"/>
      <c r="V1456" s="730" t="n"/>
      <c r="W1456" s="731" t="n"/>
      <c r="X1456" s="732" t="n"/>
      <c r="Y1456" s="728" t="n"/>
      <c r="Z1456" s="729" t="n"/>
      <c r="AA1456" s="730" t="n"/>
      <c r="AB1456" s="731" t="n"/>
      <c r="AC1456" s="732" t="n"/>
      <c r="AD1456" s="719" t="inlineStr">
        <is>
          <t>No</t>
        </is>
      </c>
      <c r="AE1456" s="733" t="n"/>
      <c r="AF1456" s="733" t="n"/>
      <c r="AG1456" s="733" t="n"/>
      <c r="AH1456" s="733" t="n"/>
      <c r="AI1456" s="719" t="inlineStr">
        <is>
          <t>Limit</t>
        </is>
      </c>
      <c r="AJ1456" s="733" t="n"/>
      <c r="AK1456" s="733" t="n"/>
      <c r="AL1456" s="733" t="n"/>
      <c r="AM1456" s="733" t="n"/>
      <c r="AN1456" s="733" t="n"/>
      <c r="AO1456" s="733" t="n"/>
      <c r="AP1456" s="719" t="inlineStr">
        <is>
          <t>News Scalp</t>
        </is>
      </c>
      <c r="AQ1456" s="719" t="inlineStr">
        <is>
          <t>1MIN</t>
        </is>
      </c>
      <c r="AR1456" s="719" t="inlineStr">
        <is>
          <t>No</t>
        </is>
      </c>
      <c r="AS1456" s="733" t="n"/>
      <c r="AT1456" s="733" t="n"/>
      <c r="AU1456" s="733" t="n"/>
      <c r="AV1456" s="733" t="n"/>
      <c r="AW1456" s="719" t="inlineStr">
        <is>
          <t>trade</t>
        </is>
      </c>
      <c r="AX1456" s="734" t="inlineStr">
        <is>
          <t>sig:8bbc4744d4569577ff127657</t>
        </is>
      </c>
    </row>
    <row r="1457" ht="15" customHeight="1">
      <c r="A1457" s="737" t="inlineStr">
        <is>
          <t>F104</t>
        </is>
      </c>
      <c r="B1457" s="738" t="n">
        <v>43307.68680555555</v>
      </c>
      <c r="C1457" s="739" t="n">
        <v>43307.69166666667</v>
      </c>
      <c r="D1457" s="740" t="inlineStr">
        <is>
          <t>PEPPERSTONE DEMO</t>
        </is>
      </c>
      <c r="E1457" s="740" t="inlineStr">
        <is>
          <t>EURUSD</t>
        </is>
      </c>
      <c r="F1457" s="740" t="inlineStr">
        <is>
          <t>SELL</t>
        </is>
      </c>
      <c r="G1457" s="742" t="n">
        <v>0.74</v>
      </c>
      <c r="H1457" s="742" t="n">
        <v>1.1737</v>
      </c>
      <c r="I1457" s="742" t="n">
        <v>1.17351</v>
      </c>
      <c r="J1457" s="743" t="n">
        <v>1.1742</v>
      </c>
      <c r="K1457" s="765" t="n">
        <v>0.000426003237624559</v>
      </c>
      <c r="L1457" s="785" t="n"/>
      <c r="M1457" s="754" t="n"/>
      <c r="N1457" s="796" t="n"/>
      <c r="O1457" s="767" t="n">
        <v>17.86</v>
      </c>
      <c r="P1457" s="747" t="n">
        <v>0.003572</v>
      </c>
      <c r="Q1457" s="748" t="n">
        <v>0.3799999999998668</v>
      </c>
      <c r="R1457" s="769" t="n">
        <v>5017.86</v>
      </c>
      <c r="S1457" s="740" t="inlineStr">
        <is>
          <t>7M 0S</t>
        </is>
      </c>
      <c r="T1457" s="750" t="n"/>
      <c r="U1457" s="751" t="n"/>
      <c r="V1457" s="752" t="n"/>
      <c r="W1457" s="753" t="n"/>
      <c r="X1457" s="754" t="n"/>
      <c r="Y1457" s="738" t="n">
        <v>43307.69027777778</v>
      </c>
      <c r="Z1457" s="809" t="inlineStr">
        <is>
          <t>5M 0S</t>
        </is>
      </c>
      <c r="AA1457" s="752" t="n"/>
      <c r="AB1457" s="753" t="n"/>
      <c r="AC1457" s="754" t="n"/>
      <c r="AD1457" s="740" t="inlineStr">
        <is>
          <t>No</t>
        </is>
      </c>
      <c r="AE1457" s="755" t="n"/>
      <c r="AF1457" s="755" t="n"/>
      <c r="AG1457" s="755" t="n"/>
      <c r="AH1457" s="755" t="n"/>
      <c r="AI1457" s="740" t="inlineStr">
        <is>
          <t>Limit</t>
        </is>
      </c>
      <c r="AJ1457" s="755" t="n"/>
      <c r="AK1457" s="755" t="n"/>
      <c r="AL1457" s="755" t="n"/>
      <c r="AM1457" s="755" t="n"/>
      <c r="AN1457" s="755" t="n"/>
      <c r="AO1457" s="755" t="n"/>
      <c r="AP1457" s="740" t="inlineStr">
        <is>
          <t>Pullback</t>
        </is>
      </c>
      <c r="AQ1457" s="740" t="inlineStr">
        <is>
          <t>5MIN</t>
        </is>
      </c>
      <c r="AR1457" s="740" t="inlineStr">
        <is>
          <t>No</t>
        </is>
      </c>
      <c r="AS1457" s="755" t="n"/>
      <c r="AT1457" s="755" t="n"/>
      <c r="AU1457" s="755" t="n"/>
      <c r="AV1457" s="755" t="n"/>
      <c r="AW1457" s="740" t="inlineStr">
        <is>
          <t>trade</t>
        </is>
      </c>
      <c r="AX1457" s="756" t="inlineStr">
        <is>
          <t>sig:c4c94077691b2dbe8d558c2b</t>
        </is>
      </c>
    </row>
    <row r="1458" ht="15" customHeight="1">
      <c r="A1458" s="42" t="n"/>
      <c r="B1458" s="770" t="n">
        <v>43307</v>
      </c>
      <c r="C1458" s="771" t="n">
        <v>43307</v>
      </c>
      <c r="D1458" s="12" t="inlineStr">
        <is>
          <t>PEPPERSTONE DEMO</t>
        </is>
      </c>
      <c r="E1458" s="12" t="inlineStr">
        <is>
          <t>CASHFLOW</t>
        </is>
      </c>
      <c r="F1458" s="12" t="inlineStr">
        <is>
          <t>WITHDRAWAL</t>
        </is>
      </c>
      <c r="G1458" s="262" t="n"/>
      <c r="H1458" s="262" t="n"/>
      <c r="I1458" s="262" t="n"/>
      <c r="J1458" s="263" t="n"/>
      <c r="K1458" s="36" t="n"/>
      <c r="L1458" s="266" t="n"/>
      <c r="M1458" s="46" t="n"/>
      <c r="N1458" s="779" t="n"/>
      <c r="O1458" s="773" t="n"/>
      <c r="P1458" s="3" t="n"/>
      <c r="Q1458" s="51" t="n"/>
      <c r="R1458" s="54" t="n">
        <v>0</v>
      </c>
      <c r="S1458" s="12" t="n"/>
      <c r="T1458" s="774" t="n"/>
      <c r="U1458" s="6" t="n"/>
      <c r="V1458" s="264" t="n"/>
      <c r="W1458" s="9" t="n"/>
      <c r="X1458" s="46" t="n"/>
      <c r="Y1458" s="774" t="n"/>
      <c r="Z1458" s="6" t="n"/>
      <c r="AA1458" s="264" t="n"/>
      <c r="AB1458" s="9" t="n"/>
      <c r="AC1458" s="46" t="n"/>
      <c r="AD1458" s="12" t="inlineStr">
        <is>
          <t>No</t>
        </is>
      </c>
      <c r="AE1458" s="45" t="n"/>
      <c r="AF1458" s="45" t="n"/>
      <c r="AG1458" s="45" t="n"/>
      <c r="AH1458" s="45" t="n"/>
      <c r="AI1458" s="45" t="n"/>
      <c r="AJ1458" s="45" t="n"/>
      <c r="AK1458" s="45" t="n"/>
      <c r="AL1458" s="45" t="n"/>
      <c r="AM1458" s="45" t="n"/>
      <c r="AN1458" s="45" t="n"/>
      <c r="AO1458" s="45" t="n"/>
      <c r="AP1458" s="12" t="n"/>
      <c r="AQ1458" s="12" t="n"/>
      <c r="AR1458" s="12" t="n"/>
      <c r="AS1458" s="56" t="inlineStr">
        <is>
          <t>Withdrawal -1030.07 AUD. Source: user_txt. Imported from account_cashflows.xlsx row 19.</t>
        </is>
      </c>
      <c r="AT1458" s="45" t="n"/>
      <c r="AU1458" s="12" t="n">
        <v>0</v>
      </c>
      <c r="AV1458" s="12" t="inlineStr">
        <is>
          <t>AUD</t>
        </is>
      </c>
      <c r="AW1458" s="12" t="inlineStr">
        <is>
          <t>cashflow</t>
        </is>
      </c>
      <c r="AX1458" s="57" t="inlineStr">
        <is>
          <t>cashflow:PEPPERSTONE DEMO:2018-07-26T00:00:00:5</t>
        </is>
      </c>
    </row>
    <row r="1459" ht="15" customHeight="1">
      <c r="A1459" s="42" t="n"/>
      <c r="B1459" s="770" t="n">
        <v>43307</v>
      </c>
      <c r="C1459" s="771" t="n">
        <v>43307</v>
      </c>
      <c r="D1459" s="12" t="inlineStr">
        <is>
          <t>PEPPERSTONE DEMO</t>
        </is>
      </c>
      <c r="E1459" s="12" t="inlineStr">
        <is>
          <t>CASHFLOW</t>
        </is>
      </c>
      <c r="F1459" s="12" t="inlineStr">
        <is>
          <t>DEPOSIT</t>
        </is>
      </c>
      <c r="G1459" s="262" t="n"/>
      <c r="H1459" s="262" t="n"/>
      <c r="I1459" s="262" t="n"/>
      <c r="J1459" s="263" t="n"/>
      <c r="K1459" s="36" t="n"/>
      <c r="L1459" s="263" t="n"/>
      <c r="M1459" s="36" t="n"/>
      <c r="N1459" s="779" t="n"/>
      <c r="O1459" s="773" t="n"/>
      <c r="P1459" s="3" t="n"/>
      <c r="Q1459" s="51" t="n"/>
      <c r="R1459" s="54" t="n">
        <v>5000</v>
      </c>
      <c r="S1459" s="12" t="n"/>
      <c r="T1459" s="774" t="n"/>
      <c r="U1459" s="6" t="n"/>
      <c r="V1459" s="264" t="n"/>
      <c r="W1459" s="9" t="n"/>
      <c r="X1459" s="46" t="n"/>
      <c r="Y1459" s="770" t="n"/>
      <c r="Z1459" s="4" t="n"/>
      <c r="AA1459" s="264" t="n"/>
      <c r="AB1459" s="9" t="n"/>
      <c r="AC1459" s="46" t="n"/>
      <c r="AD1459" s="12" t="inlineStr">
        <is>
          <t>No</t>
        </is>
      </c>
      <c r="AE1459" s="45" t="n"/>
      <c r="AF1459" s="45" t="n"/>
      <c r="AG1459" s="45" t="n"/>
      <c r="AH1459" s="45" t="n"/>
      <c r="AI1459" s="12" t="n"/>
      <c r="AJ1459" s="45" t="n"/>
      <c r="AK1459" s="45" t="n"/>
      <c r="AL1459" s="45" t="n"/>
      <c r="AM1459" s="45" t="n"/>
      <c r="AN1459" s="45" t="n"/>
      <c r="AO1459" s="45" t="n"/>
      <c r="AP1459" s="12" t="n"/>
      <c r="AQ1459" s="12" t="n"/>
      <c r="AR1459" s="12" t="n"/>
      <c r="AS1459" s="56" t="inlineStr">
        <is>
          <t>Deposit 5000.0 AUD. Source: user_txt. Imported from account_cashflows.xlsx row 20.</t>
        </is>
      </c>
      <c r="AT1459" s="45" t="n"/>
      <c r="AU1459" s="12" t="n">
        <v>5000</v>
      </c>
      <c r="AV1459" s="12" t="inlineStr">
        <is>
          <t>AUD</t>
        </is>
      </c>
      <c r="AW1459" s="12" t="inlineStr">
        <is>
          <t>cashflow</t>
        </is>
      </c>
      <c r="AX1459" s="57" t="inlineStr">
        <is>
          <t>cashflow:PEPPERSTONE DEMO:2018-07-26T00:00:00:6</t>
        </is>
      </c>
    </row>
    <row r="1460" ht="15" customHeight="1">
      <c r="A1460" s="716" t="inlineStr">
        <is>
          <t>F102</t>
        </is>
      </c>
      <c r="B1460" s="717" t="n">
        <v>43306.47916666666</v>
      </c>
      <c r="C1460" s="718" t="n">
        <v>43306.47986111111</v>
      </c>
      <c r="D1460" s="719" t="inlineStr">
        <is>
          <t>PEPPERSTONE DEMO</t>
        </is>
      </c>
      <c r="E1460" s="719" t="inlineStr">
        <is>
          <t>AUDUSD</t>
        </is>
      </c>
      <c r="F1460" s="719" t="inlineStr">
        <is>
          <t>BUY</t>
        </is>
      </c>
      <c r="G1460" s="720" t="n">
        <v>0.13</v>
      </c>
      <c r="H1460" s="720" t="n">
        <v>0.7443</v>
      </c>
      <c r="I1460" s="720" t="n">
        <v>0.7437</v>
      </c>
      <c r="J1460" s="721" t="n">
        <v>0.7437</v>
      </c>
      <c r="K1460" s="760" t="n">
        <v>0.0008061265618701249</v>
      </c>
      <c r="L1460" s="721" t="n"/>
      <c r="M1460" s="722" t="n"/>
      <c r="N1460" s="788" t="n"/>
      <c r="O1460" s="762" t="n">
        <v>-10.49</v>
      </c>
      <c r="P1460" s="725" t="n">
        <v>-0.01008111017144614</v>
      </c>
      <c r="Q1460" s="726" t="n">
        <v>-1</v>
      </c>
      <c r="R1460" s="764" t="n">
        <v>1030.07</v>
      </c>
      <c r="S1460" s="719" t="inlineStr">
        <is>
          <t>1M 0S</t>
        </is>
      </c>
      <c r="T1460" s="717" t="n"/>
      <c r="U1460" s="806" t="n"/>
      <c r="V1460" s="730" t="n"/>
      <c r="W1460" s="731" t="n"/>
      <c r="X1460" s="732" t="n"/>
      <c r="Y1460" s="717" t="n"/>
      <c r="Z1460" s="806" t="n"/>
      <c r="AA1460" s="730" t="n"/>
      <c r="AB1460" s="731" t="n"/>
      <c r="AC1460" s="732" t="n"/>
      <c r="AD1460" s="719" t="inlineStr">
        <is>
          <t>No</t>
        </is>
      </c>
      <c r="AE1460" s="733" t="n"/>
      <c r="AF1460" s="733" t="n"/>
      <c r="AG1460" s="733" t="n"/>
      <c r="AH1460" s="733" t="n"/>
      <c r="AI1460" s="719" t="inlineStr">
        <is>
          <t>Limit</t>
        </is>
      </c>
      <c r="AJ1460" s="733" t="n"/>
      <c r="AK1460" s="733" t="n"/>
      <c r="AL1460" s="733" t="n"/>
      <c r="AM1460" s="733" t="n"/>
      <c r="AN1460" s="733" t="n"/>
      <c r="AO1460" s="733" t="n"/>
      <c r="AP1460" s="719" t="inlineStr">
        <is>
          <t>News Scalp</t>
        </is>
      </c>
      <c r="AQ1460" s="719" t="inlineStr">
        <is>
          <t>1MIN</t>
        </is>
      </c>
      <c r="AR1460" s="719" t="inlineStr">
        <is>
          <t>No</t>
        </is>
      </c>
      <c r="AS1460" s="733" t="n"/>
      <c r="AT1460" s="733" t="n"/>
      <c r="AU1460" s="733" t="n"/>
      <c r="AV1460" s="733" t="n"/>
      <c r="AW1460" s="719" t="inlineStr">
        <is>
          <t>trade</t>
        </is>
      </c>
      <c r="AX1460" s="734" t="inlineStr">
        <is>
          <t>sig:2851667fef1c679ce1cc45c1</t>
        </is>
      </c>
    </row>
    <row r="1461" ht="15" customHeight="1">
      <c r="A1461" s="716" t="inlineStr">
        <is>
          <t>F103</t>
        </is>
      </c>
      <c r="B1461" s="717" t="n">
        <v>43306.47920138889</v>
      </c>
      <c r="C1461" s="718" t="n">
        <v>43306.47959490741</v>
      </c>
      <c r="D1461" s="719" t="inlineStr">
        <is>
          <t>PEPPERSTONE DEMO</t>
        </is>
      </c>
      <c r="E1461" s="719" t="inlineStr">
        <is>
          <t>AUDUSD</t>
        </is>
      </c>
      <c r="F1461" s="719" t="inlineStr">
        <is>
          <t>SELL</t>
        </is>
      </c>
      <c r="G1461" s="720" t="n">
        <v>0.13</v>
      </c>
      <c r="H1461" s="720" t="n">
        <v>0.7429</v>
      </c>
      <c r="I1461" s="720" t="n">
        <v>0.7436</v>
      </c>
      <c r="J1461" s="721" t="n">
        <v>0.7436</v>
      </c>
      <c r="K1461" s="760" t="n">
        <v>0.0009422533315386108</v>
      </c>
      <c r="L1461" s="789" t="n"/>
      <c r="M1461" s="732" t="n"/>
      <c r="N1461" s="788" t="n"/>
      <c r="O1461" s="762" t="n">
        <v>-12.24</v>
      </c>
      <c r="P1461" s="725" t="n">
        <v>-0.01162613981762918</v>
      </c>
      <c r="Q1461" s="726" t="n">
        <v>-1</v>
      </c>
      <c r="R1461" s="764" t="n">
        <v>1040.56</v>
      </c>
      <c r="S1461" s="719" t="inlineStr">
        <is>
          <t>34S</t>
        </is>
      </c>
      <c r="T1461" s="728" t="n"/>
      <c r="U1461" s="729" t="n"/>
      <c r="V1461" s="730" t="n"/>
      <c r="W1461" s="731" t="n"/>
      <c r="X1461" s="732" t="n"/>
      <c r="Y1461" s="728" t="n"/>
      <c r="Z1461" s="729" t="n"/>
      <c r="AA1461" s="730" t="n"/>
      <c r="AB1461" s="731" t="n"/>
      <c r="AC1461" s="732" t="n"/>
      <c r="AD1461" s="719" t="inlineStr">
        <is>
          <t>No</t>
        </is>
      </c>
      <c r="AE1461" s="733" t="n"/>
      <c r="AF1461" s="733" t="n"/>
      <c r="AG1461" s="733" t="n"/>
      <c r="AH1461" s="733" t="n"/>
      <c r="AI1461" s="719" t="inlineStr">
        <is>
          <t>Limit</t>
        </is>
      </c>
      <c r="AJ1461" s="733" t="n"/>
      <c r="AK1461" s="733" t="n"/>
      <c r="AL1461" s="733" t="n"/>
      <c r="AM1461" s="733" t="n"/>
      <c r="AN1461" s="733" t="n"/>
      <c r="AO1461" s="733" t="n"/>
      <c r="AP1461" s="719" t="inlineStr">
        <is>
          <t>News Scalp</t>
        </is>
      </c>
      <c r="AQ1461" s="719" t="inlineStr">
        <is>
          <t>1MIN</t>
        </is>
      </c>
      <c r="AR1461" s="719" t="inlineStr">
        <is>
          <t>No</t>
        </is>
      </c>
      <c r="AS1461" s="733" t="n"/>
      <c r="AT1461" s="733" t="n"/>
      <c r="AU1461" s="733" t="n"/>
      <c r="AV1461" s="733" t="n"/>
      <c r="AW1461" s="719" t="inlineStr">
        <is>
          <t>trade</t>
        </is>
      </c>
      <c r="AX1461" s="734" t="inlineStr">
        <is>
          <t>sig:e38544cc6d66940f4440d90d</t>
        </is>
      </c>
    </row>
    <row r="1462" ht="15" customHeight="1">
      <c r="A1462" s="737" t="inlineStr">
        <is>
          <t>F101</t>
        </is>
      </c>
      <c r="B1462" s="738" t="n">
        <v>43305.72916666666</v>
      </c>
      <c r="C1462" s="739" t="n">
        <v>43305.73125</v>
      </c>
      <c r="D1462" s="740" t="inlineStr">
        <is>
          <t>PEPPERSTONE DEMO</t>
        </is>
      </c>
      <c r="E1462" s="740" t="inlineStr">
        <is>
          <t>EURUSD</t>
        </is>
      </c>
      <c r="F1462" s="740" t="inlineStr">
        <is>
          <t>BUY</t>
        </is>
      </c>
      <c r="G1462" s="742" t="n">
        <v>0.15</v>
      </c>
      <c r="H1462" s="742" t="n">
        <v>1.1682</v>
      </c>
      <c r="I1462" s="742" t="n">
        <v>1.17002</v>
      </c>
      <c r="J1462" s="743" t="n">
        <v>1.1677</v>
      </c>
      <c r="K1462" s="765" t="n">
        <v>0.0004280089025851267</v>
      </c>
      <c r="L1462" s="743" t="n">
        <v>1.17</v>
      </c>
      <c r="M1462" s="744" t="n">
        <v>0.001540832049306646</v>
      </c>
      <c r="N1462" s="796" t="n"/>
      <c r="O1462" s="767" t="n">
        <v>25.97</v>
      </c>
      <c r="P1462" s="747" t="n">
        <v>0.02529143090871907</v>
      </c>
      <c r="Q1462" s="748" t="n">
        <v>3.640000000000711</v>
      </c>
      <c r="R1462" s="769" t="n">
        <v>1052.8</v>
      </c>
      <c r="S1462" s="740" t="inlineStr">
        <is>
          <t>3M 0S</t>
        </is>
      </c>
      <c r="T1462" s="738" t="n">
        <v>43305.72951388889</v>
      </c>
      <c r="U1462" s="809" t="inlineStr">
        <is>
          <t>30S</t>
        </is>
      </c>
      <c r="V1462" s="752" t="n"/>
      <c r="W1462" s="753" t="n"/>
      <c r="X1462" s="754" t="n"/>
      <c r="Y1462" s="738" t="n">
        <v>43305.72986111111</v>
      </c>
      <c r="Z1462" s="809" t="inlineStr">
        <is>
          <t>1M 0S</t>
        </is>
      </c>
      <c r="AA1462" s="752" t="n"/>
      <c r="AB1462" s="753" t="n"/>
      <c r="AC1462" s="754" t="n"/>
      <c r="AD1462" s="740" t="inlineStr">
        <is>
          <t>No</t>
        </is>
      </c>
      <c r="AE1462" s="755" t="n"/>
      <c r="AF1462" s="755" t="n"/>
      <c r="AG1462" s="755" t="n"/>
      <c r="AH1462" s="755" t="n"/>
      <c r="AI1462" s="740" t="inlineStr">
        <is>
          <t>Limit</t>
        </is>
      </c>
      <c r="AJ1462" s="755" t="n"/>
      <c r="AK1462" s="755" t="n"/>
      <c r="AL1462" s="755" t="n"/>
      <c r="AM1462" s="755" t="n"/>
      <c r="AN1462" s="755" t="n"/>
      <c r="AO1462" s="755" t="n"/>
      <c r="AP1462" s="740" t="inlineStr">
        <is>
          <t>News Scalp</t>
        </is>
      </c>
      <c r="AQ1462" s="740" t="inlineStr">
        <is>
          <t>1MIN</t>
        </is>
      </c>
      <c r="AR1462" s="740" t="inlineStr">
        <is>
          <t>No</t>
        </is>
      </c>
      <c r="AS1462" s="755" t="n"/>
      <c r="AT1462" s="755" t="n"/>
      <c r="AU1462" s="755" t="n"/>
      <c r="AV1462" s="755" t="n"/>
      <c r="AW1462" s="740" t="inlineStr">
        <is>
          <t>trade</t>
        </is>
      </c>
      <c r="AX1462" s="756" t="inlineStr">
        <is>
          <t>sig:cc708ae1c727c5f9ec508034</t>
        </is>
      </c>
    </row>
    <row r="1463" ht="15" customHeight="1">
      <c r="A1463" s="716" t="inlineStr">
        <is>
          <t>F100</t>
        </is>
      </c>
      <c r="B1463" s="717" t="n">
        <v>43305.71458333333</v>
      </c>
      <c r="C1463" s="718" t="n">
        <v>43305.71597222222</v>
      </c>
      <c r="D1463" s="719" t="inlineStr">
        <is>
          <t>PEPPERSTONE DEMO</t>
        </is>
      </c>
      <c r="E1463" s="719" t="inlineStr">
        <is>
          <t>EURUSD</t>
        </is>
      </c>
      <c r="F1463" s="719" t="inlineStr">
        <is>
          <t>SELL</t>
        </is>
      </c>
      <c r="G1463" s="720" t="n">
        <v>0.19</v>
      </c>
      <c r="H1463" s="720" t="n">
        <v>1.167</v>
      </c>
      <c r="I1463" s="720" t="n">
        <v>1.16727</v>
      </c>
      <c r="J1463" s="721" t="n">
        <v>1.1674</v>
      </c>
      <c r="K1463" s="760" t="n">
        <v>0.0003427592116537754</v>
      </c>
      <c r="L1463" s="721" t="n">
        <v>1.1659</v>
      </c>
      <c r="M1463" s="760" t="n">
        <v>0.0009425878320480727</v>
      </c>
      <c r="N1463" s="788" t="n"/>
      <c r="O1463" s="762" t="n">
        <v>-9.59</v>
      </c>
      <c r="P1463" s="725" t="n">
        <v>-0.009253005538295287</v>
      </c>
      <c r="Q1463" s="726" t="n">
        <v>-0.6750000000000556</v>
      </c>
      <c r="R1463" s="764" t="n">
        <v>1026.83</v>
      </c>
      <c r="S1463" s="719" t="inlineStr">
        <is>
          <t>2M 0S</t>
        </is>
      </c>
      <c r="T1463" s="728" t="n"/>
      <c r="U1463" s="729" t="n"/>
      <c r="V1463" s="730" t="n"/>
      <c r="W1463" s="731" t="n"/>
      <c r="X1463" s="732" t="n"/>
      <c r="Y1463" s="728" t="n"/>
      <c r="Z1463" s="729" t="n"/>
      <c r="AA1463" s="730" t="n"/>
      <c r="AB1463" s="731" t="n"/>
      <c r="AC1463" s="732" t="n"/>
      <c r="AD1463" s="719" t="inlineStr">
        <is>
          <t>No</t>
        </is>
      </c>
      <c r="AE1463" s="733" t="n"/>
      <c r="AF1463" s="733" t="n"/>
      <c r="AG1463" s="733" t="n"/>
      <c r="AH1463" s="733" t="n"/>
      <c r="AI1463" s="719" t="n"/>
      <c r="AJ1463" s="733" t="n"/>
      <c r="AK1463" s="733" t="n"/>
      <c r="AL1463" s="733" t="n"/>
      <c r="AM1463" s="733" t="n"/>
      <c r="AN1463" s="733" t="n"/>
      <c r="AO1463" s="733" t="n"/>
      <c r="AP1463" s="719" t="inlineStr">
        <is>
          <t>Pullback</t>
        </is>
      </c>
      <c r="AQ1463" s="719" t="inlineStr">
        <is>
          <t>1MIN</t>
        </is>
      </c>
      <c r="AR1463" s="719" t="inlineStr">
        <is>
          <t>No</t>
        </is>
      </c>
      <c r="AS1463" s="733" t="n"/>
      <c r="AT1463" s="733" t="n"/>
      <c r="AU1463" s="733" t="n"/>
      <c r="AV1463" s="733" t="n"/>
      <c r="AW1463" s="719" t="inlineStr">
        <is>
          <t>trade</t>
        </is>
      </c>
      <c r="AX1463" s="734" t="inlineStr">
        <is>
          <t>sig:03c6f039b0cbb3a60328dbf4</t>
        </is>
      </c>
    </row>
    <row r="1464" ht="15" customHeight="1">
      <c r="A1464" s="716" t="inlineStr">
        <is>
          <t>F99</t>
        </is>
      </c>
      <c r="B1464" s="717" t="n">
        <v>43305.64236111111</v>
      </c>
      <c r="C1464" s="718" t="n">
        <v>43305.65138888889</v>
      </c>
      <c r="D1464" s="719" t="inlineStr">
        <is>
          <t>PEPPERSTONE DEMO</t>
        </is>
      </c>
      <c r="E1464" s="719" t="inlineStr">
        <is>
          <t>EURUSD</t>
        </is>
      </c>
      <c r="F1464" s="719" t="inlineStr">
        <is>
          <t>SELL</t>
        </is>
      </c>
      <c r="G1464" s="720" t="n">
        <v>0.3</v>
      </c>
      <c r="H1464" s="720" t="n">
        <v>1.168</v>
      </c>
      <c r="I1464" s="720" t="n">
        <v>1.1681</v>
      </c>
      <c r="J1464" s="721" t="n">
        <v>1.1683</v>
      </c>
      <c r="K1464" s="760" t="n">
        <v>0.0002568493150684649</v>
      </c>
      <c r="L1464" s="721" t="n">
        <v>1.1675</v>
      </c>
      <c r="M1464" s="760" t="n">
        <v>0.0004280821917807748</v>
      </c>
      <c r="N1464" s="788" t="n"/>
      <c r="O1464" s="762" t="n">
        <v>-8.9</v>
      </c>
      <c r="P1464" s="725" t="n">
        <v>-0.008514139210959322</v>
      </c>
      <c r="Q1464" s="726" t="n">
        <v>-0.3333333333333333</v>
      </c>
      <c r="R1464" s="764" t="n">
        <v>1036.42</v>
      </c>
      <c r="S1464" s="719" t="inlineStr">
        <is>
          <t>13M 0S</t>
        </is>
      </c>
      <c r="T1464" s="728" t="n"/>
      <c r="U1464" s="729" t="n"/>
      <c r="V1464" s="730" t="n"/>
      <c r="W1464" s="731" t="n"/>
      <c r="X1464" s="732" t="n"/>
      <c r="Y1464" s="728" t="n"/>
      <c r="Z1464" s="729" t="n"/>
      <c r="AA1464" s="730" t="n"/>
      <c r="AB1464" s="731" t="n"/>
      <c r="AC1464" s="732" t="n"/>
      <c r="AD1464" s="719" t="inlineStr">
        <is>
          <t>No</t>
        </is>
      </c>
      <c r="AE1464" s="733" t="n"/>
      <c r="AF1464" s="733" t="n"/>
      <c r="AG1464" s="733" t="n"/>
      <c r="AH1464" s="733" t="n"/>
      <c r="AI1464" s="719" t="inlineStr">
        <is>
          <t>Limit</t>
        </is>
      </c>
      <c r="AJ1464" s="733" t="n"/>
      <c r="AK1464" s="733" t="n"/>
      <c r="AL1464" s="733" t="n"/>
      <c r="AM1464" s="733" t="n"/>
      <c r="AN1464" s="733" t="n"/>
      <c r="AO1464" s="733" t="n"/>
      <c r="AP1464" s="719" t="inlineStr">
        <is>
          <t>Pullback</t>
        </is>
      </c>
      <c r="AQ1464" s="719" t="inlineStr">
        <is>
          <t>5MIN</t>
        </is>
      </c>
      <c r="AR1464" s="719" t="inlineStr">
        <is>
          <t>No</t>
        </is>
      </c>
      <c r="AS1464" s="733" t="n"/>
      <c r="AT1464" s="733" t="n"/>
      <c r="AU1464" s="733" t="n"/>
      <c r="AV1464" s="733" t="n"/>
      <c r="AW1464" s="719" t="inlineStr">
        <is>
          <t>trade</t>
        </is>
      </c>
      <c r="AX1464" s="734" t="inlineStr">
        <is>
          <t>sig:95d3eb39509bdeafcdbfd707</t>
        </is>
      </c>
    </row>
    <row r="1465" ht="15" customHeight="1">
      <c r="A1465" s="737" t="inlineStr">
        <is>
          <t>F97</t>
        </is>
      </c>
      <c r="B1465" s="738" t="n">
        <v>43301.9375</v>
      </c>
      <c r="C1465" s="739" t="n">
        <v>43301.93819444445</v>
      </c>
      <c r="D1465" s="740" t="inlineStr">
        <is>
          <t>PEPPERSTONE DEMO</t>
        </is>
      </c>
      <c r="E1465" s="740" t="inlineStr">
        <is>
          <t>USDCAD</t>
        </is>
      </c>
      <c r="F1465" s="740" t="inlineStr">
        <is>
          <t>SELL</t>
        </is>
      </c>
      <c r="G1465" s="742" t="n">
        <v>0.11</v>
      </c>
      <c r="H1465" s="742" t="n">
        <v>1.3218</v>
      </c>
      <c r="I1465" s="742" t="n">
        <v>1.31766</v>
      </c>
      <c r="J1465" s="743" t="n">
        <v>1.3227</v>
      </c>
      <c r="K1465" s="765" t="n">
        <v>0.0006808896958691941</v>
      </c>
      <c r="L1465" s="785" t="n"/>
      <c r="M1465" s="754" t="n"/>
      <c r="N1465" s="796" t="n"/>
      <c r="O1465" s="767" t="n">
        <v>44.87</v>
      </c>
      <c r="P1465" s="747" t="n">
        <v>0.04484981758208805</v>
      </c>
      <c r="Q1465" s="748" t="n">
        <v>4.600000000000543</v>
      </c>
      <c r="R1465" s="769" t="n">
        <v>1045.32</v>
      </c>
      <c r="S1465" s="740" t="inlineStr">
        <is>
          <t>1M 0S</t>
        </is>
      </c>
      <c r="T1465" s="750" t="n"/>
      <c r="U1465" s="751" t="n"/>
      <c r="V1465" s="752" t="n"/>
      <c r="W1465" s="753" t="n"/>
      <c r="X1465" s="754" t="n"/>
      <c r="Y1465" s="738" t="n">
        <v>43301.93819444445</v>
      </c>
      <c r="Z1465" s="809" t="inlineStr">
        <is>
          <t>1M 0S</t>
        </is>
      </c>
      <c r="AA1465" s="752" t="n"/>
      <c r="AB1465" s="753" t="n"/>
      <c r="AC1465" s="754" t="n"/>
      <c r="AD1465" s="740" t="inlineStr">
        <is>
          <t>No</t>
        </is>
      </c>
      <c r="AE1465" s="755" t="n"/>
      <c r="AF1465" s="755" t="n"/>
      <c r="AG1465" s="755" t="n"/>
      <c r="AH1465" s="755" t="n"/>
      <c r="AI1465" s="740" t="inlineStr">
        <is>
          <t>Limit</t>
        </is>
      </c>
      <c r="AJ1465" s="755" t="n"/>
      <c r="AK1465" s="755" t="n"/>
      <c r="AL1465" s="755" t="n"/>
      <c r="AM1465" s="755" t="n"/>
      <c r="AN1465" s="755" t="n"/>
      <c r="AO1465" s="755" t="n"/>
      <c r="AP1465" s="740" t="inlineStr">
        <is>
          <t>News Scalp</t>
        </is>
      </c>
      <c r="AQ1465" s="740" t="inlineStr">
        <is>
          <t>1MIN</t>
        </is>
      </c>
      <c r="AR1465" s="740" t="inlineStr">
        <is>
          <t>No</t>
        </is>
      </c>
      <c r="AS1465" s="787" t="n"/>
      <c r="AT1465" s="755" t="n"/>
      <c r="AU1465" s="740" t="n"/>
      <c r="AV1465" s="740" t="n"/>
      <c r="AW1465" s="740" t="inlineStr">
        <is>
          <t>trade</t>
        </is>
      </c>
      <c r="AX1465" s="756" t="inlineStr">
        <is>
          <t>sig:0ad30a046df74f0d3c1483c1</t>
        </is>
      </c>
    </row>
    <row r="1466" ht="15" customHeight="1">
      <c r="A1466" s="716" t="inlineStr">
        <is>
          <t>F98</t>
        </is>
      </c>
      <c r="B1466" s="717" t="n">
        <v>43301.86394675926</v>
      </c>
      <c r="C1466" s="718" t="n">
        <v>43301.86443287037</v>
      </c>
      <c r="D1466" s="719" t="inlineStr">
        <is>
          <t>PEPPERSTONE DEMO</t>
        </is>
      </c>
      <c r="E1466" s="719" t="inlineStr">
        <is>
          <t>GBPUSD</t>
        </is>
      </c>
      <c r="F1466" s="719" t="inlineStr">
        <is>
          <t>BUY</t>
        </is>
      </c>
      <c r="G1466" s="720" t="n">
        <v>0.24</v>
      </c>
      <c r="H1466" s="720" t="n">
        <v>1.3037</v>
      </c>
      <c r="I1466" s="720" t="n">
        <v>1.3034</v>
      </c>
      <c r="J1466" s="721" t="n">
        <v>1.3034</v>
      </c>
      <c r="K1466" s="760" t="n">
        <v>0.00023011429009756</v>
      </c>
      <c r="L1466" s="789" t="n"/>
      <c r="M1466" s="732" t="n"/>
      <c r="N1466" s="788" t="n"/>
      <c r="O1466" s="762" t="n">
        <v>-10.11</v>
      </c>
      <c r="P1466" s="725" t="n">
        <v>-0.01000435402153261</v>
      </c>
      <c r="Q1466" s="726" t="n">
        <v>-1</v>
      </c>
      <c r="R1466" s="764" t="n">
        <v>1000.45</v>
      </c>
      <c r="S1466" s="719" t="inlineStr">
        <is>
          <t>42S</t>
        </is>
      </c>
      <c r="T1466" s="728" t="n"/>
      <c r="U1466" s="729" t="n"/>
      <c r="V1466" s="730" t="n"/>
      <c r="W1466" s="731" t="n"/>
      <c r="X1466" s="732" t="n"/>
      <c r="Y1466" s="728" t="n"/>
      <c r="Z1466" s="729" t="n"/>
      <c r="AA1466" s="730" t="n"/>
      <c r="AB1466" s="731" t="n"/>
      <c r="AC1466" s="732" t="n"/>
      <c r="AD1466" s="719" t="inlineStr">
        <is>
          <t>No</t>
        </is>
      </c>
      <c r="AE1466" s="733" t="n"/>
      <c r="AF1466" s="733" t="n"/>
      <c r="AG1466" s="733" t="n"/>
      <c r="AH1466" s="733" t="n"/>
      <c r="AI1466" s="733" t="n"/>
      <c r="AJ1466" s="733" t="n"/>
      <c r="AK1466" s="733" t="n"/>
      <c r="AL1466" s="733" t="n"/>
      <c r="AM1466" s="733" t="n"/>
      <c r="AN1466" s="733" t="n"/>
      <c r="AO1466" s="733" t="n"/>
      <c r="AP1466" s="719" t="inlineStr">
        <is>
          <t>Pullback</t>
        </is>
      </c>
      <c r="AQ1466" s="719" t="inlineStr">
        <is>
          <t>1MIN</t>
        </is>
      </c>
      <c r="AR1466" s="719" t="inlineStr">
        <is>
          <t>No</t>
        </is>
      </c>
      <c r="AS1466" s="733" t="n"/>
      <c r="AT1466" s="733" t="n"/>
      <c r="AU1466" s="733" t="n"/>
      <c r="AV1466" s="733" t="n"/>
      <c r="AW1466" s="719" t="inlineStr">
        <is>
          <t>trade</t>
        </is>
      </c>
      <c r="AX1466" s="734" t="inlineStr">
        <is>
          <t>sig:9c2af62016469f08cda0addb</t>
        </is>
      </c>
    </row>
    <row r="1467" ht="15" customHeight="1">
      <c r="A1467" s="737" t="inlineStr">
        <is>
          <t>F96</t>
        </is>
      </c>
      <c r="B1467" s="738" t="n">
        <v>43299.77083333334</v>
      </c>
      <c r="C1467" s="739" t="n">
        <v>43299.77708333333</v>
      </c>
      <c r="D1467" s="740" t="inlineStr">
        <is>
          <t>PEPPERSTONE DEMO</t>
        </is>
      </c>
      <c r="E1467" s="740" t="inlineStr">
        <is>
          <t>GBPUSD</t>
        </is>
      </c>
      <c r="F1467" s="740" t="inlineStr">
        <is>
          <t>SELL</t>
        </is>
      </c>
      <c r="G1467" s="775" t="n">
        <v>0.06</v>
      </c>
      <c r="H1467" s="742" t="n">
        <v>1.3067</v>
      </c>
      <c r="I1467" s="742" t="n">
        <v>1.30268</v>
      </c>
      <c r="J1467" s="743" t="n">
        <v>1.3079</v>
      </c>
      <c r="K1467" s="765" t="n">
        <v>0.0009183439197980332</v>
      </c>
      <c r="L1467" s="743" t="n">
        <v>1.3108</v>
      </c>
      <c r="M1467" s="744" t="n">
        <v>0.003137675059309706</v>
      </c>
      <c r="N1467" s="796" t="n"/>
      <c r="O1467" s="767" t="n">
        <v>27.89</v>
      </c>
      <c r="P1467" s="747" t="n">
        <v>0.02838185759207058</v>
      </c>
      <c r="Q1467" s="748" t="n">
        <v>3.349999999999676</v>
      </c>
      <c r="R1467" s="769" t="n">
        <v>1010.56</v>
      </c>
      <c r="S1467" s="740" t="inlineStr">
        <is>
          <t>9M 0S</t>
        </is>
      </c>
      <c r="T1467" s="750" t="n"/>
      <c r="U1467" s="751" t="n"/>
      <c r="V1467" s="752" t="n"/>
      <c r="W1467" s="753" t="n"/>
      <c r="X1467" s="754" t="n"/>
      <c r="Y1467" s="738" t="n">
        <v>43299.77152777778</v>
      </c>
      <c r="Z1467" s="809" t="inlineStr">
        <is>
          <t>1M 0S</t>
        </is>
      </c>
      <c r="AA1467" s="752" t="n"/>
      <c r="AB1467" s="753" t="n"/>
      <c r="AC1467" s="754" t="n"/>
      <c r="AD1467" s="740" t="inlineStr">
        <is>
          <t>No</t>
        </is>
      </c>
      <c r="AE1467" s="755" t="n"/>
      <c r="AF1467" s="755" t="n"/>
      <c r="AG1467" s="755" t="n"/>
      <c r="AH1467" s="755" t="n"/>
      <c r="AI1467" s="740" t="inlineStr">
        <is>
          <t>Limit</t>
        </is>
      </c>
      <c r="AJ1467" s="755" t="n"/>
      <c r="AK1467" s="755" t="n"/>
      <c r="AL1467" s="755" t="n"/>
      <c r="AM1467" s="755" t="n"/>
      <c r="AN1467" s="755" t="n"/>
      <c r="AO1467" s="755" t="n"/>
      <c r="AP1467" s="740" t="inlineStr">
        <is>
          <t>News Scalp</t>
        </is>
      </c>
      <c r="AQ1467" s="740" t="inlineStr">
        <is>
          <t>1MIN</t>
        </is>
      </c>
      <c r="AR1467" s="740" t="inlineStr">
        <is>
          <t>No</t>
        </is>
      </c>
      <c r="AS1467" s="787" t="n"/>
      <c r="AT1467" s="755" t="n"/>
      <c r="AU1467" s="740" t="n"/>
      <c r="AV1467" s="740" t="n"/>
      <c r="AW1467" s="740" t="inlineStr">
        <is>
          <t>trade</t>
        </is>
      </c>
      <c r="AX1467" s="756" t="inlineStr">
        <is>
          <t>sig:d6c81536be2056ecb4a7dd75</t>
        </is>
      </c>
    </row>
    <row r="1468" ht="15" customHeight="1">
      <c r="A1468" s="737" t="inlineStr">
        <is>
          <t>F95</t>
        </is>
      </c>
      <c r="B1468" s="738" t="n">
        <v>43298.77708333333</v>
      </c>
      <c r="C1468" s="739" t="n">
        <v>43298.7875</v>
      </c>
      <c r="D1468" s="740" t="inlineStr">
        <is>
          <t>PEPPERSTONE DEMO</t>
        </is>
      </c>
      <c r="E1468" s="740" t="inlineStr">
        <is>
          <t>GBPUSD</t>
        </is>
      </c>
      <c r="F1468" s="740" t="inlineStr">
        <is>
          <t>BUY</t>
        </is>
      </c>
      <c r="G1468" s="742" t="n">
        <v>0.23</v>
      </c>
      <c r="H1468" s="742" t="n">
        <v>1.3252</v>
      </c>
      <c r="I1468" s="742" t="n">
        <v>1.32626</v>
      </c>
      <c r="J1468" s="743" t="n">
        <v>1.3249</v>
      </c>
      <c r="K1468" s="765" t="n">
        <v>0.0002263809236341435</v>
      </c>
      <c r="L1468" s="743" t="n">
        <v>1.3262</v>
      </c>
      <c r="M1468" s="765" t="n">
        <v>0.0007546030787806459</v>
      </c>
      <c r="N1468" s="796" t="n"/>
      <c r="O1468" s="767" t="n">
        <v>26.13</v>
      </c>
      <c r="P1468" s="747" t="n">
        <v>0.02731720576243544</v>
      </c>
      <c r="Q1468" s="748" t="n">
        <v>3.533333333333926</v>
      </c>
      <c r="R1468" s="769" t="n">
        <v>982.6700000000001</v>
      </c>
      <c r="S1468" s="740" t="inlineStr">
        <is>
          <t>15M 0S</t>
        </is>
      </c>
      <c r="T1468" s="738" t="n">
        <v>43298.77847222222</v>
      </c>
      <c r="U1468" s="809" t="inlineStr">
        <is>
          <t>2M 0S</t>
        </is>
      </c>
      <c r="V1468" s="752" t="n"/>
      <c r="W1468" s="753" t="n"/>
      <c r="X1468" s="754" t="n"/>
      <c r="Y1468" s="738" t="n">
        <v>43298.78125</v>
      </c>
      <c r="Z1468" s="809" t="inlineStr">
        <is>
          <t>6M 0S</t>
        </is>
      </c>
      <c r="AA1468" s="752" t="n"/>
      <c r="AB1468" s="753" t="n"/>
      <c r="AC1468" s="754" t="n"/>
      <c r="AD1468" s="740" t="inlineStr">
        <is>
          <t>No</t>
        </is>
      </c>
      <c r="AE1468" s="755" t="n"/>
      <c r="AF1468" s="755" t="n"/>
      <c r="AG1468" s="755" t="n"/>
      <c r="AH1468" s="755" t="n"/>
      <c r="AI1468" s="740" t="inlineStr">
        <is>
          <t>Limit</t>
        </is>
      </c>
      <c r="AJ1468" s="755" t="n"/>
      <c r="AK1468" s="755" t="n"/>
      <c r="AL1468" s="755" t="n"/>
      <c r="AM1468" s="755" t="n"/>
      <c r="AN1468" s="755" t="n"/>
      <c r="AO1468" s="755" t="n"/>
      <c r="AP1468" s="740" t="inlineStr">
        <is>
          <t>Pullback</t>
        </is>
      </c>
      <c r="AQ1468" s="740" t="inlineStr">
        <is>
          <t>1MIN</t>
        </is>
      </c>
      <c r="AR1468" s="740" t="inlineStr">
        <is>
          <t>No</t>
        </is>
      </c>
      <c r="AS1468" s="755" t="n"/>
      <c r="AT1468" s="755" t="n"/>
      <c r="AU1468" s="755" t="n"/>
      <c r="AV1468" s="755" t="n"/>
      <c r="AW1468" s="740" t="inlineStr">
        <is>
          <t>trade</t>
        </is>
      </c>
      <c r="AX1468" s="756" t="inlineStr">
        <is>
          <t>sig:34eafefe0eb95dbd4f08229d</t>
        </is>
      </c>
    </row>
    <row r="1469" ht="15" customHeight="1">
      <c r="A1469" s="716" t="inlineStr">
        <is>
          <t>F94</t>
        </is>
      </c>
      <c r="B1469" s="717" t="n">
        <v>43298.77091435185</v>
      </c>
      <c r="C1469" s="718" t="n">
        <v>43298.77138888889</v>
      </c>
      <c r="D1469" s="719" t="inlineStr">
        <is>
          <t>PEPPERSTONE DEMO</t>
        </is>
      </c>
      <c r="E1469" s="719" t="inlineStr">
        <is>
          <t>GBPUSD</t>
        </is>
      </c>
      <c r="F1469" s="719" t="inlineStr">
        <is>
          <t>SELL</t>
        </is>
      </c>
      <c r="G1469" s="735" t="n">
        <v>0.07000000000000001</v>
      </c>
      <c r="H1469" s="720" t="n">
        <v>1.3236</v>
      </c>
      <c r="I1469" s="720" t="n">
        <v>1.32449</v>
      </c>
      <c r="J1469" s="721" t="n">
        <v>1.3244</v>
      </c>
      <c r="K1469" s="760" t="n">
        <v>0.0006044122091265578</v>
      </c>
      <c r="L1469" s="789" t="n"/>
      <c r="M1469" s="732" t="n"/>
      <c r="N1469" s="788" t="n"/>
      <c r="O1469" s="762" t="n">
        <v>-7.55</v>
      </c>
      <c r="P1469" s="725" t="n">
        <v>-0.007831219077057121</v>
      </c>
      <c r="Q1469" s="726" t="n">
        <v>-1.112499999999917</v>
      </c>
      <c r="R1469" s="764" t="n">
        <v>956.5400000000001</v>
      </c>
      <c r="S1469" s="719" t="inlineStr">
        <is>
          <t>41S</t>
        </is>
      </c>
      <c r="T1469" s="728" t="n"/>
      <c r="U1469" s="729" t="n"/>
      <c r="V1469" s="730" t="n"/>
      <c r="W1469" s="731" t="n"/>
      <c r="X1469" s="732" t="n"/>
      <c r="Y1469" s="728" t="n"/>
      <c r="Z1469" s="729" t="n"/>
      <c r="AA1469" s="730" t="n"/>
      <c r="AB1469" s="731" t="n"/>
      <c r="AC1469" s="732" t="n"/>
      <c r="AD1469" s="719" t="inlineStr">
        <is>
          <t>No</t>
        </is>
      </c>
      <c r="AE1469" s="733" t="n"/>
      <c r="AF1469" s="733" t="n"/>
      <c r="AG1469" s="733" t="n"/>
      <c r="AH1469" s="733" t="n"/>
      <c r="AI1469" s="719" t="inlineStr">
        <is>
          <t>Limit</t>
        </is>
      </c>
      <c r="AJ1469" s="733" t="n"/>
      <c r="AK1469" s="733" t="n"/>
      <c r="AL1469" s="733" t="n"/>
      <c r="AM1469" s="733" t="n"/>
      <c r="AN1469" s="733" t="n"/>
      <c r="AO1469" s="733" t="n"/>
      <c r="AP1469" s="719" t="inlineStr">
        <is>
          <t>News Scalp</t>
        </is>
      </c>
      <c r="AQ1469" s="719" t="inlineStr">
        <is>
          <t>1MIN</t>
        </is>
      </c>
      <c r="AR1469" s="719" t="inlineStr">
        <is>
          <t>No</t>
        </is>
      </c>
      <c r="AS1469" s="733" t="n"/>
      <c r="AT1469" s="733" t="n"/>
      <c r="AU1469" s="733" t="n"/>
      <c r="AV1469" s="733" t="n"/>
      <c r="AW1469" s="719" t="inlineStr">
        <is>
          <t>trade</t>
        </is>
      </c>
      <c r="AX1469" s="734" t="inlineStr">
        <is>
          <t>sig:b5d1601b674b89fabd60a2ff</t>
        </is>
      </c>
    </row>
    <row r="1470" ht="15" customHeight="1">
      <c r="A1470" s="716" t="inlineStr">
        <is>
          <t>F93</t>
        </is>
      </c>
      <c r="B1470" s="717" t="n">
        <v>43297.9375</v>
      </c>
      <c r="C1470" s="718" t="n">
        <v>43297.93769675926</v>
      </c>
      <c r="D1470" s="719" t="inlineStr">
        <is>
          <t>PEPPERSTONE DEMO</t>
        </is>
      </c>
      <c r="E1470" s="719" t="inlineStr">
        <is>
          <t>USDCAD</t>
        </is>
      </c>
      <c r="F1470" s="719" t="inlineStr">
        <is>
          <t>BUY</t>
        </is>
      </c>
      <c r="G1470" s="720" t="n">
        <v>0.19</v>
      </c>
      <c r="H1470" s="720" t="n">
        <v>1.3154</v>
      </c>
      <c r="I1470" s="720" t="n">
        <v>1.31493</v>
      </c>
      <c r="J1470" s="721" t="n">
        <v>1.3149</v>
      </c>
      <c r="K1470" s="760" t="n">
        <v>0.0003801125133038961</v>
      </c>
      <c r="L1470" s="721" t="n"/>
      <c r="M1470" s="722" t="n"/>
      <c r="N1470" s="788" t="n"/>
      <c r="O1470" s="762" t="n">
        <v>-9.720000000000001</v>
      </c>
      <c r="P1470" s="725" t="n">
        <v>-0.00998141321202288</v>
      </c>
      <c r="Q1470" s="726" t="n">
        <v>-0.9400000000000444</v>
      </c>
      <c r="R1470" s="764" t="n">
        <v>964.09</v>
      </c>
      <c r="S1470" s="719" t="inlineStr">
        <is>
          <t>17S</t>
        </is>
      </c>
      <c r="T1470" s="717" t="n"/>
      <c r="U1470" s="806" t="n"/>
      <c r="V1470" s="807" t="n"/>
      <c r="W1470" s="725" t="n"/>
      <c r="X1470" s="722" t="n"/>
      <c r="Y1470" s="728" t="n"/>
      <c r="Z1470" s="729" t="n"/>
      <c r="AA1470" s="730" t="n"/>
      <c r="AB1470" s="731" t="n"/>
      <c r="AC1470" s="732" t="n"/>
      <c r="AD1470" s="719" t="inlineStr">
        <is>
          <t>No</t>
        </is>
      </c>
      <c r="AE1470" s="733" t="n"/>
      <c r="AF1470" s="733" t="n"/>
      <c r="AG1470" s="733" t="n"/>
      <c r="AH1470" s="733" t="n"/>
      <c r="AI1470" s="719" t="inlineStr">
        <is>
          <t>Limit</t>
        </is>
      </c>
      <c r="AJ1470" s="733" t="n"/>
      <c r="AK1470" s="733" t="n"/>
      <c r="AL1470" s="733" t="n"/>
      <c r="AM1470" s="733" t="n"/>
      <c r="AN1470" s="733" t="n"/>
      <c r="AO1470" s="733" t="n"/>
      <c r="AP1470" s="719" t="inlineStr">
        <is>
          <t>News Scalp</t>
        </is>
      </c>
      <c r="AQ1470" s="719" t="inlineStr">
        <is>
          <t>1MIN</t>
        </is>
      </c>
      <c r="AR1470" s="719" t="inlineStr">
        <is>
          <t>No</t>
        </is>
      </c>
      <c r="AS1470" s="733" t="n"/>
      <c r="AT1470" s="733" t="n"/>
      <c r="AU1470" s="733" t="n"/>
      <c r="AV1470" s="733" t="n"/>
      <c r="AW1470" s="719" t="inlineStr">
        <is>
          <t>trade</t>
        </is>
      </c>
      <c r="AX1470" s="734" t="inlineStr">
        <is>
          <t>sig:64a2831b8e159baef3ff9e1d</t>
        </is>
      </c>
    </row>
    <row r="1471" ht="15" customHeight="1">
      <c r="A1471" s="716" t="inlineStr">
        <is>
          <t>F91</t>
        </is>
      </c>
      <c r="B1471" s="717" t="n">
        <v>43294.96388888889</v>
      </c>
      <c r="C1471" s="718" t="n">
        <v>43294.98125</v>
      </c>
      <c r="D1471" s="719" t="inlineStr">
        <is>
          <t>PEPPERSTONE DEMO</t>
        </is>
      </c>
      <c r="E1471" s="719" t="inlineStr">
        <is>
          <t>USDCHF</t>
        </is>
      </c>
      <c r="F1471" s="719" t="inlineStr">
        <is>
          <t>BUY</t>
        </is>
      </c>
      <c r="G1471" s="720" t="n">
        <v>0.18</v>
      </c>
      <c r="H1471" s="720" t="n">
        <v>1.0051</v>
      </c>
      <c r="I1471" s="720" t="n">
        <v>1.00476</v>
      </c>
      <c r="J1471" s="721" t="n">
        <v>1.0047</v>
      </c>
      <c r="K1471" s="760" t="n">
        <v>0.000397970351209012</v>
      </c>
      <c r="L1471" s="721" t="n">
        <v>1.0062</v>
      </c>
      <c r="M1471" s="722" t="n">
        <v>0.001094418465824175</v>
      </c>
      <c r="N1471" s="788" t="n"/>
      <c r="O1471" s="762" t="n">
        <v>-10.17</v>
      </c>
      <c r="P1471" s="725" t="n">
        <v>-0.01033557592633997</v>
      </c>
      <c r="Q1471" s="726" t="n">
        <v>-0.8499999999996392</v>
      </c>
      <c r="R1471" s="764" t="n">
        <v>973.8100000000001</v>
      </c>
      <c r="S1471" s="719" t="inlineStr">
        <is>
          <t>25M 0S</t>
        </is>
      </c>
      <c r="T1471" s="728" t="n"/>
      <c r="U1471" s="729" t="n"/>
      <c r="V1471" s="730" t="n"/>
      <c r="W1471" s="731" t="n"/>
      <c r="X1471" s="732" t="n"/>
      <c r="Y1471" s="728" t="n"/>
      <c r="Z1471" s="729" t="n"/>
      <c r="AA1471" s="730" t="n"/>
      <c r="AB1471" s="731" t="n"/>
      <c r="AC1471" s="732" t="n"/>
      <c r="AD1471" s="719" t="inlineStr">
        <is>
          <t>No</t>
        </is>
      </c>
      <c r="AE1471" s="733" t="n"/>
      <c r="AF1471" s="733" t="n"/>
      <c r="AG1471" s="733" t="n"/>
      <c r="AH1471" s="733" t="n"/>
      <c r="AI1471" s="719" t="inlineStr">
        <is>
          <t>Limit</t>
        </is>
      </c>
      <c r="AJ1471" s="733" t="n"/>
      <c r="AK1471" s="733" t="n"/>
      <c r="AL1471" s="733" t="n"/>
      <c r="AM1471" s="733" t="n"/>
      <c r="AN1471" s="733" t="n"/>
      <c r="AO1471" s="733" t="n"/>
      <c r="AP1471" s="719" t="inlineStr">
        <is>
          <t>Pullback</t>
        </is>
      </c>
      <c r="AQ1471" s="719" t="inlineStr">
        <is>
          <t>5MIN</t>
        </is>
      </c>
      <c r="AR1471" s="719" t="inlineStr">
        <is>
          <t>No</t>
        </is>
      </c>
      <c r="AS1471" s="733" t="n"/>
      <c r="AT1471" s="733" t="n"/>
      <c r="AU1471" s="733" t="n"/>
      <c r="AV1471" s="733" t="n"/>
      <c r="AW1471" s="719" t="inlineStr">
        <is>
          <t>trade</t>
        </is>
      </c>
      <c r="AX1471" s="734" t="inlineStr">
        <is>
          <t>sig:121474e78583ab266d3c1f58</t>
        </is>
      </c>
    </row>
    <row r="1472" ht="15" customHeight="1">
      <c r="A1472" s="716" t="inlineStr">
        <is>
          <t>F92</t>
        </is>
      </c>
      <c r="B1472" s="717" t="n">
        <v>43294.94815972223</v>
      </c>
      <c r="C1472" s="718" t="n">
        <v>43294.94832175926</v>
      </c>
      <c r="D1472" s="719" t="inlineStr">
        <is>
          <t>PEPPERSTONE DEMO</t>
        </is>
      </c>
      <c r="E1472" s="719" t="inlineStr">
        <is>
          <t>EURUSD</t>
        </is>
      </c>
      <c r="F1472" s="719" t="inlineStr">
        <is>
          <t>BUY</t>
        </is>
      </c>
      <c r="G1472" s="720" t="n">
        <v>0.18</v>
      </c>
      <c r="H1472" s="720" t="n">
        <v>1.1639</v>
      </c>
      <c r="I1472" s="720" t="n">
        <v>1.16367</v>
      </c>
      <c r="J1472" s="721" t="n">
        <v>1.1636</v>
      </c>
      <c r="K1472" s="760" t="n">
        <v>0.0002577541025861044</v>
      </c>
      <c r="L1472" s="789" t="n"/>
      <c r="M1472" s="732" t="n"/>
      <c r="N1472" s="788" t="n"/>
      <c r="O1472" s="762" t="n">
        <v>-5.85</v>
      </c>
      <c r="P1472" s="725" t="n">
        <v>-0.005910105775739267</v>
      </c>
      <c r="Q1472" s="726" t="n">
        <v>-0.7666666666665927</v>
      </c>
      <c r="R1472" s="764" t="n">
        <v>983.98</v>
      </c>
      <c r="S1472" s="719" t="inlineStr">
        <is>
          <t>14S</t>
        </is>
      </c>
      <c r="T1472" s="728" t="n"/>
      <c r="U1472" s="729" t="n"/>
      <c r="V1472" s="730" t="n"/>
      <c r="W1472" s="731" t="n"/>
      <c r="X1472" s="732" t="n"/>
      <c r="Y1472" s="728" t="n"/>
      <c r="Z1472" s="729" t="n"/>
      <c r="AA1472" s="730" t="n"/>
      <c r="AB1472" s="731" t="n"/>
      <c r="AC1472" s="732" t="n"/>
      <c r="AD1472" s="719" t="inlineStr">
        <is>
          <t>No</t>
        </is>
      </c>
      <c r="AE1472" s="733" t="n"/>
      <c r="AF1472" s="733" t="n"/>
      <c r="AG1472" s="733" t="n"/>
      <c r="AH1472" s="733" t="n"/>
      <c r="AI1472" s="733" t="n"/>
      <c r="AJ1472" s="733" t="n"/>
      <c r="AK1472" s="733" t="n"/>
      <c r="AL1472" s="733" t="n"/>
      <c r="AM1472" s="733" t="n"/>
      <c r="AN1472" s="733" t="n"/>
      <c r="AO1472" s="733" t="n"/>
      <c r="AP1472" s="719" t="inlineStr">
        <is>
          <t>Pullback</t>
        </is>
      </c>
      <c r="AQ1472" s="719" t="n"/>
      <c r="AR1472" s="719" t="inlineStr">
        <is>
          <t>No</t>
        </is>
      </c>
      <c r="AS1472" s="733" t="n"/>
      <c r="AT1472" s="733" t="n"/>
      <c r="AU1472" s="733" t="n"/>
      <c r="AV1472" s="733" t="n"/>
      <c r="AW1472" s="719" t="inlineStr">
        <is>
          <t>trade</t>
        </is>
      </c>
      <c r="AX1472" s="734" t="inlineStr">
        <is>
          <t>sig:eb125c8ace54ef5a2c8c8d80</t>
        </is>
      </c>
    </row>
    <row r="1473" ht="15" customHeight="1">
      <c r="A1473" s="42" t="n"/>
      <c r="B1473" s="770" t="n">
        <v>43294</v>
      </c>
      <c r="C1473" s="771" t="n">
        <v>43294</v>
      </c>
      <c r="D1473" s="12" t="inlineStr">
        <is>
          <t>PEPPERSTONE DEMO</t>
        </is>
      </c>
      <c r="E1473" s="12" t="inlineStr">
        <is>
          <t>CASHFLOW</t>
        </is>
      </c>
      <c r="F1473" s="12" t="inlineStr">
        <is>
          <t>WITHDRAWAL</t>
        </is>
      </c>
      <c r="G1473" s="262" t="n"/>
      <c r="H1473" s="262" t="n"/>
      <c r="I1473" s="262" t="n"/>
      <c r="J1473" s="263" t="n"/>
      <c r="K1473" s="36" t="n"/>
      <c r="L1473" s="263" t="n"/>
      <c r="M1473" s="36" t="n"/>
      <c r="N1473" s="779" t="n"/>
      <c r="O1473" s="773" t="n"/>
      <c r="P1473" s="3" t="n"/>
      <c r="Q1473" s="51" t="n"/>
      <c r="R1473" s="54" t="n">
        <v>989.83</v>
      </c>
      <c r="S1473" s="12" t="n"/>
      <c r="T1473" s="774" t="n"/>
      <c r="U1473" s="6" t="n"/>
      <c r="V1473" s="264" t="n"/>
      <c r="W1473" s="9" t="n"/>
      <c r="X1473" s="46" t="n"/>
      <c r="Y1473" s="774" t="n"/>
      <c r="Z1473" s="6" t="n"/>
      <c r="AA1473" s="264" t="n"/>
      <c r="AB1473" s="9" t="n"/>
      <c r="AC1473" s="46" t="n"/>
      <c r="AD1473" s="12" t="inlineStr">
        <is>
          <t>No</t>
        </is>
      </c>
      <c r="AE1473" s="45" t="n"/>
      <c r="AF1473" s="45" t="n"/>
      <c r="AG1473" s="45" t="n"/>
      <c r="AH1473" s="45" t="n"/>
      <c r="AI1473" s="45" t="n"/>
      <c r="AJ1473" s="45" t="n"/>
      <c r="AK1473" s="45" t="n"/>
      <c r="AL1473" s="45" t="n"/>
      <c r="AM1473" s="45" t="n"/>
      <c r="AN1473" s="45" t="n"/>
      <c r="AO1473" s="12" t="n"/>
      <c r="AP1473" s="12" t="n"/>
      <c r="AQ1473" s="12" t="n"/>
      <c r="AR1473" s="12" t="n"/>
      <c r="AS1473" s="56" t="inlineStr">
        <is>
          <t>Withdrawal -487.12 AUD. Source: user_txt. Imported from account_cashflows.xlsx row 18.</t>
        </is>
      </c>
      <c r="AT1473" s="45" t="n"/>
      <c r="AU1473" s="12" t="n">
        <v>989.83</v>
      </c>
      <c r="AV1473" s="12" t="inlineStr">
        <is>
          <t>AUD</t>
        </is>
      </c>
      <c r="AW1473" s="12" t="inlineStr">
        <is>
          <t>cashflow</t>
        </is>
      </c>
      <c r="AX1473" s="57" t="inlineStr">
        <is>
          <t>cashflow:PEPPERSTONE DEMO:2018-07-13T00:00:00:4</t>
        </is>
      </c>
    </row>
    <row r="1474" ht="15" customHeight="1">
      <c r="A1474" s="716" t="inlineStr">
        <is>
          <t>F90</t>
        </is>
      </c>
      <c r="B1474" s="717" t="n">
        <v>43293.78892361111</v>
      </c>
      <c r="C1474" s="718" t="n">
        <v>43293.78902777778</v>
      </c>
      <c r="D1474" s="719" t="inlineStr">
        <is>
          <t>PEPPERSTONE DEMO</t>
        </is>
      </c>
      <c r="E1474" s="719" t="inlineStr">
        <is>
          <t>USDCAD</t>
        </is>
      </c>
      <c r="F1474" s="719" t="inlineStr">
        <is>
          <t>SELL</t>
        </is>
      </c>
      <c r="G1474" s="720" t="n">
        <v>0.33</v>
      </c>
      <c r="H1474" s="720" t="n">
        <v>1.3193</v>
      </c>
      <c r="I1474" s="720" t="n">
        <v>1.31964</v>
      </c>
      <c r="J1474" s="721" t="n">
        <v>1.3196</v>
      </c>
      <c r="K1474" s="760" t="n">
        <v>0.000227393314636693</v>
      </c>
      <c r="L1474" s="721" t="n"/>
      <c r="M1474" s="722" t="n"/>
      <c r="N1474" s="788" t="n"/>
      <c r="O1474" s="762" t="n">
        <v>-10.17</v>
      </c>
      <c r="P1474" s="725" t="n">
        <v>-0.006838721824735058</v>
      </c>
      <c r="Q1474" s="726" t="n">
        <v>-1.133333333332643</v>
      </c>
      <c r="R1474" s="764" t="n">
        <v>1476.95</v>
      </c>
      <c r="S1474" s="719" t="inlineStr">
        <is>
          <t>9S</t>
        </is>
      </c>
      <c r="T1474" s="728" t="n"/>
      <c r="U1474" s="729" t="n"/>
      <c r="V1474" s="730" t="n"/>
      <c r="W1474" s="731" t="n"/>
      <c r="X1474" s="732" t="n"/>
      <c r="Y1474" s="728" t="n"/>
      <c r="Z1474" s="729" t="n"/>
      <c r="AA1474" s="730" t="n"/>
      <c r="AB1474" s="731" t="n"/>
      <c r="AC1474" s="732" t="n"/>
      <c r="AD1474" s="719" t="inlineStr">
        <is>
          <t>No</t>
        </is>
      </c>
      <c r="AE1474" s="733" t="n"/>
      <c r="AF1474" s="733" t="n"/>
      <c r="AG1474" s="733" t="n"/>
      <c r="AH1474" s="733" t="n"/>
      <c r="AI1474" s="733" t="n"/>
      <c r="AJ1474" s="733" t="n"/>
      <c r="AK1474" s="733" t="n"/>
      <c r="AL1474" s="733" t="n"/>
      <c r="AM1474" s="733" t="n"/>
      <c r="AN1474" s="733" t="n"/>
      <c r="AO1474" s="733" t="n"/>
      <c r="AP1474" s="719" t="inlineStr">
        <is>
          <t>Pullback</t>
        </is>
      </c>
      <c r="AQ1474" s="719" t="n"/>
      <c r="AR1474" s="719" t="inlineStr">
        <is>
          <t>No</t>
        </is>
      </c>
      <c r="AS1474" s="733" t="n"/>
      <c r="AT1474" s="733" t="n"/>
      <c r="AU1474" s="733" t="n"/>
      <c r="AV1474" s="733" t="n"/>
      <c r="AW1474" s="719" t="inlineStr">
        <is>
          <t>trade</t>
        </is>
      </c>
      <c r="AX1474" s="734" t="inlineStr">
        <is>
          <t>sig:59cfb4d18961f375442d697c</t>
        </is>
      </c>
    </row>
    <row r="1475" ht="15" customHeight="1">
      <c r="A1475" s="42" t="n"/>
      <c r="B1475" s="770" t="n">
        <v>43293</v>
      </c>
      <c r="C1475" s="771" t="n">
        <v>43293</v>
      </c>
      <c r="D1475" s="12" t="inlineStr">
        <is>
          <t>PEPPERSTONE DEMO</t>
        </is>
      </c>
      <c r="E1475" s="12" t="inlineStr">
        <is>
          <t>CASHFLOW</t>
        </is>
      </c>
      <c r="F1475" s="12" t="inlineStr">
        <is>
          <t>DEPOSIT</t>
        </is>
      </c>
      <c r="G1475" s="262" t="n"/>
      <c r="H1475" s="262" t="n"/>
      <c r="I1475" s="262" t="n"/>
      <c r="J1475" s="263" t="n"/>
      <c r="K1475" s="36" t="n"/>
      <c r="L1475" s="263" t="n"/>
      <c r="M1475" s="36" t="n"/>
      <c r="N1475" s="779" t="n"/>
      <c r="O1475" s="773" t="n"/>
      <c r="P1475" s="3" t="n"/>
      <c r="Q1475" s="51" t="n"/>
      <c r="R1475" s="54" t="n">
        <v>1487.12</v>
      </c>
      <c r="S1475" s="12" t="n"/>
      <c r="T1475" s="774" t="n"/>
      <c r="U1475" s="6" t="n"/>
      <c r="V1475" s="264" t="n"/>
      <c r="W1475" s="9" t="n"/>
      <c r="X1475" s="46" t="n"/>
      <c r="Y1475" s="774" t="n"/>
      <c r="Z1475" s="6" t="n"/>
      <c r="AA1475" s="264" t="n"/>
      <c r="AB1475" s="9" t="n"/>
      <c r="AC1475" s="46" t="n"/>
      <c r="AD1475" s="12" t="inlineStr">
        <is>
          <t>No</t>
        </is>
      </c>
      <c r="AE1475" s="45" t="n"/>
      <c r="AF1475" s="45" t="n"/>
      <c r="AG1475" s="45" t="n"/>
      <c r="AH1475" s="45" t="n"/>
      <c r="AI1475" s="12" t="n"/>
      <c r="AJ1475" s="45" t="n"/>
      <c r="AK1475" s="45" t="n"/>
      <c r="AL1475" s="45" t="n"/>
      <c r="AM1475" s="45" t="n"/>
      <c r="AN1475" s="45" t="n"/>
      <c r="AO1475" s="45" t="n"/>
      <c r="AP1475" s="12" t="n"/>
      <c r="AQ1475" s="12" t="n"/>
      <c r="AR1475" s="12" t="n"/>
      <c r="AS1475" s="56" t="inlineStr">
        <is>
          <t>Deposit 1000.0 AUD. Source: user_txt. Imported from account_cashflows.xlsx row 17.</t>
        </is>
      </c>
      <c r="AT1475" s="45" t="n"/>
      <c r="AU1475" s="12" t="n">
        <v>1487.12</v>
      </c>
      <c r="AV1475" s="12" t="inlineStr">
        <is>
          <t>AUD</t>
        </is>
      </c>
      <c r="AW1475" s="12" t="inlineStr">
        <is>
          <t>cashflow</t>
        </is>
      </c>
      <c r="AX1475" s="57" t="inlineStr">
        <is>
          <t>cashflow:PEPPERSTONE DEMO:2018-07-12T00:00:00:3</t>
        </is>
      </c>
    </row>
    <row r="1476" ht="15" customHeight="1">
      <c r="A1476" s="716" t="inlineStr">
        <is>
          <t>F88</t>
        </is>
      </c>
      <c r="B1476" s="717" t="n">
        <v>43292.99990740741</v>
      </c>
      <c r="C1476" s="718" t="n">
        <v>43292.99991898148</v>
      </c>
      <c r="D1476" s="719" t="inlineStr">
        <is>
          <t>PEPPERSTONE DEMO</t>
        </is>
      </c>
      <c r="E1476" s="719" t="inlineStr">
        <is>
          <t>USDCAD</t>
        </is>
      </c>
      <c r="F1476" s="719" t="inlineStr">
        <is>
          <t>BUY</t>
        </is>
      </c>
      <c r="G1476" s="735" t="n">
        <v>0.07000000000000001</v>
      </c>
      <c r="H1476" s="720" t="n">
        <v>1.3137</v>
      </c>
      <c r="I1476" s="720" t="n">
        <v>1.31346</v>
      </c>
      <c r="J1476" s="721" t="n">
        <v>1.3134</v>
      </c>
      <c r="K1476" s="760" t="n">
        <v>0.0002283626398722608</v>
      </c>
      <c r="L1476" s="721" t="n"/>
      <c r="M1476" s="722" t="n"/>
      <c r="N1476" s="788" t="n"/>
      <c r="O1476" s="762" t="n">
        <v>-1.23</v>
      </c>
      <c r="P1476" s="725" t="n">
        <v>-0.002518685369100031</v>
      </c>
      <c r="Q1476" s="726" t="n">
        <v>-0.799999999999556</v>
      </c>
      <c r="R1476" s="764" t="n">
        <v>487.1199999999999</v>
      </c>
      <c r="S1476" s="719" t="inlineStr">
        <is>
          <t>1S</t>
        </is>
      </c>
      <c r="T1476" s="728" t="n"/>
      <c r="U1476" s="729" t="n"/>
      <c r="V1476" s="730" t="n"/>
      <c r="W1476" s="731" t="n"/>
      <c r="X1476" s="732" t="n"/>
      <c r="Y1476" s="728" t="n"/>
      <c r="Z1476" s="729" t="n"/>
      <c r="AA1476" s="730" t="n"/>
      <c r="AB1476" s="731" t="n"/>
      <c r="AC1476" s="732" t="n"/>
      <c r="AD1476" s="719" t="inlineStr">
        <is>
          <t>No</t>
        </is>
      </c>
      <c r="AE1476" s="733" t="n"/>
      <c r="AF1476" s="733" t="n"/>
      <c r="AG1476" s="733" t="n"/>
      <c r="AH1476" s="733" t="n"/>
      <c r="AI1476" s="719" t="inlineStr">
        <is>
          <t>Limit</t>
        </is>
      </c>
      <c r="AJ1476" s="733" t="n"/>
      <c r="AK1476" s="733" t="n"/>
      <c r="AL1476" s="733" t="n"/>
      <c r="AM1476" s="733" t="n"/>
      <c r="AN1476" s="733" t="n"/>
      <c r="AO1476" s="733" t="n"/>
      <c r="AP1476" s="719" t="inlineStr">
        <is>
          <t>News Scalp</t>
        </is>
      </c>
      <c r="AQ1476" s="719" t="inlineStr">
        <is>
          <t>1MIN</t>
        </is>
      </c>
      <c r="AR1476" s="719" t="inlineStr">
        <is>
          <t>No</t>
        </is>
      </c>
      <c r="AS1476" s="733" t="n"/>
      <c r="AT1476" s="733" t="n"/>
      <c r="AU1476" s="733" t="n"/>
      <c r="AV1476" s="733" t="n"/>
      <c r="AW1476" s="719" t="inlineStr">
        <is>
          <t>trade</t>
        </is>
      </c>
      <c r="AX1476" s="734" t="inlineStr">
        <is>
          <t>sig:912ba5b52974ad3179999fc2</t>
        </is>
      </c>
    </row>
    <row r="1477" ht="15" customHeight="1">
      <c r="A1477" s="716" t="inlineStr">
        <is>
          <t>F89</t>
        </is>
      </c>
      <c r="B1477" s="717" t="n">
        <v>43292.99984953704</v>
      </c>
      <c r="C1477" s="718" t="n">
        <v>43292.99986111111</v>
      </c>
      <c r="D1477" s="719" t="inlineStr">
        <is>
          <t>PEPPERSTONE DEMO</t>
        </is>
      </c>
      <c r="E1477" s="719" t="inlineStr">
        <is>
          <t>USDCAD</t>
        </is>
      </c>
      <c r="F1477" s="719" t="inlineStr">
        <is>
          <t>BUY</t>
        </is>
      </c>
      <c r="G1477" s="735" t="n">
        <v>0.04</v>
      </c>
      <c r="H1477" s="720" t="n">
        <v>1.3141</v>
      </c>
      <c r="I1477" s="720" t="n">
        <v>1.31381</v>
      </c>
      <c r="J1477" s="721" t="n">
        <v>1.3138</v>
      </c>
      <c r="K1477" s="760" t="n">
        <v>0.0002282931283768107</v>
      </c>
      <c r="L1477" s="721" t="n"/>
      <c r="M1477" s="722" t="n"/>
      <c r="N1477" s="788" t="n"/>
      <c r="O1477" s="762" t="n">
        <v>-1.24</v>
      </c>
      <c r="P1477" s="725" t="n">
        <v>-0.002532731469188504</v>
      </c>
      <c r="Q1477" s="726" t="n">
        <v>-0.9666666666671848</v>
      </c>
      <c r="R1477" s="764" t="n">
        <v>488.35</v>
      </c>
      <c r="S1477" s="719" t="inlineStr">
        <is>
          <t>1S</t>
        </is>
      </c>
      <c r="T1477" s="728" t="n"/>
      <c r="U1477" s="729" t="n"/>
      <c r="V1477" s="730" t="n"/>
      <c r="W1477" s="731" t="n"/>
      <c r="X1477" s="732" t="n"/>
      <c r="Y1477" s="728" t="n"/>
      <c r="Z1477" s="729" t="n"/>
      <c r="AA1477" s="730" t="n"/>
      <c r="AB1477" s="731" t="n"/>
      <c r="AC1477" s="732" t="n"/>
      <c r="AD1477" s="719" t="inlineStr">
        <is>
          <t>No</t>
        </is>
      </c>
      <c r="AE1477" s="733" t="n"/>
      <c r="AF1477" s="733" t="n"/>
      <c r="AG1477" s="733" t="n"/>
      <c r="AH1477" s="733" t="n"/>
      <c r="AI1477" s="719" t="inlineStr">
        <is>
          <t>Limit</t>
        </is>
      </c>
      <c r="AJ1477" s="733" t="n"/>
      <c r="AK1477" s="733" t="n"/>
      <c r="AL1477" s="733" t="n"/>
      <c r="AM1477" s="733" t="n"/>
      <c r="AN1477" s="733" t="n"/>
      <c r="AO1477" s="733" t="n"/>
      <c r="AP1477" s="719" t="inlineStr">
        <is>
          <t>News Scalp</t>
        </is>
      </c>
      <c r="AQ1477" s="719" t="inlineStr">
        <is>
          <t>1MIN</t>
        </is>
      </c>
      <c r="AR1477" s="719" t="inlineStr">
        <is>
          <t>No</t>
        </is>
      </c>
      <c r="AS1477" s="733" t="n"/>
      <c r="AT1477" s="733" t="n"/>
      <c r="AU1477" s="733" t="n"/>
      <c r="AV1477" s="733" t="n"/>
      <c r="AW1477" s="719" t="inlineStr">
        <is>
          <t>trade</t>
        </is>
      </c>
      <c r="AX1477" s="734" t="inlineStr">
        <is>
          <t>sig:433be58ae69e4de74d072c6a</t>
        </is>
      </c>
    </row>
    <row r="1478" ht="15" customHeight="1">
      <c r="A1478" s="42" t="inlineStr">
        <is>
          <t>F87</t>
        </is>
      </c>
      <c r="B1478" s="770" t="n">
        <v>43291.95833333334</v>
      </c>
      <c r="C1478" s="771" t="n">
        <v>43292.03819444445</v>
      </c>
      <c r="D1478" s="12" t="inlineStr">
        <is>
          <t>PEPPERSTONE DEMO</t>
        </is>
      </c>
      <c r="E1478" s="12" t="inlineStr">
        <is>
          <t>USDJPY</t>
        </is>
      </c>
      <c r="F1478" s="12" t="inlineStr">
        <is>
          <t>BUY</t>
        </is>
      </c>
      <c r="G1478" s="272" t="n">
        <v>0.03</v>
      </c>
      <c r="H1478" s="262" t="n">
        <v>111.221</v>
      </c>
      <c r="I1478" s="262" t="n">
        <v>111.221</v>
      </c>
      <c r="J1478" s="263" t="n">
        <v>111.16</v>
      </c>
      <c r="K1478" s="273" t="n">
        <v>0.0005484575754579356</v>
      </c>
      <c r="L1478" s="263" t="n">
        <v>111.34</v>
      </c>
      <c r="M1478" s="36" t="n">
        <v>0.001069941827532568</v>
      </c>
      <c r="N1478" s="779" t="n"/>
      <c r="O1478" s="773" t="n">
        <v>0</v>
      </c>
      <c r="P1478" s="3" t="n">
        <v>0</v>
      </c>
      <c r="Q1478" s="51" t="n">
        <v>0</v>
      </c>
      <c r="R1478" s="54" t="n">
        <v>489.59</v>
      </c>
      <c r="S1478" s="12" t="inlineStr">
        <is>
          <t>1H 55M 0S</t>
        </is>
      </c>
      <c r="T1478" s="770" t="n">
        <v>43292.02708333333</v>
      </c>
      <c r="U1478" s="4" t="inlineStr">
        <is>
          <t>1H 39M 0S</t>
        </is>
      </c>
      <c r="V1478" s="269" t="n">
        <v>111.3</v>
      </c>
      <c r="W1478" s="3" t="n">
        <v>-0.07899999999999352</v>
      </c>
      <c r="X1478" s="36" t="n">
        <v>0.04000000000000625</v>
      </c>
      <c r="Y1478" s="770" t="n"/>
      <c r="Z1478" s="4" t="n"/>
      <c r="AA1478" s="264" t="n"/>
      <c r="AB1478" s="9" t="n"/>
      <c r="AC1478" s="46" t="n"/>
      <c r="AD1478" s="12" t="inlineStr">
        <is>
          <t>No</t>
        </is>
      </c>
      <c r="AE1478" s="45" t="n"/>
      <c r="AF1478" s="45" t="n"/>
      <c r="AG1478" s="45" t="n"/>
      <c r="AH1478" s="45" t="n"/>
      <c r="AI1478" s="12" t="inlineStr">
        <is>
          <t>Limit</t>
        </is>
      </c>
      <c r="AJ1478" s="45" t="n"/>
      <c r="AK1478" s="45" t="n"/>
      <c r="AL1478" s="45" t="n"/>
      <c r="AM1478" s="45" t="n"/>
      <c r="AN1478" s="45" t="n"/>
      <c r="AO1478" s="45" t="n"/>
      <c r="AP1478" s="12" t="inlineStr">
        <is>
          <t>Pullback</t>
        </is>
      </c>
      <c r="AQ1478" s="12" t="inlineStr">
        <is>
          <t>15MIN</t>
        </is>
      </c>
      <c r="AR1478" s="12" t="inlineStr">
        <is>
          <t>Yes</t>
        </is>
      </c>
      <c r="AS1478" s="45" t="n"/>
      <c r="AT1478" s="45" t="n"/>
      <c r="AU1478" s="45" t="n"/>
      <c r="AV1478" s="45" t="n"/>
      <c r="AW1478" s="12" t="inlineStr">
        <is>
          <t>trade</t>
        </is>
      </c>
      <c r="AX1478" s="57" t="inlineStr">
        <is>
          <t>sig:9dce29fcda35d670d34e4765</t>
        </is>
      </c>
    </row>
    <row r="1479" ht="15" customHeight="1">
      <c r="A1479" s="716" t="inlineStr">
        <is>
          <t>F85</t>
        </is>
      </c>
      <c r="B1479" s="717" t="n">
        <v>43291.91736111111</v>
      </c>
      <c r="C1479" s="718" t="n">
        <v>43291.92152777778</v>
      </c>
      <c r="D1479" s="719" t="inlineStr">
        <is>
          <t>PEPPERSTONE DEMO</t>
        </is>
      </c>
      <c r="E1479" s="719" t="inlineStr">
        <is>
          <t>EURUSD</t>
        </is>
      </c>
      <c r="F1479" s="719" t="inlineStr">
        <is>
          <t>SELL</t>
        </is>
      </c>
      <c r="G1479" s="720" t="n">
        <v>0.12</v>
      </c>
      <c r="H1479" s="720" t="n">
        <v>1.1704</v>
      </c>
      <c r="I1479" s="720" t="n">
        <v>1.17123</v>
      </c>
      <c r="J1479" s="721" t="n">
        <v>1.1712</v>
      </c>
      <c r="K1479" s="760" t="n">
        <v>0.0006835269993163977</v>
      </c>
      <c r="L1479" s="721" t="n">
        <v>1.169</v>
      </c>
      <c r="M1479" s="722" t="n">
        <v>0.001196172248803886</v>
      </c>
      <c r="N1479" s="788" t="n"/>
      <c r="O1479" s="762" t="n">
        <v>-5.04</v>
      </c>
      <c r="P1479" s="725" t="n">
        <v>-0.01018943452681803</v>
      </c>
      <c r="Q1479" s="726" t="n">
        <v>-1.037499999999972</v>
      </c>
      <c r="R1479" s="764" t="n">
        <v>489.59</v>
      </c>
      <c r="S1479" s="719" t="inlineStr">
        <is>
          <t>6M 0S</t>
        </is>
      </c>
      <c r="T1479" s="728" t="n"/>
      <c r="U1479" s="729" t="n"/>
      <c r="V1479" s="730" t="n"/>
      <c r="W1479" s="731" t="n"/>
      <c r="X1479" s="732" t="n"/>
      <c r="Y1479" s="728" t="n"/>
      <c r="Z1479" s="729" t="n"/>
      <c r="AA1479" s="730" t="n"/>
      <c r="AB1479" s="731" t="n"/>
      <c r="AC1479" s="732" t="n"/>
      <c r="AD1479" s="719" t="inlineStr">
        <is>
          <t>No</t>
        </is>
      </c>
      <c r="AE1479" s="733" t="n"/>
      <c r="AF1479" s="733" t="n"/>
      <c r="AG1479" s="733" t="n"/>
      <c r="AH1479" s="733" t="n"/>
      <c r="AI1479" s="719" t="n"/>
      <c r="AJ1479" s="733" t="n"/>
      <c r="AK1479" s="733" t="n"/>
      <c r="AL1479" s="733" t="n"/>
      <c r="AM1479" s="733" t="n"/>
      <c r="AN1479" s="733" t="n"/>
      <c r="AO1479" s="733" t="n"/>
      <c r="AP1479" s="719" t="inlineStr">
        <is>
          <t>Pullback</t>
        </is>
      </c>
      <c r="AQ1479" s="719" t="inlineStr">
        <is>
          <t>15MIN</t>
        </is>
      </c>
      <c r="AR1479" s="719" t="inlineStr">
        <is>
          <t>No</t>
        </is>
      </c>
      <c r="AS1479" s="733" t="n"/>
      <c r="AT1479" s="733" t="n"/>
      <c r="AU1479" s="733" t="n"/>
      <c r="AV1479" s="733" t="n"/>
      <c r="AW1479" s="719" t="inlineStr">
        <is>
          <t>trade</t>
        </is>
      </c>
      <c r="AX1479" s="734" t="inlineStr">
        <is>
          <t>sig:72dcbecb59bc7f3a68fb4df3</t>
        </is>
      </c>
    </row>
    <row r="1480" ht="15" customHeight="1">
      <c r="A1480" s="42" t="inlineStr">
        <is>
          <t>F86</t>
        </is>
      </c>
      <c r="B1480" s="770" t="n">
        <v>43291.77083333334</v>
      </c>
      <c r="C1480" s="771" t="n">
        <v>43291.77152777778</v>
      </c>
      <c r="D1480" s="12" t="inlineStr">
        <is>
          <t>PEPPERSTONE DEMO</t>
        </is>
      </c>
      <c r="E1480" s="12" t="inlineStr">
        <is>
          <t>GBPUSD</t>
        </is>
      </c>
      <c r="F1480" s="12" t="inlineStr">
        <is>
          <t>SELL</t>
        </is>
      </c>
      <c r="G1480" s="262" t="n">
        <v>0.12</v>
      </c>
      <c r="H1480" s="262" t="n">
        <v>1.3279</v>
      </c>
      <c r="I1480" s="262" t="n">
        <v>1.32793</v>
      </c>
      <c r="J1480" s="266" t="n"/>
      <c r="K1480" s="46" t="n"/>
      <c r="L1480" s="266" t="n"/>
      <c r="M1480" s="46" t="n"/>
      <c r="N1480" s="779" t="n"/>
      <c r="O1480" s="773" t="n">
        <v>0</v>
      </c>
      <c r="P1480" s="3" t="n">
        <v>0</v>
      </c>
      <c r="Q1480" s="49" t="n"/>
      <c r="R1480" s="54" t="n">
        <v>494.63</v>
      </c>
      <c r="S1480" s="12" t="inlineStr">
        <is>
          <t>1M 0S</t>
        </is>
      </c>
      <c r="T1480" s="774" t="n"/>
      <c r="U1480" s="6" t="n"/>
      <c r="V1480" s="264" t="n"/>
      <c r="W1480" s="9" t="n"/>
      <c r="X1480" s="46" t="n"/>
      <c r="Y1480" s="774" t="n"/>
      <c r="Z1480" s="6" t="n"/>
      <c r="AA1480" s="264" t="n"/>
      <c r="AB1480" s="9" t="n"/>
      <c r="AC1480" s="46" t="n"/>
      <c r="AD1480" s="12" t="inlineStr">
        <is>
          <t>No</t>
        </is>
      </c>
      <c r="AE1480" s="45" t="n"/>
      <c r="AF1480" s="45" t="n"/>
      <c r="AG1480" s="45" t="n"/>
      <c r="AH1480" s="45" t="n"/>
      <c r="AI1480" s="45" t="n"/>
      <c r="AJ1480" s="45" t="n"/>
      <c r="AK1480" s="45" t="n"/>
      <c r="AL1480" s="45" t="n"/>
      <c r="AM1480" s="45" t="n"/>
      <c r="AN1480" s="45" t="n"/>
      <c r="AO1480" s="45" t="n"/>
      <c r="AP1480" s="12" t="inlineStr">
        <is>
          <t>Pullback</t>
        </is>
      </c>
      <c r="AQ1480" s="12" t="inlineStr">
        <is>
          <t>1MIN</t>
        </is>
      </c>
      <c r="AR1480" s="12" t="inlineStr">
        <is>
          <t>Yes</t>
        </is>
      </c>
      <c r="AS1480" s="45" t="n"/>
      <c r="AT1480" s="45" t="n"/>
      <c r="AU1480" s="45" t="n"/>
      <c r="AV1480" s="45" t="n"/>
      <c r="AW1480" s="12" t="inlineStr">
        <is>
          <t>trade</t>
        </is>
      </c>
      <c r="AX1480" s="57" t="inlineStr">
        <is>
          <t>sig:14e2b4769d57c0d775de3b7e</t>
        </is>
      </c>
    </row>
    <row r="1481" ht="15" customHeight="1">
      <c r="A1481" s="737" t="inlineStr">
        <is>
          <t>F84</t>
        </is>
      </c>
      <c r="B1481" s="738" t="n">
        <v>43290.86388888889</v>
      </c>
      <c r="C1481" s="739" t="n">
        <v>43290.93472222222</v>
      </c>
      <c r="D1481" s="740" t="inlineStr">
        <is>
          <t>PEPPERSTONE DEMO</t>
        </is>
      </c>
      <c r="E1481" s="740" t="inlineStr">
        <is>
          <t>GBPUSD</t>
        </is>
      </c>
      <c r="F1481" s="740" t="inlineStr">
        <is>
          <t>BUY</t>
        </is>
      </c>
      <c r="G1481" s="742" t="n">
        <v>0.12</v>
      </c>
      <c r="H1481" s="742" t="n">
        <v>1.3332</v>
      </c>
      <c r="I1481" s="742" t="n">
        <v>1.33422</v>
      </c>
      <c r="J1481" s="743" t="n">
        <v>1.332</v>
      </c>
      <c r="K1481" s="765" t="n">
        <v>0.000900090009000801</v>
      </c>
      <c r="L1481" s="743" t="n">
        <v>1.3356</v>
      </c>
      <c r="M1481" s="744" t="n">
        <v>0.001800180018001768</v>
      </c>
      <c r="N1481" s="796" t="n"/>
      <c r="O1481" s="767" t="n">
        <v>4.97</v>
      </c>
      <c r="P1481" s="747" t="n">
        <v>0.01014989993056407</v>
      </c>
      <c r="Q1481" s="748" t="n">
        <v>0.850000000000111</v>
      </c>
      <c r="R1481" s="769" t="n">
        <v>494.63</v>
      </c>
      <c r="S1481" s="740" t="inlineStr">
        <is>
          <t>1H 42M 0S</t>
        </is>
      </c>
      <c r="T1481" s="750" t="n"/>
      <c r="U1481" s="751" t="n"/>
      <c r="V1481" s="752" t="n"/>
      <c r="W1481" s="753" t="n"/>
      <c r="X1481" s="754" t="n"/>
      <c r="Y1481" s="750" t="n"/>
      <c r="Z1481" s="751" t="n"/>
      <c r="AA1481" s="752" t="n"/>
      <c r="AB1481" s="753" t="n"/>
      <c r="AC1481" s="754" t="n"/>
      <c r="AD1481" s="740" t="inlineStr">
        <is>
          <t>No</t>
        </is>
      </c>
      <c r="AE1481" s="755" t="n"/>
      <c r="AF1481" s="755" t="n"/>
      <c r="AG1481" s="755" t="n"/>
      <c r="AH1481" s="755" t="n"/>
      <c r="AI1481" s="740" t="n"/>
      <c r="AJ1481" s="755" t="n"/>
      <c r="AK1481" s="755" t="n"/>
      <c r="AL1481" s="755" t="n"/>
      <c r="AM1481" s="755" t="n"/>
      <c r="AN1481" s="755" t="n"/>
      <c r="AO1481" s="740" t="inlineStr">
        <is>
          <t>Yes</t>
        </is>
      </c>
      <c r="AP1481" s="740" t="inlineStr">
        <is>
          <t>Pullback</t>
        </is>
      </c>
      <c r="AQ1481" s="740" t="inlineStr">
        <is>
          <t>15MIN</t>
        </is>
      </c>
      <c r="AR1481" s="740" t="inlineStr">
        <is>
          <t>No</t>
        </is>
      </c>
      <c r="AS1481" s="755" t="n"/>
      <c r="AT1481" s="755" t="n"/>
      <c r="AU1481" s="755" t="n"/>
      <c r="AV1481" s="755" t="n"/>
      <c r="AW1481" s="740" t="inlineStr">
        <is>
          <t>trade</t>
        </is>
      </c>
      <c r="AX1481" s="756" t="inlineStr">
        <is>
          <t>sig:e556642ebe2eff3702a6cb51</t>
        </is>
      </c>
    </row>
    <row r="1482" ht="15" customHeight="1">
      <c r="A1482" s="716" t="inlineStr">
        <is>
          <t>F83</t>
        </is>
      </c>
      <c r="B1482" s="717" t="n">
        <v>43290.81666666667</v>
      </c>
      <c r="C1482" s="718" t="n">
        <v>43290.84791666667</v>
      </c>
      <c r="D1482" s="719" t="inlineStr">
        <is>
          <t>PEPPERSTONE DEMO</t>
        </is>
      </c>
      <c r="E1482" s="719" t="inlineStr">
        <is>
          <t>GBPUSD</t>
        </is>
      </c>
      <c r="F1482" s="719" t="inlineStr">
        <is>
          <t>BUY</t>
        </is>
      </c>
      <c r="G1482" s="735" t="n">
        <v>0.01</v>
      </c>
      <c r="H1482" s="720" t="n">
        <v>1.3335</v>
      </c>
      <c r="I1482" s="720" t="n">
        <v>1.33269</v>
      </c>
      <c r="J1482" s="721" t="n">
        <v>1.3326</v>
      </c>
      <c r="K1482" s="760" t="n">
        <v>0.0006749156355454826</v>
      </c>
      <c r="L1482" s="721" t="n">
        <v>1.3356</v>
      </c>
      <c r="M1482" s="722" t="n">
        <v>0.001574803149606292</v>
      </c>
      <c r="N1482" s="761" t="n"/>
      <c r="O1482" s="762" t="n">
        <v>-4.55</v>
      </c>
      <c r="P1482" s="725" t="n">
        <v>-0.009206612573602314</v>
      </c>
      <c r="Q1482" s="726" t="n">
        <v>-0.900000000000074</v>
      </c>
      <c r="R1482" s="764" t="n">
        <v>489.66</v>
      </c>
      <c r="S1482" s="719" t="inlineStr">
        <is>
          <t>45M 0S</t>
        </is>
      </c>
      <c r="T1482" s="717" t="n"/>
      <c r="U1482" s="806" t="n"/>
      <c r="V1482" s="730" t="n"/>
      <c r="W1482" s="731" t="n"/>
      <c r="X1482" s="732" t="n"/>
      <c r="Y1482" s="728" t="n"/>
      <c r="Z1482" s="729" t="n"/>
      <c r="AA1482" s="730" t="n"/>
      <c r="AB1482" s="731" t="n"/>
      <c r="AC1482" s="732" t="n"/>
      <c r="AD1482" s="719" t="inlineStr">
        <is>
          <t>No</t>
        </is>
      </c>
      <c r="AE1482" s="733" t="n"/>
      <c r="AF1482" s="733" t="n"/>
      <c r="AG1482" s="733" t="n"/>
      <c r="AH1482" s="733" t="n"/>
      <c r="AI1482" s="733" t="n"/>
      <c r="AJ1482" s="733" t="n"/>
      <c r="AK1482" s="733" t="n"/>
      <c r="AL1482" s="733" t="n"/>
      <c r="AM1482" s="733" t="n"/>
      <c r="AN1482" s="733" t="n"/>
      <c r="AO1482" s="733" t="n"/>
      <c r="AP1482" s="719" t="inlineStr">
        <is>
          <t>Pullback</t>
        </is>
      </c>
      <c r="AQ1482" s="719" t="inlineStr">
        <is>
          <t>15MIN</t>
        </is>
      </c>
      <c r="AR1482" s="719" t="inlineStr">
        <is>
          <t>No</t>
        </is>
      </c>
      <c r="AS1482" s="733" t="n"/>
      <c r="AT1482" s="733" t="n"/>
      <c r="AU1482" s="733" t="n"/>
      <c r="AV1482" s="733" t="n"/>
      <c r="AW1482" s="719" t="inlineStr">
        <is>
          <t>trade</t>
        </is>
      </c>
      <c r="AX1482" s="734" t="inlineStr">
        <is>
          <t>sig:c61bed1313087a2e235e661c</t>
        </is>
      </c>
    </row>
    <row r="1483" ht="15" customHeight="1">
      <c r="A1483" s="716" t="inlineStr">
        <is>
          <t>F82</t>
        </is>
      </c>
      <c r="B1483" s="717" t="n">
        <v>43287.77916666667</v>
      </c>
      <c r="C1483" s="718" t="n">
        <v>43287.78263888889</v>
      </c>
      <c r="D1483" s="719" t="inlineStr">
        <is>
          <t>PEPPERSTONE DEMO</t>
        </is>
      </c>
      <c r="E1483" s="719" t="inlineStr">
        <is>
          <t>AUDSGD</t>
        </is>
      </c>
      <c r="F1483" s="719" t="inlineStr">
        <is>
          <t>BUY</t>
        </is>
      </c>
      <c r="G1483" s="735" t="n">
        <v>0.06</v>
      </c>
      <c r="H1483" s="720" t="n">
        <v>1.0089</v>
      </c>
      <c r="I1483" s="720" t="n">
        <v>1.00823</v>
      </c>
      <c r="J1483" s="721" t="n">
        <v>1.0082</v>
      </c>
      <c r="K1483" s="760" t="n">
        <v>0.000693824957874837</v>
      </c>
      <c r="L1483" s="721" t="n">
        <v>1.0104</v>
      </c>
      <c r="M1483" s="722" t="n">
        <v>0.001486767766874871</v>
      </c>
      <c r="N1483" s="788" t="n"/>
      <c r="O1483" s="762" t="n">
        <v>-5.07</v>
      </c>
      <c r="P1483" s="725" t="n">
        <v>-0.01015462265662554</v>
      </c>
      <c r="Q1483" s="726" t="n">
        <v>-0.9571428571428888</v>
      </c>
      <c r="R1483" s="764" t="n">
        <v>494.21</v>
      </c>
      <c r="S1483" s="719" t="inlineStr">
        <is>
          <t>5M 0S</t>
        </is>
      </c>
      <c r="T1483" s="728" t="n"/>
      <c r="U1483" s="729" t="n"/>
      <c r="V1483" s="730" t="n"/>
      <c r="W1483" s="731" t="n"/>
      <c r="X1483" s="732" t="n"/>
      <c r="Y1483" s="728" t="n"/>
      <c r="Z1483" s="729" t="n"/>
      <c r="AA1483" s="730" t="n"/>
      <c r="AB1483" s="731" t="n"/>
      <c r="AC1483" s="732" t="n"/>
      <c r="AD1483" s="719" t="inlineStr">
        <is>
          <t>No</t>
        </is>
      </c>
      <c r="AE1483" s="733" t="n"/>
      <c r="AF1483" s="733" t="n"/>
      <c r="AG1483" s="733" t="n"/>
      <c r="AH1483" s="733" t="n"/>
      <c r="AI1483" s="719" t="inlineStr">
        <is>
          <t>Limit</t>
        </is>
      </c>
      <c r="AJ1483" s="733" t="n"/>
      <c r="AK1483" s="733" t="n"/>
      <c r="AL1483" s="733" t="n"/>
      <c r="AM1483" s="733" t="n"/>
      <c r="AN1483" s="733" t="n"/>
      <c r="AO1483" s="733" t="n"/>
      <c r="AP1483" s="719" t="inlineStr">
        <is>
          <t>Pullback</t>
        </is>
      </c>
      <c r="AQ1483" s="719" t="inlineStr">
        <is>
          <t>1H</t>
        </is>
      </c>
      <c r="AR1483" s="719" t="inlineStr">
        <is>
          <t>No</t>
        </is>
      </c>
      <c r="AS1483" s="733" t="n"/>
      <c r="AT1483" s="733" t="n"/>
      <c r="AU1483" s="733" t="n"/>
      <c r="AV1483" s="733" t="n"/>
      <c r="AW1483" s="719" t="inlineStr">
        <is>
          <t>trade</t>
        </is>
      </c>
      <c r="AX1483" s="734" t="inlineStr">
        <is>
          <t>sig:35763e52a1fca9f7de6580fa</t>
        </is>
      </c>
    </row>
    <row r="1484" ht="15" customHeight="1">
      <c r="A1484" s="716" t="inlineStr">
        <is>
          <t>F81</t>
        </is>
      </c>
      <c r="B1484" s="717" t="n">
        <v>43287.69791666666</v>
      </c>
      <c r="C1484" s="718" t="n">
        <v>43287.73194444444</v>
      </c>
      <c r="D1484" s="719" t="inlineStr">
        <is>
          <t>PEPPERSTONE DEMO</t>
        </is>
      </c>
      <c r="E1484" s="719" t="inlineStr">
        <is>
          <t>USDJPY</t>
        </is>
      </c>
      <c r="F1484" s="719" t="inlineStr">
        <is>
          <t>BUY</t>
        </is>
      </c>
      <c r="G1484" s="735" t="n">
        <v>0.06</v>
      </c>
      <c r="H1484" s="720" t="n">
        <v>110.64</v>
      </c>
      <c r="I1484" s="720" t="n">
        <v>110.529</v>
      </c>
      <c r="J1484" s="721" t="n">
        <v>110.52</v>
      </c>
      <c r="K1484" s="722" t="n">
        <v>0.001084598698481603</v>
      </c>
      <c r="L1484" s="721" t="n">
        <v>111.04</v>
      </c>
      <c r="M1484" s="722" t="n">
        <v>0.003615328994938591</v>
      </c>
      <c r="N1484" s="788" t="n"/>
      <c r="O1484" s="762" t="n">
        <v>-5.72</v>
      </c>
      <c r="P1484" s="725" t="n">
        <v>-0.01132673267326733</v>
      </c>
      <c r="Q1484" s="726" t="n">
        <v>-0.925</v>
      </c>
      <c r="R1484" s="764" t="n">
        <v>499.28</v>
      </c>
      <c r="S1484" s="719" t="inlineStr">
        <is>
          <t>49M 0S</t>
        </is>
      </c>
      <c r="T1484" s="728" t="n"/>
      <c r="U1484" s="729" t="n"/>
      <c r="V1484" s="730" t="n"/>
      <c r="W1484" s="731" t="n"/>
      <c r="X1484" s="732" t="n"/>
      <c r="Y1484" s="728" t="n"/>
      <c r="Z1484" s="729" t="n"/>
      <c r="AA1484" s="730" t="n"/>
      <c r="AB1484" s="731" t="n"/>
      <c r="AC1484" s="732" t="n"/>
      <c r="AD1484" s="719" t="inlineStr">
        <is>
          <t>No</t>
        </is>
      </c>
      <c r="AE1484" s="733" t="n"/>
      <c r="AF1484" s="733" t="n"/>
      <c r="AG1484" s="733" t="n"/>
      <c r="AH1484" s="733" t="n"/>
      <c r="AI1484" s="719" t="n"/>
      <c r="AJ1484" s="733" t="n"/>
      <c r="AK1484" s="733" t="n"/>
      <c r="AL1484" s="733" t="n"/>
      <c r="AM1484" s="733" t="n"/>
      <c r="AN1484" s="733" t="n"/>
      <c r="AO1484" s="733" t="n"/>
      <c r="AP1484" s="719" t="inlineStr">
        <is>
          <t>Pullback</t>
        </is>
      </c>
      <c r="AQ1484" s="719" t="inlineStr">
        <is>
          <t>4H</t>
        </is>
      </c>
      <c r="AR1484" s="719" t="inlineStr">
        <is>
          <t>No</t>
        </is>
      </c>
      <c r="AS1484" s="733" t="n"/>
      <c r="AT1484" s="733" t="n"/>
      <c r="AU1484" s="733" t="n"/>
      <c r="AV1484" s="733" t="n"/>
      <c r="AW1484" s="719" t="inlineStr">
        <is>
          <t>trade</t>
        </is>
      </c>
      <c r="AX1484" s="734" t="inlineStr">
        <is>
          <t>sig:dbfe06220ac88bc7485ee432</t>
        </is>
      </c>
    </row>
    <row r="1485" ht="15" customHeight="1">
      <c r="A1485" s="716" t="inlineStr">
        <is>
          <t>F80</t>
        </is>
      </c>
      <c r="B1485" s="717" t="n">
        <v>43286.95277777778</v>
      </c>
      <c r="C1485" s="718" t="n">
        <v>43286.98819444444</v>
      </c>
      <c r="D1485" s="719" t="inlineStr">
        <is>
          <t>PEPPERSTONE DEMO</t>
        </is>
      </c>
      <c r="E1485" s="719" t="inlineStr">
        <is>
          <t>EURAUD</t>
        </is>
      </c>
      <c r="F1485" s="719" t="inlineStr">
        <is>
          <t>BUY</t>
        </is>
      </c>
      <c r="G1485" s="735" t="n">
        <v>0.03</v>
      </c>
      <c r="H1485" s="720" t="n">
        <v>1.5827</v>
      </c>
      <c r="I1485" s="720" t="n">
        <v>1.58102</v>
      </c>
      <c r="J1485" s="721" t="n">
        <v>1.581</v>
      </c>
      <c r="K1485" s="722" t="n">
        <v>0.001074113856068765</v>
      </c>
      <c r="L1485" s="721" t="n">
        <v>1.5859</v>
      </c>
      <c r="M1485" s="722" t="n">
        <v>0.002021861376129457</v>
      </c>
      <c r="N1485" s="761" t="n"/>
      <c r="O1485" s="762" t="n">
        <v>-5.19</v>
      </c>
      <c r="P1485" s="725" t="n">
        <v>-0.01017268076598914</v>
      </c>
      <c r="Q1485" s="726" t="n">
        <v>-0.9882352941175703</v>
      </c>
      <c r="R1485" s="764" t="n">
        <v>505</v>
      </c>
      <c r="S1485" s="719" t="inlineStr">
        <is>
          <t>51M 0S</t>
        </is>
      </c>
      <c r="T1485" s="728" t="n"/>
      <c r="U1485" s="729" t="n"/>
      <c r="V1485" s="730" t="n"/>
      <c r="W1485" s="731" t="n"/>
      <c r="X1485" s="732" t="n"/>
      <c r="Y1485" s="728" t="n"/>
      <c r="Z1485" s="729" t="n"/>
      <c r="AA1485" s="730" t="n"/>
      <c r="AB1485" s="731" t="n"/>
      <c r="AC1485" s="732" t="n"/>
      <c r="AD1485" s="719" t="inlineStr">
        <is>
          <t>No</t>
        </is>
      </c>
      <c r="AE1485" s="733" t="n"/>
      <c r="AF1485" s="733" t="n"/>
      <c r="AG1485" s="733" t="n"/>
      <c r="AH1485" s="733" t="n"/>
      <c r="AI1485" s="719" t="inlineStr">
        <is>
          <t>Limit</t>
        </is>
      </c>
      <c r="AJ1485" s="733" t="n"/>
      <c r="AK1485" s="733" t="n"/>
      <c r="AL1485" s="733" t="n"/>
      <c r="AM1485" s="733" t="n"/>
      <c r="AN1485" s="733" t="n"/>
      <c r="AO1485" s="733" t="n"/>
      <c r="AP1485" s="719" t="inlineStr">
        <is>
          <t>Pullback</t>
        </is>
      </c>
      <c r="AQ1485" s="719" t="inlineStr">
        <is>
          <t>1H</t>
        </is>
      </c>
      <c r="AR1485" s="719" t="inlineStr">
        <is>
          <t>No</t>
        </is>
      </c>
      <c r="AS1485" s="733" t="n"/>
      <c r="AT1485" s="733" t="n"/>
      <c r="AU1485" s="733" t="n"/>
      <c r="AV1485" s="733" t="n"/>
      <c r="AW1485" s="719" t="inlineStr">
        <is>
          <t>trade</t>
        </is>
      </c>
      <c r="AX1485" s="734" t="inlineStr">
        <is>
          <t>sig:fce974c9a3bf7e6d0d932e17</t>
        </is>
      </c>
    </row>
    <row r="1486" ht="15" customHeight="1">
      <c r="A1486" s="737" t="inlineStr">
        <is>
          <t>F77</t>
        </is>
      </c>
      <c r="B1486" s="738" t="n">
        <v>43286.77430555555</v>
      </c>
      <c r="C1486" s="739" t="n">
        <v>43286.97777777778</v>
      </c>
      <c r="D1486" s="740" t="inlineStr">
        <is>
          <t>PEPPERSTONE DEMO</t>
        </is>
      </c>
      <c r="E1486" s="740" t="inlineStr">
        <is>
          <t>EURUSD</t>
        </is>
      </c>
      <c r="F1486" s="740" t="inlineStr">
        <is>
          <t>BUY</t>
        </is>
      </c>
      <c r="G1486" s="775" t="n">
        <v>0.04</v>
      </c>
      <c r="H1486" s="742" t="n">
        <v>1.1689</v>
      </c>
      <c r="I1486" s="742" t="n">
        <v>1.17184</v>
      </c>
      <c r="J1486" s="743" t="n">
        <v>1.1677</v>
      </c>
      <c r="K1486" s="744" t="n">
        <v>0.001026606210967653</v>
      </c>
      <c r="L1486" s="743" t="n">
        <v>1.1735</v>
      </c>
      <c r="M1486" s="744" t="n">
        <v>0.003935323808708989</v>
      </c>
      <c r="N1486" s="796" t="n"/>
      <c r="O1486" s="767" t="n">
        <v>9.380000000000001</v>
      </c>
      <c r="P1486" s="747" t="n">
        <v>0.01872965795411434</v>
      </c>
      <c r="Q1486" s="748" t="n">
        <v>2.449999999999769</v>
      </c>
      <c r="R1486" s="769" t="n">
        <v>510.19</v>
      </c>
      <c r="S1486" s="740" t="inlineStr">
        <is>
          <t>4H 53M 0S</t>
        </is>
      </c>
      <c r="T1486" s="738" t="n">
        <v>43286.91111111111</v>
      </c>
      <c r="U1486" s="809" t="inlineStr">
        <is>
          <t>3H 17M 0S</t>
        </is>
      </c>
      <c r="V1486" s="810" t="n">
        <v>1.1705</v>
      </c>
      <c r="W1486" s="747" t="n">
        <v>-0.001600000000000046</v>
      </c>
      <c r="X1486" s="744" t="n">
        <v>0.002999999999999892</v>
      </c>
      <c r="Y1486" s="738" t="n">
        <v>43286.93194444444</v>
      </c>
      <c r="Z1486" s="809" t="inlineStr">
        <is>
          <t>3H 47M 0S</t>
        </is>
      </c>
      <c r="AA1486" s="752" t="n"/>
      <c r="AB1486" s="753" t="n"/>
      <c r="AC1486" s="754" t="n"/>
      <c r="AD1486" s="740" t="inlineStr">
        <is>
          <t>No</t>
        </is>
      </c>
      <c r="AE1486" s="755" t="n"/>
      <c r="AF1486" s="755" t="n"/>
      <c r="AG1486" s="755" t="n"/>
      <c r="AH1486" s="755" t="n"/>
      <c r="AI1486" s="740" t="n"/>
      <c r="AJ1486" s="755" t="n"/>
      <c r="AK1486" s="755" t="n"/>
      <c r="AL1486" s="755" t="n"/>
      <c r="AM1486" s="755" t="n"/>
      <c r="AN1486" s="755" t="n"/>
      <c r="AO1486" s="755" t="n"/>
      <c r="AP1486" s="740" t="inlineStr">
        <is>
          <t>Pullback</t>
        </is>
      </c>
      <c r="AQ1486" s="740" t="inlineStr">
        <is>
          <t>1H</t>
        </is>
      </c>
      <c r="AR1486" s="740" t="inlineStr">
        <is>
          <t>No</t>
        </is>
      </c>
      <c r="AS1486" s="755" t="n"/>
      <c r="AT1486" s="755" t="n"/>
      <c r="AU1486" s="755" t="n"/>
      <c r="AV1486" s="755" t="n"/>
      <c r="AW1486" s="740" t="inlineStr">
        <is>
          <t>trade</t>
        </is>
      </c>
      <c r="AX1486" s="756" t="inlineStr">
        <is>
          <t>sig:5ca7f24d0cd988a8abf6ea74</t>
        </is>
      </c>
    </row>
    <row r="1487" ht="15" customHeight="1">
      <c r="A1487" s="737" t="inlineStr">
        <is>
          <t>F76</t>
        </is>
      </c>
      <c r="B1487" s="738" t="n">
        <v>43286.65208333333</v>
      </c>
      <c r="C1487" s="739" t="n">
        <v>43286.775</v>
      </c>
      <c r="D1487" s="740" t="inlineStr">
        <is>
          <t>PEPPERSTONE DEMO</t>
        </is>
      </c>
      <c r="E1487" s="740" t="inlineStr">
        <is>
          <t>GBPUSD</t>
        </is>
      </c>
      <c r="F1487" s="740" t="inlineStr">
        <is>
          <t>BUY</t>
        </is>
      </c>
      <c r="G1487" s="775" t="n">
        <v>0.09</v>
      </c>
      <c r="H1487" s="742" t="n">
        <v>1.3228</v>
      </c>
      <c r="I1487" s="742" t="n">
        <v>1.32461</v>
      </c>
      <c r="J1487" s="743" t="n">
        <v>1.3216</v>
      </c>
      <c r="K1487" s="765" t="n">
        <v>0.0009071666162684214</v>
      </c>
      <c r="L1487" s="743" t="n">
        <v>1.325</v>
      </c>
      <c r="M1487" s="744" t="n">
        <v>0.001663138796492274</v>
      </c>
      <c r="N1487" s="796" t="n"/>
      <c r="O1487" s="767" t="n">
        <v>2.33</v>
      </c>
      <c r="P1487" s="747" t="n">
        <v>0.004674209597175414</v>
      </c>
      <c r="Q1487" s="748" t="n">
        <v>1.508333333333574</v>
      </c>
      <c r="R1487" s="769" t="n">
        <v>500.81</v>
      </c>
      <c r="S1487" s="740" t="inlineStr">
        <is>
          <t>2H 57M 0S</t>
        </is>
      </c>
      <c r="T1487" s="750" t="n"/>
      <c r="U1487" s="751" t="n"/>
      <c r="V1487" s="752" t="n"/>
      <c r="W1487" s="753" t="n"/>
      <c r="X1487" s="754" t="n"/>
      <c r="Y1487" s="750" t="n"/>
      <c r="Z1487" s="751" t="n"/>
      <c r="AA1487" s="752" t="n"/>
      <c r="AB1487" s="753" t="n"/>
      <c r="AC1487" s="754" t="n"/>
      <c r="AD1487" s="740" t="inlineStr">
        <is>
          <t>No</t>
        </is>
      </c>
      <c r="AE1487" s="755" t="n"/>
      <c r="AF1487" s="755" t="n"/>
      <c r="AG1487" s="755" t="n"/>
      <c r="AH1487" s="755" t="n"/>
      <c r="AI1487" s="740" t="inlineStr">
        <is>
          <t>Market</t>
        </is>
      </c>
      <c r="AJ1487" s="755" t="n"/>
      <c r="AK1487" s="755" t="n"/>
      <c r="AL1487" s="755" t="n"/>
      <c r="AM1487" s="755" t="n"/>
      <c r="AN1487" s="755" t="n"/>
      <c r="AO1487" s="755" t="n"/>
      <c r="AP1487" s="740" t="inlineStr">
        <is>
          <t>Pullback</t>
        </is>
      </c>
      <c r="AQ1487" s="740" t="inlineStr">
        <is>
          <t>1H</t>
        </is>
      </c>
      <c r="AR1487" s="740" t="inlineStr">
        <is>
          <t>No</t>
        </is>
      </c>
      <c r="AS1487" s="755" t="n"/>
      <c r="AT1487" s="755" t="n"/>
      <c r="AU1487" s="755" t="n"/>
      <c r="AV1487" s="755" t="n"/>
      <c r="AW1487" s="740" t="inlineStr">
        <is>
          <t>trade</t>
        </is>
      </c>
      <c r="AX1487" s="756" t="inlineStr">
        <is>
          <t>sig:5eb464d25fc26cce0abe2ed7</t>
        </is>
      </c>
    </row>
    <row r="1488" ht="15" customHeight="1">
      <c r="A1488" s="716" t="inlineStr">
        <is>
          <t>F1095</t>
        </is>
      </c>
      <c r="B1488" s="717" t="n">
        <v>43286.69622685185</v>
      </c>
      <c r="C1488" s="718" t="n">
        <v>43286.69630787037</v>
      </c>
      <c r="D1488" s="719" t="inlineStr">
        <is>
          <t>PEPPERSTONE DEMO</t>
        </is>
      </c>
      <c r="E1488" s="719" t="inlineStr">
        <is>
          <t>GBPUSD</t>
        </is>
      </c>
      <c r="F1488" s="719" t="inlineStr">
        <is>
          <t>SELL</t>
        </is>
      </c>
      <c r="G1488" s="735" t="n">
        <v>0.04</v>
      </c>
      <c r="H1488" s="720" t="n">
        <v>1.3244</v>
      </c>
      <c r="I1488" s="720" t="n">
        <v>1.32467</v>
      </c>
      <c r="J1488" s="721" t="n"/>
      <c r="K1488" s="722" t="n"/>
      <c r="L1488" s="721" t="n"/>
      <c r="M1488" s="722" t="n"/>
      <c r="N1488" s="788" t="n"/>
      <c r="O1488" s="762" t="n">
        <v>-0.26</v>
      </c>
      <c r="P1488" s="763" t="n">
        <v>-0.0005213137105505875</v>
      </c>
      <c r="Q1488" s="726" t="n"/>
      <c r="R1488" s="764" t="n">
        <v>498.48</v>
      </c>
      <c r="S1488" s="719" t="inlineStr">
        <is>
          <t>7S</t>
        </is>
      </c>
      <c r="T1488" s="728" t="n"/>
      <c r="U1488" s="729" t="n"/>
      <c r="V1488" s="730" t="n"/>
      <c r="W1488" s="731" t="n"/>
      <c r="X1488" s="732" t="n"/>
      <c r="Y1488" s="728" t="n"/>
      <c r="Z1488" s="729" t="n"/>
      <c r="AA1488" s="730" t="n"/>
      <c r="AB1488" s="731" t="n"/>
      <c r="AC1488" s="732" t="n"/>
      <c r="AD1488" s="719" t="inlineStr">
        <is>
          <t>No</t>
        </is>
      </c>
      <c r="AE1488" s="733" t="n"/>
      <c r="AF1488" s="733" t="n"/>
      <c r="AG1488" s="733" t="n"/>
      <c r="AH1488" s="733" t="n"/>
      <c r="AI1488" s="719" t="n"/>
      <c r="AJ1488" s="733" t="n"/>
      <c r="AK1488" s="733" t="n"/>
      <c r="AL1488" s="733" t="n"/>
      <c r="AM1488" s="733" t="n"/>
      <c r="AN1488" s="733" t="n"/>
      <c r="AO1488" s="733" t="n"/>
      <c r="AP1488" s="719" t="inlineStr">
        <is>
          <t>Pullback</t>
        </is>
      </c>
      <c r="AQ1488" s="719" t="n"/>
      <c r="AR1488" s="719" t="inlineStr">
        <is>
          <t>No</t>
        </is>
      </c>
      <c r="AS1488" s="733" t="n"/>
      <c r="AT1488" s="733" t="n"/>
      <c r="AU1488" s="733" t="n"/>
      <c r="AV1488" s="733" t="n"/>
      <c r="AW1488" s="719" t="inlineStr">
        <is>
          <t>trade</t>
        </is>
      </c>
      <c r="AX1488" s="734" t="inlineStr">
        <is>
          <t>sig:b01ee6e478a126ef67f979e3</t>
        </is>
      </c>
    </row>
    <row r="1489" ht="15" customHeight="1">
      <c r="A1489" s="737" t="inlineStr">
        <is>
          <t>F78</t>
        </is>
      </c>
      <c r="B1489" s="738" t="n">
        <v>43286.02291666667</v>
      </c>
      <c r="C1489" s="739" t="n">
        <v>43286.11875</v>
      </c>
      <c r="D1489" s="740" t="inlineStr">
        <is>
          <t>PEPPERSTONE DEMO</t>
        </is>
      </c>
      <c r="E1489" s="740" t="inlineStr">
        <is>
          <t>EURUSD</t>
        </is>
      </c>
      <c r="F1489" s="740" t="inlineStr">
        <is>
          <t>BUY</t>
        </is>
      </c>
      <c r="G1489" s="775" t="n">
        <v>0.05</v>
      </c>
      <c r="H1489" s="742" t="n">
        <v>1.1646</v>
      </c>
      <c r="I1489" s="742" t="n">
        <v>1.16715</v>
      </c>
      <c r="J1489" s="743" t="n">
        <v>1.1634</v>
      </c>
      <c r="K1489" s="744" t="n">
        <v>0.001030396702730628</v>
      </c>
      <c r="L1489" s="743" t="n">
        <v>1.1671</v>
      </c>
      <c r="M1489" s="744" t="n">
        <v>0.002146659797355269</v>
      </c>
      <c r="N1489" s="796" t="n"/>
      <c r="O1489" s="767" t="n">
        <v>10.27</v>
      </c>
      <c r="P1489" s="747" t="n">
        <v>0.02102483264069441</v>
      </c>
      <c r="Q1489" s="748" t="n">
        <v>2.124999999999699</v>
      </c>
      <c r="R1489" s="769" t="n">
        <v>498.74</v>
      </c>
      <c r="S1489" s="740" t="inlineStr">
        <is>
          <t>2H 18M 0S</t>
        </is>
      </c>
      <c r="T1489" s="750" t="n"/>
      <c r="U1489" s="751" t="n"/>
      <c r="V1489" s="752" t="n"/>
      <c r="W1489" s="753" t="n"/>
      <c r="X1489" s="754" t="n"/>
      <c r="Y1489" s="750" t="n"/>
      <c r="Z1489" s="751" t="n"/>
      <c r="AA1489" s="752" t="n"/>
      <c r="AB1489" s="753" t="n"/>
      <c r="AC1489" s="754" t="n"/>
      <c r="AD1489" s="740" t="inlineStr">
        <is>
          <t>No</t>
        </is>
      </c>
      <c r="AE1489" s="755" t="n"/>
      <c r="AF1489" s="755" t="n"/>
      <c r="AG1489" s="755" t="n"/>
      <c r="AH1489" s="755" t="n"/>
      <c r="AI1489" s="740" t="inlineStr">
        <is>
          <t>Market</t>
        </is>
      </c>
      <c r="AJ1489" s="755" t="n"/>
      <c r="AK1489" s="755" t="n"/>
      <c r="AL1489" s="755" t="n"/>
      <c r="AM1489" s="755" t="n"/>
      <c r="AN1489" s="755" t="n"/>
      <c r="AO1489" s="755" t="n"/>
      <c r="AP1489" s="740" t="inlineStr">
        <is>
          <t>Pullback</t>
        </is>
      </c>
      <c r="AQ1489" s="740" t="inlineStr">
        <is>
          <t>1H</t>
        </is>
      </c>
      <c r="AR1489" s="740" t="inlineStr">
        <is>
          <t>No</t>
        </is>
      </c>
      <c r="AS1489" s="755" t="n"/>
      <c r="AT1489" s="755" t="n"/>
      <c r="AU1489" s="755" t="n"/>
      <c r="AV1489" s="755" t="n"/>
      <c r="AW1489" s="740" t="inlineStr">
        <is>
          <t>trade</t>
        </is>
      </c>
      <c r="AX1489" s="756" t="inlineStr">
        <is>
          <t>sig:919d7be73e6bfbc303b722ad</t>
        </is>
      </c>
    </row>
    <row r="1490" ht="15" customHeight="1">
      <c r="A1490" s="737" t="inlineStr">
        <is>
          <t>F74</t>
        </is>
      </c>
      <c r="B1490" s="738" t="n">
        <v>43284.94375</v>
      </c>
      <c r="C1490" s="739" t="n">
        <v>43285.48194444444</v>
      </c>
      <c r="D1490" s="740" t="inlineStr">
        <is>
          <t>PEPPERSTONE DEMO</t>
        </is>
      </c>
      <c r="E1490" s="740" t="inlineStr">
        <is>
          <t>AUDCAD</t>
        </is>
      </c>
      <c r="F1490" s="740" t="inlineStr">
        <is>
          <t>SELL</t>
        </is>
      </c>
      <c r="G1490" s="775" t="n">
        <v>0.08</v>
      </c>
      <c r="H1490" s="742" t="n">
        <v>0.9726</v>
      </c>
      <c r="I1490" s="742" t="n">
        <v>0.97062</v>
      </c>
      <c r="J1490" s="743" t="n">
        <v>0.9749</v>
      </c>
      <c r="K1490" s="744" t="n">
        <v>0.00236479539378981</v>
      </c>
      <c r="L1490" s="743" t="n">
        <v>0.968</v>
      </c>
      <c r="M1490" s="744" t="n">
        <v>0.004729590787579733</v>
      </c>
      <c r="N1490" s="808" t="n">
        <v>0.06</v>
      </c>
      <c r="O1490" s="767" t="n">
        <v>2.06</v>
      </c>
      <c r="P1490" s="747" t="n">
        <v>0.004235110297896836</v>
      </c>
      <c r="Q1490" s="748" t="n">
        <v>0.8608695652173951</v>
      </c>
      <c r="R1490" s="769" t="n">
        <v>488.47</v>
      </c>
      <c r="S1490" s="740" t="inlineStr">
        <is>
          <t>12H 55M 0S</t>
        </is>
      </c>
      <c r="T1490" s="738" t="n">
        <v>43285.26111111111</v>
      </c>
      <c r="U1490" s="809" t="inlineStr">
        <is>
          <t>7H 37M 0S</t>
        </is>
      </c>
      <c r="V1490" s="752" t="n"/>
      <c r="W1490" s="753" t="n"/>
      <c r="X1490" s="754" t="n"/>
      <c r="Y1490" s="750" t="n"/>
      <c r="Z1490" s="751" t="n"/>
      <c r="AA1490" s="752" t="n"/>
      <c r="AB1490" s="753" t="n"/>
      <c r="AC1490" s="754" t="n"/>
      <c r="AD1490" s="740" t="inlineStr">
        <is>
          <t>No</t>
        </is>
      </c>
      <c r="AE1490" s="755" t="n"/>
      <c r="AF1490" s="755" t="n"/>
      <c r="AG1490" s="755" t="n"/>
      <c r="AH1490" s="755" t="n"/>
      <c r="AI1490" s="740" t="n"/>
      <c r="AJ1490" s="755" t="n"/>
      <c r="AK1490" s="755" t="n"/>
      <c r="AL1490" s="755" t="n"/>
      <c r="AM1490" s="755" t="n"/>
      <c r="AN1490" s="755" t="n"/>
      <c r="AO1490" s="755" t="n"/>
      <c r="AP1490" s="740" t="inlineStr">
        <is>
          <t>Pullback</t>
        </is>
      </c>
      <c r="AQ1490" s="740" t="inlineStr">
        <is>
          <t>1H</t>
        </is>
      </c>
      <c r="AR1490" s="740" t="inlineStr">
        <is>
          <t>No</t>
        </is>
      </c>
      <c r="AS1490" s="755" t="n"/>
      <c r="AT1490" s="755" t="n"/>
      <c r="AU1490" s="755" t="n"/>
      <c r="AV1490" s="755" t="n"/>
      <c r="AW1490" s="740" t="inlineStr">
        <is>
          <t>trade</t>
        </is>
      </c>
      <c r="AX1490" s="756" t="inlineStr">
        <is>
          <t>sig:087f77aef60c6b99f1f3b0ae</t>
        </is>
      </c>
    </row>
    <row r="1491" ht="15" customHeight="1">
      <c r="A1491" s="716" t="inlineStr">
        <is>
          <t>F75</t>
        </is>
      </c>
      <c r="B1491" s="717" t="n">
        <v>43284.875</v>
      </c>
      <c r="C1491" s="718" t="n">
        <v>43284.91736111111</v>
      </c>
      <c r="D1491" s="719" t="inlineStr">
        <is>
          <t>PEPPERSTONE DEMO</t>
        </is>
      </c>
      <c r="E1491" s="719" t="inlineStr">
        <is>
          <t>AUDNZD</t>
        </is>
      </c>
      <c r="F1491" s="719" t="inlineStr">
        <is>
          <t>BUY</t>
        </is>
      </c>
      <c r="G1491" s="735" t="n">
        <v>0.08</v>
      </c>
      <c r="H1491" s="720" t="n">
        <v>1.0978</v>
      </c>
      <c r="I1491" s="720" t="n">
        <v>1.09725</v>
      </c>
      <c r="J1491" s="721" t="n">
        <v>1.0972</v>
      </c>
      <c r="K1491" s="760" t="n">
        <v>0.0005465476407361595</v>
      </c>
      <c r="L1491" s="721" t="n">
        <v>1.0992</v>
      </c>
      <c r="M1491" s="722" t="n">
        <v>0.0012752778283839</v>
      </c>
      <c r="N1491" s="788" t="n"/>
      <c r="O1491" s="762" t="n">
        <v>-4.92</v>
      </c>
      <c r="P1491" s="725" t="n">
        <v>-0.01001363645614963</v>
      </c>
      <c r="Q1491" s="726" t="n">
        <v>-0.9166666666665124</v>
      </c>
      <c r="R1491" s="764" t="n">
        <v>486.41</v>
      </c>
      <c r="S1491" s="719" t="inlineStr">
        <is>
          <t>1H 1M 0S</t>
        </is>
      </c>
      <c r="T1491" s="728" t="n"/>
      <c r="U1491" s="729" t="n"/>
      <c r="V1491" s="730" t="n"/>
      <c r="W1491" s="731" t="n"/>
      <c r="X1491" s="732" t="n"/>
      <c r="Y1491" s="728" t="n"/>
      <c r="Z1491" s="729" t="n"/>
      <c r="AA1491" s="730" t="n"/>
      <c r="AB1491" s="731" t="n"/>
      <c r="AC1491" s="732" t="n"/>
      <c r="AD1491" s="719" t="inlineStr">
        <is>
          <t>No</t>
        </is>
      </c>
      <c r="AE1491" s="733" t="n"/>
      <c r="AF1491" s="733" t="n"/>
      <c r="AG1491" s="733" t="n"/>
      <c r="AH1491" s="733" t="n"/>
      <c r="AI1491" s="719" t="inlineStr">
        <is>
          <t>Market</t>
        </is>
      </c>
      <c r="AJ1491" s="733" t="n"/>
      <c r="AK1491" s="733" t="n"/>
      <c r="AL1491" s="733" t="n"/>
      <c r="AM1491" s="733" t="n"/>
      <c r="AN1491" s="733" t="n"/>
      <c r="AO1491" s="733" t="n"/>
      <c r="AP1491" s="719" t="inlineStr">
        <is>
          <t>Pullback</t>
        </is>
      </c>
      <c r="AQ1491" s="719" t="inlineStr">
        <is>
          <t>1H</t>
        </is>
      </c>
      <c r="AR1491" s="719" t="inlineStr">
        <is>
          <t>No</t>
        </is>
      </c>
      <c r="AS1491" s="733" t="n"/>
      <c r="AT1491" s="733" t="n"/>
      <c r="AU1491" s="733" t="n"/>
      <c r="AV1491" s="733" t="n"/>
      <c r="AW1491" s="719" t="inlineStr">
        <is>
          <t>trade</t>
        </is>
      </c>
      <c r="AX1491" s="734" t="inlineStr">
        <is>
          <t>sig:f8e4633a0438b9f79e9afe93</t>
        </is>
      </c>
    </row>
    <row r="1492" ht="15" customHeight="1">
      <c r="A1492" s="716" t="inlineStr">
        <is>
          <t>F73</t>
        </is>
      </c>
      <c r="B1492" s="717" t="n">
        <v>43283.93263888889</v>
      </c>
      <c r="C1492" s="718" t="n">
        <v>43283.93958333333</v>
      </c>
      <c r="D1492" s="719" t="inlineStr">
        <is>
          <t>PEPPERSTONE DEMO</t>
        </is>
      </c>
      <c r="E1492" s="719" t="inlineStr">
        <is>
          <t>GBPAUD</t>
        </is>
      </c>
      <c r="F1492" s="719" t="inlineStr">
        <is>
          <t>BUY</t>
        </is>
      </c>
      <c r="G1492" s="735" t="n">
        <v>0.04</v>
      </c>
      <c r="H1492" s="720" t="n">
        <v>1.7853</v>
      </c>
      <c r="I1492" s="720" t="n">
        <v>1.78432</v>
      </c>
      <c r="J1492" s="721" t="n">
        <v>1.7843</v>
      </c>
      <c r="K1492" s="760" t="n">
        <v>0.0005601299501484971</v>
      </c>
      <c r="L1492" s="721" t="n">
        <v>1.7879</v>
      </c>
      <c r="M1492" s="722" t="n">
        <v>0.001456337870385893</v>
      </c>
      <c r="N1492" s="788" t="n"/>
      <c r="O1492" s="762" t="n">
        <v>-5</v>
      </c>
      <c r="P1492" s="725" t="n">
        <v>-0.01007394273970947</v>
      </c>
      <c r="Q1492" s="726" t="n">
        <v>-0.9800000000000932</v>
      </c>
      <c r="R1492" s="764" t="n">
        <v>491.33</v>
      </c>
      <c r="S1492" s="719" t="inlineStr">
        <is>
          <t>10M 0S</t>
        </is>
      </c>
      <c r="T1492" s="728" t="n"/>
      <c r="U1492" s="729" t="n"/>
      <c r="V1492" s="730" t="n"/>
      <c r="W1492" s="731" t="n"/>
      <c r="X1492" s="732" t="n"/>
      <c r="Y1492" s="728" t="n"/>
      <c r="Z1492" s="729" t="n"/>
      <c r="AA1492" s="730" t="n"/>
      <c r="AB1492" s="731" t="n"/>
      <c r="AC1492" s="732" t="n"/>
      <c r="AD1492" s="719" t="inlineStr">
        <is>
          <t>No</t>
        </is>
      </c>
      <c r="AE1492" s="733" t="n"/>
      <c r="AF1492" s="733" t="n"/>
      <c r="AG1492" s="733" t="n"/>
      <c r="AH1492" s="733" t="n"/>
      <c r="AI1492" s="719" t="inlineStr">
        <is>
          <t>Market</t>
        </is>
      </c>
      <c r="AJ1492" s="733" t="n"/>
      <c r="AK1492" s="733" t="n"/>
      <c r="AL1492" s="733" t="n"/>
      <c r="AM1492" s="733" t="n"/>
      <c r="AN1492" s="733" t="n"/>
      <c r="AO1492" s="733" t="n"/>
      <c r="AP1492" s="719" t="inlineStr">
        <is>
          <t>Pullback</t>
        </is>
      </c>
      <c r="AQ1492" s="719" t="inlineStr">
        <is>
          <t>15MIN</t>
        </is>
      </c>
      <c r="AR1492" s="719" t="inlineStr">
        <is>
          <t>No</t>
        </is>
      </c>
      <c r="AS1492" s="782" t="n"/>
      <c r="AT1492" s="733" t="n"/>
      <c r="AU1492" s="719" t="n"/>
      <c r="AV1492" s="719" t="n"/>
      <c r="AW1492" s="719" t="inlineStr">
        <is>
          <t>trade</t>
        </is>
      </c>
      <c r="AX1492" s="734" t="inlineStr">
        <is>
          <t>sig:ac47847bc5fe3376c125904b</t>
        </is>
      </c>
    </row>
    <row r="1493" ht="15" customHeight="1">
      <c r="A1493" s="737" t="inlineStr">
        <is>
          <t>F67</t>
        </is>
      </c>
      <c r="B1493" s="738" t="n">
        <v>43280.88819444444</v>
      </c>
      <c r="C1493" s="739" t="n">
        <v>43283.57916666667</v>
      </c>
      <c r="D1493" s="740" t="inlineStr">
        <is>
          <t>PEPPERSTONE DEMO</t>
        </is>
      </c>
      <c r="E1493" s="740" t="inlineStr">
        <is>
          <t>AUDJPY</t>
        </is>
      </c>
      <c r="F1493" s="740" t="inlineStr">
        <is>
          <t>BUY</t>
        </is>
      </c>
      <c r="G1493" s="775" t="n">
        <v>0.09</v>
      </c>
      <c r="H1493" s="742" t="n">
        <v>81.64</v>
      </c>
      <c r="I1493" s="742" t="n">
        <v>81.968</v>
      </c>
      <c r="J1493" s="743" t="n">
        <v>81.5</v>
      </c>
      <c r="K1493" s="744" t="n">
        <v>0.001714845663890257</v>
      </c>
      <c r="L1493" s="785" t="n"/>
      <c r="M1493" s="754" t="n"/>
      <c r="N1493" s="808" t="n">
        <v>0.06</v>
      </c>
      <c r="O1493" s="767" t="n">
        <v>8.23</v>
      </c>
      <c r="P1493" s="747" t="n">
        <v>0.01686129891415694</v>
      </c>
      <c r="Q1493" s="748" t="n">
        <v>2.342857142857155</v>
      </c>
      <c r="R1493" s="769" t="n">
        <v>496.33</v>
      </c>
      <c r="S1493" s="740" t="inlineStr">
        <is>
          <t>2D 16H 35M 0S</t>
        </is>
      </c>
      <c r="T1493" s="750" t="n"/>
      <c r="U1493" s="751" t="n"/>
      <c r="V1493" s="752" t="n"/>
      <c r="W1493" s="753" t="n"/>
      <c r="X1493" s="754" t="n"/>
      <c r="Y1493" s="750" t="n"/>
      <c r="Z1493" s="751" t="n"/>
      <c r="AA1493" s="752" t="n"/>
      <c r="AB1493" s="753" t="n"/>
      <c r="AC1493" s="754" t="n"/>
      <c r="AD1493" s="740" t="inlineStr">
        <is>
          <t>No</t>
        </is>
      </c>
      <c r="AE1493" s="755" t="n"/>
      <c r="AF1493" s="755" t="n"/>
      <c r="AG1493" s="755" t="n"/>
      <c r="AH1493" s="755" t="n"/>
      <c r="AI1493" s="740" t="inlineStr">
        <is>
          <t>Market</t>
        </is>
      </c>
      <c r="AJ1493" s="755" t="n"/>
      <c r="AK1493" s="755" t="n"/>
      <c r="AL1493" s="755" t="n"/>
      <c r="AM1493" s="755" t="n"/>
      <c r="AN1493" s="755" t="n"/>
      <c r="AO1493" s="755" t="n"/>
      <c r="AP1493" s="740" t="inlineStr">
        <is>
          <t>Pullback</t>
        </is>
      </c>
      <c r="AQ1493" s="740" t="inlineStr">
        <is>
          <t>1H</t>
        </is>
      </c>
      <c r="AR1493" s="740" t="inlineStr">
        <is>
          <t>No</t>
        </is>
      </c>
      <c r="AS1493" s="755" t="n"/>
      <c r="AT1493" s="755" t="n"/>
      <c r="AU1493" s="755" t="n"/>
      <c r="AV1493" s="755" t="n"/>
      <c r="AW1493" s="740" t="inlineStr">
        <is>
          <t>trade</t>
        </is>
      </c>
      <c r="AX1493" s="756" t="inlineStr">
        <is>
          <t>sig:ccb8532766132773de6ee11b</t>
        </is>
      </c>
    </row>
    <row r="1494" ht="15" customHeight="1">
      <c r="A1494" s="737" t="inlineStr">
        <is>
          <t>F68</t>
        </is>
      </c>
      <c r="B1494" s="738" t="n">
        <v>43280.99513888889</v>
      </c>
      <c r="C1494" s="739" t="n">
        <v>43281.05208333334</v>
      </c>
      <c r="D1494" s="740" t="inlineStr">
        <is>
          <t>PEPPERSTONE DEMO</t>
        </is>
      </c>
      <c r="E1494" s="740" t="inlineStr">
        <is>
          <t>EURAUD</t>
        </is>
      </c>
      <c r="F1494" s="740" t="inlineStr">
        <is>
          <t>BUY</t>
        </is>
      </c>
      <c r="G1494" s="775" t="n">
        <v>0.09</v>
      </c>
      <c r="H1494" s="742" t="n">
        <v>1.5759</v>
      </c>
      <c r="I1494" s="742" t="n">
        <v>1.57829</v>
      </c>
      <c r="J1494" s="743" t="n">
        <v>1.5745</v>
      </c>
      <c r="K1494" s="765" t="n">
        <v>0.0008883812424646664</v>
      </c>
      <c r="L1494" s="743" t="n">
        <v>1.5793</v>
      </c>
      <c r="M1494" s="744" t="n">
        <v>0.002157497303128274</v>
      </c>
      <c r="N1494" s="796" t="n"/>
      <c r="O1494" s="767" t="n">
        <v>9.119999999999999</v>
      </c>
      <c r="P1494" s="747" t="n">
        <v>0.01904046097958161</v>
      </c>
      <c r="Q1494" s="748" t="n">
        <v>1.707142857142697</v>
      </c>
      <c r="R1494" s="769" t="n">
        <v>488.1</v>
      </c>
      <c r="S1494" s="740" t="inlineStr">
        <is>
          <t>1H 22M 0S</t>
        </is>
      </c>
      <c r="T1494" s="750" t="n"/>
      <c r="U1494" s="751" t="n"/>
      <c r="V1494" s="752" t="n"/>
      <c r="W1494" s="753" t="n"/>
      <c r="X1494" s="754" t="n"/>
      <c r="Y1494" s="750" t="n"/>
      <c r="Z1494" s="751" t="n"/>
      <c r="AA1494" s="752" t="n"/>
      <c r="AB1494" s="753" t="n"/>
      <c r="AC1494" s="754" t="n"/>
      <c r="AD1494" s="740" t="inlineStr">
        <is>
          <t>No</t>
        </is>
      </c>
      <c r="AE1494" s="755" t="n"/>
      <c r="AF1494" s="755" t="n"/>
      <c r="AG1494" s="755" t="n"/>
      <c r="AH1494" s="755" t="n"/>
      <c r="AI1494" s="740" t="inlineStr">
        <is>
          <t>Market</t>
        </is>
      </c>
      <c r="AJ1494" s="755" t="n"/>
      <c r="AK1494" s="755" t="n"/>
      <c r="AL1494" s="755" t="n"/>
      <c r="AM1494" s="755" t="n"/>
      <c r="AN1494" s="755" t="n"/>
      <c r="AO1494" s="755" t="n"/>
      <c r="AP1494" s="740" t="inlineStr">
        <is>
          <t>Pullback</t>
        </is>
      </c>
      <c r="AQ1494" s="740" t="inlineStr">
        <is>
          <t>15MIN</t>
        </is>
      </c>
      <c r="AR1494" s="740" t="inlineStr">
        <is>
          <t>No</t>
        </is>
      </c>
      <c r="AS1494" s="755" t="n"/>
      <c r="AT1494" s="755" t="n"/>
      <c r="AU1494" s="755" t="n"/>
      <c r="AV1494" s="755" t="n"/>
      <c r="AW1494" s="740" t="inlineStr">
        <is>
          <t>trade</t>
        </is>
      </c>
      <c r="AX1494" s="756" t="inlineStr">
        <is>
          <t>sig:ba555017e1c117b9da67977f</t>
        </is>
      </c>
    </row>
    <row r="1495" ht="15" customHeight="1">
      <c r="A1495" s="716" t="inlineStr">
        <is>
          <t>F69</t>
        </is>
      </c>
      <c r="B1495" s="717" t="n">
        <v>43280.97222222222</v>
      </c>
      <c r="C1495" s="718" t="n">
        <v>43280.98055555556</v>
      </c>
      <c r="D1495" s="719" t="inlineStr">
        <is>
          <t>PEPPERSTONE DEMO</t>
        </is>
      </c>
      <c r="E1495" s="719" t="inlineStr">
        <is>
          <t>EURAUD</t>
        </is>
      </c>
      <c r="F1495" s="719" t="inlineStr">
        <is>
          <t>BUY</t>
        </is>
      </c>
      <c r="G1495" s="735" t="n">
        <v>0.09</v>
      </c>
      <c r="H1495" s="720" t="n">
        <v>1.5764</v>
      </c>
      <c r="I1495" s="720" t="n">
        <v>1.57521</v>
      </c>
      <c r="J1495" s="721" t="n">
        <v>1.5752</v>
      </c>
      <c r="K1495" s="760" t="n">
        <v>0.0007612281146917596</v>
      </c>
      <c r="L1495" s="721" t="n">
        <v>1.5793</v>
      </c>
      <c r="M1495" s="722" t="n">
        <v>0.001839634610504886</v>
      </c>
      <c r="N1495" s="788" t="n"/>
      <c r="O1495" s="762" t="n">
        <v>-4.88</v>
      </c>
      <c r="P1495" s="725" t="n">
        <v>-0.01008556193940396</v>
      </c>
      <c r="Q1495" s="726" t="n">
        <v>-0.9916666666666127</v>
      </c>
      <c r="R1495" s="764" t="n">
        <v>478.98</v>
      </c>
      <c r="S1495" s="719" t="inlineStr">
        <is>
          <t>12M 0S</t>
        </is>
      </c>
      <c r="T1495" s="728" t="n"/>
      <c r="U1495" s="729" t="n"/>
      <c r="V1495" s="730" t="n"/>
      <c r="W1495" s="731" t="n"/>
      <c r="X1495" s="732" t="n"/>
      <c r="Y1495" s="728" t="n"/>
      <c r="Z1495" s="729" t="n"/>
      <c r="AA1495" s="730" t="n"/>
      <c r="AB1495" s="731" t="n"/>
      <c r="AC1495" s="732" t="n"/>
      <c r="AD1495" s="719" t="inlineStr">
        <is>
          <t>No</t>
        </is>
      </c>
      <c r="AE1495" s="733" t="n"/>
      <c r="AF1495" s="733" t="n"/>
      <c r="AG1495" s="733" t="n"/>
      <c r="AH1495" s="733" t="n"/>
      <c r="AI1495" s="719" t="inlineStr">
        <is>
          <t>Market</t>
        </is>
      </c>
      <c r="AJ1495" s="733" t="n"/>
      <c r="AK1495" s="733" t="n"/>
      <c r="AL1495" s="733" t="n"/>
      <c r="AM1495" s="733" t="n"/>
      <c r="AN1495" s="733" t="n"/>
      <c r="AO1495" s="733" t="n"/>
      <c r="AP1495" s="719" t="inlineStr">
        <is>
          <t>Pullback</t>
        </is>
      </c>
      <c r="AQ1495" s="719" t="inlineStr">
        <is>
          <t>15MIN</t>
        </is>
      </c>
      <c r="AR1495" s="719" t="inlineStr">
        <is>
          <t>No</t>
        </is>
      </c>
      <c r="AS1495" s="782" t="n"/>
      <c r="AT1495" s="733" t="n"/>
      <c r="AU1495" s="719" t="n"/>
      <c r="AV1495" s="719" t="n"/>
      <c r="AW1495" s="719" t="inlineStr">
        <is>
          <t>trade</t>
        </is>
      </c>
      <c r="AX1495" s="734" t="inlineStr">
        <is>
          <t>sig:67540ba4f77f8fb23c395f11</t>
        </is>
      </c>
    </row>
    <row r="1496" ht="15" customHeight="1">
      <c r="A1496" s="716" t="inlineStr">
        <is>
          <t>F72</t>
        </is>
      </c>
      <c r="B1496" s="717" t="n">
        <v>43280.83263888889</v>
      </c>
      <c r="C1496" s="718" t="n">
        <v>43280.84236111111</v>
      </c>
      <c r="D1496" s="719" t="inlineStr">
        <is>
          <t>PEPPERSTONE DEMO</t>
        </is>
      </c>
      <c r="E1496" s="719" t="inlineStr">
        <is>
          <t>GBPAUD</t>
        </is>
      </c>
      <c r="F1496" s="719" t="inlineStr">
        <is>
          <t>SELL</t>
        </is>
      </c>
      <c r="G1496" s="735" t="n">
        <v>0.02</v>
      </c>
      <c r="H1496" s="720" t="n">
        <v>1.78</v>
      </c>
      <c r="I1496" s="720" t="n">
        <v>1.78057</v>
      </c>
      <c r="J1496" s="721" t="n">
        <v>1.7824</v>
      </c>
      <c r="K1496" s="722" t="n">
        <v>0.001348314606741549</v>
      </c>
      <c r="L1496" s="721" t="n">
        <v>1.7737</v>
      </c>
      <c r="M1496" s="722" t="n">
        <v>0.003539325842696614</v>
      </c>
      <c r="N1496" s="788" t="n"/>
      <c r="O1496" s="762" t="n">
        <v>-1.02</v>
      </c>
      <c r="P1496" s="725" t="n">
        <v>-0.002103613265137766</v>
      </c>
      <c r="Q1496" s="726" t="n">
        <v>-0.2374999999999873</v>
      </c>
      <c r="R1496" s="764" t="n">
        <v>483.86</v>
      </c>
      <c r="S1496" s="719" t="inlineStr">
        <is>
          <t>14M 0S</t>
        </is>
      </c>
      <c r="T1496" s="728" t="n"/>
      <c r="U1496" s="729" t="n"/>
      <c r="V1496" s="730" t="n"/>
      <c r="W1496" s="731" t="n"/>
      <c r="X1496" s="732" t="n"/>
      <c r="Y1496" s="728" t="n"/>
      <c r="Z1496" s="729" t="n"/>
      <c r="AA1496" s="730" t="n"/>
      <c r="AB1496" s="731" t="n"/>
      <c r="AC1496" s="732" t="n"/>
      <c r="AD1496" s="719" t="inlineStr">
        <is>
          <t>No</t>
        </is>
      </c>
      <c r="AE1496" s="733" t="n"/>
      <c r="AF1496" s="733" t="n"/>
      <c r="AG1496" s="733" t="n"/>
      <c r="AH1496" s="733" t="n"/>
      <c r="AI1496" s="719" t="inlineStr">
        <is>
          <t>Market</t>
        </is>
      </c>
      <c r="AJ1496" s="733" t="n"/>
      <c r="AK1496" s="733" t="n"/>
      <c r="AL1496" s="733" t="n"/>
      <c r="AM1496" s="733" t="n"/>
      <c r="AN1496" s="733" t="n"/>
      <c r="AO1496" s="733" t="n"/>
      <c r="AP1496" s="719" t="inlineStr">
        <is>
          <t>Pullback</t>
        </is>
      </c>
      <c r="AQ1496" s="719" t="inlineStr">
        <is>
          <t>15MIN</t>
        </is>
      </c>
      <c r="AR1496" s="719" t="inlineStr">
        <is>
          <t>No</t>
        </is>
      </c>
      <c r="AS1496" s="733" t="n"/>
      <c r="AT1496" s="733" t="n"/>
      <c r="AU1496" s="733" t="n"/>
      <c r="AV1496" s="733" t="n"/>
      <c r="AW1496" s="719" t="inlineStr">
        <is>
          <t>trade</t>
        </is>
      </c>
      <c r="AX1496" s="734" t="inlineStr">
        <is>
          <t>sig:ab76754660c54cc544e498d0</t>
        </is>
      </c>
    </row>
    <row r="1497" ht="15" customHeight="1">
      <c r="A1497" s="716" t="inlineStr">
        <is>
          <t>F1094</t>
        </is>
      </c>
      <c r="B1497" s="717" t="n">
        <v>43280.81319444445</v>
      </c>
      <c r="C1497" s="718" t="n">
        <v>43280.82569444444</v>
      </c>
      <c r="D1497" s="719" t="inlineStr">
        <is>
          <t>PEPPERSTONE DEMO</t>
        </is>
      </c>
      <c r="E1497" s="719" t="inlineStr">
        <is>
          <t>AUDCHF</t>
        </is>
      </c>
      <c r="F1497" s="719" t="inlineStr">
        <is>
          <t>BUY</t>
        </is>
      </c>
      <c r="G1497" s="735" t="n">
        <v>0.05</v>
      </c>
      <c r="H1497" s="720" t="n">
        <v>0.7342</v>
      </c>
      <c r="I1497" s="720" t="n">
        <v>0.7335199999999999</v>
      </c>
      <c r="J1497" s="721" t="n">
        <v>0.7335</v>
      </c>
      <c r="K1497" s="760" t="n">
        <v>0.0009534186870061603</v>
      </c>
      <c r="L1497" s="789" t="n"/>
      <c r="M1497" s="732" t="n"/>
      <c r="N1497" s="788" t="n"/>
      <c r="O1497" s="762" t="n">
        <v>-4.98</v>
      </c>
      <c r="P1497" s="725" t="n">
        <v>-0.01016616992610134</v>
      </c>
      <c r="Q1497" s="726" t="n">
        <v>-0.9714285714286983</v>
      </c>
      <c r="R1497" s="764" t="n">
        <v>484.88</v>
      </c>
      <c r="S1497" s="719" t="inlineStr">
        <is>
          <t>18M 0S</t>
        </is>
      </c>
      <c r="T1497" s="728" t="n"/>
      <c r="U1497" s="729" t="n"/>
      <c r="V1497" s="730" t="n"/>
      <c r="W1497" s="731" t="n"/>
      <c r="X1497" s="732" t="n"/>
      <c r="Y1497" s="728" t="n"/>
      <c r="Z1497" s="729" t="n"/>
      <c r="AA1497" s="730" t="n"/>
      <c r="AB1497" s="731" t="n"/>
      <c r="AC1497" s="732" t="n"/>
      <c r="AD1497" s="719" t="inlineStr">
        <is>
          <t>No</t>
        </is>
      </c>
      <c r="AE1497" s="733" t="n"/>
      <c r="AF1497" s="733" t="n"/>
      <c r="AG1497" s="733" t="n"/>
      <c r="AH1497" s="733" t="n"/>
      <c r="AI1497" s="733" t="n"/>
      <c r="AJ1497" s="733" t="n"/>
      <c r="AK1497" s="733" t="n"/>
      <c r="AL1497" s="733" t="n"/>
      <c r="AM1497" s="733" t="n"/>
      <c r="AN1497" s="733" t="n"/>
      <c r="AO1497" s="733" t="n"/>
      <c r="AP1497" s="719" t="inlineStr">
        <is>
          <t>Pullback</t>
        </is>
      </c>
      <c r="AQ1497" s="733" t="n"/>
      <c r="AR1497" s="719" t="inlineStr">
        <is>
          <t>No</t>
        </is>
      </c>
      <c r="AS1497" s="733" t="n"/>
      <c r="AT1497" s="733" t="n"/>
      <c r="AU1497" s="733" t="n"/>
      <c r="AV1497" s="733" t="n"/>
      <c r="AW1497" s="719" t="inlineStr">
        <is>
          <t>trade</t>
        </is>
      </c>
      <c r="AX1497" s="734" t="inlineStr">
        <is>
          <t>sig:e80ac59a2f671c3556736e76</t>
        </is>
      </c>
    </row>
    <row r="1498" ht="15" customHeight="1">
      <c r="A1498" s="716" t="inlineStr">
        <is>
          <t>F70</t>
        </is>
      </c>
      <c r="B1498" s="717" t="n">
        <v>43280.04027777778</v>
      </c>
      <c r="C1498" s="718" t="n">
        <v>43280.05902777778</v>
      </c>
      <c r="D1498" s="719" t="inlineStr">
        <is>
          <t>PEPPERSTONE DEMO</t>
        </is>
      </c>
      <c r="E1498" s="719" t="inlineStr">
        <is>
          <t>AUDUSD</t>
        </is>
      </c>
      <c r="F1498" s="719" t="inlineStr">
        <is>
          <t>SELL</t>
        </is>
      </c>
      <c r="G1498" s="735" t="n">
        <v>0.06</v>
      </c>
      <c r="H1498" s="720" t="n">
        <v>0.7345</v>
      </c>
      <c r="I1498" s="720" t="n">
        <v>0.73515</v>
      </c>
      <c r="J1498" s="721" t="n">
        <v>0.7351</v>
      </c>
      <c r="K1498" s="760" t="n">
        <v>0.0008168822328113464</v>
      </c>
      <c r="L1498" s="721" t="n">
        <v>0.7337</v>
      </c>
      <c r="M1498" s="722" t="n">
        <v>0.00108917631041528</v>
      </c>
      <c r="N1498" s="788" t="n"/>
      <c r="O1498" s="762" t="n">
        <v>-4.9</v>
      </c>
      <c r="P1498" s="725" t="n">
        <v>-0.009903791737408038</v>
      </c>
      <c r="Q1498" s="726" t="n">
        <v>-1.083333333333333</v>
      </c>
      <c r="R1498" s="764" t="n">
        <v>489.86</v>
      </c>
      <c r="S1498" s="719" t="inlineStr">
        <is>
          <t>27M 0S</t>
        </is>
      </c>
      <c r="T1498" s="728" t="n"/>
      <c r="U1498" s="729" t="n"/>
      <c r="V1498" s="730" t="n"/>
      <c r="W1498" s="731" t="n"/>
      <c r="X1498" s="732" t="n"/>
      <c r="Y1498" s="728" t="n"/>
      <c r="Z1498" s="729" t="n"/>
      <c r="AA1498" s="730" t="n"/>
      <c r="AB1498" s="731" t="n"/>
      <c r="AC1498" s="732" t="n"/>
      <c r="AD1498" s="719" t="inlineStr">
        <is>
          <t>No</t>
        </is>
      </c>
      <c r="AE1498" s="733" t="n"/>
      <c r="AF1498" s="733" t="n"/>
      <c r="AG1498" s="733" t="n"/>
      <c r="AH1498" s="733" t="n"/>
      <c r="AI1498" s="719" t="inlineStr">
        <is>
          <t>Market</t>
        </is>
      </c>
      <c r="AJ1498" s="733" t="n"/>
      <c r="AK1498" s="733" t="n"/>
      <c r="AL1498" s="733" t="n"/>
      <c r="AM1498" s="733" t="n"/>
      <c r="AN1498" s="733" t="n"/>
      <c r="AO1498" s="733" t="n"/>
      <c r="AP1498" s="719" t="inlineStr">
        <is>
          <t>Pullback</t>
        </is>
      </c>
      <c r="AQ1498" s="719" t="inlineStr">
        <is>
          <t>15MIN</t>
        </is>
      </c>
      <c r="AR1498" s="719" t="inlineStr">
        <is>
          <t>No</t>
        </is>
      </c>
      <c r="AS1498" s="733" t="n"/>
      <c r="AT1498" s="733" t="n"/>
      <c r="AU1498" s="733" t="n"/>
      <c r="AV1498" s="733" t="n"/>
      <c r="AW1498" s="719" t="inlineStr">
        <is>
          <t>trade</t>
        </is>
      </c>
      <c r="AX1498" s="734" t="inlineStr">
        <is>
          <t>sig:53bae4d3924c84c3bafe4612</t>
        </is>
      </c>
    </row>
    <row r="1499" ht="15" customHeight="1">
      <c r="A1499" s="716" t="inlineStr">
        <is>
          <t>F1093</t>
        </is>
      </c>
      <c r="B1499" s="717" t="n">
        <v>43279.99027777778</v>
      </c>
      <c r="C1499" s="718" t="n">
        <v>43280.00486111111</v>
      </c>
      <c r="D1499" s="719" t="inlineStr">
        <is>
          <t>PEPPERSTONE DEMO</t>
        </is>
      </c>
      <c r="E1499" s="719" t="inlineStr">
        <is>
          <t>AUDUSD</t>
        </is>
      </c>
      <c r="F1499" s="719" t="inlineStr">
        <is>
          <t>SELL</t>
        </is>
      </c>
      <c r="G1499" s="735" t="n">
        <v>0.07000000000000001</v>
      </c>
      <c r="H1499" s="720" t="n">
        <v>0.734</v>
      </c>
      <c r="I1499" s="720" t="n">
        <v>0.73464</v>
      </c>
      <c r="J1499" s="721" t="n">
        <v>0.7346</v>
      </c>
      <c r="K1499" s="760" t="n">
        <v>0.0008174386920981539</v>
      </c>
      <c r="L1499" s="789" t="n"/>
      <c r="M1499" s="732" t="n"/>
      <c r="N1499" s="788" t="n"/>
      <c r="O1499" s="762" t="n">
        <v>-5.24</v>
      </c>
      <c r="P1499" s="725" t="n">
        <v>-0.01048</v>
      </c>
      <c r="Q1499" s="726" t="n">
        <v>-1.066666666666543</v>
      </c>
      <c r="R1499" s="764" t="n">
        <v>494.76</v>
      </c>
      <c r="S1499" s="719" t="inlineStr">
        <is>
          <t>21M 0S</t>
        </is>
      </c>
      <c r="T1499" s="728" t="n"/>
      <c r="U1499" s="729" t="n"/>
      <c r="V1499" s="730" t="n"/>
      <c r="W1499" s="731" t="n"/>
      <c r="X1499" s="732" t="n"/>
      <c r="Y1499" s="728" t="n"/>
      <c r="Z1499" s="729" t="n"/>
      <c r="AA1499" s="730" t="n"/>
      <c r="AB1499" s="731" t="n"/>
      <c r="AC1499" s="732" t="n"/>
      <c r="AD1499" s="719" t="inlineStr">
        <is>
          <t>No</t>
        </is>
      </c>
      <c r="AE1499" s="733" t="n"/>
      <c r="AF1499" s="733" t="n"/>
      <c r="AG1499" s="733" t="n"/>
      <c r="AH1499" s="733" t="n"/>
      <c r="AI1499" s="733" t="n"/>
      <c r="AJ1499" s="733" t="n"/>
      <c r="AK1499" s="733" t="n"/>
      <c r="AL1499" s="733" t="n"/>
      <c r="AM1499" s="733" t="n"/>
      <c r="AN1499" s="733" t="n"/>
      <c r="AO1499" s="733" t="n"/>
      <c r="AP1499" s="719" t="inlineStr">
        <is>
          <t>Pullback</t>
        </is>
      </c>
      <c r="AQ1499" s="733" t="n"/>
      <c r="AR1499" s="719" t="inlineStr">
        <is>
          <t>No</t>
        </is>
      </c>
      <c r="AS1499" s="733" t="n"/>
      <c r="AT1499" s="733" t="n"/>
      <c r="AU1499" s="733" t="n"/>
      <c r="AV1499" s="733" t="n"/>
      <c r="AW1499" s="719" t="inlineStr">
        <is>
          <t>trade</t>
        </is>
      </c>
      <c r="AX1499" s="734" t="inlineStr">
        <is>
          <t>sig:f5c6dbd6050bfaec447fa904</t>
        </is>
      </c>
    </row>
    <row r="1500" ht="15" customHeight="1">
      <c r="A1500" s="41" t="n"/>
      <c r="B1500" s="770" t="n">
        <v>43280</v>
      </c>
      <c r="C1500" s="771" t="n">
        <v>43280</v>
      </c>
      <c r="D1500" s="12" t="inlineStr">
        <is>
          <t>PEPPERSTONE DEMO</t>
        </is>
      </c>
      <c r="E1500" s="12" t="inlineStr">
        <is>
          <t>CASHFLOW</t>
        </is>
      </c>
      <c r="F1500" s="12" t="inlineStr">
        <is>
          <t>WITHDRAWAL</t>
        </is>
      </c>
      <c r="G1500" s="262" t="n"/>
      <c r="H1500" s="262" t="n"/>
      <c r="I1500" s="262" t="n"/>
      <c r="J1500" s="263" t="n"/>
      <c r="K1500" s="36" t="n"/>
      <c r="L1500" s="266" t="n"/>
      <c r="M1500" s="46" t="n"/>
      <c r="N1500" s="779" t="n"/>
      <c r="O1500" s="773" t="n"/>
      <c r="P1500" s="3" t="n"/>
      <c r="Q1500" s="51" t="n"/>
      <c r="R1500" s="54" t="n">
        <v>500</v>
      </c>
      <c r="S1500" s="12" t="n"/>
      <c r="T1500" s="774" t="n"/>
      <c r="U1500" s="6" t="n"/>
      <c r="V1500" s="264" t="n"/>
      <c r="W1500" s="9" t="n"/>
      <c r="X1500" s="46" t="n"/>
      <c r="Y1500" s="774" t="n"/>
      <c r="Z1500" s="6" t="n"/>
      <c r="AA1500" s="264" t="n"/>
      <c r="AB1500" s="9" t="n"/>
      <c r="AC1500" s="46" t="n"/>
      <c r="AD1500" s="12" t="inlineStr">
        <is>
          <t>No</t>
        </is>
      </c>
      <c r="AE1500" s="45" t="n"/>
      <c r="AF1500" s="45" t="n"/>
      <c r="AG1500" s="45" t="n"/>
      <c r="AH1500" s="45" t="n"/>
      <c r="AI1500" s="45" t="n"/>
      <c r="AJ1500" s="45" t="n"/>
      <c r="AK1500" s="45" t="n"/>
      <c r="AL1500" s="45" t="n"/>
      <c r="AM1500" s="45" t="n"/>
      <c r="AN1500" s="45" t="n"/>
      <c r="AO1500" s="45" t="n"/>
      <c r="AP1500" s="12" t="n"/>
      <c r="AQ1500" s="45" t="n"/>
      <c r="AR1500" s="12" t="n"/>
      <c r="AS1500" s="56" t="inlineStr">
        <is>
          <t>Withdrawal -169.55 AUD. Source: user_txt. Imported from account_cashflows.xlsx row 16.</t>
        </is>
      </c>
      <c r="AT1500" s="45" t="n"/>
      <c r="AU1500" s="12" t="n">
        <v>500</v>
      </c>
      <c r="AV1500" s="12" t="inlineStr">
        <is>
          <t>AUD</t>
        </is>
      </c>
      <c r="AW1500" s="12" t="inlineStr">
        <is>
          <t>cashflow</t>
        </is>
      </c>
      <c r="AX1500" s="57" t="inlineStr">
        <is>
          <t>cashflow:PEPPERSTONE DEMO:2018-06-29T00:00:00:2</t>
        </is>
      </c>
    </row>
    <row r="1501" ht="15" customHeight="1">
      <c r="A1501" s="716" t="inlineStr">
        <is>
          <t>F1092</t>
        </is>
      </c>
      <c r="B1501" s="717" t="n">
        <v>43279.29652777778</v>
      </c>
      <c r="C1501" s="718" t="n">
        <v>43279.30625</v>
      </c>
      <c r="D1501" s="719" t="inlineStr">
        <is>
          <t>PEPPERSTONE DEMO</t>
        </is>
      </c>
      <c r="E1501" s="719" t="inlineStr">
        <is>
          <t>AUDNZD</t>
        </is>
      </c>
      <c r="F1501" s="719" t="inlineStr">
        <is>
          <t>SELL</t>
        </is>
      </c>
      <c r="G1501" s="735" t="n">
        <v>0.02</v>
      </c>
      <c r="H1501" s="720" t="n">
        <v>1.0798</v>
      </c>
      <c r="I1501" s="720" t="n">
        <v>1.08077</v>
      </c>
      <c r="J1501" s="721" t="n">
        <v>1.0807</v>
      </c>
      <c r="K1501" s="760" t="n">
        <v>0.0008334876829041496</v>
      </c>
      <c r="L1501" s="721" t="n"/>
      <c r="M1501" s="722" t="n"/>
      <c r="N1501" s="788" t="n"/>
      <c r="O1501" s="762" t="n">
        <v>-1.72</v>
      </c>
      <c r="P1501" s="725" t="n">
        <v>-0.002562307268312304</v>
      </c>
      <c r="Q1501" s="726" t="n">
        <v>-1.077777777777802</v>
      </c>
      <c r="R1501" s="764" t="n">
        <v>669.55</v>
      </c>
      <c r="S1501" s="719" t="inlineStr">
        <is>
          <t>14M 0S</t>
        </is>
      </c>
      <c r="T1501" s="728" t="n"/>
      <c r="U1501" s="729" t="n"/>
      <c r="V1501" s="730" t="n"/>
      <c r="W1501" s="731" t="n"/>
      <c r="X1501" s="732" t="n"/>
      <c r="Y1501" s="728" t="n"/>
      <c r="Z1501" s="729" t="n"/>
      <c r="AA1501" s="730" t="n"/>
      <c r="AB1501" s="731" t="n"/>
      <c r="AC1501" s="732" t="n"/>
      <c r="AD1501" s="719" t="inlineStr">
        <is>
          <t>No</t>
        </is>
      </c>
      <c r="AE1501" s="733" t="n"/>
      <c r="AF1501" s="733" t="n"/>
      <c r="AG1501" s="733" t="n"/>
      <c r="AH1501" s="733" t="n"/>
      <c r="AI1501" s="719" t="n"/>
      <c r="AJ1501" s="733" t="n"/>
      <c r="AK1501" s="733" t="n"/>
      <c r="AL1501" s="733" t="n"/>
      <c r="AM1501" s="733" t="n"/>
      <c r="AN1501" s="733" t="n"/>
      <c r="AO1501" s="733" t="n"/>
      <c r="AP1501" s="719" t="inlineStr">
        <is>
          <t>Pullback</t>
        </is>
      </c>
      <c r="AQ1501" s="719" t="n"/>
      <c r="AR1501" s="719" t="inlineStr">
        <is>
          <t>No</t>
        </is>
      </c>
      <c r="AS1501" s="733" t="n"/>
      <c r="AT1501" s="733" t="n"/>
      <c r="AU1501" s="733" t="n"/>
      <c r="AV1501" s="733" t="n"/>
      <c r="AW1501" s="719" t="inlineStr">
        <is>
          <t>trade</t>
        </is>
      </c>
      <c r="AX1501" s="734" t="inlineStr">
        <is>
          <t>sig:a80a58acd1e357f2d1e0680a</t>
        </is>
      </c>
    </row>
    <row r="1502" ht="15" customHeight="1">
      <c r="A1502" s="716" t="inlineStr">
        <is>
          <t>F1091</t>
        </is>
      </c>
      <c r="B1502" s="717" t="n">
        <v>43279.29428240741</v>
      </c>
      <c r="C1502" s="718" t="n">
        <v>43279.29440972222</v>
      </c>
      <c r="D1502" s="719" t="inlineStr">
        <is>
          <t>PEPPERSTONE DEMO</t>
        </is>
      </c>
      <c r="E1502" s="719" t="inlineStr">
        <is>
          <t>AUDNZD</t>
        </is>
      </c>
      <c r="F1502" s="719" t="inlineStr">
        <is>
          <t>BUY</t>
        </is>
      </c>
      <c r="G1502" s="735" t="n">
        <v>0.03</v>
      </c>
      <c r="H1502" s="720" t="n">
        <v>1.0816</v>
      </c>
      <c r="I1502" s="720" t="n">
        <v>1.08097</v>
      </c>
      <c r="J1502" s="721" t="n">
        <v>1.0809</v>
      </c>
      <c r="K1502" s="760" t="n">
        <v>0.0006471893491123549</v>
      </c>
      <c r="L1502" s="789" t="n"/>
      <c r="M1502" s="732" t="n"/>
      <c r="N1502" s="788" t="n"/>
      <c r="O1502" s="762" t="n">
        <v>-1.83</v>
      </c>
      <c r="P1502" s="725" t="n">
        <v>-0.002718763928093894</v>
      </c>
      <c r="Q1502" s="726" t="n">
        <v>-0.8999999999999683</v>
      </c>
      <c r="R1502" s="764" t="n">
        <v>671.27</v>
      </c>
      <c r="S1502" s="719" t="inlineStr">
        <is>
          <t>11S</t>
        </is>
      </c>
      <c r="T1502" s="728" t="n"/>
      <c r="U1502" s="729" t="n"/>
      <c r="V1502" s="730" t="n"/>
      <c r="W1502" s="731" t="n"/>
      <c r="X1502" s="732" t="n"/>
      <c r="Y1502" s="728" t="n"/>
      <c r="Z1502" s="729" t="n"/>
      <c r="AA1502" s="730" t="n"/>
      <c r="AB1502" s="731" t="n"/>
      <c r="AC1502" s="732" t="n"/>
      <c r="AD1502" s="719" t="inlineStr">
        <is>
          <t>No</t>
        </is>
      </c>
      <c r="AE1502" s="733" t="n"/>
      <c r="AF1502" s="733" t="n"/>
      <c r="AG1502" s="733" t="n"/>
      <c r="AH1502" s="733" t="n"/>
      <c r="AI1502" s="733" t="n"/>
      <c r="AJ1502" s="733" t="n"/>
      <c r="AK1502" s="733" t="n"/>
      <c r="AL1502" s="733" t="n"/>
      <c r="AM1502" s="733" t="n"/>
      <c r="AN1502" s="733" t="n"/>
      <c r="AO1502" s="733" t="n"/>
      <c r="AP1502" s="719" t="inlineStr">
        <is>
          <t>Pullback</t>
        </is>
      </c>
      <c r="AQ1502" s="733" t="n"/>
      <c r="AR1502" s="719" t="inlineStr">
        <is>
          <t>No</t>
        </is>
      </c>
      <c r="AS1502" s="733" t="n"/>
      <c r="AT1502" s="733" t="n"/>
      <c r="AU1502" s="733" t="n"/>
      <c r="AV1502" s="733" t="n"/>
      <c r="AW1502" s="719" t="inlineStr">
        <is>
          <t>trade</t>
        </is>
      </c>
      <c r="AX1502" s="734" t="inlineStr">
        <is>
          <t>sig:6296531148089a4d6b79bbc0</t>
        </is>
      </c>
    </row>
    <row r="1503" ht="15" customHeight="1">
      <c r="A1503" s="42" t="n"/>
      <c r="B1503" s="770" t="n">
        <v>43279</v>
      </c>
      <c r="C1503" s="771" t="n">
        <v>43279</v>
      </c>
      <c r="D1503" s="12" t="inlineStr">
        <is>
          <t>PEPPERSTONE DEMO</t>
        </is>
      </c>
      <c r="E1503" s="12" t="inlineStr">
        <is>
          <t>CASHFLOW</t>
        </is>
      </c>
      <c r="F1503" s="12" t="inlineStr">
        <is>
          <t>DEPOSIT</t>
        </is>
      </c>
      <c r="G1503" s="262" t="n"/>
      <c r="H1503" s="262" t="n"/>
      <c r="I1503" s="262" t="n"/>
      <c r="J1503" s="263" t="n"/>
      <c r="K1503" s="36" t="n"/>
      <c r="L1503" s="266" t="n"/>
      <c r="M1503" s="46" t="n"/>
      <c r="N1503" s="779" t="n"/>
      <c r="O1503" s="773" t="n"/>
      <c r="P1503" s="3" t="n"/>
      <c r="Q1503" s="51" t="n"/>
      <c r="R1503" s="54" t="n">
        <v>673.1</v>
      </c>
      <c r="S1503" s="12" t="n"/>
      <c r="T1503" s="774" t="n"/>
      <c r="U1503" s="6" t="n"/>
      <c r="V1503" s="264" t="n"/>
      <c r="W1503" s="9" t="n"/>
      <c r="X1503" s="46" t="n"/>
      <c r="Y1503" s="774" t="n"/>
      <c r="Z1503" s="6" t="n"/>
      <c r="AA1503" s="264" t="n"/>
      <c r="AB1503" s="9" t="n"/>
      <c r="AC1503" s="46" t="n"/>
      <c r="AD1503" s="12" t="inlineStr">
        <is>
          <t>No</t>
        </is>
      </c>
      <c r="AE1503" s="45" t="n"/>
      <c r="AF1503" s="45" t="n"/>
      <c r="AG1503" s="45" t="n"/>
      <c r="AH1503" s="45" t="n"/>
      <c r="AI1503" s="12" t="n"/>
      <c r="AJ1503" s="45" t="n"/>
      <c r="AK1503" s="45" t="n"/>
      <c r="AL1503" s="45" t="n"/>
      <c r="AM1503" s="45" t="n"/>
      <c r="AN1503" s="45" t="n"/>
      <c r="AO1503" s="45" t="n"/>
      <c r="AP1503" s="12" t="n"/>
      <c r="AQ1503" s="12" t="n"/>
      <c r="AR1503" s="12" t="n"/>
      <c r="AS1503" s="56" t="inlineStr">
        <is>
          <t>Deposit 500.0 AUD. Source: user_txt. Imported from account_cashflows.xlsx row 15.</t>
        </is>
      </c>
      <c r="AT1503" s="45" t="n"/>
      <c r="AU1503" s="12" t="n">
        <v>673.1</v>
      </c>
      <c r="AV1503" s="12" t="inlineStr">
        <is>
          <t>AUD</t>
        </is>
      </c>
      <c r="AW1503" s="12" t="inlineStr">
        <is>
          <t>cashflow</t>
        </is>
      </c>
      <c r="AX1503" s="57" t="inlineStr">
        <is>
          <t>cashflow:PEPPERSTONE DEMO:2018-06-28T00:00:00:1</t>
        </is>
      </c>
    </row>
    <row r="1504" ht="15" customHeight="1">
      <c r="A1504" s="737" t="inlineStr">
        <is>
          <t>F1090</t>
        </is>
      </c>
      <c r="B1504" s="738" t="n">
        <v>43278.84305555555</v>
      </c>
      <c r="C1504" s="739" t="n">
        <v>43278.85694444444</v>
      </c>
      <c r="D1504" s="740" t="inlineStr">
        <is>
          <t>PEPPERSTONE DEMO</t>
        </is>
      </c>
      <c r="E1504" s="740" t="inlineStr">
        <is>
          <t>GBPAUD</t>
        </is>
      </c>
      <c r="F1504" s="740" t="inlineStr">
        <is>
          <t>SELL</t>
        </is>
      </c>
      <c r="G1504" s="775" t="n">
        <v>0.02</v>
      </c>
      <c r="H1504" s="742" t="n">
        <v>1.7895</v>
      </c>
      <c r="I1504" s="742" t="n">
        <v>1.7888</v>
      </c>
      <c r="J1504" s="743" t="n"/>
      <c r="K1504" s="744" t="n"/>
      <c r="L1504" s="785" t="n"/>
      <c r="M1504" s="754" t="n"/>
      <c r="N1504" s="796" t="n"/>
      <c r="O1504" s="767" t="n">
        <v>0.76</v>
      </c>
      <c r="P1504" s="747" t="n">
        <v>0.004409887431820819</v>
      </c>
      <c r="Q1504" s="748" t="n"/>
      <c r="R1504" s="769" t="n">
        <v>173.1</v>
      </c>
      <c r="S1504" s="740" t="inlineStr">
        <is>
          <t>20M 0S</t>
        </is>
      </c>
      <c r="T1504" s="750" t="n"/>
      <c r="U1504" s="751" t="n"/>
      <c r="V1504" s="752" t="n"/>
      <c r="W1504" s="753" t="n"/>
      <c r="X1504" s="754" t="n"/>
      <c r="Y1504" s="750" t="n"/>
      <c r="Z1504" s="751" t="n"/>
      <c r="AA1504" s="752" t="n"/>
      <c r="AB1504" s="753" t="n"/>
      <c r="AC1504" s="754" t="n"/>
      <c r="AD1504" s="740" t="inlineStr">
        <is>
          <t>No</t>
        </is>
      </c>
      <c r="AE1504" s="755" t="n"/>
      <c r="AF1504" s="755" t="n"/>
      <c r="AG1504" s="755" t="n"/>
      <c r="AH1504" s="755" t="n"/>
      <c r="AI1504" s="755" t="n"/>
      <c r="AJ1504" s="755" t="n"/>
      <c r="AK1504" s="755" t="n"/>
      <c r="AL1504" s="755" t="n"/>
      <c r="AM1504" s="755" t="n"/>
      <c r="AN1504" s="755" t="n"/>
      <c r="AO1504" s="755" t="n"/>
      <c r="AP1504" s="740" t="inlineStr">
        <is>
          <t>Pullback</t>
        </is>
      </c>
      <c r="AQ1504" s="755" t="n"/>
      <c r="AR1504" s="740" t="inlineStr">
        <is>
          <t>No</t>
        </is>
      </c>
      <c r="AS1504" s="755" t="n"/>
      <c r="AT1504" s="755" t="n"/>
      <c r="AU1504" s="755" t="n"/>
      <c r="AV1504" s="755" t="n"/>
      <c r="AW1504" s="740" t="inlineStr">
        <is>
          <t>trade</t>
        </is>
      </c>
      <c r="AX1504" s="756" t="inlineStr">
        <is>
          <t>sig:29d1f3557caf2706d7ea3cb4</t>
        </is>
      </c>
    </row>
    <row r="1505" ht="15" customHeight="1">
      <c r="A1505" s="716" t="inlineStr">
        <is>
          <t>F1089</t>
        </is>
      </c>
      <c r="B1505" s="717" t="n">
        <v>43278.81319444445</v>
      </c>
      <c r="C1505" s="718" t="n">
        <v>43278.81736111111</v>
      </c>
      <c r="D1505" s="719" t="inlineStr">
        <is>
          <t>PEPPERSTONE DEMO</t>
        </is>
      </c>
      <c r="E1505" s="719" t="inlineStr">
        <is>
          <t>GBPAUD</t>
        </is>
      </c>
      <c r="F1505" s="719" t="inlineStr">
        <is>
          <t>BUY</t>
        </is>
      </c>
      <c r="G1505" s="735" t="n">
        <v>0.02</v>
      </c>
      <c r="H1505" s="720" t="n">
        <v>1.7904</v>
      </c>
      <c r="I1505" s="720" t="n">
        <v>1.79001</v>
      </c>
      <c r="J1505" s="721" t="n">
        <v>1.7895</v>
      </c>
      <c r="K1505" s="760" t="n">
        <v>0.0005026809651473977</v>
      </c>
      <c r="L1505" s="789" t="n"/>
      <c r="M1505" s="732" t="n"/>
      <c r="N1505" s="788" t="n"/>
      <c r="O1505" s="762" t="n">
        <v>-1.11</v>
      </c>
      <c r="P1505" s="725" t="n">
        <v>-0.006399538771980398</v>
      </c>
      <c r="Q1505" s="726" t="n">
        <v>-0.4333333333332593</v>
      </c>
      <c r="R1505" s="764" t="n">
        <v>172.34</v>
      </c>
      <c r="S1505" s="719" t="inlineStr">
        <is>
          <t>6M 0S</t>
        </is>
      </c>
      <c r="T1505" s="728" t="n"/>
      <c r="U1505" s="729" t="n"/>
      <c r="V1505" s="730" t="n"/>
      <c r="W1505" s="731" t="n"/>
      <c r="X1505" s="732" t="n"/>
      <c r="Y1505" s="728" t="n"/>
      <c r="Z1505" s="729" t="n"/>
      <c r="AA1505" s="730" t="n"/>
      <c r="AB1505" s="731" t="n"/>
      <c r="AC1505" s="732" t="n"/>
      <c r="AD1505" s="719" t="inlineStr">
        <is>
          <t>No</t>
        </is>
      </c>
      <c r="AE1505" s="733" t="n"/>
      <c r="AF1505" s="733" t="n"/>
      <c r="AG1505" s="733" t="n"/>
      <c r="AH1505" s="733" t="n"/>
      <c r="AI1505" s="733" t="n"/>
      <c r="AJ1505" s="733" t="n"/>
      <c r="AK1505" s="733" t="n"/>
      <c r="AL1505" s="733" t="n"/>
      <c r="AM1505" s="733" t="n"/>
      <c r="AN1505" s="733" t="n"/>
      <c r="AO1505" s="733" t="n"/>
      <c r="AP1505" s="719" t="inlineStr">
        <is>
          <t>Pullback</t>
        </is>
      </c>
      <c r="AQ1505" s="733" t="n"/>
      <c r="AR1505" s="719" t="inlineStr">
        <is>
          <t>No</t>
        </is>
      </c>
      <c r="AS1505" s="733" t="n"/>
      <c r="AT1505" s="733" t="n"/>
      <c r="AU1505" s="733" t="n"/>
      <c r="AV1505" s="733" t="n"/>
      <c r="AW1505" s="719" t="inlineStr">
        <is>
          <t>trade</t>
        </is>
      </c>
      <c r="AX1505" s="734" t="inlineStr">
        <is>
          <t>sig:6a07aa40d4b313d46a1dce2b</t>
        </is>
      </c>
    </row>
    <row r="1506" ht="15" customHeight="1">
      <c r="A1506" s="716" t="inlineStr">
        <is>
          <t>F1088</t>
        </is>
      </c>
      <c r="B1506" s="717" t="n">
        <v>43278.77362268518</v>
      </c>
      <c r="C1506" s="718" t="n">
        <v>43278.77418981482</v>
      </c>
      <c r="D1506" s="719" t="inlineStr">
        <is>
          <t>PEPPERSTONE DEMO</t>
        </is>
      </c>
      <c r="E1506" s="719" t="inlineStr">
        <is>
          <t>GBPAUD</t>
        </is>
      </c>
      <c r="F1506" s="719" t="inlineStr">
        <is>
          <t>SELL</t>
        </is>
      </c>
      <c r="G1506" s="735" t="n">
        <v>0.02</v>
      </c>
      <c r="H1506" s="720" t="n">
        <v>1.79</v>
      </c>
      <c r="I1506" s="720" t="n">
        <v>1.79096</v>
      </c>
      <c r="J1506" s="721" t="n">
        <v>1.7909</v>
      </c>
      <c r="K1506" s="760" t="n">
        <v>0.0005027932960893301</v>
      </c>
      <c r="L1506" s="721" t="n"/>
      <c r="M1506" s="722" t="n"/>
      <c r="N1506" s="788" t="n"/>
      <c r="O1506" s="762" t="n">
        <v>-1.8</v>
      </c>
      <c r="P1506" s="725" t="n">
        <v>-0.01027104136947219</v>
      </c>
      <c r="Q1506" s="726" t="n">
        <v>-1.066666666666864</v>
      </c>
      <c r="R1506" s="764" t="n">
        <v>173.45</v>
      </c>
      <c r="S1506" s="719" t="inlineStr">
        <is>
          <t>49S</t>
        </is>
      </c>
      <c r="T1506" s="728" t="n"/>
      <c r="U1506" s="729" t="n"/>
      <c r="V1506" s="730" t="n"/>
      <c r="W1506" s="731" t="n"/>
      <c r="X1506" s="732" t="n"/>
      <c r="Y1506" s="728" t="n"/>
      <c r="Z1506" s="729" t="n"/>
      <c r="AA1506" s="730" t="n"/>
      <c r="AB1506" s="731" t="n"/>
      <c r="AC1506" s="732" t="n"/>
      <c r="AD1506" s="719" t="inlineStr">
        <is>
          <t>No</t>
        </is>
      </c>
      <c r="AE1506" s="733" t="n"/>
      <c r="AF1506" s="733" t="n"/>
      <c r="AG1506" s="733" t="n"/>
      <c r="AH1506" s="733" t="n"/>
      <c r="AI1506" s="733" t="n"/>
      <c r="AJ1506" s="733" t="n"/>
      <c r="AK1506" s="733" t="n"/>
      <c r="AL1506" s="733" t="n"/>
      <c r="AM1506" s="733" t="n"/>
      <c r="AN1506" s="733" t="n"/>
      <c r="AO1506" s="733" t="n"/>
      <c r="AP1506" s="719" t="inlineStr">
        <is>
          <t>Pullback</t>
        </is>
      </c>
      <c r="AQ1506" s="733" t="n"/>
      <c r="AR1506" s="719" t="inlineStr">
        <is>
          <t>No</t>
        </is>
      </c>
      <c r="AS1506" s="733" t="n"/>
      <c r="AT1506" s="733" t="n"/>
      <c r="AU1506" s="733" t="n"/>
      <c r="AV1506" s="733" t="n"/>
      <c r="AW1506" s="719" t="inlineStr">
        <is>
          <t>trade</t>
        </is>
      </c>
      <c r="AX1506" s="734" t="inlineStr">
        <is>
          <t>sig:be3d997d290c3d59302f52ed</t>
        </is>
      </c>
    </row>
    <row r="1507" ht="15" customHeight="1">
      <c r="A1507" s="737" t="inlineStr">
        <is>
          <t>F1087</t>
        </is>
      </c>
      <c r="B1507" s="738" t="n">
        <v>43278.45833333334</v>
      </c>
      <c r="C1507" s="739" t="n">
        <v>43278.47083333333</v>
      </c>
      <c r="D1507" s="740" t="inlineStr">
        <is>
          <t>PEPPERSTONE DEMO</t>
        </is>
      </c>
      <c r="E1507" s="740" t="inlineStr">
        <is>
          <t>AUDNZD</t>
        </is>
      </c>
      <c r="F1507" s="740" t="inlineStr">
        <is>
          <t>BUY</t>
        </is>
      </c>
      <c r="G1507" s="775" t="n">
        <v>0.01</v>
      </c>
      <c r="H1507" s="742" t="n">
        <v>1.0799</v>
      </c>
      <c r="I1507" s="742" t="n">
        <v>1.08139</v>
      </c>
      <c r="J1507" s="743" t="n"/>
      <c r="K1507" s="744" t="n"/>
      <c r="L1507" s="785" t="n"/>
      <c r="M1507" s="754" t="n"/>
      <c r="N1507" s="796" t="n"/>
      <c r="O1507" s="767" t="n">
        <v>1.38</v>
      </c>
      <c r="P1507" s="747" t="n">
        <v>0.007936964398688675</v>
      </c>
      <c r="Q1507" s="748" t="n"/>
      <c r="R1507" s="769" t="n">
        <v>175.25</v>
      </c>
      <c r="S1507" s="740" t="inlineStr">
        <is>
          <t>18M 0S</t>
        </is>
      </c>
      <c r="T1507" s="750" t="n"/>
      <c r="U1507" s="751" t="n"/>
      <c r="V1507" s="752" t="n"/>
      <c r="W1507" s="753" t="n"/>
      <c r="X1507" s="754" t="n"/>
      <c r="Y1507" s="750" t="n"/>
      <c r="Z1507" s="751" t="n"/>
      <c r="AA1507" s="752" t="n"/>
      <c r="AB1507" s="753" t="n"/>
      <c r="AC1507" s="754" t="n"/>
      <c r="AD1507" s="740" t="inlineStr">
        <is>
          <t>No</t>
        </is>
      </c>
      <c r="AE1507" s="755" t="n"/>
      <c r="AF1507" s="755" t="n"/>
      <c r="AG1507" s="755" t="n"/>
      <c r="AH1507" s="755" t="n"/>
      <c r="AI1507" s="755" t="n"/>
      <c r="AJ1507" s="755" t="n"/>
      <c r="AK1507" s="755" t="n"/>
      <c r="AL1507" s="755" t="n"/>
      <c r="AM1507" s="755" t="n"/>
      <c r="AN1507" s="755" t="n"/>
      <c r="AO1507" s="755" t="n"/>
      <c r="AP1507" s="740" t="inlineStr">
        <is>
          <t>Pullback</t>
        </is>
      </c>
      <c r="AQ1507" s="755" t="n"/>
      <c r="AR1507" s="740" t="inlineStr">
        <is>
          <t>No</t>
        </is>
      </c>
      <c r="AS1507" s="755" t="n"/>
      <c r="AT1507" s="755" t="n"/>
      <c r="AU1507" s="755" t="n"/>
      <c r="AV1507" s="755" t="n"/>
      <c r="AW1507" s="740" t="inlineStr">
        <is>
          <t>trade</t>
        </is>
      </c>
      <c r="AX1507" s="756" t="inlineStr">
        <is>
          <t>sig:9c4ee99ac62fa5641a01197e</t>
        </is>
      </c>
    </row>
    <row r="1508" ht="15" customHeight="1">
      <c r="A1508" s="716" t="inlineStr">
        <is>
          <t>F1086</t>
        </is>
      </c>
      <c r="B1508" s="717" t="n">
        <v>43277.91944444444</v>
      </c>
      <c r="C1508" s="718" t="n">
        <v>43277.97013888889</v>
      </c>
      <c r="D1508" s="719" t="inlineStr">
        <is>
          <t>PEPPERSTONE DEMO</t>
        </is>
      </c>
      <c r="E1508" s="719" t="inlineStr">
        <is>
          <t>GBPAUD</t>
        </is>
      </c>
      <c r="F1508" s="719" t="inlineStr">
        <is>
          <t>SELL</t>
        </is>
      </c>
      <c r="G1508" s="735" t="n">
        <v>0.01</v>
      </c>
      <c r="H1508" s="720" t="n">
        <v>1.7901</v>
      </c>
      <c r="I1508" s="720" t="n">
        <v>1.79155</v>
      </c>
      <c r="J1508" s="721" t="n">
        <v>1.7916</v>
      </c>
      <c r="K1508" s="760" t="n">
        <v>0.0008379420144126344</v>
      </c>
      <c r="L1508" s="789" t="n"/>
      <c r="M1508" s="732" t="n"/>
      <c r="N1508" s="788" t="n"/>
      <c r="O1508" s="762" t="n">
        <v>-1.42</v>
      </c>
      <c r="P1508" s="725" t="n">
        <v>-0.008100861429630898</v>
      </c>
      <c r="Q1508" s="726" t="n">
        <v>-0.9666666666665976</v>
      </c>
      <c r="R1508" s="764" t="n">
        <v>173.87</v>
      </c>
      <c r="S1508" s="719" t="inlineStr">
        <is>
          <t>1H 13M 0S</t>
        </is>
      </c>
      <c r="T1508" s="728" t="n"/>
      <c r="U1508" s="729" t="n"/>
      <c r="V1508" s="730" t="n"/>
      <c r="W1508" s="731" t="n"/>
      <c r="X1508" s="732" t="n"/>
      <c r="Y1508" s="728" t="n"/>
      <c r="Z1508" s="729" t="n"/>
      <c r="AA1508" s="730" t="n"/>
      <c r="AB1508" s="731" t="n"/>
      <c r="AC1508" s="732" t="n"/>
      <c r="AD1508" s="719" t="inlineStr">
        <is>
          <t>No</t>
        </is>
      </c>
      <c r="AE1508" s="733" t="n"/>
      <c r="AF1508" s="733" t="n"/>
      <c r="AG1508" s="733" t="n"/>
      <c r="AH1508" s="733" t="n"/>
      <c r="AI1508" s="733" t="n"/>
      <c r="AJ1508" s="733" t="n"/>
      <c r="AK1508" s="733" t="n"/>
      <c r="AL1508" s="733" t="n"/>
      <c r="AM1508" s="733" t="n"/>
      <c r="AN1508" s="733" t="n"/>
      <c r="AO1508" s="733" t="n"/>
      <c r="AP1508" s="719" t="inlineStr">
        <is>
          <t>Pullback</t>
        </is>
      </c>
      <c r="AQ1508" s="733" t="n"/>
      <c r="AR1508" s="719" t="inlineStr">
        <is>
          <t>No</t>
        </is>
      </c>
      <c r="AS1508" s="733" t="n"/>
      <c r="AT1508" s="733" t="n"/>
      <c r="AU1508" s="733" t="n"/>
      <c r="AV1508" s="733" t="n"/>
      <c r="AW1508" s="719" t="inlineStr">
        <is>
          <t>trade</t>
        </is>
      </c>
      <c r="AX1508" s="734" t="inlineStr">
        <is>
          <t>sig:703cce0c5b12616d35bdc0b4</t>
        </is>
      </c>
    </row>
    <row r="1509" ht="15" customHeight="1">
      <c r="A1509" s="716" t="inlineStr">
        <is>
          <t>F58</t>
        </is>
      </c>
      <c r="B1509" s="717" t="n">
        <v>43276.87361111111</v>
      </c>
      <c r="C1509" s="718" t="n">
        <v>43276.94791666666</v>
      </c>
      <c r="D1509" s="719" t="inlineStr">
        <is>
          <t>PEPPERSTONE DEMO</t>
        </is>
      </c>
      <c r="E1509" s="719" t="inlineStr">
        <is>
          <t>AUDCAD</t>
        </is>
      </c>
      <c r="F1509" s="719" t="inlineStr">
        <is>
          <t>BUY</t>
        </is>
      </c>
      <c r="G1509" s="735" t="n">
        <v>0.01</v>
      </c>
      <c r="H1509" s="720" t="n">
        <v>0.9879</v>
      </c>
      <c r="I1509" s="720" t="n">
        <v>0.98613</v>
      </c>
      <c r="J1509" s="721" t="n">
        <v>0.986</v>
      </c>
      <c r="K1509" s="722" t="n">
        <v>0.001923271586192948</v>
      </c>
      <c r="L1509" s="721" t="n">
        <v>0.9907</v>
      </c>
      <c r="M1509" s="722" t="n">
        <v>0.002834294969126455</v>
      </c>
      <c r="N1509" s="788" t="n"/>
      <c r="O1509" s="762" t="n">
        <v>-1.85</v>
      </c>
      <c r="P1509" s="725" t="n">
        <v>-0.01044371683414249</v>
      </c>
      <c r="Q1509" s="726" t="n">
        <v>-0.9315789473684407</v>
      </c>
      <c r="R1509" s="764" t="n">
        <v>175.29</v>
      </c>
      <c r="S1509" s="719" t="inlineStr">
        <is>
          <t>1H 47M 0S</t>
        </is>
      </c>
      <c r="T1509" s="728" t="n"/>
      <c r="U1509" s="729" t="n"/>
      <c r="V1509" s="730" t="n"/>
      <c r="W1509" s="731" t="n"/>
      <c r="X1509" s="732" t="n"/>
      <c r="Y1509" s="728" t="n"/>
      <c r="Z1509" s="729" t="n"/>
      <c r="AA1509" s="730" t="n"/>
      <c r="AB1509" s="731" t="n"/>
      <c r="AC1509" s="732" t="n"/>
      <c r="AD1509" s="719" t="inlineStr">
        <is>
          <t>No</t>
        </is>
      </c>
      <c r="AE1509" s="733" t="n"/>
      <c r="AF1509" s="733" t="n"/>
      <c r="AG1509" s="733" t="n"/>
      <c r="AH1509" s="733" t="n"/>
      <c r="AI1509" s="719" t="inlineStr">
        <is>
          <t>Market</t>
        </is>
      </c>
      <c r="AJ1509" s="733" t="n"/>
      <c r="AK1509" s="733" t="n"/>
      <c r="AL1509" s="733" t="n"/>
      <c r="AM1509" s="733" t="n"/>
      <c r="AN1509" s="733" t="n"/>
      <c r="AO1509" s="733" t="n"/>
      <c r="AP1509" s="719" t="inlineStr">
        <is>
          <t>Pullback</t>
        </is>
      </c>
      <c r="AQ1509" s="719" t="inlineStr">
        <is>
          <t>1H</t>
        </is>
      </c>
      <c r="AR1509" s="719" t="inlineStr">
        <is>
          <t>No</t>
        </is>
      </c>
      <c r="AS1509" s="733" t="n"/>
      <c r="AT1509" s="733" t="n"/>
      <c r="AU1509" s="733" t="n"/>
      <c r="AV1509" s="733" t="n"/>
      <c r="AW1509" s="719" t="inlineStr">
        <is>
          <t>trade</t>
        </is>
      </c>
      <c r="AX1509" s="734" t="inlineStr">
        <is>
          <t>sig:0668e3c1ed85394a3b216120</t>
        </is>
      </c>
    </row>
    <row r="1510" ht="15" customHeight="1">
      <c r="A1510" s="716" t="inlineStr">
        <is>
          <t>F1085</t>
        </is>
      </c>
      <c r="B1510" s="717" t="n">
        <v>43273.96065972222</v>
      </c>
      <c r="C1510" s="718" t="n">
        <v>43273.96094907408</v>
      </c>
      <c r="D1510" s="719" t="inlineStr">
        <is>
          <t>PEPPERSTONE DEMO</t>
        </is>
      </c>
      <c r="E1510" s="719" t="inlineStr">
        <is>
          <t>AUDCAD</t>
        </is>
      </c>
      <c r="F1510" s="719" t="inlineStr">
        <is>
          <t>SELL</t>
        </is>
      </c>
      <c r="G1510" s="735" t="n">
        <v>0.01</v>
      </c>
      <c r="H1510" s="720" t="n">
        <v>0.9905</v>
      </c>
      <c r="I1510" s="720" t="n">
        <v>0.99069</v>
      </c>
      <c r="J1510" s="721" t="n"/>
      <c r="K1510" s="722" t="n"/>
      <c r="L1510" s="721" t="n"/>
      <c r="M1510" s="722" t="n"/>
      <c r="N1510" s="788" t="n"/>
      <c r="O1510" s="762" t="n">
        <v>-0.16</v>
      </c>
      <c r="P1510" s="763" t="n">
        <v>-0.0009024252679075015</v>
      </c>
      <c r="Q1510" s="726" t="n"/>
      <c r="R1510" s="764" t="n">
        <v>177.14</v>
      </c>
      <c r="S1510" s="719" t="inlineStr">
        <is>
          <t>25S</t>
        </is>
      </c>
      <c r="T1510" s="728" t="n"/>
      <c r="U1510" s="729" t="n"/>
      <c r="V1510" s="730" t="n"/>
      <c r="W1510" s="731" t="n"/>
      <c r="X1510" s="732" t="n"/>
      <c r="Y1510" s="728" t="n"/>
      <c r="Z1510" s="729" t="n"/>
      <c r="AA1510" s="730" t="n"/>
      <c r="AB1510" s="731" t="n"/>
      <c r="AC1510" s="732" t="n"/>
      <c r="AD1510" s="719" t="inlineStr">
        <is>
          <t>No</t>
        </is>
      </c>
      <c r="AE1510" s="733" t="n"/>
      <c r="AF1510" s="733" t="n"/>
      <c r="AG1510" s="733" t="n"/>
      <c r="AH1510" s="733" t="n"/>
      <c r="AI1510" s="733" t="n"/>
      <c r="AJ1510" s="733" t="n"/>
      <c r="AK1510" s="733" t="n"/>
      <c r="AL1510" s="733" t="n"/>
      <c r="AM1510" s="733" t="n"/>
      <c r="AN1510" s="733" t="n"/>
      <c r="AO1510" s="733" t="n"/>
      <c r="AP1510" s="719" t="inlineStr">
        <is>
          <t>Pullback</t>
        </is>
      </c>
      <c r="AQ1510" s="733" t="n"/>
      <c r="AR1510" s="719" t="inlineStr">
        <is>
          <t>No</t>
        </is>
      </c>
      <c r="AS1510" s="733" t="n"/>
      <c r="AT1510" s="733" t="n"/>
      <c r="AU1510" s="733" t="n"/>
      <c r="AV1510" s="733" t="n"/>
      <c r="AW1510" s="719" t="inlineStr">
        <is>
          <t>trade</t>
        </is>
      </c>
      <c r="AX1510" s="734" t="inlineStr">
        <is>
          <t>sig:754c589a4cb632a86b6c29fe</t>
        </is>
      </c>
    </row>
    <row r="1511" ht="15" customHeight="1">
      <c r="A1511" s="737" t="inlineStr">
        <is>
          <t>F55</t>
        </is>
      </c>
      <c r="B1511" s="738" t="n">
        <v>43273.93680555555</v>
      </c>
      <c r="C1511" s="739" t="n">
        <v>43273.9375</v>
      </c>
      <c r="D1511" s="740" t="inlineStr">
        <is>
          <t>PEPPERSTONE DEMO</t>
        </is>
      </c>
      <c r="E1511" s="740" t="inlineStr">
        <is>
          <t>AUDCAD</t>
        </is>
      </c>
      <c r="F1511" s="740" t="inlineStr">
        <is>
          <t>BUY</t>
        </is>
      </c>
      <c r="G1511" s="775" t="n">
        <v>0.02</v>
      </c>
      <c r="H1511" s="742" t="n">
        <v>0.9865</v>
      </c>
      <c r="I1511" s="742" t="n">
        <v>0.99172</v>
      </c>
      <c r="J1511" s="743" t="n">
        <v>0.9856</v>
      </c>
      <c r="K1511" s="765" t="n">
        <v>0.000912316269640154</v>
      </c>
      <c r="L1511" s="785" t="n"/>
      <c r="M1511" s="754" t="n"/>
      <c r="N1511" s="796" t="n"/>
      <c r="O1511" s="767" t="n">
        <v>5.21</v>
      </c>
      <c r="P1511" s="747" t="n">
        <v>0.03027485617990586</v>
      </c>
      <c r="Q1511" s="748" t="n">
        <v>5.799999999999926</v>
      </c>
      <c r="R1511" s="769" t="n">
        <v>177.3</v>
      </c>
      <c r="S1511" s="740" t="inlineStr">
        <is>
          <t>1M 0S</t>
        </is>
      </c>
      <c r="T1511" s="750" t="n"/>
      <c r="U1511" s="751" t="n"/>
      <c r="V1511" s="752" t="n"/>
      <c r="W1511" s="753" t="n"/>
      <c r="X1511" s="754" t="n"/>
      <c r="Y1511" s="750" t="n"/>
      <c r="Z1511" s="751" t="n"/>
      <c r="AA1511" s="752" t="n"/>
      <c r="AB1511" s="753" t="n"/>
      <c r="AC1511" s="754" t="n"/>
      <c r="AD1511" s="740" t="inlineStr">
        <is>
          <t>No</t>
        </is>
      </c>
      <c r="AE1511" s="755" t="n"/>
      <c r="AF1511" s="755" t="n"/>
      <c r="AG1511" s="755" t="n"/>
      <c r="AH1511" s="755" t="n"/>
      <c r="AI1511" s="740" t="inlineStr">
        <is>
          <t>Limit</t>
        </is>
      </c>
      <c r="AJ1511" s="755" t="n"/>
      <c r="AK1511" s="755" t="n"/>
      <c r="AL1511" s="755" t="n"/>
      <c r="AM1511" s="755" t="n"/>
      <c r="AN1511" s="755" t="n"/>
      <c r="AO1511" s="755" t="n"/>
      <c r="AP1511" s="740" t="inlineStr">
        <is>
          <t>News Scalp</t>
        </is>
      </c>
      <c r="AQ1511" s="740" t="inlineStr">
        <is>
          <t>1H</t>
        </is>
      </c>
      <c r="AR1511" s="740" t="inlineStr">
        <is>
          <t>No</t>
        </is>
      </c>
      <c r="AS1511" s="755" t="n"/>
      <c r="AT1511" s="755" t="n"/>
      <c r="AU1511" s="755" t="n"/>
      <c r="AV1511" s="755" t="n"/>
      <c r="AW1511" s="740" t="inlineStr">
        <is>
          <t>trade</t>
        </is>
      </c>
      <c r="AX1511" s="756" t="inlineStr">
        <is>
          <t>sig:61bd76c332076e575d66f469</t>
        </is>
      </c>
    </row>
    <row r="1512" ht="15" customHeight="1">
      <c r="A1512" s="737" t="inlineStr">
        <is>
          <t>F1084</t>
        </is>
      </c>
      <c r="B1512" s="738" t="n">
        <v>43273.01597222222</v>
      </c>
      <c r="C1512" s="739" t="n">
        <v>43273.03888888889</v>
      </c>
      <c r="D1512" s="740" t="inlineStr">
        <is>
          <t>PEPPERSTONE DEMO</t>
        </is>
      </c>
      <c r="E1512" s="740" t="inlineStr">
        <is>
          <t>AUDUSD</t>
        </is>
      </c>
      <c r="F1512" s="740" t="inlineStr">
        <is>
          <t>BUY</t>
        </is>
      </c>
      <c r="G1512" s="775" t="n">
        <v>0.02</v>
      </c>
      <c r="H1512" s="742" t="n">
        <v>0.7379</v>
      </c>
      <c r="I1512" s="742" t="n">
        <v>0.7391</v>
      </c>
      <c r="J1512" s="743" t="n">
        <v>0.7372</v>
      </c>
      <c r="K1512" s="765" t="n">
        <v>0.0009486380268329502</v>
      </c>
      <c r="L1512" s="785" t="n"/>
      <c r="M1512" s="754" t="n"/>
      <c r="N1512" s="796" t="n"/>
      <c r="O1512" s="767" t="n">
        <v>1.6</v>
      </c>
      <c r="P1512" s="747" t="n">
        <v>0.009384714646020295</v>
      </c>
      <c r="Q1512" s="748" t="n">
        <v>1.714285714285601</v>
      </c>
      <c r="R1512" s="769" t="n">
        <v>172.09</v>
      </c>
      <c r="S1512" s="740" t="inlineStr">
        <is>
          <t>33M 0S</t>
        </is>
      </c>
      <c r="T1512" s="750" t="n"/>
      <c r="U1512" s="751" t="n"/>
      <c r="V1512" s="752" t="n"/>
      <c r="W1512" s="753" t="n"/>
      <c r="X1512" s="754" t="n"/>
      <c r="Y1512" s="750" t="n"/>
      <c r="Z1512" s="751" t="n"/>
      <c r="AA1512" s="752" t="n"/>
      <c r="AB1512" s="753" t="n"/>
      <c r="AC1512" s="754" t="n"/>
      <c r="AD1512" s="740" t="inlineStr">
        <is>
          <t>No</t>
        </is>
      </c>
      <c r="AE1512" s="755" t="n"/>
      <c r="AF1512" s="755" t="n"/>
      <c r="AG1512" s="755" t="n"/>
      <c r="AH1512" s="755" t="n"/>
      <c r="AI1512" s="755" t="n"/>
      <c r="AJ1512" s="755" t="n"/>
      <c r="AK1512" s="755" t="n"/>
      <c r="AL1512" s="755" t="n"/>
      <c r="AM1512" s="755" t="n"/>
      <c r="AN1512" s="755" t="n"/>
      <c r="AO1512" s="755" t="n"/>
      <c r="AP1512" s="740" t="inlineStr">
        <is>
          <t>Pullback</t>
        </is>
      </c>
      <c r="AQ1512" s="755" t="n"/>
      <c r="AR1512" s="740" t="inlineStr">
        <is>
          <t>No</t>
        </is>
      </c>
      <c r="AS1512" s="755" t="n"/>
      <c r="AT1512" s="755" t="n"/>
      <c r="AU1512" s="755" t="n"/>
      <c r="AV1512" s="755" t="n"/>
      <c r="AW1512" s="740" t="inlineStr">
        <is>
          <t>trade</t>
        </is>
      </c>
      <c r="AX1512" s="756" t="inlineStr">
        <is>
          <t>sig:7e409e1c9098a97baa04e575</t>
        </is>
      </c>
    </row>
    <row r="1513" ht="15" customHeight="1">
      <c r="A1513" s="716" t="inlineStr">
        <is>
          <t>F1083</t>
        </is>
      </c>
      <c r="B1513" s="717" t="n">
        <v>43267.09444444445</v>
      </c>
      <c r="C1513" s="718" t="n">
        <v>43267.29236111111</v>
      </c>
      <c r="D1513" s="719" t="inlineStr">
        <is>
          <t>PEPPERSTONE DEMO</t>
        </is>
      </c>
      <c r="E1513" s="719" t="inlineStr">
        <is>
          <t>AUDCAD</t>
        </is>
      </c>
      <c r="F1513" s="719" t="inlineStr">
        <is>
          <t>BUY</t>
        </is>
      </c>
      <c r="G1513" s="735" t="n">
        <v>0.02</v>
      </c>
      <c r="H1513" s="720" t="n">
        <v>0.982</v>
      </c>
      <c r="I1513" s="720" t="n">
        <v>0.98117</v>
      </c>
      <c r="J1513" s="721" t="n">
        <v>0.9811</v>
      </c>
      <c r="K1513" s="760" t="n">
        <v>0.0009164969450101955</v>
      </c>
      <c r="L1513" s="789" t="n"/>
      <c r="M1513" s="732" t="n"/>
      <c r="N1513" s="788" t="n"/>
      <c r="O1513" s="762" t="n">
        <v>-1.73</v>
      </c>
      <c r="P1513" s="725" t="n">
        <v>-0.01004529090697944</v>
      </c>
      <c r="Q1513" s="726" t="n">
        <v>-0.9222222222222072</v>
      </c>
      <c r="R1513" s="764" t="n">
        <v>170.49</v>
      </c>
      <c r="S1513" s="719" t="inlineStr">
        <is>
          <t>4H 45M 0S</t>
        </is>
      </c>
      <c r="T1513" s="728" t="n"/>
      <c r="U1513" s="729" t="n"/>
      <c r="V1513" s="730" t="n"/>
      <c r="W1513" s="731" t="n"/>
      <c r="X1513" s="732" t="n"/>
      <c r="Y1513" s="728" t="n"/>
      <c r="Z1513" s="729" t="n"/>
      <c r="AA1513" s="730" t="n"/>
      <c r="AB1513" s="731" t="n"/>
      <c r="AC1513" s="732" t="n"/>
      <c r="AD1513" s="719" t="inlineStr">
        <is>
          <t>No</t>
        </is>
      </c>
      <c r="AE1513" s="733" t="n"/>
      <c r="AF1513" s="733" t="n"/>
      <c r="AG1513" s="733" t="n"/>
      <c r="AH1513" s="733" t="n"/>
      <c r="AI1513" s="733" t="n"/>
      <c r="AJ1513" s="733" t="n"/>
      <c r="AK1513" s="733" t="n"/>
      <c r="AL1513" s="733" t="n"/>
      <c r="AM1513" s="733" t="n"/>
      <c r="AN1513" s="733" t="n"/>
      <c r="AO1513" s="733" t="n"/>
      <c r="AP1513" s="719" t="inlineStr">
        <is>
          <t>Pullback</t>
        </is>
      </c>
      <c r="AQ1513" s="733" t="n"/>
      <c r="AR1513" s="719" t="inlineStr">
        <is>
          <t>No</t>
        </is>
      </c>
      <c r="AS1513" s="733" t="n"/>
      <c r="AT1513" s="733" t="n"/>
      <c r="AU1513" s="733" t="n"/>
      <c r="AV1513" s="733" t="n"/>
      <c r="AW1513" s="719" t="inlineStr">
        <is>
          <t>trade</t>
        </is>
      </c>
      <c r="AX1513" s="734" t="inlineStr">
        <is>
          <t>sig:96f0c0b48c8d637e0222fb63</t>
        </is>
      </c>
    </row>
    <row r="1514" ht="15" customHeight="1">
      <c r="A1514" s="737" t="inlineStr">
        <is>
          <t>F1082</t>
        </is>
      </c>
      <c r="B1514" s="738" t="n">
        <v>43267.00972222222</v>
      </c>
      <c r="C1514" s="739" t="n">
        <v>43267.04652777778</v>
      </c>
      <c r="D1514" s="740" t="inlineStr">
        <is>
          <t>PEPPERSTONE DEMO</t>
        </is>
      </c>
      <c r="E1514" s="740" t="inlineStr">
        <is>
          <t>AUDCAD</t>
        </is>
      </c>
      <c r="F1514" s="740" t="inlineStr">
        <is>
          <t>BUY</t>
        </is>
      </c>
      <c r="G1514" s="775" t="n">
        <v>0.04</v>
      </c>
      <c r="H1514" s="742" t="n">
        <v>0.9822</v>
      </c>
      <c r="I1514" s="742" t="n">
        <v>0.98398</v>
      </c>
      <c r="J1514" s="743" t="n">
        <v>0.9818</v>
      </c>
      <c r="K1514" s="765" t="n">
        <v>0.0004072490327835023</v>
      </c>
      <c r="L1514" s="743" t="n">
        <v>0.9839</v>
      </c>
      <c r="M1514" s="744" t="n">
        <v>0.001730808389330111</v>
      </c>
      <c r="N1514" s="796" t="n"/>
      <c r="O1514" s="767" t="n">
        <v>4.92</v>
      </c>
      <c r="P1514" s="747" t="n">
        <v>0.02940824865511058</v>
      </c>
      <c r="Q1514" s="748" t="n">
        <v>4.450000000000499</v>
      </c>
      <c r="R1514" s="769" t="n">
        <v>172.22</v>
      </c>
      <c r="S1514" s="740" t="inlineStr">
        <is>
          <t>53M 0S</t>
        </is>
      </c>
      <c r="T1514" s="750" t="n"/>
      <c r="U1514" s="751" t="n"/>
      <c r="V1514" s="752" t="n"/>
      <c r="W1514" s="753" t="n"/>
      <c r="X1514" s="754" t="n"/>
      <c r="Y1514" s="750" t="n"/>
      <c r="Z1514" s="751" t="n"/>
      <c r="AA1514" s="752" t="n"/>
      <c r="AB1514" s="753" t="n"/>
      <c r="AC1514" s="754" t="n"/>
      <c r="AD1514" s="740" t="inlineStr">
        <is>
          <t>No</t>
        </is>
      </c>
      <c r="AE1514" s="755" t="n"/>
      <c r="AF1514" s="755" t="n"/>
      <c r="AG1514" s="755" t="n"/>
      <c r="AH1514" s="755" t="n"/>
      <c r="AI1514" s="755" t="n"/>
      <c r="AJ1514" s="755" t="n"/>
      <c r="AK1514" s="755" t="n"/>
      <c r="AL1514" s="755" t="n"/>
      <c r="AM1514" s="755" t="n"/>
      <c r="AN1514" s="755" t="n"/>
      <c r="AO1514" s="755" t="n"/>
      <c r="AP1514" s="740" t="inlineStr">
        <is>
          <t>Pullback</t>
        </is>
      </c>
      <c r="AQ1514" s="755" t="n"/>
      <c r="AR1514" s="740" t="inlineStr">
        <is>
          <t>No</t>
        </is>
      </c>
      <c r="AS1514" s="755" t="n"/>
      <c r="AT1514" s="755" t="n"/>
      <c r="AU1514" s="755" t="n"/>
      <c r="AV1514" s="755" t="n"/>
      <c r="AW1514" s="740" t="inlineStr">
        <is>
          <t>trade</t>
        </is>
      </c>
      <c r="AX1514" s="756" t="inlineStr">
        <is>
          <t>sig:b0ec911bde42752996d2c0e9</t>
        </is>
      </c>
    </row>
    <row r="1515" ht="15" customHeight="1">
      <c r="A1515" s="716" t="inlineStr">
        <is>
          <t>F1081</t>
        </is>
      </c>
      <c r="B1515" s="717" t="n">
        <v>43266.975</v>
      </c>
      <c r="C1515" s="718" t="n">
        <v>43266.98055555556</v>
      </c>
      <c r="D1515" s="719" t="inlineStr">
        <is>
          <t>PEPPERSTONE DEMO</t>
        </is>
      </c>
      <c r="E1515" s="719" t="inlineStr">
        <is>
          <t>AUDCAD</t>
        </is>
      </c>
      <c r="F1515" s="719" t="inlineStr">
        <is>
          <t>BUY</t>
        </is>
      </c>
      <c r="G1515" s="735" t="n">
        <v>0.05</v>
      </c>
      <c r="H1515" s="720" t="n">
        <v>0.9824000000000001</v>
      </c>
      <c r="I1515" s="720" t="n">
        <v>0.98207</v>
      </c>
      <c r="J1515" s="721" t="n">
        <v>0.982</v>
      </c>
      <c r="K1515" s="760" t="n">
        <v>0.0004071661237785698</v>
      </c>
      <c r="L1515" s="789" t="n"/>
      <c r="M1515" s="732" t="n"/>
      <c r="N1515" s="788" t="n"/>
      <c r="O1515" s="762" t="n">
        <v>-1.73</v>
      </c>
      <c r="P1515" s="725" t="n">
        <v>-0.01023486954978406</v>
      </c>
      <c r="Q1515" s="726" t="n">
        <v>-0.8249999999999931</v>
      </c>
      <c r="R1515" s="764" t="n">
        <v>167.3</v>
      </c>
      <c r="S1515" s="719" t="inlineStr">
        <is>
          <t>8M 0S</t>
        </is>
      </c>
      <c r="T1515" s="728" t="n"/>
      <c r="U1515" s="729" t="n"/>
      <c r="V1515" s="730" t="n"/>
      <c r="W1515" s="731" t="n"/>
      <c r="X1515" s="732" t="n"/>
      <c r="Y1515" s="728" t="n"/>
      <c r="Z1515" s="729" t="n"/>
      <c r="AA1515" s="730" t="n"/>
      <c r="AB1515" s="731" t="n"/>
      <c r="AC1515" s="732" t="n"/>
      <c r="AD1515" s="719" t="inlineStr">
        <is>
          <t>No</t>
        </is>
      </c>
      <c r="AE1515" s="733" t="n"/>
      <c r="AF1515" s="733" t="n"/>
      <c r="AG1515" s="733" t="n"/>
      <c r="AH1515" s="733" t="n"/>
      <c r="AI1515" s="733" t="n"/>
      <c r="AJ1515" s="733" t="n"/>
      <c r="AK1515" s="733" t="n"/>
      <c r="AL1515" s="733" t="n"/>
      <c r="AM1515" s="733" t="n"/>
      <c r="AN1515" s="733" t="n"/>
      <c r="AO1515" s="733" t="n"/>
      <c r="AP1515" s="719" t="inlineStr">
        <is>
          <t>Pullback</t>
        </is>
      </c>
      <c r="AQ1515" s="733" t="n"/>
      <c r="AR1515" s="719" t="inlineStr">
        <is>
          <t>No</t>
        </is>
      </c>
      <c r="AS1515" s="733" t="n"/>
      <c r="AT1515" s="733" t="n"/>
      <c r="AU1515" s="733" t="n"/>
      <c r="AV1515" s="733" t="n"/>
      <c r="AW1515" s="719" t="inlineStr">
        <is>
          <t>trade</t>
        </is>
      </c>
      <c r="AX1515" s="734" t="inlineStr">
        <is>
          <t>sig:6441c22d984dcee81745ee44</t>
        </is>
      </c>
    </row>
    <row r="1516" ht="15" customHeight="1">
      <c r="A1516" s="737" t="inlineStr">
        <is>
          <t>F1080</t>
        </is>
      </c>
      <c r="B1516" s="738" t="n">
        <v>43266.93819444445</v>
      </c>
      <c r="C1516" s="739" t="n">
        <v>43266.95</v>
      </c>
      <c r="D1516" s="740" t="inlineStr">
        <is>
          <t>PEPPERSTONE DEMO</t>
        </is>
      </c>
      <c r="E1516" s="740" t="inlineStr">
        <is>
          <t>AUDCAD</t>
        </is>
      </c>
      <c r="F1516" s="740" t="inlineStr">
        <is>
          <t>BUY</t>
        </is>
      </c>
      <c r="G1516" s="775" t="n">
        <v>0.04</v>
      </c>
      <c r="H1516" s="742" t="n">
        <v>0.9815</v>
      </c>
      <c r="I1516" s="742" t="n">
        <v>0.98259</v>
      </c>
      <c r="J1516" s="743" t="n">
        <v>0.9811</v>
      </c>
      <c r="K1516" s="765" t="n">
        <v>0.0004075394803872307</v>
      </c>
      <c r="L1516" s="785" t="n"/>
      <c r="M1516" s="754" t="n"/>
      <c r="N1516" s="796" t="n"/>
      <c r="O1516" s="767" t="n">
        <v>2.75</v>
      </c>
      <c r="P1516" s="747" t="n">
        <v>0.01653836901611739</v>
      </c>
      <c r="Q1516" s="748" t="n">
        <v>2.724999999999355</v>
      </c>
      <c r="R1516" s="769" t="n">
        <v>169.03</v>
      </c>
      <c r="S1516" s="740" t="inlineStr">
        <is>
          <t>17M 0S</t>
        </is>
      </c>
      <c r="T1516" s="750" t="n"/>
      <c r="U1516" s="751" t="n"/>
      <c r="V1516" s="752" t="n"/>
      <c r="W1516" s="753" t="n"/>
      <c r="X1516" s="754" t="n"/>
      <c r="Y1516" s="750" t="n"/>
      <c r="Z1516" s="751" t="n"/>
      <c r="AA1516" s="752" t="n"/>
      <c r="AB1516" s="753" t="n"/>
      <c r="AC1516" s="754" t="n"/>
      <c r="AD1516" s="740" t="inlineStr">
        <is>
          <t>No</t>
        </is>
      </c>
      <c r="AE1516" s="755" t="n"/>
      <c r="AF1516" s="755" t="n"/>
      <c r="AG1516" s="755" t="n"/>
      <c r="AH1516" s="755" t="n"/>
      <c r="AI1516" s="755" t="n"/>
      <c r="AJ1516" s="755" t="n"/>
      <c r="AK1516" s="755" t="n"/>
      <c r="AL1516" s="755" t="n"/>
      <c r="AM1516" s="755" t="n"/>
      <c r="AN1516" s="755" t="n"/>
      <c r="AO1516" s="755" t="n"/>
      <c r="AP1516" s="740" t="inlineStr">
        <is>
          <t>Pullback</t>
        </is>
      </c>
      <c r="AQ1516" s="755" t="n"/>
      <c r="AR1516" s="740" t="inlineStr">
        <is>
          <t>No</t>
        </is>
      </c>
      <c r="AS1516" s="755" t="n"/>
      <c r="AT1516" s="755" t="n"/>
      <c r="AU1516" s="755" t="n"/>
      <c r="AV1516" s="755" t="n"/>
      <c r="AW1516" s="740" t="inlineStr">
        <is>
          <t>trade</t>
        </is>
      </c>
      <c r="AX1516" s="756" t="inlineStr">
        <is>
          <t>sig:a700a9cb97c72816b4561000</t>
        </is>
      </c>
    </row>
    <row r="1517" ht="15" customHeight="1">
      <c r="A1517" s="716" t="inlineStr">
        <is>
          <t>F1079</t>
        </is>
      </c>
      <c r="B1517" s="717" t="n">
        <v>43266.91319444445</v>
      </c>
      <c r="C1517" s="718" t="n">
        <v>43266.91666666666</v>
      </c>
      <c r="D1517" s="719" t="inlineStr">
        <is>
          <t>PEPPERSTONE DEMO</t>
        </is>
      </c>
      <c r="E1517" s="719" t="inlineStr">
        <is>
          <t>AUDCAD</t>
        </is>
      </c>
      <c r="F1517" s="719" t="inlineStr">
        <is>
          <t>BUY</t>
        </is>
      </c>
      <c r="G1517" s="735" t="n">
        <v>0.04</v>
      </c>
      <c r="H1517" s="720" t="n">
        <v>0.9811</v>
      </c>
      <c r="I1517" s="720" t="n">
        <v>0.98077</v>
      </c>
      <c r="J1517" s="721" t="n">
        <v>0.9807</v>
      </c>
      <c r="K1517" s="760" t="n">
        <v>0.0004077056365303801</v>
      </c>
      <c r="L1517" s="789" t="n"/>
      <c r="M1517" s="732" t="n"/>
      <c r="N1517" s="788" t="n"/>
      <c r="O1517" s="762" t="n">
        <v>-1.39</v>
      </c>
      <c r="P1517" s="725" t="n">
        <v>-0.008290093636309417</v>
      </c>
      <c r="Q1517" s="726" t="n">
        <v>-0.8249999999999444</v>
      </c>
      <c r="R1517" s="764" t="n">
        <v>166.28</v>
      </c>
      <c r="S1517" s="719" t="inlineStr">
        <is>
          <t>5M 0S</t>
        </is>
      </c>
      <c r="T1517" s="728" t="n"/>
      <c r="U1517" s="729" t="n"/>
      <c r="V1517" s="730" t="n"/>
      <c r="W1517" s="731" t="n"/>
      <c r="X1517" s="732" t="n"/>
      <c r="Y1517" s="728" t="n"/>
      <c r="Z1517" s="729" t="n"/>
      <c r="AA1517" s="730" t="n"/>
      <c r="AB1517" s="731" t="n"/>
      <c r="AC1517" s="732" t="n"/>
      <c r="AD1517" s="719" t="inlineStr">
        <is>
          <t>No</t>
        </is>
      </c>
      <c r="AE1517" s="733" t="n"/>
      <c r="AF1517" s="733" t="n"/>
      <c r="AG1517" s="733" t="n"/>
      <c r="AH1517" s="733" t="n"/>
      <c r="AI1517" s="733" t="n"/>
      <c r="AJ1517" s="733" t="n"/>
      <c r="AK1517" s="733" t="n"/>
      <c r="AL1517" s="733" t="n"/>
      <c r="AM1517" s="733" t="n"/>
      <c r="AN1517" s="733" t="n"/>
      <c r="AO1517" s="733" t="n"/>
      <c r="AP1517" s="719" t="inlineStr">
        <is>
          <t>Pullback</t>
        </is>
      </c>
      <c r="AQ1517" s="733" t="n"/>
      <c r="AR1517" s="719" t="inlineStr">
        <is>
          <t>No</t>
        </is>
      </c>
      <c r="AS1517" s="733" t="n"/>
      <c r="AT1517" s="733" t="n"/>
      <c r="AU1517" s="733" t="n"/>
      <c r="AV1517" s="733" t="n"/>
      <c r="AW1517" s="719" t="inlineStr">
        <is>
          <t>trade</t>
        </is>
      </c>
      <c r="AX1517" s="734" t="inlineStr">
        <is>
          <t>sig:e9e6fcb9c44b02412b2b1527</t>
        </is>
      </c>
    </row>
    <row r="1518" ht="15" customHeight="1">
      <c r="A1518" s="716" t="inlineStr">
        <is>
          <t>F1078</t>
        </is>
      </c>
      <c r="B1518" s="717" t="n">
        <v>43266.05555555555</v>
      </c>
      <c r="C1518" s="718" t="n">
        <v>43266.06875</v>
      </c>
      <c r="D1518" s="719" t="inlineStr">
        <is>
          <t>PEPPERSTONE DEMO</t>
        </is>
      </c>
      <c r="E1518" s="719" t="inlineStr">
        <is>
          <t>AUDCAD</t>
        </is>
      </c>
      <c r="F1518" s="719" t="inlineStr">
        <is>
          <t>BUY</t>
        </is>
      </c>
      <c r="G1518" s="735" t="n">
        <v>0.05</v>
      </c>
      <c r="H1518" s="720" t="n">
        <v>0.9821</v>
      </c>
      <c r="I1518" s="720" t="n">
        <v>0.98241</v>
      </c>
      <c r="J1518" s="721" t="n">
        <v>0.9817</v>
      </c>
      <c r="K1518" s="760" t="n">
        <v>0.0004072904999490438</v>
      </c>
      <c r="L1518" s="721" t="n">
        <v>0.9832</v>
      </c>
      <c r="M1518" s="722" t="n">
        <v>0.001120048874859984</v>
      </c>
      <c r="N1518" s="788" t="n"/>
      <c r="O1518" s="762" t="n">
        <v>-1.15</v>
      </c>
      <c r="P1518" s="725" t="n">
        <v>-0.006811989100817439</v>
      </c>
      <c r="Q1518" s="726" t="n">
        <v>0.7750000000001666</v>
      </c>
      <c r="R1518" s="764" t="n">
        <v>167.67</v>
      </c>
      <c r="S1518" s="719" t="inlineStr">
        <is>
          <t>19M 0S</t>
        </is>
      </c>
      <c r="T1518" s="728" t="n"/>
      <c r="U1518" s="729" t="n"/>
      <c r="V1518" s="730" t="n"/>
      <c r="W1518" s="731" t="n"/>
      <c r="X1518" s="732" t="n"/>
      <c r="Y1518" s="728" t="n"/>
      <c r="Z1518" s="729" t="n"/>
      <c r="AA1518" s="730" t="n"/>
      <c r="AB1518" s="731" t="n"/>
      <c r="AC1518" s="732" t="n"/>
      <c r="AD1518" s="719" t="inlineStr">
        <is>
          <t>No</t>
        </is>
      </c>
      <c r="AE1518" s="733" t="n"/>
      <c r="AF1518" s="733" t="n"/>
      <c r="AG1518" s="733" t="n"/>
      <c r="AH1518" s="733" t="n"/>
      <c r="AI1518" s="733" t="n"/>
      <c r="AJ1518" s="733" t="n"/>
      <c r="AK1518" s="733" t="n"/>
      <c r="AL1518" s="733" t="n"/>
      <c r="AM1518" s="733" t="n"/>
      <c r="AN1518" s="733" t="n"/>
      <c r="AO1518" s="733" t="n"/>
      <c r="AP1518" s="719" t="inlineStr">
        <is>
          <t>Pullback</t>
        </is>
      </c>
      <c r="AQ1518" s="733" t="n"/>
      <c r="AR1518" s="719" t="inlineStr">
        <is>
          <t>No</t>
        </is>
      </c>
      <c r="AS1518" s="733" t="n"/>
      <c r="AT1518" s="733" t="n"/>
      <c r="AU1518" s="733" t="n"/>
      <c r="AV1518" s="733" t="n"/>
      <c r="AW1518" s="719" t="inlineStr">
        <is>
          <t>trade</t>
        </is>
      </c>
      <c r="AX1518" s="734" t="inlineStr">
        <is>
          <t>sig:fe0a21c5c0925eb5110cf964</t>
        </is>
      </c>
    </row>
    <row r="1519" ht="15" customHeight="1">
      <c r="A1519" s="716" t="inlineStr">
        <is>
          <t>F1077</t>
        </is>
      </c>
      <c r="B1519" s="717" t="n">
        <v>43265.96388888889</v>
      </c>
      <c r="C1519" s="718" t="n">
        <v>43265.96736111111</v>
      </c>
      <c r="D1519" s="719" t="inlineStr">
        <is>
          <t>PEPPERSTONE DEMO</t>
        </is>
      </c>
      <c r="E1519" s="719" t="inlineStr">
        <is>
          <t>AUDCAD</t>
        </is>
      </c>
      <c r="F1519" s="719" t="inlineStr">
        <is>
          <t>BUY</t>
        </is>
      </c>
      <c r="G1519" s="735" t="n">
        <v>0.03</v>
      </c>
      <c r="H1519" s="720" t="n">
        <v>0.9823</v>
      </c>
      <c r="I1519" s="720" t="n">
        <v>0.98176</v>
      </c>
      <c r="J1519" s="721" t="n">
        <v>0.9817</v>
      </c>
      <c r="K1519" s="760" t="n">
        <v>0.0006108113610912491</v>
      </c>
      <c r="L1519" s="721" t="n"/>
      <c r="M1519" s="722" t="n"/>
      <c r="N1519" s="788" t="n"/>
      <c r="O1519" s="762" t="n">
        <v>-1.71</v>
      </c>
      <c r="P1519" s="725" t="n">
        <v>-0.01002756113293849</v>
      </c>
      <c r="Q1519" s="726" t="n">
        <v>-0.900000000000074</v>
      </c>
      <c r="R1519" s="764" t="n">
        <v>168.82</v>
      </c>
      <c r="S1519" s="719" t="inlineStr">
        <is>
          <t>5M 0S</t>
        </is>
      </c>
      <c r="T1519" s="728" t="n"/>
      <c r="U1519" s="729" t="n"/>
      <c r="V1519" s="730" t="n"/>
      <c r="W1519" s="731" t="n"/>
      <c r="X1519" s="732" t="n"/>
      <c r="Y1519" s="728" t="n"/>
      <c r="Z1519" s="729" t="n"/>
      <c r="AA1519" s="730" t="n"/>
      <c r="AB1519" s="731" t="n"/>
      <c r="AC1519" s="732" t="n"/>
      <c r="AD1519" s="719" t="inlineStr">
        <is>
          <t>No</t>
        </is>
      </c>
      <c r="AE1519" s="733" t="n"/>
      <c r="AF1519" s="733" t="n"/>
      <c r="AG1519" s="733" t="n"/>
      <c r="AH1519" s="733" t="n"/>
      <c r="AI1519" s="733" t="n"/>
      <c r="AJ1519" s="733" t="n"/>
      <c r="AK1519" s="733" t="n"/>
      <c r="AL1519" s="733" t="n"/>
      <c r="AM1519" s="733" t="n"/>
      <c r="AN1519" s="733" t="n"/>
      <c r="AO1519" s="733" t="n"/>
      <c r="AP1519" s="719" t="inlineStr">
        <is>
          <t>Pullback</t>
        </is>
      </c>
      <c r="AQ1519" s="733" t="n"/>
      <c r="AR1519" s="719" t="inlineStr">
        <is>
          <t>No</t>
        </is>
      </c>
      <c r="AS1519" s="733" t="n"/>
      <c r="AT1519" s="733" t="n"/>
      <c r="AU1519" s="733" t="n"/>
      <c r="AV1519" s="733" t="n"/>
      <c r="AW1519" s="719" t="inlineStr">
        <is>
          <t>trade</t>
        </is>
      </c>
      <c r="AX1519" s="734" t="inlineStr">
        <is>
          <t>sig:639fdd031cc5944a91cec1a6</t>
        </is>
      </c>
    </row>
    <row r="1520" ht="15" customHeight="1">
      <c r="A1520" s="716" t="inlineStr">
        <is>
          <t>F1076</t>
        </is>
      </c>
      <c r="B1520" s="717" t="n">
        <v>43265.94444444445</v>
      </c>
      <c r="C1520" s="718" t="n">
        <v>43265.94791666666</v>
      </c>
      <c r="D1520" s="719" t="inlineStr">
        <is>
          <t>PEPPERSTONE DEMO</t>
        </is>
      </c>
      <c r="E1520" s="719" t="inlineStr">
        <is>
          <t>AUDUSD</t>
        </is>
      </c>
      <c r="F1520" s="719" t="inlineStr">
        <is>
          <t>BUY</t>
        </is>
      </c>
      <c r="G1520" s="735" t="n">
        <v>0.03</v>
      </c>
      <c r="H1520" s="720" t="n">
        <v>0.756</v>
      </c>
      <c r="I1520" s="720" t="n">
        <v>0.75561</v>
      </c>
      <c r="J1520" s="721" t="n">
        <v>0.7556</v>
      </c>
      <c r="K1520" s="760" t="n">
        <v>0.0005291005291004708</v>
      </c>
      <c r="L1520" s="789" t="n"/>
      <c r="M1520" s="732" t="n"/>
      <c r="N1520" s="788" t="n"/>
      <c r="O1520" s="762" t="n">
        <v>-1.63</v>
      </c>
      <c r="P1520" s="725" t="n">
        <v>-0.009467936802973977</v>
      </c>
      <c r="Q1520" s="726" t="n">
        <v>-0.975000000000111</v>
      </c>
      <c r="R1520" s="764" t="n">
        <v>170.53</v>
      </c>
      <c r="S1520" s="719" t="inlineStr">
        <is>
          <t>5M 0S</t>
        </is>
      </c>
      <c r="T1520" s="728" t="n"/>
      <c r="U1520" s="729" t="n"/>
      <c r="V1520" s="730" t="n"/>
      <c r="W1520" s="731" t="n"/>
      <c r="X1520" s="732" t="n"/>
      <c r="Y1520" s="728" t="n"/>
      <c r="Z1520" s="729" t="n"/>
      <c r="AA1520" s="730" t="n"/>
      <c r="AB1520" s="731" t="n"/>
      <c r="AC1520" s="732" t="n"/>
      <c r="AD1520" s="719" t="inlineStr">
        <is>
          <t>No</t>
        </is>
      </c>
      <c r="AE1520" s="733" t="n"/>
      <c r="AF1520" s="733" t="n"/>
      <c r="AG1520" s="733" t="n"/>
      <c r="AH1520" s="733" t="n"/>
      <c r="AI1520" s="733" t="n"/>
      <c r="AJ1520" s="733" t="n"/>
      <c r="AK1520" s="733" t="n"/>
      <c r="AL1520" s="733" t="n"/>
      <c r="AM1520" s="733" t="n"/>
      <c r="AN1520" s="733" t="n"/>
      <c r="AO1520" s="733" t="n"/>
      <c r="AP1520" s="719" t="inlineStr">
        <is>
          <t>Pullback</t>
        </is>
      </c>
      <c r="AQ1520" s="733" t="n"/>
      <c r="AR1520" s="719" t="inlineStr">
        <is>
          <t>No</t>
        </is>
      </c>
      <c r="AS1520" s="733" t="n"/>
      <c r="AT1520" s="733" t="n"/>
      <c r="AU1520" s="733" t="n"/>
      <c r="AV1520" s="733" t="n"/>
      <c r="AW1520" s="719" t="inlineStr">
        <is>
          <t>trade</t>
        </is>
      </c>
      <c r="AX1520" s="734" t="inlineStr">
        <is>
          <t>sig:0b47f873911f59bef66b123a</t>
        </is>
      </c>
    </row>
    <row r="1521" ht="15" customHeight="1">
      <c r="A1521" s="716" t="inlineStr">
        <is>
          <t>F1075</t>
        </is>
      </c>
      <c r="B1521" s="717" t="n">
        <v>43265.93819444445</v>
      </c>
      <c r="C1521" s="718" t="n">
        <v>43265.94027777778</v>
      </c>
      <c r="D1521" s="719" t="inlineStr">
        <is>
          <t>PEPPERSTONE DEMO</t>
        </is>
      </c>
      <c r="E1521" s="719" t="inlineStr">
        <is>
          <t>AUDUSD</t>
        </is>
      </c>
      <c r="F1521" s="719" t="inlineStr">
        <is>
          <t>BUY</t>
        </is>
      </c>
      <c r="G1521" s="735" t="n">
        <v>0.05</v>
      </c>
      <c r="H1521" s="720" t="n">
        <v>0.7564</v>
      </c>
      <c r="I1521" s="720" t="n">
        <v>0.75597</v>
      </c>
      <c r="J1521" s="721" t="n"/>
      <c r="K1521" s="722" t="n"/>
      <c r="L1521" s="721" t="n"/>
      <c r="M1521" s="722" t="n"/>
      <c r="N1521" s="788" t="n"/>
      <c r="O1521" s="762" t="n">
        <v>-3.11</v>
      </c>
      <c r="P1521" s="725" t="n">
        <v>-0.01774405203400468</v>
      </c>
      <c r="Q1521" s="726" t="n"/>
      <c r="R1521" s="764" t="n">
        <v>172.16</v>
      </c>
      <c r="S1521" s="719" t="inlineStr">
        <is>
          <t>3M 0S</t>
        </is>
      </c>
      <c r="T1521" s="728" t="n"/>
      <c r="U1521" s="729" t="n"/>
      <c r="V1521" s="730" t="n"/>
      <c r="W1521" s="731" t="n"/>
      <c r="X1521" s="732" t="n"/>
      <c r="Y1521" s="728" t="n"/>
      <c r="Z1521" s="729" t="n"/>
      <c r="AA1521" s="730" t="n"/>
      <c r="AB1521" s="731" t="n"/>
      <c r="AC1521" s="732" t="n"/>
      <c r="AD1521" s="719" t="inlineStr">
        <is>
          <t>No</t>
        </is>
      </c>
      <c r="AE1521" s="733" t="n"/>
      <c r="AF1521" s="733" t="n"/>
      <c r="AG1521" s="733" t="n"/>
      <c r="AH1521" s="733" t="n"/>
      <c r="AI1521" s="733" t="n"/>
      <c r="AJ1521" s="733" t="n"/>
      <c r="AK1521" s="733" t="n"/>
      <c r="AL1521" s="733" t="n"/>
      <c r="AM1521" s="733" t="n"/>
      <c r="AN1521" s="733" t="n"/>
      <c r="AO1521" s="733" t="n"/>
      <c r="AP1521" s="719" t="inlineStr">
        <is>
          <t>Pullback</t>
        </is>
      </c>
      <c r="AQ1521" s="733" t="n"/>
      <c r="AR1521" s="719" t="inlineStr">
        <is>
          <t>No</t>
        </is>
      </c>
      <c r="AS1521" s="733" t="n"/>
      <c r="AT1521" s="733" t="n"/>
      <c r="AU1521" s="733" t="n"/>
      <c r="AV1521" s="733" t="n"/>
      <c r="AW1521" s="719" t="inlineStr">
        <is>
          <t>trade</t>
        </is>
      </c>
      <c r="AX1521" s="734" t="inlineStr">
        <is>
          <t>sig:9ea773f4b182bea3061a5a21</t>
        </is>
      </c>
    </row>
    <row r="1522" ht="15" customHeight="1">
      <c r="A1522" s="716" t="inlineStr">
        <is>
          <t>F1074</t>
        </is>
      </c>
      <c r="B1522" s="717" t="n">
        <v>43264.93958333333</v>
      </c>
      <c r="C1522" s="718" t="n">
        <v>43264.94027777778</v>
      </c>
      <c r="D1522" s="719" t="inlineStr">
        <is>
          <t>PEPPERSTONE DEMO</t>
        </is>
      </c>
      <c r="E1522" s="719" t="inlineStr">
        <is>
          <t>AUDUSD</t>
        </is>
      </c>
      <c r="F1522" s="719" t="inlineStr">
        <is>
          <t>BUY</t>
        </is>
      </c>
      <c r="G1522" s="735" t="n">
        <v>0.07000000000000001</v>
      </c>
      <c r="H1522" s="720" t="n">
        <v>0.7584</v>
      </c>
      <c r="I1522" s="720" t="n">
        <v>0.75826</v>
      </c>
      <c r="J1522" s="721" t="n">
        <v>0.7582</v>
      </c>
      <c r="K1522" s="760" t="n">
        <v>0.0002637130801687473</v>
      </c>
      <c r="L1522" s="721" t="n"/>
      <c r="M1522" s="722" t="n"/>
      <c r="N1522" s="788" t="n"/>
      <c r="O1522" s="762" t="n">
        <v>-1.85</v>
      </c>
      <c r="P1522" s="725" t="n">
        <v>-0.01044489611562782</v>
      </c>
      <c r="Q1522" s="726" t="n">
        <v>-0.6999999999996669</v>
      </c>
      <c r="R1522" s="764" t="n">
        <v>175.27</v>
      </c>
      <c r="S1522" s="719" t="inlineStr">
        <is>
          <t>1M 0S</t>
        </is>
      </c>
      <c r="T1522" s="728" t="n"/>
      <c r="U1522" s="729" t="n"/>
      <c r="V1522" s="730" t="n"/>
      <c r="W1522" s="731" t="n"/>
      <c r="X1522" s="732" t="n"/>
      <c r="Y1522" s="728" t="n"/>
      <c r="Z1522" s="729" t="n"/>
      <c r="AA1522" s="730" t="n"/>
      <c r="AB1522" s="731" t="n"/>
      <c r="AC1522" s="732" t="n"/>
      <c r="AD1522" s="719" t="inlineStr">
        <is>
          <t>No</t>
        </is>
      </c>
      <c r="AE1522" s="733" t="n"/>
      <c r="AF1522" s="733" t="n"/>
      <c r="AG1522" s="733" t="n"/>
      <c r="AH1522" s="733" t="n"/>
      <c r="AI1522" s="733" t="n"/>
      <c r="AJ1522" s="733" t="n"/>
      <c r="AK1522" s="733" t="n"/>
      <c r="AL1522" s="733" t="n"/>
      <c r="AM1522" s="733" t="n"/>
      <c r="AN1522" s="733" t="n"/>
      <c r="AO1522" s="733" t="n"/>
      <c r="AP1522" s="719" t="inlineStr">
        <is>
          <t>Pullback</t>
        </is>
      </c>
      <c r="AQ1522" s="733" t="n"/>
      <c r="AR1522" s="719" t="inlineStr">
        <is>
          <t>No</t>
        </is>
      </c>
      <c r="AS1522" s="733" t="n"/>
      <c r="AT1522" s="733" t="n"/>
      <c r="AU1522" s="733" t="n"/>
      <c r="AV1522" s="733" t="n"/>
      <c r="AW1522" s="719" t="inlineStr">
        <is>
          <t>trade</t>
        </is>
      </c>
      <c r="AX1522" s="734" t="inlineStr">
        <is>
          <t>sig:8dc5669218ddba80751354c8</t>
        </is>
      </c>
    </row>
    <row r="1523" ht="15" customHeight="1">
      <c r="A1523" s="716" t="inlineStr">
        <is>
          <t>F1073</t>
        </is>
      </c>
      <c r="B1523" s="717" t="n">
        <v>43264.92569444444</v>
      </c>
      <c r="C1523" s="718" t="n">
        <v>43264.92916666667</v>
      </c>
      <c r="D1523" s="719" t="inlineStr">
        <is>
          <t>PEPPERSTONE DEMO</t>
        </is>
      </c>
      <c r="E1523" s="719" t="inlineStr">
        <is>
          <t>AUDUSD</t>
        </is>
      </c>
      <c r="F1523" s="719" t="inlineStr">
        <is>
          <t>BUY</t>
        </is>
      </c>
      <c r="G1523" s="735" t="n">
        <v>0.08</v>
      </c>
      <c r="H1523" s="720" t="n">
        <v>0.7585</v>
      </c>
      <c r="I1523" s="720" t="n">
        <v>0.7584</v>
      </c>
      <c r="J1523" s="721" t="n">
        <v>0.7584</v>
      </c>
      <c r="K1523" s="760" t="n">
        <v>0.0001318391562293856</v>
      </c>
      <c r="L1523" s="721" t="n"/>
      <c r="M1523" s="722" t="n"/>
      <c r="N1523" s="788" t="n"/>
      <c r="O1523" s="762" t="n">
        <v>-1.79</v>
      </c>
      <c r="P1523" s="725" t="n">
        <v>-0.01000503046224359</v>
      </c>
      <c r="Q1523" s="726" t="n">
        <v>-1</v>
      </c>
      <c r="R1523" s="764" t="n">
        <v>177.12</v>
      </c>
      <c r="S1523" s="719" t="inlineStr">
        <is>
          <t>5M 0S</t>
        </is>
      </c>
      <c r="T1523" s="728" t="n"/>
      <c r="U1523" s="729" t="n"/>
      <c r="V1523" s="730" t="n"/>
      <c r="W1523" s="731" t="n"/>
      <c r="X1523" s="732" t="n"/>
      <c r="Y1523" s="728" t="n"/>
      <c r="Z1523" s="729" t="n"/>
      <c r="AA1523" s="730" t="n"/>
      <c r="AB1523" s="731" t="n"/>
      <c r="AC1523" s="732" t="n"/>
      <c r="AD1523" s="719" t="inlineStr">
        <is>
          <t>No</t>
        </is>
      </c>
      <c r="AE1523" s="733" t="n"/>
      <c r="AF1523" s="733" t="n"/>
      <c r="AG1523" s="733" t="n"/>
      <c r="AH1523" s="733" t="n"/>
      <c r="AI1523" s="733" t="n"/>
      <c r="AJ1523" s="733" t="n"/>
      <c r="AK1523" s="733" t="n"/>
      <c r="AL1523" s="733" t="n"/>
      <c r="AM1523" s="733" t="n"/>
      <c r="AN1523" s="733" t="n"/>
      <c r="AO1523" s="733" t="n"/>
      <c r="AP1523" s="719" t="inlineStr">
        <is>
          <t>Pullback</t>
        </is>
      </c>
      <c r="AQ1523" s="733" t="n"/>
      <c r="AR1523" s="719" t="inlineStr">
        <is>
          <t>No</t>
        </is>
      </c>
      <c r="AS1523" s="733" t="n"/>
      <c r="AT1523" s="733" t="n"/>
      <c r="AU1523" s="733" t="n"/>
      <c r="AV1523" s="733" t="n"/>
      <c r="AW1523" s="719" t="inlineStr">
        <is>
          <t>trade</t>
        </is>
      </c>
      <c r="AX1523" s="734" t="inlineStr">
        <is>
          <t>sig:7ca2986248be95d38de79045</t>
        </is>
      </c>
    </row>
    <row r="1524" ht="15" customHeight="1">
      <c r="A1524" s="716" t="inlineStr">
        <is>
          <t>F1072</t>
        </is>
      </c>
      <c r="B1524" s="717" t="n">
        <v>43264.92436342593</v>
      </c>
      <c r="C1524" s="718" t="n">
        <v>43264.92446759259</v>
      </c>
      <c r="D1524" s="719" t="inlineStr">
        <is>
          <t>PEPPERSTONE DEMO</t>
        </is>
      </c>
      <c r="E1524" s="719" t="inlineStr">
        <is>
          <t>AUDUSD</t>
        </is>
      </c>
      <c r="F1524" s="719" t="inlineStr">
        <is>
          <t>BUY</t>
        </is>
      </c>
      <c r="G1524" s="735" t="n">
        <v>0.08</v>
      </c>
      <c r="H1524" s="720" t="n">
        <v>0.7584</v>
      </c>
      <c r="I1524" s="720" t="n">
        <v>0.75831</v>
      </c>
      <c r="J1524" s="721" t="n">
        <v>0.7583</v>
      </c>
      <c r="K1524" s="760" t="n">
        <v>0.0001318565400843737</v>
      </c>
      <c r="L1524" s="789" t="n"/>
      <c r="M1524" s="732" t="n"/>
      <c r="N1524" s="788" t="n"/>
      <c r="O1524" s="762" t="n">
        <v>-1.79</v>
      </c>
      <c r="P1524" s="725" t="n">
        <v>-0.009905921416712784</v>
      </c>
      <c r="Q1524" s="726" t="n">
        <v>-0.8999999999993339</v>
      </c>
      <c r="R1524" s="764" t="n">
        <v>178.91</v>
      </c>
      <c r="S1524" s="719" t="inlineStr">
        <is>
          <t>9S</t>
        </is>
      </c>
      <c r="T1524" s="728" t="n"/>
      <c r="U1524" s="729" t="n"/>
      <c r="V1524" s="730" t="n"/>
      <c r="W1524" s="731" t="n"/>
      <c r="X1524" s="732" t="n"/>
      <c r="Y1524" s="728" t="n"/>
      <c r="Z1524" s="729" t="n"/>
      <c r="AA1524" s="730" t="n"/>
      <c r="AB1524" s="731" t="n"/>
      <c r="AC1524" s="732" t="n"/>
      <c r="AD1524" s="719" t="inlineStr">
        <is>
          <t>No</t>
        </is>
      </c>
      <c r="AE1524" s="733" t="n"/>
      <c r="AF1524" s="733" t="n"/>
      <c r="AG1524" s="733" t="n"/>
      <c r="AH1524" s="733" t="n"/>
      <c r="AI1524" s="733" t="n"/>
      <c r="AJ1524" s="733" t="n"/>
      <c r="AK1524" s="733" t="n"/>
      <c r="AL1524" s="733" t="n"/>
      <c r="AM1524" s="733" t="n"/>
      <c r="AN1524" s="733" t="n"/>
      <c r="AO1524" s="733" t="n"/>
      <c r="AP1524" s="719" t="inlineStr">
        <is>
          <t>Pullback</t>
        </is>
      </c>
      <c r="AQ1524" s="733" t="n"/>
      <c r="AR1524" s="719" t="inlineStr">
        <is>
          <t>No</t>
        </is>
      </c>
      <c r="AS1524" s="733" t="n"/>
      <c r="AT1524" s="733" t="n"/>
      <c r="AU1524" s="733" t="n"/>
      <c r="AV1524" s="733" t="n"/>
      <c r="AW1524" s="719" t="inlineStr">
        <is>
          <t>trade</t>
        </is>
      </c>
      <c r="AX1524" s="734" t="inlineStr">
        <is>
          <t>sig:f64c3a27b31dc43a616dcee0</t>
        </is>
      </c>
    </row>
    <row r="1525" ht="15" customHeight="1">
      <c r="A1525" s="716" t="inlineStr">
        <is>
          <t>F1071</t>
        </is>
      </c>
      <c r="B1525" s="717" t="n">
        <v>43264.83611111111</v>
      </c>
      <c r="C1525" s="718" t="n">
        <v>43264.83680555555</v>
      </c>
      <c r="D1525" s="719" t="inlineStr">
        <is>
          <t>PEPPERSTONE DEMO</t>
        </is>
      </c>
      <c r="E1525" s="719" t="inlineStr">
        <is>
          <t>AUDUSD</t>
        </is>
      </c>
      <c r="F1525" s="719" t="inlineStr">
        <is>
          <t>BUY</t>
        </is>
      </c>
      <c r="G1525" s="735" t="n">
        <v>0.06</v>
      </c>
      <c r="H1525" s="720" t="n">
        <v>0.7582</v>
      </c>
      <c r="I1525" s="720" t="n">
        <v>0.75805</v>
      </c>
      <c r="J1525" s="721" t="n">
        <v>0.758</v>
      </c>
      <c r="K1525" s="760" t="n">
        <v>0.0002637826431020548</v>
      </c>
      <c r="L1525" s="789" t="n"/>
      <c r="M1525" s="732" t="n"/>
      <c r="N1525" s="788" t="n"/>
      <c r="O1525" s="762" t="n">
        <v>-1.66</v>
      </c>
      <c r="P1525" s="725" t="n">
        <v>-0.009102873437157271</v>
      </c>
      <c r="Q1525" s="726" t="n">
        <v>-0.75</v>
      </c>
      <c r="R1525" s="764" t="n">
        <v>180.7</v>
      </c>
      <c r="S1525" s="719" t="inlineStr">
        <is>
          <t>1M 0S</t>
        </is>
      </c>
      <c r="T1525" s="728" t="n"/>
      <c r="U1525" s="729" t="n"/>
      <c r="V1525" s="730" t="n"/>
      <c r="W1525" s="731" t="n"/>
      <c r="X1525" s="732" t="n"/>
      <c r="Y1525" s="728" t="n"/>
      <c r="Z1525" s="729" t="n"/>
      <c r="AA1525" s="730" t="n"/>
      <c r="AB1525" s="731" t="n"/>
      <c r="AC1525" s="732" t="n"/>
      <c r="AD1525" s="719" t="inlineStr">
        <is>
          <t>No</t>
        </is>
      </c>
      <c r="AE1525" s="733" t="n"/>
      <c r="AF1525" s="733" t="n"/>
      <c r="AG1525" s="733" t="n"/>
      <c r="AH1525" s="733" t="n"/>
      <c r="AI1525" s="733" t="n"/>
      <c r="AJ1525" s="733" t="n"/>
      <c r="AK1525" s="733" t="n"/>
      <c r="AL1525" s="733" t="n"/>
      <c r="AM1525" s="733" t="n"/>
      <c r="AN1525" s="733" t="n"/>
      <c r="AO1525" s="733" t="n"/>
      <c r="AP1525" s="719" t="inlineStr">
        <is>
          <t>Pullback</t>
        </is>
      </c>
      <c r="AQ1525" s="733" t="n"/>
      <c r="AR1525" s="719" t="inlineStr">
        <is>
          <t>No</t>
        </is>
      </c>
      <c r="AS1525" s="733" t="n"/>
      <c r="AT1525" s="733" t="n"/>
      <c r="AU1525" s="733" t="n"/>
      <c r="AV1525" s="733" t="n"/>
      <c r="AW1525" s="719" t="inlineStr">
        <is>
          <t>trade</t>
        </is>
      </c>
      <c r="AX1525" s="734" t="inlineStr">
        <is>
          <t>sig:ee15639b9c9d89fab5a09f82</t>
        </is>
      </c>
    </row>
    <row r="1526" ht="15" customHeight="1">
      <c r="A1526" s="716" t="inlineStr">
        <is>
          <t>F1070</t>
        </is>
      </c>
      <c r="B1526" s="717" t="n">
        <v>43264.83217592593</v>
      </c>
      <c r="C1526" s="718" t="n">
        <v>43264.83237268519</v>
      </c>
      <c r="D1526" s="719" t="inlineStr">
        <is>
          <t>PEPPERSTONE DEMO</t>
        </is>
      </c>
      <c r="E1526" s="719" t="inlineStr">
        <is>
          <t>AUDUSD</t>
        </is>
      </c>
      <c r="F1526" s="719" t="inlineStr">
        <is>
          <t>BUY</t>
        </is>
      </c>
      <c r="G1526" s="735" t="n">
        <v>0.07000000000000001</v>
      </c>
      <c r="H1526" s="720" t="n">
        <v>0.7581</v>
      </c>
      <c r="I1526" s="720" t="n">
        <v>0.75795</v>
      </c>
      <c r="J1526" s="721" t="n">
        <v>0.7579</v>
      </c>
      <c r="K1526" s="760" t="n">
        <v>0.0002638174383326447</v>
      </c>
      <c r="L1526" s="789" t="n"/>
      <c r="M1526" s="732" t="n"/>
      <c r="N1526" s="788" t="n"/>
      <c r="O1526" s="762" t="n">
        <v>-1.85</v>
      </c>
      <c r="P1526" s="725" t="n">
        <v>-0.01004288583681668</v>
      </c>
      <c r="Q1526" s="726" t="n">
        <v>-0.75</v>
      </c>
      <c r="R1526" s="764" t="n">
        <v>182.36</v>
      </c>
      <c r="S1526" s="719" t="inlineStr">
        <is>
          <t>17S</t>
        </is>
      </c>
      <c r="T1526" s="728" t="n"/>
      <c r="U1526" s="729" t="n"/>
      <c r="V1526" s="730" t="n"/>
      <c r="W1526" s="731" t="n"/>
      <c r="X1526" s="732" t="n"/>
      <c r="Y1526" s="728" t="n"/>
      <c r="Z1526" s="729" t="n"/>
      <c r="AA1526" s="730" t="n"/>
      <c r="AB1526" s="731" t="n"/>
      <c r="AC1526" s="732" t="n"/>
      <c r="AD1526" s="719" t="inlineStr">
        <is>
          <t>No</t>
        </is>
      </c>
      <c r="AE1526" s="733" t="n"/>
      <c r="AF1526" s="733" t="n"/>
      <c r="AG1526" s="733" t="n"/>
      <c r="AH1526" s="733" t="n"/>
      <c r="AI1526" s="733" t="n"/>
      <c r="AJ1526" s="733" t="n"/>
      <c r="AK1526" s="733" t="n"/>
      <c r="AL1526" s="733" t="n"/>
      <c r="AM1526" s="733" t="n"/>
      <c r="AN1526" s="733" t="n"/>
      <c r="AO1526" s="733" t="n"/>
      <c r="AP1526" s="719" t="inlineStr">
        <is>
          <t>Pullback</t>
        </is>
      </c>
      <c r="AQ1526" s="733" t="n"/>
      <c r="AR1526" s="719" t="inlineStr">
        <is>
          <t>No</t>
        </is>
      </c>
      <c r="AS1526" s="733" t="n"/>
      <c r="AT1526" s="733" t="n"/>
      <c r="AU1526" s="733" t="n"/>
      <c r="AV1526" s="733" t="n"/>
      <c r="AW1526" s="719" t="inlineStr">
        <is>
          <t>trade</t>
        </is>
      </c>
      <c r="AX1526" s="734" t="inlineStr">
        <is>
          <t>sig:21e1232f7b92c68fd067f6bb</t>
        </is>
      </c>
    </row>
    <row r="1527" ht="15" customHeight="1">
      <c r="A1527" s="737" t="inlineStr">
        <is>
          <t>F1069</t>
        </is>
      </c>
      <c r="B1527" s="738" t="n">
        <v>43264.82638888889</v>
      </c>
      <c r="C1527" s="739" t="n">
        <v>43264.82916666667</v>
      </c>
      <c r="D1527" s="740" t="inlineStr">
        <is>
          <t>PEPPERSTONE DEMO</t>
        </is>
      </c>
      <c r="E1527" s="740" t="inlineStr">
        <is>
          <t>AUDUSD</t>
        </is>
      </c>
      <c r="F1527" s="740" t="inlineStr">
        <is>
          <t>BUY</t>
        </is>
      </c>
      <c r="G1527" s="775" t="n">
        <v>0.07000000000000001</v>
      </c>
      <c r="H1527" s="742" t="n">
        <v>0.7579</v>
      </c>
      <c r="I1527" s="742" t="n">
        <v>0.75836</v>
      </c>
      <c r="J1527" s="743" t="n">
        <v>0.7577</v>
      </c>
      <c r="K1527" s="765" t="n">
        <v>0.0002638870563398575</v>
      </c>
      <c r="L1527" s="743" t="n">
        <v>0.7583</v>
      </c>
      <c r="M1527" s="765" t="n">
        <v>0.0005277741126797149</v>
      </c>
      <c r="N1527" s="796" t="n"/>
      <c r="O1527" s="767" t="n">
        <v>1.56</v>
      </c>
      <c r="P1527" s="747" t="n">
        <v>0.008540925266903915</v>
      </c>
      <c r="Q1527" s="748" t="n">
        <v>2.300000000000333</v>
      </c>
      <c r="R1527" s="769" t="n">
        <v>184.21</v>
      </c>
      <c r="S1527" s="740" t="inlineStr">
        <is>
          <t>4M 0S</t>
        </is>
      </c>
      <c r="T1527" s="750" t="n"/>
      <c r="U1527" s="751" t="n"/>
      <c r="V1527" s="752" t="n"/>
      <c r="W1527" s="753" t="n"/>
      <c r="X1527" s="754" t="n"/>
      <c r="Y1527" s="750" t="n"/>
      <c r="Z1527" s="751" t="n"/>
      <c r="AA1527" s="752" t="n"/>
      <c r="AB1527" s="753" t="n"/>
      <c r="AC1527" s="754" t="n"/>
      <c r="AD1527" s="740" t="inlineStr">
        <is>
          <t>No</t>
        </is>
      </c>
      <c r="AE1527" s="755" t="n"/>
      <c r="AF1527" s="755" t="n"/>
      <c r="AG1527" s="755" t="n"/>
      <c r="AH1527" s="755" t="n"/>
      <c r="AI1527" s="755" t="n"/>
      <c r="AJ1527" s="755" t="n"/>
      <c r="AK1527" s="755" t="n"/>
      <c r="AL1527" s="755" t="n"/>
      <c r="AM1527" s="755" t="n"/>
      <c r="AN1527" s="755" t="n"/>
      <c r="AO1527" s="755" t="n"/>
      <c r="AP1527" s="740" t="inlineStr">
        <is>
          <t>Pullback</t>
        </is>
      </c>
      <c r="AQ1527" s="755" t="n"/>
      <c r="AR1527" s="740" t="inlineStr">
        <is>
          <t>No</t>
        </is>
      </c>
      <c r="AS1527" s="755" t="n"/>
      <c r="AT1527" s="755" t="n"/>
      <c r="AU1527" s="755" t="n"/>
      <c r="AV1527" s="755" t="n"/>
      <c r="AW1527" s="740" t="inlineStr">
        <is>
          <t>trade</t>
        </is>
      </c>
      <c r="AX1527" s="756" t="inlineStr">
        <is>
          <t>sig:df01ac8adae6b4fe8473f6bb</t>
        </is>
      </c>
    </row>
    <row r="1528" ht="15" customHeight="1">
      <c r="A1528" s="716" t="inlineStr">
        <is>
          <t>F1068</t>
        </is>
      </c>
      <c r="B1528" s="717" t="n">
        <v>43264.78472222222</v>
      </c>
      <c r="C1528" s="718" t="n">
        <v>43264.81736111111</v>
      </c>
      <c r="D1528" s="719" t="inlineStr">
        <is>
          <t>PEPPERSTONE DEMO</t>
        </is>
      </c>
      <c r="E1528" s="719" t="inlineStr">
        <is>
          <t>GBPAUD</t>
        </is>
      </c>
      <c r="F1528" s="719" t="inlineStr">
        <is>
          <t>SELL</t>
        </is>
      </c>
      <c r="G1528" s="735" t="n">
        <v>0.02</v>
      </c>
      <c r="H1528" s="720" t="n">
        <v>1.7587</v>
      </c>
      <c r="I1528" s="720" t="n">
        <v>1.75962</v>
      </c>
      <c r="J1528" s="721" t="n">
        <v>1.7596</v>
      </c>
      <c r="K1528" s="760" t="n">
        <v>0.0005117416273384449</v>
      </c>
      <c r="L1528" s="789" t="n"/>
      <c r="M1528" s="732" t="n"/>
      <c r="N1528" s="788" t="n"/>
      <c r="O1528" s="762" t="n">
        <v>-1.84</v>
      </c>
      <c r="P1528" s="725" t="n">
        <v>-0.00997344029486693</v>
      </c>
      <c r="Q1528" s="726" t="n">
        <v>-1.022222222222118</v>
      </c>
      <c r="R1528" s="764" t="n">
        <v>182.65</v>
      </c>
      <c r="S1528" s="719" t="inlineStr">
        <is>
          <t>47M 0S</t>
        </is>
      </c>
      <c r="T1528" s="728" t="n"/>
      <c r="U1528" s="729" t="n"/>
      <c r="V1528" s="730" t="n"/>
      <c r="W1528" s="731" t="n"/>
      <c r="X1528" s="732" t="n"/>
      <c r="Y1528" s="728" t="n"/>
      <c r="Z1528" s="729" t="n"/>
      <c r="AA1528" s="730" t="n"/>
      <c r="AB1528" s="731" t="n"/>
      <c r="AC1528" s="732" t="n"/>
      <c r="AD1528" s="719" t="inlineStr">
        <is>
          <t>No</t>
        </is>
      </c>
      <c r="AE1528" s="733" t="n"/>
      <c r="AF1528" s="733" t="n"/>
      <c r="AG1528" s="733" t="n"/>
      <c r="AH1528" s="733" t="n"/>
      <c r="AI1528" s="733" t="n"/>
      <c r="AJ1528" s="733" t="n"/>
      <c r="AK1528" s="733" t="n"/>
      <c r="AL1528" s="733" t="n"/>
      <c r="AM1528" s="733" t="n"/>
      <c r="AN1528" s="733" t="n"/>
      <c r="AO1528" s="733" t="n"/>
      <c r="AP1528" s="719" t="inlineStr">
        <is>
          <t>Pullback</t>
        </is>
      </c>
      <c r="AQ1528" s="733" t="n"/>
      <c r="AR1528" s="719" t="inlineStr">
        <is>
          <t>No</t>
        </is>
      </c>
      <c r="AS1528" s="733" t="n"/>
      <c r="AT1528" s="733" t="n"/>
      <c r="AU1528" s="733" t="n"/>
      <c r="AV1528" s="733" t="n"/>
      <c r="AW1528" s="719" t="inlineStr">
        <is>
          <t>trade</t>
        </is>
      </c>
      <c r="AX1528" s="734" t="inlineStr">
        <is>
          <t>sig:ae8a59320e2dc9d98e28f049</t>
        </is>
      </c>
    </row>
    <row r="1529" ht="15" customHeight="1">
      <c r="A1529" s="737" t="inlineStr">
        <is>
          <t>F1067</t>
        </is>
      </c>
      <c r="B1529" s="738" t="n">
        <v>43263.9375</v>
      </c>
      <c r="C1529" s="739" t="n">
        <v>43263.94861111111</v>
      </c>
      <c r="D1529" s="740" t="inlineStr">
        <is>
          <t>PEPPERSTONE DEMO</t>
        </is>
      </c>
      <c r="E1529" s="740" t="inlineStr">
        <is>
          <t>AUDUSD</t>
        </is>
      </c>
      <c r="F1529" s="740" t="inlineStr">
        <is>
          <t>BUY</t>
        </is>
      </c>
      <c r="G1529" s="775" t="n">
        <v>0.06</v>
      </c>
      <c r="H1529" s="742" t="n">
        <v>0.7602</v>
      </c>
      <c r="I1529" s="742" t="n">
        <v>0.7613</v>
      </c>
      <c r="J1529" s="743" t="n">
        <v>0.7599</v>
      </c>
      <c r="K1529" s="765" t="n">
        <v>0.0003946329913180307</v>
      </c>
      <c r="L1529" s="743" t="n">
        <v>0.7613</v>
      </c>
      <c r="M1529" s="744" t="n">
        <v>0.001446987634832925</v>
      </c>
      <c r="N1529" s="796" t="n"/>
      <c r="O1529" s="767" t="n">
        <v>5.35</v>
      </c>
      <c r="P1529" s="747" t="n">
        <v>0.02986491012615831</v>
      </c>
      <c r="Q1529" s="748" t="n">
        <v>3.666666666667037</v>
      </c>
      <c r="R1529" s="769" t="n">
        <v>184.49</v>
      </c>
      <c r="S1529" s="740" t="inlineStr">
        <is>
          <t>16M 0S</t>
        </is>
      </c>
      <c r="T1529" s="750" t="n"/>
      <c r="U1529" s="751" t="n"/>
      <c r="V1529" s="752" t="n"/>
      <c r="W1529" s="753" t="n"/>
      <c r="X1529" s="754" t="n"/>
      <c r="Y1529" s="750" t="n"/>
      <c r="Z1529" s="751" t="n"/>
      <c r="AA1529" s="752" t="n"/>
      <c r="AB1529" s="753" t="n"/>
      <c r="AC1529" s="754" t="n"/>
      <c r="AD1529" s="740" t="inlineStr">
        <is>
          <t>No</t>
        </is>
      </c>
      <c r="AE1529" s="755" t="n"/>
      <c r="AF1529" s="755" t="n"/>
      <c r="AG1529" s="755" t="n"/>
      <c r="AH1529" s="755" t="n"/>
      <c r="AI1529" s="755" t="n"/>
      <c r="AJ1529" s="755" t="n"/>
      <c r="AK1529" s="755" t="n"/>
      <c r="AL1529" s="755" t="n"/>
      <c r="AM1529" s="755" t="n"/>
      <c r="AN1529" s="755" t="n"/>
      <c r="AO1529" s="755" t="n"/>
      <c r="AP1529" s="740" t="inlineStr">
        <is>
          <t>Pullback</t>
        </is>
      </c>
      <c r="AQ1529" s="755" t="n"/>
      <c r="AR1529" s="740" t="inlineStr">
        <is>
          <t>No</t>
        </is>
      </c>
      <c r="AS1529" s="755" t="n"/>
      <c r="AT1529" s="755" t="n"/>
      <c r="AU1529" s="755" t="n"/>
      <c r="AV1529" s="755" t="n"/>
      <c r="AW1529" s="740" t="inlineStr">
        <is>
          <t>trade</t>
        </is>
      </c>
      <c r="AX1529" s="756" t="inlineStr">
        <is>
          <t>sig:eefc9b91123c56d5643334e6</t>
        </is>
      </c>
    </row>
    <row r="1530" ht="15" customHeight="1">
      <c r="A1530" s="716" t="inlineStr">
        <is>
          <t>F1066</t>
        </is>
      </c>
      <c r="B1530" s="717" t="n">
        <v>43263.92222222222</v>
      </c>
      <c r="C1530" s="718" t="n">
        <v>43263.92291666667</v>
      </c>
      <c r="D1530" s="719" t="inlineStr">
        <is>
          <t>PEPPERSTONE DEMO</t>
        </is>
      </c>
      <c r="E1530" s="719" t="inlineStr">
        <is>
          <t>AUDUSD</t>
        </is>
      </c>
      <c r="F1530" s="719" t="inlineStr">
        <is>
          <t>BUY</t>
        </is>
      </c>
      <c r="G1530" s="735" t="n">
        <v>0.06</v>
      </c>
      <c r="H1530" s="720" t="n">
        <v>0.7606000000000001</v>
      </c>
      <c r="I1530" s="720" t="n">
        <v>0.76053</v>
      </c>
      <c r="J1530" s="721" t="n">
        <v>0.7605</v>
      </c>
      <c r="K1530" s="760" t="n">
        <v>0.0001314751511965553</v>
      </c>
      <c r="L1530" s="721" t="n">
        <v>0.761</v>
      </c>
      <c r="M1530" s="760" t="n">
        <v>0.0005259006047856375</v>
      </c>
      <c r="N1530" s="788" t="n"/>
      <c r="O1530" s="762" t="n">
        <v>-1.18</v>
      </c>
      <c r="P1530" s="725" t="n">
        <v>-0.006543921916592724</v>
      </c>
      <c r="Q1530" s="726" t="n">
        <v>-0.6999999999994448</v>
      </c>
      <c r="R1530" s="764" t="n">
        <v>179.14</v>
      </c>
      <c r="S1530" s="719" t="inlineStr">
        <is>
          <t>1M 0S</t>
        </is>
      </c>
      <c r="T1530" s="728" t="n"/>
      <c r="U1530" s="729" t="n"/>
      <c r="V1530" s="730" t="n"/>
      <c r="W1530" s="731" t="n"/>
      <c r="X1530" s="732" t="n"/>
      <c r="Y1530" s="728" t="n"/>
      <c r="Z1530" s="729" t="n"/>
      <c r="AA1530" s="730" t="n"/>
      <c r="AB1530" s="731" t="n"/>
      <c r="AC1530" s="732" t="n"/>
      <c r="AD1530" s="719" t="inlineStr">
        <is>
          <t>No</t>
        </is>
      </c>
      <c r="AE1530" s="733" t="n"/>
      <c r="AF1530" s="733" t="n"/>
      <c r="AG1530" s="733" t="n"/>
      <c r="AH1530" s="733" t="n"/>
      <c r="AI1530" s="733" t="n"/>
      <c r="AJ1530" s="733" t="n"/>
      <c r="AK1530" s="733" t="n"/>
      <c r="AL1530" s="733" t="n"/>
      <c r="AM1530" s="733" t="n"/>
      <c r="AN1530" s="733" t="n"/>
      <c r="AO1530" s="733" t="n"/>
      <c r="AP1530" s="719" t="inlineStr">
        <is>
          <t>Pullback</t>
        </is>
      </c>
      <c r="AQ1530" s="733" t="n"/>
      <c r="AR1530" s="719" t="inlineStr">
        <is>
          <t>No</t>
        </is>
      </c>
      <c r="AS1530" s="733" t="n"/>
      <c r="AT1530" s="733" t="n"/>
      <c r="AU1530" s="733" t="n"/>
      <c r="AV1530" s="733" t="n"/>
      <c r="AW1530" s="719" t="inlineStr">
        <is>
          <t>trade</t>
        </is>
      </c>
      <c r="AX1530" s="734" t="inlineStr">
        <is>
          <t>sig:ac4618d082c43451711c6a2e</t>
        </is>
      </c>
    </row>
    <row r="1531" ht="15" customHeight="1">
      <c r="A1531" s="716" t="inlineStr">
        <is>
          <t>F1065</t>
        </is>
      </c>
      <c r="B1531" s="717" t="n">
        <v>43263.91527777778</v>
      </c>
      <c r="C1531" s="718" t="n">
        <v>43263.91666666666</v>
      </c>
      <c r="D1531" s="719" t="inlineStr">
        <is>
          <t>PEPPERSTONE DEMO</t>
        </is>
      </c>
      <c r="E1531" s="719" t="inlineStr">
        <is>
          <t>AUDUSD</t>
        </is>
      </c>
      <c r="F1531" s="719" t="inlineStr">
        <is>
          <t>BUY</t>
        </is>
      </c>
      <c r="G1531" s="735" t="n">
        <v>0.06</v>
      </c>
      <c r="H1531" s="720" t="n">
        <v>0.761</v>
      </c>
      <c r="I1531" s="720" t="n">
        <v>0.76091</v>
      </c>
      <c r="J1531" s="721" t="n">
        <v>0.7609</v>
      </c>
      <c r="K1531" s="760" t="n">
        <v>0.0001314060446780407</v>
      </c>
      <c r="L1531" s="721" t="n">
        <v>0.7614</v>
      </c>
      <c r="M1531" s="760" t="n">
        <v>0.0005256241787121628</v>
      </c>
      <c r="N1531" s="788" t="n"/>
      <c r="O1531" s="762" t="n">
        <v>-1.34</v>
      </c>
      <c r="P1531" s="725" t="n">
        <v>-0.007376417483210393</v>
      </c>
      <c r="Q1531" s="726" t="n">
        <v>-0.9000000000004441</v>
      </c>
      <c r="R1531" s="764" t="n">
        <v>180.32</v>
      </c>
      <c r="S1531" s="719" t="inlineStr">
        <is>
          <t>2M 0S</t>
        </is>
      </c>
      <c r="T1531" s="728" t="n"/>
      <c r="U1531" s="729" t="n"/>
      <c r="V1531" s="730" t="n"/>
      <c r="W1531" s="731" t="n"/>
      <c r="X1531" s="732" t="n"/>
      <c r="Y1531" s="728" t="n"/>
      <c r="Z1531" s="729" t="n"/>
      <c r="AA1531" s="730" t="n"/>
      <c r="AB1531" s="731" t="n"/>
      <c r="AC1531" s="732" t="n"/>
      <c r="AD1531" s="719" t="inlineStr">
        <is>
          <t>No</t>
        </is>
      </c>
      <c r="AE1531" s="733" t="n"/>
      <c r="AF1531" s="733" t="n"/>
      <c r="AG1531" s="733" t="n"/>
      <c r="AH1531" s="733" t="n"/>
      <c r="AI1531" s="733" t="n"/>
      <c r="AJ1531" s="733" t="n"/>
      <c r="AK1531" s="733" t="n"/>
      <c r="AL1531" s="733" t="n"/>
      <c r="AM1531" s="733" t="n"/>
      <c r="AN1531" s="733" t="n"/>
      <c r="AO1531" s="733" t="n"/>
      <c r="AP1531" s="719" t="inlineStr">
        <is>
          <t>Pullback</t>
        </is>
      </c>
      <c r="AQ1531" s="733" t="n"/>
      <c r="AR1531" s="719" t="inlineStr">
        <is>
          <t>No</t>
        </is>
      </c>
      <c r="AS1531" s="733" t="n"/>
      <c r="AT1531" s="733" t="n"/>
      <c r="AU1531" s="733" t="n"/>
      <c r="AV1531" s="733" t="n"/>
      <c r="AW1531" s="719" t="inlineStr">
        <is>
          <t>trade</t>
        </is>
      </c>
      <c r="AX1531" s="734" t="inlineStr">
        <is>
          <t>sig:6d2154cc56a736474d57509d</t>
        </is>
      </c>
    </row>
    <row r="1532" ht="15" customHeight="1">
      <c r="A1532" s="716" t="inlineStr">
        <is>
          <t>F1064</t>
        </is>
      </c>
      <c r="B1532" s="717" t="n">
        <v>43263.86666666667</v>
      </c>
      <c r="C1532" s="718" t="n">
        <v>43263.86944444444</v>
      </c>
      <c r="D1532" s="719" t="inlineStr">
        <is>
          <t>PEPPERSTONE DEMO</t>
        </is>
      </c>
      <c r="E1532" s="719" t="inlineStr">
        <is>
          <t>AUDUSD</t>
        </is>
      </c>
      <c r="F1532" s="719" t="inlineStr">
        <is>
          <t>BUY</t>
        </is>
      </c>
      <c r="G1532" s="735" t="n">
        <v>0.06</v>
      </c>
      <c r="H1532" s="720" t="n">
        <v>0.7608</v>
      </c>
      <c r="I1532" s="720" t="n">
        <v>0.76066</v>
      </c>
      <c r="J1532" s="721" t="n">
        <v>0.7606000000000001</v>
      </c>
      <c r="K1532" s="760" t="n">
        <v>0.0002628811777076472</v>
      </c>
      <c r="L1532" s="789" t="n"/>
      <c r="M1532" s="732" t="n"/>
      <c r="N1532" s="788" t="n"/>
      <c r="O1532" s="762" t="n">
        <v>-1.34</v>
      </c>
      <c r="P1532" s="725" t="n">
        <v>-0.0073224043715847</v>
      </c>
      <c r="Q1532" s="726" t="n">
        <v>-0.700000000000222</v>
      </c>
      <c r="R1532" s="764" t="n">
        <v>181.66</v>
      </c>
      <c r="S1532" s="719" t="inlineStr">
        <is>
          <t>4M 0S</t>
        </is>
      </c>
      <c r="T1532" s="728" t="n"/>
      <c r="U1532" s="729" t="n"/>
      <c r="V1532" s="730" t="n"/>
      <c r="W1532" s="731" t="n"/>
      <c r="X1532" s="732" t="n"/>
      <c r="Y1532" s="728" t="n"/>
      <c r="Z1532" s="729" t="n"/>
      <c r="AA1532" s="730" t="n"/>
      <c r="AB1532" s="731" t="n"/>
      <c r="AC1532" s="732" t="n"/>
      <c r="AD1532" s="719" t="inlineStr">
        <is>
          <t>No</t>
        </is>
      </c>
      <c r="AE1532" s="733" t="n"/>
      <c r="AF1532" s="733" t="n"/>
      <c r="AG1532" s="733" t="n"/>
      <c r="AH1532" s="733" t="n"/>
      <c r="AI1532" s="733" t="n"/>
      <c r="AJ1532" s="733" t="n"/>
      <c r="AK1532" s="733" t="n"/>
      <c r="AL1532" s="733" t="n"/>
      <c r="AM1532" s="733" t="n"/>
      <c r="AN1532" s="733" t="n"/>
      <c r="AO1532" s="733" t="n"/>
      <c r="AP1532" s="719" t="inlineStr">
        <is>
          <t>Pullback</t>
        </is>
      </c>
      <c r="AQ1532" s="733" t="n"/>
      <c r="AR1532" s="719" t="inlineStr">
        <is>
          <t>No</t>
        </is>
      </c>
      <c r="AS1532" s="733" t="n"/>
      <c r="AT1532" s="733" t="n"/>
      <c r="AU1532" s="733" t="n"/>
      <c r="AV1532" s="733" t="n"/>
      <c r="AW1532" s="719" t="inlineStr">
        <is>
          <t>trade</t>
        </is>
      </c>
      <c r="AX1532" s="734" t="inlineStr">
        <is>
          <t>sig:49e0c7cefda907dbabd89bc2</t>
        </is>
      </c>
    </row>
    <row r="1533" ht="15" customHeight="1">
      <c r="A1533" s="716" t="inlineStr">
        <is>
          <t>F1063</t>
        </is>
      </c>
      <c r="B1533" s="717" t="n">
        <v>43263.82152777778</v>
      </c>
      <c r="C1533" s="718" t="n">
        <v>43263.82222222222</v>
      </c>
      <c r="D1533" s="719" t="inlineStr">
        <is>
          <t>PEPPERSTONE DEMO</t>
        </is>
      </c>
      <c r="E1533" s="719" t="inlineStr">
        <is>
          <t>AUDUSD</t>
        </is>
      </c>
      <c r="F1533" s="719" t="inlineStr">
        <is>
          <t>BUY</t>
        </is>
      </c>
      <c r="G1533" s="735" t="n">
        <v>0.03</v>
      </c>
      <c r="H1533" s="720" t="n">
        <v>0.7616000000000001</v>
      </c>
      <c r="I1533" s="720" t="n">
        <v>0.76147</v>
      </c>
      <c r="J1533" s="721" t="n">
        <v>0.7614</v>
      </c>
      <c r="K1533" s="760" t="n">
        <v>0.0002626050420169235</v>
      </c>
      <c r="L1533" s="721" t="n"/>
      <c r="M1533" s="722" t="n"/>
      <c r="N1533" s="788" t="n"/>
      <c r="O1533" s="762" t="n">
        <v>-0.79</v>
      </c>
      <c r="P1533" s="725" t="n">
        <v>-0.004298384025246205</v>
      </c>
      <c r="Q1533" s="726" t="n">
        <v>-0.6500000000000833</v>
      </c>
      <c r="R1533" s="764" t="n">
        <v>183</v>
      </c>
      <c r="S1533" s="719" t="inlineStr">
        <is>
          <t>1M 0S</t>
        </is>
      </c>
      <c r="T1533" s="728" t="n"/>
      <c r="U1533" s="729" t="n"/>
      <c r="V1533" s="730" t="n"/>
      <c r="W1533" s="731" t="n"/>
      <c r="X1533" s="732" t="n"/>
      <c r="Y1533" s="728" t="n"/>
      <c r="Z1533" s="729" t="n"/>
      <c r="AA1533" s="730" t="n"/>
      <c r="AB1533" s="731" t="n"/>
      <c r="AC1533" s="732" t="n"/>
      <c r="AD1533" s="719" t="inlineStr">
        <is>
          <t>No</t>
        </is>
      </c>
      <c r="AE1533" s="733" t="n"/>
      <c r="AF1533" s="733" t="n"/>
      <c r="AG1533" s="733" t="n"/>
      <c r="AH1533" s="733" t="n"/>
      <c r="AI1533" s="733" t="n"/>
      <c r="AJ1533" s="733" t="n"/>
      <c r="AK1533" s="733" t="n"/>
      <c r="AL1533" s="733" t="n"/>
      <c r="AM1533" s="733" t="n"/>
      <c r="AN1533" s="733" t="n"/>
      <c r="AO1533" s="733" t="n"/>
      <c r="AP1533" s="719" t="inlineStr">
        <is>
          <t>Pullback</t>
        </is>
      </c>
      <c r="AQ1533" s="733" t="n"/>
      <c r="AR1533" s="719" t="inlineStr">
        <is>
          <t>No</t>
        </is>
      </c>
      <c r="AS1533" s="733" t="n"/>
      <c r="AT1533" s="733" t="n"/>
      <c r="AU1533" s="733" t="n"/>
      <c r="AV1533" s="733" t="n"/>
      <c r="AW1533" s="719" t="inlineStr">
        <is>
          <t>trade</t>
        </is>
      </c>
      <c r="AX1533" s="734" t="inlineStr">
        <is>
          <t>sig:252652f3fff47869ee08abf1</t>
        </is>
      </c>
    </row>
    <row r="1534" ht="15" customHeight="1">
      <c r="A1534" s="716" t="inlineStr">
        <is>
          <t>F1062</t>
        </is>
      </c>
      <c r="B1534" s="717" t="n">
        <v>43263.81736111111</v>
      </c>
      <c r="C1534" s="718" t="n">
        <v>43263.81805555556</v>
      </c>
      <c r="D1534" s="719" t="inlineStr">
        <is>
          <t>PEPPERSTONE DEMO</t>
        </is>
      </c>
      <c r="E1534" s="719" t="inlineStr">
        <is>
          <t>AUDUSD</t>
        </is>
      </c>
      <c r="F1534" s="719" t="inlineStr">
        <is>
          <t>BUY</t>
        </is>
      </c>
      <c r="G1534" s="735" t="n">
        <v>0.02</v>
      </c>
      <c r="H1534" s="720" t="n">
        <v>0.7619</v>
      </c>
      <c r="I1534" s="720" t="n">
        <v>0.76171</v>
      </c>
      <c r="J1534" s="721" t="n">
        <v>0.7617</v>
      </c>
      <c r="K1534" s="760" t="n">
        <v>0.000262501640635225</v>
      </c>
      <c r="L1534" s="721" t="n"/>
      <c r="M1534" s="722" t="n"/>
      <c r="N1534" s="788" t="n"/>
      <c r="O1534" s="762" t="n">
        <v>-0.53</v>
      </c>
      <c r="P1534" s="725" t="n">
        <v>-0.002875434027777778</v>
      </c>
      <c r="Q1534" s="726" t="n">
        <v>-0.950000000000222</v>
      </c>
      <c r="R1534" s="764" t="n">
        <v>183.79</v>
      </c>
      <c r="S1534" s="719" t="inlineStr">
        <is>
          <t>1M 0S</t>
        </is>
      </c>
      <c r="T1534" s="728" t="n"/>
      <c r="U1534" s="729" t="n"/>
      <c r="V1534" s="730" t="n"/>
      <c r="W1534" s="731" t="n"/>
      <c r="X1534" s="732" t="n"/>
      <c r="Y1534" s="728" t="n"/>
      <c r="Z1534" s="729" t="n"/>
      <c r="AA1534" s="730" t="n"/>
      <c r="AB1534" s="731" t="n"/>
      <c r="AC1534" s="732" t="n"/>
      <c r="AD1534" s="719" t="inlineStr">
        <is>
          <t>No</t>
        </is>
      </c>
      <c r="AE1534" s="733" t="n"/>
      <c r="AF1534" s="733" t="n"/>
      <c r="AG1534" s="733" t="n"/>
      <c r="AH1534" s="733" t="n"/>
      <c r="AI1534" s="733" t="n"/>
      <c r="AJ1534" s="733" t="n"/>
      <c r="AK1534" s="733" t="n"/>
      <c r="AL1534" s="733" t="n"/>
      <c r="AM1534" s="733" t="n"/>
      <c r="AN1534" s="733" t="n"/>
      <c r="AO1534" s="733" t="n"/>
      <c r="AP1534" s="719" t="inlineStr">
        <is>
          <t>Pullback</t>
        </is>
      </c>
      <c r="AQ1534" s="733" t="n"/>
      <c r="AR1534" s="719" t="inlineStr">
        <is>
          <t>No</t>
        </is>
      </c>
      <c r="AS1534" s="733" t="n"/>
      <c r="AT1534" s="733" t="n"/>
      <c r="AU1534" s="733" t="n"/>
      <c r="AV1534" s="733" t="n"/>
      <c r="AW1534" s="719" t="inlineStr">
        <is>
          <t>trade</t>
        </is>
      </c>
      <c r="AX1534" s="734" t="inlineStr">
        <is>
          <t>sig:2022e1bae8f43a4399998fb9</t>
        </is>
      </c>
    </row>
    <row r="1535" ht="15" customHeight="1">
      <c r="A1535" s="716" t="inlineStr">
        <is>
          <t>F1061</t>
        </is>
      </c>
      <c r="B1535" s="717" t="n">
        <v>43263.81319444445</v>
      </c>
      <c r="C1535" s="718" t="n">
        <v>43263.81388888889</v>
      </c>
      <c r="D1535" s="719" t="inlineStr">
        <is>
          <t>PEPPERSTONE DEMO</t>
        </is>
      </c>
      <c r="E1535" s="719" t="inlineStr">
        <is>
          <t>AUDUSD</t>
        </is>
      </c>
      <c r="F1535" s="719" t="inlineStr">
        <is>
          <t>BUY</t>
        </is>
      </c>
      <c r="G1535" s="735" t="n">
        <v>0.01</v>
      </c>
      <c r="H1535" s="720" t="n">
        <v>0.7617</v>
      </c>
      <c r="I1535" s="720" t="n">
        <v>0.76165</v>
      </c>
      <c r="J1535" s="721" t="n">
        <v>0.7583</v>
      </c>
      <c r="K1535" s="722" t="n">
        <v>0.004463699619272771</v>
      </c>
      <c r="L1535" s="721" t="n"/>
      <c r="M1535" s="722" t="n"/>
      <c r="N1535" s="788" t="n"/>
      <c r="O1535" s="762" t="n">
        <v>-0.14</v>
      </c>
      <c r="P1535" s="763" t="n">
        <v>-0.000758972134880191</v>
      </c>
      <c r="Q1535" s="781" t="n">
        <v>-0.01470588235293926</v>
      </c>
      <c r="R1535" s="764" t="n">
        <v>184.32</v>
      </c>
      <c r="S1535" s="719" t="inlineStr">
        <is>
          <t>1M 0S</t>
        </is>
      </c>
      <c r="T1535" s="728" t="n"/>
      <c r="U1535" s="729" t="n"/>
      <c r="V1535" s="730" t="n"/>
      <c r="W1535" s="731" t="n"/>
      <c r="X1535" s="732" t="n"/>
      <c r="Y1535" s="728" t="n"/>
      <c r="Z1535" s="729" t="n"/>
      <c r="AA1535" s="730" t="n"/>
      <c r="AB1535" s="731" t="n"/>
      <c r="AC1535" s="732" t="n"/>
      <c r="AD1535" s="719" t="inlineStr">
        <is>
          <t>No</t>
        </is>
      </c>
      <c r="AE1535" s="733" t="n"/>
      <c r="AF1535" s="733" t="n"/>
      <c r="AG1535" s="733" t="n"/>
      <c r="AH1535" s="733" t="n"/>
      <c r="AI1535" s="733" t="n"/>
      <c r="AJ1535" s="733" t="n"/>
      <c r="AK1535" s="733" t="n"/>
      <c r="AL1535" s="733" t="n"/>
      <c r="AM1535" s="733" t="n"/>
      <c r="AN1535" s="733" t="n"/>
      <c r="AO1535" s="733" t="n"/>
      <c r="AP1535" s="719" t="inlineStr">
        <is>
          <t>Pullback</t>
        </is>
      </c>
      <c r="AQ1535" s="733" t="n"/>
      <c r="AR1535" s="719" t="inlineStr">
        <is>
          <t>No</t>
        </is>
      </c>
      <c r="AS1535" s="733" t="n"/>
      <c r="AT1535" s="733" t="n"/>
      <c r="AU1535" s="733" t="n"/>
      <c r="AV1535" s="733" t="n"/>
      <c r="AW1535" s="719" t="inlineStr">
        <is>
          <t>trade</t>
        </is>
      </c>
      <c r="AX1535" s="734" t="inlineStr">
        <is>
          <t>sig:2f219e2114e62394a687a2de</t>
        </is>
      </c>
    </row>
    <row r="1536" ht="15" customHeight="1">
      <c r="A1536" s="716" t="inlineStr">
        <is>
          <t>F1060</t>
        </is>
      </c>
      <c r="B1536" s="717" t="n">
        <v>43263.80208333334</v>
      </c>
      <c r="C1536" s="718" t="n">
        <v>43263.80277777778</v>
      </c>
      <c r="D1536" s="719" t="inlineStr">
        <is>
          <t>PEPPERSTONE DEMO</t>
        </is>
      </c>
      <c r="E1536" s="719" t="inlineStr">
        <is>
          <t>EURAUD</t>
        </is>
      </c>
      <c r="F1536" s="719" t="inlineStr">
        <is>
          <t>SELL</t>
        </is>
      </c>
      <c r="G1536" s="735" t="n">
        <v>0.02</v>
      </c>
      <c r="H1536" s="720" t="n">
        <v>1.5486</v>
      </c>
      <c r="I1536" s="720" t="n">
        <v>1.54891</v>
      </c>
      <c r="J1536" s="721" t="n">
        <v>1.5489</v>
      </c>
      <c r="K1536" s="760" t="n">
        <v>0.000193723363037561</v>
      </c>
      <c r="L1536" s="721" t="n"/>
      <c r="M1536" s="722" t="n"/>
      <c r="N1536" s="788" t="n"/>
      <c r="O1536" s="762" t="n">
        <v>-0.62</v>
      </c>
      <c r="P1536" s="725" t="n">
        <v>-0.003349902744759023</v>
      </c>
      <c r="Q1536" s="726" t="n">
        <v>-1.033333333333555</v>
      </c>
      <c r="R1536" s="764" t="n">
        <v>184.46</v>
      </c>
      <c r="S1536" s="719" t="inlineStr">
        <is>
          <t>1M 0S</t>
        </is>
      </c>
      <c r="T1536" s="728" t="n"/>
      <c r="U1536" s="729" t="n"/>
      <c r="V1536" s="730" t="n"/>
      <c r="W1536" s="731" t="n"/>
      <c r="X1536" s="732" t="n"/>
      <c r="Y1536" s="728" t="n"/>
      <c r="Z1536" s="729" t="n"/>
      <c r="AA1536" s="730" t="n"/>
      <c r="AB1536" s="731" t="n"/>
      <c r="AC1536" s="732" t="n"/>
      <c r="AD1536" s="719" t="inlineStr">
        <is>
          <t>No</t>
        </is>
      </c>
      <c r="AE1536" s="733" t="n"/>
      <c r="AF1536" s="733" t="n"/>
      <c r="AG1536" s="733" t="n"/>
      <c r="AH1536" s="733" t="n"/>
      <c r="AI1536" s="733" t="n"/>
      <c r="AJ1536" s="733" t="n"/>
      <c r="AK1536" s="733" t="n"/>
      <c r="AL1536" s="733" t="n"/>
      <c r="AM1536" s="733" t="n"/>
      <c r="AN1536" s="733" t="n"/>
      <c r="AO1536" s="733" t="n"/>
      <c r="AP1536" s="719" t="inlineStr">
        <is>
          <t>Pullback</t>
        </is>
      </c>
      <c r="AQ1536" s="733" t="n"/>
      <c r="AR1536" s="719" t="inlineStr">
        <is>
          <t>No</t>
        </is>
      </c>
      <c r="AS1536" s="733" t="n"/>
      <c r="AT1536" s="733" t="n"/>
      <c r="AU1536" s="733" t="n"/>
      <c r="AV1536" s="733" t="n"/>
      <c r="AW1536" s="719" t="inlineStr">
        <is>
          <t>trade</t>
        </is>
      </c>
      <c r="AX1536" s="734" t="inlineStr">
        <is>
          <t>sig:c4930fd734a4bcae97397a4d</t>
        </is>
      </c>
    </row>
    <row r="1537" ht="15" customHeight="1">
      <c r="A1537" s="716" t="inlineStr">
        <is>
          <t>F1059</t>
        </is>
      </c>
      <c r="B1537" s="717" t="n">
        <v>43263.78819444445</v>
      </c>
      <c r="C1537" s="718" t="n">
        <v>43263.79513888889</v>
      </c>
      <c r="D1537" s="719" t="inlineStr">
        <is>
          <t>PEPPERSTONE DEMO</t>
        </is>
      </c>
      <c r="E1537" s="719" t="inlineStr">
        <is>
          <t>EURAUD</t>
        </is>
      </c>
      <c r="F1537" s="719" t="inlineStr">
        <is>
          <t>SELL</t>
        </is>
      </c>
      <c r="G1537" s="735" t="n">
        <v>0.02</v>
      </c>
      <c r="H1537" s="720" t="n">
        <v>1.5484</v>
      </c>
      <c r="I1537" s="720" t="n">
        <v>1.54845</v>
      </c>
      <c r="J1537" s="721" t="n"/>
      <c r="K1537" s="722" t="n"/>
      <c r="L1537" s="721" t="n"/>
      <c r="M1537" s="722" t="n"/>
      <c r="N1537" s="788" t="n"/>
      <c r="O1537" s="804" t="n">
        <v>-0.06</v>
      </c>
      <c r="P1537" s="763" t="n">
        <v>-0.0003240790752943718</v>
      </c>
      <c r="Q1537" s="726" t="n"/>
      <c r="R1537" s="764" t="n">
        <v>185.08</v>
      </c>
      <c r="S1537" s="719" t="inlineStr">
        <is>
          <t>10M 0S</t>
        </is>
      </c>
      <c r="T1537" s="728" t="n"/>
      <c r="U1537" s="729" t="n"/>
      <c r="V1537" s="730" t="n"/>
      <c r="W1537" s="731" t="n"/>
      <c r="X1537" s="732" t="n"/>
      <c r="Y1537" s="728" t="n"/>
      <c r="Z1537" s="729" t="n"/>
      <c r="AA1537" s="730" t="n"/>
      <c r="AB1537" s="731" t="n"/>
      <c r="AC1537" s="732" t="n"/>
      <c r="AD1537" s="719" t="inlineStr">
        <is>
          <t>No</t>
        </is>
      </c>
      <c r="AE1537" s="733" t="n"/>
      <c r="AF1537" s="733" t="n"/>
      <c r="AG1537" s="733" t="n"/>
      <c r="AH1537" s="733" t="n"/>
      <c r="AI1537" s="733" t="n"/>
      <c r="AJ1537" s="733" t="n"/>
      <c r="AK1537" s="733" t="n"/>
      <c r="AL1537" s="733" t="n"/>
      <c r="AM1537" s="733" t="n"/>
      <c r="AN1537" s="733" t="n"/>
      <c r="AO1537" s="733" t="n"/>
      <c r="AP1537" s="719" t="inlineStr">
        <is>
          <t>Pullback</t>
        </is>
      </c>
      <c r="AQ1537" s="733" t="n"/>
      <c r="AR1537" s="719" t="inlineStr">
        <is>
          <t>No</t>
        </is>
      </c>
      <c r="AS1537" s="733" t="n"/>
      <c r="AT1537" s="733" t="n"/>
      <c r="AU1537" s="733" t="n"/>
      <c r="AV1537" s="733" t="n"/>
      <c r="AW1537" s="719" t="inlineStr">
        <is>
          <t>trade</t>
        </is>
      </c>
      <c r="AX1537" s="734" t="inlineStr">
        <is>
          <t>sig:c38527fe4f55a92742aff16e</t>
        </is>
      </c>
    </row>
    <row r="1538" ht="15" customHeight="1">
      <c r="A1538" s="716" t="inlineStr">
        <is>
          <t>F1058</t>
        </is>
      </c>
      <c r="B1538" s="717" t="n">
        <v>43263.78472222222</v>
      </c>
      <c r="C1538" s="718" t="n">
        <v>43263.7875</v>
      </c>
      <c r="D1538" s="719" t="inlineStr">
        <is>
          <t>PEPPERSTONE DEMO</t>
        </is>
      </c>
      <c r="E1538" s="719" t="inlineStr">
        <is>
          <t>EURAUD</t>
        </is>
      </c>
      <c r="F1538" s="719" t="inlineStr">
        <is>
          <t>SELL</t>
        </is>
      </c>
      <c r="G1538" s="735" t="n">
        <v>0.01</v>
      </c>
      <c r="H1538" s="720" t="n">
        <v>1.5481</v>
      </c>
      <c r="I1538" s="720" t="n">
        <v>1.54882</v>
      </c>
      <c r="J1538" s="721" t="n">
        <v>1.5488</v>
      </c>
      <c r="K1538" s="760" t="n">
        <v>0.0004521671726632148</v>
      </c>
      <c r="L1538" s="721" t="n"/>
      <c r="M1538" s="722" t="n"/>
      <c r="N1538" s="788" t="n"/>
      <c r="O1538" s="762" t="n">
        <v>-0.68</v>
      </c>
      <c r="P1538" s="725" t="n">
        <v>-0.003659455386933592</v>
      </c>
      <c r="Q1538" s="726" t="n">
        <v>-1.028571428571619</v>
      </c>
      <c r="R1538" s="764" t="n">
        <v>185.14</v>
      </c>
      <c r="S1538" s="719" t="inlineStr">
        <is>
          <t>4M 0S</t>
        </is>
      </c>
      <c r="T1538" s="728" t="n"/>
      <c r="U1538" s="729" t="n"/>
      <c r="V1538" s="730" t="n"/>
      <c r="W1538" s="731" t="n"/>
      <c r="X1538" s="732" t="n"/>
      <c r="Y1538" s="728" t="n"/>
      <c r="Z1538" s="729" t="n"/>
      <c r="AA1538" s="730" t="n"/>
      <c r="AB1538" s="731" t="n"/>
      <c r="AC1538" s="732" t="n"/>
      <c r="AD1538" s="719" t="inlineStr">
        <is>
          <t>No</t>
        </is>
      </c>
      <c r="AE1538" s="733" t="n"/>
      <c r="AF1538" s="733" t="n"/>
      <c r="AG1538" s="733" t="n"/>
      <c r="AH1538" s="733" t="n"/>
      <c r="AI1538" s="733" t="n"/>
      <c r="AJ1538" s="733" t="n"/>
      <c r="AK1538" s="733" t="n"/>
      <c r="AL1538" s="733" t="n"/>
      <c r="AM1538" s="733" t="n"/>
      <c r="AN1538" s="733" t="n"/>
      <c r="AO1538" s="733" t="n"/>
      <c r="AP1538" s="719" t="inlineStr">
        <is>
          <t>Pullback</t>
        </is>
      </c>
      <c r="AQ1538" s="733" t="n"/>
      <c r="AR1538" s="719" t="inlineStr">
        <is>
          <t>No</t>
        </is>
      </c>
      <c r="AS1538" s="733" t="n"/>
      <c r="AT1538" s="733" t="n"/>
      <c r="AU1538" s="733" t="n"/>
      <c r="AV1538" s="733" t="n"/>
      <c r="AW1538" s="719" t="inlineStr">
        <is>
          <t>trade</t>
        </is>
      </c>
      <c r="AX1538" s="734" t="inlineStr">
        <is>
          <t>sig:dad981b8770f0f4680ab40e4</t>
        </is>
      </c>
    </row>
    <row r="1539" ht="15" customHeight="1">
      <c r="A1539" s="716" t="inlineStr">
        <is>
          <t>F1057</t>
        </is>
      </c>
      <c r="B1539" s="717" t="n">
        <v>43263.78402777778</v>
      </c>
      <c r="C1539" s="718" t="n">
        <v>43263.7875</v>
      </c>
      <c r="D1539" s="719" t="inlineStr">
        <is>
          <t>PEPPERSTONE DEMO</t>
        </is>
      </c>
      <c r="E1539" s="719" t="inlineStr">
        <is>
          <t>EURAUD</t>
        </is>
      </c>
      <c r="F1539" s="719" t="inlineStr">
        <is>
          <t>SELL</t>
        </is>
      </c>
      <c r="G1539" s="735" t="n">
        <v>0.01</v>
      </c>
      <c r="H1539" s="720" t="n">
        <v>1.5482</v>
      </c>
      <c r="I1539" s="720" t="n">
        <v>1.54888</v>
      </c>
      <c r="J1539" s="721" t="n">
        <v>1.5488</v>
      </c>
      <c r="K1539" s="760" t="n">
        <v>0.0003875468285750768</v>
      </c>
      <c r="L1539" s="721" t="n"/>
      <c r="M1539" s="722" t="n"/>
      <c r="N1539" s="788" t="n"/>
      <c r="O1539" s="762" t="n">
        <v>-0.59</v>
      </c>
      <c r="P1539" s="725" t="n">
        <v>-0.003165066251810525</v>
      </c>
      <c r="Q1539" s="726" t="n">
        <v>-1.133333333333481</v>
      </c>
      <c r="R1539" s="764" t="n">
        <v>185.82</v>
      </c>
      <c r="S1539" s="719" t="inlineStr">
        <is>
          <t>5M 0S</t>
        </is>
      </c>
      <c r="T1539" s="728" t="n"/>
      <c r="U1539" s="729" t="n"/>
      <c r="V1539" s="730" t="n"/>
      <c r="W1539" s="731" t="n"/>
      <c r="X1539" s="732" t="n"/>
      <c r="Y1539" s="728" t="n"/>
      <c r="Z1539" s="729" t="n"/>
      <c r="AA1539" s="730" t="n"/>
      <c r="AB1539" s="731" t="n"/>
      <c r="AC1539" s="732" t="n"/>
      <c r="AD1539" s="719" t="inlineStr">
        <is>
          <t>No</t>
        </is>
      </c>
      <c r="AE1539" s="733" t="n"/>
      <c r="AF1539" s="733" t="n"/>
      <c r="AG1539" s="733" t="n"/>
      <c r="AH1539" s="733" t="n"/>
      <c r="AI1539" s="733" t="n"/>
      <c r="AJ1539" s="733" t="n"/>
      <c r="AK1539" s="733" t="n"/>
      <c r="AL1539" s="733" t="n"/>
      <c r="AM1539" s="733" t="n"/>
      <c r="AN1539" s="733" t="n"/>
      <c r="AO1539" s="733" t="n"/>
      <c r="AP1539" s="719" t="inlineStr">
        <is>
          <t>Pullback</t>
        </is>
      </c>
      <c r="AQ1539" s="733" t="n"/>
      <c r="AR1539" s="719" t="inlineStr">
        <is>
          <t>No</t>
        </is>
      </c>
      <c r="AS1539" s="733" t="n"/>
      <c r="AT1539" s="733" t="n"/>
      <c r="AU1539" s="733" t="n"/>
      <c r="AV1539" s="733" t="n"/>
      <c r="AW1539" s="719" t="inlineStr">
        <is>
          <t>trade</t>
        </is>
      </c>
      <c r="AX1539" s="734" t="inlineStr">
        <is>
          <t>sig:faba88fc3463ea4a3071135f</t>
        </is>
      </c>
    </row>
    <row r="1540" ht="15" customHeight="1">
      <c r="A1540" s="716" t="inlineStr">
        <is>
          <t>F1056</t>
        </is>
      </c>
      <c r="B1540" s="717" t="n">
        <v>43263.77291666667</v>
      </c>
      <c r="C1540" s="718" t="n">
        <v>43263.77361111111</v>
      </c>
      <c r="D1540" s="719" t="inlineStr">
        <is>
          <t>PEPPERSTONE DEMO</t>
        </is>
      </c>
      <c r="E1540" s="719" t="inlineStr">
        <is>
          <t>GBPAUD</t>
        </is>
      </c>
      <c r="F1540" s="719" t="inlineStr">
        <is>
          <t>SELL</t>
        </is>
      </c>
      <c r="G1540" s="735" t="n">
        <v>0.02</v>
      </c>
      <c r="H1540" s="720" t="n">
        <v>1.7601</v>
      </c>
      <c r="I1540" s="720" t="n">
        <v>1.76102</v>
      </c>
      <c r="J1540" s="721" t="n">
        <v>1.761</v>
      </c>
      <c r="K1540" s="760" t="n">
        <v>0.0005113345832622584</v>
      </c>
      <c r="L1540" s="721" t="n"/>
      <c r="M1540" s="722" t="n"/>
      <c r="N1540" s="788" t="n"/>
      <c r="O1540" s="762" t="n">
        <v>-1.8</v>
      </c>
      <c r="P1540" s="725" t="n">
        <v>-0.009563785133627331</v>
      </c>
      <c r="Q1540" s="726" t="n">
        <v>-1.02222222222237</v>
      </c>
      <c r="R1540" s="764" t="n">
        <v>186.41</v>
      </c>
      <c r="S1540" s="719" t="inlineStr">
        <is>
          <t>1M 0S</t>
        </is>
      </c>
      <c r="T1540" s="728" t="n"/>
      <c r="U1540" s="729" t="n"/>
      <c r="V1540" s="730" t="n"/>
      <c r="W1540" s="731" t="n"/>
      <c r="X1540" s="732" t="n"/>
      <c r="Y1540" s="728" t="n"/>
      <c r="Z1540" s="729" t="n"/>
      <c r="AA1540" s="730" t="n"/>
      <c r="AB1540" s="731" t="n"/>
      <c r="AC1540" s="732" t="n"/>
      <c r="AD1540" s="719" t="inlineStr">
        <is>
          <t>No</t>
        </is>
      </c>
      <c r="AE1540" s="733" t="n"/>
      <c r="AF1540" s="733" t="n"/>
      <c r="AG1540" s="733" t="n"/>
      <c r="AH1540" s="733" t="n"/>
      <c r="AI1540" s="733" t="n"/>
      <c r="AJ1540" s="733" t="n"/>
      <c r="AK1540" s="733" t="n"/>
      <c r="AL1540" s="733" t="n"/>
      <c r="AM1540" s="733" t="n"/>
      <c r="AN1540" s="733" t="n"/>
      <c r="AO1540" s="733" t="n"/>
      <c r="AP1540" s="719" t="inlineStr">
        <is>
          <t>Pullback</t>
        </is>
      </c>
      <c r="AQ1540" s="733" t="n"/>
      <c r="AR1540" s="719" t="inlineStr">
        <is>
          <t>No</t>
        </is>
      </c>
      <c r="AS1540" s="733" t="n"/>
      <c r="AT1540" s="733" t="n"/>
      <c r="AU1540" s="733" t="n"/>
      <c r="AV1540" s="733" t="n"/>
      <c r="AW1540" s="719" t="inlineStr">
        <is>
          <t>trade</t>
        </is>
      </c>
      <c r="AX1540" s="734" t="inlineStr">
        <is>
          <t>sig:32316fbbdda87679e6bc07fe</t>
        </is>
      </c>
    </row>
    <row r="1541" ht="15" customHeight="1">
      <c r="A1541" s="716" t="inlineStr">
        <is>
          <t>F1055</t>
        </is>
      </c>
      <c r="B1541" s="717" t="n">
        <v>43263.50277777778</v>
      </c>
      <c r="C1541" s="718" t="n">
        <v>43263.50347222222</v>
      </c>
      <c r="D1541" s="719" t="inlineStr">
        <is>
          <t>PEPPERSTONE DEMO</t>
        </is>
      </c>
      <c r="E1541" s="719" t="inlineStr">
        <is>
          <t>AUDJPY</t>
        </is>
      </c>
      <c r="F1541" s="719" t="inlineStr">
        <is>
          <t>BUY</t>
        </is>
      </c>
      <c r="G1541" s="735" t="n">
        <v>0.02</v>
      </c>
      <c r="H1541" s="720" t="n">
        <v>83.93000000000001</v>
      </c>
      <c r="I1541" s="720" t="n">
        <v>83.90000000000001</v>
      </c>
      <c r="J1541" s="721" t="n">
        <v>83.90000000000001</v>
      </c>
      <c r="K1541" s="760" t="n">
        <v>0.000357440724413215</v>
      </c>
      <c r="L1541" s="721" t="n">
        <v>84.05</v>
      </c>
      <c r="M1541" s="722" t="n">
        <v>0.001429762897652691</v>
      </c>
      <c r="N1541" s="788" t="n"/>
      <c r="O1541" s="762" t="n">
        <v>-0.83</v>
      </c>
      <c r="P1541" s="725" t="n">
        <v>-0.00439060516292848</v>
      </c>
      <c r="Q1541" s="726" t="n">
        <v>-1</v>
      </c>
      <c r="R1541" s="764" t="n">
        <v>188.21</v>
      </c>
      <c r="S1541" s="719" t="inlineStr">
        <is>
          <t>1M 0S</t>
        </is>
      </c>
      <c r="T1541" s="728" t="n"/>
      <c r="U1541" s="729" t="n"/>
      <c r="V1541" s="730" t="n"/>
      <c r="W1541" s="731" t="n"/>
      <c r="X1541" s="732" t="n"/>
      <c r="Y1541" s="728" t="n"/>
      <c r="Z1541" s="729" t="n"/>
      <c r="AA1541" s="730" t="n"/>
      <c r="AB1541" s="731" t="n"/>
      <c r="AC1541" s="732" t="n"/>
      <c r="AD1541" s="719" t="inlineStr">
        <is>
          <t>No</t>
        </is>
      </c>
      <c r="AE1541" s="733" t="n"/>
      <c r="AF1541" s="733" t="n"/>
      <c r="AG1541" s="733" t="n"/>
      <c r="AH1541" s="733" t="n"/>
      <c r="AI1541" s="733" t="n"/>
      <c r="AJ1541" s="733" t="n"/>
      <c r="AK1541" s="733" t="n"/>
      <c r="AL1541" s="733" t="n"/>
      <c r="AM1541" s="733" t="n"/>
      <c r="AN1541" s="733" t="n"/>
      <c r="AO1541" s="733" t="n"/>
      <c r="AP1541" s="719" t="inlineStr">
        <is>
          <t>Pullback</t>
        </is>
      </c>
      <c r="AQ1541" s="733" t="n"/>
      <c r="AR1541" s="719" t="inlineStr">
        <is>
          <t>No</t>
        </is>
      </c>
      <c r="AS1541" s="733" t="n"/>
      <c r="AT1541" s="733" t="n"/>
      <c r="AU1541" s="733" t="n"/>
      <c r="AV1541" s="733" t="n"/>
      <c r="AW1541" s="719" t="inlineStr">
        <is>
          <t>trade</t>
        </is>
      </c>
      <c r="AX1541" s="734" t="inlineStr">
        <is>
          <t>sig:7f6fa2d01765afc507c52a5d</t>
        </is>
      </c>
    </row>
    <row r="1542" ht="15" customHeight="1">
      <c r="A1542" s="716" t="inlineStr">
        <is>
          <t>F1054</t>
        </is>
      </c>
      <c r="B1542" s="717" t="n">
        <v>43263.45347222222</v>
      </c>
      <c r="C1542" s="718" t="n">
        <v>43263.45416666667</v>
      </c>
      <c r="D1542" s="719" t="inlineStr">
        <is>
          <t>PEPPERSTONE DEMO</t>
        </is>
      </c>
      <c r="E1542" s="719" t="inlineStr">
        <is>
          <t>AUDJPY</t>
        </is>
      </c>
      <c r="F1542" s="719" t="inlineStr">
        <is>
          <t>BUY</t>
        </is>
      </c>
      <c r="G1542" s="735" t="n">
        <v>0.03</v>
      </c>
      <c r="H1542" s="720" t="n">
        <v>83.81999999999999</v>
      </c>
      <c r="I1542" s="720" t="n">
        <v>83.75</v>
      </c>
      <c r="J1542" s="721" t="n">
        <v>83.75</v>
      </c>
      <c r="K1542" s="760" t="n">
        <v>0.0008351228823668956</v>
      </c>
      <c r="L1542" s="721" t="n">
        <v>83.90000000000001</v>
      </c>
      <c r="M1542" s="760" t="n">
        <v>0.0009544261512766943</v>
      </c>
      <c r="N1542" s="788" t="n"/>
      <c r="O1542" s="762" t="n">
        <v>-2.51</v>
      </c>
      <c r="P1542" s="725" t="n">
        <v>-0.01310362829548421</v>
      </c>
      <c r="Q1542" s="726" t="n">
        <v>-1</v>
      </c>
      <c r="R1542" s="764" t="n">
        <v>189.04</v>
      </c>
      <c r="S1542" s="719" t="inlineStr">
        <is>
          <t>1M 0S</t>
        </is>
      </c>
      <c r="T1542" s="728" t="n"/>
      <c r="U1542" s="729" t="n"/>
      <c r="V1542" s="730" t="n"/>
      <c r="W1542" s="731" t="n"/>
      <c r="X1542" s="732" t="n"/>
      <c r="Y1542" s="728" t="n"/>
      <c r="Z1542" s="729" t="n"/>
      <c r="AA1542" s="730" t="n"/>
      <c r="AB1542" s="731" t="n"/>
      <c r="AC1542" s="732" t="n"/>
      <c r="AD1542" s="719" t="inlineStr">
        <is>
          <t>No</t>
        </is>
      </c>
      <c r="AE1542" s="733" t="n"/>
      <c r="AF1542" s="733" t="n"/>
      <c r="AG1542" s="733" t="n"/>
      <c r="AH1542" s="733" t="n"/>
      <c r="AI1542" s="733" t="n"/>
      <c r="AJ1542" s="733" t="n"/>
      <c r="AK1542" s="733" t="n"/>
      <c r="AL1542" s="733" t="n"/>
      <c r="AM1542" s="733" t="n"/>
      <c r="AN1542" s="733" t="n"/>
      <c r="AO1542" s="733" t="n"/>
      <c r="AP1542" s="719" t="inlineStr">
        <is>
          <t>Pullback</t>
        </is>
      </c>
      <c r="AQ1542" s="733" t="n"/>
      <c r="AR1542" s="719" t="inlineStr">
        <is>
          <t>No</t>
        </is>
      </c>
      <c r="AS1542" s="733" t="n"/>
      <c r="AT1542" s="733" t="n"/>
      <c r="AU1542" s="733" t="n"/>
      <c r="AV1542" s="733" t="n"/>
      <c r="AW1542" s="719" t="inlineStr">
        <is>
          <t>trade</t>
        </is>
      </c>
      <c r="AX1542" s="734" t="inlineStr">
        <is>
          <t>sig:dde17e8ce11f360c676b5e9c</t>
        </is>
      </c>
    </row>
    <row r="1543" ht="15" customHeight="1">
      <c r="A1543" s="716" t="inlineStr">
        <is>
          <t>F1053</t>
        </is>
      </c>
      <c r="B1543" s="717" t="n">
        <v>43262.79513888889</v>
      </c>
      <c r="C1543" s="718" t="n">
        <v>43262.80208333334</v>
      </c>
      <c r="D1543" s="719" t="inlineStr">
        <is>
          <t>PEPPERSTONE DEMO</t>
        </is>
      </c>
      <c r="E1543" s="719" t="inlineStr">
        <is>
          <t>EURAUD</t>
        </is>
      </c>
      <c r="F1543" s="719" t="inlineStr">
        <is>
          <t>SELL</t>
        </is>
      </c>
      <c r="G1543" s="735" t="n">
        <v>0.04</v>
      </c>
      <c r="H1543" s="720" t="n">
        <v>1.5497</v>
      </c>
      <c r="I1543" s="720" t="n">
        <v>1.55005</v>
      </c>
      <c r="J1543" s="721" t="n">
        <v>1.55</v>
      </c>
      <c r="K1543" s="760" t="n">
        <v>0.0001935858553268161</v>
      </c>
      <c r="L1543" s="721" t="n">
        <v>1.5489</v>
      </c>
      <c r="M1543" s="760" t="n">
        <v>0.0005162289475383196</v>
      </c>
      <c r="N1543" s="788" t="n"/>
      <c r="O1543" s="762" t="n">
        <v>-1.32</v>
      </c>
      <c r="P1543" s="725" t="n">
        <v>-0.006843988178565874</v>
      </c>
      <c r="Q1543" s="726" t="n">
        <v>-1.166666666666297</v>
      </c>
      <c r="R1543" s="764" t="n">
        <v>191.55</v>
      </c>
      <c r="S1543" s="719" t="inlineStr">
        <is>
          <t>10M 0S</t>
        </is>
      </c>
      <c r="T1543" s="728" t="n"/>
      <c r="U1543" s="729" t="n"/>
      <c r="V1543" s="730" t="n"/>
      <c r="W1543" s="731" t="n"/>
      <c r="X1543" s="732" t="n"/>
      <c r="Y1543" s="728" t="n"/>
      <c r="Z1543" s="729" t="n"/>
      <c r="AA1543" s="730" t="n"/>
      <c r="AB1543" s="731" t="n"/>
      <c r="AC1543" s="732" t="n"/>
      <c r="AD1543" s="719" t="inlineStr">
        <is>
          <t>No</t>
        </is>
      </c>
      <c r="AE1543" s="733" t="n"/>
      <c r="AF1543" s="733" t="n"/>
      <c r="AG1543" s="733" t="n"/>
      <c r="AH1543" s="733" t="n"/>
      <c r="AI1543" s="733" t="n"/>
      <c r="AJ1543" s="733" t="n"/>
      <c r="AK1543" s="733" t="n"/>
      <c r="AL1543" s="733" t="n"/>
      <c r="AM1543" s="733" t="n"/>
      <c r="AN1543" s="733" t="n"/>
      <c r="AO1543" s="733" t="n"/>
      <c r="AP1543" s="719" t="inlineStr">
        <is>
          <t>Pullback</t>
        </is>
      </c>
      <c r="AQ1543" s="733" t="n"/>
      <c r="AR1543" s="719" t="inlineStr">
        <is>
          <t>No</t>
        </is>
      </c>
      <c r="AS1543" s="733" t="n"/>
      <c r="AT1543" s="733" t="n"/>
      <c r="AU1543" s="733" t="n"/>
      <c r="AV1543" s="733" t="n"/>
      <c r="AW1543" s="719" t="inlineStr">
        <is>
          <t>trade</t>
        </is>
      </c>
      <c r="AX1543" s="734" t="inlineStr">
        <is>
          <t>sig:a9277fa0da1acb941a75604e</t>
        </is>
      </c>
    </row>
    <row r="1544" ht="15" customHeight="1">
      <c r="A1544" s="737" t="inlineStr">
        <is>
          <t>F1052</t>
        </is>
      </c>
      <c r="B1544" s="738" t="n">
        <v>43262.77361111111</v>
      </c>
      <c r="C1544" s="739" t="n">
        <v>43262.78680555556</v>
      </c>
      <c r="D1544" s="740" t="inlineStr">
        <is>
          <t>PEPPERSTONE DEMO</t>
        </is>
      </c>
      <c r="E1544" s="740" t="inlineStr">
        <is>
          <t>GBPAUD</t>
        </is>
      </c>
      <c r="F1544" s="740" t="inlineStr">
        <is>
          <t>SELL</t>
        </is>
      </c>
      <c r="G1544" s="775" t="n">
        <v>0.03</v>
      </c>
      <c r="H1544" s="742" t="n">
        <v>1.7587</v>
      </c>
      <c r="I1544" s="742" t="n">
        <v>1.7569</v>
      </c>
      <c r="J1544" s="743" t="n"/>
      <c r="K1544" s="744" t="n"/>
      <c r="L1544" s="743" t="n">
        <v>1.7557</v>
      </c>
      <c r="M1544" s="744" t="n">
        <v>0.001705805424461188</v>
      </c>
      <c r="N1544" s="796" t="n"/>
      <c r="O1544" s="767" t="n">
        <v>4.72</v>
      </c>
      <c r="P1544" s="747" t="n">
        <v>0.02508636726016476</v>
      </c>
      <c r="Q1544" s="748" t="n"/>
      <c r="R1544" s="769" t="n">
        <v>192.87</v>
      </c>
      <c r="S1544" s="740" t="inlineStr">
        <is>
          <t>19M 0S</t>
        </is>
      </c>
      <c r="T1544" s="750" t="n"/>
      <c r="U1544" s="751" t="n"/>
      <c r="V1544" s="752" t="n"/>
      <c r="W1544" s="753" t="n"/>
      <c r="X1544" s="754" t="n"/>
      <c r="Y1544" s="750" t="n"/>
      <c r="Z1544" s="751" t="n"/>
      <c r="AA1544" s="752" t="n"/>
      <c r="AB1544" s="753" t="n"/>
      <c r="AC1544" s="754" t="n"/>
      <c r="AD1544" s="740" t="inlineStr">
        <is>
          <t>No</t>
        </is>
      </c>
      <c r="AE1544" s="755" t="n"/>
      <c r="AF1544" s="755" t="n"/>
      <c r="AG1544" s="755" t="n"/>
      <c r="AH1544" s="755" t="n"/>
      <c r="AI1544" s="755" t="n"/>
      <c r="AJ1544" s="755" t="n"/>
      <c r="AK1544" s="755" t="n"/>
      <c r="AL1544" s="755" t="n"/>
      <c r="AM1544" s="755" t="n"/>
      <c r="AN1544" s="755" t="n"/>
      <c r="AO1544" s="755" t="n"/>
      <c r="AP1544" s="740" t="inlineStr">
        <is>
          <t>Pullback</t>
        </is>
      </c>
      <c r="AQ1544" s="755" t="n"/>
      <c r="AR1544" s="740" t="inlineStr">
        <is>
          <t>No</t>
        </is>
      </c>
      <c r="AS1544" s="755" t="n"/>
      <c r="AT1544" s="755" t="n"/>
      <c r="AU1544" s="755" t="n"/>
      <c r="AV1544" s="755" t="n"/>
      <c r="AW1544" s="740" t="inlineStr">
        <is>
          <t>trade</t>
        </is>
      </c>
      <c r="AX1544" s="756" t="inlineStr">
        <is>
          <t>sig:475506529854c5adda89b3b8</t>
        </is>
      </c>
    </row>
    <row r="1545" ht="15" customHeight="1">
      <c r="A1545" s="716" t="inlineStr">
        <is>
          <t>F1051</t>
        </is>
      </c>
      <c r="B1545" s="717" t="n">
        <v>43262.75902777778</v>
      </c>
      <c r="C1545" s="718" t="n">
        <v>43262.76527777778</v>
      </c>
      <c r="D1545" s="719" t="inlineStr">
        <is>
          <t>PEPPERSTONE DEMO</t>
        </is>
      </c>
      <c r="E1545" s="719" t="inlineStr">
        <is>
          <t>EURAUD</t>
        </is>
      </c>
      <c r="F1545" s="719" t="inlineStr">
        <is>
          <t>SELL</t>
        </is>
      </c>
      <c r="G1545" s="735" t="n">
        <v>0.04</v>
      </c>
      <c r="H1545" s="720" t="n">
        <v>1.5512</v>
      </c>
      <c r="I1545" s="720" t="n">
        <v>1.55145</v>
      </c>
      <c r="J1545" s="721" t="n">
        <v>1.5516</v>
      </c>
      <c r="K1545" s="760" t="n">
        <v>0.0002578648788036217</v>
      </c>
      <c r="L1545" s="721" t="n">
        <v>1.5502</v>
      </c>
      <c r="M1545" s="760" t="n">
        <v>0.0006446621970086964</v>
      </c>
      <c r="N1545" s="788" t="n"/>
      <c r="O1545" s="762" t="n">
        <v>-1</v>
      </c>
      <c r="P1545" s="725" t="n">
        <v>-0.005286809410520749</v>
      </c>
      <c r="Q1545" s="726" t="n">
        <v>-0.6249999999999306</v>
      </c>
      <c r="R1545" s="764" t="n">
        <v>188.15</v>
      </c>
      <c r="S1545" s="719" t="inlineStr">
        <is>
          <t>9M 0S</t>
        </is>
      </c>
      <c r="T1545" s="728" t="n"/>
      <c r="U1545" s="729" t="n"/>
      <c r="V1545" s="730" t="n"/>
      <c r="W1545" s="731" t="n"/>
      <c r="X1545" s="732" t="n"/>
      <c r="Y1545" s="728" t="n"/>
      <c r="Z1545" s="729" t="n"/>
      <c r="AA1545" s="730" t="n"/>
      <c r="AB1545" s="731" t="n"/>
      <c r="AC1545" s="732" t="n"/>
      <c r="AD1545" s="719" t="inlineStr">
        <is>
          <t>No</t>
        </is>
      </c>
      <c r="AE1545" s="733" t="n"/>
      <c r="AF1545" s="733" t="n"/>
      <c r="AG1545" s="733" t="n"/>
      <c r="AH1545" s="733" t="n"/>
      <c r="AI1545" s="733" t="n"/>
      <c r="AJ1545" s="733" t="n"/>
      <c r="AK1545" s="733" t="n"/>
      <c r="AL1545" s="733" t="n"/>
      <c r="AM1545" s="733" t="n"/>
      <c r="AN1545" s="733" t="n"/>
      <c r="AO1545" s="733" t="n"/>
      <c r="AP1545" s="719" t="inlineStr">
        <is>
          <t>Pullback</t>
        </is>
      </c>
      <c r="AQ1545" s="733" t="n"/>
      <c r="AR1545" s="719" t="inlineStr">
        <is>
          <t>No</t>
        </is>
      </c>
      <c r="AS1545" s="733" t="n"/>
      <c r="AT1545" s="733" t="n"/>
      <c r="AU1545" s="733" t="n"/>
      <c r="AV1545" s="733" t="n"/>
      <c r="AW1545" s="719" t="inlineStr">
        <is>
          <t>trade</t>
        </is>
      </c>
      <c r="AX1545" s="734" t="inlineStr">
        <is>
          <t>sig:8c902d321c0d225587cb0248</t>
        </is>
      </c>
    </row>
    <row r="1546" ht="15" customHeight="1">
      <c r="A1546" s="737" t="inlineStr">
        <is>
          <t>F1050</t>
        </is>
      </c>
      <c r="B1546" s="738" t="n">
        <v>43262.73958333334</v>
      </c>
      <c r="C1546" s="739" t="n">
        <v>43262.74305555555</v>
      </c>
      <c r="D1546" s="740" t="inlineStr">
        <is>
          <t>PEPPERSTONE DEMO</t>
        </is>
      </c>
      <c r="E1546" s="740" t="inlineStr">
        <is>
          <t>EURAUD</t>
        </is>
      </c>
      <c r="F1546" s="740" t="inlineStr">
        <is>
          <t>SELL</t>
        </is>
      </c>
      <c r="G1546" s="775" t="n">
        <v>0.03</v>
      </c>
      <c r="H1546" s="742" t="n">
        <v>1.5518</v>
      </c>
      <c r="I1546" s="742" t="n">
        <v>1.55152</v>
      </c>
      <c r="J1546" s="743" t="n">
        <v>1.5522</v>
      </c>
      <c r="K1546" s="765" t="n">
        <v>0.0002577651759247042</v>
      </c>
      <c r="L1546" s="743" t="n">
        <v>1.5508</v>
      </c>
      <c r="M1546" s="765" t="n">
        <v>0.0006444129398119036</v>
      </c>
      <c r="N1546" s="796" t="n"/>
      <c r="O1546" s="767" t="n">
        <v>1.08</v>
      </c>
      <c r="P1546" s="747" t="n">
        <v>0.005742542670282342</v>
      </c>
      <c r="Q1546" s="748" t="n">
        <v>0.700000000000222</v>
      </c>
      <c r="R1546" s="769" t="n">
        <v>189.15</v>
      </c>
      <c r="S1546" s="740" t="inlineStr">
        <is>
          <t>5M 0S</t>
        </is>
      </c>
      <c r="T1546" s="750" t="n"/>
      <c r="U1546" s="751" t="n"/>
      <c r="V1546" s="752" t="n"/>
      <c r="W1546" s="753" t="n"/>
      <c r="X1546" s="754" t="n"/>
      <c r="Y1546" s="750" t="n"/>
      <c r="Z1546" s="751" t="n"/>
      <c r="AA1546" s="752" t="n"/>
      <c r="AB1546" s="753" t="n"/>
      <c r="AC1546" s="754" t="n"/>
      <c r="AD1546" s="740" t="inlineStr">
        <is>
          <t>No</t>
        </is>
      </c>
      <c r="AE1546" s="755" t="n"/>
      <c r="AF1546" s="755" t="n"/>
      <c r="AG1546" s="755" t="n"/>
      <c r="AH1546" s="755" t="n"/>
      <c r="AI1546" s="755" t="n"/>
      <c r="AJ1546" s="755" t="n"/>
      <c r="AK1546" s="755" t="n"/>
      <c r="AL1546" s="755" t="n"/>
      <c r="AM1546" s="755" t="n"/>
      <c r="AN1546" s="755" t="n"/>
      <c r="AO1546" s="755" t="n"/>
      <c r="AP1546" s="740" t="inlineStr">
        <is>
          <t>Pullback</t>
        </is>
      </c>
      <c r="AQ1546" s="755" t="n"/>
      <c r="AR1546" s="740" t="inlineStr">
        <is>
          <t>No</t>
        </is>
      </c>
      <c r="AS1546" s="755" t="n"/>
      <c r="AT1546" s="755" t="n"/>
      <c r="AU1546" s="755" t="n"/>
      <c r="AV1546" s="755" t="n"/>
      <c r="AW1546" s="740" t="inlineStr">
        <is>
          <t>trade</t>
        </is>
      </c>
      <c r="AX1546" s="756" t="inlineStr">
        <is>
          <t>sig:b171de1a225b7f7193a0ec76</t>
        </is>
      </c>
    </row>
    <row r="1547" ht="15" customHeight="1">
      <c r="A1547" s="716" t="inlineStr">
        <is>
          <t>F1049</t>
        </is>
      </c>
      <c r="B1547" s="717" t="n">
        <v>43262.72777777778</v>
      </c>
      <c r="C1547" s="718" t="n">
        <v>43262.72986111111</v>
      </c>
      <c r="D1547" s="719" t="inlineStr">
        <is>
          <t>PEPPERSTONE DEMO</t>
        </is>
      </c>
      <c r="E1547" s="719" t="inlineStr">
        <is>
          <t>GBPAUD</t>
        </is>
      </c>
      <c r="F1547" s="719" t="inlineStr">
        <is>
          <t>SELL</t>
        </is>
      </c>
      <c r="G1547" s="735" t="n">
        <v>0.03</v>
      </c>
      <c r="H1547" s="720" t="n">
        <v>1.7654</v>
      </c>
      <c r="I1547" s="720" t="n">
        <v>1.76574</v>
      </c>
      <c r="J1547" s="721" t="n">
        <v>1.766</v>
      </c>
      <c r="K1547" s="760" t="n">
        <v>0.0003398663192477251</v>
      </c>
      <c r="L1547" s="721" t="n">
        <v>1.7643</v>
      </c>
      <c r="M1547" s="760" t="n">
        <v>0.0006230882519542884</v>
      </c>
      <c r="N1547" s="788" t="n"/>
      <c r="O1547" s="762" t="n">
        <v>-0.87</v>
      </c>
      <c r="P1547" s="725" t="n">
        <v>-0.004604636392505557</v>
      </c>
      <c r="Q1547" s="726" t="n">
        <v>-0.5666666666667407</v>
      </c>
      <c r="R1547" s="764" t="n">
        <v>188.07</v>
      </c>
      <c r="S1547" s="719" t="inlineStr">
        <is>
          <t>3M 0S</t>
        </is>
      </c>
      <c r="T1547" s="728" t="n"/>
      <c r="U1547" s="729" t="n"/>
      <c r="V1547" s="730" t="n"/>
      <c r="W1547" s="731" t="n"/>
      <c r="X1547" s="732" t="n"/>
      <c r="Y1547" s="728" t="n"/>
      <c r="Z1547" s="729" t="n"/>
      <c r="AA1547" s="730" t="n"/>
      <c r="AB1547" s="731" t="n"/>
      <c r="AC1547" s="732" t="n"/>
      <c r="AD1547" s="719" t="inlineStr">
        <is>
          <t>No</t>
        </is>
      </c>
      <c r="AE1547" s="733" t="n"/>
      <c r="AF1547" s="733" t="n"/>
      <c r="AG1547" s="733" t="n"/>
      <c r="AH1547" s="733" t="n"/>
      <c r="AI1547" s="733" t="n"/>
      <c r="AJ1547" s="733" t="n"/>
      <c r="AK1547" s="733" t="n"/>
      <c r="AL1547" s="733" t="n"/>
      <c r="AM1547" s="733" t="n"/>
      <c r="AN1547" s="733" t="n"/>
      <c r="AO1547" s="733" t="n"/>
      <c r="AP1547" s="719" t="inlineStr">
        <is>
          <t>Pullback</t>
        </is>
      </c>
      <c r="AQ1547" s="733" t="n"/>
      <c r="AR1547" s="719" t="inlineStr">
        <is>
          <t>No</t>
        </is>
      </c>
      <c r="AS1547" s="733" t="n"/>
      <c r="AT1547" s="733" t="n"/>
      <c r="AU1547" s="733" t="n"/>
      <c r="AV1547" s="733" t="n"/>
      <c r="AW1547" s="719" t="inlineStr">
        <is>
          <t>trade</t>
        </is>
      </c>
      <c r="AX1547" s="734" t="inlineStr">
        <is>
          <t>sig:0d95778b4e02fe3f52988917</t>
        </is>
      </c>
    </row>
    <row r="1548" ht="15" customHeight="1">
      <c r="A1548" s="716" t="inlineStr">
        <is>
          <t>F1048</t>
        </is>
      </c>
      <c r="B1548" s="717" t="n">
        <v>43262.72172453703</v>
      </c>
      <c r="C1548" s="718" t="n">
        <v>43262.72184027778</v>
      </c>
      <c r="D1548" s="719" t="inlineStr">
        <is>
          <t>PEPPERSTONE DEMO</t>
        </is>
      </c>
      <c r="E1548" s="719" t="inlineStr">
        <is>
          <t>GBPAUD</t>
        </is>
      </c>
      <c r="F1548" s="719" t="inlineStr">
        <is>
          <t>SELL</t>
        </is>
      </c>
      <c r="G1548" s="735" t="n">
        <v>0.05</v>
      </c>
      <c r="H1548" s="720" t="n">
        <v>1.7641</v>
      </c>
      <c r="I1548" s="720" t="n">
        <v>1.76452</v>
      </c>
      <c r="J1548" s="721" t="n">
        <v>1.7645</v>
      </c>
      <c r="K1548" s="760" t="n">
        <v>0.0002267445156170035</v>
      </c>
      <c r="L1548" s="721" t="n">
        <v>1.7634</v>
      </c>
      <c r="M1548" s="760" t="n">
        <v>0.0003968029023297562</v>
      </c>
      <c r="N1548" s="788" t="n"/>
      <c r="O1548" s="762" t="n">
        <v>-1.65</v>
      </c>
      <c r="P1548" s="725" t="n">
        <v>-0.008657327246969935</v>
      </c>
      <c r="Q1548" s="726" t="n">
        <v>-1.050000000000333</v>
      </c>
      <c r="R1548" s="764" t="n">
        <v>188.94</v>
      </c>
      <c r="S1548" s="719" t="inlineStr">
        <is>
          <t>10S</t>
        </is>
      </c>
      <c r="T1548" s="728" t="n"/>
      <c r="U1548" s="729" t="n"/>
      <c r="V1548" s="730" t="n"/>
      <c r="W1548" s="731" t="n"/>
      <c r="X1548" s="732" t="n"/>
      <c r="Y1548" s="728" t="n"/>
      <c r="Z1548" s="729" t="n"/>
      <c r="AA1548" s="730" t="n"/>
      <c r="AB1548" s="731" t="n"/>
      <c r="AC1548" s="732" t="n"/>
      <c r="AD1548" s="719" t="inlineStr">
        <is>
          <t>No</t>
        </is>
      </c>
      <c r="AE1548" s="733" t="n"/>
      <c r="AF1548" s="733" t="n"/>
      <c r="AG1548" s="733" t="n"/>
      <c r="AH1548" s="733" t="n"/>
      <c r="AI1548" s="733" t="n"/>
      <c r="AJ1548" s="733" t="n"/>
      <c r="AK1548" s="733" t="n"/>
      <c r="AL1548" s="733" t="n"/>
      <c r="AM1548" s="733" t="n"/>
      <c r="AN1548" s="733" t="n"/>
      <c r="AO1548" s="733" t="n"/>
      <c r="AP1548" s="719" t="inlineStr">
        <is>
          <t>Pullback</t>
        </is>
      </c>
      <c r="AQ1548" s="733" t="n"/>
      <c r="AR1548" s="719" t="inlineStr">
        <is>
          <t>No</t>
        </is>
      </c>
      <c r="AS1548" s="733" t="n"/>
      <c r="AT1548" s="733" t="n"/>
      <c r="AU1548" s="733" t="n"/>
      <c r="AV1548" s="733" t="n"/>
      <c r="AW1548" s="719" t="inlineStr">
        <is>
          <t>trade</t>
        </is>
      </c>
      <c r="AX1548" s="734" t="inlineStr">
        <is>
          <t>sig:8fba4ac4ea1048c5c4faff1a</t>
        </is>
      </c>
    </row>
    <row r="1549" ht="15" customHeight="1">
      <c r="A1549" s="716" t="inlineStr">
        <is>
          <t>F1047</t>
        </is>
      </c>
      <c r="B1549" s="717" t="n">
        <v>43262.66805555556</v>
      </c>
      <c r="C1549" s="718" t="n">
        <v>43262.69097222222</v>
      </c>
      <c r="D1549" s="719" t="inlineStr">
        <is>
          <t>PEPPERSTONE DEMO</t>
        </is>
      </c>
      <c r="E1549" s="719" t="inlineStr">
        <is>
          <t>GBPAUD</t>
        </is>
      </c>
      <c r="F1549" s="719" t="inlineStr">
        <is>
          <t>SELL</t>
        </is>
      </c>
      <c r="G1549" s="735" t="n">
        <v>0.01</v>
      </c>
      <c r="H1549" s="720" t="n">
        <v>1.7632</v>
      </c>
      <c r="I1549" s="720" t="n">
        <v>1.76526</v>
      </c>
      <c r="J1549" s="721" t="n">
        <v>1.7658</v>
      </c>
      <c r="K1549" s="722" t="n">
        <v>0.001474591651542613</v>
      </c>
      <c r="L1549" s="721" t="n">
        <v>1.7579</v>
      </c>
      <c r="M1549" s="722" t="n">
        <v>0.003005898366606217</v>
      </c>
      <c r="N1549" s="788" t="n"/>
      <c r="O1549" s="762" t="n">
        <v>-2.02</v>
      </c>
      <c r="P1549" s="725" t="n">
        <v>-0.01048751362857588</v>
      </c>
      <c r="Q1549" s="726" t="n">
        <v>-0.7923076923076929</v>
      </c>
      <c r="R1549" s="764" t="n">
        <v>190.59</v>
      </c>
      <c r="S1549" s="719" t="inlineStr">
        <is>
          <t>33M 0S</t>
        </is>
      </c>
      <c r="T1549" s="728" t="n"/>
      <c r="U1549" s="729" t="n"/>
      <c r="V1549" s="730" t="n"/>
      <c r="W1549" s="731" t="n"/>
      <c r="X1549" s="732" t="n"/>
      <c r="Y1549" s="728" t="n"/>
      <c r="Z1549" s="729" t="n"/>
      <c r="AA1549" s="730" t="n"/>
      <c r="AB1549" s="731" t="n"/>
      <c r="AC1549" s="732" t="n"/>
      <c r="AD1549" s="719" t="inlineStr">
        <is>
          <t>No</t>
        </is>
      </c>
      <c r="AE1549" s="733" t="n"/>
      <c r="AF1549" s="733" t="n"/>
      <c r="AG1549" s="733" t="n"/>
      <c r="AH1549" s="733" t="n"/>
      <c r="AI1549" s="733" t="n"/>
      <c r="AJ1549" s="733" t="n"/>
      <c r="AK1549" s="733" t="n"/>
      <c r="AL1549" s="733" t="n"/>
      <c r="AM1549" s="733" t="n"/>
      <c r="AN1549" s="733" t="n"/>
      <c r="AO1549" s="733" t="n"/>
      <c r="AP1549" s="719" t="inlineStr">
        <is>
          <t>Pullback</t>
        </is>
      </c>
      <c r="AQ1549" s="733" t="n"/>
      <c r="AR1549" s="719" t="inlineStr">
        <is>
          <t>No</t>
        </is>
      </c>
      <c r="AS1549" s="733" t="n"/>
      <c r="AT1549" s="733" t="n"/>
      <c r="AU1549" s="733" t="n"/>
      <c r="AV1549" s="733" t="n"/>
      <c r="AW1549" s="719" t="inlineStr">
        <is>
          <t>trade</t>
        </is>
      </c>
      <c r="AX1549" s="734" t="inlineStr">
        <is>
          <t>sig:d88fcf45e62147dd00431fad</t>
        </is>
      </c>
    </row>
    <row r="1550" ht="15" customHeight="1">
      <c r="A1550" s="716" t="inlineStr">
        <is>
          <t>F1046</t>
        </is>
      </c>
      <c r="B1550" s="717" t="n">
        <v>43262.66743055556</v>
      </c>
      <c r="C1550" s="718" t="n">
        <v>43262.66760416667</v>
      </c>
      <c r="D1550" s="719" t="inlineStr">
        <is>
          <t>PEPPERSTONE DEMO</t>
        </is>
      </c>
      <c r="E1550" s="719" t="inlineStr">
        <is>
          <t>GBPAUD</t>
        </is>
      </c>
      <c r="F1550" s="719" t="inlineStr">
        <is>
          <t>BUY</t>
        </is>
      </c>
      <c r="G1550" s="735" t="n">
        <v>0.01</v>
      </c>
      <c r="H1550" s="720" t="n">
        <v>1.7632</v>
      </c>
      <c r="I1550" s="720" t="n">
        <v>1.76317</v>
      </c>
      <c r="J1550" s="721" t="n">
        <v>1.7606</v>
      </c>
      <c r="K1550" s="722" t="n">
        <v>0.001474591651542739</v>
      </c>
      <c r="L1550" s="721" t="n">
        <v>1.7685</v>
      </c>
      <c r="M1550" s="722" t="n">
        <v>0.003005898366606091</v>
      </c>
      <c r="N1550" s="788" t="n"/>
      <c r="O1550" s="762" t="n">
        <v>-0.1</v>
      </c>
      <c r="P1550" s="763" t="n">
        <v>-0.0005189144310103264</v>
      </c>
      <c r="Q1550" s="781" t="n">
        <v>-0.01153846153853643</v>
      </c>
      <c r="R1550" s="764" t="n">
        <v>192.61</v>
      </c>
      <c r="S1550" s="719" t="inlineStr">
        <is>
          <t>15S</t>
        </is>
      </c>
      <c r="T1550" s="728" t="n"/>
      <c r="U1550" s="729" t="n"/>
      <c r="V1550" s="730" t="n"/>
      <c r="W1550" s="731" t="n"/>
      <c r="X1550" s="732" t="n"/>
      <c r="Y1550" s="728" t="n"/>
      <c r="Z1550" s="729" t="n"/>
      <c r="AA1550" s="730" t="n"/>
      <c r="AB1550" s="731" t="n"/>
      <c r="AC1550" s="732" t="n"/>
      <c r="AD1550" s="719" t="inlineStr">
        <is>
          <t>No</t>
        </is>
      </c>
      <c r="AE1550" s="733" t="n"/>
      <c r="AF1550" s="733" t="n"/>
      <c r="AG1550" s="733" t="n"/>
      <c r="AH1550" s="733" t="n"/>
      <c r="AI1550" s="733" t="n"/>
      <c r="AJ1550" s="733" t="n"/>
      <c r="AK1550" s="733" t="n"/>
      <c r="AL1550" s="733" t="n"/>
      <c r="AM1550" s="733" t="n"/>
      <c r="AN1550" s="733" t="n"/>
      <c r="AO1550" s="733" t="n"/>
      <c r="AP1550" s="719" t="inlineStr">
        <is>
          <t>Pullback</t>
        </is>
      </c>
      <c r="AQ1550" s="733" t="n"/>
      <c r="AR1550" s="719" t="inlineStr">
        <is>
          <t>No</t>
        </is>
      </c>
      <c r="AS1550" s="733" t="n"/>
      <c r="AT1550" s="733" t="n"/>
      <c r="AU1550" s="733" t="n"/>
      <c r="AV1550" s="733" t="n"/>
      <c r="AW1550" s="719" t="inlineStr">
        <is>
          <t>trade</t>
        </is>
      </c>
      <c r="AX1550" s="734" t="inlineStr">
        <is>
          <t>sig:b0a9247b08b4bdbe8300f426</t>
        </is>
      </c>
    </row>
    <row r="1551" ht="15" customHeight="1">
      <c r="A1551" s="716" t="inlineStr">
        <is>
          <t>F1045</t>
        </is>
      </c>
      <c r="B1551" s="717" t="n">
        <v>43259.00555555556</v>
      </c>
      <c r="C1551" s="718" t="n">
        <v>43259.02569444444</v>
      </c>
      <c r="D1551" s="719" t="inlineStr">
        <is>
          <t>PEPPERSTONE DEMO</t>
        </is>
      </c>
      <c r="E1551" s="719" t="inlineStr">
        <is>
          <t>AUDCAD</t>
        </is>
      </c>
      <c r="F1551" s="719" t="inlineStr">
        <is>
          <t>BUY</t>
        </is>
      </c>
      <c r="G1551" s="735" t="n">
        <v>0.01</v>
      </c>
      <c r="H1551" s="720" t="n">
        <v>0.9918</v>
      </c>
      <c r="I1551" s="720" t="n">
        <v>0.99128</v>
      </c>
      <c r="J1551" s="721" t="n">
        <v>0.99</v>
      </c>
      <c r="K1551" s="722" t="n">
        <v>0.001814882032667901</v>
      </c>
      <c r="L1551" s="721" t="n">
        <v>0.9957</v>
      </c>
      <c r="M1551" s="722" t="n">
        <v>0.003932244404113747</v>
      </c>
      <c r="N1551" s="788" t="n"/>
      <c r="O1551" s="762" t="n">
        <v>-0.62</v>
      </c>
      <c r="P1551" s="725" t="n">
        <v>-0.00320695184399731</v>
      </c>
      <c r="Q1551" s="726" t="n">
        <v>-0.2888888888888656</v>
      </c>
      <c r="R1551" s="764" t="n">
        <v>192.71</v>
      </c>
      <c r="S1551" s="719" t="inlineStr">
        <is>
          <t>29M 0S</t>
        </is>
      </c>
      <c r="T1551" s="728" t="n"/>
      <c r="U1551" s="729" t="n"/>
      <c r="V1551" s="730" t="n"/>
      <c r="W1551" s="731" t="n"/>
      <c r="X1551" s="732" t="n"/>
      <c r="Y1551" s="728" t="n"/>
      <c r="Z1551" s="729" t="n"/>
      <c r="AA1551" s="730" t="n"/>
      <c r="AB1551" s="731" t="n"/>
      <c r="AC1551" s="732" t="n"/>
      <c r="AD1551" s="719" t="inlineStr">
        <is>
          <t>No</t>
        </is>
      </c>
      <c r="AE1551" s="733" t="n"/>
      <c r="AF1551" s="733" t="n"/>
      <c r="AG1551" s="733" t="n"/>
      <c r="AH1551" s="733" t="n"/>
      <c r="AI1551" s="733" t="n"/>
      <c r="AJ1551" s="733" t="n"/>
      <c r="AK1551" s="733" t="n"/>
      <c r="AL1551" s="733" t="n"/>
      <c r="AM1551" s="733" t="n"/>
      <c r="AN1551" s="733" t="n"/>
      <c r="AO1551" s="733" t="n"/>
      <c r="AP1551" s="719" t="inlineStr">
        <is>
          <t>Pullback</t>
        </is>
      </c>
      <c r="AQ1551" s="733" t="n"/>
      <c r="AR1551" s="719" t="inlineStr">
        <is>
          <t>No</t>
        </is>
      </c>
      <c r="AS1551" s="733" t="n"/>
      <c r="AT1551" s="733" t="n"/>
      <c r="AU1551" s="733" t="n"/>
      <c r="AV1551" s="733" t="n"/>
      <c r="AW1551" s="719" t="inlineStr">
        <is>
          <t>trade</t>
        </is>
      </c>
      <c r="AX1551" s="734" t="inlineStr">
        <is>
          <t>sig:bc6d40787c10efc9ce4e1f71</t>
        </is>
      </c>
    </row>
    <row r="1552" ht="15" customHeight="1">
      <c r="A1552" s="716" t="inlineStr">
        <is>
          <t>F1044</t>
        </is>
      </c>
      <c r="B1552" s="717" t="n">
        <v>43258.85192129629</v>
      </c>
      <c r="C1552" s="718" t="n">
        <v>43258.85197916667</v>
      </c>
      <c r="D1552" s="719" t="inlineStr">
        <is>
          <t>PEPPERSTONE DEMO</t>
        </is>
      </c>
      <c r="E1552" s="719" t="inlineStr">
        <is>
          <t>GBPAUD</t>
        </is>
      </c>
      <c r="F1552" s="719" t="inlineStr">
        <is>
          <t>SELL</t>
        </is>
      </c>
      <c r="G1552" s="735" t="n">
        <v>0.05</v>
      </c>
      <c r="H1552" s="720" t="n">
        <v>1.755</v>
      </c>
      <c r="I1552" s="720" t="n">
        <v>1.75546</v>
      </c>
      <c r="J1552" s="721" t="n">
        <v>1.7554</v>
      </c>
      <c r="K1552" s="760" t="n">
        <v>0.0002279202279203294</v>
      </c>
      <c r="L1552" s="721" t="n">
        <v>1.7543</v>
      </c>
      <c r="M1552" s="760" t="n">
        <v>0.000398860398860355</v>
      </c>
      <c r="N1552" s="788" t="n"/>
      <c r="O1552" s="762" t="n">
        <v>-1.9</v>
      </c>
      <c r="P1552" s="725" t="n">
        <v>-0.009732110843620344</v>
      </c>
      <c r="Q1552" s="726" t="n">
        <v>-1.149999999999806</v>
      </c>
      <c r="R1552" s="764" t="n">
        <v>193.33</v>
      </c>
      <c r="S1552" s="719" t="inlineStr">
        <is>
          <t>5S</t>
        </is>
      </c>
      <c r="T1552" s="728" t="n"/>
      <c r="U1552" s="729" t="n"/>
      <c r="V1552" s="730" t="n"/>
      <c r="W1552" s="731" t="n"/>
      <c r="X1552" s="732" t="n"/>
      <c r="Y1552" s="728" t="n"/>
      <c r="Z1552" s="729" t="n"/>
      <c r="AA1552" s="730" t="n"/>
      <c r="AB1552" s="731" t="n"/>
      <c r="AC1552" s="732" t="n"/>
      <c r="AD1552" s="719" t="inlineStr">
        <is>
          <t>No</t>
        </is>
      </c>
      <c r="AE1552" s="733" t="n"/>
      <c r="AF1552" s="733" t="n"/>
      <c r="AG1552" s="733" t="n"/>
      <c r="AH1552" s="733" t="n"/>
      <c r="AI1552" s="733" t="n"/>
      <c r="AJ1552" s="733" t="n"/>
      <c r="AK1552" s="733" t="n"/>
      <c r="AL1552" s="733" t="n"/>
      <c r="AM1552" s="733" t="n"/>
      <c r="AN1552" s="733" t="n"/>
      <c r="AO1552" s="733" t="n"/>
      <c r="AP1552" s="719" t="inlineStr">
        <is>
          <t>Pullback</t>
        </is>
      </c>
      <c r="AQ1552" s="733" t="n"/>
      <c r="AR1552" s="719" t="inlineStr">
        <is>
          <t>No</t>
        </is>
      </c>
      <c r="AS1552" s="733" t="n"/>
      <c r="AT1552" s="733" t="n"/>
      <c r="AU1552" s="733" t="n"/>
      <c r="AV1552" s="733" t="n"/>
      <c r="AW1552" s="719" t="inlineStr">
        <is>
          <t>trade</t>
        </is>
      </c>
      <c r="AX1552" s="734" t="inlineStr">
        <is>
          <t>sig:1c658003dd2018014d962f9f</t>
        </is>
      </c>
    </row>
    <row r="1553" ht="15" customHeight="1">
      <c r="A1553" s="737" t="inlineStr">
        <is>
          <t>F1043</t>
        </is>
      </c>
      <c r="B1553" s="738" t="n">
        <v>43258.85</v>
      </c>
      <c r="C1553" s="739" t="n">
        <v>43258.85069444445</v>
      </c>
      <c r="D1553" s="740" t="inlineStr">
        <is>
          <t>PEPPERSTONE DEMO</t>
        </is>
      </c>
      <c r="E1553" s="740" t="inlineStr">
        <is>
          <t>GBPAUD</t>
        </is>
      </c>
      <c r="F1553" s="740" t="inlineStr">
        <is>
          <t>SELL</t>
        </is>
      </c>
      <c r="G1553" s="775" t="n">
        <v>0.05</v>
      </c>
      <c r="H1553" s="742" t="n">
        <v>1.7567</v>
      </c>
      <c r="I1553" s="742" t="n">
        <v>1.75593</v>
      </c>
      <c r="J1553" s="743" t="n">
        <v>1.757</v>
      </c>
      <c r="K1553" s="765" t="n">
        <v>0.0001707747481072278</v>
      </c>
      <c r="L1553" s="743" t="n">
        <v>1.7559</v>
      </c>
      <c r="M1553" s="765" t="n">
        <v>0.0004553993282859406</v>
      </c>
      <c r="N1553" s="796" t="n"/>
      <c r="O1553" s="767" t="n">
        <v>3.85</v>
      </c>
      <c r="P1553" s="747" t="n">
        <v>0.02011704462326262</v>
      </c>
      <c r="Q1553" s="748" t="n">
        <v>2.566666666666741</v>
      </c>
      <c r="R1553" s="769" t="n">
        <v>195.23</v>
      </c>
      <c r="S1553" s="740" t="inlineStr">
        <is>
          <t>1M 0S</t>
        </is>
      </c>
      <c r="T1553" s="750" t="n"/>
      <c r="U1553" s="751" t="n"/>
      <c r="V1553" s="752" t="n"/>
      <c r="W1553" s="753" t="n"/>
      <c r="X1553" s="754" t="n"/>
      <c r="Y1553" s="750" t="n"/>
      <c r="Z1553" s="751" t="n"/>
      <c r="AA1553" s="752" t="n"/>
      <c r="AB1553" s="753" t="n"/>
      <c r="AC1553" s="754" t="n"/>
      <c r="AD1553" s="740" t="inlineStr">
        <is>
          <t>No</t>
        </is>
      </c>
      <c r="AE1553" s="755" t="n"/>
      <c r="AF1553" s="755" t="n"/>
      <c r="AG1553" s="755" t="n"/>
      <c r="AH1553" s="755" t="n"/>
      <c r="AI1553" s="755" t="n"/>
      <c r="AJ1553" s="755" t="n"/>
      <c r="AK1553" s="755" t="n"/>
      <c r="AL1553" s="755" t="n"/>
      <c r="AM1553" s="755" t="n"/>
      <c r="AN1553" s="755" t="n"/>
      <c r="AO1553" s="755" t="n"/>
      <c r="AP1553" s="740" t="inlineStr">
        <is>
          <t>Pullback</t>
        </is>
      </c>
      <c r="AQ1553" s="755" t="n"/>
      <c r="AR1553" s="740" t="inlineStr">
        <is>
          <t>No</t>
        </is>
      </c>
      <c r="AS1553" s="755" t="n"/>
      <c r="AT1553" s="755" t="n"/>
      <c r="AU1553" s="755" t="n"/>
      <c r="AV1553" s="755" t="n"/>
      <c r="AW1553" s="740" t="inlineStr">
        <is>
          <t>trade</t>
        </is>
      </c>
      <c r="AX1553" s="830" t="inlineStr">
        <is>
          <t>sig:399c8d998b95d1f568e8042d</t>
        </is>
      </c>
    </row>
    <row r="1554" ht="15" customHeight="1">
      <c r="A1554" s="737" t="inlineStr">
        <is>
          <t>F1042</t>
        </is>
      </c>
      <c r="B1554" s="738" t="n">
        <v>43258.84444444445</v>
      </c>
      <c r="C1554" s="739" t="n">
        <v>43258.84722222222</v>
      </c>
      <c r="D1554" s="740" t="inlineStr">
        <is>
          <t>PEPPERSTONE DEMO</t>
        </is>
      </c>
      <c r="E1554" s="740" t="inlineStr">
        <is>
          <t>GBPAUD</t>
        </is>
      </c>
      <c r="F1554" s="740" t="inlineStr">
        <is>
          <t>SELL</t>
        </is>
      </c>
      <c r="G1554" s="775" t="n">
        <v>0.01</v>
      </c>
      <c r="H1554" s="742" t="n">
        <v>1.7571</v>
      </c>
      <c r="I1554" s="742" t="n">
        <v>1.75685</v>
      </c>
      <c r="J1554" s="743" t="n">
        <v>1.759</v>
      </c>
      <c r="K1554" s="744" t="n">
        <v>0.001081327186841836</v>
      </c>
      <c r="L1554" s="743" t="n">
        <v>1.7533</v>
      </c>
      <c r="M1554" s="744" t="n">
        <v>0.002162654373683925</v>
      </c>
      <c r="N1554" s="796" t="n"/>
      <c r="O1554" s="767" t="n">
        <v>0.28</v>
      </c>
      <c r="P1554" s="747" t="n">
        <v>0.001465201465201466</v>
      </c>
      <c r="Q1554" s="748" t="n">
        <v>0.1315789473684795</v>
      </c>
      <c r="R1554" s="769" t="n">
        <v>191.38</v>
      </c>
      <c r="S1554" s="740" t="inlineStr">
        <is>
          <t>4M 0S</t>
        </is>
      </c>
      <c r="T1554" s="750" t="n"/>
      <c r="U1554" s="751" t="n"/>
      <c r="V1554" s="752" t="n"/>
      <c r="W1554" s="753" t="n"/>
      <c r="X1554" s="754" t="n"/>
      <c r="Y1554" s="750" t="n"/>
      <c r="Z1554" s="751" t="n"/>
      <c r="AA1554" s="752" t="n"/>
      <c r="AB1554" s="753" t="n"/>
      <c r="AC1554" s="754" t="n"/>
      <c r="AD1554" s="740" t="inlineStr">
        <is>
          <t>No</t>
        </is>
      </c>
      <c r="AE1554" s="755" t="n"/>
      <c r="AF1554" s="755" t="n"/>
      <c r="AG1554" s="755" t="n"/>
      <c r="AH1554" s="755" t="n"/>
      <c r="AI1554" s="755" t="n"/>
      <c r="AJ1554" s="755" t="n"/>
      <c r="AK1554" s="755" t="n"/>
      <c r="AL1554" s="755" t="n"/>
      <c r="AM1554" s="755" t="n"/>
      <c r="AN1554" s="755" t="n"/>
      <c r="AO1554" s="755" t="n"/>
      <c r="AP1554" s="740" t="inlineStr">
        <is>
          <t>Pullback</t>
        </is>
      </c>
      <c r="AQ1554" s="755" t="n"/>
      <c r="AR1554" s="740" t="inlineStr">
        <is>
          <t>No</t>
        </is>
      </c>
      <c r="AS1554" s="755" t="n"/>
      <c r="AT1554" s="755" t="n"/>
      <c r="AU1554" s="755" t="n"/>
      <c r="AV1554" s="755" t="n"/>
      <c r="AW1554" s="740" t="inlineStr">
        <is>
          <t>trade</t>
        </is>
      </c>
      <c r="AX1554" s="830" t="inlineStr">
        <is>
          <t>sig:ce16911667647b174322911c</t>
        </is>
      </c>
    </row>
    <row r="1555" ht="15" customHeight="1">
      <c r="A1555" s="737" t="inlineStr">
        <is>
          <t>F1041</t>
        </is>
      </c>
      <c r="B1555" s="738" t="n">
        <v>43258.82569444444</v>
      </c>
      <c r="C1555" s="739" t="n">
        <v>43258.84027777778</v>
      </c>
      <c r="D1555" s="740" t="inlineStr">
        <is>
          <t>PEPPERSTONE DEMO</t>
        </is>
      </c>
      <c r="E1555" s="740" t="inlineStr">
        <is>
          <t>GBPAUD</t>
        </is>
      </c>
      <c r="F1555" s="740" t="inlineStr">
        <is>
          <t>SELL</t>
        </is>
      </c>
      <c r="G1555" s="775" t="n">
        <v>0.01</v>
      </c>
      <c r="H1555" s="742" t="n">
        <v>1.7583</v>
      </c>
      <c r="I1555" s="742" t="n">
        <v>1.75802</v>
      </c>
      <c r="J1555" s="743" t="n">
        <v>1.7589</v>
      </c>
      <c r="K1555" s="765" t="n">
        <v>0.0003412386964681419</v>
      </c>
      <c r="L1555" s="743" t="n">
        <v>1.7565</v>
      </c>
      <c r="M1555" s="744" t="n">
        <v>0.001023716089404552</v>
      </c>
      <c r="N1555" s="796" t="n"/>
      <c r="O1555" s="767" t="n">
        <v>0.29</v>
      </c>
      <c r="P1555" s="747" t="n">
        <v>0.001519836486557308</v>
      </c>
      <c r="Q1555" s="748" t="n">
        <v>0.4666666666668147</v>
      </c>
      <c r="R1555" s="769" t="n">
        <v>191.1</v>
      </c>
      <c r="S1555" s="740" t="inlineStr">
        <is>
          <t>21M 0S</t>
        </is>
      </c>
      <c r="T1555" s="750" t="n"/>
      <c r="U1555" s="751" t="n"/>
      <c r="V1555" s="752" t="n"/>
      <c r="W1555" s="753" t="n"/>
      <c r="X1555" s="754" t="n"/>
      <c r="Y1555" s="750" t="n"/>
      <c r="Z1555" s="751" t="n"/>
      <c r="AA1555" s="752" t="n"/>
      <c r="AB1555" s="753" t="n"/>
      <c r="AC1555" s="754" t="n"/>
      <c r="AD1555" s="740" t="inlineStr">
        <is>
          <t>No</t>
        </is>
      </c>
      <c r="AE1555" s="755" t="n"/>
      <c r="AF1555" s="755" t="n"/>
      <c r="AG1555" s="755" t="n"/>
      <c r="AH1555" s="755" t="n"/>
      <c r="AI1555" s="755" t="n"/>
      <c r="AJ1555" s="755" t="n"/>
      <c r="AK1555" s="755" t="n"/>
      <c r="AL1555" s="755" t="n"/>
      <c r="AM1555" s="755" t="n"/>
      <c r="AN1555" s="755" t="n"/>
      <c r="AO1555" s="755" t="n"/>
      <c r="AP1555" s="740" t="inlineStr">
        <is>
          <t>Pullback</t>
        </is>
      </c>
      <c r="AQ1555" s="755" t="n"/>
      <c r="AR1555" s="740" t="inlineStr">
        <is>
          <t>No</t>
        </is>
      </c>
      <c r="AS1555" s="755" t="n"/>
      <c r="AT1555" s="755" t="n"/>
      <c r="AU1555" s="755" t="n"/>
      <c r="AV1555" s="755" t="n"/>
      <c r="AW1555" s="740" t="inlineStr">
        <is>
          <t>trade</t>
        </is>
      </c>
      <c r="AX1555" s="756" t="inlineStr">
        <is>
          <t>sig:edbf0c0fb952af858f2d43c4</t>
        </is>
      </c>
    </row>
    <row r="1556" ht="15" customHeight="1">
      <c r="A1556" s="737" t="inlineStr">
        <is>
          <t>F1040</t>
        </is>
      </c>
      <c r="B1556" s="738" t="n">
        <v>43253.12361111111</v>
      </c>
      <c r="C1556" s="739" t="n">
        <v>43253.16597222222</v>
      </c>
      <c r="D1556" s="740" t="inlineStr">
        <is>
          <t>PEPPERSTONE DEMO</t>
        </is>
      </c>
      <c r="E1556" s="740" t="inlineStr">
        <is>
          <t>AUDCAD</t>
        </is>
      </c>
      <c r="F1556" s="740" t="inlineStr">
        <is>
          <t>BUY</t>
        </is>
      </c>
      <c r="G1556" s="775" t="n">
        <v>0.04</v>
      </c>
      <c r="H1556" s="742" t="n">
        <v>0.9804</v>
      </c>
      <c r="I1556" s="742" t="n">
        <v>0.98133</v>
      </c>
      <c r="J1556" s="743" t="n">
        <v>0.9798</v>
      </c>
      <c r="K1556" s="765" t="n">
        <v>0.0006119951040392135</v>
      </c>
      <c r="L1556" s="743" t="n">
        <v>0.9813</v>
      </c>
      <c r="M1556" s="765" t="n">
        <v>0.0009179926560586504</v>
      </c>
      <c r="N1556" s="796" t="n"/>
      <c r="O1556" s="767" t="n">
        <v>3.75</v>
      </c>
      <c r="P1556" s="747" t="n">
        <v>0.02004704372928472</v>
      </c>
      <c r="Q1556" s="748" t="n">
        <v>1.549999999999861</v>
      </c>
      <c r="R1556" s="769" t="n">
        <v>190.81</v>
      </c>
      <c r="S1556" s="740" t="inlineStr">
        <is>
          <t>1H 1M 0S</t>
        </is>
      </c>
      <c r="T1556" s="750" t="n"/>
      <c r="U1556" s="751" t="n"/>
      <c r="V1556" s="752" t="n"/>
      <c r="W1556" s="753" t="n"/>
      <c r="X1556" s="754" t="n"/>
      <c r="Y1556" s="750" t="n"/>
      <c r="Z1556" s="751" t="n"/>
      <c r="AA1556" s="752" t="n"/>
      <c r="AB1556" s="753" t="n"/>
      <c r="AC1556" s="754" t="n"/>
      <c r="AD1556" s="740" t="inlineStr">
        <is>
          <t>No</t>
        </is>
      </c>
      <c r="AE1556" s="755" t="n"/>
      <c r="AF1556" s="755" t="n"/>
      <c r="AG1556" s="755" t="n"/>
      <c r="AH1556" s="755" t="n"/>
      <c r="AI1556" s="755" t="n"/>
      <c r="AJ1556" s="755" t="n"/>
      <c r="AK1556" s="755" t="n"/>
      <c r="AL1556" s="755" t="n"/>
      <c r="AM1556" s="755" t="n"/>
      <c r="AN1556" s="755" t="n"/>
      <c r="AO1556" s="755" t="n"/>
      <c r="AP1556" s="740" t="inlineStr">
        <is>
          <t>Pullback</t>
        </is>
      </c>
      <c r="AQ1556" s="755" t="n"/>
      <c r="AR1556" s="740" t="inlineStr">
        <is>
          <t>No</t>
        </is>
      </c>
      <c r="AS1556" s="755" t="n"/>
      <c r="AT1556" s="755" t="n"/>
      <c r="AU1556" s="755" t="n"/>
      <c r="AV1556" s="755" t="n"/>
      <c r="AW1556" s="740" t="inlineStr">
        <is>
          <t>trade</t>
        </is>
      </c>
      <c r="AX1556" s="756" t="inlineStr">
        <is>
          <t>sig:1bd2384711cb85c9802cfcca</t>
        </is>
      </c>
    </row>
    <row r="1557" ht="15" customHeight="1">
      <c r="A1557" s="716" t="inlineStr">
        <is>
          <t>F1039</t>
        </is>
      </c>
      <c r="B1557" s="717" t="n">
        <v>43250.94444444445</v>
      </c>
      <c r="C1557" s="718" t="n">
        <v>43250.94722222222</v>
      </c>
      <c r="D1557" s="719" t="inlineStr">
        <is>
          <t>PEPPERSTONE DEMO</t>
        </is>
      </c>
      <c r="E1557" s="719" t="inlineStr">
        <is>
          <t>AUDUSD</t>
        </is>
      </c>
      <c r="F1557" s="719" t="inlineStr">
        <is>
          <t>BUY</t>
        </is>
      </c>
      <c r="G1557" s="735" t="n">
        <v>0.04</v>
      </c>
      <c r="H1557" s="720" t="n">
        <v>0.7543</v>
      </c>
      <c r="I1557" s="720" t="n">
        <v>0.75424</v>
      </c>
      <c r="J1557" s="721" t="n">
        <v>0.754</v>
      </c>
      <c r="K1557" s="760" t="n">
        <v>0.0003977197401563927</v>
      </c>
      <c r="L1557" s="721" t="n">
        <v>0.755</v>
      </c>
      <c r="M1557" s="760" t="n">
        <v>0.00092801272703173</v>
      </c>
      <c r="N1557" s="788" t="n"/>
      <c r="O1557" s="762" t="n">
        <v>-0.64</v>
      </c>
      <c r="P1557" s="725" t="n">
        <v>-0.003409696323921151</v>
      </c>
      <c r="Q1557" s="726" t="n">
        <v>-0.199999999999852</v>
      </c>
      <c r="R1557" s="764" t="n">
        <v>187.06</v>
      </c>
      <c r="S1557" s="719" t="inlineStr">
        <is>
          <t>4M 0S</t>
        </is>
      </c>
      <c r="T1557" s="728" t="n"/>
      <c r="U1557" s="729" t="n"/>
      <c r="V1557" s="730" t="n"/>
      <c r="W1557" s="731" t="n"/>
      <c r="X1557" s="732" t="n"/>
      <c r="Y1557" s="728" t="n"/>
      <c r="Z1557" s="729" t="n"/>
      <c r="AA1557" s="730" t="n"/>
      <c r="AB1557" s="731" t="n"/>
      <c r="AC1557" s="732" t="n"/>
      <c r="AD1557" s="719" t="inlineStr">
        <is>
          <t>No</t>
        </is>
      </c>
      <c r="AE1557" s="733" t="n"/>
      <c r="AF1557" s="733" t="n"/>
      <c r="AG1557" s="733" t="n"/>
      <c r="AH1557" s="733" t="n"/>
      <c r="AI1557" s="733" t="n"/>
      <c r="AJ1557" s="733" t="n"/>
      <c r="AK1557" s="733" t="n"/>
      <c r="AL1557" s="733" t="n"/>
      <c r="AM1557" s="733" t="n"/>
      <c r="AN1557" s="733" t="n"/>
      <c r="AO1557" s="733" t="n"/>
      <c r="AP1557" s="719" t="inlineStr">
        <is>
          <t>Pullback</t>
        </is>
      </c>
      <c r="AQ1557" s="733" t="n"/>
      <c r="AR1557" s="719" t="inlineStr">
        <is>
          <t>No</t>
        </is>
      </c>
      <c r="AS1557" s="733" t="n"/>
      <c r="AT1557" s="733" t="n"/>
      <c r="AU1557" s="733" t="n"/>
      <c r="AV1557" s="733" t="n"/>
      <c r="AW1557" s="719" t="inlineStr">
        <is>
          <t>trade</t>
        </is>
      </c>
      <c r="AX1557" s="831" t="inlineStr">
        <is>
          <t>sig:e2fc867672c59d3cbec50a4b</t>
        </is>
      </c>
    </row>
    <row r="1558" ht="15" customHeight="1">
      <c r="A1558" s="716" t="inlineStr">
        <is>
          <t>F1038</t>
        </is>
      </c>
      <c r="B1558" s="717" t="n">
        <v>43250.9375</v>
      </c>
      <c r="C1558" s="718" t="n">
        <v>43250.94027777778</v>
      </c>
      <c r="D1558" s="719" t="inlineStr">
        <is>
          <t>PEPPERSTONE DEMO</t>
        </is>
      </c>
      <c r="E1558" s="719" t="inlineStr">
        <is>
          <t>AUDUSD</t>
        </is>
      </c>
      <c r="F1558" s="719" t="inlineStr">
        <is>
          <t>BUY</t>
        </is>
      </c>
      <c r="G1558" s="735" t="n">
        <v>0.04</v>
      </c>
      <c r="H1558" s="720" t="n">
        <v>0.7551</v>
      </c>
      <c r="I1558" s="720" t="n">
        <v>0.7548899999999999</v>
      </c>
      <c r="J1558" s="721" t="n">
        <v>0.7547</v>
      </c>
      <c r="K1558" s="760" t="n">
        <v>0.0005297311614355132</v>
      </c>
      <c r="L1558" s="721" t="n">
        <v>0.7556</v>
      </c>
      <c r="M1558" s="760" t="n">
        <v>0.0006621639517945384</v>
      </c>
      <c r="N1558" s="788" t="n"/>
      <c r="O1558" s="762" t="n">
        <v>-1.11</v>
      </c>
      <c r="P1558" s="725" t="n">
        <v>-0.005878925904348287</v>
      </c>
      <c r="Q1558" s="726" t="n">
        <v>-0.5250000000001666</v>
      </c>
      <c r="R1558" s="764" t="n">
        <v>187.7</v>
      </c>
      <c r="S1558" s="719" t="inlineStr">
        <is>
          <t>4M 0S</t>
        </is>
      </c>
      <c r="T1558" s="728" t="n"/>
      <c r="U1558" s="729" t="n"/>
      <c r="V1558" s="730" t="n"/>
      <c r="W1558" s="731" t="n"/>
      <c r="X1558" s="732" t="n"/>
      <c r="Y1558" s="728" t="n"/>
      <c r="Z1558" s="729" t="n"/>
      <c r="AA1558" s="730" t="n"/>
      <c r="AB1558" s="731" t="n"/>
      <c r="AC1558" s="732" t="n"/>
      <c r="AD1558" s="719" t="inlineStr">
        <is>
          <t>No</t>
        </is>
      </c>
      <c r="AE1558" s="733" t="n"/>
      <c r="AF1558" s="733" t="n"/>
      <c r="AG1558" s="733" t="n"/>
      <c r="AH1558" s="733" t="n"/>
      <c r="AI1558" s="733" t="n"/>
      <c r="AJ1558" s="733" t="n"/>
      <c r="AK1558" s="733" t="n"/>
      <c r="AL1558" s="733" t="n"/>
      <c r="AM1558" s="733" t="n"/>
      <c r="AN1558" s="733" t="n"/>
      <c r="AO1558" s="733" t="n"/>
      <c r="AP1558" s="719" t="inlineStr">
        <is>
          <t>Pullback</t>
        </is>
      </c>
      <c r="AQ1558" s="733" t="n"/>
      <c r="AR1558" s="719" t="inlineStr">
        <is>
          <t>No</t>
        </is>
      </c>
      <c r="AS1558" s="733" t="n"/>
      <c r="AT1558" s="733" t="n"/>
      <c r="AU1558" s="733" t="n"/>
      <c r="AV1558" s="733" t="n"/>
      <c r="AW1558" s="719" t="inlineStr">
        <is>
          <t>trade</t>
        </is>
      </c>
      <c r="AX1558" s="831" t="inlineStr">
        <is>
          <t>sig:8504676bfdb8efee64a008b1</t>
        </is>
      </c>
    </row>
    <row r="1559" ht="15" customHeight="1">
      <c r="A1559" s="716" t="inlineStr">
        <is>
          <t>F1037</t>
        </is>
      </c>
      <c r="B1559" s="717" t="n">
        <v>43250.93263888889</v>
      </c>
      <c r="C1559" s="718" t="n">
        <v>43250.93333333333</v>
      </c>
      <c r="D1559" s="719" t="inlineStr">
        <is>
          <t>PEPPERSTONE DEMO</t>
        </is>
      </c>
      <c r="E1559" s="719" t="inlineStr">
        <is>
          <t>AUDUSD</t>
        </is>
      </c>
      <c r="F1559" s="719" t="inlineStr">
        <is>
          <t>BUY</t>
        </is>
      </c>
      <c r="G1559" s="735" t="n">
        <v>0.04</v>
      </c>
      <c r="H1559" s="720" t="n">
        <v>0.7554999999999999</v>
      </c>
      <c r="I1559" s="720" t="n">
        <v>0.75523</v>
      </c>
      <c r="J1559" s="721" t="n">
        <v>0.7552</v>
      </c>
      <c r="K1559" s="760" t="n">
        <v>0.0003970880211779841</v>
      </c>
      <c r="L1559" s="721" t="n">
        <v>0.7563</v>
      </c>
      <c r="M1559" s="722" t="n">
        <v>0.001058901389808105</v>
      </c>
      <c r="N1559" s="788" t="n"/>
      <c r="O1559" s="762" t="n">
        <v>-1.91</v>
      </c>
      <c r="P1559" s="725" t="n">
        <v>-0.01001468120805369</v>
      </c>
      <c r="Q1559" s="726" t="n">
        <v>-0.900000000000074</v>
      </c>
      <c r="R1559" s="764" t="n">
        <v>188.81</v>
      </c>
      <c r="S1559" s="719" t="inlineStr">
        <is>
          <t>1M 0S</t>
        </is>
      </c>
      <c r="T1559" s="728" t="n"/>
      <c r="U1559" s="729" t="n"/>
      <c r="V1559" s="730" t="n"/>
      <c r="W1559" s="731" t="n"/>
      <c r="X1559" s="732" t="n"/>
      <c r="Y1559" s="728" t="n"/>
      <c r="Z1559" s="729" t="n"/>
      <c r="AA1559" s="730" t="n"/>
      <c r="AB1559" s="731" t="n"/>
      <c r="AC1559" s="732" t="n"/>
      <c r="AD1559" s="719" t="inlineStr">
        <is>
          <t>No</t>
        </is>
      </c>
      <c r="AE1559" s="733" t="n"/>
      <c r="AF1559" s="733" t="n"/>
      <c r="AG1559" s="733" t="n"/>
      <c r="AH1559" s="733" t="n"/>
      <c r="AI1559" s="733" t="n"/>
      <c r="AJ1559" s="733" t="n"/>
      <c r="AK1559" s="733" t="n"/>
      <c r="AL1559" s="733" t="n"/>
      <c r="AM1559" s="733" t="n"/>
      <c r="AN1559" s="733" t="n"/>
      <c r="AO1559" s="733" t="n"/>
      <c r="AP1559" s="719" t="inlineStr">
        <is>
          <t>Pullback</t>
        </is>
      </c>
      <c r="AQ1559" s="733" t="n"/>
      <c r="AR1559" s="719" t="inlineStr">
        <is>
          <t>No</t>
        </is>
      </c>
      <c r="AS1559" s="782" t="n"/>
      <c r="AT1559" s="733" t="n"/>
      <c r="AU1559" s="719" t="n"/>
      <c r="AV1559" s="719" t="n"/>
      <c r="AW1559" s="719" t="inlineStr">
        <is>
          <t>trade</t>
        </is>
      </c>
      <c r="AX1559" s="734" t="inlineStr">
        <is>
          <t>sig:10c70eaef634ae95a0219899</t>
        </is>
      </c>
    </row>
    <row r="1560" ht="15" customHeight="1">
      <c r="A1560" s="832" t="inlineStr">
        <is>
          <t>F1036</t>
        </is>
      </c>
      <c r="B1560" s="833" t="n">
        <v>43250.01319444444</v>
      </c>
      <c r="C1560" s="834" t="n">
        <v>43250.01736111111</v>
      </c>
      <c r="D1560" s="835" t="inlineStr">
        <is>
          <t>PEPPERSTONE DEMO</t>
        </is>
      </c>
      <c r="E1560" s="835" t="inlineStr">
        <is>
          <t>AUDUSD</t>
        </is>
      </c>
      <c r="F1560" s="835" t="inlineStr">
        <is>
          <t>BUY</t>
        </is>
      </c>
      <c r="G1560" s="836" t="n">
        <v>0.04</v>
      </c>
      <c r="H1560" s="837" t="n">
        <v>0.7524999999999999</v>
      </c>
      <c r="I1560" s="837" t="n">
        <v>0.75266</v>
      </c>
      <c r="J1560" s="838" t="n">
        <v>0.7524</v>
      </c>
      <c r="K1560" s="839" t="n">
        <v>0.0001328903654484904</v>
      </c>
      <c r="L1560" s="840" t="n"/>
      <c r="M1560" s="841" t="n"/>
      <c r="N1560" s="842" t="n"/>
      <c r="O1560" s="843" t="n">
        <v>0.48</v>
      </c>
      <c r="P1560" s="844" t="n">
        <v>0.002523128679562657</v>
      </c>
      <c r="Q1560" s="845" t="n">
        <v>1.600000000000666</v>
      </c>
      <c r="R1560" s="846" t="n">
        <v>190.72</v>
      </c>
      <c r="S1560" s="835" t="inlineStr">
        <is>
          <t>6M 0S</t>
        </is>
      </c>
      <c r="T1560" s="847" t="n"/>
      <c r="U1560" s="848" t="n"/>
      <c r="V1560" s="849" t="n"/>
      <c r="W1560" s="850" t="n"/>
      <c r="X1560" s="841" t="n"/>
      <c r="Y1560" s="847" t="n"/>
      <c r="Z1560" s="848" t="n"/>
      <c r="AA1560" s="849" t="n"/>
      <c r="AB1560" s="850" t="n"/>
      <c r="AC1560" s="841" t="n"/>
      <c r="AD1560" s="835" t="inlineStr">
        <is>
          <t>No</t>
        </is>
      </c>
      <c r="AE1560" s="851" t="n"/>
      <c r="AF1560" s="851" t="n"/>
      <c r="AG1560" s="851" t="n"/>
      <c r="AH1560" s="851" t="n"/>
      <c r="AI1560" s="851" t="n"/>
      <c r="AJ1560" s="851" t="n"/>
      <c r="AK1560" s="851" t="n"/>
      <c r="AL1560" s="851" t="n"/>
      <c r="AM1560" s="851" t="n"/>
      <c r="AN1560" s="851" t="n"/>
      <c r="AO1560" s="851" t="n"/>
      <c r="AP1560" s="835" t="inlineStr">
        <is>
          <t>Pullback</t>
        </is>
      </c>
      <c r="AQ1560" s="851" t="n"/>
      <c r="AR1560" s="835" t="inlineStr">
        <is>
          <t>No</t>
        </is>
      </c>
      <c r="AS1560" s="852" t="n"/>
      <c r="AT1560" s="851" t="n"/>
      <c r="AU1560" s="835" t="n"/>
      <c r="AV1560" s="835" t="n"/>
      <c r="AW1560" s="835" t="inlineStr">
        <is>
          <t>trade</t>
        </is>
      </c>
      <c r="AX1560" s="853" t="inlineStr">
        <is>
          <t>sig:08c2d52fc7bba76bf9796a35</t>
        </is>
      </c>
    </row>
    <row r="1561" ht="15" customHeight="1">
      <c r="A1561" s="854" t="inlineStr">
        <is>
          <t>F1035</t>
        </is>
      </c>
      <c r="B1561" s="855" t="n">
        <v>43250.01111111111</v>
      </c>
      <c r="C1561" s="855" t="n">
        <v>43250.01180555556</v>
      </c>
      <c r="D1561" s="856" t="inlineStr">
        <is>
          <t>PEPPERSTONE DEMO</t>
        </is>
      </c>
      <c r="E1561" s="856" t="inlineStr">
        <is>
          <t>AUDUSD</t>
        </is>
      </c>
      <c r="F1561" s="856" t="inlineStr">
        <is>
          <t>BUY</t>
        </is>
      </c>
      <c r="G1561" s="857" t="n">
        <v>0.04</v>
      </c>
      <c r="H1561" s="858" t="n">
        <v>0.7524999999999999</v>
      </c>
      <c r="I1561" s="858" t="n">
        <v>0.7522</v>
      </c>
      <c r="J1561" s="858" t="n">
        <v>0.7522</v>
      </c>
      <c r="K1561" s="859" t="n">
        <v>0.0003986710963454711</v>
      </c>
      <c r="L1561" s="858" t="n">
        <v>0.7532</v>
      </c>
      <c r="M1561" s="859" t="n">
        <v>0.00093023255813958</v>
      </c>
      <c r="N1561" s="860" t="n"/>
      <c r="O1561" s="861" t="n">
        <v>-1.91</v>
      </c>
      <c r="P1561" s="862" t="n">
        <v>-0.00994015092375748</v>
      </c>
      <c r="Q1561" s="858" t="n">
        <v>-1</v>
      </c>
      <c r="R1561" s="863" t="n">
        <v>190.24</v>
      </c>
      <c r="S1561" s="856" t="inlineStr">
        <is>
          <t>1M 0S</t>
        </is>
      </c>
      <c r="T1561" s="864" t="n"/>
      <c r="U1561" s="865" t="n"/>
      <c r="V1561" s="866" t="n"/>
      <c r="W1561" s="867" t="n"/>
      <c r="X1561" s="867" t="n"/>
      <c r="Y1561" s="864" t="n"/>
      <c r="Z1561" s="865" t="n"/>
      <c r="AA1561" s="866" t="n"/>
      <c r="AB1561" s="867" t="n"/>
      <c r="AC1561" s="867" t="n"/>
      <c r="AD1561" s="856" t="inlineStr">
        <is>
          <t>No</t>
        </is>
      </c>
      <c r="AE1561" s="865" t="n"/>
      <c r="AF1561" s="865" t="n"/>
      <c r="AG1561" s="865" t="n"/>
      <c r="AH1561" s="865" t="n"/>
      <c r="AI1561" s="865" t="n"/>
      <c r="AJ1561" s="865" t="n"/>
      <c r="AK1561" s="865" t="n"/>
      <c r="AL1561" s="865" t="n"/>
      <c r="AM1561" s="865" t="n"/>
      <c r="AN1561" s="865" t="n"/>
      <c r="AO1561" s="865" t="n"/>
      <c r="AP1561" s="856" t="inlineStr">
        <is>
          <t>Pullback</t>
        </is>
      </c>
      <c r="AQ1561" s="865" t="n"/>
      <c r="AR1561" s="856" t="inlineStr">
        <is>
          <t>No</t>
        </is>
      </c>
      <c r="AS1561" s="865" t="n"/>
      <c r="AT1561" s="865" t="n"/>
      <c r="AU1561" s="865" t="n"/>
      <c r="AV1561" s="865" t="n"/>
      <c r="AW1561" s="856" t="inlineStr">
        <is>
          <t>trade</t>
        </is>
      </c>
      <c r="AX1561" s="868" t="inlineStr">
        <is>
          <t>bybit:demo:closedpnl:HYPEUSDT:b08861f8-09ca-4e3d-95e4-0bee13bf7ad5 | 1e902989-f6a2-4233-938b-d8de5b917b2f</t>
        </is>
      </c>
    </row>
    <row r="1562" ht="15" customHeight="1">
      <c r="A1562" s="854" t="inlineStr">
        <is>
          <t>F1034</t>
        </is>
      </c>
      <c r="B1562" s="855" t="n">
        <v>43250.00277777778</v>
      </c>
      <c r="C1562" s="855" t="n">
        <v>43250.00347222222</v>
      </c>
      <c r="D1562" s="856" t="inlineStr">
        <is>
          <t>PEPPERSTONE DEMO</t>
        </is>
      </c>
      <c r="E1562" s="856" t="inlineStr">
        <is>
          <t>AUDUSD</t>
        </is>
      </c>
      <c r="F1562" s="856" t="inlineStr">
        <is>
          <t>BUY</t>
        </is>
      </c>
      <c r="G1562" s="857" t="n">
        <v>0.06</v>
      </c>
      <c r="H1562" s="858" t="n">
        <v>0.7529</v>
      </c>
      <c r="I1562" s="858" t="n">
        <v>0.75275</v>
      </c>
      <c r="J1562" s="858" t="n">
        <v>0.7527</v>
      </c>
      <c r="K1562" s="859" t="n">
        <v>0.0002656395271616124</v>
      </c>
      <c r="L1562" s="858" t="n">
        <v>0.7534</v>
      </c>
      <c r="M1562" s="859" t="n">
        <v>0.000664098817904031</v>
      </c>
      <c r="N1562" s="860" t="n"/>
      <c r="O1562" s="861" t="n">
        <v>-1.91</v>
      </c>
      <c r="P1562" s="862" t="n">
        <v>-0.009842316809234256</v>
      </c>
      <c r="Q1562" s="858" t="n">
        <v>-0.75</v>
      </c>
      <c r="R1562" s="863" t="n">
        <v>192.15</v>
      </c>
      <c r="S1562" s="856" t="inlineStr">
        <is>
          <t>1M 0S</t>
        </is>
      </c>
      <c r="T1562" s="864" t="n"/>
      <c r="U1562" s="865" t="n"/>
      <c r="V1562" s="866" t="n"/>
      <c r="W1562" s="867" t="n"/>
      <c r="X1562" s="867" t="n"/>
      <c r="Y1562" s="864" t="n"/>
      <c r="Z1562" s="865" t="n"/>
      <c r="AA1562" s="866" t="n"/>
      <c r="AB1562" s="867" t="n"/>
      <c r="AC1562" s="867" t="n"/>
      <c r="AD1562" s="856" t="inlineStr">
        <is>
          <t>No</t>
        </is>
      </c>
      <c r="AE1562" s="865" t="n"/>
      <c r="AF1562" s="865" t="n"/>
      <c r="AG1562" s="865" t="n"/>
      <c r="AH1562" s="865" t="n"/>
      <c r="AI1562" s="865" t="n"/>
      <c r="AJ1562" s="865" t="n"/>
      <c r="AK1562" s="865" t="n"/>
      <c r="AL1562" s="865" t="n"/>
      <c r="AM1562" s="865" t="n"/>
      <c r="AN1562" s="865" t="n"/>
      <c r="AO1562" s="865" t="n"/>
      <c r="AP1562" s="856" t="inlineStr">
        <is>
          <t>Pullback</t>
        </is>
      </c>
      <c r="AQ1562" s="865" t="n"/>
      <c r="AR1562" s="856" t="inlineStr">
        <is>
          <t>No</t>
        </is>
      </c>
      <c r="AS1562" s="865" t="n"/>
      <c r="AT1562" s="865" t="n"/>
      <c r="AU1562" s="865" t="n"/>
      <c r="AV1562" s="865" t="n"/>
      <c r="AW1562" s="856" t="inlineStr">
        <is>
          <t>trade</t>
        </is>
      </c>
      <c r="AX1562" s="868" t="inlineStr">
        <is>
          <t>bybit:demo:closedpnl:DOLOUSDT:4f254537-4829-4704-aa74-b52ec61daa44 | d29786ac-b5d3-4414-a6a8-6a5d76e60493 | ae44eb54-e38d-42c5-948d-9680e0a2c2bb</t>
        </is>
      </c>
    </row>
    <row r="1563" ht="15" customHeight="1">
      <c r="A1563" s="854" t="inlineStr">
        <is>
          <t>F1033</t>
        </is>
      </c>
      <c r="B1563" s="855" t="n">
        <v>43249.87185185185</v>
      </c>
      <c r="C1563" s="855" t="n">
        <v>43249.87188657407</v>
      </c>
      <c r="D1563" s="856" t="inlineStr">
        <is>
          <t>PEPPERSTONE DEMO</t>
        </is>
      </c>
      <c r="E1563" s="856" t="inlineStr">
        <is>
          <t>EURAUD</t>
        </is>
      </c>
      <c r="F1563" s="856" t="inlineStr">
        <is>
          <t>SELL</t>
        </is>
      </c>
      <c r="G1563" s="857" t="n">
        <v>0.06</v>
      </c>
      <c r="H1563" s="858" t="n">
        <v>1.5369</v>
      </c>
      <c r="I1563" s="858" t="n">
        <v>1.53719</v>
      </c>
      <c r="J1563" s="858" t="n">
        <v>1.5371</v>
      </c>
      <c r="K1563" s="859" t="n">
        <v>0.000130132084065312</v>
      </c>
      <c r="L1563" s="858" t="n">
        <v>1.5365</v>
      </c>
      <c r="M1563" s="859" t="n">
        <v>0.000260264168130624</v>
      </c>
      <c r="N1563" s="860" t="n"/>
      <c r="O1563" s="861" t="n">
        <v>-1.32</v>
      </c>
      <c r="P1563" s="862" t="n">
        <v>-0.006756065103900093</v>
      </c>
      <c r="Q1563" s="858" t="n">
        <v>-1.450000000000777</v>
      </c>
      <c r="R1563" s="863" t="n">
        <v>194.06</v>
      </c>
      <c r="S1563" s="856" t="inlineStr">
        <is>
          <t>3S</t>
        </is>
      </c>
      <c r="T1563" s="864" t="n"/>
      <c r="U1563" s="865" t="n"/>
      <c r="V1563" s="866" t="n"/>
      <c r="W1563" s="867" t="n"/>
      <c r="X1563" s="867" t="n"/>
      <c r="Y1563" s="864" t="n"/>
      <c r="Z1563" s="865" t="n"/>
      <c r="AA1563" s="866" t="n"/>
      <c r="AB1563" s="867" t="n"/>
      <c r="AC1563" s="867" t="n"/>
      <c r="AD1563" s="856" t="inlineStr">
        <is>
          <t>No</t>
        </is>
      </c>
      <c r="AE1563" s="865" t="n"/>
      <c r="AF1563" s="865" t="n"/>
      <c r="AG1563" s="865" t="n"/>
      <c r="AH1563" s="865" t="n"/>
      <c r="AI1563" s="865" t="n"/>
      <c r="AJ1563" s="865" t="n"/>
      <c r="AK1563" s="865" t="n"/>
      <c r="AL1563" s="865" t="n"/>
      <c r="AM1563" s="865" t="n"/>
      <c r="AN1563" s="865" t="n"/>
      <c r="AO1563" s="865" t="n"/>
      <c r="AP1563" s="856" t="inlineStr">
        <is>
          <t>Pullback</t>
        </is>
      </c>
      <c r="AQ1563" s="865" t="n"/>
      <c r="AR1563" s="856" t="inlineStr">
        <is>
          <t>No</t>
        </is>
      </c>
      <c r="AS1563" s="865" t="n"/>
      <c r="AT1563" s="865" t="n"/>
      <c r="AU1563" s="865" t="n"/>
      <c r="AV1563" s="865" t="n"/>
      <c r="AW1563" s="856" t="inlineStr">
        <is>
          <t>trade</t>
        </is>
      </c>
      <c r="AX1563" s="856" t="inlineStr">
        <is>
          <t>sig:4571bc9a59e27ffc1a9cb84d</t>
        </is>
      </c>
    </row>
    <row r="1564" ht="15" customHeight="1">
      <c r="A1564" s="854" t="inlineStr">
        <is>
          <t>F1032</t>
        </is>
      </c>
      <c r="B1564" s="855" t="n">
        <v>43249.86458333334</v>
      </c>
      <c r="C1564" s="855" t="n">
        <v>43249.87013888889</v>
      </c>
      <c r="D1564" s="856" t="inlineStr">
        <is>
          <t>PEPPERSTONE DEMO</t>
        </is>
      </c>
      <c r="E1564" s="856" t="inlineStr">
        <is>
          <t>EURAUD</t>
        </is>
      </c>
      <c r="F1564" s="856" t="inlineStr">
        <is>
          <t>SELL</t>
        </is>
      </c>
      <c r="G1564" s="857" t="n">
        <v>0.01</v>
      </c>
      <c r="H1564" s="858" t="n">
        <v>1.5354</v>
      </c>
      <c r="I1564" s="858" t="n">
        <v>1.53642</v>
      </c>
      <c r="J1564" s="858" t="n">
        <v>1.5364</v>
      </c>
      <c r="K1564" s="859" t="n">
        <v>0.0006512960791975314</v>
      </c>
      <c r="L1564" s="858" t="n">
        <v>1.5341</v>
      </c>
      <c r="M1564" s="859" t="n">
        <v>0.0008466849029569355</v>
      </c>
      <c r="N1564" s="860" t="n"/>
      <c r="O1564" s="861" t="n">
        <v>-0.95</v>
      </c>
      <c r="P1564" s="862" t="n">
        <v>-0.004838791830082005</v>
      </c>
      <c r="Q1564" s="858" t="n">
        <v>-1.019999999999911</v>
      </c>
      <c r="R1564" s="863" t="n">
        <v>195.38</v>
      </c>
      <c r="S1564" s="856" t="inlineStr">
        <is>
          <t>8M 0S</t>
        </is>
      </c>
      <c r="T1564" s="864" t="n"/>
      <c r="U1564" s="865" t="n"/>
      <c r="V1564" s="866" t="n"/>
      <c r="W1564" s="867" t="n"/>
      <c r="X1564" s="867" t="n"/>
      <c r="Y1564" s="864" t="n"/>
      <c r="Z1564" s="865" t="n"/>
      <c r="AA1564" s="866" t="n"/>
      <c r="AB1564" s="867" t="n"/>
      <c r="AC1564" s="867" t="n"/>
      <c r="AD1564" s="856" t="inlineStr">
        <is>
          <t>No</t>
        </is>
      </c>
      <c r="AE1564" s="865" t="n"/>
      <c r="AF1564" s="865" t="n"/>
      <c r="AG1564" s="865" t="n"/>
      <c r="AH1564" s="865" t="n"/>
      <c r="AI1564" s="865" t="n"/>
      <c r="AJ1564" s="865" t="n"/>
      <c r="AK1564" s="865" t="n"/>
      <c r="AL1564" s="865" t="n"/>
      <c r="AM1564" s="865" t="n"/>
      <c r="AN1564" s="865" t="n"/>
      <c r="AO1564" s="865" t="n"/>
      <c r="AP1564" s="856" t="inlineStr">
        <is>
          <t>Pullback</t>
        </is>
      </c>
      <c r="AQ1564" s="865" t="n"/>
      <c r="AR1564" s="856" t="inlineStr">
        <is>
          <t>No</t>
        </is>
      </c>
      <c r="AS1564" s="865" t="n"/>
      <c r="AT1564" s="865" t="n"/>
      <c r="AU1564" s="865" t="n"/>
      <c r="AV1564" s="865" t="n"/>
      <c r="AW1564" s="856" t="inlineStr">
        <is>
          <t>trade</t>
        </is>
      </c>
      <c r="AX1564" s="856" t="inlineStr">
        <is>
          <t>sig:117c7aed6ffb56e5c1f99a0c</t>
        </is>
      </c>
    </row>
    <row r="1565" ht="15" customHeight="1" thickBot="1">
      <c r="A1565" s="854" t="inlineStr">
        <is>
          <t>F1031</t>
        </is>
      </c>
      <c r="B1565" s="855" t="n">
        <v>43249.39652777778</v>
      </c>
      <c r="C1565" s="855" t="n">
        <v>43249.39722222222</v>
      </c>
      <c r="D1565" s="856" t="inlineStr">
        <is>
          <t>PEPPERSTONE DEMO</t>
        </is>
      </c>
      <c r="E1565" s="856" t="inlineStr">
        <is>
          <t>AUDJPY</t>
        </is>
      </c>
      <c r="F1565" s="856" t="inlineStr">
        <is>
          <t>BUY</t>
        </is>
      </c>
      <c r="G1565" s="857" t="n">
        <v>0.09</v>
      </c>
      <c r="H1565" s="858" t="n">
        <v>82.61</v>
      </c>
      <c r="I1565" s="858" t="n">
        <v>82.596</v>
      </c>
      <c r="J1565" s="858" t="n">
        <v>82.59</v>
      </c>
      <c r="K1565" s="859" t="n">
        <v>0.0002421014405035228</v>
      </c>
      <c r="L1565" s="858" t="n">
        <v>82.64</v>
      </c>
      <c r="M1565" s="859" t="n">
        <v>0.0003631521607553703</v>
      </c>
      <c r="N1565" s="860" t="n"/>
      <c r="O1565" s="861" t="n">
        <v>-1.85</v>
      </c>
      <c r="P1565" s="862" t="n">
        <v>-0.00933494802704612</v>
      </c>
      <c r="Q1565" s="858" t="n">
        <v>-0.6999999999999289</v>
      </c>
      <c r="R1565" s="863" t="n">
        <v>196.33</v>
      </c>
      <c r="S1565" s="856" t="inlineStr">
        <is>
          <t>1M 0S</t>
        </is>
      </c>
      <c r="T1565" s="864" t="n"/>
      <c r="U1565" s="865" t="n"/>
      <c r="V1565" s="866" t="n"/>
      <c r="W1565" s="867" t="n"/>
      <c r="X1565" s="867" t="n"/>
      <c r="Y1565" s="864" t="n"/>
      <c r="Z1565" s="865" t="n"/>
      <c r="AA1565" s="866" t="n"/>
      <c r="AB1565" s="867" t="n"/>
      <c r="AC1565" s="867" t="n"/>
      <c r="AD1565" s="856" t="inlineStr">
        <is>
          <t>No</t>
        </is>
      </c>
      <c r="AE1565" s="865" t="n"/>
      <c r="AF1565" s="865" t="n"/>
      <c r="AG1565" s="865" t="n"/>
      <c r="AH1565" s="865" t="n"/>
      <c r="AI1565" s="865" t="n"/>
      <c r="AJ1565" s="865" t="n"/>
      <c r="AK1565" s="865" t="n"/>
      <c r="AL1565" s="865" t="n"/>
      <c r="AM1565" s="865" t="n"/>
      <c r="AN1565" s="865" t="n"/>
      <c r="AO1565" s="865" t="n"/>
      <c r="AP1565" s="856" t="inlineStr">
        <is>
          <t>Pullback</t>
        </is>
      </c>
      <c r="AQ1565" s="865" t="n"/>
      <c r="AR1565" s="856" t="inlineStr">
        <is>
          <t>No</t>
        </is>
      </c>
      <c r="AS1565" s="865" t="n"/>
      <c r="AT1565" s="865" t="n"/>
      <c r="AU1565" s="865" t="n"/>
      <c r="AV1565" s="865" t="n"/>
      <c r="AW1565" s="856" t="inlineStr">
        <is>
          <t>trade</t>
        </is>
      </c>
      <c r="AX1565" s="868" t="inlineStr">
        <is>
          <t>bybit:demo:closedpnl:LABUSDT:e6908708-3d53-4eeb-acd0-e376ad377ad2 | e3aa6447-e8d5-4f49-ab37-a6b178159449</t>
        </is>
      </c>
    </row>
    <row r="1566" ht="15" customHeight="1">
      <c r="A1566" s="854" t="inlineStr">
        <is>
          <t>F1030</t>
        </is>
      </c>
      <c r="B1566" s="855" t="n">
        <v>43249.39236111111</v>
      </c>
      <c r="C1566" s="855" t="n">
        <v>43249.39305555556</v>
      </c>
      <c r="D1566" s="856" t="inlineStr">
        <is>
          <t>PEPPERSTONE DEMO</t>
        </is>
      </c>
      <c r="E1566" s="856" t="inlineStr">
        <is>
          <t>AUDJPY</t>
        </is>
      </c>
      <c r="F1566" s="856" t="inlineStr">
        <is>
          <t>BUY</t>
        </is>
      </c>
      <c r="G1566" s="858" t="n">
        <v>0.1</v>
      </c>
      <c r="H1566" s="858" t="n">
        <v>82.61</v>
      </c>
      <c r="I1566" s="858" t="n">
        <v>82.59999999999999</v>
      </c>
      <c r="J1566" s="858" t="n">
        <v>82.59</v>
      </c>
      <c r="K1566" s="859" t="n">
        <v>0.0002421014405035228</v>
      </c>
      <c r="L1566" s="858" t="n">
        <v>82.64</v>
      </c>
      <c r="M1566" s="859" t="n">
        <v>0.0003631521607553703</v>
      </c>
      <c r="N1566" s="860" t="n"/>
      <c r="O1566" s="861" t="n">
        <v>-1.82</v>
      </c>
      <c r="P1566" s="862" t="n">
        <v>-0.0091</v>
      </c>
      <c r="Q1566" s="858" t="n">
        <v>-0.5000000000003553</v>
      </c>
      <c r="R1566" s="863" t="n">
        <v>198.18</v>
      </c>
      <c r="S1566" s="856" t="inlineStr">
        <is>
          <t>1M 0S</t>
        </is>
      </c>
      <c r="T1566" s="864" t="n"/>
      <c r="U1566" s="865" t="n"/>
      <c r="V1566" s="866" t="n"/>
      <c r="W1566" s="867" t="n"/>
      <c r="X1566" s="867" t="n"/>
      <c r="Y1566" s="864" t="n"/>
      <c r="Z1566" s="865" t="n"/>
      <c r="AA1566" s="866" t="n"/>
      <c r="AB1566" s="867" t="n"/>
      <c r="AC1566" s="867" t="n"/>
      <c r="AD1566" s="856" t="inlineStr">
        <is>
          <t>No</t>
        </is>
      </c>
      <c r="AE1566" s="865" t="n"/>
      <c r="AF1566" s="865" t="n"/>
      <c r="AG1566" s="865" t="n"/>
      <c r="AH1566" s="865" t="n"/>
      <c r="AI1566" s="865" t="n"/>
      <c r="AJ1566" s="865" t="n"/>
      <c r="AK1566" s="865" t="n"/>
      <c r="AL1566" s="865" t="n"/>
      <c r="AM1566" s="865" t="n"/>
      <c r="AN1566" s="865" t="n"/>
      <c r="AO1566" s="865" t="n"/>
      <c r="AP1566" s="856" t="inlineStr">
        <is>
          <t>Pullback</t>
        </is>
      </c>
      <c r="AQ1566" s="865" t="n"/>
      <c r="AR1566" s="856" t="inlineStr">
        <is>
          <t>No</t>
        </is>
      </c>
      <c r="AS1566" s="865" t="n"/>
      <c r="AT1566" s="865" t="n"/>
      <c r="AU1566" s="865" t="n"/>
      <c r="AV1566" s="865" t="n"/>
      <c r="AW1566" s="856" t="inlineStr">
        <is>
          <t>trade</t>
        </is>
      </c>
      <c r="AX1566" s="868" t="inlineStr">
        <is>
          <t>bybit:demo:closedpnl:BTCUSDT:93cc32ee-fb69-418f-bc39-27ee4716a7b3 | c69cc5d0-74e7-4084-9ecc-cafb273331e1</t>
        </is>
      </c>
    </row>
    <row r="1567" ht="15" customHeight="1">
      <c r="A1567" s="141" t="n"/>
      <c r="B1567" s="869" t="n">
        <v>43249</v>
      </c>
      <c r="C1567" s="869" t="n">
        <v>43249</v>
      </c>
      <c r="D1567" s="257" t="inlineStr">
        <is>
          <t>PEPPERSTONE DEMO</t>
        </is>
      </c>
      <c r="E1567" s="257" t="inlineStr">
        <is>
          <t>CASHFLOW</t>
        </is>
      </c>
      <c r="F1567" s="257" t="inlineStr">
        <is>
          <t>DEPOSIT</t>
        </is>
      </c>
      <c r="G1567" s="145" t="n"/>
      <c r="H1567" s="145" t="n"/>
      <c r="I1567" s="145" t="n"/>
      <c r="J1567" s="145" t="n"/>
      <c r="K1567" s="143" t="n"/>
      <c r="L1567" s="145" t="n"/>
      <c r="M1567" s="143" t="n"/>
      <c r="N1567" s="870" t="n"/>
      <c r="O1567" s="870" t="n"/>
      <c r="P1567" s="143" t="n"/>
      <c r="Q1567" s="145" t="n"/>
      <c r="R1567" s="258" t="n">
        <v>200</v>
      </c>
      <c r="T1567" s="871" t="n"/>
      <c r="V1567" s="145" t="n"/>
      <c r="W1567" s="143" t="n"/>
      <c r="X1567" s="143" t="n"/>
      <c r="Y1567" s="871" t="n"/>
      <c r="AA1567" s="145" t="n"/>
      <c r="AB1567" s="143" t="n"/>
      <c r="AC1567" s="143" t="n"/>
      <c r="AD1567" s="257" t="inlineStr">
        <is>
          <t>No</t>
        </is>
      </c>
      <c r="AS1567" s="259" t="inlineStr">
        <is>
          <t>Deposit 200.0 AUD. Source: user_txt. Imported from account_cashflows.xlsx row 14.</t>
        </is>
      </c>
      <c r="AU1567" s="257" t="n">
        <v>200</v>
      </c>
      <c r="AV1567" s="257" t="inlineStr">
        <is>
          <t>AUD</t>
        </is>
      </c>
      <c r="AW1567" s="257" t="inlineStr">
        <is>
          <t>cashflow</t>
        </is>
      </c>
      <c r="AX1567" s="257" t="inlineStr">
        <is>
          <t>cashflow:PEPPERSTONE DEMO:2018-05-29T00:00:00:0</t>
        </is>
      </c>
    </row>
    <row r="1568" ht="15" customHeight="1">
      <c r="A1568" s="141" t="n"/>
      <c r="B1568" s="869" t="n">
        <v>43230</v>
      </c>
      <c r="C1568" s="869" t="n">
        <v>43230</v>
      </c>
      <c r="D1568" s="257" t="inlineStr">
        <is>
          <t>PEPPERSTONE LIVE</t>
        </is>
      </c>
      <c r="E1568" s="257" t="inlineStr">
        <is>
          <t>CASHFLOW</t>
        </is>
      </c>
      <c r="F1568" s="257" t="inlineStr">
        <is>
          <t>DEPOSIT</t>
        </is>
      </c>
      <c r="G1568" s="145" t="n"/>
      <c r="H1568" s="145" t="n"/>
      <c r="I1568" s="145" t="n"/>
      <c r="J1568" s="145" t="n"/>
      <c r="K1568" s="143" t="n"/>
      <c r="L1568" s="145" t="n"/>
      <c r="M1568" s="143" t="n"/>
      <c r="N1568" s="870" t="n"/>
      <c r="O1568" s="870" t="n"/>
      <c r="P1568" s="143" t="n"/>
      <c r="Q1568" s="145" t="n"/>
      <c r="R1568" s="258" t="n">
        <v>200</v>
      </c>
      <c r="T1568" s="871" t="n"/>
      <c r="V1568" s="145" t="n"/>
      <c r="W1568" s="143" t="n"/>
      <c r="X1568" s="143" t="n"/>
      <c r="Y1568" s="871" t="n"/>
      <c r="AA1568" s="145" t="n"/>
      <c r="AB1568" s="143" t="n"/>
      <c r="AC1568" s="143" t="n"/>
      <c r="AD1568" s="257" t="inlineStr">
        <is>
          <t>No</t>
        </is>
      </c>
      <c r="AS1568" s="259" t="inlineStr">
        <is>
          <t>Deposit 200.0 AUD. Source: screenshot_ocr. Imported from account_cashflows.xlsx row 79.</t>
        </is>
      </c>
      <c r="AU1568" s="257" t="n">
        <v>200</v>
      </c>
      <c r="AV1568" s="257" t="inlineStr">
        <is>
          <t>AUD</t>
        </is>
      </c>
      <c r="AW1568" s="257" t="inlineStr">
        <is>
          <t>cashflow</t>
        </is>
      </c>
      <c r="AX1568" s="257" t="inlineStr">
        <is>
          <t>cashflow:PEPPERSTONE LIVE:2018-05-10T00:00:00:0</t>
        </is>
      </c>
    </row>
  </sheetData>
  <autoFilter ref="A3:AX1568"/>
  <mergeCells count="52">
    <mergeCell ref="AE1:AE3"/>
    <mergeCell ref="N1:N3"/>
    <mergeCell ref="AF1:AF3"/>
    <mergeCell ref="G1:G3"/>
    <mergeCell ref="AO1:AO3"/>
    <mergeCell ref="U2:U3"/>
    <mergeCell ref="AQ1:AQ3"/>
    <mergeCell ref="I1:I3"/>
    <mergeCell ref="AW1:AW3"/>
    <mergeCell ref="Y2:Y3"/>
    <mergeCell ref="AT1:AT3"/>
    <mergeCell ref="D1:D3"/>
    <mergeCell ref="F1:F3"/>
    <mergeCell ref="AJ1:AJ3"/>
    <mergeCell ref="Z2:Z3"/>
    <mergeCell ref="S1:S3"/>
    <mergeCell ref="AB2:AB3"/>
    <mergeCell ref="Y1:AC1"/>
    <mergeCell ref="AL1:AL3"/>
    <mergeCell ref="T2:T3"/>
    <mergeCell ref="AR1:AR3"/>
    <mergeCell ref="AV1:AV3"/>
    <mergeCell ref="J1:J3"/>
    <mergeCell ref="AX1:AX3"/>
    <mergeCell ref="P1:P3"/>
    <mergeCell ref="AG1:AG3"/>
    <mergeCell ref="A1:A3"/>
    <mergeCell ref="AI1:AI3"/>
    <mergeCell ref="AU1:AU3"/>
    <mergeCell ref="R1:R3"/>
    <mergeCell ref="W2:W3"/>
    <mergeCell ref="K1:K3"/>
    <mergeCell ref="AD1:AD3"/>
    <mergeCell ref="H1:H3"/>
    <mergeCell ref="T1:X1"/>
    <mergeCell ref="AA2:AA3"/>
    <mergeCell ref="AC2:AC3"/>
    <mergeCell ref="AS1:AS3"/>
    <mergeCell ref="E1:E3"/>
    <mergeCell ref="M1:M3"/>
    <mergeCell ref="AP1:AP3"/>
    <mergeCell ref="Q1:Q3"/>
    <mergeCell ref="B1:B3"/>
    <mergeCell ref="C1:C3"/>
    <mergeCell ref="AK1:AK3"/>
    <mergeCell ref="AM1:AM3"/>
    <mergeCell ref="O1:O3"/>
    <mergeCell ref="AH1:AH3"/>
    <mergeCell ref="AN1:AN3"/>
    <mergeCell ref="V2:V3"/>
    <mergeCell ref="X2:X3"/>
    <mergeCell ref="L1:L3"/>
  </mergeCells>
  <conditionalFormatting sqref="A5:AX1563 B4:AX4">
    <cfRule type="expression" priority="3" dxfId="1" stopIfTrue="1">
      <formula>AND($AW4="trade",$O4&gt;0)</formula>
    </cfRule>
    <cfRule type="expression" priority="4" dxfId="0" stopIfTrue="1">
      <formula>AND($AW4="trade",$O4&lt;0)</formula>
    </cfRule>
  </conditionalFormatting>
  <conditionalFormatting sqref="A4">
    <cfRule type="expression" priority="13" dxfId="1" stopIfTrue="1">
      <formula>AND(#REF!="trade",#REF!&gt;0)</formula>
    </cfRule>
    <cfRule type="expression" priority="14" dxfId="0" stopIfTrue="1">
      <formula>AND(#REF!="trade",#REF!&lt;0)</formula>
    </cfRule>
  </conditionalFormatting>
  <conditionalFormatting sqref="A4:AX1568">
    <cfRule type="expression" priority="5" dxfId="13" stopIfTrue="1">
      <formula>AND($AW4="trade",$O4&gt;0)</formula>
    </cfRule>
    <cfRule type="expression" priority="6" dxfId="14" stopIfTrue="1">
      <formula>AND($AW4="trade",$O4&lt;0)</formula>
    </cfRule>
  </conditionalFormatting>
  <dataValidations count="4">
    <dataValidation sqref="AD4:AD1549 AG4:AG1549 AJ4:AO1549" showDropDown="0" showInputMessage="0" showErrorMessage="0" allowBlank="1" type="list">
      <formula1>"Yes,No"</formula1>
    </dataValidation>
    <dataValidation sqref="AH4:AH1549" showDropDown="0" showInputMessage="0" showErrorMessage="0" allowBlank="1" type="list">
      <formula1>"All-Time High,All-Time Low"</formula1>
    </dataValidation>
    <dataValidation sqref="AI4:AI1549" showDropDown="0" showInputMessage="0" showErrorMessage="0" allowBlank="1" type="list">
      <formula1>"Market,Limit"</formula1>
    </dataValidation>
    <dataValidation sqref="AE4:AE1549" showDropDown="0" showInputMessage="0" showErrorMessage="0" allowBlank="1" type="list">
      <formula1>"range,channel"</formula1>
    </dataValidation>
  </dataValidations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7" r:id="rId3"/>
    <hyperlink xmlns:r="http://schemas.openxmlformats.org/officeDocument/2006/relationships" ref="A10" r:id="rId4"/>
    <hyperlink xmlns:r="http://schemas.openxmlformats.org/officeDocument/2006/relationships" ref="A11" r:id="rId5"/>
    <hyperlink xmlns:r="http://schemas.openxmlformats.org/officeDocument/2006/relationships" ref="A12" r:id="rId6"/>
    <hyperlink xmlns:r="http://schemas.openxmlformats.org/officeDocument/2006/relationships" ref="A13" r:id="rId7"/>
    <hyperlink xmlns:r="http://schemas.openxmlformats.org/officeDocument/2006/relationships" ref="A14" r:id="rId8"/>
    <hyperlink xmlns:r="http://schemas.openxmlformats.org/officeDocument/2006/relationships" ref="A16" r:id="rId9"/>
    <hyperlink xmlns:r="http://schemas.openxmlformats.org/officeDocument/2006/relationships" ref="A17" r:id="rId10"/>
    <hyperlink xmlns:r="http://schemas.openxmlformats.org/officeDocument/2006/relationships" ref="A18" r:id="rId11"/>
    <hyperlink xmlns:r="http://schemas.openxmlformats.org/officeDocument/2006/relationships" ref="A20" r:id="rId12"/>
    <hyperlink xmlns:r="http://schemas.openxmlformats.org/officeDocument/2006/relationships" ref="A21" r:id="rId13"/>
    <hyperlink xmlns:r="http://schemas.openxmlformats.org/officeDocument/2006/relationships" ref="A43" r:id="rId14"/>
    <hyperlink xmlns:r="http://schemas.openxmlformats.org/officeDocument/2006/relationships" ref="A44" r:id="rId15"/>
    <hyperlink xmlns:r="http://schemas.openxmlformats.org/officeDocument/2006/relationships" ref="A45" r:id="rId16"/>
    <hyperlink xmlns:r="http://schemas.openxmlformats.org/officeDocument/2006/relationships" ref="A46" r:id="rId17"/>
    <hyperlink xmlns:r="http://schemas.openxmlformats.org/officeDocument/2006/relationships" ref="A47" r:id="rId18"/>
    <hyperlink xmlns:r="http://schemas.openxmlformats.org/officeDocument/2006/relationships" ref="A48" r:id="rId19"/>
    <hyperlink xmlns:r="http://schemas.openxmlformats.org/officeDocument/2006/relationships" ref="A49" r:id="rId20"/>
    <hyperlink xmlns:r="http://schemas.openxmlformats.org/officeDocument/2006/relationships" ref="A50" r:id="rId21"/>
    <hyperlink xmlns:r="http://schemas.openxmlformats.org/officeDocument/2006/relationships" ref="A51" r:id="rId22"/>
    <hyperlink xmlns:r="http://schemas.openxmlformats.org/officeDocument/2006/relationships" ref="A52" r:id="rId23"/>
    <hyperlink xmlns:r="http://schemas.openxmlformats.org/officeDocument/2006/relationships" ref="A53" r:id="rId24"/>
    <hyperlink xmlns:r="http://schemas.openxmlformats.org/officeDocument/2006/relationships" ref="A54" r:id="rId25"/>
    <hyperlink xmlns:r="http://schemas.openxmlformats.org/officeDocument/2006/relationships" ref="A55" r:id="rId26"/>
    <hyperlink xmlns:r="http://schemas.openxmlformats.org/officeDocument/2006/relationships" ref="A56" r:id="rId27"/>
    <hyperlink xmlns:r="http://schemas.openxmlformats.org/officeDocument/2006/relationships" ref="A57" r:id="rId28"/>
    <hyperlink xmlns:r="http://schemas.openxmlformats.org/officeDocument/2006/relationships" ref="A58" r:id="rId29"/>
    <hyperlink xmlns:r="http://schemas.openxmlformats.org/officeDocument/2006/relationships" ref="A59" r:id="rId30"/>
    <hyperlink xmlns:r="http://schemas.openxmlformats.org/officeDocument/2006/relationships" ref="A60" r:id="rId31"/>
    <hyperlink xmlns:r="http://schemas.openxmlformats.org/officeDocument/2006/relationships" ref="A61" r:id="rId32"/>
    <hyperlink xmlns:r="http://schemas.openxmlformats.org/officeDocument/2006/relationships" ref="A62" r:id="rId33"/>
    <hyperlink xmlns:r="http://schemas.openxmlformats.org/officeDocument/2006/relationships" ref="A63" r:id="rId34"/>
    <hyperlink xmlns:r="http://schemas.openxmlformats.org/officeDocument/2006/relationships" ref="A64" r:id="rId35"/>
    <hyperlink xmlns:r="http://schemas.openxmlformats.org/officeDocument/2006/relationships" ref="A65" r:id="rId36"/>
    <hyperlink xmlns:r="http://schemas.openxmlformats.org/officeDocument/2006/relationships" ref="A66" r:id="rId37"/>
    <hyperlink xmlns:r="http://schemas.openxmlformats.org/officeDocument/2006/relationships" ref="A67" r:id="rId38"/>
    <hyperlink xmlns:r="http://schemas.openxmlformats.org/officeDocument/2006/relationships" ref="A68" r:id="rId39"/>
    <hyperlink xmlns:r="http://schemas.openxmlformats.org/officeDocument/2006/relationships" ref="A69" r:id="rId40"/>
    <hyperlink xmlns:r="http://schemas.openxmlformats.org/officeDocument/2006/relationships" ref="A70" r:id="rId41"/>
    <hyperlink xmlns:r="http://schemas.openxmlformats.org/officeDocument/2006/relationships" ref="A71" r:id="rId42"/>
    <hyperlink xmlns:r="http://schemas.openxmlformats.org/officeDocument/2006/relationships" ref="A72" r:id="rId43"/>
    <hyperlink xmlns:r="http://schemas.openxmlformats.org/officeDocument/2006/relationships" ref="A75" r:id="rId44"/>
    <hyperlink xmlns:r="http://schemas.openxmlformats.org/officeDocument/2006/relationships" ref="A76" r:id="rId45"/>
    <hyperlink xmlns:r="http://schemas.openxmlformats.org/officeDocument/2006/relationships" ref="A78" r:id="rId46"/>
    <hyperlink xmlns:r="http://schemas.openxmlformats.org/officeDocument/2006/relationships" ref="A79" r:id="rId47"/>
    <hyperlink xmlns:r="http://schemas.openxmlformats.org/officeDocument/2006/relationships" ref="A80" r:id="rId48"/>
    <hyperlink xmlns:r="http://schemas.openxmlformats.org/officeDocument/2006/relationships" ref="A81" r:id="rId49"/>
    <hyperlink xmlns:r="http://schemas.openxmlformats.org/officeDocument/2006/relationships" ref="A82" r:id="rId50"/>
    <hyperlink xmlns:r="http://schemas.openxmlformats.org/officeDocument/2006/relationships" ref="A83" r:id="rId51"/>
    <hyperlink xmlns:r="http://schemas.openxmlformats.org/officeDocument/2006/relationships" ref="A84" r:id="rId52"/>
    <hyperlink xmlns:r="http://schemas.openxmlformats.org/officeDocument/2006/relationships" ref="A85" r:id="rId53"/>
    <hyperlink xmlns:r="http://schemas.openxmlformats.org/officeDocument/2006/relationships" ref="A86" r:id="rId54"/>
    <hyperlink xmlns:r="http://schemas.openxmlformats.org/officeDocument/2006/relationships" ref="A87" r:id="rId55"/>
    <hyperlink xmlns:r="http://schemas.openxmlformats.org/officeDocument/2006/relationships" ref="A88" r:id="rId56"/>
    <hyperlink xmlns:r="http://schemas.openxmlformats.org/officeDocument/2006/relationships" ref="A89" r:id="rId57"/>
    <hyperlink xmlns:r="http://schemas.openxmlformats.org/officeDocument/2006/relationships" ref="A90" r:id="rId58"/>
    <hyperlink xmlns:r="http://schemas.openxmlformats.org/officeDocument/2006/relationships" ref="A91" r:id="rId59"/>
    <hyperlink xmlns:r="http://schemas.openxmlformats.org/officeDocument/2006/relationships" ref="A92" r:id="rId60"/>
    <hyperlink xmlns:r="http://schemas.openxmlformats.org/officeDocument/2006/relationships" ref="A93" r:id="rId61"/>
    <hyperlink xmlns:r="http://schemas.openxmlformats.org/officeDocument/2006/relationships" ref="A94" r:id="rId62"/>
    <hyperlink xmlns:r="http://schemas.openxmlformats.org/officeDocument/2006/relationships" ref="A95" r:id="rId63"/>
    <hyperlink xmlns:r="http://schemas.openxmlformats.org/officeDocument/2006/relationships" ref="A96" r:id="rId64"/>
    <hyperlink xmlns:r="http://schemas.openxmlformats.org/officeDocument/2006/relationships" ref="A119" r:id="rId65"/>
    <hyperlink xmlns:r="http://schemas.openxmlformats.org/officeDocument/2006/relationships" ref="A120" r:id="rId66"/>
    <hyperlink xmlns:r="http://schemas.openxmlformats.org/officeDocument/2006/relationships" ref="A121" r:id="rId67"/>
    <hyperlink xmlns:r="http://schemas.openxmlformats.org/officeDocument/2006/relationships" ref="A122" r:id="rId68"/>
    <hyperlink xmlns:r="http://schemas.openxmlformats.org/officeDocument/2006/relationships" ref="A123" r:id="rId69"/>
    <hyperlink xmlns:r="http://schemas.openxmlformats.org/officeDocument/2006/relationships" ref="A124" r:id="rId70"/>
    <hyperlink xmlns:r="http://schemas.openxmlformats.org/officeDocument/2006/relationships" ref="A125" r:id="rId71"/>
    <hyperlink xmlns:r="http://schemas.openxmlformats.org/officeDocument/2006/relationships" ref="A126" r:id="rId72"/>
    <hyperlink xmlns:r="http://schemas.openxmlformats.org/officeDocument/2006/relationships" ref="A127" r:id="rId73"/>
    <hyperlink xmlns:r="http://schemas.openxmlformats.org/officeDocument/2006/relationships" ref="A128" r:id="rId74"/>
    <hyperlink xmlns:r="http://schemas.openxmlformats.org/officeDocument/2006/relationships" ref="A130" r:id="rId75"/>
    <hyperlink xmlns:r="http://schemas.openxmlformats.org/officeDocument/2006/relationships" ref="A131" r:id="rId76"/>
    <hyperlink xmlns:r="http://schemas.openxmlformats.org/officeDocument/2006/relationships" ref="A132" r:id="rId77"/>
    <hyperlink xmlns:r="http://schemas.openxmlformats.org/officeDocument/2006/relationships" ref="A133" r:id="rId78"/>
    <hyperlink xmlns:r="http://schemas.openxmlformats.org/officeDocument/2006/relationships" ref="A134" r:id="rId79"/>
    <hyperlink xmlns:r="http://schemas.openxmlformats.org/officeDocument/2006/relationships" ref="A135" r:id="rId80"/>
    <hyperlink xmlns:r="http://schemas.openxmlformats.org/officeDocument/2006/relationships" ref="A136" r:id="rId81"/>
    <hyperlink xmlns:r="http://schemas.openxmlformats.org/officeDocument/2006/relationships" ref="A137" r:id="rId82"/>
    <hyperlink xmlns:r="http://schemas.openxmlformats.org/officeDocument/2006/relationships" ref="A138" r:id="rId83"/>
    <hyperlink xmlns:r="http://schemas.openxmlformats.org/officeDocument/2006/relationships" ref="A139" r:id="rId84"/>
    <hyperlink xmlns:r="http://schemas.openxmlformats.org/officeDocument/2006/relationships" ref="A140" r:id="rId85"/>
    <hyperlink xmlns:r="http://schemas.openxmlformats.org/officeDocument/2006/relationships" ref="A141" r:id="rId86"/>
    <hyperlink xmlns:r="http://schemas.openxmlformats.org/officeDocument/2006/relationships" ref="A142" r:id="rId87"/>
    <hyperlink xmlns:r="http://schemas.openxmlformats.org/officeDocument/2006/relationships" ref="A143" r:id="rId88"/>
    <hyperlink xmlns:r="http://schemas.openxmlformats.org/officeDocument/2006/relationships" ref="A144" r:id="rId89"/>
    <hyperlink xmlns:r="http://schemas.openxmlformats.org/officeDocument/2006/relationships" ref="A145" r:id="rId90"/>
    <hyperlink xmlns:r="http://schemas.openxmlformats.org/officeDocument/2006/relationships" ref="A146" r:id="rId91"/>
    <hyperlink xmlns:r="http://schemas.openxmlformats.org/officeDocument/2006/relationships" ref="A147" r:id="rId92"/>
    <hyperlink xmlns:r="http://schemas.openxmlformats.org/officeDocument/2006/relationships" ref="A148" r:id="rId93"/>
    <hyperlink xmlns:r="http://schemas.openxmlformats.org/officeDocument/2006/relationships" ref="A149" r:id="rId94"/>
    <hyperlink xmlns:r="http://schemas.openxmlformats.org/officeDocument/2006/relationships" ref="A150" r:id="rId95"/>
    <hyperlink xmlns:r="http://schemas.openxmlformats.org/officeDocument/2006/relationships" ref="A151" r:id="rId96"/>
    <hyperlink xmlns:r="http://schemas.openxmlformats.org/officeDocument/2006/relationships" ref="A152" r:id="rId97"/>
    <hyperlink xmlns:r="http://schemas.openxmlformats.org/officeDocument/2006/relationships" ref="A153" r:id="rId98"/>
    <hyperlink xmlns:r="http://schemas.openxmlformats.org/officeDocument/2006/relationships" ref="A154" r:id="rId99"/>
    <hyperlink xmlns:r="http://schemas.openxmlformats.org/officeDocument/2006/relationships" ref="A155" r:id="rId100"/>
    <hyperlink xmlns:r="http://schemas.openxmlformats.org/officeDocument/2006/relationships" ref="A156" r:id="rId101"/>
    <hyperlink xmlns:r="http://schemas.openxmlformats.org/officeDocument/2006/relationships" ref="A157" r:id="rId102"/>
    <hyperlink xmlns:r="http://schemas.openxmlformats.org/officeDocument/2006/relationships" ref="A158" r:id="rId103"/>
    <hyperlink xmlns:r="http://schemas.openxmlformats.org/officeDocument/2006/relationships" ref="A159" r:id="rId104"/>
    <hyperlink xmlns:r="http://schemas.openxmlformats.org/officeDocument/2006/relationships" ref="A160" r:id="rId105"/>
    <hyperlink xmlns:r="http://schemas.openxmlformats.org/officeDocument/2006/relationships" ref="A161" r:id="rId106"/>
    <hyperlink xmlns:r="http://schemas.openxmlformats.org/officeDocument/2006/relationships" ref="A162" r:id="rId107"/>
    <hyperlink xmlns:r="http://schemas.openxmlformats.org/officeDocument/2006/relationships" ref="A163" r:id="rId108"/>
    <hyperlink xmlns:r="http://schemas.openxmlformats.org/officeDocument/2006/relationships" ref="A164" r:id="rId109"/>
    <hyperlink xmlns:r="http://schemas.openxmlformats.org/officeDocument/2006/relationships" ref="A165" r:id="rId110"/>
    <hyperlink xmlns:r="http://schemas.openxmlformats.org/officeDocument/2006/relationships" ref="A166" r:id="rId111"/>
    <hyperlink xmlns:r="http://schemas.openxmlformats.org/officeDocument/2006/relationships" ref="A167" r:id="rId112"/>
    <hyperlink xmlns:r="http://schemas.openxmlformats.org/officeDocument/2006/relationships" ref="A168" r:id="rId113"/>
    <hyperlink xmlns:r="http://schemas.openxmlformats.org/officeDocument/2006/relationships" ref="A169" r:id="rId114"/>
    <hyperlink xmlns:r="http://schemas.openxmlformats.org/officeDocument/2006/relationships" ref="A170" r:id="rId115"/>
    <hyperlink xmlns:r="http://schemas.openxmlformats.org/officeDocument/2006/relationships" ref="A172" r:id="rId116"/>
    <hyperlink xmlns:r="http://schemas.openxmlformats.org/officeDocument/2006/relationships" ref="A173" r:id="rId117"/>
    <hyperlink xmlns:r="http://schemas.openxmlformats.org/officeDocument/2006/relationships" ref="A174" r:id="rId118"/>
    <hyperlink xmlns:r="http://schemas.openxmlformats.org/officeDocument/2006/relationships" ref="A175" r:id="rId119"/>
    <hyperlink xmlns:r="http://schemas.openxmlformats.org/officeDocument/2006/relationships" ref="A176" r:id="rId120"/>
    <hyperlink xmlns:r="http://schemas.openxmlformats.org/officeDocument/2006/relationships" ref="A177" r:id="rId121"/>
    <hyperlink xmlns:r="http://schemas.openxmlformats.org/officeDocument/2006/relationships" ref="A178" r:id="rId122"/>
    <hyperlink xmlns:r="http://schemas.openxmlformats.org/officeDocument/2006/relationships" ref="A179" r:id="rId123"/>
    <hyperlink xmlns:r="http://schemas.openxmlformats.org/officeDocument/2006/relationships" ref="A180" r:id="rId124"/>
    <hyperlink xmlns:r="http://schemas.openxmlformats.org/officeDocument/2006/relationships" ref="A181" r:id="rId125"/>
    <hyperlink xmlns:r="http://schemas.openxmlformats.org/officeDocument/2006/relationships" ref="A182" r:id="rId126"/>
    <hyperlink xmlns:r="http://schemas.openxmlformats.org/officeDocument/2006/relationships" ref="A183" r:id="rId127"/>
    <hyperlink xmlns:r="http://schemas.openxmlformats.org/officeDocument/2006/relationships" ref="A184" r:id="rId128"/>
    <hyperlink xmlns:r="http://schemas.openxmlformats.org/officeDocument/2006/relationships" ref="A185" r:id="rId129"/>
    <hyperlink xmlns:r="http://schemas.openxmlformats.org/officeDocument/2006/relationships" ref="A186" r:id="rId130"/>
    <hyperlink xmlns:r="http://schemas.openxmlformats.org/officeDocument/2006/relationships" ref="A187" r:id="rId131"/>
    <hyperlink xmlns:r="http://schemas.openxmlformats.org/officeDocument/2006/relationships" ref="A188" r:id="rId132"/>
    <hyperlink xmlns:r="http://schemas.openxmlformats.org/officeDocument/2006/relationships" ref="A189" r:id="rId133"/>
    <hyperlink xmlns:r="http://schemas.openxmlformats.org/officeDocument/2006/relationships" ref="A190" r:id="rId134"/>
    <hyperlink xmlns:r="http://schemas.openxmlformats.org/officeDocument/2006/relationships" ref="A191" r:id="rId135"/>
    <hyperlink xmlns:r="http://schemas.openxmlformats.org/officeDocument/2006/relationships" ref="A192" r:id="rId136"/>
    <hyperlink xmlns:r="http://schemas.openxmlformats.org/officeDocument/2006/relationships" ref="A194" r:id="rId137"/>
    <hyperlink xmlns:r="http://schemas.openxmlformats.org/officeDocument/2006/relationships" ref="A195" r:id="rId138"/>
    <hyperlink xmlns:r="http://schemas.openxmlformats.org/officeDocument/2006/relationships" ref="A196" r:id="rId139"/>
    <hyperlink xmlns:r="http://schemas.openxmlformats.org/officeDocument/2006/relationships" ref="A197" r:id="rId140"/>
    <hyperlink xmlns:r="http://schemas.openxmlformats.org/officeDocument/2006/relationships" ref="A198" r:id="rId141"/>
    <hyperlink xmlns:r="http://schemas.openxmlformats.org/officeDocument/2006/relationships" ref="A200" r:id="rId142"/>
    <hyperlink xmlns:r="http://schemas.openxmlformats.org/officeDocument/2006/relationships" ref="A201" r:id="rId143"/>
    <hyperlink xmlns:r="http://schemas.openxmlformats.org/officeDocument/2006/relationships" ref="A202" r:id="rId144"/>
    <hyperlink xmlns:r="http://schemas.openxmlformats.org/officeDocument/2006/relationships" ref="A203" r:id="rId145"/>
    <hyperlink xmlns:r="http://schemas.openxmlformats.org/officeDocument/2006/relationships" ref="A204" r:id="rId146"/>
    <hyperlink xmlns:r="http://schemas.openxmlformats.org/officeDocument/2006/relationships" ref="A205" r:id="rId147"/>
    <hyperlink xmlns:r="http://schemas.openxmlformats.org/officeDocument/2006/relationships" ref="A206" r:id="rId148"/>
    <hyperlink xmlns:r="http://schemas.openxmlformats.org/officeDocument/2006/relationships" ref="A207" r:id="rId149"/>
    <hyperlink xmlns:r="http://schemas.openxmlformats.org/officeDocument/2006/relationships" ref="A208" r:id="rId150"/>
    <hyperlink xmlns:r="http://schemas.openxmlformats.org/officeDocument/2006/relationships" ref="A209" r:id="rId151"/>
    <hyperlink xmlns:r="http://schemas.openxmlformats.org/officeDocument/2006/relationships" ref="A210" r:id="rId152"/>
    <hyperlink xmlns:r="http://schemas.openxmlformats.org/officeDocument/2006/relationships" ref="A211" r:id="rId153"/>
    <hyperlink xmlns:r="http://schemas.openxmlformats.org/officeDocument/2006/relationships" ref="A213" r:id="rId154"/>
    <hyperlink xmlns:r="http://schemas.openxmlformats.org/officeDocument/2006/relationships" ref="A215" r:id="rId155"/>
    <hyperlink xmlns:r="http://schemas.openxmlformats.org/officeDocument/2006/relationships" ref="A216" r:id="rId156"/>
    <hyperlink xmlns:r="http://schemas.openxmlformats.org/officeDocument/2006/relationships" ref="A217" r:id="rId157"/>
    <hyperlink xmlns:r="http://schemas.openxmlformats.org/officeDocument/2006/relationships" ref="A218" r:id="rId158"/>
    <hyperlink xmlns:r="http://schemas.openxmlformats.org/officeDocument/2006/relationships" ref="A219" r:id="rId159"/>
    <hyperlink xmlns:r="http://schemas.openxmlformats.org/officeDocument/2006/relationships" ref="A220" r:id="rId160"/>
    <hyperlink xmlns:r="http://schemas.openxmlformats.org/officeDocument/2006/relationships" ref="A221" r:id="rId161"/>
    <hyperlink xmlns:r="http://schemas.openxmlformats.org/officeDocument/2006/relationships" ref="A222" r:id="rId162"/>
    <hyperlink xmlns:r="http://schemas.openxmlformats.org/officeDocument/2006/relationships" ref="A223" r:id="rId163"/>
    <hyperlink xmlns:r="http://schemas.openxmlformats.org/officeDocument/2006/relationships" ref="A224" r:id="rId164"/>
    <hyperlink xmlns:r="http://schemas.openxmlformats.org/officeDocument/2006/relationships" ref="A225" r:id="rId165"/>
    <hyperlink xmlns:r="http://schemas.openxmlformats.org/officeDocument/2006/relationships" ref="A226" r:id="rId166"/>
    <hyperlink xmlns:r="http://schemas.openxmlformats.org/officeDocument/2006/relationships" ref="A227" r:id="rId167"/>
    <hyperlink xmlns:r="http://schemas.openxmlformats.org/officeDocument/2006/relationships" ref="A228" r:id="rId168"/>
    <hyperlink xmlns:r="http://schemas.openxmlformats.org/officeDocument/2006/relationships" ref="A229" r:id="rId169"/>
    <hyperlink xmlns:r="http://schemas.openxmlformats.org/officeDocument/2006/relationships" ref="A230" r:id="rId170"/>
    <hyperlink xmlns:r="http://schemas.openxmlformats.org/officeDocument/2006/relationships" ref="A231" r:id="rId171"/>
    <hyperlink xmlns:r="http://schemas.openxmlformats.org/officeDocument/2006/relationships" ref="A232" r:id="rId172"/>
    <hyperlink xmlns:r="http://schemas.openxmlformats.org/officeDocument/2006/relationships" ref="A234" r:id="rId173"/>
    <hyperlink xmlns:r="http://schemas.openxmlformats.org/officeDocument/2006/relationships" ref="A235" r:id="rId174"/>
    <hyperlink xmlns:r="http://schemas.openxmlformats.org/officeDocument/2006/relationships" ref="A236" r:id="rId175"/>
    <hyperlink xmlns:r="http://schemas.openxmlformats.org/officeDocument/2006/relationships" ref="A237" r:id="rId176"/>
    <hyperlink xmlns:r="http://schemas.openxmlformats.org/officeDocument/2006/relationships" ref="A238" r:id="rId177"/>
    <hyperlink xmlns:r="http://schemas.openxmlformats.org/officeDocument/2006/relationships" ref="A239" r:id="rId178"/>
    <hyperlink xmlns:r="http://schemas.openxmlformats.org/officeDocument/2006/relationships" ref="A241" r:id="rId179"/>
    <hyperlink xmlns:r="http://schemas.openxmlformats.org/officeDocument/2006/relationships" ref="A242" r:id="rId180"/>
    <hyperlink xmlns:r="http://schemas.openxmlformats.org/officeDocument/2006/relationships" ref="A243" r:id="rId181"/>
    <hyperlink xmlns:r="http://schemas.openxmlformats.org/officeDocument/2006/relationships" ref="A244" r:id="rId182"/>
    <hyperlink xmlns:r="http://schemas.openxmlformats.org/officeDocument/2006/relationships" ref="A245" r:id="rId183"/>
    <hyperlink xmlns:r="http://schemas.openxmlformats.org/officeDocument/2006/relationships" ref="A246" r:id="rId184"/>
    <hyperlink xmlns:r="http://schemas.openxmlformats.org/officeDocument/2006/relationships" ref="A247" r:id="rId185"/>
    <hyperlink xmlns:r="http://schemas.openxmlformats.org/officeDocument/2006/relationships" ref="A248" r:id="rId186"/>
    <hyperlink xmlns:r="http://schemas.openxmlformats.org/officeDocument/2006/relationships" ref="A249" r:id="rId187"/>
    <hyperlink xmlns:r="http://schemas.openxmlformats.org/officeDocument/2006/relationships" ref="A252" r:id="rId188"/>
    <hyperlink xmlns:r="http://schemas.openxmlformats.org/officeDocument/2006/relationships" ref="A253" r:id="rId189"/>
    <hyperlink xmlns:r="http://schemas.openxmlformats.org/officeDocument/2006/relationships" ref="A254" r:id="rId190"/>
    <hyperlink xmlns:r="http://schemas.openxmlformats.org/officeDocument/2006/relationships" ref="A255" r:id="rId191"/>
    <hyperlink xmlns:r="http://schemas.openxmlformats.org/officeDocument/2006/relationships" ref="A258" r:id="rId192"/>
    <hyperlink xmlns:r="http://schemas.openxmlformats.org/officeDocument/2006/relationships" ref="A259" r:id="rId193"/>
    <hyperlink xmlns:r="http://schemas.openxmlformats.org/officeDocument/2006/relationships" ref="A260" r:id="rId194"/>
    <hyperlink xmlns:r="http://schemas.openxmlformats.org/officeDocument/2006/relationships" ref="A261" r:id="rId195"/>
    <hyperlink xmlns:r="http://schemas.openxmlformats.org/officeDocument/2006/relationships" ref="A262" r:id="rId196"/>
    <hyperlink xmlns:r="http://schemas.openxmlformats.org/officeDocument/2006/relationships" ref="A263" r:id="rId197"/>
    <hyperlink xmlns:r="http://schemas.openxmlformats.org/officeDocument/2006/relationships" ref="A264" r:id="rId198"/>
    <hyperlink xmlns:r="http://schemas.openxmlformats.org/officeDocument/2006/relationships" ref="A265" r:id="rId199"/>
    <hyperlink xmlns:r="http://schemas.openxmlformats.org/officeDocument/2006/relationships" ref="A266" r:id="rId200"/>
    <hyperlink xmlns:r="http://schemas.openxmlformats.org/officeDocument/2006/relationships" ref="A267" r:id="rId201"/>
    <hyperlink xmlns:r="http://schemas.openxmlformats.org/officeDocument/2006/relationships" ref="A268" r:id="rId202"/>
    <hyperlink xmlns:r="http://schemas.openxmlformats.org/officeDocument/2006/relationships" ref="A269" r:id="rId203"/>
    <hyperlink xmlns:r="http://schemas.openxmlformats.org/officeDocument/2006/relationships" ref="A270" r:id="rId204"/>
    <hyperlink xmlns:r="http://schemas.openxmlformats.org/officeDocument/2006/relationships" ref="A272" r:id="rId205"/>
    <hyperlink xmlns:r="http://schemas.openxmlformats.org/officeDocument/2006/relationships" ref="A274" r:id="rId206"/>
    <hyperlink xmlns:r="http://schemas.openxmlformats.org/officeDocument/2006/relationships" ref="A275" r:id="rId207"/>
    <hyperlink xmlns:r="http://schemas.openxmlformats.org/officeDocument/2006/relationships" ref="A278" r:id="rId208"/>
    <hyperlink xmlns:r="http://schemas.openxmlformats.org/officeDocument/2006/relationships" ref="A279" r:id="rId209"/>
    <hyperlink xmlns:r="http://schemas.openxmlformats.org/officeDocument/2006/relationships" ref="A280" r:id="rId210"/>
    <hyperlink xmlns:r="http://schemas.openxmlformats.org/officeDocument/2006/relationships" ref="A281" r:id="rId211"/>
    <hyperlink xmlns:r="http://schemas.openxmlformats.org/officeDocument/2006/relationships" ref="A282" r:id="rId212"/>
    <hyperlink xmlns:r="http://schemas.openxmlformats.org/officeDocument/2006/relationships" ref="A283" r:id="rId213"/>
    <hyperlink xmlns:r="http://schemas.openxmlformats.org/officeDocument/2006/relationships" ref="A284" r:id="rId214"/>
    <hyperlink xmlns:r="http://schemas.openxmlformats.org/officeDocument/2006/relationships" ref="A285" r:id="rId215"/>
    <hyperlink xmlns:r="http://schemas.openxmlformats.org/officeDocument/2006/relationships" ref="A286" r:id="rId216"/>
    <hyperlink xmlns:r="http://schemas.openxmlformats.org/officeDocument/2006/relationships" ref="A287" r:id="rId217"/>
    <hyperlink xmlns:r="http://schemas.openxmlformats.org/officeDocument/2006/relationships" ref="A289" r:id="rId218"/>
    <hyperlink xmlns:r="http://schemas.openxmlformats.org/officeDocument/2006/relationships" ref="A290" r:id="rId219"/>
    <hyperlink xmlns:r="http://schemas.openxmlformats.org/officeDocument/2006/relationships" ref="A291" r:id="rId220"/>
    <hyperlink xmlns:r="http://schemas.openxmlformats.org/officeDocument/2006/relationships" ref="A292" r:id="rId221"/>
    <hyperlink xmlns:r="http://schemas.openxmlformats.org/officeDocument/2006/relationships" ref="A293" r:id="rId222"/>
    <hyperlink xmlns:r="http://schemas.openxmlformats.org/officeDocument/2006/relationships" ref="A294" r:id="rId223"/>
    <hyperlink xmlns:r="http://schemas.openxmlformats.org/officeDocument/2006/relationships" ref="A295" r:id="rId224"/>
    <hyperlink xmlns:r="http://schemas.openxmlformats.org/officeDocument/2006/relationships" ref="A296" r:id="rId225"/>
    <hyperlink xmlns:r="http://schemas.openxmlformats.org/officeDocument/2006/relationships" ref="A297" r:id="rId226"/>
    <hyperlink xmlns:r="http://schemas.openxmlformats.org/officeDocument/2006/relationships" ref="A298" r:id="rId227"/>
    <hyperlink xmlns:r="http://schemas.openxmlformats.org/officeDocument/2006/relationships" ref="A299" r:id="rId228"/>
    <hyperlink xmlns:r="http://schemas.openxmlformats.org/officeDocument/2006/relationships" ref="A300" r:id="rId229"/>
    <hyperlink xmlns:r="http://schemas.openxmlformats.org/officeDocument/2006/relationships" ref="A301" r:id="rId230"/>
    <hyperlink xmlns:r="http://schemas.openxmlformats.org/officeDocument/2006/relationships" ref="A302" r:id="rId231"/>
    <hyperlink xmlns:r="http://schemas.openxmlformats.org/officeDocument/2006/relationships" ref="A303" r:id="rId232"/>
    <hyperlink xmlns:r="http://schemas.openxmlformats.org/officeDocument/2006/relationships" ref="A304" r:id="rId233"/>
    <hyperlink xmlns:r="http://schemas.openxmlformats.org/officeDocument/2006/relationships" ref="A305" r:id="rId234"/>
    <hyperlink xmlns:r="http://schemas.openxmlformats.org/officeDocument/2006/relationships" ref="A306" r:id="rId235"/>
    <hyperlink xmlns:r="http://schemas.openxmlformats.org/officeDocument/2006/relationships" ref="A309" r:id="rId236"/>
    <hyperlink xmlns:r="http://schemas.openxmlformats.org/officeDocument/2006/relationships" ref="A310" r:id="rId237"/>
    <hyperlink xmlns:r="http://schemas.openxmlformats.org/officeDocument/2006/relationships" ref="A311" r:id="rId238"/>
    <hyperlink xmlns:r="http://schemas.openxmlformats.org/officeDocument/2006/relationships" ref="A312" r:id="rId239"/>
    <hyperlink xmlns:r="http://schemas.openxmlformats.org/officeDocument/2006/relationships" ref="A313" r:id="rId240"/>
    <hyperlink xmlns:r="http://schemas.openxmlformats.org/officeDocument/2006/relationships" ref="A314" r:id="rId241"/>
    <hyperlink xmlns:r="http://schemas.openxmlformats.org/officeDocument/2006/relationships" ref="A315" r:id="rId242"/>
    <hyperlink xmlns:r="http://schemas.openxmlformats.org/officeDocument/2006/relationships" ref="A316" r:id="rId243"/>
    <hyperlink xmlns:r="http://schemas.openxmlformats.org/officeDocument/2006/relationships" ref="A317" r:id="rId244"/>
    <hyperlink xmlns:r="http://schemas.openxmlformats.org/officeDocument/2006/relationships" ref="A318" r:id="rId245"/>
    <hyperlink xmlns:r="http://schemas.openxmlformats.org/officeDocument/2006/relationships" ref="A319" r:id="rId246"/>
    <hyperlink xmlns:r="http://schemas.openxmlformats.org/officeDocument/2006/relationships" ref="A320" r:id="rId247"/>
    <hyperlink xmlns:r="http://schemas.openxmlformats.org/officeDocument/2006/relationships" ref="A321" r:id="rId248"/>
    <hyperlink xmlns:r="http://schemas.openxmlformats.org/officeDocument/2006/relationships" ref="A322" r:id="rId249"/>
    <hyperlink xmlns:r="http://schemas.openxmlformats.org/officeDocument/2006/relationships" ref="A323" r:id="rId250"/>
    <hyperlink xmlns:r="http://schemas.openxmlformats.org/officeDocument/2006/relationships" ref="A324" r:id="rId251"/>
    <hyperlink xmlns:r="http://schemas.openxmlformats.org/officeDocument/2006/relationships" ref="A325" r:id="rId252"/>
    <hyperlink xmlns:r="http://schemas.openxmlformats.org/officeDocument/2006/relationships" ref="A326" r:id="rId253"/>
    <hyperlink xmlns:r="http://schemas.openxmlformats.org/officeDocument/2006/relationships" ref="A327" r:id="rId254"/>
    <hyperlink xmlns:r="http://schemas.openxmlformats.org/officeDocument/2006/relationships" ref="A328" r:id="rId255"/>
    <hyperlink xmlns:r="http://schemas.openxmlformats.org/officeDocument/2006/relationships" ref="A329" r:id="rId256"/>
    <hyperlink xmlns:r="http://schemas.openxmlformats.org/officeDocument/2006/relationships" ref="A330" r:id="rId257"/>
    <hyperlink xmlns:r="http://schemas.openxmlformats.org/officeDocument/2006/relationships" ref="A331" r:id="rId258"/>
    <hyperlink xmlns:r="http://schemas.openxmlformats.org/officeDocument/2006/relationships" ref="A332" r:id="rId259"/>
    <hyperlink xmlns:r="http://schemas.openxmlformats.org/officeDocument/2006/relationships" ref="A333" r:id="rId260"/>
    <hyperlink xmlns:r="http://schemas.openxmlformats.org/officeDocument/2006/relationships" ref="A334" r:id="rId261"/>
    <hyperlink xmlns:r="http://schemas.openxmlformats.org/officeDocument/2006/relationships" ref="A335" r:id="rId262"/>
    <hyperlink xmlns:r="http://schemas.openxmlformats.org/officeDocument/2006/relationships" ref="A336" r:id="rId263"/>
    <hyperlink xmlns:r="http://schemas.openxmlformats.org/officeDocument/2006/relationships" ref="A337" r:id="rId264"/>
    <hyperlink xmlns:r="http://schemas.openxmlformats.org/officeDocument/2006/relationships" ref="A338" r:id="rId265"/>
    <hyperlink xmlns:r="http://schemas.openxmlformats.org/officeDocument/2006/relationships" ref="A339" r:id="rId266"/>
    <hyperlink xmlns:r="http://schemas.openxmlformats.org/officeDocument/2006/relationships" ref="A341" r:id="rId267"/>
    <hyperlink xmlns:r="http://schemas.openxmlformats.org/officeDocument/2006/relationships" ref="A342" r:id="rId268"/>
    <hyperlink xmlns:r="http://schemas.openxmlformats.org/officeDocument/2006/relationships" ref="A343" r:id="rId269"/>
    <hyperlink xmlns:r="http://schemas.openxmlformats.org/officeDocument/2006/relationships" ref="A344" r:id="rId270"/>
    <hyperlink xmlns:r="http://schemas.openxmlformats.org/officeDocument/2006/relationships" ref="A345" r:id="rId271"/>
    <hyperlink xmlns:r="http://schemas.openxmlformats.org/officeDocument/2006/relationships" ref="A346" r:id="rId272"/>
    <hyperlink xmlns:r="http://schemas.openxmlformats.org/officeDocument/2006/relationships" ref="A347" r:id="rId273"/>
    <hyperlink xmlns:r="http://schemas.openxmlformats.org/officeDocument/2006/relationships" ref="A348" r:id="rId274"/>
    <hyperlink xmlns:r="http://schemas.openxmlformats.org/officeDocument/2006/relationships" ref="A349" r:id="rId275"/>
    <hyperlink xmlns:r="http://schemas.openxmlformats.org/officeDocument/2006/relationships" ref="A350" r:id="rId276"/>
    <hyperlink xmlns:r="http://schemas.openxmlformats.org/officeDocument/2006/relationships" ref="A351" r:id="rId277"/>
    <hyperlink xmlns:r="http://schemas.openxmlformats.org/officeDocument/2006/relationships" ref="A352" r:id="rId278"/>
    <hyperlink xmlns:r="http://schemas.openxmlformats.org/officeDocument/2006/relationships" ref="A353" r:id="rId279"/>
    <hyperlink xmlns:r="http://schemas.openxmlformats.org/officeDocument/2006/relationships" ref="A354" r:id="rId280"/>
    <hyperlink xmlns:r="http://schemas.openxmlformats.org/officeDocument/2006/relationships" ref="A355" r:id="rId281"/>
    <hyperlink xmlns:r="http://schemas.openxmlformats.org/officeDocument/2006/relationships" ref="A356" r:id="rId282"/>
    <hyperlink xmlns:r="http://schemas.openxmlformats.org/officeDocument/2006/relationships" ref="A357" r:id="rId283"/>
    <hyperlink xmlns:r="http://schemas.openxmlformats.org/officeDocument/2006/relationships" ref="A358" r:id="rId284"/>
    <hyperlink xmlns:r="http://schemas.openxmlformats.org/officeDocument/2006/relationships" ref="A359" r:id="rId285"/>
    <hyperlink xmlns:r="http://schemas.openxmlformats.org/officeDocument/2006/relationships" ref="A360" r:id="rId286"/>
    <hyperlink xmlns:r="http://schemas.openxmlformats.org/officeDocument/2006/relationships" ref="A361" r:id="rId287"/>
    <hyperlink xmlns:r="http://schemas.openxmlformats.org/officeDocument/2006/relationships" ref="A362" r:id="rId288"/>
    <hyperlink xmlns:r="http://schemas.openxmlformats.org/officeDocument/2006/relationships" ref="A363" r:id="rId289"/>
    <hyperlink xmlns:r="http://schemas.openxmlformats.org/officeDocument/2006/relationships" ref="A364" r:id="rId290"/>
    <hyperlink xmlns:r="http://schemas.openxmlformats.org/officeDocument/2006/relationships" ref="A365" r:id="rId291"/>
    <hyperlink xmlns:r="http://schemas.openxmlformats.org/officeDocument/2006/relationships" ref="A366" r:id="rId292"/>
    <hyperlink xmlns:r="http://schemas.openxmlformats.org/officeDocument/2006/relationships" ref="A367" r:id="rId293"/>
    <hyperlink xmlns:r="http://schemas.openxmlformats.org/officeDocument/2006/relationships" ref="A368" r:id="rId294"/>
    <hyperlink xmlns:r="http://schemas.openxmlformats.org/officeDocument/2006/relationships" ref="A369" r:id="rId295"/>
    <hyperlink xmlns:r="http://schemas.openxmlformats.org/officeDocument/2006/relationships" ref="A370" r:id="rId296"/>
    <hyperlink xmlns:r="http://schemas.openxmlformats.org/officeDocument/2006/relationships" ref="A371" r:id="rId297"/>
    <hyperlink xmlns:r="http://schemas.openxmlformats.org/officeDocument/2006/relationships" ref="A372" r:id="rId298"/>
    <hyperlink xmlns:r="http://schemas.openxmlformats.org/officeDocument/2006/relationships" ref="A373" r:id="rId299"/>
    <hyperlink xmlns:r="http://schemas.openxmlformats.org/officeDocument/2006/relationships" ref="A374" r:id="rId300"/>
    <hyperlink xmlns:r="http://schemas.openxmlformats.org/officeDocument/2006/relationships" ref="A375" r:id="rId301"/>
    <hyperlink xmlns:r="http://schemas.openxmlformats.org/officeDocument/2006/relationships" ref="A376" r:id="rId302"/>
    <hyperlink xmlns:r="http://schemas.openxmlformats.org/officeDocument/2006/relationships" ref="A377" r:id="rId303"/>
    <hyperlink xmlns:r="http://schemas.openxmlformats.org/officeDocument/2006/relationships" ref="A378" r:id="rId304"/>
    <hyperlink xmlns:r="http://schemas.openxmlformats.org/officeDocument/2006/relationships" ref="A379" r:id="rId305"/>
    <hyperlink xmlns:r="http://schemas.openxmlformats.org/officeDocument/2006/relationships" ref="A380" r:id="rId306"/>
    <hyperlink xmlns:r="http://schemas.openxmlformats.org/officeDocument/2006/relationships" ref="A381" r:id="rId307"/>
    <hyperlink xmlns:r="http://schemas.openxmlformats.org/officeDocument/2006/relationships" ref="A382" r:id="rId308"/>
    <hyperlink xmlns:r="http://schemas.openxmlformats.org/officeDocument/2006/relationships" ref="A384" r:id="rId309"/>
    <hyperlink xmlns:r="http://schemas.openxmlformats.org/officeDocument/2006/relationships" ref="A385" r:id="rId310"/>
    <hyperlink xmlns:r="http://schemas.openxmlformats.org/officeDocument/2006/relationships" ref="A386" r:id="rId311"/>
    <hyperlink xmlns:r="http://schemas.openxmlformats.org/officeDocument/2006/relationships" ref="A387" r:id="rId312"/>
    <hyperlink xmlns:r="http://schemas.openxmlformats.org/officeDocument/2006/relationships" ref="A388" r:id="rId313"/>
    <hyperlink xmlns:r="http://schemas.openxmlformats.org/officeDocument/2006/relationships" ref="A389" r:id="rId314"/>
    <hyperlink xmlns:r="http://schemas.openxmlformats.org/officeDocument/2006/relationships" ref="A390" r:id="rId315"/>
    <hyperlink xmlns:r="http://schemas.openxmlformats.org/officeDocument/2006/relationships" ref="A391" r:id="rId316"/>
    <hyperlink xmlns:r="http://schemas.openxmlformats.org/officeDocument/2006/relationships" ref="A392" r:id="rId317"/>
    <hyperlink xmlns:r="http://schemas.openxmlformats.org/officeDocument/2006/relationships" ref="A393" r:id="rId318"/>
    <hyperlink xmlns:r="http://schemas.openxmlformats.org/officeDocument/2006/relationships" ref="A394" r:id="rId319"/>
    <hyperlink xmlns:r="http://schemas.openxmlformats.org/officeDocument/2006/relationships" ref="A395" r:id="rId320"/>
    <hyperlink xmlns:r="http://schemas.openxmlformats.org/officeDocument/2006/relationships" ref="A396" r:id="rId321"/>
    <hyperlink xmlns:r="http://schemas.openxmlformats.org/officeDocument/2006/relationships" ref="A397" r:id="rId322"/>
    <hyperlink xmlns:r="http://schemas.openxmlformats.org/officeDocument/2006/relationships" ref="A398" r:id="rId323"/>
    <hyperlink xmlns:r="http://schemas.openxmlformats.org/officeDocument/2006/relationships" ref="A399" r:id="rId324"/>
    <hyperlink xmlns:r="http://schemas.openxmlformats.org/officeDocument/2006/relationships" ref="A400" r:id="rId325"/>
    <hyperlink xmlns:r="http://schemas.openxmlformats.org/officeDocument/2006/relationships" ref="A401" r:id="rId326"/>
    <hyperlink xmlns:r="http://schemas.openxmlformats.org/officeDocument/2006/relationships" ref="A402" r:id="rId327"/>
    <hyperlink xmlns:r="http://schemas.openxmlformats.org/officeDocument/2006/relationships" ref="A403" r:id="rId328"/>
    <hyperlink xmlns:r="http://schemas.openxmlformats.org/officeDocument/2006/relationships" ref="A404" r:id="rId329"/>
    <hyperlink xmlns:r="http://schemas.openxmlformats.org/officeDocument/2006/relationships" ref="A405" r:id="rId330"/>
    <hyperlink xmlns:r="http://schemas.openxmlformats.org/officeDocument/2006/relationships" ref="A406" r:id="rId331"/>
    <hyperlink xmlns:r="http://schemas.openxmlformats.org/officeDocument/2006/relationships" ref="A407" r:id="rId332"/>
    <hyperlink xmlns:r="http://schemas.openxmlformats.org/officeDocument/2006/relationships" ref="A408" r:id="rId333"/>
    <hyperlink xmlns:r="http://schemas.openxmlformats.org/officeDocument/2006/relationships" ref="A409" r:id="rId334"/>
    <hyperlink xmlns:r="http://schemas.openxmlformats.org/officeDocument/2006/relationships" ref="A411" r:id="rId335"/>
    <hyperlink xmlns:r="http://schemas.openxmlformats.org/officeDocument/2006/relationships" ref="A412" r:id="rId336"/>
    <hyperlink xmlns:r="http://schemas.openxmlformats.org/officeDocument/2006/relationships" ref="A413" r:id="rId337"/>
    <hyperlink xmlns:r="http://schemas.openxmlformats.org/officeDocument/2006/relationships" ref="A414" r:id="rId338"/>
    <hyperlink xmlns:r="http://schemas.openxmlformats.org/officeDocument/2006/relationships" ref="A415" r:id="rId339"/>
    <hyperlink xmlns:r="http://schemas.openxmlformats.org/officeDocument/2006/relationships" ref="A416" r:id="rId340"/>
    <hyperlink xmlns:r="http://schemas.openxmlformats.org/officeDocument/2006/relationships" ref="A417" r:id="rId341"/>
    <hyperlink xmlns:r="http://schemas.openxmlformats.org/officeDocument/2006/relationships" ref="A418" r:id="rId342"/>
    <hyperlink xmlns:r="http://schemas.openxmlformats.org/officeDocument/2006/relationships" ref="A419" r:id="rId343"/>
    <hyperlink xmlns:r="http://schemas.openxmlformats.org/officeDocument/2006/relationships" ref="A420" r:id="rId344"/>
    <hyperlink xmlns:r="http://schemas.openxmlformats.org/officeDocument/2006/relationships" ref="A421" r:id="rId345"/>
    <hyperlink xmlns:r="http://schemas.openxmlformats.org/officeDocument/2006/relationships" ref="A422" r:id="rId346"/>
    <hyperlink xmlns:r="http://schemas.openxmlformats.org/officeDocument/2006/relationships" ref="A423" r:id="rId347"/>
    <hyperlink xmlns:r="http://schemas.openxmlformats.org/officeDocument/2006/relationships" ref="A424" r:id="rId348"/>
    <hyperlink xmlns:r="http://schemas.openxmlformats.org/officeDocument/2006/relationships" ref="A425" r:id="rId349"/>
    <hyperlink xmlns:r="http://schemas.openxmlformats.org/officeDocument/2006/relationships" ref="A426" r:id="rId350"/>
    <hyperlink xmlns:r="http://schemas.openxmlformats.org/officeDocument/2006/relationships" ref="A427" r:id="rId351"/>
    <hyperlink xmlns:r="http://schemas.openxmlformats.org/officeDocument/2006/relationships" ref="A428" r:id="rId352"/>
    <hyperlink xmlns:r="http://schemas.openxmlformats.org/officeDocument/2006/relationships" ref="A429" r:id="rId353"/>
    <hyperlink xmlns:r="http://schemas.openxmlformats.org/officeDocument/2006/relationships" ref="A430" r:id="rId354"/>
    <hyperlink xmlns:r="http://schemas.openxmlformats.org/officeDocument/2006/relationships" ref="A431" r:id="rId355"/>
    <hyperlink xmlns:r="http://schemas.openxmlformats.org/officeDocument/2006/relationships" ref="A432" r:id="rId356"/>
    <hyperlink xmlns:r="http://schemas.openxmlformats.org/officeDocument/2006/relationships" ref="A433" r:id="rId357"/>
    <hyperlink xmlns:r="http://schemas.openxmlformats.org/officeDocument/2006/relationships" ref="A434" r:id="rId358"/>
    <hyperlink xmlns:r="http://schemas.openxmlformats.org/officeDocument/2006/relationships" ref="A435" r:id="rId359"/>
    <hyperlink xmlns:r="http://schemas.openxmlformats.org/officeDocument/2006/relationships" ref="A436" r:id="rId360"/>
    <hyperlink xmlns:r="http://schemas.openxmlformats.org/officeDocument/2006/relationships" ref="A437" r:id="rId361"/>
    <hyperlink xmlns:r="http://schemas.openxmlformats.org/officeDocument/2006/relationships" ref="A438" r:id="rId362"/>
    <hyperlink xmlns:r="http://schemas.openxmlformats.org/officeDocument/2006/relationships" ref="A439" r:id="rId363"/>
    <hyperlink xmlns:r="http://schemas.openxmlformats.org/officeDocument/2006/relationships" ref="A440" r:id="rId364"/>
    <hyperlink xmlns:r="http://schemas.openxmlformats.org/officeDocument/2006/relationships" ref="A441" r:id="rId365"/>
    <hyperlink xmlns:r="http://schemas.openxmlformats.org/officeDocument/2006/relationships" ref="A442" r:id="rId366"/>
    <hyperlink xmlns:r="http://schemas.openxmlformats.org/officeDocument/2006/relationships" ref="A443" r:id="rId367"/>
    <hyperlink xmlns:r="http://schemas.openxmlformats.org/officeDocument/2006/relationships" ref="A444" r:id="rId368"/>
    <hyperlink xmlns:r="http://schemas.openxmlformats.org/officeDocument/2006/relationships" ref="A445" r:id="rId369"/>
    <hyperlink xmlns:r="http://schemas.openxmlformats.org/officeDocument/2006/relationships" ref="A446" r:id="rId370"/>
    <hyperlink xmlns:r="http://schemas.openxmlformats.org/officeDocument/2006/relationships" ref="A447" r:id="rId371"/>
    <hyperlink xmlns:r="http://schemas.openxmlformats.org/officeDocument/2006/relationships" ref="A448" r:id="rId372"/>
    <hyperlink xmlns:r="http://schemas.openxmlformats.org/officeDocument/2006/relationships" ref="A449" r:id="rId373"/>
    <hyperlink xmlns:r="http://schemas.openxmlformats.org/officeDocument/2006/relationships" ref="A450" r:id="rId374"/>
    <hyperlink xmlns:r="http://schemas.openxmlformats.org/officeDocument/2006/relationships" ref="A451" r:id="rId375"/>
    <hyperlink xmlns:r="http://schemas.openxmlformats.org/officeDocument/2006/relationships" ref="A452" r:id="rId376"/>
    <hyperlink xmlns:r="http://schemas.openxmlformats.org/officeDocument/2006/relationships" ref="A453" r:id="rId377"/>
    <hyperlink xmlns:r="http://schemas.openxmlformats.org/officeDocument/2006/relationships" ref="A454" r:id="rId378"/>
    <hyperlink xmlns:r="http://schemas.openxmlformats.org/officeDocument/2006/relationships" ref="A455" r:id="rId379"/>
    <hyperlink xmlns:r="http://schemas.openxmlformats.org/officeDocument/2006/relationships" ref="A456" r:id="rId380"/>
    <hyperlink xmlns:r="http://schemas.openxmlformats.org/officeDocument/2006/relationships" ref="A457" r:id="rId381"/>
    <hyperlink xmlns:r="http://schemas.openxmlformats.org/officeDocument/2006/relationships" ref="A458" r:id="rId382"/>
    <hyperlink xmlns:r="http://schemas.openxmlformats.org/officeDocument/2006/relationships" ref="A459" r:id="rId383"/>
    <hyperlink xmlns:r="http://schemas.openxmlformats.org/officeDocument/2006/relationships" ref="A460" r:id="rId384"/>
    <hyperlink xmlns:r="http://schemas.openxmlformats.org/officeDocument/2006/relationships" ref="A461" r:id="rId385"/>
    <hyperlink xmlns:r="http://schemas.openxmlformats.org/officeDocument/2006/relationships" ref="A462" r:id="rId386"/>
    <hyperlink xmlns:r="http://schemas.openxmlformats.org/officeDocument/2006/relationships" ref="A463" r:id="rId387"/>
    <hyperlink xmlns:r="http://schemas.openxmlformats.org/officeDocument/2006/relationships" ref="A464" r:id="rId388"/>
    <hyperlink xmlns:r="http://schemas.openxmlformats.org/officeDocument/2006/relationships" ref="A465" r:id="rId389"/>
    <hyperlink xmlns:r="http://schemas.openxmlformats.org/officeDocument/2006/relationships" ref="A466" r:id="rId390"/>
    <hyperlink xmlns:r="http://schemas.openxmlformats.org/officeDocument/2006/relationships" ref="A467" r:id="rId391"/>
    <hyperlink xmlns:r="http://schemas.openxmlformats.org/officeDocument/2006/relationships" ref="A468" r:id="rId392"/>
    <hyperlink xmlns:r="http://schemas.openxmlformats.org/officeDocument/2006/relationships" ref="A469" r:id="rId393"/>
    <hyperlink xmlns:r="http://schemas.openxmlformats.org/officeDocument/2006/relationships" ref="A470" r:id="rId394"/>
    <hyperlink xmlns:r="http://schemas.openxmlformats.org/officeDocument/2006/relationships" ref="A471" r:id="rId395"/>
    <hyperlink xmlns:r="http://schemas.openxmlformats.org/officeDocument/2006/relationships" ref="A472" r:id="rId396"/>
    <hyperlink xmlns:r="http://schemas.openxmlformats.org/officeDocument/2006/relationships" ref="A473" r:id="rId397"/>
    <hyperlink xmlns:r="http://schemas.openxmlformats.org/officeDocument/2006/relationships" ref="A474" r:id="rId398"/>
    <hyperlink xmlns:r="http://schemas.openxmlformats.org/officeDocument/2006/relationships" ref="A475" r:id="rId399"/>
    <hyperlink xmlns:r="http://schemas.openxmlformats.org/officeDocument/2006/relationships" ref="A476" r:id="rId400"/>
    <hyperlink xmlns:r="http://schemas.openxmlformats.org/officeDocument/2006/relationships" ref="A477" r:id="rId401"/>
    <hyperlink xmlns:r="http://schemas.openxmlformats.org/officeDocument/2006/relationships" ref="A478" r:id="rId402"/>
    <hyperlink xmlns:r="http://schemas.openxmlformats.org/officeDocument/2006/relationships" ref="A479" r:id="rId403"/>
    <hyperlink xmlns:r="http://schemas.openxmlformats.org/officeDocument/2006/relationships" ref="A480" r:id="rId404"/>
    <hyperlink xmlns:r="http://schemas.openxmlformats.org/officeDocument/2006/relationships" ref="A481" r:id="rId405"/>
    <hyperlink xmlns:r="http://schemas.openxmlformats.org/officeDocument/2006/relationships" ref="A482" r:id="rId406"/>
    <hyperlink xmlns:r="http://schemas.openxmlformats.org/officeDocument/2006/relationships" ref="A483" r:id="rId407"/>
    <hyperlink xmlns:r="http://schemas.openxmlformats.org/officeDocument/2006/relationships" ref="A484" r:id="rId408"/>
    <hyperlink xmlns:r="http://schemas.openxmlformats.org/officeDocument/2006/relationships" ref="A485" r:id="rId409"/>
    <hyperlink xmlns:r="http://schemas.openxmlformats.org/officeDocument/2006/relationships" ref="A486" r:id="rId410"/>
    <hyperlink xmlns:r="http://schemas.openxmlformats.org/officeDocument/2006/relationships" ref="A487" r:id="rId411"/>
    <hyperlink xmlns:r="http://schemas.openxmlformats.org/officeDocument/2006/relationships" ref="A488" r:id="rId412"/>
    <hyperlink xmlns:r="http://schemas.openxmlformats.org/officeDocument/2006/relationships" ref="A489" r:id="rId413"/>
    <hyperlink xmlns:r="http://schemas.openxmlformats.org/officeDocument/2006/relationships" ref="A490" r:id="rId414"/>
    <hyperlink xmlns:r="http://schemas.openxmlformats.org/officeDocument/2006/relationships" ref="A491" r:id="rId415"/>
    <hyperlink xmlns:r="http://schemas.openxmlformats.org/officeDocument/2006/relationships" ref="A492" r:id="rId416"/>
    <hyperlink xmlns:r="http://schemas.openxmlformats.org/officeDocument/2006/relationships" ref="A493" r:id="rId417"/>
    <hyperlink xmlns:r="http://schemas.openxmlformats.org/officeDocument/2006/relationships" ref="A494" r:id="rId418"/>
    <hyperlink xmlns:r="http://schemas.openxmlformats.org/officeDocument/2006/relationships" ref="A495" r:id="rId419"/>
    <hyperlink xmlns:r="http://schemas.openxmlformats.org/officeDocument/2006/relationships" ref="A496" r:id="rId420"/>
    <hyperlink xmlns:r="http://schemas.openxmlformats.org/officeDocument/2006/relationships" ref="A497" r:id="rId421"/>
    <hyperlink xmlns:r="http://schemas.openxmlformats.org/officeDocument/2006/relationships" ref="A498" r:id="rId422"/>
    <hyperlink xmlns:r="http://schemas.openxmlformats.org/officeDocument/2006/relationships" ref="A499" r:id="rId423"/>
    <hyperlink xmlns:r="http://schemas.openxmlformats.org/officeDocument/2006/relationships" ref="A500" r:id="rId424"/>
    <hyperlink xmlns:r="http://schemas.openxmlformats.org/officeDocument/2006/relationships" ref="A501" r:id="rId425"/>
    <hyperlink xmlns:r="http://schemas.openxmlformats.org/officeDocument/2006/relationships" ref="A502" r:id="rId426"/>
    <hyperlink xmlns:r="http://schemas.openxmlformats.org/officeDocument/2006/relationships" ref="A503" r:id="rId427"/>
    <hyperlink xmlns:r="http://schemas.openxmlformats.org/officeDocument/2006/relationships" ref="A504" r:id="rId428"/>
    <hyperlink xmlns:r="http://schemas.openxmlformats.org/officeDocument/2006/relationships" ref="A505" r:id="rId429"/>
    <hyperlink xmlns:r="http://schemas.openxmlformats.org/officeDocument/2006/relationships" ref="A506" r:id="rId430"/>
    <hyperlink xmlns:r="http://schemas.openxmlformats.org/officeDocument/2006/relationships" ref="A507" r:id="rId431"/>
    <hyperlink xmlns:r="http://schemas.openxmlformats.org/officeDocument/2006/relationships" ref="A508" r:id="rId432"/>
    <hyperlink xmlns:r="http://schemas.openxmlformats.org/officeDocument/2006/relationships" ref="A509" r:id="rId433"/>
    <hyperlink xmlns:r="http://schemas.openxmlformats.org/officeDocument/2006/relationships" ref="A510" r:id="rId434"/>
    <hyperlink xmlns:r="http://schemas.openxmlformats.org/officeDocument/2006/relationships" ref="A511" r:id="rId435"/>
    <hyperlink xmlns:r="http://schemas.openxmlformats.org/officeDocument/2006/relationships" ref="A512" r:id="rId436"/>
    <hyperlink xmlns:r="http://schemas.openxmlformats.org/officeDocument/2006/relationships" ref="A513" r:id="rId437"/>
    <hyperlink xmlns:r="http://schemas.openxmlformats.org/officeDocument/2006/relationships" ref="A514" r:id="rId438"/>
    <hyperlink xmlns:r="http://schemas.openxmlformats.org/officeDocument/2006/relationships" ref="A515" r:id="rId439"/>
    <hyperlink xmlns:r="http://schemas.openxmlformats.org/officeDocument/2006/relationships" ref="A516" r:id="rId440"/>
    <hyperlink xmlns:r="http://schemas.openxmlformats.org/officeDocument/2006/relationships" ref="A517" r:id="rId441"/>
    <hyperlink xmlns:r="http://schemas.openxmlformats.org/officeDocument/2006/relationships" ref="A518" r:id="rId442"/>
    <hyperlink xmlns:r="http://schemas.openxmlformats.org/officeDocument/2006/relationships" ref="A519" r:id="rId443"/>
    <hyperlink xmlns:r="http://schemas.openxmlformats.org/officeDocument/2006/relationships" ref="A520" r:id="rId444"/>
    <hyperlink xmlns:r="http://schemas.openxmlformats.org/officeDocument/2006/relationships" ref="A521" r:id="rId445"/>
    <hyperlink xmlns:r="http://schemas.openxmlformats.org/officeDocument/2006/relationships" ref="A522" r:id="rId446"/>
    <hyperlink xmlns:r="http://schemas.openxmlformats.org/officeDocument/2006/relationships" ref="A523" r:id="rId447"/>
    <hyperlink xmlns:r="http://schemas.openxmlformats.org/officeDocument/2006/relationships" ref="A524" r:id="rId448"/>
    <hyperlink xmlns:r="http://schemas.openxmlformats.org/officeDocument/2006/relationships" ref="A525" r:id="rId449"/>
    <hyperlink xmlns:r="http://schemas.openxmlformats.org/officeDocument/2006/relationships" ref="A526" r:id="rId450"/>
    <hyperlink xmlns:r="http://schemas.openxmlformats.org/officeDocument/2006/relationships" ref="A527" r:id="rId451"/>
    <hyperlink xmlns:r="http://schemas.openxmlformats.org/officeDocument/2006/relationships" ref="A528" r:id="rId452"/>
    <hyperlink xmlns:r="http://schemas.openxmlformats.org/officeDocument/2006/relationships" ref="A529" r:id="rId453"/>
    <hyperlink xmlns:r="http://schemas.openxmlformats.org/officeDocument/2006/relationships" ref="A530" r:id="rId454"/>
    <hyperlink xmlns:r="http://schemas.openxmlformats.org/officeDocument/2006/relationships" ref="A531" r:id="rId455"/>
    <hyperlink xmlns:r="http://schemas.openxmlformats.org/officeDocument/2006/relationships" ref="A532" r:id="rId456"/>
    <hyperlink xmlns:r="http://schemas.openxmlformats.org/officeDocument/2006/relationships" ref="A533" r:id="rId457"/>
    <hyperlink xmlns:r="http://schemas.openxmlformats.org/officeDocument/2006/relationships" ref="A534" r:id="rId458"/>
    <hyperlink xmlns:r="http://schemas.openxmlformats.org/officeDocument/2006/relationships" ref="A535" r:id="rId459"/>
    <hyperlink xmlns:r="http://schemas.openxmlformats.org/officeDocument/2006/relationships" ref="A536" r:id="rId460"/>
    <hyperlink xmlns:r="http://schemas.openxmlformats.org/officeDocument/2006/relationships" ref="A537" r:id="rId461"/>
    <hyperlink xmlns:r="http://schemas.openxmlformats.org/officeDocument/2006/relationships" ref="A538" r:id="rId462"/>
    <hyperlink xmlns:r="http://schemas.openxmlformats.org/officeDocument/2006/relationships" ref="A539" r:id="rId463"/>
    <hyperlink xmlns:r="http://schemas.openxmlformats.org/officeDocument/2006/relationships" ref="A540" r:id="rId464"/>
    <hyperlink xmlns:r="http://schemas.openxmlformats.org/officeDocument/2006/relationships" ref="A541" r:id="rId465"/>
    <hyperlink xmlns:r="http://schemas.openxmlformats.org/officeDocument/2006/relationships" ref="A542" r:id="rId466"/>
    <hyperlink xmlns:r="http://schemas.openxmlformats.org/officeDocument/2006/relationships" ref="A543" r:id="rId467"/>
    <hyperlink xmlns:r="http://schemas.openxmlformats.org/officeDocument/2006/relationships" ref="A544" r:id="rId468"/>
    <hyperlink xmlns:r="http://schemas.openxmlformats.org/officeDocument/2006/relationships" ref="A545" r:id="rId469"/>
    <hyperlink xmlns:r="http://schemas.openxmlformats.org/officeDocument/2006/relationships" ref="A546" r:id="rId470"/>
    <hyperlink xmlns:r="http://schemas.openxmlformats.org/officeDocument/2006/relationships" ref="A547" r:id="rId471"/>
    <hyperlink xmlns:r="http://schemas.openxmlformats.org/officeDocument/2006/relationships" ref="A548" r:id="rId472"/>
    <hyperlink xmlns:r="http://schemas.openxmlformats.org/officeDocument/2006/relationships" ref="A549" r:id="rId473"/>
    <hyperlink xmlns:r="http://schemas.openxmlformats.org/officeDocument/2006/relationships" ref="A550" r:id="rId474"/>
    <hyperlink xmlns:r="http://schemas.openxmlformats.org/officeDocument/2006/relationships" ref="A551" r:id="rId475"/>
    <hyperlink xmlns:r="http://schemas.openxmlformats.org/officeDocument/2006/relationships" ref="A552" r:id="rId476"/>
    <hyperlink xmlns:r="http://schemas.openxmlformats.org/officeDocument/2006/relationships" ref="A553" r:id="rId477"/>
    <hyperlink xmlns:r="http://schemas.openxmlformats.org/officeDocument/2006/relationships" ref="A554" r:id="rId478"/>
    <hyperlink xmlns:r="http://schemas.openxmlformats.org/officeDocument/2006/relationships" ref="A555" r:id="rId479"/>
    <hyperlink xmlns:r="http://schemas.openxmlformats.org/officeDocument/2006/relationships" ref="A556" r:id="rId480"/>
    <hyperlink xmlns:r="http://schemas.openxmlformats.org/officeDocument/2006/relationships" ref="A557" r:id="rId481"/>
    <hyperlink xmlns:r="http://schemas.openxmlformats.org/officeDocument/2006/relationships" ref="A558" r:id="rId482"/>
    <hyperlink xmlns:r="http://schemas.openxmlformats.org/officeDocument/2006/relationships" ref="A559" r:id="rId483"/>
    <hyperlink xmlns:r="http://schemas.openxmlformats.org/officeDocument/2006/relationships" ref="A560" r:id="rId484"/>
    <hyperlink xmlns:r="http://schemas.openxmlformats.org/officeDocument/2006/relationships" ref="A561" r:id="rId485"/>
    <hyperlink xmlns:r="http://schemas.openxmlformats.org/officeDocument/2006/relationships" ref="A562" r:id="rId486"/>
    <hyperlink xmlns:r="http://schemas.openxmlformats.org/officeDocument/2006/relationships" ref="A563" r:id="rId487"/>
    <hyperlink xmlns:r="http://schemas.openxmlformats.org/officeDocument/2006/relationships" ref="A564" r:id="rId488"/>
    <hyperlink xmlns:r="http://schemas.openxmlformats.org/officeDocument/2006/relationships" ref="A565" r:id="rId489"/>
    <hyperlink xmlns:r="http://schemas.openxmlformats.org/officeDocument/2006/relationships" ref="A566" r:id="rId490"/>
    <hyperlink xmlns:r="http://schemas.openxmlformats.org/officeDocument/2006/relationships" ref="A567" r:id="rId491"/>
    <hyperlink xmlns:r="http://schemas.openxmlformats.org/officeDocument/2006/relationships" ref="A568" r:id="rId492"/>
    <hyperlink xmlns:r="http://schemas.openxmlformats.org/officeDocument/2006/relationships" ref="A569" r:id="rId493"/>
    <hyperlink xmlns:r="http://schemas.openxmlformats.org/officeDocument/2006/relationships" ref="A570" r:id="rId494"/>
    <hyperlink xmlns:r="http://schemas.openxmlformats.org/officeDocument/2006/relationships" ref="A571" r:id="rId495"/>
    <hyperlink xmlns:r="http://schemas.openxmlformats.org/officeDocument/2006/relationships" ref="A572" r:id="rId496"/>
    <hyperlink xmlns:r="http://schemas.openxmlformats.org/officeDocument/2006/relationships" ref="A573" r:id="rId497"/>
    <hyperlink xmlns:r="http://schemas.openxmlformats.org/officeDocument/2006/relationships" ref="A574" r:id="rId498"/>
    <hyperlink xmlns:r="http://schemas.openxmlformats.org/officeDocument/2006/relationships" ref="A575" r:id="rId499"/>
    <hyperlink xmlns:r="http://schemas.openxmlformats.org/officeDocument/2006/relationships" ref="A577" r:id="rId500"/>
    <hyperlink xmlns:r="http://schemas.openxmlformats.org/officeDocument/2006/relationships" ref="A578" r:id="rId501"/>
    <hyperlink xmlns:r="http://schemas.openxmlformats.org/officeDocument/2006/relationships" ref="A580" r:id="rId502"/>
    <hyperlink xmlns:r="http://schemas.openxmlformats.org/officeDocument/2006/relationships" ref="A581" r:id="rId503"/>
    <hyperlink xmlns:r="http://schemas.openxmlformats.org/officeDocument/2006/relationships" ref="A582" r:id="rId504"/>
    <hyperlink xmlns:r="http://schemas.openxmlformats.org/officeDocument/2006/relationships" ref="A583" r:id="rId505"/>
    <hyperlink xmlns:r="http://schemas.openxmlformats.org/officeDocument/2006/relationships" ref="A585" r:id="rId506"/>
    <hyperlink xmlns:r="http://schemas.openxmlformats.org/officeDocument/2006/relationships" ref="A586" r:id="rId507"/>
    <hyperlink xmlns:r="http://schemas.openxmlformats.org/officeDocument/2006/relationships" ref="A587" r:id="rId508"/>
    <hyperlink xmlns:r="http://schemas.openxmlformats.org/officeDocument/2006/relationships" ref="A588" r:id="rId509"/>
    <hyperlink xmlns:r="http://schemas.openxmlformats.org/officeDocument/2006/relationships" ref="A589" r:id="rId510"/>
    <hyperlink xmlns:r="http://schemas.openxmlformats.org/officeDocument/2006/relationships" ref="A590" r:id="rId511"/>
    <hyperlink xmlns:r="http://schemas.openxmlformats.org/officeDocument/2006/relationships" ref="A591" r:id="rId512"/>
    <hyperlink xmlns:r="http://schemas.openxmlformats.org/officeDocument/2006/relationships" ref="A592" r:id="rId513"/>
    <hyperlink xmlns:r="http://schemas.openxmlformats.org/officeDocument/2006/relationships" ref="A593" r:id="rId514"/>
    <hyperlink xmlns:r="http://schemas.openxmlformats.org/officeDocument/2006/relationships" ref="A594" r:id="rId515"/>
    <hyperlink xmlns:r="http://schemas.openxmlformats.org/officeDocument/2006/relationships" ref="A595" r:id="rId516"/>
    <hyperlink xmlns:r="http://schemas.openxmlformats.org/officeDocument/2006/relationships" ref="A596" r:id="rId517"/>
    <hyperlink xmlns:r="http://schemas.openxmlformats.org/officeDocument/2006/relationships" ref="A597" r:id="rId518"/>
    <hyperlink xmlns:r="http://schemas.openxmlformats.org/officeDocument/2006/relationships" ref="A598" r:id="rId519"/>
    <hyperlink xmlns:r="http://schemas.openxmlformats.org/officeDocument/2006/relationships" ref="A599" r:id="rId520"/>
    <hyperlink xmlns:r="http://schemas.openxmlformats.org/officeDocument/2006/relationships" ref="A600" r:id="rId521"/>
    <hyperlink xmlns:r="http://schemas.openxmlformats.org/officeDocument/2006/relationships" ref="A601" r:id="rId522"/>
    <hyperlink xmlns:r="http://schemas.openxmlformats.org/officeDocument/2006/relationships" ref="A602" r:id="rId523"/>
    <hyperlink xmlns:r="http://schemas.openxmlformats.org/officeDocument/2006/relationships" ref="A605" r:id="rId524"/>
    <hyperlink xmlns:r="http://schemas.openxmlformats.org/officeDocument/2006/relationships" ref="A606" r:id="rId525"/>
    <hyperlink xmlns:r="http://schemas.openxmlformats.org/officeDocument/2006/relationships" ref="A607" r:id="rId526"/>
    <hyperlink xmlns:r="http://schemas.openxmlformats.org/officeDocument/2006/relationships" ref="A608" r:id="rId527"/>
    <hyperlink xmlns:r="http://schemas.openxmlformats.org/officeDocument/2006/relationships" ref="A610" r:id="rId528"/>
    <hyperlink xmlns:r="http://schemas.openxmlformats.org/officeDocument/2006/relationships" ref="A611" r:id="rId529"/>
    <hyperlink xmlns:r="http://schemas.openxmlformats.org/officeDocument/2006/relationships" ref="A612" r:id="rId530"/>
    <hyperlink xmlns:r="http://schemas.openxmlformats.org/officeDocument/2006/relationships" ref="A613" r:id="rId531"/>
    <hyperlink xmlns:r="http://schemas.openxmlformats.org/officeDocument/2006/relationships" ref="A614" r:id="rId532"/>
    <hyperlink xmlns:r="http://schemas.openxmlformats.org/officeDocument/2006/relationships" ref="A616" r:id="rId533"/>
    <hyperlink xmlns:r="http://schemas.openxmlformats.org/officeDocument/2006/relationships" ref="A619" r:id="rId534"/>
    <hyperlink xmlns:r="http://schemas.openxmlformats.org/officeDocument/2006/relationships" ref="A620" r:id="rId535"/>
    <hyperlink xmlns:r="http://schemas.openxmlformats.org/officeDocument/2006/relationships" ref="A621" r:id="rId536"/>
    <hyperlink xmlns:r="http://schemas.openxmlformats.org/officeDocument/2006/relationships" ref="A622" r:id="rId537"/>
    <hyperlink xmlns:r="http://schemas.openxmlformats.org/officeDocument/2006/relationships" ref="A623" r:id="rId538"/>
    <hyperlink xmlns:r="http://schemas.openxmlformats.org/officeDocument/2006/relationships" ref="A624" r:id="rId539"/>
    <hyperlink xmlns:r="http://schemas.openxmlformats.org/officeDocument/2006/relationships" ref="A625" r:id="rId540"/>
    <hyperlink xmlns:r="http://schemas.openxmlformats.org/officeDocument/2006/relationships" ref="A626" r:id="rId541"/>
    <hyperlink xmlns:r="http://schemas.openxmlformats.org/officeDocument/2006/relationships" ref="A627" r:id="rId542"/>
    <hyperlink xmlns:r="http://schemas.openxmlformats.org/officeDocument/2006/relationships" ref="A628" r:id="rId543"/>
    <hyperlink xmlns:r="http://schemas.openxmlformats.org/officeDocument/2006/relationships" ref="A629" r:id="rId544"/>
    <hyperlink xmlns:r="http://schemas.openxmlformats.org/officeDocument/2006/relationships" ref="A630" r:id="rId545"/>
    <hyperlink xmlns:r="http://schemas.openxmlformats.org/officeDocument/2006/relationships" ref="A634" r:id="rId546"/>
    <hyperlink xmlns:r="http://schemas.openxmlformats.org/officeDocument/2006/relationships" ref="A635" r:id="rId547"/>
    <hyperlink xmlns:r="http://schemas.openxmlformats.org/officeDocument/2006/relationships" ref="A636" r:id="rId548"/>
    <hyperlink xmlns:r="http://schemas.openxmlformats.org/officeDocument/2006/relationships" ref="A637" r:id="rId549"/>
    <hyperlink xmlns:r="http://schemas.openxmlformats.org/officeDocument/2006/relationships" ref="A638" r:id="rId550"/>
    <hyperlink xmlns:r="http://schemas.openxmlformats.org/officeDocument/2006/relationships" ref="A639" r:id="rId551"/>
    <hyperlink xmlns:r="http://schemas.openxmlformats.org/officeDocument/2006/relationships" ref="A640" r:id="rId552"/>
    <hyperlink xmlns:r="http://schemas.openxmlformats.org/officeDocument/2006/relationships" ref="A641" r:id="rId553"/>
    <hyperlink xmlns:r="http://schemas.openxmlformats.org/officeDocument/2006/relationships" ref="A642" r:id="rId554"/>
    <hyperlink xmlns:r="http://schemas.openxmlformats.org/officeDocument/2006/relationships" ref="A643" r:id="rId555"/>
    <hyperlink xmlns:r="http://schemas.openxmlformats.org/officeDocument/2006/relationships" ref="A644" r:id="rId556"/>
    <hyperlink xmlns:r="http://schemas.openxmlformats.org/officeDocument/2006/relationships" ref="A645" r:id="rId557"/>
    <hyperlink xmlns:r="http://schemas.openxmlformats.org/officeDocument/2006/relationships" ref="A646" r:id="rId558"/>
    <hyperlink xmlns:r="http://schemas.openxmlformats.org/officeDocument/2006/relationships" ref="A647" r:id="rId559"/>
    <hyperlink xmlns:r="http://schemas.openxmlformats.org/officeDocument/2006/relationships" ref="A648" r:id="rId560"/>
    <hyperlink xmlns:r="http://schemas.openxmlformats.org/officeDocument/2006/relationships" ref="A649" r:id="rId561"/>
    <hyperlink xmlns:r="http://schemas.openxmlformats.org/officeDocument/2006/relationships" ref="A652" r:id="rId562"/>
    <hyperlink xmlns:r="http://schemas.openxmlformats.org/officeDocument/2006/relationships" ref="A653" r:id="rId563"/>
    <hyperlink xmlns:r="http://schemas.openxmlformats.org/officeDocument/2006/relationships" ref="A654" r:id="rId564"/>
    <hyperlink xmlns:r="http://schemas.openxmlformats.org/officeDocument/2006/relationships" ref="A655" r:id="rId565"/>
    <hyperlink xmlns:r="http://schemas.openxmlformats.org/officeDocument/2006/relationships" ref="A656" r:id="rId566"/>
    <hyperlink xmlns:r="http://schemas.openxmlformats.org/officeDocument/2006/relationships" ref="A657" r:id="rId567"/>
    <hyperlink xmlns:r="http://schemas.openxmlformats.org/officeDocument/2006/relationships" ref="A658" r:id="rId568"/>
    <hyperlink xmlns:r="http://schemas.openxmlformats.org/officeDocument/2006/relationships" ref="A659" r:id="rId569"/>
    <hyperlink xmlns:r="http://schemas.openxmlformats.org/officeDocument/2006/relationships" ref="A660" r:id="rId570"/>
    <hyperlink xmlns:r="http://schemas.openxmlformats.org/officeDocument/2006/relationships" ref="A661" r:id="rId571"/>
    <hyperlink xmlns:r="http://schemas.openxmlformats.org/officeDocument/2006/relationships" ref="A662" r:id="rId572"/>
    <hyperlink xmlns:r="http://schemas.openxmlformats.org/officeDocument/2006/relationships" ref="A663" r:id="rId573"/>
    <hyperlink xmlns:r="http://schemas.openxmlformats.org/officeDocument/2006/relationships" ref="A664" r:id="rId574"/>
    <hyperlink xmlns:r="http://schemas.openxmlformats.org/officeDocument/2006/relationships" ref="A665" r:id="rId575"/>
    <hyperlink xmlns:r="http://schemas.openxmlformats.org/officeDocument/2006/relationships" ref="A666" r:id="rId576"/>
    <hyperlink xmlns:r="http://schemas.openxmlformats.org/officeDocument/2006/relationships" ref="A667" r:id="rId577"/>
    <hyperlink xmlns:r="http://schemas.openxmlformats.org/officeDocument/2006/relationships" ref="A668" r:id="rId578"/>
    <hyperlink xmlns:r="http://schemas.openxmlformats.org/officeDocument/2006/relationships" ref="A669" r:id="rId579"/>
    <hyperlink xmlns:r="http://schemas.openxmlformats.org/officeDocument/2006/relationships" ref="A670" r:id="rId580"/>
    <hyperlink xmlns:r="http://schemas.openxmlformats.org/officeDocument/2006/relationships" ref="A671" r:id="rId581"/>
    <hyperlink xmlns:r="http://schemas.openxmlformats.org/officeDocument/2006/relationships" ref="A672" r:id="rId582"/>
    <hyperlink xmlns:r="http://schemas.openxmlformats.org/officeDocument/2006/relationships" ref="A675" r:id="rId583"/>
    <hyperlink xmlns:r="http://schemas.openxmlformats.org/officeDocument/2006/relationships" ref="A676" r:id="rId584"/>
    <hyperlink xmlns:r="http://schemas.openxmlformats.org/officeDocument/2006/relationships" ref="A677" r:id="rId585"/>
    <hyperlink xmlns:r="http://schemas.openxmlformats.org/officeDocument/2006/relationships" ref="A678" r:id="rId586"/>
    <hyperlink xmlns:r="http://schemas.openxmlformats.org/officeDocument/2006/relationships" ref="A679" r:id="rId587"/>
    <hyperlink xmlns:r="http://schemas.openxmlformats.org/officeDocument/2006/relationships" ref="A680" r:id="rId588"/>
    <hyperlink xmlns:r="http://schemas.openxmlformats.org/officeDocument/2006/relationships" ref="A681" r:id="rId589"/>
    <hyperlink xmlns:r="http://schemas.openxmlformats.org/officeDocument/2006/relationships" ref="A682" r:id="rId590"/>
    <hyperlink xmlns:r="http://schemas.openxmlformats.org/officeDocument/2006/relationships" ref="A683" r:id="rId591"/>
    <hyperlink xmlns:r="http://schemas.openxmlformats.org/officeDocument/2006/relationships" ref="A684" r:id="rId592"/>
    <hyperlink xmlns:r="http://schemas.openxmlformats.org/officeDocument/2006/relationships" ref="A686" r:id="rId593"/>
    <hyperlink xmlns:r="http://schemas.openxmlformats.org/officeDocument/2006/relationships" ref="A687" r:id="rId594"/>
    <hyperlink xmlns:r="http://schemas.openxmlformats.org/officeDocument/2006/relationships" ref="A688" r:id="rId595"/>
    <hyperlink xmlns:r="http://schemas.openxmlformats.org/officeDocument/2006/relationships" ref="A690" r:id="rId596"/>
    <hyperlink xmlns:r="http://schemas.openxmlformats.org/officeDocument/2006/relationships" ref="A691" r:id="rId597"/>
    <hyperlink xmlns:r="http://schemas.openxmlformats.org/officeDocument/2006/relationships" ref="A692" r:id="rId598"/>
    <hyperlink xmlns:r="http://schemas.openxmlformats.org/officeDocument/2006/relationships" ref="A693" r:id="rId599"/>
    <hyperlink xmlns:r="http://schemas.openxmlformats.org/officeDocument/2006/relationships" ref="A694" r:id="rId600"/>
    <hyperlink xmlns:r="http://schemas.openxmlformats.org/officeDocument/2006/relationships" ref="A696" r:id="rId601"/>
    <hyperlink xmlns:r="http://schemas.openxmlformats.org/officeDocument/2006/relationships" ref="A697" r:id="rId602"/>
    <hyperlink xmlns:r="http://schemas.openxmlformats.org/officeDocument/2006/relationships" ref="A699" r:id="rId603"/>
    <hyperlink xmlns:r="http://schemas.openxmlformats.org/officeDocument/2006/relationships" ref="A700" r:id="rId604"/>
    <hyperlink xmlns:r="http://schemas.openxmlformats.org/officeDocument/2006/relationships" ref="A701" r:id="rId605"/>
    <hyperlink xmlns:r="http://schemas.openxmlformats.org/officeDocument/2006/relationships" ref="A702" r:id="rId606"/>
    <hyperlink xmlns:r="http://schemas.openxmlformats.org/officeDocument/2006/relationships" ref="A704" r:id="rId607"/>
    <hyperlink xmlns:r="http://schemas.openxmlformats.org/officeDocument/2006/relationships" ref="A706" r:id="rId608"/>
    <hyperlink xmlns:r="http://schemas.openxmlformats.org/officeDocument/2006/relationships" ref="A707" r:id="rId609"/>
    <hyperlink xmlns:r="http://schemas.openxmlformats.org/officeDocument/2006/relationships" ref="A708" r:id="rId610"/>
    <hyperlink xmlns:r="http://schemas.openxmlformats.org/officeDocument/2006/relationships" ref="A709" r:id="rId611"/>
    <hyperlink xmlns:r="http://schemas.openxmlformats.org/officeDocument/2006/relationships" ref="A710" r:id="rId612"/>
    <hyperlink xmlns:r="http://schemas.openxmlformats.org/officeDocument/2006/relationships" ref="A711" r:id="rId613"/>
    <hyperlink xmlns:r="http://schemas.openxmlformats.org/officeDocument/2006/relationships" ref="A712" r:id="rId614"/>
    <hyperlink xmlns:r="http://schemas.openxmlformats.org/officeDocument/2006/relationships" ref="A713" r:id="rId615"/>
    <hyperlink xmlns:r="http://schemas.openxmlformats.org/officeDocument/2006/relationships" ref="A714" r:id="rId616"/>
    <hyperlink xmlns:r="http://schemas.openxmlformats.org/officeDocument/2006/relationships" ref="A715" r:id="rId617"/>
    <hyperlink xmlns:r="http://schemas.openxmlformats.org/officeDocument/2006/relationships" ref="A716" r:id="rId618"/>
    <hyperlink xmlns:r="http://schemas.openxmlformats.org/officeDocument/2006/relationships" ref="A717" r:id="rId619"/>
    <hyperlink xmlns:r="http://schemas.openxmlformats.org/officeDocument/2006/relationships" ref="A718" r:id="rId620"/>
    <hyperlink xmlns:r="http://schemas.openxmlformats.org/officeDocument/2006/relationships" ref="A719" r:id="rId621"/>
    <hyperlink xmlns:r="http://schemas.openxmlformats.org/officeDocument/2006/relationships" ref="A720" r:id="rId622"/>
    <hyperlink xmlns:r="http://schemas.openxmlformats.org/officeDocument/2006/relationships" ref="A721" r:id="rId623"/>
    <hyperlink xmlns:r="http://schemas.openxmlformats.org/officeDocument/2006/relationships" ref="A722" r:id="rId624"/>
    <hyperlink xmlns:r="http://schemas.openxmlformats.org/officeDocument/2006/relationships" ref="A723" r:id="rId625"/>
    <hyperlink xmlns:r="http://schemas.openxmlformats.org/officeDocument/2006/relationships" ref="A724" r:id="rId626"/>
    <hyperlink xmlns:r="http://schemas.openxmlformats.org/officeDocument/2006/relationships" ref="A725" r:id="rId627"/>
    <hyperlink xmlns:r="http://schemas.openxmlformats.org/officeDocument/2006/relationships" ref="A726" r:id="rId628"/>
    <hyperlink xmlns:r="http://schemas.openxmlformats.org/officeDocument/2006/relationships" ref="A727" r:id="rId629"/>
    <hyperlink xmlns:r="http://schemas.openxmlformats.org/officeDocument/2006/relationships" ref="A728" r:id="rId630"/>
    <hyperlink xmlns:r="http://schemas.openxmlformats.org/officeDocument/2006/relationships" ref="A729" r:id="rId631"/>
    <hyperlink xmlns:r="http://schemas.openxmlformats.org/officeDocument/2006/relationships" ref="A730" r:id="rId632"/>
    <hyperlink xmlns:r="http://schemas.openxmlformats.org/officeDocument/2006/relationships" ref="A731" r:id="rId633"/>
    <hyperlink xmlns:r="http://schemas.openxmlformats.org/officeDocument/2006/relationships" ref="A732" r:id="rId634"/>
    <hyperlink xmlns:r="http://schemas.openxmlformats.org/officeDocument/2006/relationships" ref="A733" r:id="rId635"/>
    <hyperlink xmlns:r="http://schemas.openxmlformats.org/officeDocument/2006/relationships" ref="A734" r:id="rId636"/>
    <hyperlink xmlns:r="http://schemas.openxmlformats.org/officeDocument/2006/relationships" ref="A735" r:id="rId637"/>
    <hyperlink xmlns:r="http://schemas.openxmlformats.org/officeDocument/2006/relationships" ref="A736" r:id="rId638"/>
    <hyperlink xmlns:r="http://schemas.openxmlformats.org/officeDocument/2006/relationships" ref="A737" r:id="rId639"/>
    <hyperlink xmlns:r="http://schemas.openxmlformats.org/officeDocument/2006/relationships" ref="A738" r:id="rId640"/>
    <hyperlink xmlns:r="http://schemas.openxmlformats.org/officeDocument/2006/relationships" ref="A739" r:id="rId641"/>
    <hyperlink xmlns:r="http://schemas.openxmlformats.org/officeDocument/2006/relationships" ref="A740" r:id="rId642"/>
    <hyperlink xmlns:r="http://schemas.openxmlformats.org/officeDocument/2006/relationships" ref="A741" r:id="rId643"/>
    <hyperlink xmlns:r="http://schemas.openxmlformats.org/officeDocument/2006/relationships" ref="A742" r:id="rId644"/>
    <hyperlink xmlns:r="http://schemas.openxmlformats.org/officeDocument/2006/relationships" ref="A744" r:id="rId645"/>
    <hyperlink xmlns:r="http://schemas.openxmlformats.org/officeDocument/2006/relationships" ref="A745" r:id="rId646"/>
    <hyperlink xmlns:r="http://schemas.openxmlformats.org/officeDocument/2006/relationships" ref="A746" r:id="rId647"/>
    <hyperlink xmlns:r="http://schemas.openxmlformats.org/officeDocument/2006/relationships" ref="A747" r:id="rId648"/>
    <hyperlink xmlns:r="http://schemas.openxmlformats.org/officeDocument/2006/relationships" ref="A748" r:id="rId649"/>
    <hyperlink xmlns:r="http://schemas.openxmlformats.org/officeDocument/2006/relationships" ref="A749" r:id="rId650"/>
    <hyperlink xmlns:r="http://schemas.openxmlformats.org/officeDocument/2006/relationships" ref="A750" r:id="rId651"/>
    <hyperlink xmlns:r="http://schemas.openxmlformats.org/officeDocument/2006/relationships" ref="A751" r:id="rId652"/>
    <hyperlink xmlns:r="http://schemas.openxmlformats.org/officeDocument/2006/relationships" ref="A752" r:id="rId653"/>
    <hyperlink xmlns:r="http://schemas.openxmlformats.org/officeDocument/2006/relationships" ref="A753" r:id="rId654"/>
    <hyperlink xmlns:r="http://schemas.openxmlformats.org/officeDocument/2006/relationships" ref="A754" r:id="rId655"/>
    <hyperlink xmlns:r="http://schemas.openxmlformats.org/officeDocument/2006/relationships" ref="A755" r:id="rId656"/>
    <hyperlink xmlns:r="http://schemas.openxmlformats.org/officeDocument/2006/relationships" ref="A756" r:id="rId657"/>
    <hyperlink xmlns:r="http://schemas.openxmlformats.org/officeDocument/2006/relationships" ref="A758" r:id="rId658"/>
    <hyperlink xmlns:r="http://schemas.openxmlformats.org/officeDocument/2006/relationships" ref="A759" r:id="rId659"/>
    <hyperlink xmlns:r="http://schemas.openxmlformats.org/officeDocument/2006/relationships" ref="A761" r:id="rId660"/>
    <hyperlink xmlns:r="http://schemas.openxmlformats.org/officeDocument/2006/relationships" ref="A762" r:id="rId661"/>
    <hyperlink xmlns:r="http://schemas.openxmlformats.org/officeDocument/2006/relationships" ref="A763" r:id="rId662"/>
    <hyperlink xmlns:r="http://schemas.openxmlformats.org/officeDocument/2006/relationships" ref="A764" r:id="rId663"/>
    <hyperlink xmlns:r="http://schemas.openxmlformats.org/officeDocument/2006/relationships" ref="A765" r:id="rId664"/>
    <hyperlink xmlns:r="http://schemas.openxmlformats.org/officeDocument/2006/relationships" ref="A766" r:id="rId665"/>
    <hyperlink xmlns:r="http://schemas.openxmlformats.org/officeDocument/2006/relationships" ref="A767" r:id="rId666"/>
    <hyperlink xmlns:r="http://schemas.openxmlformats.org/officeDocument/2006/relationships" ref="A768" r:id="rId667"/>
    <hyperlink xmlns:r="http://schemas.openxmlformats.org/officeDocument/2006/relationships" ref="A769" r:id="rId668"/>
    <hyperlink xmlns:r="http://schemas.openxmlformats.org/officeDocument/2006/relationships" ref="A770" r:id="rId669"/>
    <hyperlink xmlns:r="http://schemas.openxmlformats.org/officeDocument/2006/relationships" ref="A771" r:id="rId670"/>
    <hyperlink xmlns:r="http://schemas.openxmlformats.org/officeDocument/2006/relationships" ref="A772" r:id="rId671"/>
    <hyperlink xmlns:r="http://schemas.openxmlformats.org/officeDocument/2006/relationships" ref="A773" r:id="rId672"/>
    <hyperlink xmlns:r="http://schemas.openxmlformats.org/officeDocument/2006/relationships" ref="A774" r:id="rId673"/>
    <hyperlink xmlns:r="http://schemas.openxmlformats.org/officeDocument/2006/relationships" ref="A775" r:id="rId674"/>
    <hyperlink xmlns:r="http://schemas.openxmlformats.org/officeDocument/2006/relationships" ref="A776" r:id="rId675"/>
    <hyperlink xmlns:r="http://schemas.openxmlformats.org/officeDocument/2006/relationships" ref="A777" r:id="rId676"/>
    <hyperlink xmlns:r="http://schemas.openxmlformats.org/officeDocument/2006/relationships" ref="A778" r:id="rId677"/>
    <hyperlink xmlns:r="http://schemas.openxmlformats.org/officeDocument/2006/relationships" ref="A779" r:id="rId678"/>
    <hyperlink xmlns:r="http://schemas.openxmlformats.org/officeDocument/2006/relationships" ref="A780" r:id="rId679"/>
    <hyperlink xmlns:r="http://schemas.openxmlformats.org/officeDocument/2006/relationships" ref="A781" r:id="rId680"/>
    <hyperlink xmlns:r="http://schemas.openxmlformats.org/officeDocument/2006/relationships" ref="A782" r:id="rId681"/>
    <hyperlink xmlns:r="http://schemas.openxmlformats.org/officeDocument/2006/relationships" ref="A783" r:id="rId682"/>
    <hyperlink xmlns:r="http://schemas.openxmlformats.org/officeDocument/2006/relationships" ref="A784" r:id="rId683"/>
    <hyperlink xmlns:r="http://schemas.openxmlformats.org/officeDocument/2006/relationships" ref="A785" r:id="rId684"/>
    <hyperlink xmlns:r="http://schemas.openxmlformats.org/officeDocument/2006/relationships" ref="A786" r:id="rId685"/>
    <hyperlink xmlns:r="http://schemas.openxmlformats.org/officeDocument/2006/relationships" ref="A787" r:id="rId686"/>
    <hyperlink xmlns:r="http://schemas.openxmlformats.org/officeDocument/2006/relationships" ref="A788" r:id="rId687"/>
    <hyperlink xmlns:r="http://schemas.openxmlformats.org/officeDocument/2006/relationships" ref="A789" r:id="rId688"/>
    <hyperlink xmlns:r="http://schemas.openxmlformats.org/officeDocument/2006/relationships" ref="A790" r:id="rId689"/>
    <hyperlink xmlns:r="http://schemas.openxmlformats.org/officeDocument/2006/relationships" ref="A791" r:id="rId690"/>
    <hyperlink xmlns:r="http://schemas.openxmlformats.org/officeDocument/2006/relationships" ref="A793" r:id="rId691"/>
    <hyperlink xmlns:r="http://schemas.openxmlformats.org/officeDocument/2006/relationships" ref="A794" r:id="rId692"/>
    <hyperlink xmlns:r="http://schemas.openxmlformats.org/officeDocument/2006/relationships" ref="A796" r:id="rId693"/>
    <hyperlink xmlns:r="http://schemas.openxmlformats.org/officeDocument/2006/relationships" ref="A797" r:id="rId694"/>
    <hyperlink xmlns:r="http://schemas.openxmlformats.org/officeDocument/2006/relationships" ref="A798" r:id="rId695"/>
    <hyperlink xmlns:r="http://schemas.openxmlformats.org/officeDocument/2006/relationships" ref="A799" r:id="rId696"/>
    <hyperlink xmlns:r="http://schemas.openxmlformats.org/officeDocument/2006/relationships" ref="A800" r:id="rId697"/>
    <hyperlink xmlns:r="http://schemas.openxmlformats.org/officeDocument/2006/relationships" ref="A803" r:id="rId698"/>
    <hyperlink xmlns:r="http://schemas.openxmlformats.org/officeDocument/2006/relationships" ref="A804" r:id="rId699"/>
    <hyperlink xmlns:r="http://schemas.openxmlformats.org/officeDocument/2006/relationships" ref="A805" r:id="rId700"/>
    <hyperlink xmlns:r="http://schemas.openxmlformats.org/officeDocument/2006/relationships" ref="A806" r:id="rId701"/>
    <hyperlink xmlns:r="http://schemas.openxmlformats.org/officeDocument/2006/relationships" ref="A807" r:id="rId702"/>
    <hyperlink xmlns:r="http://schemas.openxmlformats.org/officeDocument/2006/relationships" ref="A808" r:id="rId703"/>
    <hyperlink xmlns:r="http://schemas.openxmlformats.org/officeDocument/2006/relationships" ref="A809" r:id="rId704"/>
    <hyperlink xmlns:r="http://schemas.openxmlformats.org/officeDocument/2006/relationships" ref="A810" r:id="rId705"/>
    <hyperlink xmlns:r="http://schemas.openxmlformats.org/officeDocument/2006/relationships" ref="A811" r:id="rId706"/>
    <hyperlink xmlns:r="http://schemas.openxmlformats.org/officeDocument/2006/relationships" ref="A812" r:id="rId707"/>
    <hyperlink xmlns:r="http://schemas.openxmlformats.org/officeDocument/2006/relationships" ref="A813" r:id="rId708"/>
    <hyperlink xmlns:r="http://schemas.openxmlformats.org/officeDocument/2006/relationships" ref="A814" r:id="rId709"/>
    <hyperlink xmlns:r="http://schemas.openxmlformats.org/officeDocument/2006/relationships" ref="A815" r:id="rId710"/>
    <hyperlink xmlns:r="http://schemas.openxmlformats.org/officeDocument/2006/relationships" ref="A816" r:id="rId711"/>
    <hyperlink xmlns:r="http://schemas.openxmlformats.org/officeDocument/2006/relationships" ref="A817" r:id="rId712"/>
    <hyperlink xmlns:r="http://schemas.openxmlformats.org/officeDocument/2006/relationships" ref="A818" r:id="rId713"/>
    <hyperlink xmlns:r="http://schemas.openxmlformats.org/officeDocument/2006/relationships" ref="A819" r:id="rId714"/>
    <hyperlink xmlns:r="http://schemas.openxmlformats.org/officeDocument/2006/relationships" ref="A820" r:id="rId715"/>
    <hyperlink xmlns:r="http://schemas.openxmlformats.org/officeDocument/2006/relationships" ref="A822" r:id="rId716"/>
    <hyperlink xmlns:r="http://schemas.openxmlformats.org/officeDocument/2006/relationships" ref="A823" r:id="rId717"/>
    <hyperlink xmlns:r="http://schemas.openxmlformats.org/officeDocument/2006/relationships" ref="A824" r:id="rId718"/>
    <hyperlink xmlns:r="http://schemas.openxmlformats.org/officeDocument/2006/relationships" ref="A825" r:id="rId719"/>
    <hyperlink xmlns:r="http://schemas.openxmlformats.org/officeDocument/2006/relationships" ref="A826" r:id="rId720"/>
    <hyperlink xmlns:r="http://schemas.openxmlformats.org/officeDocument/2006/relationships" ref="A827" r:id="rId721"/>
    <hyperlink xmlns:r="http://schemas.openxmlformats.org/officeDocument/2006/relationships" ref="A828" r:id="rId722"/>
    <hyperlink xmlns:r="http://schemas.openxmlformats.org/officeDocument/2006/relationships" ref="A830" r:id="rId723"/>
    <hyperlink xmlns:r="http://schemas.openxmlformats.org/officeDocument/2006/relationships" ref="A831" r:id="rId724"/>
    <hyperlink xmlns:r="http://schemas.openxmlformats.org/officeDocument/2006/relationships" ref="A832" r:id="rId725"/>
    <hyperlink xmlns:r="http://schemas.openxmlformats.org/officeDocument/2006/relationships" ref="A833" r:id="rId726"/>
    <hyperlink xmlns:r="http://schemas.openxmlformats.org/officeDocument/2006/relationships" ref="A834" r:id="rId727"/>
    <hyperlink xmlns:r="http://schemas.openxmlformats.org/officeDocument/2006/relationships" ref="A837" r:id="rId728"/>
    <hyperlink xmlns:r="http://schemas.openxmlformats.org/officeDocument/2006/relationships" ref="A838" r:id="rId729"/>
    <hyperlink xmlns:r="http://schemas.openxmlformats.org/officeDocument/2006/relationships" ref="A839" r:id="rId730"/>
    <hyperlink xmlns:r="http://schemas.openxmlformats.org/officeDocument/2006/relationships" ref="A840" r:id="rId731"/>
    <hyperlink xmlns:r="http://schemas.openxmlformats.org/officeDocument/2006/relationships" ref="A842" r:id="rId732"/>
    <hyperlink xmlns:r="http://schemas.openxmlformats.org/officeDocument/2006/relationships" ref="A843" r:id="rId733"/>
    <hyperlink xmlns:r="http://schemas.openxmlformats.org/officeDocument/2006/relationships" ref="A845" r:id="rId734"/>
    <hyperlink xmlns:r="http://schemas.openxmlformats.org/officeDocument/2006/relationships" ref="A846" r:id="rId735"/>
    <hyperlink xmlns:r="http://schemas.openxmlformats.org/officeDocument/2006/relationships" ref="A847" r:id="rId736"/>
    <hyperlink xmlns:r="http://schemas.openxmlformats.org/officeDocument/2006/relationships" ref="A848" r:id="rId737"/>
    <hyperlink xmlns:r="http://schemas.openxmlformats.org/officeDocument/2006/relationships" ref="A849" r:id="rId738"/>
    <hyperlink xmlns:r="http://schemas.openxmlformats.org/officeDocument/2006/relationships" ref="A852" r:id="rId739"/>
    <hyperlink xmlns:r="http://schemas.openxmlformats.org/officeDocument/2006/relationships" ref="A853" r:id="rId740"/>
    <hyperlink xmlns:r="http://schemas.openxmlformats.org/officeDocument/2006/relationships" ref="A854" r:id="rId741"/>
    <hyperlink xmlns:r="http://schemas.openxmlformats.org/officeDocument/2006/relationships" ref="A855" r:id="rId742"/>
    <hyperlink xmlns:r="http://schemas.openxmlformats.org/officeDocument/2006/relationships" ref="A856" r:id="rId743"/>
    <hyperlink xmlns:r="http://schemas.openxmlformats.org/officeDocument/2006/relationships" ref="A857" r:id="rId744"/>
    <hyperlink xmlns:r="http://schemas.openxmlformats.org/officeDocument/2006/relationships" ref="A858" r:id="rId745"/>
    <hyperlink xmlns:r="http://schemas.openxmlformats.org/officeDocument/2006/relationships" ref="A859" r:id="rId746"/>
    <hyperlink xmlns:r="http://schemas.openxmlformats.org/officeDocument/2006/relationships" ref="A860" r:id="rId747"/>
    <hyperlink xmlns:r="http://schemas.openxmlformats.org/officeDocument/2006/relationships" ref="A861" r:id="rId748"/>
    <hyperlink xmlns:r="http://schemas.openxmlformats.org/officeDocument/2006/relationships" ref="A862" r:id="rId749"/>
    <hyperlink xmlns:r="http://schemas.openxmlformats.org/officeDocument/2006/relationships" ref="A863" r:id="rId750"/>
    <hyperlink xmlns:r="http://schemas.openxmlformats.org/officeDocument/2006/relationships" ref="A864" r:id="rId751"/>
    <hyperlink xmlns:r="http://schemas.openxmlformats.org/officeDocument/2006/relationships" ref="A865" r:id="rId752"/>
    <hyperlink xmlns:r="http://schemas.openxmlformats.org/officeDocument/2006/relationships" ref="A866" r:id="rId753"/>
    <hyperlink xmlns:r="http://schemas.openxmlformats.org/officeDocument/2006/relationships" ref="A867" r:id="rId754"/>
    <hyperlink xmlns:r="http://schemas.openxmlformats.org/officeDocument/2006/relationships" ref="A868" r:id="rId755"/>
    <hyperlink xmlns:r="http://schemas.openxmlformats.org/officeDocument/2006/relationships" ref="A869" r:id="rId756"/>
    <hyperlink xmlns:r="http://schemas.openxmlformats.org/officeDocument/2006/relationships" ref="A870" r:id="rId757"/>
    <hyperlink xmlns:r="http://schemas.openxmlformats.org/officeDocument/2006/relationships" ref="A871" r:id="rId758"/>
    <hyperlink xmlns:r="http://schemas.openxmlformats.org/officeDocument/2006/relationships" ref="A872" r:id="rId759"/>
    <hyperlink xmlns:r="http://schemas.openxmlformats.org/officeDocument/2006/relationships" ref="A873" r:id="rId760"/>
    <hyperlink xmlns:r="http://schemas.openxmlformats.org/officeDocument/2006/relationships" ref="A874" r:id="rId761"/>
    <hyperlink xmlns:r="http://schemas.openxmlformats.org/officeDocument/2006/relationships" ref="A876" r:id="rId762"/>
    <hyperlink xmlns:r="http://schemas.openxmlformats.org/officeDocument/2006/relationships" ref="A878" r:id="rId763"/>
    <hyperlink xmlns:r="http://schemas.openxmlformats.org/officeDocument/2006/relationships" ref="A879" r:id="rId764"/>
    <hyperlink xmlns:r="http://schemas.openxmlformats.org/officeDocument/2006/relationships" ref="A880" r:id="rId765"/>
    <hyperlink xmlns:r="http://schemas.openxmlformats.org/officeDocument/2006/relationships" ref="A881" r:id="rId766"/>
    <hyperlink xmlns:r="http://schemas.openxmlformats.org/officeDocument/2006/relationships" ref="A882" r:id="rId767"/>
    <hyperlink xmlns:r="http://schemas.openxmlformats.org/officeDocument/2006/relationships" ref="A883" r:id="rId768"/>
    <hyperlink xmlns:r="http://schemas.openxmlformats.org/officeDocument/2006/relationships" ref="A884" r:id="rId769"/>
    <hyperlink xmlns:r="http://schemas.openxmlformats.org/officeDocument/2006/relationships" ref="A885" r:id="rId770"/>
    <hyperlink xmlns:r="http://schemas.openxmlformats.org/officeDocument/2006/relationships" ref="A886" r:id="rId771"/>
    <hyperlink xmlns:r="http://schemas.openxmlformats.org/officeDocument/2006/relationships" ref="A887" r:id="rId772"/>
    <hyperlink xmlns:r="http://schemas.openxmlformats.org/officeDocument/2006/relationships" ref="A888" r:id="rId773"/>
    <hyperlink xmlns:r="http://schemas.openxmlformats.org/officeDocument/2006/relationships" ref="A891" r:id="rId774"/>
    <hyperlink xmlns:r="http://schemas.openxmlformats.org/officeDocument/2006/relationships" ref="A892" r:id="rId775"/>
    <hyperlink xmlns:r="http://schemas.openxmlformats.org/officeDocument/2006/relationships" ref="A893" r:id="rId776"/>
    <hyperlink xmlns:r="http://schemas.openxmlformats.org/officeDocument/2006/relationships" ref="A894" r:id="rId777"/>
    <hyperlink xmlns:r="http://schemas.openxmlformats.org/officeDocument/2006/relationships" ref="A895" r:id="rId778"/>
    <hyperlink xmlns:r="http://schemas.openxmlformats.org/officeDocument/2006/relationships" ref="A896" r:id="rId779"/>
    <hyperlink xmlns:r="http://schemas.openxmlformats.org/officeDocument/2006/relationships" ref="A897" r:id="rId780"/>
    <hyperlink xmlns:r="http://schemas.openxmlformats.org/officeDocument/2006/relationships" ref="A898" r:id="rId781"/>
    <hyperlink xmlns:r="http://schemas.openxmlformats.org/officeDocument/2006/relationships" ref="A899" r:id="rId782"/>
    <hyperlink xmlns:r="http://schemas.openxmlformats.org/officeDocument/2006/relationships" ref="A900" r:id="rId783"/>
    <hyperlink xmlns:r="http://schemas.openxmlformats.org/officeDocument/2006/relationships" ref="A901" r:id="rId784"/>
    <hyperlink xmlns:r="http://schemas.openxmlformats.org/officeDocument/2006/relationships" ref="A903" r:id="rId785"/>
    <hyperlink xmlns:r="http://schemas.openxmlformats.org/officeDocument/2006/relationships" ref="A904" r:id="rId786"/>
    <hyperlink xmlns:r="http://schemas.openxmlformats.org/officeDocument/2006/relationships" ref="A907" r:id="rId787"/>
    <hyperlink xmlns:r="http://schemas.openxmlformats.org/officeDocument/2006/relationships" ref="A908" r:id="rId788"/>
    <hyperlink xmlns:r="http://schemas.openxmlformats.org/officeDocument/2006/relationships" ref="A909" r:id="rId789"/>
    <hyperlink xmlns:r="http://schemas.openxmlformats.org/officeDocument/2006/relationships" ref="A910" r:id="rId790"/>
    <hyperlink xmlns:r="http://schemas.openxmlformats.org/officeDocument/2006/relationships" ref="A911" r:id="rId791"/>
    <hyperlink xmlns:r="http://schemas.openxmlformats.org/officeDocument/2006/relationships" ref="A912" r:id="rId792"/>
    <hyperlink xmlns:r="http://schemas.openxmlformats.org/officeDocument/2006/relationships" ref="A913" r:id="rId793"/>
    <hyperlink xmlns:r="http://schemas.openxmlformats.org/officeDocument/2006/relationships" ref="A914" r:id="rId794"/>
    <hyperlink xmlns:r="http://schemas.openxmlformats.org/officeDocument/2006/relationships" ref="A915" r:id="rId795"/>
    <hyperlink xmlns:r="http://schemas.openxmlformats.org/officeDocument/2006/relationships" ref="A916" r:id="rId796"/>
    <hyperlink xmlns:r="http://schemas.openxmlformats.org/officeDocument/2006/relationships" ref="A917" r:id="rId797"/>
    <hyperlink xmlns:r="http://schemas.openxmlformats.org/officeDocument/2006/relationships" ref="A918" r:id="rId798"/>
    <hyperlink xmlns:r="http://schemas.openxmlformats.org/officeDocument/2006/relationships" ref="A919" r:id="rId799"/>
    <hyperlink xmlns:r="http://schemas.openxmlformats.org/officeDocument/2006/relationships" ref="A920" r:id="rId800"/>
    <hyperlink xmlns:r="http://schemas.openxmlformats.org/officeDocument/2006/relationships" ref="A921" r:id="rId801"/>
    <hyperlink xmlns:r="http://schemas.openxmlformats.org/officeDocument/2006/relationships" ref="A922" r:id="rId802"/>
    <hyperlink xmlns:r="http://schemas.openxmlformats.org/officeDocument/2006/relationships" ref="A923" r:id="rId803"/>
    <hyperlink xmlns:r="http://schemas.openxmlformats.org/officeDocument/2006/relationships" ref="A924" r:id="rId804"/>
    <hyperlink xmlns:r="http://schemas.openxmlformats.org/officeDocument/2006/relationships" ref="A925" r:id="rId805"/>
    <hyperlink xmlns:r="http://schemas.openxmlformats.org/officeDocument/2006/relationships" ref="A926" r:id="rId806"/>
    <hyperlink xmlns:r="http://schemas.openxmlformats.org/officeDocument/2006/relationships" ref="A927" r:id="rId807"/>
    <hyperlink xmlns:r="http://schemas.openxmlformats.org/officeDocument/2006/relationships" ref="A928" r:id="rId808"/>
    <hyperlink xmlns:r="http://schemas.openxmlformats.org/officeDocument/2006/relationships" ref="A929" r:id="rId809"/>
    <hyperlink xmlns:r="http://schemas.openxmlformats.org/officeDocument/2006/relationships" ref="A930" r:id="rId810"/>
    <hyperlink xmlns:r="http://schemas.openxmlformats.org/officeDocument/2006/relationships" ref="A931" r:id="rId811"/>
    <hyperlink xmlns:r="http://schemas.openxmlformats.org/officeDocument/2006/relationships" ref="A932" r:id="rId812"/>
    <hyperlink xmlns:r="http://schemas.openxmlformats.org/officeDocument/2006/relationships" ref="A933" r:id="rId813"/>
    <hyperlink xmlns:r="http://schemas.openxmlformats.org/officeDocument/2006/relationships" ref="A934" r:id="rId814"/>
    <hyperlink xmlns:r="http://schemas.openxmlformats.org/officeDocument/2006/relationships" ref="A935" r:id="rId815"/>
    <hyperlink xmlns:r="http://schemas.openxmlformats.org/officeDocument/2006/relationships" ref="A936" r:id="rId816"/>
    <hyperlink xmlns:r="http://schemas.openxmlformats.org/officeDocument/2006/relationships" ref="A937" r:id="rId817"/>
    <hyperlink xmlns:r="http://schemas.openxmlformats.org/officeDocument/2006/relationships" ref="A938" r:id="rId818"/>
    <hyperlink xmlns:r="http://schemas.openxmlformats.org/officeDocument/2006/relationships" ref="A940" r:id="rId819"/>
    <hyperlink xmlns:r="http://schemas.openxmlformats.org/officeDocument/2006/relationships" ref="A942" r:id="rId820"/>
    <hyperlink xmlns:r="http://schemas.openxmlformats.org/officeDocument/2006/relationships" ref="A943" r:id="rId821"/>
    <hyperlink xmlns:r="http://schemas.openxmlformats.org/officeDocument/2006/relationships" ref="A944" r:id="rId822"/>
    <hyperlink xmlns:r="http://schemas.openxmlformats.org/officeDocument/2006/relationships" ref="A945" r:id="rId823"/>
    <hyperlink xmlns:r="http://schemas.openxmlformats.org/officeDocument/2006/relationships" ref="A946" r:id="rId824"/>
    <hyperlink xmlns:r="http://schemas.openxmlformats.org/officeDocument/2006/relationships" ref="A947" r:id="rId825"/>
    <hyperlink xmlns:r="http://schemas.openxmlformats.org/officeDocument/2006/relationships" ref="A948" r:id="rId826"/>
    <hyperlink xmlns:r="http://schemas.openxmlformats.org/officeDocument/2006/relationships" ref="A949" r:id="rId827"/>
    <hyperlink xmlns:r="http://schemas.openxmlformats.org/officeDocument/2006/relationships" ref="A950" r:id="rId828"/>
    <hyperlink xmlns:r="http://schemas.openxmlformats.org/officeDocument/2006/relationships" ref="A951" r:id="rId829"/>
    <hyperlink xmlns:r="http://schemas.openxmlformats.org/officeDocument/2006/relationships" ref="A952" r:id="rId830"/>
    <hyperlink xmlns:r="http://schemas.openxmlformats.org/officeDocument/2006/relationships" ref="A953" r:id="rId831"/>
    <hyperlink xmlns:r="http://schemas.openxmlformats.org/officeDocument/2006/relationships" ref="A954" r:id="rId832"/>
    <hyperlink xmlns:r="http://schemas.openxmlformats.org/officeDocument/2006/relationships" ref="A957" r:id="rId833"/>
    <hyperlink xmlns:r="http://schemas.openxmlformats.org/officeDocument/2006/relationships" ref="A958" r:id="rId834"/>
    <hyperlink xmlns:r="http://schemas.openxmlformats.org/officeDocument/2006/relationships" ref="A959" r:id="rId835"/>
    <hyperlink xmlns:r="http://schemas.openxmlformats.org/officeDocument/2006/relationships" ref="A960" r:id="rId836"/>
    <hyperlink xmlns:r="http://schemas.openxmlformats.org/officeDocument/2006/relationships" ref="A1011" r:id="rId837"/>
    <hyperlink xmlns:r="http://schemas.openxmlformats.org/officeDocument/2006/relationships" ref="A1012" r:id="rId838"/>
    <hyperlink xmlns:r="http://schemas.openxmlformats.org/officeDocument/2006/relationships" ref="A1013" r:id="rId839"/>
    <hyperlink xmlns:r="http://schemas.openxmlformats.org/officeDocument/2006/relationships" ref="A1014" r:id="rId840"/>
    <hyperlink xmlns:r="http://schemas.openxmlformats.org/officeDocument/2006/relationships" ref="A1015" r:id="rId841"/>
    <hyperlink xmlns:r="http://schemas.openxmlformats.org/officeDocument/2006/relationships" ref="A1016" r:id="rId842"/>
    <hyperlink xmlns:r="http://schemas.openxmlformats.org/officeDocument/2006/relationships" ref="A1017" r:id="rId843"/>
    <hyperlink xmlns:r="http://schemas.openxmlformats.org/officeDocument/2006/relationships" ref="A1018" r:id="rId844"/>
    <hyperlink xmlns:r="http://schemas.openxmlformats.org/officeDocument/2006/relationships" ref="A1019" r:id="rId845"/>
    <hyperlink xmlns:r="http://schemas.openxmlformats.org/officeDocument/2006/relationships" ref="A1020" r:id="rId846"/>
    <hyperlink xmlns:r="http://schemas.openxmlformats.org/officeDocument/2006/relationships" ref="A1021" r:id="rId847"/>
    <hyperlink xmlns:r="http://schemas.openxmlformats.org/officeDocument/2006/relationships" ref="A1022" r:id="rId848"/>
    <hyperlink xmlns:r="http://schemas.openxmlformats.org/officeDocument/2006/relationships" ref="A1023" r:id="rId849"/>
    <hyperlink xmlns:r="http://schemas.openxmlformats.org/officeDocument/2006/relationships" ref="A1024" r:id="rId850"/>
    <hyperlink xmlns:r="http://schemas.openxmlformats.org/officeDocument/2006/relationships" ref="A1025" r:id="rId851"/>
    <hyperlink xmlns:r="http://schemas.openxmlformats.org/officeDocument/2006/relationships" ref="A1026" r:id="rId852"/>
    <hyperlink xmlns:r="http://schemas.openxmlformats.org/officeDocument/2006/relationships" ref="A1027" r:id="rId853"/>
    <hyperlink xmlns:r="http://schemas.openxmlformats.org/officeDocument/2006/relationships" ref="A1028" r:id="rId854"/>
    <hyperlink xmlns:r="http://schemas.openxmlformats.org/officeDocument/2006/relationships" ref="A1029" r:id="rId855"/>
    <hyperlink xmlns:r="http://schemas.openxmlformats.org/officeDocument/2006/relationships" ref="A1030" r:id="rId856"/>
    <hyperlink xmlns:r="http://schemas.openxmlformats.org/officeDocument/2006/relationships" ref="A1031" r:id="rId857"/>
    <hyperlink xmlns:r="http://schemas.openxmlformats.org/officeDocument/2006/relationships" ref="A1032" r:id="rId858"/>
    <hyperlink xmlns:r="http://schemas.openxmlformats.org/officeDocument/2006/relationships" ref="A1033" r:id="rId859"/>
    <hyperlink xmlns:r="http://schemas.openxmlformats.org/officeDocument/2006/relationships" ref="A1034" r:id="rId860"/>
    <hyperlink xmlns:r="http://schemas.openxmlformats.org/officeDocument/2006/relationships" ref="A1035" r:id="rId861"/>
    <hyperlink xmlns:r="http://schemas.openxmlformats.org/officeDocument/2006/relationships" ref="A1036" r:id="rId862"/>
    <hyperlink xmlns:r="http://schemas.openxmlformats.org/officeDocument/2006/relationships" ref="A1037" r:id="rId863"/>
    <hyperlink xmlns:r="http://schemas.openxmlformats.org/officeDocument/2006/relationships" ref="A1038" r:id="rId864"/>
    <hyperlink xmlns:r="http://schemas.openxmlformats.org/officeDocument/2006/relationships" ref="A1039" r:id="rId865"/>
    <hyperlink xmlns:r="http://schemas.openxmlformats.org/officeDocument/2006/relationships" ref="A1040" r:id="rId866"/>
    <hyperlink xmlns:r="http://schemas.openxmlformats.org/officeDocument/2006/relationships" ref="A1041" r:id="rId867"/>
    <hyperlink xmlns:r="http://schemas.openxmlformats.org/officeDocument/2006/relationships" ref="A1042" r:id="rId868"/>
    <hyperlink xmlns:r="http://schemas.openxmlformats.org/officeDocument/2006/relationships" ref="A1043" r:id="rId869"/>
    <hyperlink xmlns:r="http://schemas.openxmlformats.org/officeDocument/2006/relationships" ref="A1044" r:id="rId870"/>
    <hyperlink xmlns:r="http://schemas.openxmlformats.org/officeDocument/2006/relationships" ref="A1045" r:id="rId871"/>
    <hyperlink xmlns:r="http://schemas.openxmlformats.org/officeDocument/2006/relationships" ref="A1046" r:id="rId872"/>
    <hyperlink xmlns:r="http://schemas.openxmlformats.org/officeDocument/2006/relationships" ref="A1047" r:id="rId873"/>
    <hyperlink xmlns:r="http://schemas.openxmlformats.org/officeDocument/2006/relationships" ref="A1048" r:id="rId874"/>
    <hyperlink xmlns:r="http://schemas.openxmlformats.org/officeDocument/2006/relationships" ref="A1049" r:id="rId875"/>
    <hyperlink xmlns:r="http://schemas.openxmlformats.org/officeDocument/2006/relationships" ref="A1050" r:id="rId876"/>
    <hyperlink xmlns:r="http://schemas.openxmlformats.org/officeDocument/2006/relationships" ref="A1051" r:id="rId877"/>
    <hyperlink xmlns:r="http://schemas.openxmlformats.org/officeDocument/2006/relationships" ref="A1052" r:id="rId878"/>
    <hyperlink xmlns:r="http://schemas.openxmlformats.org/officeDocument/2006/relationships" ref="A1053" r:id="rId879"/>
    <hyperlink xmlns:r="http://schemas.openxmlformats.org/officeDocument/2006/relationships" ref="A1054" r:id="rId880"/>
    <hyperlink xmlns:r="http://schemas.openxmlformats.org/officeDocument/2006/relationships" ref="A1055" r:id="rId881"/>
    <hyperlink xmlns:r="http://schemas.openxmlformats.org/officeDocument/2006/relationships" ref="A1056" r:id="rId882"/>
    <hyperlink xmlns:r="http://schemas.openxmlformats.org/officeDocument/2006/relationships" ref="A1057" r:id="rId883"/>
    <hyperlink xmlns:r="http://schemas.openxmlformats.org/officeDocument/2006/relationships" ref="A1058" r:id="rId884"/>
    <hyperlink xmlns:r="http://schemas.openxmlformats.org/officeDocument/2006/relationships" ref="A1059" r:id="rId885"/>
    <hyperlink xmlns:r="http://schemas.openxmlformats.org/officeDocument/2006/relationships" ref="A1060" r:id="rId886"/>
    <hyperlink xmlns:r="http://schemas.openxmlformats.org/officeDocument/2006/relationships" ref="A1061" r:id="rId887"/>
    <hyperlink xmlns:r="http://schemas.openxmlformats.org/officeDocument/2006/relationships" ref="A1062" r:id="rId888"/>
    <hyperlink xmlns:r="http://schemas.openxmlformats.org/officeDocument/2006/relationships" ref="A1063" r:id="rId889"/>
    <hyperlink xmlns:r="http://schemas.openxmlformats.org/officeDocument/2006/relationships" ref="A1064" r:id="rId890"/>
    <hyperlink xmlns:r="http://schemas.openxmlformats.org/officeDocument/2006/relationships" ref="A1065" r:id="rId891"/>
    <hyperlink xmlns:r="http://schemas.openxmlformats.org/officeDocument/2006/relationships" ref="A1066" r:id="rId892"/>
    <hyperlink xmlns:r="http://schemas.openxmlformats.org/officeDocument/2006/relationships" ref="A1067" r:id="rId893"/>
    <hyperlink xmlns:r="http://schemas.openxmlformats.org/officeDocument/2006/relationships" ref="A1068" r:id="rId894"/>
    <hyperlink xmlns:r="http://schemas.openxmlformats.org/officeDocument/2006/relationships" ref="A1069" r:id="rId895"/>
    <hyperlink xmlns:r="http://schemas.openxmlformats.org/officeDocument/2006/relationships" ref="A1070" r:id="rId896"/>
    <hyperlink xmlns:r="http://schemas.openxmlformats.org/officeDocument/2006/relationships" ref="A1071" r:id="rId897"/>
    <hyperlink xmlns:r="http://schemas.openxmlformats.org/officeDocument/2006/relationships" ref="A1072" r:id="rId898"/>
    <hyperlink xmlns:r="http://schemas.openxmlformats.org/officeDocument/2006/relationships" ref="A1073" r:id="rId899"/>
    <hyperlink xmlns:r="http://schemas.openxmlformats.org/officeDocument/2006/relationships" ref="A1074" r:id="rId900"/>
    <hyperlink xmlns:r="http://schemas.openxmlformats.org/officeDocument/2006/relationships" ref="A1075" r:id="rId901"/>
    <hyperlink xmlns:r="http://schemas.openxmlformats.org/officeDocument/2006/relationships" ref="A1076" r:id="rId902"/>
    <hyperlink xmlns:r="http://schemas.openxmlformats.org/officeDocument/2006/relationships" ref="A1077" r:id="rId903"/>
    <hyperlink xmlns:r="http://schemas.openxmlformats.org/officeDocument/2006/relationships" ref="A1078" r:id="rId904"/>
    <hyperlink xmlns:r="http://schemas.openxmlformats.org/officeDocument/2006/relationships" ref="A1079" r:id="rId905"/>
    <hyperlink xmlns:r="http://schemas.openxmlformats.org/officeDocument/2006/relationships" ref="A1080" r:id="rId906"/>
    <hyperlink xmlns:r="http://schemas.openxmlformats.org/officeDocument/2006/relationships" ref="A1081" r:id="rId907"/>
    <hyperlink xmlns:r="http://schemas.openxmlformats.org/officeDocument/2006/relationships" ref="A1082" r:id="rId908"/>
    <hyperlink xmlns:r="http://schemas.openxmlformats.org/officeDocument/2006/relationships" ref="A1083" r:id="rId909"/>
    <hyperlink xmlns:r="http://schemas.openxmlformats.org/officeDocument/2006/relationships" ref="A1084" r:id="rId910"/>
    <hyperlink xmlns:r="http://schemas.openxmlformats.org/officeDocument/2006/relationships" ref="A1085" r:id="rId911"/>
    <hyperlink xmlns:r="http://schemas.openxmlformats.org/officeDocument/2006/relationships" ref="A1086" r:id="rId912"/>
    <hyperlink xmlns:r="http://schemas.openxmlformats.org/officeDocument/2006/relationships" ref="A1087" r:id="rId913"/>
    <hyperlink xmlns:r="http://schemas.openxmlformats.org/officeDocument/2006/relationships" ref="A1088" r:id="rId914"/>
    <hyperlink xmlns:r="http://schemas.openxmlformats.org/officeDocument/2006/relationships" ref="A1089" r:id="rId915"/>
    <hyperlink xmlns:r="http://schemas.openxmlformats.org/officeDocument/2006/relationships" ref="A1090" r:id="rId916"/>
    <hyperlink xmlns:r="http://schemas.openxmlformats.org/officeDocument/2006/relationships" ref="A1093" r:id="rId917"/>
    <hyperlink xmlns:r="http://schemas.openxmlformats.org/officeDocument/2006/relationships" ref="A1094" r:id="rId918"/>
    <hyperlink xmlns:r="http://schemas.openxmlformats.org/officeDocument/2006/relationships" ref="A1095" r:id="rId919"/>
    <hyperlink xmlns:r="http://schemas.openxmlformats.org/officeDocument/2006/relationships" ref="A1096" r:id="rId920"/>
    <hyperlink xmlns:r="http://schemas.openxmlformats.org/officeDocument/2006/relationships" ref="A1097" r:id="rId921"/>
    <hyperlink xmlns:r="http://schemas.openxmlformats.org/officeDocument/2006/relationships" ref="A1098" r:id="rId922"/>
    <hyperlink xmlns:r="http://schemas.openxmlformats.org/officeDocument/2006/relationships" ref="A1099" r:id="rId923"/>
    <hyperlink xmlns:r="http://schemas.openxmlformats.org/officeDocument/2006/relationships" ref="A1100" r:id="rId924"/>
    <hyperlink xmlns:r="http://schemas.openxmlformats.org/officeDocument/2006/relationships" ref="A1101" r:id="rId925"/>
    <hyperlink xmlns:r="http://schemas.openxmlformats.org/officeDocument/2006/relationships" ref="A1102" r:id="rId926"/>
    <hyperlink xmlns:r="http://schemas.openxmlformats.org/officeDocument/2006/relationships" ref="A1103" r:id="rId927"/>
    <hyperlink xmlns:r="http://schemas.openxmlformats.org/officeDocument/2006/relationships" ref="A1104" r:id="rId928"/>
    <hyperlink xmlns:r="http://schemas.openxmlformats.org/officeDocument/2006/relationships" ref="A1105" r:id="rId929"/>
    <hyperlink xmlns:r="http://schemas.openxmlformats.org/officeDocument/2006/relationships" ref="A1106" r:id="rId930"/>
    <hyperlink xmlns:r="http://schemas.openxmlformats.org/officeDocument/2006/relationships" ref="A1107" r:id="rId931"/>
    <hyperlink xmlns:r="http://schemas.openxmlformats.org/officeDocument/2006/relationships" ref="A1108" r:id="rId932"/>
    <hyperlink xmlns:r="http://schemas.openxmlformats.org/officeDocument/2006/relationships" ref="A1109" r:id="rId933"/>
    <hyperlink xmlns:r="http://schemas.openxmlformats.org/officeDocument/2006/relationships" ref="A1110" r:id="rId934"/>
    <hyperlink xmlns:r="http://schemas.openxmlformats.org/officeDocument/2006/relationships" ref="A1111" r:id="rId935"/>
    <hyperlink xmlns:r="http://schemas.openxmlformats.org/officeDocument/2006/relationships" ref="A1112" r:id="rId936"/>
    <hyperlink xmlns:r="http://schemas.openxmlformats.org/officeDocument/2006/relationships" ref="A1113" r:id="rId937"/>
    <hyperlink xmlns:r="http://schemas.openxmlformats.org/officeDocument/2006/relationships" ref="A1114" r:id="rId938"/>
    <hyperlink xmlns:r="http://schemas.openxmlformats.org/officeDocument/2006/relationships" ref="A1115" r:id="rId939"/>
    <hyperlink xmlns:r="http://schemas.openxmlformats.org/officeDocument/2006/relationships" ref="A1116" r:id="rId940"/>
    <hyperlink xmlns:r="http://schemas.openxmlformats.org/officeDocument/2006/relationships" ref="A1117" r:id="rId941"/>
    <hyperlink xmlns:r="http://schemas.openxmlformats.org/officeDocument/2006/relationships" ref="A1118" r:id="rId942"/>
    <hyperlink xmlns:r="http://schemas.openxmlformats.org/officeDocument/2006/relationships" ref="A1119" r:id="rId943"/>
    <hyperlink xmlns:r="http://schemas.openxmlformats.org/officeDocument/2006/relationships" ref="A1120" r:id="rId944"/>
    <hyperlink xmlns:r="http://schemas.openxmlformats.org/officeDocument/2006/relationships" ref="A1121" r:id="rId945"/>
    <hyperlink xmlns:r="http://schemas.openxmlformats.org/officeDocument/2006/relationships" ref="A1122" r:id="rId946"/>
    <hyperlink xmlns:r="http://schemas.openxmlformats.org/officeDocument/2006/relationships" ref="A1123" r:id="rId947"/>
    <hyperlink xmlns:r="http://schemas.openxmlformats.org/officeDocument/2006/relationships" ref="A1124" r:id="rId948"/>
    <hyperlink xmlns:r="http://schemas.openxmlformats.org/officeDocument/2006/relationships" ref="A1125" r:id="rId949"/>
    <hyperlink xmlns:r="http://schemas.openxmlformats.org/officeDocument/2006/relationships" ref="A1126" r:id="rId950"/>
    <hyperlink xmlns:r="http://schemas.openxmlformats.org/officeDocument/2006/relationships" ref="A1127" r:id="rId951"/>
    <hyperlink xmlns:r="http://schemas.openxmlformats.org/officeDocument/2006/relationships" ref="A1128" r:id="rId952"/>
    <hyperlink xmlns:r="http://schemas.openxmlformats.org/officeDocument/2006/relationships" ref="A1129" r:id="rId953"/>
    <hyperlink xmlns:r="http://schemas.openxmlformats.org/officeDocument/2006/relationships" ref="A1130" r:id="rId954"/>
    <hyperlink xmlns:r="http://schemas.openxmlformats.org/officeDocument/2006/relationships" ref="A1131" r:id="rId955"/>
    <hyperlink xmlns:r="http://schemas.openxmlformats.org/officeDocument/2006/relationships" ref="A1132" r:id="rId956"/>
    <hyperlink xmlns:r="http://schemas.openxmlformats.org/officeDocument/2006/relationships" ref="A1133" r:id="rId957"/>
    <hyperlink xmlns:r="http://schemas.openxmlformats.org/officeDocument/2006/relationships" ref="A1134" r:id="rId958"/>
    <hyperlink xmlns:r="http://schemas.openxmlformats.org/officeDocument/2006/relationships" ref="A1135" r:id="rId959"/>
    <hyperlink xmlns:r="http://schemas.openxmlformats.org/officeDocument/2006/relationships" ref="A1136" r:id="rId960"/>
    <hyperlink xmlns:r="http://schemas.openxmlformats.org/officeDocument/2006/relationships" ref="A1137" r:id="rId961"/>
    <hyperlink xmlns:r="http://schemas.openxmlformats.org/officeDocument/2006/relationships" ref="A1138" r:id="rId962"/>
    <hyperlink xmlns:r="http://schemas.openxmlformats.org/officeDocument/2006/relationships" ref="A1139" r:id="rId963"/>
    <hyperlink xmlns:r="http://schemas.openxmlformats.org/officeDocument/2006/relationships" ref="A1140" r:id="rId964"/>
    <hyperlink xmlns:r="http://schemas.openxmlformats.org/officeDocument/2006/relationships" ref="A1141" r:id="rId965"/>
    <hyperlink xmlns:r="http://schemas.openxmlformats.org/officeDocument/2006/relationships" ref="A1142" r:id="rId966"/>
    <hyperlink xmlns:r="http://schemas.openxmlformats.org/officeDocument/2006/relationships" ref="A1143" r:id="rId967"/>
    <hyperlink xmlns:r="http://schemas.openxmlformats.org/officeDocument/2006/relationships" ref="A1144" r:id="rId968"/>
    <hyperlink xmlns:r="http://schemas.openxmlformats.org/officeDocument/2006/relationships" ref="A1145" r:id="rId969"/>
    <hyperlink xmlns:r="http://schemas.openxmlformats.org/officeDocument/2006/relationships" ref="A1146" r:id="rId970"/>
    <hyperlink xmlns:r="http://schemas.openxmlformats.org/officeDocument/2006/relationships" ref="A1147" r:id="rId971"/>
    <hyperlink xmlns:r="http://schemas.openxmlformats.org/officeDocument/2006/relationships" ref="A1148" r:id="rId972"/>
    <hyperlink xmlns:r="http://schemas.openxmlformats.org/officeDocument/2006/relationships" ref="A1149" r:id="rId973"/>
    <hyperlink xmlns:r="http://schemas.openxmlformats.org/officeDocument/2006/relationships" ref="A1150" r:id="rId974"/>
    <hyperlink xmlns:r="http://schemas.openxmlformats.org/officeDocument/2006/relationships" ref="A1151" r:id="rId975"/>
    <hyperlink xmlns:r="http://schemas.openxmlformats.org/officeDocument/2006/relationships" ref="A1152" r:id="rId976"/>
    <hyperlink xmlns:r="http://schemas.openxmlformats.org/officeDocument/2006/relationships" ref="A1153" r:id="rId977"/>
    <hyperlink xmlns:r="http://schemas.openxmlformats.org/officeDocument/2006/relationships" ref="A1154" r:id="rId978"/>
    <hyperlink xmlns:r="http://schemas.openxmlformats.org/officeDocument/2006/relationships" ref="A1168" r:id="rId979"/>
    <hyperlink xmlns:r="http://schemas.openxmlformats.org/officeDocument/2006/relationships" ref="A1169" r:id="rId980"/>
    <hyperlink xmlns:r="http://schemas.openxmlformats.org/officeDocument/2006/relationships" ref="A1170" r:id="rId981"/>
    <hyperlink xmlns:r="http://schemas.openxmlformats.org/officeDocument/2006/relationships" ref="A1171" r:id="rId982"/>
    <hyperlink xmlns:r="http://schemas.openxmlformats.org/officeDocument/2006/relationships" ref="A1172" r:id="rId983"/>
    <hyperlink xmlns:r="http://schemas.openxmlformats.org/officeDocument/2006/relationships" ref="A1173" r:id="rId984"/>
    <hyperlink xmlns:r="http://schemas.openxmlformats.org/officeDocument/2006/relationships" ref="A1174" r:id="rId985"/>
    <hyperlink xmlns:r="http://schemas.openxmlformats.org/officeDocument/2006/relationships" ref="A1175" r:id="rId986"/>
    <hyperlink xmlns:r="http://schemas.openxmlformats.org/officeDocument/2006/relationships" ref="A1176" r:id="rId987"/>
    <hyperlink xmlns:r="http://schemas.openxmlformats.org/officeDocument/2006/relationships" ref="A1177" r:id="rId988"/>
    <hyperlink xmlns:r="http://schemas.openxmlformats.org/officeDocument/2006/relationships" ref="A1178" r:id="rId989"/>
    <hyperlink xmlns:r="http://schemas.openxmlformats.org/officeDocument/2006/relationships" ref="A1179" r:id="rId990"/>
    <hyperlink xmlns:r="http://schemas.openxmlformats.org/officeDocument/2006/relationships" ref="A1180" r:id="rId991"/>
    <hyperlink xmlns:r="http://schemas.openxmlformats.org/officeDocument/2006/relationships" ref="A1181" r:id="rId992"/>
    <hyperlink xmlns:r="http://schemas.openxmlformats.org/officeDocument/2006/relationships" ref="A1182" r:id="rId993"/>
    <hyperlink xmlns:r="http://schemas.openxmlformats.org/officeDocument/2006/relationships" ref="A1183" r:id="rId994"/>
    <hyperlink xmlns:r="http://schemas.openxmlformats.org/officeDocument/2006/relationships" ref="A1184" r:id="rId995"/>
    <hyperlink xmlns:r="http://schemas.openxmlformats.org/officeDocument/2006/relationships" ref="A1185" r:id="rId996"/>
    <hyperlink xmlns:r="http://schemas.openxmlformats.org/officeDocument/2006/relationships" ref="A1186" r:id="rId997"/>
    <hyperlink xmlns:r="http://schemas.openxmlformats.org/officeDocument/2006/relationships" ref="A1187" r:id="rId998"/>
    <hyperlink xmlns:r="http://schemas.openxmlformats.org/officeDocument/2006/relationships" ref="A1188" r:id="rId999"/>
    <hyperlink xmlns:r="http://schemas.openxmlformats.org/officeDocument/2006/relationships" ref="A1189" r:id="rId1000"/>
    <hyperlink xmlns:r="http://schemas.openxmlformats.org/officeDocument/2006/relationships" ref="A1190" r:id="rId1001"/>
    <hyperlink xmlns:r="http://schemas.openxmlformats.org/officeDocument/2006/relationships" ref="A1191" r:id="rId1002"/>
    <hyperlink xmlns:r="http://schemas.openxmlformats.org/officeDocument/2006/relationships" ref="A1192" r:id="rId1003"/>
    <hyperlink xmlns:r="http://schemas.openxmlformats.org/officeDocument/2006/relationships" ref="A1193" r:id="rId1004"/>
    <hyperlink xmlns:r="http://schemas.openxmlformats.org/officeDocument/2006/relationships" ref="A1194" r:id="rId1005"/>
    <hyperlink xmlns:r="http://schemas.openxmlformats.org/officeDocument/2006/relationships" ref="A1195" r:id="rId1006"/>
    <hyperlink xmlns:r="http://schemas.openxmlformats.org/officeDocument/2006/relationships" ref="A1196" r:id="rId1007"/>
    <hyperlink xmlns:r="http://schemas.openxmlformats.org/officeDocument/2006/relationships" ref="A1197" r:id="rId1008"/>
    <hyperlink xmlns:r="http://schemas.openxmlformats.org/officeDocument/2006/relationships" ref="A1198" r:id="rId1009"/>
    <hyperlink xmlns:r="http://schemas.openxmlformats.org/officeDocument/2006/relationships" ref="A1199" r:id="rId1010"/>
    <hyperlink xmlns:r="http://schemas.openxmlformats.org/officeDocument/2006/relationships" ref="A1200" r:id="rId1011"/>
    <hyperlink xmlns:r="http://schemas.openxmlformats.org/officeDocument/2006/relationships" ref="A1201" r:id="rId1012"/>
    <hyperlink xmlns:r="http://schemas.openxmlformats.org/officeDocument/2006/relationships" ref="A1202" r:id="rId1013"/>
    <hyperlink xmlns:r="http://schemas.openxmlformats.org/officeDocument/2006/relationships" ref="A1203" r:id="rId1014"/>
    <hyperlink xmlns:r="http://schemas.openxmlformats.org/officeDocument/2006/relationships" ref="A1204" r:id="rId1015"/>
    <hyperlink xmlns:r="http://schemas.openxmlformats.org/officeDocument/2006/relationships" ref="A1205" r:id="rId1016"/>
    <hyperlink xmlns:r="http://schemas.openxmlformats.org/officeDocument/2006/relationships" ref="A1206" r:id="rId1017"/>
    <hyperlink xmlns:r="http://schemas.openxmlformats.org/officeDocument/2006/relationships" ref="A1207" r:id="rId1018"/>
    <hyperlink xmlns:r="http://schemas.openxmlformats.org/officeDocument/2006/relationships" ref="A1208" r:id="rId1019"/>
    <hyperlink xmlns:r="http://schemas.openxmlformats.org/officeDocument/2006/relationships" ref="A1209" r:id="rId1020"/>
    <hyperlink xmlns:r="http://schemas.openxmlformats.org/officeDocument/2006/relationships" ref="A1210" r:id="rId1021"/>
    <hyperlink xmlns:r="http://schemas.openxmlformats.org/officeDocument/2006/relationships" ref="A1211" r:id="rId1022"/>
    <hyperlink xmlns:r="http://schemas.openxmlformats.org/officeDocument/2006/relationships" ref="A1212" r:id="rId1023"/>
    <hyperlink xmlns:r="http://schemas.openxmlformats.org/officeDocument/2006/relationships" ref="A1213" r:id="rId1024"/>
    <hyperlink xmlns:r="http://schemas.openxmlformats.org/officeDocument/2006/relationships" ref="A1214" r:id="rId1025"/>
    <hyperlink xmlns:r="http://schemas.openxmlformats.org/officeDocument/2006/relationships" ref="A1215" r:id="rId1026"/>
    <hyperlink xmlns:r="http://schemas.openxmlformats.org/officeDocument/2006/relationships" ref="A1216" r:id="rId1027"/>
    <hyperlink xmlns:r="http://schemas.openxmlformats.org/officeDocument/2006/relationships" ref="A1217" r:id="rId1028"/>
    <hyperlink xmlns:r="http://schemas.openxmlformats.org/officeDocument/2006/relationships" ref="A1218" r:id="rId1029"/>
    <hyperlink xmlns:r="http://schemas.openxmlformats.org/officeDocument/2006/relationships" ref="A1219" r:id="rId1030"/>
    <hyperlink xmlns:r="http://schemas.openxmlformats.org/officeDocument/2006/relationships" ref="A1220" r:id="rId1031"/>
    <hyperlink xmlns:r="http://schemas.openxmlformats.org/officeDocument/2006/relationships" ref="A1221" r:id="rId1032"/>
    <hyperlink xmlns:r="http://schemas.openxmlformats.org/officeDocument/2006/relationships" ref="A1222" r:id="rId1033"/>
    <hyperlink xmlns:r="http://schemas.openxmlformats.org/officeDocument/2006/relationships" ref="A1223" r:id="rId1034"/>
    <hyperlink xmlns:r="http://schemas.openxmlformats.org/officeDocument/2006/relationships" ref="A1226" r:id="rId1035"/>
    <hyperlink xmlns:r="http://schemas.openxmlformats.org/officeDocument/2006/relationships" ref="A1227" r:id="rId1036"/>
    <hyperlink xmlns:r="http://schemas.openxmlformats.org/officeDocument/2006/relationships" ref="A1228" r:id="rId1037"/>
    <hyperlink xmlns:r="http://schemas.openxmlformats.org/officeDocument/2006/relationships" ref="A1229" r:id="rId1038"/>
    <hyperlink xmlns:r="http://schemas.openxmlformats.org/officeDocument/2006/relationships" ref="A1230" r:id="rId1039"/>
    <hyperlink xmlns:r="http://schemas.openxmlformats.org/officeDocument/2006/relationships" ref="A1231" r:id="rId1040"/>
    <hyperlink xmlns:r="http://schemas.openxmlformats.org/officeDocument/2006/relationships" ref="A1232" r:id="rId1041"/>
    <hyperlink xmlns:r="http://schemas.openxmlformats.org/officeDocument/2006/relationships" ref="A1233" r:id="rId1042"/>
    <hyperlink xmlns:r="http://schemas.openxmlformats.org/officeDocument/2006/relationships" ref="A1234" r:id="rId1043"/>
    <hyperlink xmlns:r="http://schemas.openxmlformats.org/officeDocument/2006/relationships" ref="A1235" r:id="rId1044"/>
    <hyperlink xmlns:r="http://schemas.openxmlformats.org/officeDocument/2006/relationships" ref="A1236" r:id="rId1045"/>
    <hyperlink xmlns:r="http://schemas.openxmlformats.org/officeDocument/2006/relationships" ref="A1237" r:id="rId1046"/>
    <hyperlink xmlns:r="http://schemas.openxmlformats.org/officeDocument/2006/relationships" ref="A1238" r:id="rId1047"/>
    <hyperlink xmlns:r="http://schemas.openxmlformats.org/officeDocument/2006/relationships" ref="A1239" r:id="rId1048"/>
    <hyperlink xmlns:r="http://schemas.openxmlformats.org/officeDocument/2006/relationships" ref="A1240" r:id="rId1049"/>
    <hyperlink xmlns:r="http://schemas.openxmlformats.org/officeDocument/2006/relationships" ref="A1241" r:id="rId1050"/>
    <hyperlink xmlns:r="http://schemas.openxmlformats.org/officeDocument/2006/relationships" ref="A1242" r:id="rId1051"/>
    <hyperlink xmlns:r="http://schemas.openxmlformats.org/officeDocument/2006/relationships" ref="A1243" r:id="rId1052"/>
    <hyperlink xmlns:r="http://schemas.openxmlformats.org/officeDocument/2006/relationships" ref="A1244" r:id="rId1053"/>
    <hyperlink xmlns:r="http://schemas.openxmlformats.org/officeDocument/2006/relationships" ref="A1245" r:id="rId1054"/>
    <hyperlink xmlns:r="http://schemas.openxmlformats.org/officeDocument/2006/relationships" ref="A1246" r:id="rId1055"/>
    <hyperlink xmlns:r="http://schemas.openxmlformats.org/officeDocument/2006/relationships" ref="A1247" r:id="rId1056"/>
    <hyperlink xmlns:r="http://schemas.openxmlformats.org/officeDocument/2006/relationships" ref="A1248" r:id="rId1057"/>
    <hyperlink xmlns:r="http://schemas.openxmlformats.org/officeDocument/2006/relationships" ref="A1249" r:id="rId1058"/>
    <hyperlink xmlns:r="http://schemas.openxmlformats.org/officeDocument/2006/relationships" ref="A1250" r:id="rId1059"/>
    <hyperlink xmlns:r="http://schemas.openxmlformats.org/officeDocument/2006/relationships" ref="A1251" r:id="rId1060"/>
    <hyperlink xmlns:r="http://schemas.openxmlformats.org/officeDocument/2006/relationships" ref="A1252" r:id="rId1061"/>
    <hyperlink xmlns:r="http://schemas.openxmlformats.org/officeDocument/2006/relationships" ref="A1253" r:id="rId1062"/>
    <hyperlink xmlns:r="http://schemas.openxmlformats.org/officeDocument/2006/relationships" ref="A1254" r:id="rId1063"/>
    <hyperlink xmlns:r="http://schemas.openxmlformats.org/officeDocument/2006/relationships" ref="A1255" r:id="rId1064"/>
    <hyperlink xmlns:r="http://schemas.openxmlformats.org/officeDocument/2006/relationships" ref="A1256" r:id="rId1065"/>
    <hyperlink xmlns:r="http://schemas.openxmlformats.org/officeDocument/2006/relationships" ref="A1257" r:id="rId1066"/>
    <hyperlink xmlns:r="http://schemas.openxmlformats.org/officeDocument/2006/relationships" ref="A1258" r:id="rId1067"/>
    <hyperlink xmlns:r="http://schemas.openxmlformats.org/officeDocument/2006/relationships" ref="A1259" r:id="rId1068"/>
    <hyperlink xmlns:r="http://schemas.openxmlformats.org/officeDocument/2006/relationships" ref="A1260" r:id="rId1069"/>
    <hyperlink xmlns:r="http://schemas.openxmlformats.org/officeDocument/2006/relationships" ref="A1263" r:id="rId1070"/>
    <hyperlink xmlns:r="http://schemas.openxmlformats.org/officeDocument/2006/relationships" ref="A1264" r:id="rId1071"/>
    <hyperlink xmlns:r="http://schemas.openxmlformats.org/officeDocument/2006/relationships" ref="A1265" r:id="rId1072"/>
    <hyperlink xmlns:r="http://schemas.openxmlformats.org/officeDocument/2006/relationships" ref="A1266" r:id="rId1073"/>
    <hyperlink xmlns:r="http://schemas.openxmlformats.org/officeDocument/2006/relationships" ref="A1267" r:id="rId1074"/>
    <hyperlink xmlns:r="http://schemas.openxmlformats.org/officeDocument/2006/relationships" ref="A1268" r:id="rId1075"/>
    <hyperlink xmlns:r="http://schemas.openxmlformats.org/officeDocument/2006/relationships" ref="A1269" r:id="rId1076"/>
    <hyperlink xmlns:r="http://schemas.openxmlformats.org/officeDocument/2006/relationships" ref="A1270" r:id="rId1077"/>
    <hyperlink xmlns:r="http://schemas.openxmlformats.org/officeDocument/2006/relationships" ref="A1271" r:id="rId1078"/>
    <hyperlink xmlns:r="http://schemas.openxmlformats.org/officeDocument/2006/relationships" ref="A1272" r:id="rId1079"/>
    <hyperlink xmlns:r="http://schemas.openxmlformats.org/officeDocument/2006/relationships" ref="A1273" r:id="rId1080"/>
    <hyperlink xmlns:r="http://schemas.openxmlformats.org/officeDocument/2006/relationships" ref="A1274" r:id="rId1081"/>
    <hyperlink xmlns:r="http://schemas.openxmlformats.org/officeDocument/2006/relationships" ref="A1275" r:id="rId1082"/>
    <hyperlink xmlns:r="http://schemas.openxmlformats.org/officeDocument/2006/relationships" ref="A1276" r:id="rId1083"/>
    <hyperlink xmlns:r="http://schemas.openxmlformats.org/officeDocument/2006/relationships" ref="A1278" r:id="rId1084"/>
    <hyperlink xmlns:r="http://schemas.openxmlformats.org/officeDocument/2006/relationships" ref="A1279" r:id="rId1085"/>
    <hyperlink xmlns:r="http://schemas.openxmlformats.org/officeDocument/2006/relationships" ref="A1280" r:id="rId1086"/>
    <hyperlink xmlns:r="http://schemas.openxmlformats.org/officeDocument/2006/relationships" ref="A1281" r:id="rId1087"/>
    <hyperlink xmlns:r="http://schemas.openxmlformats.org/officeDocument/2006/relationships" ref="A1282" r:id="rId1088"/>
    <hyperlink xmlns:r="http://schemas.openxmlformats.org/officeDocument/2006/relationships" ref="A1283" r:id="rId1089"/>
    <hyperlink xmlns:r="http://schemas.openxmlformats.org/officeDocument/2006/relationships" ref="A1284" r:id="rId1090"/>
    <hyperlink xmlns:r="http://schemas.openxmlformats.org/officeDocument/2006/relationships" ref="A1285" r:id="rId1091"/>
    <hyperlink xmlns:r="http://schemas.openxmlformats.org/officeDocument/2006/relationships" ref="A1286" r:id="rId1092"/>
    <hyperlink xmlns:r="http://schemas.openxmlformats.org/officeDocument/2006/relationships" ref="A1287" r:id="rId1093"/>
    <hyperlink xmlns:r="http://schemas.openxmlformats.org/officeDocument/2006/relationships" ref="A1288" r:id="rId1094"/>
    <hyperlink xmlns:r="http://schemas.openxmlformats.org/officeDocument/2006/relationships" ref="A1289" r:id="rId1095"/>
    <hyperlink xmlns:r="http://schemas.openxmlformats.org/officeDocument/2006/relationships" ref="A1290" r:id="rId1096"/>
    <hyperlink xmlns:r="http://schemas.openxmlformats.org/officeDocument/2006/relationships" ref="A1291" r:id="rId1097"/>
    <hyperlink xmlns:r="http://schemas.openxmlformats.org/officeDocument/2006/relationships" ref="A1292" r:id="rId1098"/>
    <hyperlink xmlns:r="http://schemas.openxmlformats.org/officeDocument/2006/relationships" ref="A1293" r:id="rId1099"/>
    <hyperlink xmlns:r="http://schemas.openxmlformats.org/officeDocument/2006/relationships" ref="A1294" r:id="rId1100"/>
    <hyperlink xmlns:r="http://schemas.openxmlformats.org/officeDocument/2006/relationships" ref="A1295" r:id="rId1101"/>
    <hyperlink xmlns:r="http://schemas.openxmlformats.org/officeDocument/2006/relationships" ref="A1296" r:id="rId1102"/>
    <hyperlink xmlns:r="http://schemas.openxmlformats.org/officeDocument/2006/relationships" ref="A1297" r:id="rId1103"/>
    <hyperlink xmlns:r="http://schemas.openxmlformats.org/officeDocument/2006/relationships" ref="A1298" r:id="rId1104"/>
    <hyperlink xmlns:r="http://schemas.openxmlformats.org/officeDocument/2006/relationships" ref="A1299" r:id="rId1105"/>
    <hyperlink xmlns:r="http://schemas.openxmlformats.org/officeDocument/2006/relationships" ref="A1300" r:id="rId1106"/>
    <hyperlink xmlns:r="http://schemas.openxmlformats.org/officeDocument/2006/relationships" ref="A1301" r:id="rId1107"/>
    <hyperlink xmlns:r="http://schemas.openxmlformats.org/officeDocument/2006/relationships" ref="A1302" r:id="rId1108"/>
    <hyperlink xmlns:r="http://schemas.openxmlformats.org/officeDocument/2006/relationships" ref="A1303" r:id="rId1109"/>
    <hyperlink xmlns:r="http://schemas.openxmlformats.org/officeDocument/2006/relationships" ref="A1304" r:id="rId1110"/>
    <hyperlink xmlns:r="http://schemas.openxmlformats.org/officeDocument/2006/relationships" ref="A1305" r:id="rId1111"/>
    <hyperlink xmlns:r="http://schemas.openxmlformats.org/officeDocument/2006/relationships" ref="A1306" r:id="rId1112"/>
    <hyperlink xmlns:r="http://schemas.openxmlformats.org/officeDocument/2006/relationships" ref="A1307" r:id="rId1113"/>
    <hyperlink xmlns:r="http://schemas.openxmlformats.org/officeDocument/2006/relationships" ref="A1308" r:id="rId1114"/>
    <hyperlink xmlns:r="http://schemas.openxmlformats.org/officeDocument/2006/relationships" ref="A1309" r:id="rId1115"/>
    <hyperlink xmlns:r="http://schemas.openxmlformats.org/officeDocument/2006/relationships" ref="A1310" r:id="rId1116"/>
    <hyperlink xmlns:r="http://schemas.openxmlformats.org/officeDocument/2006/relationships" ref="A1311" r:id="rId1117"/>
    <hyperlink xmlns:r="http://schemas.openxmlformats.org/officeDocument/2006/relationships" ref="A1312" r:id="rId1118"/>
    <hyperlink xmlns:r="http://schemas.openxmlformats.org/officeDocument/2006/relationships" ref="A1313" r:id="rId1119"/>
    <hyperlink xmlns:r="http://schemas.openxmlformats.org/officeDocument/2006/relationships" ref="A1314" r:id="rId1120"/>
    <hyperlink xmlns:r="http://schemas.openxmlformats.org/officeDocument/2006/relationships" ref="A1315" r:id="rId1121"/>
    <hyperlink xmlns:r="http://schemas.openxmlformats.org/officeDocument/2006/relationships" ref="A1316" r:id="rId1122"/>
    <hyperlink xmlns:r="http://schemas.openxmlformats.org/officeDocument/2006/relationships" ref="A1317" r:id="rId1123"/>
    <hyperlink xmlns:r="http://schemas.openxmlformats.org/officeDocument/2006/relationships" ref="A1318" r:id="rId1124"/>
    <hyperlink xmlns:r="http://schemas.openxmlformats.org/officeDocument/2006/relationships" ref="A1319" r:id="rId1125"/>
    <hyperlink xmlns:r="http://schemas.openxmlformats.org/officeDocument/2006/relationships" ref="A1320" r:id="rId1126"/>
    <hyperlink xmlns:r="http://schemas.openxmlformats.org/officeDocument/2006/relationships" ref="A1321" r:id="rId1127"/>
    <hyperlink xmlns:r="http://schemas.openxmlformats.org/officeDocument/2006/relationships" ref="A1322" r:id="rId1128"/>
    <hyperlink xmlns:r="http://schemas.openxmlformats.org/officeDocument/2006/relationships" ref="A1323" r:id="rId1129"/>
    <hyperlink xmlns:r="http://schemas.openxmlformats.org/officeDocument/2006/relationships" ref="A1324" r:id="rId1130"/>
    <hyperlink xmlns:r="http://schemas.openxmlformats.org/officeDocument/2006/relationships" ref="A1325" r:id="rId1131"/>
    <hyperlink xmlns:r="http://schemas.openxmlformats.org/officeDocument/2006/relationships" ref="A1326" r:id="rId1132"/>
    <hyperlink xmlns:r="http://schemas.openxmlformats.org/officeDocument/2006/relationships" ref="A1327" r:id="rId1133"/>
    <hyperlink xmlns:r="http://schemas.openxmlformats.org/officeDocument/2006/relationships" ref="A1330" r:id="rId1134"/>
    <hyperlink xmlns:r="http://schemas.openxmlformats.org/officeDocument/2006/relationships" ref="A1331" r:id="rId1135"/>
    <hyperlink xmlns:r="http://schemas.openxmlformats.org/officeDocument/2006/relationships" ref="A1332" r:id="rId1136"/>
    <hyperlink xmlns:r="http://schemas.openxmlformats.org/officeDocument/2006/relationships" ref="A1333" r:id="rId1137"/>
    <hyperlink xmlns:r="http://schemas.openxmlformats.org/officeDocument/2006/relationships" ref="A1334" r:id="rId1138"/>
    <hyperlink xmlns:r="http://schemas.openxmlformats.org/officeDocument/2006/relationships" ref="A1335" r:id="rId1139"/>
    <hyperlink xmlns:r="http://schemas.openxmlformats.org/officeDocument/2006/relationships" ref="A1336" r:id="rId1140"/>
    <hyperlink xmlns:r="http://schemas.openxmlformats.org/officeDocument/2006/relationships" ref="A1337" r:id="rId1141"/>
    <hyperlink xmlns:r="http://schemas.openxmlformats.org/officeDocument/2006/relationships" ref="A1338" r:id="rId1142"/>
    <hyperlink xmlns:r="http://schemas.openxmlformats.org/officeDocument/2006/relationships" ref="A1339" r:id="rId1143"/>
    <hyperlink xmlns:r="http://schemas.openxmlformats.org/officeDocument/2006/relationships" ref="A1340" r:id="rId1144"/>
    <hyperlink xmlns:r="http://schemas.openxmlformats.org/officeDocument/2006/relationships" ref="A1341" r:id="rId1145"/>
    <hyperlink xmlns:r="http://schemas.openxmlformats.org/officeDocument/2006/relationships" ref="A1342" r:id="rId1146"/>
    <hyperlink xmlns:r="http://schemas.openxmlformats.org/officeDocument/2006/relationships" ref="A1343" r:id="rId1147"/>
    <hyperlink xmlns:r="http://schemas.openxmlformats.org/officeDocument/2006/relationships" ref="A1344" r:id="rId1148"/>
    <hyperlink xmlns:r="http://schemas.openxmlformats.org/officeDocument/2006/relationships" ref="A1345" r:id="rId1149"/>
    <hyperlink xmlns:r="http://schemas.openxmlformats.org/officeDocument/2006/relationships" ref="A1346" r:id="rId1150"/>
    <hyperlink xmlns:r="http://schemas.openxmlformats.org/officeDocument/2006/relationships" ref="A1347" r:id="rId1151"/>
    <hyperlink xmlns:r="http://schemas.openxmlformats.org/officeDocument/2006/relationships" ref="A1348" r:id="rId1152"/>
    <hyperlink xmlns:r="http://schemas.openxmlformats.org/officeDocument/2006/relationships" ref="A1349" r:id="rId1153"/>
    <hyperlink xmlns:r="http://schemas.openxmlformats.org/officeDocument/2006/relationships" ref="A1350" r:id="rId1154"/>
    <hyperlink xmlns:r="http://schemas.openxmlformats.org/officeDocument/2006/relationships" ref="A1351" r:id="rId1155"/>
    <hyperlink xmlns:r="http://schemas.openxmlformats.org/officeDocument/2006/relationships" ref="A1352" r:id="rId1156"/>
    <hyperlink xmlns:r="http://schemas.openxmlformats.org/officeDocument/2006/relationships" ref="A1354" r:id="rId1157"/>
    <hyperlink xmlns:r="http://schemas.openxmlformats.org/officeDocument/2006/relationships" ref="A1355" r:id="rId1158"/>
    <hyperlink xmlns:r="http://schemas.openxmlformats.org/officeDocument/2006/relationships" ref="A1356" r:id="rId1159"/>
    <hyperlink xmlns:r="http://schemas.openxmlformats.org/officeDocument/2006/relationships" ref="A1357" r:id="rId1160"/>
    <hyperlink xmlns:r="http://schemas.openxmlformats.org/officeDocument/2006/relationships" ref="A1358" r:id="rId1161"/>
    <hyperlink xmlns:r="http://schemas.openxmlformats.org/officeDocument/2006/relationships" ref="A1359" r:id="rId1162"/>
    <hyperlink xmlns:r="http://schemas.openxmlformats.org/officeDocument/2006/relationships" ref="A1360" r:id="rId1163"/>
    <hyperlink xmlns:r="http://schemas.openxmlformats.org/officeDocument/2006/relationships" ref="A1361" r:id="rId1164"/>
    <hyperlink xmlns:r="http://schemas.openxmlformats.org/officeDocument/2006/relationships" ref="A1362" r:id="rId1165"/>
    <hyperlink xmlns:r="http://schemas.openxmlformats.org/officeDocument/2006/relationships" ref="A1363" r:id="rId1166"/>
    <hyperlink xmlns:r="http://schemas.openxmlformats.org/officeDocument/2006/relationships" ref="A1364" r:id="rId1167"/>
    <hyperlink xmlns:r="http://schemas.openxmlformats.org/officeDocument/2006/relationships" ref="A1365" r:id="rId1168"/>
    <hyperlink xmlns:r="http://schemas.openxmlformats.org/officeDocument/2006/relationships" ref="A1366" r:id="rId1169"/>
    <hyperlink xmlns:r="http://schemas.openxmlformats.org/officeDocument/2006/relationships" ref="A1367" r:id="rId1170"/>
    <hyperlink xmlns:r="http://schemas.openxmlformats.org/officeDocument/2006/relationships" ref="A1368" r:id="rId1171"/>
    <hyperlink xmlns:r="http://schemas.openxmlformats.org/officeDocument/2006/relationships" ref="A1369" r:id="rId1172"/>
    <hyperlink xmlns:r="http://schemas.openxmlformats.org/officeDocument/2006/relationships" ref="A1370" r:id="rId1173"/>
    <hyperlink xmlns:r="http://schemas.openxmlformats.org/officeDocument/2006/relationships" ref="A1371" r:id="rId1174"/>
    <hyperlink xmlns:r="http://schemas.openxmlformats.org/officeDocument/2006/relationships" ref="A1372" r:id="rId1175"/>
    <hyperlink xmlns:r="http://schemas.openxmlformats.org/officeDocument/2006/relationships" ref="A1373" r:id="rId1176"/>
    <hyperlink xmlns:r="http://schemas.openxmlformats.org/officeDocument/2006/relationships" ref="A1374" r:id="rId1177"/>
    <hyperlink xmlns:r="http://schemas.openxmlformats.org/officeDocument/2006/relationships" ref="A1375" r:id="rId1178"/>
    <hyperlink xmlns:r="http://schemas.openxmlformats.org/officeDocument/2006/relationships" ref="A1376" r:id="rId1179"/>
    <hyperlink xmlns:r="http://schemas.openxmlformats.org/officeDocument/2006/relationships" ref="A1377" r:id="rId1180"/>
    <hyperlink xmlns:r="http://schemas.openxmlformats.org/officeDocument/2006/relationships" ref="A1378" r:id="rId1181"/>
    <hyperlink xmlns:r="http://schemas.openxmlformats.org/officeDocument/2006/relationships" ref="A1379" r:id="rId1182"/>
    <hyperlink xmlns:r="http://schemas.openxmlformats.org/officeDocument/2006/relationships" ref="A1380" r:id="rId1183"/>
    <hyperlink xmlns:r="http://schemas.openxmlformats.org/officeDocument/2006/relationships" ref="A1381" r:id="rId1184"/>
    <hyperlink xmlns:r="http://schemas.openxmlformats.org/officeDocument/2006/relationships" ref="A1382" r:id="rId1185"/>
    <hyperlink xmlns:r="http://schemas.openxmlformats.org/officeDocument/2006/relationships" ref="A1383" r:id="rId1186"/>
    <hyperlink xmlns:r="http://schemas.openxmlformats.org/officeDocument/2006/relationships" ref="A1384" r:id="rId1187"/>
    <hyperlink xmlns:r="http://schemas.openxmlformats.org/officeDocument/2006/relationships" ref="A1385" r:id="rId1188"/>
    <hyperlink xmlns:r="http://schemas.openxmlformats.org/officeDocument/2006/relationships" ref="A1386" r:id="rId1189"/>
    <hyperlink xmlns:r="http://schemas.openxmlformats.org/officeDocument/2006/relationships" ref="A1387" r:id="rId1190"/>
    <hyperlink xmlns:r="http://schemas.openxmlformats.org/officeDocument/2006/relationships" ref="A1388" r:id="rId1191"/>
    <hyperlink xmlns:r="http://schemas.openxmlformats.org/officeDocument/2006/relationships" ref="A1389" r:id="rId1192"/>
    <hyperlink xmlns:r="http://schemas.openxmlformats.org/officeDocument/2006/relationships" ref="A1390" r:id="rId1193"/>
    <hyperlink xmlns:r="http://schemas.openxmlformats.org/officeDocument/2006/relationships" ref="A1391" r:id="rId1194"/>
    <hyperlink xmlns:r="http://schemas.openxmlformats.org/officeDocument/2006/relationships" ref="A1392" r:id="rId1195"/>
    <hyperlink xmlns:r="http://schemas.openxmlformats.org/officeDocument/2006/relationships" ref="A1393" r:id="rId1196"/>
    <hyperlink xmlns:r="http://schemas.openxmlformats.org/officeDocument/2006/relationships" ref="A1394" r:id="rId1197"/>
    <hyperlink xmlns:r="http://schemas.openxmlformats.org/officeDocument/2006/relationships" ref="A1395" r:id="rId1198"/>
    <hyperlink xmlns:r="http://schemas.openxmlformats.org/officeDocument/2006/relationships" ref="A1396" r:id="rId1199"/>
    <hyperlink xmlns:r="http://schemas.openxmlformats.org/officeDocument/2006/relationships" ref="A1397" r:id="rId1200"/>
    <hyperlink xmlns:r="http://schemas.openxmlformats.org/officeDocument/2006/relationships" ref="A1398" r:id="rId1201"/>
    <hyperlink xmlns:r="http://schemas.openxmlformats.org/officeDocument/2006/relationships" ref="A1399" r:id="rId1202"/>
    <hyperlink xmlns:r="http://schemas.openxmlformats.org/officeDocument/2006/relationships" ref="A1400" r:id="rId1203"/>
    <hyperlink xmlns:r="http://schemas.openxmlformats.org/officeDocument/2006/relationships" ref="A1401" r:id="rId1204"/>
    <hyperlink xmlns:r="http://schemas.openxmlformats.org/officeDocument/2006/relationships" ref="A1402" r:id="rId1205"/>
    <hyperlink xmlns:r="http://schemas.openxmlformats.org/officeDocument/2006/relationships" ref="A1403" r:id="rId1206"/>
    <hyperlink xmlns:r="http://schemas.openxmlformats.org/officeDocument/2006/relationships" ref="A1404" r:id="rId1207"/>
    <hyperlink xmlns:r="http://schemas.openxmlformats.org/officeDocument/2006/relationships" ref="A1405" r:id="rId1208"/>
    <hyperlink xmlns:r="http://schemas.openxmlformats.org/officeDocument/2006/relationships" ref="A1406" r:id="rId1209"/>
    <hyperlink xmlns:r="http://schemas.openxmlformats.org/officeDocument/2006/relationships" ref="A1407" r:id="rId1210"/>
    <hyperlink xmlns:r="http://schemas.openxmlformats.org/officeDocument/2006/relationships" ref="A1408" r:id="rId1211"/>
    <hyperlink xmlns:r="http://schemas.openxmlformats.org/officeDocument/2006/relationships" ref="A1409" r:id="rId1212"/>
    <hyperlink xmlns:r="http://schemas.openxmlformats.org/officeDocument/2006/relationships" ref="A1410" r:id="rId1213"/>
    <hyperlink xmlns:r="http://schemas.openxmlformats.org/officeDocument/2006/relationships" ref="A1411" r:id="rId1214"/>
    <hyperlink xmlns:r="http://schemas.openxmlformats.org/officeDocument/2006/relationships" ref="A1412" r:id="rId1215"/>
    <hyperlink xmlns:r="http://schemas.openxmlformats.org/officeDocument/2006/relationships" ref="A1413" r:id="rId1216"/>
    <hyperlink xmlns:r="http://schemas.openxmlformats.org/officeDocument/2006/relationships" ref="A1416" r:id="rId1217"/>
    <hyperlink xmlns:r="http://schemas.openxmlformats.org/officeDocument/2006/relationships" ref="A1417" r:id="rId1218"/>
    <hyperlink xmlns:r="http://schemas.openxmlformats.org/officeDocument/2006/relationships" ref="A1419" r:id="rId1219"/>
    <hyperlink xmlns:r="http://schemas.openxmlformats.org/officeDocument/2006/relationships" ref="A1420" r:id="rId1220"/>
    <hyperlink xmlns:r="http://schemas.openxmlformats.org/officeDocument/2006/relationships" ref="A1421" r:id="rId1221"/>
    <hyperlink xmlns:r="http://schemas.openxmlformats.org/officeDocument/2006/relationships" ref="A1422" r:id="rId1222"/>
    <hyperlink xmlns:r="http://schemas.openxmlformats.org/officeDocument/2006/relationships" ref="A1423" r:id="rId1223"/>
    <hyperlink xmlns:r="http://schemas.openxmlformats.org/officeDocument/2006/relationships" ref="A1424" r:id="rId1224"/>
    <hyperlink xmlns:r="http://schemas.openxmlformats.org/officeDocument/2006/relationships" ref="A1425" r:id="rId1225"/>
    <hyperlink xmlns:r="http://schemas.openxmlformats.org/officeDocument/2006/relationships" ref="A1426" r:id="rId1226"/>
    <hyperlink xmlns:r="http://schemas.openxmlformats.org/officeDocument/2006/relationships" ref="A1427" r:id="rId1227"/>
    <hyperlink xmlns:r="http://schemas.openxmlformats.org/officeDocument/2006/relationships" ref="A1428" r:id="rId1228"/>
    <hyperlink xmlns:r="http://schemas.openxmlformats.org/officeDocument/2006/relationships" ref="A1429" r:id="rId1229"/>
    <hyperlink xmlns:r="http://schemas.openxmlformats.org/officeDocument/2006/relationships" ref="A1430" r:id="rId1230"/>
    <hyperlink xmlns:r="http://schemas.openxmlformats.org/officeDocument/2006/relationships" ref="A1431" r:id="rId1231"/>
    <hyperlink xmlns:r="http://schemas.openxmlformats.org/officeDocument/2006/relationships" ref="A1432" r:id="rId1232"/>
    <hyperlink xmlns:r="http://schemas.openxmlformats.org/officeDocument/2006/relationships" ref="A1433" r:id="rId1233"/>
    <hyperlink xmlns:r="http://schemas.openxmlformats.org/officeDocument/2006/relationships" ref="A1434" r:id="rId1234"/>
    <hyperlink xmlns:r="http://schemas.openxmlformats.org/officeDocument/2006/relationships" ref="A1435" r:id="rId1235"/>
    <hyperlink xmlns:r="http://schemas.openxmlformats.org/officeDocument/2006/relationships" ref="A1436" r:id="rId1236"/>
    <hyperlink xmlns:r="http://schemas.openxmlformats.org/officeDocument/2006/relationships" ref="A1437" r:id="rId1237"/>
    <hyperlink xmlns:r="http://schemas.openxmlformats.org/officeDocument/2006/relationships" ref="A1438" r:id="rId1238"/>
    <hyperlink xmlns:r="http://schemas.openxmlformats.org/officeDocument/2006/relationships" ref="A1439" r:id="rId1239"/>
    <hyperlink xmlns:r="http://schemas.openxmlformats.org/officeDocument/2006/relationships" ref="A1440" r:id="rId1240"/>
    <hyperlink xmlns:r="http://schemas.openxmlformats.org/officeDocument/2006/relationships" ref="A1441" r:id="rId1241"/>
    <hyperlink xmlns:r="http://schemas.openxmlformats.org/officeDocument/2006/relationships" ref="A1442" r:id="rId1242"/>
    <hyperlink xmlns:r="http://schemas.openxmlformats.org/officeDocument/2006/relationships" ref="A1443" r:id="rId1243"/>
    <hyperlink xmlns:r="http://schemas.openxmlformats.org/officeDocument/2006/relationships" ref="A1444" r:id="rId1244"/>
    <hyperlink xmlns:r="http://schemas.openxmlformats.org/officeDocument/2006/relationships" ref="A1445" r:id="rId1245"/>
    <hyperlink xmlns:r="http://schemas.openxmlformats.org/officeDocument/2006/relationships" ref="A1446" r:id="rId1246"/>
    <hyperlink xmlns:r="http://schemas.openxmlformats.org/officeDocument/2006/relationships" ref="A1447" r:id="rId1247"/>
    <hyperlink xmlns:r="http://schemas.openxmlformats.org/officeDocument/2006/relationships" ref="A1448" r:id="rId1248"/>
    <hyperlink xmlns:r="http://schemas.openxmlformats.org/officeDocument/2006/relationships" ref="A1449" r:id="rId1249"/>
    <hyperlink xmlns:r="http://schemas.openxmlformats.org/officeDocument/2006/relationships" ref="A1450" r:id="rId1250"/>
    <hyperlink xmlns:r="http://schemas.openxmlformats.org/officeDocument/2006/relationships" ref="A1451" r:id="rId1251"/>
    <hyperlink xmlns:r="http://schemas.openxmlformats.org/officeDocument/2006/relationships" ref="A1452" r:id="rId1252"/>
    <hyperlink xmlns:r="http://schemas.openxmlformats.org/officeDocument/2006/relationships" ref="A1455" r:id="rId1253"/>
    <hyperlink xmlns:r="http://schemas.openxmlformats.org/officeDocument/2006/relationships" ref="A1456" r:id="rId1254"/>
    <hyperlink xmlns:r="http://schemas.openxmlformats.org/officeDocument/2006/relationships" ref="A1457" r:id="rId1255"/>
    <hyperlink xmlns:r="http://schemas.openxmlformats.org/officeDocument/2006/relationships" ref="A1460" r:id="rId1256"/>
    <hyperlink xmlns:r="http://schemas.openxmlformats.org/officeDocument/2006/relationships" ref="A1461" r:id="rId1257"/>
    <hyperlink xmlns:r="http://schemas.openxmlformats.org/officeDocument/2006/relationships" ref="A1462" r:id="rId1258"/>
    <hyperlink xmlns:r="http://schemas.openxmlformats.org/officeDocument/2006/relationships" ref="A1463" r:id="rId1259"/>
    <hyperlink xmlns:r="http://schemas.openxmlformats.org/officeDocument/2006/relationships" ref="A1464" r:id="rId1260"/>
    <hyperlink xmlns:r="http://schemas.openxmlformats.org/officeDocument/2006/relationships" ref="A1465" r:id="rId1261"/>
    <hyperlink xmlns:r="http://schemas.openxmlformats.org/officeDocument/2006/relationships" ref="A1466" r:id="rId1262"/>
    <hyperlink xmlns:r="http://schemas.openxmlformats.org/officeDocument/2006/relationships" ref="A1467" r:id="rId1263"/>
    <hyperlink xmlns:r="http://schemas.openxmlformats.org/officeDocument/2006/relationships" ref="A1468" r:id="rId1264"/>
    <hyperlink xmlns:r="http://schemas.openxmlformats.org/officeDocument/2006/relationships" ref="A1469" r:id="rId1265"/>
    <hyperlink xmlns:r="http://schemas.openxmlformats.org/officeDocument/2006/relationships" ref="A1470" r:id="rId1266"/>
    <hyperlink xmlns:r="http://schemas.openxmlformats.org/officeDocument/2006/relationships" ref="A1471" r:id="rId1267"/>
    <hyperlink xmlns:r="http://schemas.openxmlformats.org/officeDocument/2006/relationships" ref="A1472" r:id="rId1268"/>
    <hyperlink xmlns:r="http://schemas.openxmlformats.org/officeDocument/2006/relationships" ref="A1474" r:id="rId1269"/>
    <hyperlink xmlns:r="http://schemas.openxmlformats.org/officeDocument/2006/relationships" ref="A1476" r:id="rId1270"/>
    <hyperlink xmlns:r="http://schemas.openxmlformats.org/officeDocument/2006/relationships" ref="A1477" r:id="rId1271"/>
    <hyperlink xmlns:r="http://schemas.openxmlformats.org/officeDocument/2006/relationships" ref="A1478" r:id="rId1272"/>
    <hyperlink xmlns:r="http://schemas.openxmlformats.org/officeDocument/2006/relationships" ref="A1479" r:id="rId1273"/>
    <hyperlink xmlns:r="http://schemas.openxmlformats.org/officeDocument/2006/relationships" ref="A1480" r:id="rId1274"/>
    <hyperlink xmlns:r="http://schemas.openxmlformats.org/officeDocument/2006/relationships" ref="A1481" r:id="rId1275"/>
    <hyperlink xmlns:r="http://schemas.openxmlformats.org/officeDocument/2006/relationships" ref="A1482" r:id="rId1276"/>
    <hyperlink xmlns:r="http://schemas.openxmlformats.org/officeDocument/2006/relationships" ref="A1483" r:id="rId1277"/>
    <hyperlink xmlns:r="http://schemas.openxmlformats.org/officeDocument/2006/relationships" ref="A1484" r:id="rId1278"/>
    <hyperlink xmlns:r="http://schemas.openxmlformats.org/officeDocument/2006/relationships" ref="A1485" r:id="rId1279"/>
    <hyperlink xmlns:r="http://schemas.openxmlformats.org/officeDocument/2006/relationships" ref="A1486" r:id="rId1280"/>
    <hyperlink xmlns:r="http://schemas.openxmlformats.org/officeDocument/2006/relationships" ref="A1487" r:id="rId1281"/>
    <hyperlink xmlns:r="http://schemas.openxmlformats.org/officeDocument/2006/relationships" ref="A1488" r:id="rId1282"/>
    <hyperlink xmlns:r="http://schemas.openxmlformats.org/officeDocument/2006/relationships" ref="A1489" r:id="rId1283"/>
    <hyperlink xmlns:r="http://schemas.openxmlformats.org/officeDocument/2006/relationships" ref="A1490" r:id="rId1284"/>
    <hyperlink xmlns:r="http://schemas.openxmlformats.org/officeDocument/2006/relationships" ref="A1491" r:id="rId1285"/>
    <hyperlink xmlns:r="http://schemas.openxmlformats.org/officeDocument/2006/relationships" ref="A1492" r:id="rId1286"/>
    <hyperlink xmlns:r="http://schemas.openxmlformats.org/officeDocument/2006/relationships" ref="A1493" r:id="rId1287"/>
    <hyperlink xmlns:r="http://schemas.openxmlformats.org/officeDocument/2006/relationships" ref="A1494" r:id="rId1288"/>
    <hyperlink xmlns:r="http://schemas.openxmlformats.org/officeDocument/2006/relationships" ref="A1495" r:id="rId1289"/>
    <hyperlink xmlns:r="http://schemas.openxmlformats.org/officeDocument/2006/relationships" ref="A1496" r:id="rId1290"/>
    <hyperlink xmlns:r="http://schemas.openxmlformats.org/officeDocument/2006/relationships" ref="A1497" r:id="rId1291"/>
    <hyperlink xmlns:r="http://schemas.openxmlformats.org/officeDocument/2006/relationships" ref="A1498" r:id="rId1292"/>
    <hyperlink xmlns:r="http://schemas.openxmlformats.org/officeDocument/2006/relationships" ref="A1499" r:id="rId1293"/>
    <hyperlink xmlns:r="http://schemas.openxmlformats.org/officeDocument/2006/relationships" ref="A1501" r:id="rId1294"/>
    <hyperlink xmlns:r="http://schemas.openxmlformats.org/officeDocument/2006/relationships" ref="A1502" r:id="rId1295"/>
    <hyperlink xmlns:r="http://schemas.openxmlformats.org/officeDocument/2006/relationships" ref="A1504" r:id="rId1296"/>
    <hyperlink xmlns:r="http://schemas.openxmlformats.org/officeDocument/2006/relationships" ref="A1505" r:id="rId1297"/>
    <hyperlink xmlns:r="http://schemas.openxmlformats.org/officeDocument/2006/relationships" ref="A1506" r:id="rId1298"/>
    <hyperlink xmlns:r="http://schemas.openxmlformats.org/officeDocument/2006/relationships" ref="A1507" r:id="rId1299"/>
    <hyperlink xmlns:r="http://schemas.openxmlformats.org/officeDocument/2006/relationships" ref="A1508" r:id="rId1300"/>
    <hyperlink xmlns:r="http://schemas.openxmlformats.org/officeDocument/2006/relationships" ref="A1510" r:id="rId1301"/>
    <hyperlink xmlns:r="http://schemas.openxmlformats.org/officeDocument/2006/relationships" ref="A1512" r:id="rId1302"/>
    <hyperlink xmlns:r="http://schemas.openxmlformats.org/officeDocument/2006/relationships" ref="A1513" r:id="rId1303"/>
    <hyperlink xmlns:r="http://schemas.openxmlformats.org/officeDocument/2006/relationships" ref="A1514" r:id="rId1304"/>
    <hyperlink xmlns:r="http://schemas.openxmlformats.org/officeDocument/2006/relationships" ref="A1515" r:id="rId1305"/>
    <hyperlink xmlns:r="http://schemas.openxmlformats.org/officeDocument/2006/relationships" ref="A1516" r:id="rId1306"/>
    <hyperlink xmlns:r="http://schemas.openxmlformats.org/officeDocument/2006/relationships" ref="A1517" r:id="rId1307"/>
    <hyperlink xmlns:r="http://schemas.openxmlformats.org/officeDocument/2006/relationships" ref="A1518" r:id="rId1308"/>
    <hyperlink xmlns:r="http://schemas.openxmlformats.org/officeDocument/2006/relationships" ref="A1519" r:id="rId1309"/>
    <hyperlink xmlns:r="http://schemas.openxmlformats.org/officeDocument/2006/relationships" ref="A1520" r:id="rId1310"/>
    <hyperlink xmlns:r="http://schemas.openxmlformats.org/officeDocument/2006/relationships" ref="A1521" r:id="rId1311"/>
    <hyperlink xmlns:r="http://schemas.openxmlformats.org/officeDocument/2006/relationships" ref="A1522" r:id="rId1312"/>
    <hyperlink xmlns:r="http://schemas.openxmlformats.org/officeDocument/2006/relationships" ref="A1523" r:id="rId1313"/>
    <hyperlink xmlns:r="http://schemas.openxmlformats.org/officeDocument/2006/relationships" ref="A1524" r:id="rId1314"/>
    <hyperlink xmlns:r="http://schemas.openxmlformats.org/officeDocument/2006/relationships" ref="A1525" r:id="rId1315"/>
    <hyperlink xmlns:r="http://schemas.openxmlformats.org/officeDocument/2006/relationships" ref="A1526" r:id="rId1316"/>
    <hyperlink xmlns:r="http://schemas.openxmlformats.org/officeDocument/2006/relationships" ref="A1527" r:id="rId1317"/>
    <hyperlink xmlns:r="http://schemas.openxmlformats.org/officeDocument/2006/relationships" ref="A1528" r:id="rId1318"/>
    <hyperlink xmlns:r="http://schemas.openxmlformats.org/officeDocument/2006/relationships" ref="A1529" r:id="rId1319"/>
    <hyperlink xmlns:r="http://schemas.openxmlformats.org/officeDocument/2006/relationships" ref="A1530" r:id="rId1320"/>
    <hyperlink xmlns:r="http://schemas.openxmlformats.org/officeDocument/2006/relationships" ref="A1531" r:id="rId1321"/>
    <hyperlink xmlns:r="http://schemas.openxmlformats.org/officeDocument/2006/relationships" ref="A1532" r:id="rId1322"/>
    <hyperlink xmlns:r="http://schemas.openxmlformats.org/officeDocument/2006/relationships" ref="A1533" r:id="rId1323"/>
    <hyperlink xmlns:r="http://schemas.openxmlformats.org/officeDocument/2006/relationships" ref="A1534" r:id="rId1324"/>
    <hyperlink xmlns:r="http://schemas.openxmlformats.org/officeDocument/2006/relationships" ref="A1535" r:id="rId1325"/>
    <hyperlink xmlns:r="http://schemas.openxmlformats.org/officeDocument/2006/relationships" ref="A1536" r:id="rId1326"/>
    <hyperlink xmlns:r="http://schemas.openxmlformats.org/officeDocument/2006/relationships" ref="A1537" r:id="rId1327"/>
    <hyperlink xmlns:r="http://schemas.openxmlformats.org/officeDocument/2006/relationships" ref="A1538" r:id="rId1328"/>
    <hyperlink xmlns:r="http://schemas.openxmlformats.org/officeDocument/2006/relationships" ref="A1539" r:id="rId1329"/>
    <hyperlink xmlns:r="http://schemas.openxmlformats.org/officeDocument/2006/relationships" ref="A1540" r:id="rId1330"/>
    <hyperlink xmlns:r="http://schemas.openxmlformats.org/officeDocument/2006/relationships" ref="A1541" r:id="rId1331"/>
    <hyperlink xmlns:r="http://schemas.openxmlformats.org/officeDocument/2006/relationships" ref="A1542" r:id="rId1332"/>
    <hyperlink xmlns:r="http://schemas.openxmlformats.org/officeDocument/2006/relationships" ref="A1543" r:id="rId1333"/>
    <hyperlink xmlns:r="http://schemas.openxmlformats.org/officeDocument/2006/relationships" ref="A1544" r:id="rId1334"/>
    <hyperlink xmlns:r="http://schemas.openxmlformats.org/officeDocument/2006/relationships" ref="A1545" r:id="rId1335"/>
    <hyperlink xmlns:r="http://schemas.openxmlformats.org/officeDocument/2006/relationships" ref="A1546" r:id="rId1336"/>
    <hyperlink xmlns:r="http://schemas.openxmlformats.org/officeDocument/2006/relationships" ref="A1547" r:id="rId1337"/>
    <hyperlink xmlns:r="http://schemas.openxmlformats.org/officeDocument/2006/relationships" ref="A1548" r:id="rId1338"/>
    <hyperlink xmlns:r="http://schemas.openxmlformats.org/officeDocument/2006/relationships" ref="A1549" r:id="rId1339"/>
    <hyperlink xmlns:r="http://schemas.openxmlformats.org/officeDocument/2006/relationships" ref="A1550" r:id="rId1340"/>
    <hyperlink xmlns:r="http://schemas.openxmlformats.org/officeDocument/2006/relationships" ref="A1551" r:id="rId1341"/>
    <hyperlink xmlns:r="http://schemas.openxmlformats.org/officeDocument/2006/relationships" ref="A1552" r:id="rId1342"/>
    <hyperlink xmlns:r="http://schemas.openxmlformats.org/officeDocument/2006/relationships" ref="A1553" r:id="rId1343"/>
    <hyperlink xmlns:r="http://schemas.openxmlformats.org/officeDocument/2006/relationships" ref="A1554" r:id="rId1344"/>
    <hyperlink xmlns:r="http://schemas.openxmlformats.org/officeDocument/2006/relationships" ref="A1555" r:id="rId1345"/>
    <hyperlink xmlns:r="http://schemas.openxmlformats.org/officeDocument/2006/relationships" ref="A1556" r:id="rId1346"/>
    <hyperlink xmlns:r="http://schemas.openxmlformats.org/officeDocument/2006/relationships" ref="A1557" r:id="rId1347"/>
    <hyperlink xmlns:r="http://schemas.openxmlformats.org/officeDocument/2006/relationships" ref="A1558" r:id="rId1348"/>
    <hyperlink xmlns:r="http://schemas.openxmlformats.org/officeDocument/2006/relationships" ref="A1559" r:id="rId1349"/>
    <hyperlink xmlns:r="http://schemas.openxmlformats.org/officeDocument/2006/relationships" ref="A1560" r:id="rId1350"/>
    <hyperlink xmlns:r="http://schemas.openxmlformats.org/officeDocument/2006/relationships" ref="A1561" r:id="rId1351"/>
    <hyperlink xmlns:r="http://schemas.openxmlformats.org/officeDocument/2006/relationships" ref="A1562" r:id="rId1352"/>
    <hyperlink xmlns:r="http://schemas.openxmlformats.org/officeDocument/2006/relationships" ref="A1563" r:id="rId1353"/>
    <hyperlink xmlns:r="http://schemas.openxmlformats.org/officeDocument/2006/relationships" ref="A1564" r:id="rId1354"/>
    <hyperlink xmlns:r="http://schemas.openxmlformats.org/officeDocument/2006/relationships" ref="A1565" r:id="rId1355"/>
    <hyperlink xmlns:r="http://schemas.openxmlformats.org/officeDocument/2006/relationships" ref="A1566" r:id="rId135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E8" sqref="E8"/>
    </sheetView>
  </sheetViews>
  <sheetFormatPr baseColWidth="8" defaultRowHeight="14.5"/>
  <cols>
    <col width="13" customWidth="1" min="1" max="1"/>
    <col width="44" customWidth="1" min="2" max="2"/>
    <col width="29" customWidth="1" min="3" max="3"/>
    <col width="43" customWidth="1" min="4" max="4"/>
    <col width="44" customWidth="1" min="5" max="5"/>
    <col width="43" customWidth="1" min="6" max="6"/>
    <col width="27" customWidth="1" min="7" max="7"/>
    <col width="42" customWidth="1" min="8" max="8"/>
    <col width="26" customWidth="1" min="9" max="10"/>
    <col width="20" customWidth="1" min="11" max="11"/>
    <col width="22" customWidth="1" min="12" max="12"/>
    <col width="23" customWidth="1" min="13" max="13"/>
  </cols>
  <sheetData>
    <row r="1">
      <c r="A1" s="70" t="inlineStr">
        <is>
          <t>Month</t>
        </is>
      </c>
      <c r="B1" s="71" t="n">
        <v>2018</v>
      </c>
      <c r="C1" s="71" t="n">
        <v>2019</v>
      </c>
      <c r="D1" s="71" t="n">
        <v>2020</v>
      </c>
      <c r="E1" s="71" t="n">
        <v>2021</v>
      </c>
      <c r="F1" s="71" t="n">
        <v>2022</v>
      </c>
      <c r="G1" s="71" t="n">
        <v>2023</v>
      </c>
      <c r="H1" s="71" t="n">
        <v>2024</v>
      </c>
      <c r="I1" s="72" t="n">
        <v>2025</v>
      </c>
      <c r="J1" s="146" t="n">
        <v>2026</v>
      </c>
    </row>
    <row r="2" ht="15" customHeight="1">
      <c r="A2" s="73" t="inlineStr">
        <is>
          <t>January</t>
        </is>
      </c>
      <c r="B2" s="74" t="n"/>
      <c r="C2" s="872" t="inlineStr">
        <is>
          <t>-6.15%, +0.41R, 66 trades</t>
        </is>
      </c>
      <c r="D2" s="872" t="inlineStr">
        <is>
          <t>-4.04%, -2.49R, 5 trades</t>
        </is>
      </c>
      <c r="E2" s="872" t="inlineStr">
        <is>
          <t>-2.55%, -1.96R, 17 trades</t>
        </is>
      </c>
      <c r="F2" s="872" t="inlineStr">
        <is>
          <t>-1.06%, -1.01R, 1 trade</t>
        </is>
      </c>
      <c r="G2" s="74" t="n"/>
      <c r="H2" s="872" t="inlineStr">
        <is>
          <t>-1.61%, -1.81R, 5 trades</t>
        </is>
      </c>
      <c r="I2" s="873" t="inlineStr">
        <is>
          <t>-1.32%, -1.22R, 4 trades</t>
        </is>
      </c>
      <c r="J2" s="235" t="n"/>
    </row>
    <row r="3" ht="15" customHeight="1">
      <c r="A3" s="73" t="inlineStr">
        <is>
          <t>February</t>
        </is>
      </c>
      <c r="B3" s="74" t="n"/>
      <c r="C3" s="872" t="inlineStr">
        <is>
          <t>-18.05%, -1.71R, 95 trades</t>
        </is>
      </c>
      <c r="D3" s="872" t="inlineStr">
        <is>
          <t>-4.67%, -5.65R, 7 trades</t>
        </is>
      </c>
      <c r="E3" s="874" t="inlineStr">
        <is>
          <t>1.29%, +1.77R, 15 trades</t>
        </is>
      </c>
      <c r="F3" s="874" t="inlineStr">
        <is>
          <t>4.02%, +3.53R, 1 trade</t>
        </is>
      </c>
      <c r="G3" s="74" t="n"/>
      <c r="H3" s="74" t="n"/>
      <c r="I3" s="75" t="n"/>
      <c r="J3" s="147" t="n"/>
    </row>
    <row r="4" ht="15" customHeight="1">
      <c r="A4" s="73" t="inlineStr">
        <is>
          <t>March</t>
        </is>
      </c>
      <c r="B4" s="74" t="n"/>
      <c r="C4" s="872" t="inlineStr">
        <is>
          <t>-10.55%, -11.15R, 40 trades</t>
        </is>
      </c>
      <c r="D4" s="874" t="inlineStr">
        <is>
          <t>0.65%, +1.16R, 16 trades</t>
        </is>
      </c>
      <c r="E4" s="872" t="inlineStr">
        <is>
          <t>-7.63%, -4.92R, 27 trades</t>
        </is>
      </c>
      <c r="F4" s="872" t="inlineStr">
        <is>
          <t>-1.48%, -2.15R, 2 trades</t>
        </is>
      </c>
      <c r="G4" s="874" t="inlineStr">
        <is>
          <t>1.57%, +2.00R, 7 trades</t>
        </is>
      </c>
      <c r="H4" s="872" t="inlineStr">
        <is>
          <t>-5.21%, -4.49R, 8 trades</t>
        </is>
      </c>
      <c r="I4" s="75" t="n"/>
      <c r="J4" s="147" t="n"/>
    </row>
    <row r="5" ht="15" customHeight="1">
      <c r="A5" s="73" t="inlineStr">
        <is>
          <t>April</t>
        </is>
      </c>
      <c r="B5" s="74" t="n"/>
      <c r="C5" s="872" t="inlineStr">
        <is>
          <t>-1.42%, -3.34R, 4 trades</t>
        </is>
      </c>
      <c r="D5" s="872" t="inlineStr">
        <is>
          <t>-4.24%, +1.71R, 40 trades</t>
        </is>
      </c>
      <c r="E5" s="872" t="inlineStr">
        <is>
          <t>-9.99%, -14.08R, 48 trades</t>
        </is>
      </c>
      <c r="F5" s="872" t="inlineStr">
        <is>
          <t>-0.96%, -2.00R, 2 trades</t>
        </is>
      </c>
      <c r="G5" s="872" t="inlineStr">
        <is>
          <t>-1.81%, -1.61R, 8 trades</t>
        </is>
      </c>
      <c r="H5" s="872" t="inlineStr">
        <is>
          <t>-0.43%, -0.73R, 1 trade</t>
        </is>
      </c>
      <c r="I5" s="875" t="inlineStr">
        <is>
          <t>1.99%, +2.00R, 1 trade</t>
        </is>
      </c>
      <c r="J5" s="147" t="n"/>
    </row>
    <row r="6" ht="15" customHeight="1">
      <c r="A6" s="73" t="inlineStr">
        <is>
          <t>May</t>
        </is>
      </c>
      <c r="B6" s="872" t="inlineStr">
        <is>
          <t>-6.66%, -5.45R, 10 trades</t>
        </is>
      </c>
      <c r="C6" s="74" t="n"/>
      <c r="D6" s="872" t="inlineStr">
        <is>
          <t>-0.17%, +1.09R, 57 trades</t>
        </is>
      </c>
      <c r="E6" s="872" t="inlineStr">
        <is>
          <t>-8.84%, -9.90R, 48 trades</t>
        </is>
      </c>
      <c r="F6" s="872" t="inlineStr">
        <is>
          <t>-2.70%, -4.19R, 15 trades</t>
        </is>
      </c>
      <c r="G6" s="874" t="inlineStr">
        <is>
          <t>1.02%, +1.06R, 2 trades</t>
        </is>
      </c>
      <c r="H6" s="74" t="n"/>
      <c r="I6" s="875" t="inlineStr">
        <is>
          <t>1.88%, +2.83R, 3 trades</t>
        </is>
      </c>
      <c r="J6" s="147" t="n"/>
    </row>
    <row r="7" ht="15" customHeight="1">
      <c r="A7" s="73" t="inlineStr">
        <is>
          <t>June</t>
        </is>
      </c>
      <c r="B7" s="872" t="inlineStr">
        <is>
          <t>-10.29%, -6.53R, 61 trades</t>
        </is>
      </c>
      <c r="C7" s="874" t="inlineStr">
        <is>
          <t>1.27%, +4.31R, 13 trades</t>
        </is>
      </c>
      <c r="D7" s="872" t="inlineStr">
        <is>
          <t>-10.86%, -11.19R, 22 trades</t>
        </is>
      </c>
      <c r="E7" s="874" t="inlineStr">
        <is>
          <t>0.44%, +2.24R, 18 trades</t>
        </is>
      </c>
      <c r="F7" s="874" t="inlineStr">
        <is>
          <t>2.00%, +2.01R, 4 trades</t>
        </is>
      </c>
      <c r="G7" s="872" t="inlineStr">
        <is>
          <t>-2.44%, -1.74R, 9 trades</t>
        </is>
      </c>
      <c r="H7" s="874" t="inlineStr">
        <is>
          <t>1.98%, +3.78R, 2 trades</t>
        </is>
      </c>
      <c r="I7" s="875" t="inlineStr">
        <is>
          <t>3.12%, +3.82R, 6 trades</t>
        </is>
      </c>
      <c r="J7" s="147" t="n"/>
    </row>
    <row r="8" ht="15" customHeight="1">
      <c r="A8" s="73" t="inlineStr">
        <is>
          <t>July</t>
        </is>
      </c>
      <c r="B8" s="874" t="inlineStr">
        <is>
          <t>3.88%, +11.19R, 39 trades</t>
        </is>
      </c>
      <c r="C8" s="872" t="inlineStr">
        <is>
          <t>-12.35%, -19.13R, 33 trades</t>
        </is>
      </c>
      <c r="D8" s="874" t="inlineStr">
        <is>
          <t>1.28%, +2.81R, 20 trades</t>
        </is>
      </c>
      <c r="E8" s="874" t="inlineStr">
        <is>
          <t>4.33%, -2.43R, 20 trades</t>
        </is>
      </c>
      <c r="F8" s="872" t="inlineStr">
        <is>
          <t>-0.23%, +0.34R, 9 trades</t>
        </is>
      </c>
      <c r="G8" s="872" t="inlineStr">
        <is>
          <t>-3.44%, -2.04R, 15 trades</t>
        </is>
      </c>
      <c r="H8" s="74" t="n"/>
      <c r="I8" s="873" t="inlineStr">
        <is>
          <t>-1.37%, -0.45R, 3 trades</t>
        </is>
      </c>
      <c r="J8" s="275" t="n"/>
    </row>
    <row r="9" ht="15" customHeight="1">
      <c r="A9" s="73" t="inlineStr">
        <is>
          <t>August</t>
        </is>
      </c>
      <c r="B9" s="874" t="inlineStr">
        <is>
          <t>7.98%, +10.96R, 41 trades</t>
        </is>
      </c>
      <c r="C9" s="872" t="inlineStr">
        <is>
          <t>-3.99%, -4.58R, 13 trades</t>
        </is>
      </c>
      <c r="D9" s="872" t="inlineStr">
        <is>
          <t>-2.69%, -2.17R, 17 trades</t>
        </is>
      </c>
      <c r="E9" s="872" t="inlineStr">
        <is>
          <t>-7.01%, -9.74R, 10 trades</t>
        </is>
      </c>
      <c r="F9" s="874" t="inlineStr">
        <is>
          <t>1.94%, +2.00R, 1 trade</t>
        </is>
      </c>
      <c r="G9" s="872" t="inlineStr">
        <is>
          <t>-2.53%, -3.03R, 8 trades</t>
        </is>
      </c>
      <c r="H9" s="872" t="inlineStr">
        <is>
          <t>-2.15%, -1.94R, 1 trade</t>
        </is>
      </c>
      <c r="I9" s="873" t="inlineStr">
        <is>
          <t>-3.63%, -3.16R, 7 trades</t>
        </is>
      </c>
      <c r="J9" s="876" t="inlineStr">
        <is>
          <t>-0.92%, -1.00R, 2 trades</t>
        </is>
      </c>
    </row>
    <row r="10" ht="15" customHeight="1">
      <c r="A10" s="73" t="inlineStr">
        <is>
          <t>September</t>
        </is>
      </c>
      <c r="B10" s="872" t="inlineStr">
        <is>
          <t>-16.14%, -5.80R, 74 trades</t>
        </is>
      </c>
      <c r="C10" s="872" t="inlineStr">
        <is>
          <t>-4.32%, -5.60R, 11 trades</t>
        </is>
      </c>
      <c r="D10" s="872" t="inlineStr">
        <is>
          <t>-0.44%, +0.59R, 12 trades</t>
        </is>
      </c>
      <c r="E10" s="872" t="inlineStr">
        <is>
          <t>-9.24%, -8.11R, 35 trades</t>
        </is>
      </c>
      <c r="F10" s="872" t="inlineStr">
        <is>
          <t>-3.05%, -3.12R, 3 trades</t>
        </is>
      </c>
      <c r="G10" s="874" t="inlineStr">
        <is>
          <t>5.68%, +6.96R, 6 trades</t>
        </is>
      </c>
      <c r="H10" s="872" t="inlineStr">
        <is>
          <t>-1.69%, -1.80R, 5 trades</t>
        </is>
      </c>
      <c r="I10" s="875" t="inlineStr">
        <is>
          <t>6.17%, +4.00R, 7 trades</t>
        </is>
      </c>
      <c r="J10" s="877" t="inlineStr">
        <is>
          <t>0.079%, +5.54R, 3 trades</t>
        </is>
      </c>
    </row>
    <row r="11" ht="15" customHeight="1">
      <c r="A11" s="73" t="inlineStr">
        <is>
          <t>October</t>
        </is>
      </c>
      <c r="B11" s="874" t="inlineStr">
        <is>
          <t>1.05%, +2.65R, 61 trades</t>
        </is>
      </c>
      <c r="C11" s="874" t="inlineStr">
        <is>
          <t>4.54%, +6.30R, 22 trades</t>
        </is>
      </c>
      <c r="D11" s="872" t="inlineStr">
        <is>
          <t>-7.14%, -1.52R, 18 trades</t>
        </is>
      </c>
      <c r="E11" s="872" t="inlineStr">
        <is>
          <t>-10.51%, -19.86R, 32 trades</t>
        </is>
      </c>
      <c r="F11" s="872" t="inlineStr">
        <is>
          <t>-0.15%, +0.29R, 6 trades</t>
        </is>
      </c>
      <c r="G11" s="872" t="inlineStr">
        <is>
          <t>-1.95%, -3.96R, 4 trades</t>
        </is>
      </c>
      <c r="H11" s="872" t="inlineStr">
        <is>
          <t>-1.52%, -2.32R, 4 trades</t>
        </is>
      </c>
      <c r="I11" s="873" t="inlineStr">
        <is>
          <t>-3.75%, -3.98R, 4 trades</t>
        </is>
      </c>
      <c r="J11" s="876" t="inlineStr">
        <is>
          <t>-3.95%, -5.58R, 8 trades</t>
        </is>
      </c>
    </row>
    <row r="12" ht="15" customHeight="1">
      <c r="A12" s="73" t="inlineStr">
        <is>
          <t>November</t>
        </is>
      </c>
      <c r="B12" s="872" t="inlineStr">
        <is>
          <t>-2.07%, -6.18R, 36 trades</t>
        </is>
      </c>
      <c r="C12" s="872" t="inlineStr">
        <is>
          <t>-4.63%, -4.34R, 13 trades</t>
        </is>
      </c>
      <c r="D12" s="872" t="inlineStr">
        <is>
          <t>-4.80%, -4.50R, 5 trades</t>
        </is>
      </c>
      <c r="E12" s="872" t="inlineStr">
        <is>
          <t>-4.74%, -7.00R, 18 trades</t>
        </is>
      </c>
      <c r="F12" s="874" t="inlineStr">
        <is>
          <t>1.25%, +1.14R, 10 trades</t>
        </is>
      </c>
      <c r="G12" s="74" t="n"/>
      <c r="H12" s="874" t="inlineStr">
        <is>
          <t>1.33%, +2.91R, 13 trades</t>
        </is>
      </c>
      <c r="I12" s="873" t="inlineStr">
        <is>
          <t>-1.16%, -1.00R, 1 trade</t>
        </is>
      </c>
      <c r="J12" s="147" t="n"/>
    </row>
    <row r="13" ht="15" customHeight="1">
      <c r="A13" s="76" t="inlineStr">
        <is>
          <t>December</t>
        </is>
      </c>
      <c r="B13" s="878" t="inlineStr">
        <is>
          <t>-0.18%, +4.34R, 58 trades</t>
        </is>
      </c>
      <c r="C13" s="77" t="n"/>
      <c r="D13" s="878" t="inlineStr">
        <is>
          <t>-5.84%, -4.56R, 13 trades</t>
        </is>
      </c>
      <c r="E13" s="77" t="n"/>
      <c r="F13" s="878" t="inlineStr">
        <is>
          <t>-3.01%, -3.11R, 3 trades</t>
        </is>
      </c>
      <c r="G13" s="879" t="inlineStr">
        <is>
          <t>0.58%, +2.18R, 4 trades</t>
        </is>
      </c>
      <c r="H13" s="878" t="inlineStr">
        <is>
          <t>-1.76%, -2.02R, 2 trades</t>
        </is>
      </c>
      <c r="I13" s="236" t="n"/>
      <c r="J13" s="148" t="n"/>
    </row>
    <row r="14" ht="15" customHeight="1"/>
    <row r="15" ht="15" customHeight="1"/>
    <row r="16" ht="15" customHeight="1"/>
    <row r="17" ht="15" customHeight="1"/>
    <row r="18" ht="15" customHeight="1"/>
  </sheetData>
  <autoFilter ref="A1:I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09"/>
  <sheetViews>
    <sheetView showGridLines="0" topLeftCell="D1" zoomScale="80" zoomScaleNormal="80" workbookViewId="0">
      <selection activeCell="F16" sqref="F16"/>
    </sheetView>
  </sheetViews>
  <sheetFormatPr baseColWidth="8" defaultColWidth="8.81640625" defaultRowHeight="14.5"/>
  <cols>
    <col width="48" bestFit="1" customWidth="1" style="86" min="1" max="1"/>
    <col width="69" customWidth="1" style="86" min="2" max="2"/>
    <col width="20.453125" bestFit="1" customWidth="1" style="86" min="3" max="3"/>
    <col width="19" bestFit="1" customWidth="1" style="86" min="4" max="4"/>
    <col width="24" customWidth="1" style="86" min="5" max="5"/>
    <col width="20" customWidth="1" style="86" min="6" max="6"/>
    <col width="19.453125" customWidth="1" style="90" min="7" max="7"/>
    <col width="17.453125" customWidth="1" style="90" min="8" max="8"/>
    <col width="8.81640625" customWidth="1" style="90" min="9" max="9"/>
    <col width="22" customWidth="1" min="10" max="10"/>
    <col width="12.1796875" bestFit="1" customWidth="1" style="90" min="11" max="11"/>
    <col width="20" bestFit="1" customWidth="1" style="90" min="12" max="12"/>
    <col width="8.81640625" customWidth="1" style="90" min="13" max="256"/>
    <col width="18.81640625" bestFit="1" customWidth="1" style="90" min="257" max="257"/>
    <col width="13.453125" customWidth="1" style="90" min="258" max="258"/>
    <col width="20.453125" bestFit="1" customWidth="1" style="90" min="259" max="259"/>
    <col width="17.453125" bestFit="1" customWidth="1" style="90" min="260" max="260"/>
    <col width="19.453125" customWidth="1" style="90" min="261" max="261"/>
    <col width="17.81640625" customWidth="1" style="90" min="262" max="262"/>
    <col width="19.453125" customWidth="1" style="90" min="263" max="263"/>
    <col width="17.453125" customWidth="1" style="90" min="264" max="264"/>
    <col width="8.81640625" customWidth="1" style="90" min="265" max="266"/>
    <col width="12.1796875" bestFit="1" customWidth="1" style="90" min="267" max="267"/>
    <col width="15.26953125" bestFit="1" customWidth="1" style="90" min="268" max="268"/>
    <col width="8.81640625" customWidth="1" style="90" min="269" max="512"/>
    <col width="18.81640625" bestFit="1" customWidth="1" style="90" min="513" max="513"/>
    <col width="13.453125" customWidth="1" style="90" min="514" max="514"/>
    <col width="20.453125" bestFit="1" customWidth="1" style="90" min="515" max="515"/>
    <col width="17.453125" bestFit="1" customWidth="1" style="90" min="516" max="516"/>
    <col width="19.453125" customWidth="1" style="90" min="517" max="517"/>
    <col width="17.81640625" customWidth="1" style="90" min="518" max="518"/>
    <col width="19.453125" customWidth="1" style="90" min="519" max="519"/>
    <col width="17.453125" customWidth="1" style="90" min="520" max="520"/>
    <col width="8.81640625" customWidth="1" style="90" min="521" max="522"/>
    <col width="12.1796875" bestFit="1" customWidth="1" style="90" min="523" max="523"/>
    <col width="15.26953125" bestFit="1" customWidth="1" style="90" min="524" max="524"/>
    <col width="8.81640625" customWidth="1" style="90" min="525" max="768"/>
    <col width="18.81640625" bestFit="1" customWidth="1" style="90" min="769" max="769"/>
    <col width="13.453125" customWidth="1" style="90" min="770" max="770"/>
    <col width="20.453125" bestFit="1" customWidth="1" style="90" min="771" max="771"/>
    <col width="17.453125" bestFit="1" customWidth="1" style="90" min="772" max="772"/>
    <col width="19.453125" customWidth="1" style="90" min="773" max="773"/>
    <col width="17.81640625" customWidth="1" style="90" min="774" max="774"/>
    <col width="19.453125" customWidth="1" style="90" min="775" max="775"/>
    <col width="17.453125" customWidth="1" style="90" min="776" max="776"/>
    <col width="8.81640625" customWidth="1" style="90" min="777" max="778"/>
    <col width="12.1796875" bestFit="1" customWidth="1" style="90" min="779" max="779"/>
    <col width="15.26953125" bestFit="1" customWidth="1" style="90" min="780" max="780"/>
    <col width="8.81640625" customWidth="1" style="90" min="781" max="1024"/>
    <col width="18.81640625" bestFit="1" customWidth="1" style="90" min="1025" max="1025"/>
    <col width="13.453125" customWidth="1" style="90" min="1026" max="1026"/>
    <col width="20.453125" bestFit="1" customWidth="1" style="90" min="1027" max="1027"/>
    <col width="17.453125" bestFit="1" customWidth="1" style="90" min="1028" max="1028"/>
    <col width="19.453125" customWidth="1" style="90" min="1029" max="1029"/>
    <col width="17.81640625" customWidth="1" style="90" min="1030" max="1030"/>
    <col width="19.453125" customWidth="1" style="90" min="1031" max="1031"/>
    <col width="17.453125" customWidth="1" style="90" min="1032" max="1032"/>
    <col width="8.81640625" customWidth="1" style="90" min="1033" max="1034"/>
    <col width="12.1796875" bestFit="1" customWidth="1" style="90" min="1035" max="1035"/>
    <col width="15.26953125" bestFit="1" customWidth="1" style="90" min="1036" max="1036"/>
    <col width="8.81640625" customWidth="1" style="90" min="1037" max="1280"/>
    <col width="18.81640625" bestFit="1" customWidth="1" style="90" min="1281" max="1281"/>
    <col width="13.453125" customWidth="1" style="90" min="1282" max="1282"/>
    <col width="20.453125" bestFit="1" customWidth="1" style="90" min="1283" max="1283"/>
    <col width="17.453125" bestFit="1" customWidth="1" style="90" min="1284" max="1284"/>
    <col width="19.453125" customWidth="1" style="90" min="1285" max="1285"/>
    <col width="17.81640625" customWidth="1" style="90" min="1286" max="1286"/>
    <col width="19.453125" customWidth="1" style="90" min="1287" max="1287"/>
    <col width="17.453125" customWidth="1" style="90" min="1288" max="1288"/>
    <col width="8.81640625" customWidth="1" style="90" min="1289" max="1290"/>
    <col width="12.1796875" bestFit="1" customWidth="1" style="90" min="1291" max="1291"/>
    <col width="15.26953125" bestFit="1" customWidth="1" style="90" min="1292" max="1292"/>
    <col width="8.81640625" customWidth="1" style="90" min="1293" max="1536"/>
    <col width="18.81640625" bestFit="1" customWidth="1" style="90" min="1537" max="1537"/>
    <col width="13.453125" customWidth="1" style="90" min="1538" max="1538"/>
    <col width="20.453125" bestFit="1" customWidth="1" style="90" min="1539" max="1539"/>
    <col width="17.453125" bestFit="1" customWidth="1" style="90" min="1540" max="1540"/>
    <col width="19.453125" customWidth="1" style="90" min="1541" max="1541"/>
    <col width="17.81640625" customWidth="1" style="90" min="1542" max="1542"/>
    <col width="19.453125" customWidth="1" style="90" min="1543" max="1543"/>
    <col width="17.453125" customWidth="1" style="90" min="1544" max="1544"/>
    <col width="8.81640625" customWidth="1" style="90" min="1545" max="1546"/>
    <col width="12.1796875" bestFit="1" customWidth="1" style="90" min="1547" max="1547"/>
    <col width="15.26953125" bestFit="1" customWidth="1" style="90" min="1548" max="1548"/>
    <col width="8.81640625" customWidth="1" style="90" min="1549" max="1792"/>
    <col width="18.81640625" bestFit="1" customWidth="1" style="90" min="1793" max="1793"/>
    <col width="13.453125" customWidth="1" style="90" min="1794" max="1794"/>
    <col width="20.453125" bestFit="1" customWidth="1" style="90" min="1795" max="1795"/>
    <col width="17.453125" bestFit="1" customWidth="1" style="90" min="1796" max="1796"/>
    <col width="19.453125" customWidth="1" style="90" min="1797" max="1797"/>
    <col width="17.81640625" customWidth="1" style="90" min="1798" max="1798"/>
    <col width="19.453125" customWidth="1" style="90" min="1799" max="1799"/>
    <col width="17.453125" customWidth="1" style="90" min="1800" max="1800"/>
    <col width="8.81640625" customWidth="1" style="90" min="1801" max="1802"/>
    <col width="12.1796875" bestFit="1" customWidth="1" style="90" min="1803" max="1803"/>
    <col width="15.26953125" bestFit="1" customWidth="1" style="90" min="1804" max="1804"/>
    <col width="8.81640625" customWidth="1" style="90" min="1805" max="2048"/>
    <col width="18.81640625" bestFit="1" customWidth="1" style="90" min="2049" max="2049"/>
    <col width="13.453125" customWidth="1" style="90" min="2050" max="2050"/>
    <col width="20.453125" bestFit="1" customWidth="1" style="90" min="2051" max="2051"/>
    <col width="17.453125" bestFit="1" customWidth="1" style="90" min="2052" max="2052"/>
    <col width="19.453125" customWidth="1" style="90" min="2053" max="2053"/>
    <col width="17.81640625" customWidth="1" style="90" min="2054" max="2054"/>
    <col width="19.453125" customWidth="1" style="90" min="2055" max="2055"/>
    <col width="17.453125" customWidth="1" style="90" min="2056" max="2056"/>
    <col width="8.81640625" customWidth="1" style="90" min="2057" max="2058"/>
    <col width="12.1796875" bestFit="1" customWidth="1" style="90" min="2059" max="2059"/>
    <col width="15.26953125" bestFit="1" customWidth="1" style="90" min="2060" max="2060"/>
    <col width="8.81640625" customWidth="1" style="90" min="2061" max="2304"/>
    <col width="18.81640625" bestFit="1" customWidth="1" style="90" min="2305" max="2305"/>
    <col width="13.453125" customWidth="1" style="90" min="2306" max="2306"/>
    <col width="20.453125" bestFit="1" customWidth="1" style="90" min="2307" max="2307"/>
    <col width="17.453125" bestFit="1" customWidth="1" style="90" min="2308" max="2308"/>
    <col width="19.453125" customWidth="1" style="90" min="2309" max="2309"/>
    <col width="17.81640625" customWidth="1" style="90" min="2310" max="2310"/>
    <col width="19.453125" customWidth="1" style="90" min="2311" max="2311"/>
    <col width="17.453125" customWidth="1" style="90" min="2312" max="2312"/>
    <col width="8.81640625" customWidth="1" style="90" min="2313" max="2314"/>
    <col width="12.1796875" bestFit="1" customWidth="1" style="90" min="2315" max="2315"/>
    <col width="15.26953125" bestFit="1" customWidth="1" style="90" min="2316" max="2316"/>
    <col width="8.81640625" customWidth="1" style="90" min="2317" max="2560"/>
    <col width="18.81640625" bestFit="1" customWidth="1" style="90" min="2561" max="2561"/>
    <col width="13.453125" customWidth="1" style="90" min="2562" max="2562"/>
    <col width="20.453125" bestFit="1" customWidth="1" style="90" min="2563" max="2563"/>
    <col width="17.453125" bestFit="1" customWidth="1" style="90" min="2564" max="2564"/>
    <col width="19.453125" customWidth="1" style="90" min="2565" max="2565"/>
    <col width="17.81640625" customWidth="1" style="90" min="2566" max="2566"/>
    <col width="19.453125" customWidth="1" style="90" min="2567" max="2567"/>
    <col width="17.453125" customWidth="1" style="90" min="2568" max="2568"/>
    <col width="8.81640625" customWidth="1" style="90" min="2569" max="2570"/>
    <col width="12.1796875" bestFit="1" customWidth="1" style="90" min="2571" max="2571"/>
    <col width="15.26953125" bestFit="1" customWidth="1" style="90" min="2572" max="2572"/>
    <col width="8.81640625" customWidth="1" style="90" min="2573" max="2816"/>
    <col width="18.81640625" bestFit="1" customWidth="1" style="90" min="2817" max="2817"/>
    <col width="13.453125" customWidth="1" style="90" min="2818" max="2818"/>
    <col width="20.453125" bestFit="1" customWidth="1" style="90" min="2819" max="2819"/>
    <col width="17.453125" bestFit="1" customWidth="1" style="90" min="2820" max="2820"/>
    <col width="19.453125" customWidth="1" style="90" min="2821" max="2821"/>
    <col width="17.81640625" customWidth="1" style="90" min="2822" max="2822"/>
    <col width="19.453125" customWidth="1" style="90" min="2823" max="2823"/>
    <col width="17.453125" customWidth="1" style="90" min="2824" max="2824"/>
    <col width="8.81640625" customWidth="1" style="90" min="2825" max="2826"/>
    <col width="12.1796875" bestFit="1" customWidth="1" style="90" min="2827" max="2827"/>
    <col width="15.26953125" bestFit="1" customWidth="1" style="90" min="2828" max="2828"/>
    <col width="8.81640625" customWidth="1" style="90" min="2829" max="3072"/>
    <col width="18.81640625" bestFit="1" customWidth="1" style="90" min="3073" max="3073"/>
    <col width="13.453125" customWidth="1" style="90" min="3074" max="3074"/>
    <col width="20.453125" bestFit="1" customWidth="1" style="90" min="3075" max="3075"/>
    <col width="17.453125" bestFit="1" customWidth="1" style="90" min="3076" max="3076"/>
    <col width="19.453125" customWidth="1" style="90" min="3077" max="3077"/>
    <col width="17.81640625" customWidth="1" style="90" min="3078" max="3078"/>
    <col width="19.453125" customWidth="1" style="90" min="3079" max="3079"/>
    <col width="17.453125" customWidth="1" style="90" min="3080" max="3080"/>
    <col width="8.81640625" customWidth="1" style="90" min="3081" max="3082"/>
    <col width="12.1796875" bestFit="1" customWidth="1" style="90" min="3083" max="3083"/>
    <col width="15.26953125" bestFit="1" customWidth="1" style="90" min="3084" max="3084"/>
    <col width="8.81640625" customWidth="1" style="90" min="3085" max="3328"/>
    <col width="18.81640625" bestFit="1" customWidth="1" style="90" min="3329" max="3329"/>
    <col width="13.453125" customWidth="1" style="90" min="3330" max="3330"/>
    <col width="20.453125" bestFit="1" customWidth="1" style="90" min="3331" max="3331"/>
    <col width="17.453125" bestFit="1" customWidth="1" style="90" min="3332" max="3332"/>
    <col width="19.453125" customWidth="1" style="90" min="3333" max="3333"/>
    <col width="17.81640625" customWidth="1" style="90" min="3334" max="3334"/>
    <col width="19.453125" customWidth="1" style="90" min="3335" max="3335"/>
    <col width="17.453125" customWidth="1" style="90" min="3336" max="3336"/>
    <col width="8.81640625" customWidth="1" style="90" min="3337" max="3338"/>
    <col width="12.1796875" bestFit="1" customWidth="1" style="90" min="3339" max="3339"/>
    <col width="15.26953125" bestFit="1" customWidth="1" style="90" min="3340" max="3340"/>
    <col width="8.81640625" customWidth="1" style="90" min="3341" max="3584"/>
    <col width="18.81640625" bestFit="1" customWidth="1" style="90" min="3585" max="3585"/>
    <col width="13.453125" customWidth="1" style="90" min="3586" max="3586"/>
    <col width="20.453125" bestFit="1" customWidth="1" style="90" min="3587" max="3587"/>
    <col width="17.453125" bestFit="1" customWidth="1" style="90" min="3588" max="3588"/>
    <col width="19.453125" customWidth="1" style="90" min="3589" max="3589"/>
    <col width="17.81640625" customWidth="1" style="90" min="3590" max="3590"/>
    <col width="19.453125" customWidth="1" style="90" min="3591" max="3591"/>
    <col width="17.453125" customWidth="1" style="90" min="3592" max="3592"/>
    <col width="8.81640625" customWidth="1" style="90" min="3593" max="3594"/>
    <col width="12.1796875" bestFit="1" customWidth="1" style="90" min="3595" max="3595"/>
    <col width="15.26953125" bestFit="1" customWidth="1" style="90" min="3596" max="3596"/>
    <col width="8.81640625" customWidth="1" style="90" min="3597" max="3840"/>
    <col width="18.81640625" bestFit="1" customWidth="1" style="90" min="3841" max="3841"/>
    <col width="13.453125" customWidth="1" style="90" min="3842" max="3842"/>
    <col width="20.453125" bestFit="1" customWidth="1" style="90" min="3843" max="3843"/>
    <col width="17.453125" bestFit="1" customWidth="1" style="90" min="3844" max="3844"/>
    <col width="19.453125" customWidth="1" style="90" min="3845" max="3845"/>
    <col width="17.81640625" customWidth="1" style="90" min="3846" max="3846"/>
    <col width="19.453125" customWidth="1" style="90" min="3847" max="3847"/>
    <col width="17.453125" customWidth="1" style="90" min="3848" max="3848"/>
    <col width="8.81640625" customWidth="1" style="90" min="3849" max="3850"/>
    <col width="12.1796875" bestFit="1" customWidth="1" style="90" min="3851" max="3851"/>
    <col width="15.26953125" bestFit="1" customWidth="1" style="90" min="3852" max="3852"/>
    <col width="8.81640625" customWidth="1" style="90" min="3853" max="4096"/>
    <col width="18.81640625" bestFit="1" customWidth="1" style="90" min="4097" max="4097"/>
    <col width="13.453125" customWidth="1" style="90" min="4098" max="4098"/>
    <col width="20.453125" bestFit="1" customWidth="1" style="90" min="4099" max="4099"/>
    <col width="17.453125" bestFit="1" customWidth="1" style="90" min="4100" max="4100"/>
    <col width="19.453125" customWidth="1" style="90" min="4101" max="4101"/>
    <col width="17.81640625" customWidth="1" style="90" min="4102" max="4102"/>
    <col width="19.453125" customWidth="1" style="90" min="4103" max="4103"/>
    <col width="17.453125" customWidth="1" style="90" min="4104" max="4104"/>
    <col width="8.81640625" customWidth="1" style="90" min="4105" max="4106"/>
    <col width="12.1796875" bestFit="1" customWidth="1" style="90" min="4107" max="4107"/>
    <col width="15.26953125" bestFit="1" customWidth="1" style="90" min="4108" max="4108"/>
    <col width="8.81640625" customWidth="1" style="90" min="4109" max="4352"/>
    <col width="18.81640625" bestFit="1" customWidth="1" style="90" min="4353" max="4353"/>
    <col width="13.453125" customWidth="1" style="90" min="4354" max="4354"/>
    <col width="20.453125" bestFit="1" customWidth="1" style="90" min="4355" max="4355"/>
    <col width="17.453125" bestFit="1" customWidth="1" style="90" min="4356" max="4356"/>
    <col width="19.453125" customWidth="1" style="90" min="4357" max="4357"/>
    <col width="17.81640625" customWidth="1" style="90" min="4358" max="4358"/>
    <col width="19.453125" customWidth="1" style="90" min="4359" max="4359"/>
    <col width="17.453125" customWidth="1" style="90" min="4360" max="4360"/>
    <col width="8.81640625" customWidth="1" style="90" min="4361" max="4362"/>
    <col width="12.1796875" bestFit="1" customWidth="1" style="90" min="4363" max="4363"/>
    <col width="15.26953125" bestFit="1" customWidth="1" style="90" min="4364" max="4364"/>
    <col width="8.81640625" customWidth="1" style="90" min="4365" max="4608"/>
    <col width="18.81640625" bestFit="1" customWidth="1" style="90" min="4609" max="4609"/>
    <col width="13.453125" customWidth="1" style="90" min="4610" max="4610"/>
    <col width="20.453125" bestFit="1" customWidth="1" style="90" min="4611" max="4611"/>
    <col width="17.453125" bestFit="1" customWidth="1" style="90" min="4612" max="4612"/>
    <col width="19.453125" customWidth="1" style="90" min="4613" max="4613"/>
    <col width="17.81640625" customWidth="1" style="90" min="4614" max="4614"/>
    <col width="19.453125" customWidth="1" style="90" min="4615" max="4615"/>
    <col width="17.453125" customWidth="1" style="90" min="4616" max="4616"/>
    <col width="8.81640625" customWidth="1" style="90" min="4617" max="4618"/>
    <col width="12.1796875" bestFit="1" customWidth="1" style="90" min="4619" max="4619"/>
    <col width="15.26953125" bestFit="1" customWidth="1" style="90" min="4620" max="4620"/>
    <col width="8.81640625" customWidth="1" style="90" min="4621" max="4864"/>
    <col width="18.81640625" bestFit="1" customWidth="1" style="90" min="4865" max="4865"/>
    <col width="13.453125" customWidth="1" style="90" min="4866" max="4866"/>
    <col width="20.453125" bestFit="1" customWidth="1" style="90" min="4867" max="4867"/>
    <col width="17.453125" bestFit="1" customWidth="1" style="90" min="4868" max="4868"/>
    <col width="19.453125" customWidth="1" style="90" min="4869" max="4869"/>
    <col width="17.81640625" customWidth="1" style="90" min="4870" max="4870"/>
    <col width="19.453125" customWidth="1" style="90" min="4871" max="4871"/>
    <col width="17.453125" customWidth="1" style="90" min="4872" max="4872"/>
    <col width="8.81640625" customWidth="1" style="90" min="4873" max="4874"/>
    <col width="12.1796875" bestFit="1" customWidth="1" style="90" min="4875" max="4875"/>
    <col width="15.26953125" bestFit="1" customWidth="1" style="90" min="4876" max="4876"/>
    <col width="8.81640625" customWidth="1" style="90" min="4877" max="5120"/>
    <col width="18.81640625" bestFit="1" customWidth="1" style="90" min="5121" max="5121"/>
    <col width="13.453125" customWidth="1" style="90" min="5122" max="5122"/>
    <col width="20.453125" bestFit="1" customWidth="1" style="90" min="5123" max="5123"/>
    <col width="17.453125" bestFit="1" customWidth="1" style="90" min="5124" max="5124"/>
    <col width="19.453125" customWidth="1" style="90" min="5125" max="5125"/>
    <col width="17.81640625" customWidth="1" style="90" min="5126" max="5126"/>
    <col width="19.453125" customWidth="1" style="90" min="5127" max="5127"/>
    <col width="17.453125" customWidth="1" style="90" min="5128" max="5128"/>
    <col width="8.81640625" customWidth="1" style="90" min="5129" max="5130"/>
    <col width="12.1796875" bestFit="1" customWidth="1" style="90" min="5131" max="5131"/>
    <col width="15.26953125" bestFit="1" customWidth="1" style="90" min="5132" max="5132"/>
    <col width="8.81640625" customWidth="1" style="90" min="5133" max="5376"/>
    <col width="18.81640625" bestFit="1" customWidth="1" style="90" min="5377" max="5377"/>
    <col width="13.453125" customWidth="1" style="90" min="5378" max="5378"/>
    <col width="20.453125" bestFit="1" customWidth="1" style="90" min="5379" max="5379"/>
    <col width="17.453125" bestFit="1" customWidth="1" style="90" min="5380" max="5380"/>
    <col width="19.453125" customWidth="1" style="90" min="5381" max="5381"/>
    <col width="17.81640625" customWidth="1" style="90" min="5382" max="5382"/>
    <col width="19.453125" customWidth="1" style="90" min="5383" max="5383"/>
    <col width="17.453125" customWidth="1" style="90" min="5384" max="5384"/>
    <col width="8.81640625" customWidth="1" style="90" min="5385" max="5386"/>
    <col width="12.1796875" bestFit="1" customWidth="1" style="90" min="5387" max="5387"/>
    <col width="15.26953125" bestFit="1" customWidth="1" style="90" min="5388" max="5388"/>
    <col width="8.81640625" customWidth="1" style="90" min="5389" max="5632"/>
    <col width="18.81640625" bestFit="1" customWidth="1" style="90" min="5633" max="5633"/>
    <col width="13.453125" customWidth="1" style="90" min="5634" max="5634"/>
    <col width="20.453125" bestFit="1" customWidth="1" style="90" min="5635" max="5635"/>
    <col width="17.453125" bestFit="1" customWidth="1" style="90" min="5636" max="5636"/>
    <col width="19.453125" customWidth="1" style="90" min="5637" max="5637"/>
    <col width="17.81640625" customWidth="1" style="90" min="5638" max="5638"/>
    <col width="19.453125" customWidth="1" style="90" min="5639" max="5639"/>
    <col width="17.453125" customWidth="1" style="90" min="5640" max="5640"/>
    <col width="8.81640625" customWidth="1" style="90" min="5641" max="5642"/>
    <col width="12.1796875" bestFit="1" customWidth="1" style="90" min="5643" max="5643"/>
    <col width="15.26953125" bestFit="1" customWidth="1" style="90" min="5644" max="5644"/>
    <col width="8.81640625" customWidth="1" style="90" min="5645" max="5888"/>
    <col width="18.81640625" bestFit="1" customWidth="1" style="90" min="5889" max="5889"/>
    <col width="13.453125" customWidth="1" style="90" min="5890" max="5890"/>
    <col width="20.453125" bestFit="1" customWidth="1" style="90" min="5891" max="5891"/>
    <col width="17.453125" bestFit="1" customWidth="1" style="90" min="5892" max="5892"/>
    <col width="19.453125" customWidth="1" style="90" min="5893" max="5893"/>
    <col width="17.81640625" customWidth="1" style="90" min="5894" max="5894"/>
    <col width="19.453125" customWidth="1" style="90" min="5895" max="5895"/>
    <col width="17.453125" customWidth="1" style="90" min="5896" max="5896"/>
    <col width="8.81640625" customWidth="1" style="90" min="5897" max="5898"/>
    <col width="12.1796875" bestFit="1" customWidth="1" style="90" min="5899" max="5899"/>
    <col width="15.26953125" bestFit="1" customWidth="1" style="90" min="5900" max="5900"/>
    <col width="8.81640625" customWidth="1" style="90" min="5901" max="6144"/>
    <col width="18.81640625" bestFit="1" customWidth="1" style="90" min="6145" max="6145"/>
    <col width="13.453125" customWidth="1" style="90" min="6146" max="6146"/>
    <col width="20.453125" bestFit="1" customWidth="1" style="90" min="6147" max="6147"/>
    <col width="17.453125" bestFit="1" customWidth="1" style="90" min="6148" max="6148"/>
    <col width="19.453125" customWidth="1" style="90" min="6149" max="6149"/>
    <col width="17.81640625" customWidth="1" style="90" min="6150" max="6150"/>
    <col width="19.453125" customWidth="1" style="90" min="6151" max="6151"/>
    <col width="17.453125" customWidth="1" style="90" min="6152" max="6152"/>
    <col width="8.81640625" customWidth="1" style="90" min="6153" max="6154"/>
    <col width="12.1796875" bestFit="1" customWidth="1" style="90" min="6155" max="6155"/>
    <col width="15.26953125" bestFit="1" customWidth="1" style="90" min="6156" max="6156"/>
    <col width="8.81640625" customWidth="1" style="90" min="6157" max="6400"/>
    <col width="18.81640625" bestFit="1" customWidth="1" style="90" min="6401" max="6401"/>
    <col width="13.453125" customWidth="1" style="90" min="6402" max="6402"/>
    <col width="20.453125" bestFit="1" customWidth="1" style="90" min="6403" max="6403"/>
    <col width="17.453125" bestFit="1" customWidth="1" style="90" min="6404" max="6404"/>
    <col width="19.453125" customWidth="1" style="90" min="6405" max="6405"/>
    <col width="17.81640625" customWidth="1" style="90" min="6406" max="6406"/>
    <col width="19.453125" customWidth="1" style="90" min="6407" max="6407"/>
    <col width="17.453125" customWidth="1" style="90" min="6408" max="6408"/>
    <col width="8.81640625" customWidth="1" style="90" min="6409" max="6410"/>
    <col width="12.1796875" bestFit="1" customWidth="1" style="90" min="6411" max="6411"/>
    <col width="15.26953125" bestFit="1" customWidth="1" style="90" min="6412" max="6412"/>
    <col width="8.81640625" customWidth="1" style="90" min="6413" max="6656"/>
    <col width="18.81640625" bestFit="1" customWidth="1" style="90" min="6657" max="6657"/>
    <col width="13.453125" customWidth="1" style="90" min="6658" max="6658"/>
    <col width="20.453125" bestFit="1" customWidth="1" style="90" min="6659" max="6659"/>
    <col width="17.453125" bestFit="1" customWidth="1" style="90" min="6660" max="6660"/>
    <col width="19.453125" customWidth="1" style="90" min="6661" max="6661"/>
    <col width="17.81640625" customWidth="1" style="90" min="6662" max="6662"/>
    <col width="19.453125" customWidth="1" style="90" min="6663" max="6663"/>
    <col width="17.453125" customWidth="1" style="90" min="6664" max="6664"/>
    <col width="8.81640625" customWidth="1" style="90" min="6665" max="6666"/>
    <col width="12.1796875" bestFit="1" customWidth="1" style="90" min="6667" max="6667"/>
    <col width="15.26953125" bestFit="1" customWidth="1" style="90" min="6668" max="6668"/>
    <col width="8.81640625" customWidth="1" style="90" min="6669" max="6912"/>
    <col width="18.81640625" bestFit="1" customWidth="1" style="90" min="6913" max="6913"/>
    <col width="13.453125" customWidth="1" style="90" min="6914" max="6914"/>
    <col width="20.453125" bestFit="1" customWidth="1" style="90" min="6915" max="6915"/>
    <col width="17.453125" bestFit="1" customWidth="1" style="90" min="6916" max="6916"/>
    <col width="19.453125" customWidth="1" style="90" min="6917" max="6917"/>
    <col width="17.81640625" customWidth="1" style="90" min="6918" max="6918"/>
    <col width="19.453125" customWidth="1" style="90" min="6919" max="6919"/>
    <col width="17.453125" customWidth="1" style="90" min="6920" max="6920"/>
    <col width="8.81640625" customWidth="1" style="90" min="6921" max="6922"/>
    <col width="12.1796875" bestFit="1" customWidth="1" style="90" min="6923" max="6923"/>
    <col width="15.26953125" bestFit="1" customWidth="1" style="90" min="6924" max="6924"/>
    <col width="8.81640625" customWidth="1" style="90" min="6925" max="7168"/>
    <col width="18.81640625" bestFit="1" customWidth="1" style="90" min="7169" max="7169"/>
    <col width="13.453125" customWidth="1" style="90" min="7170" max="7170"/>
    <col width="20.453125" bestFit="1" customWidth="1" style="90" min="7171" max="7171"/>
    <col width="17.453125" bestFit="1" customWidth="1" style="90" min="7172" max="7172"/>
    <col width="19.453125" customWidth="1" style="90" min="7173" max="7173"/>
    <col width="17.81640625" customWidth="1" style="90" min="7174" max="7174"/>
    <col width="19.453125" customWidth="1" style="90" min="7175" max="7175"/>
    <col width="17.453125" customWidth="1" style="90" min="7176" max="7176"/>
    <col width="8.81640625" customWidth="1" style="90" min="7177" max="7178"/>
    <col width="12.1796875" bestFit="1" customWidth="1" style="90" min="7179" max="7179"/>
    <col width="15.26953125" bestFit="1" customWidth="1" style="90" min="7180" max="7180"/>
    <col width="8.81640625" customWidth="1" style="90" min="7181" max="7424"/>
    <col width="18.81640625" bestFit="1" customWidth="1" style="90" min="7425" max="7425"/>
    <col width="13.453125" customWidth="1" style="90" min="7426" max="7426"/>
    <col width="20.453125" bestFit="1" customWidth="1" style="90" min="7427" max="7427"/>
    <col width="17.453125" bestFit="1" customWidth="1" style="90" min="7428" max="7428"/>
    <col width="19.453125" customWidth="1" style="90" min="7429" max="7429"/>
    <col width="17.81640625" customWidth="1" style="90" min="7430" max="7430"/>
    <col width="19.453125" customWidth="1" style="90" min="7431" max="7431"/>
    <col width="17.453125" customWidth="1" style="90" min="7432" max="7432"/>
    <col width="8.81640625" customWidth="1" style="90" min="7433" max="7434"/>
    <col width="12.1796875" bestFit="1" customWidth="1" style="90" min="7435" max="7435"/>
    <col width="15.26953125" bestFit="1" customWidth="1" style="90" min="7436" max="7436"/>
    <col width="8.81640625" customWidth="1" style="90" min="7437" max="7680"/>
    <col width="18.81640625" bestFit="1" customWidth="1" style="90" min="7681" max="7681"/>
    <col width="13.453125" customWidth="1" style="90" min="7682" max="7682"/>
    <col width="20.453125" bestFit="1" customWidth="1" style="90" min="7683" max="7683"/>
    <col width="17.453125" bestFit="1" customWidth="1" style="90" min="7684" max="7684"/>
    <col width="19.453125" customWidth="1" style="90" min="7685" max="7685"/>
    <col width="17.81640625" customWidth="1" style="90" min="7686" max="7686"/>
    <col width="19.453125" customWidth="1" style="90" min="7687" max="7687"/>
    <col width="17.453125" customWidth="1" style="90" min="7688" max="7688"/>
    <col width="8.81640625" customWidth="1" style="90" min="7689" max="7690"/>
    <col width="12.1796875" bestFit="1" customWidth="1" style="90" min="7691" max="7691"/>
    <col width="15.26953125" bestFit="1" customWidth="1" style="90" min="7692" max="7692"/>
    <col width="8.81640625" customWidth="1" style="90" min="7693" max="7936"/>
    <col width="18.81640625" bestFit="1" customWidth="1" style="90" min="7937" max="7937"/>
    <col width="13.453125" customWidth="1" style="90" min="7938" max="7938"/>
    <col width="20.453125" bestFit="1" customWidth="1" style="90" min="7939" max="7939"/>
    <col width="17.453125" bestFit="1" customWidth="1" style="90" min="7940" max="7940"/>
    <col width="19.453125" customWidth="1" style="90" min="7941" max="7941"/>
    <col width="17.81640625" customWidth="1" style="90" min="7942" max="7942"/>
    <col width="19.453125" customWidth="1" style="90" min="7943" max="7943"/>
    <col width="17.453125" customWidth="1" style="90" min="7944" max="7944"/>
    <col width="8.81640625" customWidth="1" style="90" min="7945" max="7946"/>
    <col width="12.1796875" bestFit="1" customWidth="1" style="90" min="7947" max="7947"/>
    <col width="15.26953125" bestFit="1" customWidth="1" style="90" min="7948" max="7948"/>
    <col width="8.81640625" customWidth="1" style="90" min="7949" max="8192"/>
    <col width="18.81640625" bestFit="1" customWidth="1" style="90" min="8193" max="8193"/>
    <col width="13.453125" customWidth="1" style="90" min="8194" max="8194"/>
    <col width="20.453125" bestFit="1" customWidth="1" style="90" min="8195" max="8195"/>
    <col width="17.453125" bestFit="1" customWidth="1" style="90" min="8196" max="8196"/>
    <col width="19.453125" customWidth="1" style="90" min="8197" max="8197"/>
    <col width="17.81640625" customWidth="1" style="90" min="8198" max="8198"/>
    <col width="19.453125" customWidth="1" style="90" min="8199" max="8199"/>
    <col width="17.453125" customWidth="1" style="90" min="8200" max="8200"/>
    <col width="8.81640625" customWidth="1" style="90" min="8201" max="8202"/>
    <col width="12.1796875" bestFit="1" customWidth="1" style="90" min="8203" max="8203"/>
    <col width="15.26953125" bestFit="1" customWidth="1" style="90" min="8204" max="8204"/>
    <col width="8.81640625" customWidth="1" style="90" min="8205" max="8448"/>
    <col width="18.81640625" bestFit="1" customWidth="1" style="90" min="8449" max="8449"/>
    <col width="13.453125" customWidth="1" style="90" min="8450" max="8450"/>
    <col width="20.453125" bestFit="1" customWidth="1" style="90" min="8451" max="8451"/>
    <col width="17.453125" bestFit="1" customWidth="1" style="90" min="8452" max="8452"/>
    <col width="19.453125" customWidth="1" style="90" min="8453" max="8453"/>
    <col width="17.81640625" customWidth="1" style="90" min="8454" max="8454"/>
    <col width="19.453125" customWidth="1" style="90" min="8455" max="8455"/>
    <col width="17.453125" customWidth="1" style="90" min="8456" max="8456"/>
    <col width="8.81640625" customWidth="1" style="90" min="8457" max="8458"/>
    <col width="12.1796875" bestFit="1" customWidth="1" style="90" min="8459" max="8459"/>
    <col width="15.26953125" bestFit="1" customWidth="1" style="90" min="8460" max="8460"/>
    <col width="8.81640625" customWidth="1" style="90" min="8461" max="8704"/>
    <col width="18.81640625" bestFit="1" customWidth="1" style="90" min="8705" max="8705"/>
    <col width="13.453125" customWidth="1" style="90" min="8706" max="8706"/>
    <col width="20.453125" bestFit="1" customWidth="1" style="90" min="8707" max="8707"/>
    <col width="17.453125" bestFit="1" customWidth="1" style="90" min="8708" max="8708"/>
    <col width="19.453125" customWidth="1" style="90" min="8709" max="8709"/>
    <col width="17.81640625" customWidth="1" style="90" min="8710" max="8710"/>
    <col width="19.453125" customWidth="1" style="90" min="8711" max="8711"/>
    <col width="17.453125" customWidth="1" style="90" min="8712" max="8712"/>
    <col width="8.81640625" customWidth="1" style="90" min="8713" max="8714"/>
    <col width="12.1796875" bestFit="1" customWidth="1" style="90" min="8715" max="8715"/>
    <col width="15.26953125" bestFit="1" customWidth="1" style="90" min="8716" max="8716"/>
    <col width="8.81640625" customWidth="1" style="90" min="8717" max="8960"/>
    <col width="18.81640625" bestFit="1" customWidth="1" style="90" min="8961" max="8961"/>
    <col width="13.453125" customWidth="1" style="90" min="8962" max="8962"/>
    <col width="20.453125" bestFit="1" customWidth="1" style="90" min="8963" max="8963"/>
    <col width="17.453125" bestFit="1" customWidth="1" style="90" min="8964" max="8964"/>
    <col width="19.453125" customWidth="1" style="90" min="8965" max="8965"/>
    <col width="17.81640625" customWidth="1" style="90" min="8966" max="8966"/>
    <col width="19.453125" customWidth="1" style="90" min="8967" max="8967"/>
    <col width="17.453125" customWidth="1" style="90" min="8968" max="8968"/>
    <col width="8.81640625" customWidth="1" style="90" min="8969" max="8970"/>
    <col width="12.1796875" bestFit="1" customWidth="1" style="90" min="8971" max="8971"/>
    <col width="15.26953125" bestFit="1" customWidth="1" style="90" min="8972" max="8972"/>
    <col width="8.81640625" customWidth="1" style="90" min="8973" max="9216"/>
    <col width="18.81640625" bestFit="1" customWidth="1" style="90" min="9217" max="9217"/>
    <col width="13.453125" customWidth="1" style="90" min="9218" max="9218"/>
    <col width="20.453125" bestFit="1" customWidth="1" style="90" min="9219" max="9219"/>
    <col width="17.453125" bestFit="1" customWidth="1" style="90" min="9220" max="9220"/>
    <col width="19.453125" customWidth="1" style="90" min="9221" max="9221"/>
    <col width="17.81640625" customWidth="1" style="90" min="9222" max="9222"/>
    <col width="19.453125" customWidth="1" style="90" min="9223" max="9223"/>
    <col width="17.453125" customWidth="1" style="90" min="9224" max="9224"/>
    <col width="8.81640625" customWidth="1" style="90" min="9225" max="9226"/>
    <col width="12.1796875" bestFit="1" customWidth="1" style="90" min="9227" max="9227"/>
    <col width="15.26953125" bestFit="1" customWidth="1" style="90" min="9228" max="9228"/>
    <col width="8.81640625" customWidth="1" style="90" min="9229" max="9472"/>
    <col width="18.81640625" bestFit="1" customWidth="1" style="90" min="9473" max="9473"/>
    <col width="13.453125" customWidth="1" style="90" min="9474" max="9474"/>
    <col width="20.453125" bestFit="1" customWidth="1" style="90" min="9475" max="9475"/>
    <col width="17.453125" bestFit="1" customWidth="1" style="90" min="9476" max="9476"/>
    <col width="19.453125" customWidth="1" style="90" min="9477" max="9477"/>
    <col width="17.81640625" customWidth="1" style="90" min="9478" max="9478"/>
    <col width="19.453125" customWidth="1" style="90" min="9479" max="9479"/>
    <col width="17.453125" customWidth="1" style="90" min="9480" max="9480"/>
    <col width="8.81640625" customWidth="1" style="90" min="9481" max="9482"/>
    <col width="12.1796875" bestFit="1" customWidth="1" style="90" min="9483" max="9483"/>
    <col width="15.26953125" bestFit="1" customWidth="1" style="90" min="9484" max="9484"/>
    <col width="8.81640625" customWidth="1" style="90" min="9485" max="9728"/>
    <col width="18.81640625" bestFit="1" customWidth="1" style="90" min="9729" max="9729"/>
    <col width="13.453125" customWidth="1" style="90" min="9730" max="9730"/>
    <col width="20.453125" bestFit="1" customWidth="1" style="90" min="9731" max="9731"/>
    <col width="17.453125" bestFit="1" customWidth="1" style="90" min="9732" max="9732"/>
    <col width="19.453125" customWidth="1" style="90" min="9733" max="9733"/>
    <col width="17.81640625" customWidth="1" style="90" min="9734" max="9734"/>
    <col width="19.453125" customWidth="1" style="90" min="9735" max="9735"/>
    <col width="17.453125" customWidth="1" style="90" min="9736" max="9736"/>
    <col width="8.81640625" customWidth="1" style="90" min="9737" max="9738"/>
    <col width="12.1796875" bestFit="1" customWidth="1" style="90" min="9739" max="9739"/>
    <col width="15.26953125" bestFit="1" customWidth="1" style="90" min="9740" max="9740"/>
    <col width="8.81640625" customWidth="1" style="90" min="9741" max="9984"/>
    <col width="18.81640625" bestFit="1" customWidth="1" style="90" min="9985" max="9985"/>
    <col width="13.453125" customWidth="1" style="90" min="9986" max="9986"/>
    <col width="20.453125" bestFit="1" customWidth="1" style="90" min="9987" max="9987"/>
    <col width="17.453125" bestFit="1" customWidth="1" style="90" min="9988" max="9988"/>
    <col width="19.453125" customWidth="1" style="90" min="9989" max="9989"/>
    <col width="17.81640625" customWidth="1" style="90" min="9990" max="9990"/>
    <col width="19.453125" customWidth="1" style="90" min="9991" max="9991"/>
    <col width="17.453125" customWidth="1" style="90" min="9992" max="9992"/>
    <col width="8.81640625" customWidth="1" style="90" min="9993" max="9994"/>
    <col width="12.1796875" bestFit="1" customWidth="1" style="90" min="9995" max="9995"/>
    <col width="15.26953125" bestFit="1" customWidth="1" style="90" min="9996" max="9996"/>
    <col width="8.81640625" customWidth="1" style="90" min="9997" max="10240"/>
    <col width="18.81640625" bestFit="1" customWidth="1" style="90" min="10241" max="10241"/>
    <col width="13.453125" customWidth="1" style="90" min="10242" max="10242"/>
    <col width="20.453125" bestFit="1" customWidth="1" style="90" min="10243" max="10243"/>
    <col width="17.453125" bestFit="1" customWidth="1" style="90" min="10244" max="10244"/>
    <col width="19.453125" customWidth="1" style="90" min="10245" max="10245"/>
    <col width="17.81640625" customWidth="1" style="90" min="10246" max="10246"/>
    <col width="19.453125" customWidth="1" style="90" min="10247" max="10247"/>
    <col width="17.453125" customWidth="1" style="90" min="10248" max="10248"/>
    <col width="8.81640625" customWidth="1" style="90" min="10249" max="10250"/>
    <col width="12.1796875" bestFit="1" customWidth="1" style="90" min="10251" max="10251"/>
    <col width="15.26953125" bestFit="1" customWidth="1" style="90" min="10252" max="10252"/>
    <col width="8.81640625" customWidth="1" style="90" min="10253" max="10496"/>
    <col width="18.81640625" bestFit="1" customWidth="1" style="90" min="10497" max="10497"/>
    <col width="13.453125" customWidth="1" style="90" min="10498" max="10498"/>
    <col width="20.453125" bestFit="1" customWidth="1" style="90" min="10499" max="10499"/>
    <col width="17.453125" bestFit="1" customWidth="1" style="90" min="10500" max="10500"/>
    <col width="19.453125" customWidth="1" style="90" min="10501" max="10501"/>
    <col width="17.81640625" customWidth="1" style="90" min="10502" max="10502"/>
    <col width="19.453125" customWidth="1" style="90" min="10503" max="10503"/>
    <col width="17.453125" customWidth="1" style="90" min="10504" max="10504"/>
    <col width="8.81640625" customWidth="1" style="90" min="10505" max="10506"/>
    <col width="12.1796875" bestFit="1" customWidth="1" style="90" min="10507" max="10507"/>
    <col width="15.26953125" bestFit="1" customWidth="1" style="90" min="10508" max="10508"/>
    <col width="8.81640625" customWidth="1" style="90" min="10509" max="10752"/>
    <col width="18.81640625" bestFit="1" customWidth="1" style="90" min="10753" max="10753"/>
    <col width="13.453125" customWidth="1" style="90" min="10754" max="10754"/>
    <col width="20.453125" bestFit="1" customWidth="1" style="90" min="10755" max="10755"/>
    <col width="17.453125" bestFit="1" customWidth="1" style="90" min="10756" max="10756"/>
    <col width="19.453125" customWidth="1" style="90" min="10757" max="10757"/>
    <col width="17.81640625" customWidth="1" style="90" min="10758" max="10758"/>
    <col width="19.453125" customWidth="1" style="90" min="10759" max="10759"/>
    <col width="17.453125" customWidth="1" style="90" min="10760" max="10760"/>
    <col width="8.81640625" customWidth="1" style="90" min="10761" max="10762"/>
    <col width="12.1796875" bestFit="1" customWidth="1" style="90" min="10763" max="10763"/>
    <col width="15.26953125" bestFit="1" customWidth="1" style="90" min="10764" max="10764"/>
    <col width="8.81640625" customWidth="1" style="90" min="10765" max="11008"/>
    <col width="18.81640625" bestFit="1" customWidth="1" style="90" min="11009" max="11009"/>
    <col width="13.453125" customWidth="1" style="90" min="11010" max="11010"/>
    <col width="20.453125" bestFit="1" customWidth="1" style="90" min="11011" max="11011"/>
    <col width="17.453125" bestFit="1" customWidth="1" style="90" min="11012" max="11012"/>
    <col width="19.453125" customWidth="1" style="90" min="11013" max="11013"/>
    <col width="17.81640625" customWidth="1" style="90" min="11014" max="11014"/>
    <col width="19.453125" customWidth="1" style="90" min="11015" max="11015"/>
    <col width="17.453125" customWidth="1" style="90" min="11016" max="11016"/>
    <col width="8.81640625" customWidth="1" style="90" min="11017" max="11018"/>
    <col width="12.1796875" bestFit="1" customWidth="1" style="90" min="11019" max="11019"/>
    <col width="15.26953125" bestFit="1" customWidth="1" style="90" min="11020" max="11020"/>
    <col width="8.81640625" customWidth="1" style="90" min="11021" max="11264"/>
    <col width="18.81640625" bestFit="1" customWidth="1" style="90" min="11265" max="11265"/>
    <col width="13.453125" customWidth="1" style="90" min="11266" max="11266"/>
    <col width="20.453125" bestFit="1" customWidth="1" style="90" min="11267" max="11267"/>
    <col width="17.453125" bestFit="1" customWidth="1" style="90" min="11268" max="11268"/>
    <col width="19.453125" customWidth="1" style="90" min="11269" max="11269"/>
    <col width="17.81640625" customWidth="1" style="90" min="11270" max="11270"/>
    <col width="19.453125" customWidth="1" style="90" min="11271" max="11271"/>
    <col width="17.453125" customWidth="1" style="90" min="11272" max="11272"/>
    <col width="8.81640625" customWidth="1" style="90" min="11273" max="11274"/>
    <col width="12.1796875" bestFit="1" customWidth="1" style="90" min="11275" max="11275"/>
    <col width="15.26953125" bestFit="1" customWidth="1" style="90" min="11276" max="11276"/>
    <col width="8.81640625" customWidth="1" style="90" min="11277" max="11520"/>
    <col width="18.81640625" bestFit="1" customWidth="1" style="90" min="11521" max="11521"/>
    <col width="13.453125" customWidth="1" style="90" min="11522" max="11522"/>
    <col width="20.453125" bestFit="1" customWidth="1" style="90" min="11523" max="11523"/>
    <col width="17.453125" bestFit="1" customWidth="1" style="90" min="11524" max="11524"/>
    <col width="19.453125" customWidth="1" style="90" min="11525" max="11525"/>
    <col width="17.81640625" customWidth="1" style="90" min="11526" max="11526"/>
    <col width="19.453125" customWidth="1" style="90" min="11527" max="11527"/>
    <col width="17.453125" customWidth="1" style="90" min="11528" max="11528"/>
    <col width="8.81640625" customWidth="1" style="90" min="11529" max="11530"/>
    <col width="12.1796875" bestFit="1" customWidth="1" style="90" min="11531" max="11531"/>
    <col width="15.26953125" bestFit="1" customWidth="1" style="90" min="11532" max="11532"/>
    <col width="8.81640625" customWidth="1" style="90" min="11533" max="11776"/>
    <col width="18.81640625" bestFit="1" customWidth="1" style="90" min="11777" max="11777"/>
    <col width="13.453125" customWidth="1" style="90" min="11778" max="11778"/>
    <col width="20.453125" bestFit="1" customWidth="1" style="90" min="11779" max="11779"/>
    <col width="17.453125" bestFit="1" customWidth="1" style="90" min="11780" max="11780"/>
    <col width="19.453125" customWidth="1" style="90" min="11781" max="11781"/>
    <col width="17.81640625" customWidth="1" style="90" min="11782" max="11782"/>
    <col width="19.453125" customWidth="1" style="90" min="11783" max="11783"/>
    <col width="17.453125" customWidth="1" style="90" min="11784" max="11784"/>
    <col width="8.81640625" customWidth="1" style="90" min="11785" max="11786"/>
    <col width="12.1796875" bestFit="1" customWidth="1" style="90" min="11787" max="11787"/>
    <col width="15.26953125" bestFit="1" customWidth="1" style="90" min="11788" max="11788"/>
    <col width="8.81640625" customWidth="1" style="90" min="11789" max="12032"/>
    <col width="18.81640625" bestFit="1" customWidth="1" style="90" min="12033" max="12033"/>
    <col width="13.453125" customWidth="1" style="90" min="12034" max="12034"/>
    <col width="20.453125" bestFit="1" customWidth="1" style="90" min="12035" max="12035"/>
    <col width="17.453125" bestFit="1" customWidth="1" style="90" min="12036" max="12036"/>
    <col width="19.453125" customWidth="1" style="90" min="12037" max="12037"/>
    <col width="17.81640625" customWidth="1" style="90" min="12038" max="12038"/>
    <col width="19.453125" customWidth="1" style="90" min="12039" max="12039"/>
    <col width="17.453125" customWidth="1" style="90" min="12040" max="12040"/>
    <col width="8.81640625" customWidth="1" style="90" min="12041" max="12042"/>
    <col width="12.1796875" bestFit="1" customWidth="1" style="90" min="12043" max="12043"/>
    <col width="15.26953125" bestFit="1" customWidth="1" style="90" min="12044" max="12044"/>
    <col width="8.81640625" customWidth="1" style="90" min="12045" max="12288"/>
    <col width="18.81640625" bestFit="1" customWidth="1" style="90" min="12289" max="12289"/>
    <col width="13.453125" customWidth="1" style="90" min="12290" max="12290"/>
    <col width="20.453125" bestFit="1" customWidth="1" style="90" min="12291" max="12291"/>
    <col width="17.453125" bestFit="1" customWidth="1" style="90" min="12292" max="12292"/>
    <col width="19.453125" customWidth="1" style="90" min="12293" max="12293"/>
    <col width="17.81640625" customWidth="1" style="90" min="12294" max="12294"/>
    <col width="19.453125" customWidth="1" style="90" min="12295" max="12295"/>
    <col width="17.453125" customWidth="1" style="90" min="12296" max="12296"/>
    <col width="8.81640625" customWidth="1" style="90" min="12297" max="12298"/>
    <col width="12.1796875" bestFit="1" customWidth="1" style="90" min="12299" max="12299"/>
    <col width="15.26953125" bestFit="1" customWidth="1" style="90" min="12300" max="12300"/>
    <col width="8.81640625" customWidth="1" style="90" min="12301" max="12544"/>
    <col width="18.81640625" bestFit="1" customWidth="1" style="90" min="12545" max="12545"/>
    <col width="13.453125" customWidth="1" style="90" min="12546" max="12546"/>
    <col width="20.453125" bestFit="1" customWidth="1" style="90" min="12547" max="12547"/>
    <col width="17.453125" bestFit="1" customWidth="1" style="90" min="12548" max="12548"/>
    <col width="19.453125" customWidth="1" style="90" min="12549" max="12549"/>
    <col width="17.81640625" customWidth="1" style="90" min="12550" max="12550"/>
    <col width="19.453125" customWidth="1" style="90" min="12551" max="12551"/>
    <col width="17.453125" customWidth="1" style="90" min="12552" max="12552"/>
    <col width="8.81640625" customWidth="1" style="90" min="12553" max="12554"/>
    <col width="12.1796875" bestFit="1" customWidth="1" style="90" min="12555" max="12555"/>
    <col width="15.26953125" bestFit="1" customWidth="1" style="90" min="12556" max="12556"/>
    <col width="8.81640625" customWidth="1" style="90" min="12557" max="12800"/>
    <col width="18.81640625" bestFit="1" customWidth="1" style="90" min="12801" max="12801"/>
    <col width="13.453125" customWidth="1" style="90" min="12802" max="12802"/>
    <col width="20.453125" bestFit="1" customWidth="1" style="90" min="12803" max="12803"/>
    <col width="17.453125" bestFit="1" customWidth="1" style="90" min="12804" max="12804"/>
    <col width="19.453125" customWidth="1" style="90" min="12805" max="12805"/>
    <col width="17.81640625" customWidth="1" style="90" min="12806" max="12806"/>
    <col width="19.453125" customWidth="1" style="90" min="12807" max="12807"/>
    <col width="17.453125" customWidth="1" style="90" min="12808" max="12808"/>
    <col width="8.81640625" customWidth="1" style="90" min="12809" max="12810"/>
    <col width="12.1796875" bestFit="1" customWidth="1" style="90" min="12811" max="12811"/>
    <col width="15.26953125" bestFit="1" customWidth="1" style="90" min="12812" max="12812"/>
    <col width="8.81640625" customWidth="1" style="90" min="12813" max="13056"/>
    <col width="18.81640625" bestFit="1" customWidth="1" style="90" min="13057" max="13057"/>
    <col width="13.453125" customWidth="1" style="90" min="13058" max="13058"/>
    <col width="20.453125" bestFit="1" customWidth="1" style="90" min="13059" max="13059"/>
    <col width="17.453125" bestFit="1" customWidth="1" style="90" min="13060" max="13060"/>
    <col width="19.453125" customWidth="1" style="90" min="13061" max="13061"/>
    <col width="17.81640625" customWidth="1" style="90" min="13062" max="13062"/>
    <col width="19.453125" customWidth="1" style="90" min="13063" max="13063"/>
    <col width="17.453125" customWidth="1" style="90" min="13064" max="13064"/>
    <col width="8.81640625" customWidth="1" style="90" min="13065" max="13066"/>
    <col width="12.1796875" bestFit="1" customWidth="1" style="90" min="13067" max="13067"/>
    <col width="15.26953125" bestFit="1" customWidth="1" style="90" min="13068" max="13068"/>
    <col width="8.81640625" customWidth="1" style="90" min="13069" max="13312"/>
    <col width="18.81640625" bestFit="1" customWidth="1" style="90" min="13313" max="13313"/>
    <col width="13.453125" customWidth="1" style="90" min="13314" max="13314"/>
    <col width="20.453125" bestFit="1" customWidth="1" style="90" min="13315" max="13315"/>
    <col width="17.453125" bestFit="1" customWidth="1" style="90" min="13316" max="13316"/>
    <col width="19.453125" customWidth="1" style="90" min="13317" max="13317"/>
    <col width="17.81640625" customWidth="1" style="90" min="13318" max="13318"/>
    <col width="19.453125" customWidth="1" style="90" min="13319" max="13319"/>
    <col width="17.453125" customWidth="1" style="90" min="13320" max="13320"/>
    <col width="8.81640625" customWidth="1" style="90" min="13321" max="13322"/>
    <col width="12.1796875" bestFit="1" customWidth="1" style="90" min="13323" max="13323"/>
    <col width="15.26953125" bestFit="1" customWidth="1" style="90" min="13324" max="13324"/>
    <col width="8.81640625" customWidth="1" style="90" min="13325" max="13568"/>
    <col width="18.81640625" bestFit="1" customWidth="1" style="90" min="13569" max="13569"/>
    <col width="13.453125" customWidth="1" style="90" min="13570" max="13570"/>
    <col width="20.453125" bestFit="1" customWidth="1" style="90" min="13571" max="13571"/>
    <col width="17.453125" bestFit="1" customWidth="1" style="90" min="13572" max="13572"/>
    <col width="19.453125" customWidth="1" style="90" min="13573" max="13573"/>
    <col width="17.81640625" customWidth="1" style="90" min="13574" max="13574"/>
    <col width="19.453125" customWidth="1" style="90" min="13575" max="13575"/>
    <col width="17.453125" customWidth="1" style="90" min="13576" max="13576"/>
    <col width="8.81640625" customWidth="1" style="90" min="13577" max="13578"/>
    <col width="12.1796875" bestFit="1" customWidth="1" style="90" min="13579" max="13579"/>
    <col width="15.26953125" bestFit="1" customWidth="1" style="90" min="13580" max="13580"/>
    <col width="8.81640625" customWidth="1" style="90" min="13581" max="13824"/>
    <col width="18.81640625" bestFit="1" customWidth="1" style="90" min="13825" max="13825"/>
    <col width="13.453125" customWidth="1" style="90" min="13826" max="13826"/>
    <col width="20.453125" bestFit="1" customWidth="1" style="90" min="13827" max="13827"/>
    <col width="17.453125" bestFit="1" customWidth="1" style="90" min="13828" max="13828"/>
    <col width="19.453125" customWidth="1" style="90" min="13829" max="13829"/>
    <col width="17.81640625" customWidth="1" style="90" min="13830" max="13830"/>
    <col width="19.453125" customWidth="1" style="90" min="13831" max="13831"/>
    <col width="17.453125" customWidth="1" style="90" min="13832" max="13832"/>
    <col width="8.81640625" customWidth="1" style="90" min="13833" max="13834"/>
    <col width="12.1796875" bestFit="1" customWidth="1" style="90" min="13835" max="13835"/>
    <col width="15.26953125" bestFit="1" customWidth="1" style="90" min="13836" max="13836"/>
    <col width="8.81640625" customWidth="1" style="90" min="13837" max="14080"/>
    <col width="18.81640625" bestFit="1" customWidth="1" style="90" min="14081" max="14081"/>
    <col width="13.453125" customWidth="1" style="90" min="14082" max="14082"/>
    <col width="20.453125" bestFit="1" customWidth="1" style="90" min="14083" max="14083"/>
    <col width="17.453125" bestFit="1" customWidth="1" style="90" min="14084" max="14084"/>
    <col width="19.453125" customWidth="1" style="90" min="14085" max="14085"/>
    <col width="17.81640625" customWidth="1" style="90" min="14086" max="14086"/>
    <col width="19.453125" customWidth="1" style="90" min="14087" max="14087"/>
    <col width="17.453125" customWidth="1" style="90" min="14088" max="14088"/>
    <col width="8.81640625" customWidth="1" style="90" min="14089" max="14090"/>
    <col width="12.1796875" bestFit="1" customWidth="1" style="90" min="14091" max="14091"/>
    <col width="15.26953125" bestFit="1" customWidth="1" style="90" min="14092" max="14092"/>
    <col width="8.81640625" customWidth="1" style="90" min="14093" max="14336"/>
    <col width="18.81640625" bestFit="1" customWidth="1" style="90" min="14337" max="14337"/>
    <col width="13.453125" customWidth="1" style="90" min="14338" max="14338"/>
    <col width="20.453125" bestFit="1" customWidth="1" style="90" min="14339" max="14339"/>
    <col width="17.453125" bestFit="1" customWidth="1" style="90" min="14340" max="14340"/>
    <col width="19.453125" customWidth="1" style="90" min="14341" max="14341"/>
    <col width="17.81640625" customWidth="1" style="90" min="14342" max="14342"/>
    <col width="19.453125" customWidth="1" style="90" min="14343" max="14343"/>
    <col width="17.453125" customWidth="1" style="90" min="14344" max="14344"/>
    <col width="8.81640625" customWidth="1" style="90" min="14345" max="14346"/>
    <col width="12.1796875" bestFit="1" customWidth="1" style="90" min="14347" max="14347"/>
    <col width="15.26953125" bestFit="1" customWidth="1" style="90" min="14348" max="14348"/>
    <col width="8.81640625" customWidth="1" style="90" min="14349" max="14592"/>
    <col width="18.81640625" bestFit="1" customWidth="1" style="90" min="14593" max="14593"/>
    <col width="13.453125" customWidth="1" style="90" min="14594" max="14594"/>
    <col width="20.453125" bestFit="1" customWidth="1" style="90" min="14595" max="14595"/>
    <col width="17.453125" bestFit="1" customWidth="1" style="90" min="14596" max="14596"/>
    <col width="19.453125" customWidth="1" style="90" min="14597" max="14597"/>
    <col width="17.81640625" customWidth="1" style="90" min="14598" max="14598"/>
    <col width="19.453125" customWidth="1" style="90" min="14599" max="14599"/>
    <col width="17.453125" customWidth="1" style="90" min="14600" max="14600"/>
    <col width="8.81640625" customWidth="1" style="90" min="14601" max="14602"/>
    <col width="12.1796875" bestFit="1" customWidth="1" style="90" min="14603" max="14603"/>
    <col width="15.26953125" bestFit="1" customWidth="1" style="90" min="14604" max="14604"/>
    <col width="8.81640625" customWidth="1" style="90" min="14605" max="14848"/>
    <col width="18.81640625" bestFit="1" customWidth="1" style="90" min="14849" max="14849"/>
    <col width="13.453125" customWidth="1" style="90" min="14850" max="14850"/>
    <col width="20.453125" bestFit="1" customWidth="1" style="90" min="14851" max="14851"/>
    <col width="17.453125" bestFit="1" customWidth="1" style="90" min="14852" max="14852"/>
    <col width="19.453125" customWidth="1" style="90" min="14853" max="14853"/>
    <col width="17.81640625" customWidth="1" style="90" min="14854" max="14854"/>
    <col width="19.453125" customWidth="1" style="90" min="14855" max="14855"/>
    <col width="17.453125" customWidth="1" style="90" min="14856" max="14856"/>
    <col width="8.81640625" customWidth="1" style="90" min="14857" max="14858"/>
    <col width="12.1796875" bestFit="1" customWidth="1" style="90" min="14859" max="14859"/>
    <col width="15.26953125" bestFit="1" customWidth="1" style="90" min="14860" max="14860"/>
    <col width="8.81640625" customWidth="1" style="90" min="14861" max="15104"/>
    <col width="18.81640625" bestFit="1" customWidth="1" style="90" min="15105" max="15105"/>
    <col width="13.453125" customWidth="1" style="90" min="15106" max="15106"/>
    <col width="20.453125" bestFit="1" customWidth="1" style="90" min="15107" max="15107"/>
    <col width="17.453125" bestFit="1" customWidth="1" style="90" min="15108" max="15108"/>
    <col width="19.453125" customWidth="1" style="90" min="15109" max="15109"/>
    <col width="17.81640625" customWidth="1" style="90" min="15110" max="15110"/>
    <col width="19.453125" customWidth="1" style="90" min="15111" max="15111"/>
    <col width="17.453125" customWidth="1" style="90" min="15112" max="15112"/>
    <col width="8.81640625" customWidth="1" style="90" min="15113" max="15114"/>
    <col width="12.1796875" bestFit="1" customWidth="1" style="90" min="15115" max="15115"/>
    <col width="15.26953125" bestFit="1" customWidth="1" style="90" min="15116" max="15116"/>
    <col width="8.81640625" customWidth="1" style="90" min="15117" max="15360"/>
    <col width="18.81640625" bestFit="1" customWidth="1" style="90" min="15361" max="15361"/>
    <col width="13.453125" customWidth="1" style="90" min="15362" max="15362"/>
    <col width="20.453125" bestFit="1" customWidth="1" style="90" min="15363" max="15363"/>
    <col width="17.453125" bestFit="1" customWidth="1" style="90" min="15364" max="15364"/>
    <col width="19.453125" customWidth="1" style="90" min="15365" max="15365"/>
    <col width="17.81640625" customWidth="1" style="90" min="15366" max="15366"/>
    <col width="19.453125" customWidth="1" style="90" min="15367" max="15367"/>
    <col width="17.453125" customWidth="1" style="90" min="15368" max="15368"/>
    <col width="8.81640625" customWidth="1" style="90" min="15369" max="15370"/>
    <col width="12.1796875" bestFit="1" customWidth="1" style="90" min="15371" max="15371"/>
    <col width="15.26953125" bestFit="1" customWidth="1" style="90" min="15372" max="15372"/>
    <col width="8.81640625" customWidth="1" style="90" min="15373" max="15616"/>
    <col width="18.81640625" bestFit="1" customWidth="1" style="90" min="15617" max="15617"/>
    <col width="13.453125" customWidth="1" style="90" min="15618" max="15618"/>
    <col width="20.453125" bestFit="1" customWidth="1" style="90" min="15619" max="15619"/>
    <col width="17.453125" bestFit="1" customWidth="1" style="90" min="15620" max="15620"/>
    <col width="19.453125" customWidth="1" style="90" min="15621" max="15621"/>
    <col width="17.81640625" customWidth="1" style="90" min="15622" max="15622"/>
    <col width="19.453125" customWidth="1" style="90" min="15623" max="15623"/>
    <col width="17.453125" customWidth="1" style="90" min="15624" max="15624"/>
    <col width="8.81640625" customWidth="1" style="90" min="15625" max="15626"/>
    <col width="12.1796875" bestFit="1" customWidth="1" style="90" min="15627" max="15627"/>
    <col width="15.26953125" bestFit="1" customWidth="1" style="90" min="15628" max="15628"/>
    <col width="8.81640625" customWidth="1" style="90" min="15629" max="15872"/>
    <col width="18.81640625" bestFit="1" customWidth="1" style="90" min="15873" max="15873"/>
    <col width="13.453125" customWidth="1" style="90" min="15874" max="15874"/>
    <col width="20.453125" bestFit="1" customWidth="1" style="90" min="15875" max="15875"/>
    <col width="17.453125" bestFit="1" customWidth="1" style="90" min="15876" max="15876"/>
    <col width="19.453125" customWidth="1" style="90" min="15877" max="15877"/>
    <col width="17.81640625" customWidth="1" style="90" min="15878" max="15878"/>
    <col width="19.453125" customWidth="1" style="90" min="15879" max="15879"/>
    <col width="17.453125" customWidth="1" style="90" min="15880" max="15880"/>
    <col width="8.81640625" customWidth="1" style="90" min="15881" max="15882"/>
    <col width="12.1796875" bestFit="1" customWidth="1" style="90" min="15883" max="15883"/>
    <col width="15.26953125" bestFit="1" customWidth="1" style="90" min="15884" max="15884"/>
    <col width="8.81640625" customWidth="1" style="90" min="15885" max="16128"/>
    <col width="18.81640625" bestFit="1" customWidth="1" style="90" min="16129" max="16129"/>
    <col width="13.453125" customWidth="1" style="90" min="16130" max="16130"/>
    <col width="20.453125" bestFit="1" customWidth="1" style="90" min="16131" max="16131"/>
    <col width="17.453125" bestFit="1" customWidth="1" style="90" min="16132" max="16132"/>
    <col width="19.453125" customWidth="1" style="90" min="16133" max="16133"/>
    <col width="17.81640625" customWidth="1" style="90" min="16134" max="16134"/>
    <col width="19.453125" customWidth="1" style="90" min="16135" max="16135"/>
    <col width="17.453125" customWidth="1" style="90" min="16136" max="16136"/>
    <col width="8.81640625" customWidth="1" style="90" min="16137" max="16138"/>
    <col width="12.1796875" bestFit="1" customWidth="1" style="90" min="16139" max="16139"/>
    <col width="15.26953125" bestFit="1" customWidth="1" style="90" min="16140" max="16140"/>
    <col width="8.81640625" customWidth="1" style="90" min="16141" max="16384"/>
  </cols>
  <sheetData>
    <row r="1" ht="15" customHeight="1" thickBot="1">
      <c r="B1" s="87" t="inlineStr">
        <is>
          <t>Win Rate</t>
        </is>
      </c>
      <c r="C1" s="88" t="inlineStr">
        <is>
          <t>Winning R-Multiple</t>
        </is>
      </c>
      <c r="D1" s="88" t="inlineStr">
        <is>
          <t>Losing R-Multiple</t>
        </is>
      </c>
      <c r="E1" s="87" t="inlineStr">
        <is>
          <t>Risk</t>
        </is>
      </c>
      <c r="G1" s="89" t="inlineStr">
        <is>
          <t>Starting Capital</t>
        </is>
      </c>
      <c r="H1" s="89" t="inlineStr">
        <is>
          <t>Ending Capital</t>
        </is>
      </c>
      <c r="J1" s="91" t="inlineStr">
        <is>
          <t>Average Trade Return</t>
        </is>
      </c>
      <c r="K1" s="92" t="n"/>
      <c r="L1" s="93">
        <f>AVERAGE(C10:C109)</f>
        <v/>
      </c>
      <c r="M1" s="94">
        <f>L1/E2</f>
        <v/>
      </c>
    </row>
    <row r="2" ht="16" customHeight="1" thickBot="1">
      <c r="B2" s="95" t="n">
        <v>0.3018</v>
      </c>
      <c r="C2" s="96" t="n">
        <v>1.5</v>
      </c>
      <c r="D2" s="96" t="n">
        <v>0.75</v>
      </c>
      <c r="E2" s="97" t="n">
        <v>0.01</v>
      </c>
      <c r="G2" s="98" t="n">
        <v>1000</v>
      </c>
      <c r="H2" s="99">
        <f>G2*(1+B5)</f>
        <v/>
      </c>
      <c r="J2" s="100" t="inlineStr">
        <is>
          <t>Worst Drawdown</t>
        </is>
      </c>
      <c r="K2" s="101" t="n"/>
      <c r="L2" s="102">
        <f>MIN(E10:E109)</f>
        <v/>
      </c>
      <c r="M2" s="103">
        <f>L2/E2</f>
        <v/>
      </c>
    </row>
    <row r="3" ht="16" customHeight="1" thickBot="1">
      <c r="B3" s="104" t="n"/>
      <c r="C3" s="105" t="n">
        <v>2.3</v>
      </c>
      <c r="D3" s="106" t="n">
        <v>1.1</v>
      </c>
      <c r="J3" s="107" t="n"/>
      <c r="K3" s="107" t="n"/>
      <c r="L3" s="107" t="n"/>
      <c r="M3" s="108" t="n"/>
    </row>
    <row r="4" ht="15" customHeight="1" thickTop="1">
      <c r="A4" s="109" t="inlineStr">
        <is>
          <t>Simulated Win Rate</t>
        </is>
      </c>
      <c r="B4" s="110">
        <f>COUNTIF(B10:B109,"&gt;0")/100</f>
        <v/>
      </c>
      <c r="E4" s="111" t="inlineStr">
        <is>
          <t>Expectancy</t>
        </is>
      </c>
      <c r="F4" s="112">
        <f>AVERAGE(B10:B109)</f>
        <v/>
      </c>
      <c r="J4" s="107" t="n"/>
      <c r="K4" s="107" t="n"/>
      <c r="L4" s="107" t="n"/>
      <c r="M4" s="113" t="n"/>
    </row>
    <row r="5" ht="15" customHeight="1" thickBot="1">
      <c r="A5" s="114" t="inlineStr">
        <is>
          <t>Compounded Return</t>
        </is>
      </c>
      <c r="B5" s="115">
        <f>PRODUCT(D10:D109)-1</f>
        <v/>
      </c>
      <c r="E5" s="116" t="inlineStr">
        <is>
          <t>Standard Deviation</t>
        </is>
      </c>
      <c r="F5" s="117">
        <f>STDEV(B10:B109)</f>
        <v/>
      </c>
    </row>
    <row r="6" ht="15" customHeight="1" thickBot="1">
      <c r="A6" s="118" t="inlineStr">
        <is>
          <t>Note: Key in the boxes in white only</t>
        </is>
      </c>
      <c r="C6" s="119" t="n"/>
      <c r="D6" s="119" t="n"/>
      <c r="E6" s="120" t="inlineStr">
        <is>
          <t>Ratio</t>
        </is>
      </c>
      <c r="F6" s="121">
        <f>F4/F5</f>
        <v/>
      </c>
    </row>
    <row r="7" ht="15.5" customHeight="1" thickBot="1" thickTop="1">
      <c r="A7" s="122" t="inlineStr">
        <is>
          <t>Do not change the forumals in the yellow boxes</t>
        </is>
      </c>
      <c r="B7" s="119" t="n"/>
      <c r="C7" s="123" t="n"/>
    </row>
    <row r="8">
      <c r="A8" s="124" t="inlineStr">
        <is>
          <t>Trade</t>
        </is>
      </c>
      <c r="B8" s="125" t="inlineStr">
        <is>
          <t>R-Multiple</t>
        </is>
      </c>
      <c r="C8" s="125" t="inlineStr">
        <is>
          <t>Return</t>
        </is>
      </c>
      <c r="D8" s="125" t="inlineStr">
        <is>
          <t>1+Return</t>
        </is>
      </c>
      <c r="E8" s="125" t="inlineStr">
        <is>
          <t>Drawdown</t>
        </is>
      </c>
      <c r="F8" s="126" t="inlineStr">
        <is>
          <t>Equity</t>
        </is>
      </c>
    </row>
    <row r="9">
      <c r="A9" s="127" t="n">
        <v>0</v>
      </c>
      <c r="B9" s="128" t="n"/>
      <c r="C9" s="128" t="n"/>
      <c r="D9" s="128" t="n"/>
      <c r="E9" s="129" t="n">
        <v>0</v>
      </c>
      <c r="F9" s="130">
        <f>G2</f>
        <v/>
      </c>
    </row>
    <row r="10">
      <c r="A10" s="131" t="n">
        <v>1</v>
      </c>
      <c r="B10" s="132">
        <f>IF(RAND()&gt;$B$2,-(RAND()*($D$3-$D$2)+$D$2),RAND()*($C$3-$C$2)+$C$2)</f>
        <v/>
      </c>
      <c r="C10" s="133">
        <f>B10*$E$2</f>
        <v/>
      </c>
      <c r="D10" s="134">
        <f>C10+1</f>
        <v/>
      </c>
      <c r="E10" s="129">
        <f>F10/MAX($F$9:F10)-1</f>
        <v/>
      </c>
      <c r="F10" s="130">
        <f>F9*D10</f>
        <v/>
      </c>
    </row>
    <row r="11">
      <c r="A11" s="131" t="n">
        <v>2</v>
      </c>
      <c r="B11" s="132">
        <f>IF(RAND()&gt;$B$2,-(RAND()*($D$3-$D$2)+$D$2),RAND()*($C$3-$C$2)+$C$2)</f>
        <v/>
      </c>
      <c r="C11" s="133">
        <f>B11*$E$2</f>
        <v/>
      </c>
      <c r="D11" s="134">
        <f>C11+1</f>
        <v/>
      </c>
      <c r="E11" s="129">
        <f>F11/MAX($F$9:F11)-1</f>
        <v/>
      </c>
      <c r="F11" s="130">
        <f>F10*D11</f>
        <v/>
      </c>
    </row>
    <row r="12">
      <c r="A12" s="131" t="n">
        <v>3</v>
      </c>
      <c r="B12" s="132">
        <f>IF(RAND()&gt;$B$2,-(RAND()*($D$3-$D$2)+$D$2),RAND()*($C$3-$C$2)+$C$2)</f>
        <v/>
      </c>
      <c r="C12" s="133">
        <f>B12*$E$2</f>
        <v/>
      </c>
      <c r="D12" s="134">
        <f>C12+1</f>
        <v/>
      </c>
      <c r="E12" s="129">
        <f>F12/MAX($F$9:F12)-1</f>
        <v/>
      </c>
      <c r="F12" s="130">
        <f>F11*D12</f>
        <v/>
      </c>
    </row>
    <row r="13">
      <c r="A13" s="131" t="n">
        <v>4</v>
      </c>
      <c r="B13" s="132">
        <f>IF(RAND()&gt;$B$2,-(RAND()*($D$3-$D$2)+$D$2),RAND()*($C$3-$C$2)+$C$2)</f>
        <v/>
      </c>
      <c r="C13" s="133">
        <f>B13*$E$2</f>
        <v/>
      </c>
      <c r="D13" s="134">
        <f>C13+1</f>
        <v/>
      </c>
      <c r="E13" s="129">
        <f>F13/MAX($F$9:F13)-1</f>
        <v/>
      </c>
      <c r="F13" s="130">
        <f>F12*D13</f>
        <v/>
      </c>
    </row>
    <row r="14">
      <c r="A14" s="131" t="n">
        <v>5</v>
      </c>
      <c r="B14" s="132">
        <f>IF(RAND()&gt;$B$2,-(RAND()*($D$3-$D$2)+$D$2),RAND()*($C$3-$C$2)+$C$2)</f>
        <v/>
      </c>
      <c r="C14" s="133">
        <f>B14*$E$2</f>
        <v/>
      </c>
      <c r="D14" s="134">
        <f>C14+1</f>
        <v/>
      </c>
      <c r="E14" s="129">
        <f>F14/MAX($F$9:F14)-1</f>
        <v/>
      </c>
      <c r="F14" s="130">
        <f>F13*D14</f>
        <v/>
      </c>
    </row>
    <row r="15">
      <c r="A15" s="131" t="n">
        <v>6</v>
      </c>
      <c r="B15" s="132">
        <f>IF(RAND()&gt;$B$2,-(RAND()*($D$3-$D$2)+$D$2),RAND()*($C$3-$C$2)+$C$2)</f>
        <v/>
      </c>
      <c r="C15" s="133">
        <f>B15*$E$2</f>
        <v/>
      </c>
      <c r="D15" s="134">
        <f>C15+1</f>
        <v/>
      </c>
      <c r="E15" s="129">
        <f>F15/MAX($F$9:F15)-1</f>
        <v/>
      </c>
      <c r="F15" s="130">
        <f>F14*D15</f>
        <v/>
      </c>
    </row>
    <row r="16">
      <c r="A16" s="131" t="n">
        <v>7</v>
      </c>
      <c r="B16" s="132">
        <f>IF(RAND()&gt;$B$2,-(RAND()*($D$3-$D$2)+$D$2),RAND()*($C$3-$C$2)+$C$2)</f>
        <v/>
      </c>
      <c r="C16" s="133">
        <f>B16*$E$2</f>
        <v/>
      </c>
      <c r="D16" s="134">
        <f>C16+1</f>
        <v/>
      </c>
      <c r="E16" s="129">
        <f>F16/MAX($F$9:F16)-1</f>
        <v/>
      </c>
      <c r="F16" s="130">
        <f>F15*D16</f>
        <v/>
      </c>
    </row>
    <row r="17">
      <c r="A17" s="131" t="n">
        <v>8</v>
      </c>
      <c r="B17" s="132">
        <f>IF(RAND()&gt;$B$2,-(RAND()*($D$3-$D$2)+$D$2),RAND()*($C$3-$C$2)+$C$2)</f>
        <v/>
      </c>
      <c r="C17" s="133">
        <f>B17*$E$2</f>
        <v/>
      </c>
      <c r="D17" s="134">
        <f>C17+1</f>
        <v/>
      </c>
      <c r="E17" s="129">
        <f>F17/MAX($F$9:F17)-1</f>
        <v/>
      </c>
      <c r="F17" s="130">
        <f>F16*D17</f>
        <v/>
      </c>
    </row>
    <row r="18">
      <c r="A18" s="131" t="n">
        <v>9</v>
      </c>
      <c r="B18" s="132">
        <f>IF(RAND()&gt;$B$2,-(RAND()*($D$3-$D$2)+$D$2),RAND()*($C$3-$C$2)+$C$2)</f>
        <v/>
      </c>
      <c r="C18" s="133">
        <f>B18*$E$2</f>
        <v/>
      </c>
      <c r="D18" s="134">
        <f>C18+1</f>
        <v/>
      </c>
      <c r="E18" s="129">
        <f>F18/MAX($F$9:F18)-1</f>
        <v/>
      </c>
      <c r="F18" s="130">
        <f>F17*D18</f>
        <v/>
      </c>
    </row>
    <row r="19">
      <c r="A19" s="131" t="n">
        <v>10</v>
      </c>
      <c r="B19" s="132">
        <f>IF(RAND()&gt;$B$2,-(RAND()*($D$3-$D$2)+$D$2),RAND()*($C$3-$C$2)+$C$2)</f>
        <v/>
      </c>
      <c r="C19" s="133">
        <f>B19*$E$2</f>
        <v/>
      </c>
      <c r="D19" s="134">
        <f>C19+1</f>
        <v/>
      </c>
      <c r="E19" s="129">
        <f>F19/MAX($F$9:F19)-1</f>
        <v/>
      </c>
      <c r="F19" s="130">
        <f>F18*D19</f>
        <v/>
      </c>
    </row>
    <row r="20">
      <c r="A20" s="131" t="n">
        <v>11</v>
      </c>
      <c r="B20" s="132">
        <f>IF(RAND()&gt;$B$2,-(RAND()*($D$3-$D$2)+$D$2),RAND()*($C$3-$C$2)+$C$2)</f>
        <v/>
      </c>
      <c r="C20" s="133">
        <f>B20*$E$2</f>
        <v/>
      </c>
      <c r="D20" s="134">
        <f>C20+1</f>
        <v/>
      </c>
      <c r="E20" s="129">
        <f>F20/MAX($F$9:F20)-1</f>
        <v/>
      </c>
      <c r="F20" s="130">
        <f>F19*D20</f>
        <v/>
      </c>
    </row>
    <row r="21">
      <c r="A21" s="131" t="n">
        <v>12</v>
      </c>
      <c r="B21" s="132">
        <f>IF(RAND()&gt;$B$2,-(RAND()*($D$3-$D$2)+$D$2),RAND()*($C$3-$C$2)+$C$2)</f>
        <v/>
      </c>
      <c r="C21" s="133">
        <f>B21*$E$2</f>
        <v/>
      </c>
      <c r="D21" s="134">
        <f>C21+1</f>
        <v/>
      </c>
      <c r="E21" s="129">
        <f>F21/MAX($F$9:F21)-1</f>
        <v/>
      </c>
      <c r="F21" s="130">
        <f>F20*D21</f>
        <v/>
      </c>
    </row>
    <row r="22">
      <c r="A22" s="131" t="n">
        <v>13</v>
      </c>
      <c r="B22" s="132">
        <f>IF(RAND()&gt;$B$2,-(RAND()*($D$3-$D$2)+$D$2),RAND()*($C$3-$C$2)+$C$2)</f>
        <v/>
      </c>
      <c r="C22" s="133">
        <f>B22*$E$2</f>
        <v/>
      </c>
      <c r="D22" s="134">
        <f>C22+1</f>
        <v/>
      </c>
      <c r="E22" s="129">
        <f>F22/MAX($F$9:F22)-1</f>
        <v/>
      </c>
      <c r="F22" s="130">
        <f>F21*D22</f>
        <v/>
      </c>
    </row>
    <row r="23">
      <c r="A23" s="131" t="n">
        <v>14</v>
      </c>
      <c r="B23" s="132">
        <f>IF(RAND()&gt;$B$2,-(RAND()*($D$3-$D$2)+$D$2),RAND()*($C$3-$C$2)+$C$2)</f>
        <v/>
      </c>
      <c r="C23" s="133">
        <f>B23*$E$2</f>
        <v/>
      </c>
      <c r="D23" s="134">
        <f>C23+1</f>
        <v/>
      </c>
      <c r="E23" s="129">
        <f>F23/MAX($F$9:F23)-1</f>
        <v/>
      </c>
      <c r="F23" s="130">
        <f>F22*D23</f>
        <v/>
      </c>
    </row>
    <row r="24">
      <c r="A24" s="131" t="n">
        <v>15</v>
      </c>
      <c r="B24" s="132">
        <f>IF(RAND()&gt;$B$2,-(RAND()*($D$3-$D$2)+$D$2),RAND()*($C$3-$C$2)+$C$2)</f>
        <v/>
      </c>
      <c r="C24" s="133">
        <f>B24*$E$2</f>
        <v/>
      </c>
      <c r="D24" s="134">
        <f>C24+1</f>
        <v/>
      </c>
      <c r="E24" s="129">
        <f>F24/MAX($F$9:F24)-1</f>
        <v/>
      </c>
      <c r="F24" s="130">
        <f>F23*D24</f>
        <v/>
      </c>
    </row>
    <row r="25">
      <c r="A25" s="131" t="n">
        <v>16</v>
      </c>
      <c r="B25" s="132">
        <f>IF(RAND()&gt;$B$2,-(RAND()*($D$3-$D$2)+$D$2),RAND()*($C$3-$C$2)+$C$2)</f>
        <v/>
      </c>
      <c r="C25" s="133">
        <f>B25*$E$2</f>
        <v/>
      </c>
      <c r="D25" s="134">
        <f>C25+1</f>
        <v/>
      </c>
      <c r="E25" s="129">
        <f>F25/MAX($F$9:F25)-1</f>
        <v/>
      </c>
      <c r="F25" s="130">
        <f>F24*D25</f>
        <v/>
      </c>
    </row>
    <row r="26">
      <c r="A26" s="131" t="n">
        <v>17</v>
      </c>
      <c r="B26" s="132">
        <f>IF(RAND()&gt;$B$2,-(RAND()*($D$3-$D$2)+$D$2),RAND()*($C$3-$C$2)+$C$2)</f>
        <v/>
      </c>
      <c r="C26" s="133">
        <f>B26*$E$2</f>
        <v/>
      </c>
      <c r="D26" s="134">
        <f>C26+1</f>
        <v/>
      </c>
      <c r="E26" s="129">
        <f>F26/MAX($F$9:F26)-1</f>
        <v/>
      </c>
      <c r="F26" s="130">
        <f>F25*D26</f>
        <v/>
      </c>
    </row>
    <row r="27">
      <c r="A27" s="131" t="n">
        <v>18</v>
      </c>
      <c r="B27" s="132">
        <f>IF(RAND()&gt;$B$2,-(RAND()*($D$3-$D$2)+$D$2),RAND()*($C$3-$C$2)+$C$2)</f>
        <v/>
      </c>
      <c r="C27" s="133">
        <f>B27*$E$2</f>
        <v/>
      </c>
      <c r="D27" s="134">
        <f>C27+1</f>
        <v/>
      </c>
      <c r="E27" s="129">
        <f>F27/MAX($F$9:F27)-1</f>
        <v/>
      </c>
      <c r="F27" s="130">
        <f>F26*D27</f>
        <v/>
      </c>
    </row>
    <row r="28">
      <c r="A28" s="131" t="n">
        <v>19</v>
      </c>
      <c r="B28" s="132">
        <f>IF(RAND()&gt;$B$2,-(RAND()*($D$3-$D$2)+$D$2),RAND()*($C$3-$C$2)+$C$2)</f>
        <v/>
      </c>
      <c r="C28" s="133">
        <f>B28*$E$2</f>
        <v/>
      </c>
      <c r="D28" s="134">
        <f>C28+1</f>
        <v/>
      </c>
      <c r="E28" s="129">
        <f>F28/MAX($F$9:F28)-1</f>
        <v/>
      </c>
      <c r="F28" s="130">
        <f>F27*D28</f>
        <v/>
      </c>
    </row>
    <row r="29">
      <c r="A29" s="131" t="n">
        <v>20</v>
      </c>
      <c r="B29" s="132">
        <f>IF(RAND()&gt;$B$2,-(RAND()*($D$3-$D$2)+$D$2),RAND()*($C$3-$C$2)+$C$2)</f>
        <v/>
      </c>
      <c r="C29" s="133">
        <f>B29*$E$2</f>
        <v/>
      </c>
      <c r="D29" s="134">
        <f>C29+1</f>
        <v/>
      </c>
      <c r="E29" s="129">
        <f>F29/MAX($F$9:F29)-1</f>
        <v/>
      </c>
      <c r="F29" s="130">
        <f>F28*D29</f>
        <v/>
      </c>
    </row>
    <row r="30">
      <c r="A30" s="131" t="n">
        <v>21</v>
      </c>
      <c r="B30" s="132">
        <f>IF(RAND()&gt;$B$2,-(RAND()*($D$3-$D$2)+$D$2),RAND()*($C$3-$C$2)+$C$2)</f>
        <v/>
      </c>
      <c r="C30" s="133">
        <f>B30*$E$2</f>
        <v/>
      </c>
      <c r="D30" s="134">
        <f>C30+1</f>
        <v/>
      </c>
      <c r="E30" s="129">
        <f>F30/MAX($F$9:F30)-1</f>
        <v/>
      </c>
      <c r="F30" s="130">
        <f>F29*D30</f>
        <v/>
      </c>
    </row>
    <row r="31">
      <c r="A31" s="131" t="n">
        <v>22</v>
      </c>
      <c r="B31" s="132">
        <f>IF(RAND()&gt;$B$2,-(RAND()*($D$3-$D$2)+$D$2),RAND()*($C$3-$C$2)+$C$2)</f>
        <v/>
      </c>
      <c r="C31" s="133">
        <f>B31*$E$2</f>
        <v/>
      </c>
      <c r="D31" s="134">
        <f>C31+1</f>
        <v/>
      </c>
      <c r="E31" s="129">
        <f>F31/MAX($F$9:F31)-1</f>
        <v/>
      </c>
      <c r="F31" s="130">
        <f>F30*D31</f>
        <v/>
      </c>
    </row>
    <row r="32">
      <c r="A32" s="131" t="n">
        <v>23</v>
      </c>
      <c r="B32" s="132">
        <f>IF(RAND()&gt;$B$2,-(RAND()*($D$3-$D$2)+$D$2),RAND()*($C$3-$C$2)+$C$2)</f>
        <v/>
      </c>
      <c r="C32" s="133">
        <f>B32*$E$2</f>
        <v/>
      </c>
      <c r="D32" s="134">
        <f>C32+1</f>
        <v/>
      </c>
      <c r="E32" s="129">
        <f>F32/MAX($F$9:F32)-1</f>
        <v/>
      </c>
      <c r="F32" s="130">
        <f>F31*D32</f>
        <v/>
      </c>
    </row>
    <row r="33">
      <c r="A33" s="131" t="n">
        <v>24</v>
      </c>
      <c r="B33" s="132">
        <f>IF(RAND()&gt;$B$2,-(RAND()*($D$3-$D$2)+$D$2),RAND()*($C$3-$C$2)+$C$2)</f>
        <v/>
      </c>
      <c r="C33" s="133">
        <f>B33*$E$2</f>
        <v/>
      </c>
      <c r="D33" s="134">
        <f>C33+1</f>
        <v/>
      </c>
      <c r="E33" s="129">
        <f>F33/MAX($F$9:F33)-1</f>
        <v/>
      </c>
      <c r="F33" s="130">
        <f>F32*D33</f>
        <v/>
      </c>
    </row>
    <row r="34">
      <c r="A34" s="131" t="n">
        <v>25</v>
      </c>
      <c r="B34" s="132">
        <f>IF(RAND()&gt;$B$2,-(RAND()*($D$3-$D$2)+$D$2),RAND()*($C$3-$C$2)+$C$2)</f>
        <v/>
      </c>
      <c r="C34" s="133">
        <f>B34*$E$2</f>
        <v/>
      </c>
      <c r="D34" s="134">
        <f>C34+1</f>
        <v/>
      </c>
      <c r="E34" s="129">
        <f>F34/MAX($F$9:F34)-1</f>
        <v/>
      </c>
      <c r="F34" s="130">
        <f>F33*D34</f>
        <v/>
      </c>
    </row>
    <row r="35">
      <c r="A35" s="131" t="n">
        <v>26</v>
      </c>
      <c r="B35" s="132">
        <f>IF(RAND()&gt;$B$2,-(RAND()*($D$3-$D$2)+$D$2),RAND()*($C$3-$C$2)+$C$2)</f>
        <v/>
      </c>
      <c r="C35" s="133">
        <f>B35*$E$2</f>
        <v/>
      </c>
      <c r="D35" s="134">
        <f>C35+1</f>
        <v/>
      </c>
      <c r="E35" s="129">
        <f>F35/MAX($F$9:F35)-1</f>
        <v/>
      </c>
      <c r="F35" s="130">
        <f>F34*D35</f>
        <v/>
      </c>
    </row>
    <row r="36">
      <c r="A36" s="131" t="n">
        <v>27</v>
      </c>
      <c r="B36" s="132">
        <f>IF(RAND()&gt;$B$2,-(RAND()*($D$3-$D$2)+$D$2),RAND()*($C$3-$C$2)+$C$2)</f>
        <v/>
      </c>
      <c r="C36" s="133">
        <f>B36*$E$2</f>
        <v/>
      </c>
      <c r="D36" s="134">
        <f>C36+1</f>
        <v/>
      </c>
      <c r="E36" s="129">
        <f>F36/MAX($F$9:F36)-1</f>
        <v/>
      </c>
      <c r="F36" s="130">
        <f>F35*D36</f>
        <v/>
      </c>
    </row>
    <row r="37">
      <c r="A37" s="131" t="n">
        <v>28</v>
      </c>
      <c r="B37" s="132">
        <f>IF(RAND()&gt;$B$2,-(RAND()*($D$3-$D$2)+$D$2),RAND()*($C$3-$C$2)+$C$2)</f>
        <v/>
      </c>
      <c r="C37" s="133">
        <f>B37*$E$2</f>
        <v/>
      </c>
      <c r="D37" s="134">
        <f>C37+1</f>
        <v/>
      </c>
      <c r="E37" s="129">
        <f>F37/MAX($F$9:F37)-1</f>
        <v/>
      </c>
      <c r="F37" s="130">
        <f>F36*D37</f>
        <v/>
      </c>
    </row>
    <row r="38">
      <c r="A38" s="131" t="n">
        <v>29</v>
      </c>
      <c r="B38" s="132">
        <f>IF(RAND()&gt;$B$2,-(RAND()*($D$3-$D$2)+$D$2),RAND()*($C$3-$C$2)+$C$2)</f>
        <v/>
      </c>
      <c r="C38" s="133">
        <f>B38*$E$2</f>
        <v/>
      </c>
      <c r="D38" s="134">
        <f>C38+1</f>
        <v/>
      </c>
      <c r="E38" s="129">
        <f>F38/MAX($F$9:F38)-1</f>
        <v/>
      </c>
      <c r="F38" s="130">
        <f>F37*D38</f>
        <v/>
      </c>
    </row>
    <row r="39">
      <c r="A39" s="131" t="n">
        <v>30</v>
      </c>
      <c r="B39" s="132">
        <f>IF(RAND()&gt;$B$2,-(RAND()*($D$3-$D$2)+$D$2),RAND()*($C$3-$C$2)+$C$2)</f>
        <v/>
      </c>
      <c r="C39" s="133">
        <f>B39*$E$2</f>
        <v/>
      </c>
      <c r="D39" s="134">
        <f>C39+1</f>
        <v/>
      </c>
      <c r="E39" s="129">
        <f>F39/MAX($F$9:F39)-1</f>
        <v/>
      </c>
      <c r="F39" s="130">
        <f>F38*D39</f>
        <v/>
      </c>
    </row>
    <row r="40">
      <c r="A40" s="131" t="n">
        <v>31</v>
      </c>
      <c r="B40" s="132">
        <f>IF(RAND()&gt;$B$2,-(RAND()*($D$3-$D$2)+$D$2),RAND()*($C$3-$C$2)+$C$2)</f>
        <v/>
      </c>
      <c r="C40" s="133">
        <f>B40*$E$2</f>
        <v/>
      </c>
      <c r="D40" s="134">
        <f>C40+1</f>
        <v/>
      </c>
      <c r="E40" s="129">
        <f>F40/MAX($F$9:F40)-1</f>
        <v/>
      </c>
      <c r="F40" s="130">
        <f>F39*D40</f>
        <v/>
      </c>
    </row>
    <row r="41">
      <c r="A41" s="131" t="n">
        <v>32</v>
      </c>
      <c r="B41" s="132">
        <f>IF(RAND()&gt;$B$2,-(RAND()*($D$3-$D$2)+$D$2),RAND()*($C$3-$C$2)+$C$2)</f>
        <v/>
      </c>
      <c r="C41" s="133">
        <f>B41*$E$2</f>
        <v/>
      </c>
      <c r="D41" s="134">
        <f>C41+1</f>
        <v/>
      </c>
      <c r="E41" s="129">
        <f>F41/MAX($F$9:F41)-1</f>
        <v/>
      </c>
      <c r="F41" s="130">
        <f>F40*D41</f>
        <v/>
      </c>
    </row>
    <row r="42">
      <c r="A42" s="131" t="n">
        <v>33</v>
      </c>
      <c r="B42" s="132">
        <f>IF(RAND()&gt;$B$2,-(RAND()*($D$3-$D$2)+$D$2),RAND()*($C$3-$C$2)+$C$2)</f>
        <v/>
      </c>
      <c r="C42" s="133">
        <f>B42*$E$2</f>
        <v/>
      </c>
      <c r="D42" s="134">
        <f>C42+1</f>
        <v/>
      </c>
      <c r="E42" s="129">
        <f>F42/MAX($F$9:F42)-1</f>
        <v/>
      </c>
      <c r="F42" s="130">
        <f>F41*D42</f>
        <v/>
      </c>
    </row>
    <row r="43">
      <c r="A43" s="131" t="n">
        <v>34</v>
      </c>
      <c r="B43" s="132">
        <f>IF(RAND()&gt;$B$2,-(RAND()*($D$3-$D$2)+$D$2),RAND()*($C$3-$C$2)+$C$2)</f>
        <v/>
      </c>
      <c r="C43" s="133">
        <f>B43*$E$2</f>
        <v/>
      </c>
      <c r="D43" s="134">
        <f>C43+1</f>
        <v/>
      </c>
      <c r="E43" s="129">
        <f>F43/MAX($F$9:F43)-1</f>
        <v/>
      </c>
      <c r="F43" s="130">
        <f>F42*D43</f>
        <v/>
      </c>
    </row>
    <row r="44">
      <c r="A44" s="131" t="n">
        <v>35</v>
      </c>
      <c r="B44" s="132">
        <f>IF(RAND()&gt;$B$2,-(RAND()*($D$3-$D$2)+$D$2),RAND()*($C$3-$C$2)+$C$2)</f>
        <v/>
      </c>
      <c r="C44" s="133">
        <f>B44*$E$2</f>
        <v/>
      </c>
      <c r="D44" s="134">
        <f>C44+1</f>
        <v/>
      </c>
      <c r="E44" s="129">
        <f>F44/MAX($F$9:F44)-1</f>
        <v/>
      </c>
      <c r="F44" s="130">
        <f>F43*D44</f>
        <v/>
      </c>
    </row>
    <row r="45">
      <c r="A45" s="131" t="n">
        <v>36</v>
      </c>
      <c r="B45" s="132">
        <f>IF(RAND()&gt;$B$2,-(RAND()*($D$3-$D$2)+$D$2),RAND()*($C$3-$C$2)+$C$2)</f>
        <v/>
      </c>
      <c r="C45" s="133">
        <f>B45*$E$2</f>
        <v/>
      </c>
      <c r="D45" s="134">
        <f>C45+1</f>
        <v/>
      </c>
      <c r="E45" s="129">
        <f>F45/MAX($F$9:F45)-1</f>
        <v/>
      </c>
      <c r="F45" s="130">
        <f>F44*D45</f>
        <v/>
      </c>
    </row>
    <row r="46">
      <c r="A46" s="131" t="n">
        <v>37</v>
      </c>
      <c r="B46" s="132">
        <f>IF(RAND()&gt;$B$2,-(RAND()*($D$3-$D$2)+$D$2),RAND()*($C$3-$C$2)+$C$2)</f>
        <v/>
      </c>
      <c r="C46" s="133">
        <f>B46*$E$2</f>
        <v/>
      </c>
      <c r="D46" s="134">
        <f>C46+1</f>
        <v/>
      </c>
      <c r="E46" s="129">
        <f>F46/MAX($F$9:F46)-1</f>
        <v/>
      </c>
      <c r="F46" s="130">
        <f>F45*D46</f>
        <v/>
      </c>
    </row>
    <row r="47">
      <c r="A47" s="131" t="n">
        <v>38</v>
      </c>
      <c r="B47" s="132">
        <f>IF(RAND()&gt;$B$2,-(RAND()*($D$3-$D$2)+$D$2),RAND()*($C$3-$C$2)+$C$2)</f>
        <v/>
      </c>
      <c r="C47" s="133">
        <f>B47*$E$2</f>
        <v/>
      </c>
      <c r="D47" s="134">
        <f>C47+1</f>
        <v/>
      </c>
      <c r="E47" s="129">
        <f>F47/MAX($F$9:F47)-1</f>
        <v/>
      </c>
      <c r="F47" s="130">
        <f>F46*D47</f>
        <v/>
      </c>
    </row>
    <row r="48">
      <c r="A48" s="131" t="n">
        <v>39</v>
      </c>
      <c r="B48" s="132">
        <f>IF(RAND()&gt;$B$2,-(RAND()*($D$3-$D$2)+$D$2),RAND()*($C$3-$C$2)+$C$2)</f>
        <v/>
      </c>
      <c r="C48" s="133">
        <f>B48*$E$2</f>
        <v/>
      </c>
      <c r="D48" s="134">
        <f>C48+1</f>
        <v/>
      </c>
      <c r="E48" s="129">
        <f>F48/MAX($F$9:F48)-1</f>
        <v/>
      </c>
      <c r="F48" s="130">
        <f>F47*D48</f>
        <v/>
      </c>
    </row>
    <row r="49">
      <c r="A49" s="131" t="n">
        <v>40</v>
      </c>
      <c r="B49" s="132">
        <f>IF(RAND()&gt;$B$2,-(RAND()*($D$3-$D$2)+$D$2),RAND()*($C$3-$C$2)+$C$2)</f>
        <v/>
      </c>
      <c r="C49" s="133">
        <f>B49*$E$2</f>
        <v/>
      </c>
      <c r="D49" s="134">
        <f>C49+1</f>
        <v/>
      </c>
      <c r="E49" s="129">
        <f>F49/MAX($F$9:F49)-1</f>
        <v/>
      </c>
      <c r="F49" s="130">
        <f>F48*D49</f>
        <v/>
      </c>
    </row>
    <row r="50">
      <c r="A50" s="131" t="n">
        <v>41</v>
      </c>
      <c r="B50" s="132">
        <f>IF(RAND()&gt;$B$2,-(RAND()*($D$3-$D$2)+$D$2),RAND()*($C$3-$C$2)+$C$2)</f>
        <v/>
      </c>
      <c r="C50" s="133">
        <f>B50*$E$2</f>
        <v/>
      </c>
      <c r="D50" s="134">
        <f>C50+1</f>
        <v/>
      </c>
      <c r="E50" s="129">
        <f>F50/MAX($F$9:F50)-1</f>
        <v/>
      </c>
      <c r="F50" s="130">
        <f>F49*D50</f>
        <v/>
      </c>
    </row>
    <row r="51">
      <c r="A51" s="131" t="n">
        <v>42</v>
      </c>
      <c r="B51" s="132">
        <f>IF(RAND()&gt;$B$2,-(RAND()*($D$3-$D$2)+$D$2),RAND()*($C$3-$C$2)+$C$2)</f>
        <v/>
      </c>
      <c r="C51" s="133">
        <f>B51*$E$2</f>
        <v/>
      </c>
      <c r="D51" s="134">
        <f>C51+1</f>
        <v/>
      </c>
      <c r="E51" s="129">
        <f>F51/MAX($F$9:F51)-1</f>
        <v/>
      </c>
      <c r="F51" s="130">
        <f>F50*D51</f>
        <v/>
      </c>
    </row>
    <row r="52">
      <c r="A52" s="131" t="n">
        <v>43</v>
      </c>
      <c r="B52" s="132">
        <f>IF(RAND()&gt;$B$2,-(RAND()*($D$3-$D$2)+$D$2),RAND()*($C$3-$C$2)+$C$2)</f>
        <v/>
      </c>
      <c r="C52" s="133">
        <f>B52*$E$2</f>
        <v/>
      </c>
      <c r="D52" s="134">
        <f>C52+1</f>
        <v/>
      </c>
      <c r="E52" s="129">
        <f>F52/MAX($F$9:F52)-1</f>
        <v/>
      </c>
      <c r="F52" s="130">
        <f>F51*D52</f>
        <v/>
      </c>
    </row>
    <row r="53">
      <c r="A53" s="131" t="n">
        <v>44</v>
      </c>
      <c r="B53" s="132">
        <f>IF(RAND()&gt;$B$2,-(RAND()*($D$3-$D$2)+$D$2),RAND()*($C$3-$C$2)+$C$2)</f>
        <v/>
      </c>
      <c r="C53" s="133">
        <f>B53*$E$2</f>
        <v/>
      </c>
      <c r="D53" s="134">
        <f>C53+1</f>
        <v/>
      </c>
      <c r="E53" s="129">
        <f>F53/MAX($F$9:F53)-1</f>
        <v/>
      </c>
      <c r="F53" s="130">
        <f>F52*D53</f>
        <v/>
      </c>
    </row>
    <row r="54">
      <c r="A54" s="131" t="n">
        <v>45</v>
      </c>
      <c r="B54" s="132">
        <f>IF(RAND()&gt;$B$2,-(RAND()*($D$3-$D$2)+$D$2),RAND()*($C$3-$C$2)+$C$2)</f>
        <v/>
      </c>
      <c r="C54" s="133">
        <f>B54*$E$2</f>
        <v/>
      </c>
      <c r="D54" s="134">
        <f>C54+1</f>
        <v/>
      </c>
      <c r="E54" s="129">
        <f>F54/MAX($F$9:F54)-1</f>
        <v/>
      </c>
      <c r="F54" s="130">
        <f>F53*D54</f>
        <v/>
      </c>
    </row>
    <row r="55">
      <c r="A55" s="131" t="n">
        <v>46</v>
      </c>
      <c r="B55" s="132">
        <f>IF(RAND()&gt;$B$2,-(RAND()*($D$3-$D$2)+$D$2),RAND()*($C$3-$C$2)+$C$2)</f>
        <v/>
      </c>
      <c r="C55" s="133">
        <f>B55*$E$2</f>
        <v/>
      </c>
      <c r="D55" s="134">
        <f>C55+1</f>
        <v/>
      </c>
      <c r="E55" s="129">
        <f>F55/MAX($F$9:F55)-1</f>
        <v/>
      </c>
      <c r="F55" s="130">
        <f>F54*D55</f>
        <v/>
      </c>
    </row>
    <row r="56">
      <c r="A56" s="131" t="n">
        <v>47</v>
      </c>
      <c r="B56" s="132">
        <f>IF(RAND()&gt;$B$2,-(RAND()*($D$3-$D$2)+$D$2),RAND()*($C$3-$C$2)+$C$2)</f>
        <v/>
      </c>
      <c r="C56" s="133">
        <f>B56*$E$2</f>
        <v/>
      </c>
      <c r="D56" s="134">
        <f>C56+1</f>
        <v/>
      </c>
      <c r="E56" s="129">
        <f>F56/MAX($F$9:F56)-1</f>
        <v/>
      </c>
      <c r="F56" s="130">
        <f>F55*D56</f>
        <v/>
      </c>
    </row>
    <row r="57">
      <c r="A57" s="131" t="n">
        <v>48</v>
      </c>
      <c r="B57" s="132">
        <f>IF(RAND()&gt;$B$2,-(RAND()*($D$3-$D$2)+$D$2),RAND()*($C$3-$C$2)+$C$2)</f>
        <v/>
      </c>
      <c r="C57" s="133">
        <f>B57*$E$2</f>
        <v/>
      </c>
      <c r="D57" s="134">
        <f>C57+1</f>
        <v/>
      </c>
      <c r="E57" s="129">
        <f>F57/MAX($F$9:F57)-1</f>
        <v/>
      </c>
      <c r="F57" s="130">
        <f>F56*D57</f>
        <v/>
      </c>
    </row>
    <row r="58">
      <c r="A58" s="131" t="n">
        <v>49</v>
      </c>
      <c r="B58" s="132">
        <f>IF(RAND()&gt;$B$2,-(RAND()*($D$3-$D$2)+$D$2),RAND()*($C$3-$C$2)+$C$2)</f>
        <v/>
      </c>
      <c r="C58" s="133">
        <f>B58*$E$2</f>
        <v/>
      </c>
      <c r="D58" s="134">
        <f>C58+1</f>
        <v/>
      </c>
      <c r="E58" s="129">
        <f>F58/MAX($F$9:F58)-1</f>
        <v/>
      </c>
      <c r="F58" s="130">
        <f>F57*D58</f>
        <v/>
      </c>
    </row>
    <row r="59">
      <c r="A59" s="131" t="n">
        <v>50</v>
      </c>
      <c r="B59" s="132">
        <f>IF(RAND()&gt;$B$2,-(RAND()*($D$3-$D$2)+$D$2),RAND()*($C$3-$C$2)+$C$2)</f>
        <v/>
      </c>
      <c r="C59" s="133">
        <f>B59*$E$2</f>
        <v/>
      </c>
      <c r="D59" s="134">
        <f>C59+1</f>
        <v/>
      </c>
      <c r="E59" s="129">
        <f>F59/MAX($F$9:F59)-1</f>
        <v/>
      </c>
      <c r="F59" s="130">
        <f>F58*D59</f>
        <v/>
      </c>
    </row>
    <row r="60">
      <c r="A60" s="131" t="n">
        <v>51</v>
      </c>
      <c r="B60" s="132">
        <f>IF(RAND()&gt;$B$2,-(RAND()*($D$3-$D$2)+$D$2),RAND()*($C$3-$C$2)+$C$2)</f>
        <v/>
      </c>
      <c r="C60" s="133">
        <f>B60*$E$2</f>
        <v/>
      </c>
      <c r="D60" s="134">
        <f>C60+1</f>
        <v/>
      </c>
      <c r="E60" s="129">
        <f>F60/MAX($F$9:F60)-1</f>
        <v/>
      </c>
      <c r="F60" s="130">
        <f>F59*D60</f>
        <v/>
      </c>
    </row>
    <row r="61">
      <c r="A61" s="131" t="n">
        <v>52</v>
      </c>
      <c r="B61" s="132">
        <f>IF(RAND()&gt;$B$2,-(RAND()*($D$3-$D$2)+$D$2),RAND()*($C$3-$C$2)+$C$2)</f>
        <v/>
      </c>
      <c r="C61" s="133">
        <f>B61*$E$2</f>
        <v/>
      </c>
      <c r="D61" s="134">
        <f>C61+1</f>
        <v/>
      </c>
      <c r="E61" s="129">
        <f>F61/MAX($F$9:F61)-1</f>
        <v/>
      </c>
      <c r="F61" s="130">
        <f>F60*D61</f>
        <v/>
      </c>
    </row>
    <row r="62">
      <c r="A62" s="131" t="n">
        <v>53</v>
      </c>
      <c r="B62" s="132">
        <f>IF(RAND()&gt;$B$2,-(RAND()*($D$3-$D$2)+$D$2),RAND()*($C$3-$C$2)+$C$2)</f>
        <v/>
      </c>
      <c r="C62" s="133">
        <f>B62*$E$2</f>
        <v/>
      </c>
      <c r="D62" s="134">
        <f>C62+1</f>
        <v/>
      </c>
      <c r="E62" s="129">
        <f>F62/MAX($F$9:F62)-1</f>
        <v/>
      </c>
      <c r="F62" s="130">
        <f>F61*D62</f>
        <v/>
      </c>
    </row>
    <row r="63">
      <c r="A63" s="131" t="n">
        <v>54</v>
      </c>
      <c r="B63" s="132">
        <f>IF(RAND()&gt;$B$2,-(RAND()*($D$3-$D$2)+$D$2),RAND()*($C$3-$C$2)+$C$2)</f>
        <v/>
      </c>
      <c r="C63" s="133">
        <f>B63*$E$2</f>
        <v/>
      </c>
      <c r="D63" s="134">
        <f>C63+1</f>
        <v/>
      </c>
      <c r="E63" s="129">
        <f>F63/MAX($F$9:F63)-1</f>
        <v/>
      </c>
      <c r="F63" s="130">
        <f>F62*D63</f>
        <v/>
      </c>
    </row>
    <row r="64">
      <c r="A64" s="131" t="n">
        <v>55</v>
      </c>
      <c r="B64" s="132">
        <f>IF(RAND()&gt;$B$2,-(RAND()*($D$3-$D$2)+$D$2),RAND()*($C$3-$C$2)+$C$2)</f>
        <v/>
      </c>
      <c r="C64" s="133">
        <f>B64*$E$2</f>
        <v/>
      </c>
      <c r="D64" s="134">
        <f>C64+1</f>
        <v/>
      </c>
      <c r="E64" s="129">
        <f>F64/MAX($F$9:F64)-1</f>
        <v/>
      </c>
      <c r="F64" s="130">
        <f>F63*D64</f>
        <v/>
      </c>
    </row>
    <row r="65">
      <c r="A65" s="131" t="n">
        <v>56</v>
      </c>
      <c r="B65" s="132">
        <f>IF(RAND()&gt;$B$2,-(RAND()*($D$3-$D$2)+$D$2),RAND()*($C$3-$C$2)+$C$2)</f>
        <v/>
      </c>
      <c r="C65" s="133">
        <f>B65*$E$2</f>
        <v/>
      </c>
      <c r="D65" s="134">
        <f>C65+1</f>
        <v/>
      </c>
      <c r="E65" s="129">
        <f>F65/MAX($F$9:F65)-1</f>
        <v/>
      </c>
      <c r="F65" s="130">
        <f>F64*D65</f>
        <v/>
      </c>
    </row>
    <row r="66">
      <c r="A66" s="131" t="n">
        <v>57</v>
      </c>
      <c r="B66" s="132">
        <f>IF(RAND()&gt;$B$2,-(RAND()*($D$3-$D$2)+$D$2),RAND()*($C$3-$C$2)+$C$2)</f>
        <v/>
      </c>
      <c r="C66" s="133">
        <f>B66*$E$2</f>
        <v/>
      </c>
      <c r="D66" s="134">
        <f>C66+1</f>
        <v/>
      </c>
      <c r="E66" s="129">
        <f>F66/MAX($F$9:F66)-1</f>
        <v/>
      </c>
      <c r="F66" s="130">
        <f>F65*D66</f>
        <v/>
      </c>
    </row>
    <row r="67">
      <c r="A67" s="131" t="n">
        <v>58</v>
      </c>
      <c r="B67" s="132">
        <f>IF(RAND()&gt;$B$2,-(RAND()*($D$3-$D$2)+$D$2),RAND()*($C$3-$C$2)+$C$2)</f>
        <v/>
      </c>
      <c r="C67" s="133">
        <f>B67*$E$2</f>
        <v/>
      </c>
      <c r="D67" s="134">
        <f>C67+1</f>
        <v/>
      </c>
      <c r="E67" s="129">
        <f>F67/MAX($F$9:F67)-1</f>
        <v/>
      </c>
      <c r="F67" s="130">
        <f>F66*D67</f>
        <v/>
      </c>
    </row>
    <row r="68">
      <c r="A68" s="131" t="n">
        <v>59</v>
      </c>
      <c r="B68" s="132">
        <f>IF(RAND()&gt;$B$2,-(RAND()*($D$3-$D$2)+$D$2),RAND()*($C$3-$C$2)+$C$2)</f>
        <v/>
      </c>
      <c r="C68" s="133">
        <f>B68*$E$2</f>
        <v/>
      </c>
      <c r="D68" s="134">
        <f>C68+1</f>
        <v/>
      </c>
      <c r="E68" s="129">
        <f>F68/MAX($F$9:F68)-1</f>
        <v/>
      </c>
      <c r="F68" s="130">
        <f>F67*D68</f>
        <v/>
      </c>
    </row>
    <row r="69">
      <c r="A69" s="131" t="n">
        <v>60</v>
      </c>
      <c r="B69" s="132">
        <f>IF(RAND()&gt;$B$2,-(RAND()*($D$3-$D$2)+$D$2),RAND()*($C$3-$C$2)+$C$2)</f>
        <v/>
      </c>
      <c r="C69" s="133">
        <f>B69*$E$2</f>
        <v/>
      </c>
      <c r="D69" s="134">
        <f>C69+1</f>
        <v/>
      </c>
      <c r="E69" s="129">
        <f>F69/MAX($F$9:F69)-1</f>
        <v/>
      </c>
      <c r="F69" s="130">
        <f>F68*D69</f>
        <v/>
      </c>
    </row>
    <row r="70">
      <c r="A70" s="131" t="n">
        <v>61</v>
      </c>
      <c r="B70" s="132">
        <f>IF(RAND()&gt;$B$2,-(RAND()*($D$3-$D$2)+$D$2),RAND()*($C$3-$C$2)+$C$2)</f>
        <v/>
      </c>
      <c r="C70" s="133">
        <f>B70*$E$2</f>
        <v/>
      </c>
      <c r="D70" s="134">
        <f>C70+1</f>
        <v/>
      </c>
      <c r="E70" s="129">
        <f>F70/MAX($F$9:F70)-1</f>
        <v/>
      </c>
      <c r="F70" s="130">
        <f>F69*D70</f>
        <v/>
      </c>
    </row>
    <row r="71">
      <c r="A71" s="131" t="n">
        <v>62</v>
      </c>
      <c r="B71" s="132">
        <f>IF(RAND()&gt;$B$2,-(RAND()*($D$3-$D$2)+$D$2),RAND()*($C$3-$C$2)+$C$2)</f>
        <v/>
      </c>
      <c r="C71" s="133">
        <f>B71*$E$2</f>
        <v/>
      </c>
      <c r="D71" s="134">
        <f>C71+1</f>
        <v/>
      </c>
      <c r="E71" s="129">
        <f>F71/MAX($F$9:F71)-1</f>
        <v/>
      </c>
      <c r="F71" s="130">
        <f>F70*D71</f>
        <v/>
      </c>
    </row>
    <row r="72">
      <c r="A72" s="131" t="n">
        <v>63</v>
      </c>
      <c r="B72" s="132">
        <f>IF(RAND()&gt;$B$2,-(RAND()*($D$3-$D$2)+$D$2),RAND()*($C$3-$C$2)+$C$2)</f>
        <v/>
      </c>
      <c r="C72" s="133">
        <f>B72*$E$2</f>
        <v/>
      </c>
      <c r="D72" s="134">
        <f>C72+1</f>
        <v/>
      </c>
      <c r="E72" s="129">
        <f>F72/MAX($F$9:F72)-1</f>
        <v/>
      </c>
      <c r="F72" s="130">
        <f>F71*D72</f>
        <v/>
      </c>
    </row>
    <row r="73">
      <c r="A73" s="131" t="n">
        <v>64</v>
      </c>
      <c r="B73" s="132">
        <f>IF(RAND()&gt;$B$2,-(RAND()*($D$3-$D$2)+$D$2),RAND()*($C$3-$C$2)+$C$2)</f>
        <v/>
      </c>
      <c r="C73" s="133">
        <f>B73*$E$2</f>
        <v/>
      </c>
      <c r="D73" s="134">
        <f>C73+1</f>
        <v/>
      </c>
      <c r="E73" s="129">
        <f>F73/MAX($F$9:F73)-1</f>
        <v/>
      </c>
      <c r="F73" s="130">
        <f>F72*D73</f>
        <v/>
      </c>
    </row>
    <row r="74">
      <c r="A74" s="131" t="n">
        <v>65</v>
      </c>
      <c r="B74" s="132">
        <f>IF(RAND()&gt;$B$2,-(RAND()*($D$3-$D$2)+$D$2),RAND()*($C$3-$C$2)+$C$2)</f>
        <v/>
      </c>
      <c r="C74" s="133">
        <f>B74*$E$2</f>
        <v/>
      </c>
      <c r="D74" s="134">
        <f>C74+1</f>
        <v/>
      </c>
      <c r="E74" s="129">
        <f>F74/MAX($F$9:F74)-1</f>
        <v/>
      </c>
      <c r="F74" s="130">
        <f>F73*D74</f>
        <v/>
      </c>
    </row>
    <row r="75">
      <c r="A75" s="131" t="n">
        <v>66</v>
      </c>
      <c r="B75" s="132">
        <f>IF(RAND()&gt;$B$2,-(RAND()*($D$3-$D$2)+$D$2),RAND()*($C$3-$C$2)+$C$2)</f>
        <v/>
      </c>
      <c r="C75" s="133">
        <f>B75*$E$2</f>
        <v/>
      </c>
      <c r="D75" s="134">
        <f>C75+1</f>
        <v/>
      </c>
      <c r="E75" s="129">
        <f>F75/MAX($F$9:F75)-1</f>
        <v/>
      </c>
      <c r="F75" s="130">
        <f>F74*D75</f>
        <v/>
      </c>
    </row>
    <row r="76">
      <c r="A76" s="131" t="n">
        <v>67</v>
      </c>
      <c r="B76" s="132">
        <f>IF(RAND()&gt;$B$2,-(RAND()*($D$3-$D$2)+$D$2),RAND()*($C$3-$C$2)+$C$2)</f>
        <v/>
      </c>
      <c r="C76" s="133">
        <f>B76*$E$2</f>
        <v/>
      </c>
      <c r="D76" s="134">
        <f>C76+1</f>
        <v/>
      </c>
      <c r="E76" s="129">
        <f>F76/MAX($F$9:F76)-1</f>
        <v/>
      </c>
      <c r="F76" s="130">
        <f>F75*D76</f>
        <v/>
      </c>
    </row>
    <row r="77">
      <c r="A77" s="131" t="n">
        <v>68</v>
      </c>
      <c r="B77" s="132">
        <f>IF(RAND()&gt;$B$2,-(RAND()*($D$3-$D$2)+$D$2),RAND()*($C$3-$C$2)+$C$2)</f>
        <v/>
      </c>
      <c r="C77" s="133">
        <f>B77*$E$2</f>
        <v/>
      </c>
      <c r="D77" s="134">
        <f>C77+1</f>
        <v/>
      </c>
      <c r="E77" s="129">
        <f>F77/MAX($F$9:F77)-1</f>
        <v/>
      </c>
      <c r="F77" s="130">
        <f>F76*D77</f>
        <v/>
      </c>
    </row>
    <row r="78">
      <c r="A78" s="131" t="n">
        <v>69</v>
      </c>
      <c r="B78" s="132">
        <f>IF(RAND()&gt;$B$2,-(RAND()*($D$3-$D$2)+$D$2),RAND()*($C$3-$C$2)+$C$2)</f>
        <v/>
      </c>
      <c r="C78" s="133">
        <f>B78*$E$2</f>
        <v/>
      </c>
      <c r="D78" s="134">
        <f>C78+1</f>
        <v/>
      </c>
      <c r="E78" s="129">
        <f>F78/MAX($F$9:F78)-1</f>
        <v/>
      </c>
      <c r="F78" s="130">
        <f>F77*D78</f>
        <v/>
      </c>
    </row>
    <row r="79">
      <c r="A79" s="131" t="n">
        <v>70</v>
      </c>
      <c r="B79" s="132">
        <f>IF(RAND()&gt;$B$2,-(RAND()*($D$3-$D$2)+$D$2),RAND()*($C$3-$C$2)+$C$2)</f>
        <v/>
      </c>
      <c r="C79" s="133">
        <f>B79*$E$2</f>
        <v/>
      </c>
      <c r="D79" s="134">
        <f>C79+1</f>
        <v/>
      </c>
      <c r="E79" s="129">
        <f>F79/MAX($F$9:F79)-1</f>
        <v/>
      </c>
      <c r="F79" s="130">
        <f>F78*D79</f>
        <v/>
      </c>
    </row>
    <row r="80">
      <c r="A80" s="131" t="n">
        <v>71</v>
      </c>
      <c r="B80" s="132">
        <f>IF(RAND()&gt;$B$2,-(RAND()*($D$3-$D$2)+$D$2),RAND()*($C$3-$C$2)+$C$2)</f>
        <v/>
      </c>
      <c r="C80" s="133">
        <f>B80*$E$2</f>
        <v/>
      </c>
      <c r="D80" s="134">
        <f>C80+1</f>
        <v/>
      </c>
      <c r="E80" s="129">
        <f>F80/MAX($F$9:F80)-1</f>
        <v/>
      </c>
      <c r="F80" s="130">
        <f>F79*D80</f>
        <v/>
      </c>
    </row>
    <row r="81">
      <c r="A81" s="131" t="n">
        <v>72</v>
      </c>
      <c r="B81" s="132">
        <f>IF(RAND()&gt;$B$2,-(RAND()*($D$3-$D$2)+$D$2),RAND()*($C$3-$C$2)+$C$2)</f>
        <v/>
      </c>
      <c r="C81" s="133">
        <f>B81*$E$2</f>
        <v/>
      </c>
      <c r="D81" s="134">
        <f>C81+1</f>
        <v/>
      </c>
      <c r="E81" s="129">
        <f>F81/MAX($F$9:F81)-1</f>
        <v/>
      </c>
      <c r="F81" s="130">
        <f>F80*D81</f>
        <v/>
      </c>
    </row>
    <row r="82">
      <c r="A82" s="131" t="n">
        <v>73</v>
      </c>
      <c r="B82" s="132">
        <f>IF(RAND()&gt;$B$2,-(RAND()*($D$3-$D$2)+$D$2),RAND()*($C$3-$C$2)+$C$2)</f>
        <v/>
      </c>
      <c r="C82" s="133">
        <f>B82*$E$2</f>
        <v/>
      </c>
      <c r="D82" s="134">
        <f>C82+1</f>
        <v/>
      </c>
      <c r="E82" s="129">
        <f>F82/MAX($F$9:F82)-1</f>
        <v/>
      </c>
      <c r="F82" s="130">
        <f>F81*D82</f>
        <v/>
      </c>
    </row>
    <row r="83">
      <c r="A83" s="131" t="n">
        <v>74</v>
      </c>
      <c r="B83" s="132">
        <f>IF(RAND()&gt;$B$2,-(RAND()*($D$3-$D$2)+$D$2),RAND()*($C$3-$C$2)+$C$2)</f>
        <v/>
      </c>
      <c r="C83" s="133">
        <f>B83*$E$2</f>
        <v/>
      </c>
      <c r="D83" s="134">
        <f>C83+1</f>
        <v/>
      </c>
      <c r="E83" s="129">
        <f>F83/MAX($F$9:F83)-1</f>
        <v/>
      </c>
      <c r="F83" s="130">
        <f>F82*D83</f>
        <v/>
      </c>
    </row>
    <row r="84">
      <c r="A84" s="131" t="n">
        <v>75</v>
      </c>
      <c r="B84" s="132">
        <f>IF(RAND()&gt;$B$2,-(RAND()*($D$3-$D$2)+$D$2),RAND()*($C$3-$C$2)+$C$2)</f>
        <v/>
      </c>
      <c r="C84" s="133">
        <f>B84*$E$2</f>
        <v/>
      </c>
      <c r="D84" s="134">
        <f>C84+1</f>
        <v/>
      </c>
      <c r="E84" s="129">
        <f>F84/MAX($F$9:F84)-1</f>
        <v/>
      </c>
      <c r="F84" s="130">
        <f>F83*D84</f>
        <v/>
      </c>
    </row>
    <row r="85">
      <c r="A85" s="131" t="n">
        <v>76</v>
      </c>
      <c r="B85" s="132">
        <f>IF(RAND()&gt;$B$2,-(RAND()*($D$3-$D$2)+$D$2),RAND()*($C$3-$C$2)+$C$2)</f>
        <v/>
      </c>
      <c r="C85" s="133">
        <f>B85*$E$2</f>
        <v/>
      </c>
      <c r="D85" s="134">
        <f>C85+1</f>
        <v/>
      </c>
      <c r="E85" s="129">
        <f>F85/MAX($F$9:F85)-1</f>
        <v/>
      </c>
      <c r="F85" s="130">
        <f>F84*D85</f>
        <v/>
      </c>
    </row>
    <row r="86">
      <c r="A86" s="131" t="n">
        <v>77</v>
      </c>
      <c r="B86" s="132">
        <f>IF(RAND()&gt;$B$2,-(RAND()*($D$3-$D$2)+$D$2),RAND()*($C$3-$C$2)+$C$2)</f>
        <v/>
      </c>
      <c r="C86" s="133">
        <f>B86*$E$2</f>
        <v/>
      </c>
      <c r="D86" s="134">
        <f>C86+1</f>
        <v/>
      </c>
      <c r="E86" s="129">
        <f>F86/MAX($F$9:F86)-1</f>
        <v/>
      </c>
      <c r="F86" s="130">
        <f>F85*D86</f>
        <v/>
      </c>
    </row>
    <row r="87">
      <c r="A87" s="131" t="n">
        <v>78</v>
      </c>
      <c r="B87" s="132">
        <f>IF(RAND()&gt;$B$2,-(RAND()*($D$3-$D$2)+$D$2),RAND()*($C$3-$C$2)+$C$2)</f>
        <v/>
      </c>
      <c r="C87" s="133">
        <f>B87*$E$2</f>
        <v/>
      </c>
      <c r="D87" s="134">
        <f>C87+1</f>
        <v/>
      </c>
      <c r="E87" s="129">
        <f>F87/MAX($F$9:F87)-1</f>
        <v/>
      </c>
      <c r="F87" s="130">
        <f>F86*D87</f>
        <v/>
      </c>
    </row>
    <row r="88">
      <c r="A88" s="131" t="n">
        <v>79</v>
      </c>
      <c r="B88" s="132">
        <f>IF(RAND()&gt;$B$2,-(RAND()*($D$3-$D$2)+$D$2),RAND()*($C$3-$C$2)+$C$2)</f>
        <v/>
      </c>
      <c r="C88" s="133">
        <f>B88*$E$2</f>
        <v/>
      </c>
      <c r="D88" s="134">
        <f>C88+1</f>
        <v/>
      </c>
      <c r="E88" s="129">
        <f>F88/MAX($F$9:F88)-1</f>
        <v/>
      </c>
      <c r="F88" s="130">
        <f>F87*D88</f>
        <v/>
      </c>
    </row>
    <row r="89">
      <c r="A89" s="131" t="n">
        <v>80</v>
      </c>
      <c r="B89" s="132">
        <f>IF(RAND()&gt;$B$2,-(RAND()*($D$3-$D$2)+$D$2),RAND()*($C$3-$C$2)+$C$2)</f>
        <v/>
      </c>
      <c r="C89" s="133">
        <f>B89*$E$2</f>
        <v/>
      </c>
      <c r="D89" s="134">
        <f>C89+1</f>
        <v/>
      </c>
      <c r="E89" s="129">
        <f>F89/MAX($F$9:F89)-1</f>
        <v/>
      </c>
      <c r="F89" s="130">
        <f>F88*D89</f>
        <v/>
      </c>
    </row>
    <row r="90">
      <c r="A90" s="131" t="n">
        <v>81</v>
      </c>
      <c r="B90" s="132">
        <f>IF(RAND()&gt;$B$2,-(RAND()*($D$3-$D$2)+$D$2),RAND()*($C$3-$C$2)+$C$2)</f>
        <v/>
      </c>
      <c r="C90" s="133">
        <f>B90*$E$2</f>
        <v/>
      </c>
      <c r="D90" s="134">
        <f>C90+1</f>
        <v/>
      </c>
      <c r="E90" s="129">
        <f>F90/MAX($F$9:F90)-1</f>
        <v/>
      </c>
      <c r="F90" s="130">
        <f>F89*D90</f>
        <v/>
      </c>
    </row>
    <row r="91">
      <c r="A91" s="131" t="n">
        <v>82</v>
      </c>
      <c r="B91" s="132">
        <f>IF(RAND()&gt;$B$2,-(RAND()*($D$3-$D$2)+$D$2),RAND()*($C$3-$C$2)+$C$2)</f>
        <v/>
      </c>
      <c r="C91" s="133">
        <f>B91*$E$2</f>
        <v/>
      </c>
      <c r="D91" s="134">
        <f>C91+1</f>
        <v/>
      </c>
      <c r="E91" s="129">
        <f>F91/MAX($F$9:F91)-1</f>
        <v/>
      </c>
      <c r="F91" s="130">
        <f>F90*D91</f>
        <v/>
      </c>
    </row>
    <row r="92">
      <c r="A92" s="131" t="n">
        <v>83</v>
      </c>
      <c r="B92" s="132">
        <f>IF(RAND()&gt;$B$2,-(RAND()*($D$3-$D$2)+$D$2),RAND()*($C$3-$C$2)+$C$2)</f>
        <v/>
      </c>
      <c r="C92" s="133">
        <f>B92*$E$2</f>
        <v/>
      </c>
      <c r="D92" s="134">
        <f>C92+1</f>
        <v/>
      </c>
      <c r="E92" s="129">
        <f>F92/MAX($F$9:F92)-1</f>
        <v/>
      </c>
      <c r="F92" s="130">
        <f>F91*D92</f>
        <v/>
      </c>
    </row>
    <row r="93">
      <c r="A93" s="131" t="n">
        <v>84</v>
      </c>
      <c r="B93" s="132">
        <f>IF(RAND()&gt;$B$2,-(RAND()*($D$3-$D$2)+$D$2),RAND()*($C$3-$C$2)+$C$2)</f>
        <v/>
      </c>
      <c r="C93" s="133">
        <f>B93*$E$2</f>
        <v/>
      </c>
      <c r="D93" s="134">
        <f>C93+1</f>
        <v/>
      </c>
      <c r="E93" s="129">
        <f>F93/MAX($F$9:F93)-1</f>
        <v/>
      </c>
      <c r="F93" s="130">
        <f>F92*D93</f>
        <v/>
      </c>
    </row>
    <row r="94">
      <c r="A94" s="131" t="n">
        <v>85</v>
      </c>
      <c r="B94" s="132">
        <f>IF(RAND()&gt;$B$2,-(RAND()*($D$3-$D$2)+$D$2),RAND()*($C$3-$C$2)+$C$2)</f>
        <v/>
      </c>
      <c r="C94" s="133">
        <f>B94*$E$2</f>
        <v/>
      </c>
      <c r="D94" s="134">
        <f>C94+1</f>
        <v/>
      </c>
      <c r="E94" s="129">
        <f>F94/MAX($F$9:F94)-1</f>
        <v/>
      </c>
      <c r="F94" s="130">
        <f>F93*D94</f>
        <v/>
      </c>
    </row>
    <row r="95">
      <c r="A95" s="131" t="n">
        <v>86</v>
      </c>
      <c r="B95" s="132">
        <f>IF(RAND()&gt;$B$2,-(RAND()*($D$3-$D$2)+$D$2),RAND()*($C$3-$C$2)+$C$2)</f>
        <v/>
      </c>
      <c r="C95" s="133">
        <f>B95*$E$2</f>
        <v/>
      </c>
      <c r="D95" s="134">
        <f>C95+1</f>
        <v/>
      </c>
      <c r="E95" s="129">
        <f>F95/MAX($F$9:F95)-1</f>
        <v/>
      </c>
      <c r="F95" s="130">
        <f>F94*D95</f>
        <v/>
      </c>
    </row>
    <row r="96">
      <c r="A96" s="131" t="n">
        <v>87</v>
      </c>
      <c r="B96" s="132">
        <f>IF(RAND()&gt;$B$2,-(RAND()*($D$3-$D$2)+$D$2),RAND()*($C$3-$C$2)+$C$2)</f>
        <v/>
      </c>
      <c r="C96" s="133">
        <f>B96*$E$2</f>
        <v/>
      </c>
      <c r="D96" s="134">
        <f>C96+1</f>
        <v/>
      </c>
      <c r="E96" s="129">
        <f>F96/MAX($F$9:F96)-1</f>
        <v/>
      </c>
      <c r="F96" s="130">
        <f>F95*D96</f>
        <v/>
      </c>
    </row>
    <row r="97">
      <c r="A97" s="131" t="n">
        <v>88</v>
      </c>
      <c r="B97" s="132">
        <f>IF(RAND()&gt;$B$2,-(RAND()*($D$3-$D$2)+$D$2),RAND()*($C$3-$C$2)+$C$2)</f>
        <v/>
      </c>
      <c r="C97" s="133">
        <f>B97*$E$2</f>
        <v/>
      </c>
      <c r="D97" s="134">
        <f>C97+1</f>
        <v/>
      </c>
      <c r="E97" s="129">
        <f>F97/MAX($F$9:F97)-1</f>
        <v/>
      </c>
      <c r="F97" s="130">
        <f>F96*D97</f>
        <v/>
      </c>
    </row>
    <row r="98">
      <c r="A98" s="131" t="n">
        <v>89</v>
      </c>
      <c r="B98" s="132">
        <f>IF(RAND()&gt;$B$2,-(RAND()*($D$3-$D$2)+$D$2),RAND()*($C$3-$C$2)+$C$2)</f>
        <v/>
      </c>
      <c r="C98" s="133">
        <f>B98*$E$2</f>
        <v/>
      </c>
      <c r="D98" s="134">
        <f>C98+1</f>
        <v/>
      </c>
      <c r="E98" s="129">
        <f>F98/MAX($F$9:F98)-1</f>
        <v/>
      </c>
      <c r="F98" s="130">
        <f>F97*D98</f>
        <v/>
      </c>
    </row>
    <row r="99">
      <c r="A99" s="131" t="n">
        <v>90</v>
      </c>
      <c r="B99" s="132">
        <f>IF(RAND()&gt;$B$2,-(RAND()*($D$3-$D$2)+$D$2),RAND()*($C$3-$C$2)+$C$2)</f>
        <v/>
      </c>
      <c r="C99" s="133">
        <f>B99*$E$2</f>
        <v/>
      </c>
      <c r="D99" s="134">
        <f>C99+1</f>
        <v/>
      </c>
      <c r="E99" s="129">
        <f>F99/MAX($F$9:F99)-1</f>
        <v/>
      </c>
      <c r="F99" s="130">
        <f>F98*D99</f>
        <v/>
      </c>
    </row>
    <row r="100">
      <c r="A100" s="131" t="n">
        <v>91</v>
      </c>
      <c r="B100" s="132">
        <f>IF(RAND()&gt;$B$2,-(RAND()*($D$3-$D$2)+$D$2),RAND()*($C$3-$C$2)+$C$2)</f>
        <v/>
      </c>
      <c r="C100" s="133">
        <f>B100*$E$2</f>
        <v/>
      </c>
      <c r="D100" s="134">
        <f>C100+1</f>
        <v/>
      </c>
      <c r="E100" s="129">
        <f>F100/MAX($F$9:F100)-1</f>
        <v/>
      </c>
      <c r="F100" s="130">
        <f>F99*D100</f>
        <v/>
      </c>
    </row>
    <row r="101">
      <c r="A101" s="131" t="n">
        <v>92</v>
      </c>
      <c r="B101" s="132">
        <f>IF(RAND()&gt;$B$2,-(RAND()*($D$3-$D$2)+$D$2),RAND()*($C$3-$C$2)+$C$2)</f>
        <v/>
      </c>
      <c r="C101" s="133">
        <f>B101*$E$2</f>
        <v/>
      </c>
      <c r="D101" s="134">
        <f>C101+1</f>
        <v/>
      </c>
      <c r="E101" s="129">
        <f>F101/MAX($F$9:F101)-1</f>
        <v/>
      </c>
      <c r="F101" s="130">
        <f>F100*D101</f>
        <v/>
      </c>
    </row>
    <row r="102">
      <c r="A102" s="131" t="n">
        <v>93</v>
      </c>
      <c r="B102" s="132">
        <f>IF(RAND()&gt;$B$2,-(RAND()*($D$3-$D$2)+$D$2),RAND()*($C$3-$C$2)+$C$2)</f>
        <v/>
      </c>
      <c r="C102" s="133">
        <f>B102*$E$2</f>
        <v/>
      </c>
      <c r="D102" s="134">
        <f>C102+1</f>
        <v/>
      </c>
      <c r="E102" s="129">
        <f>F102/MAX($F$9:F102)-1</f>
        <v/>
      </c>
      <c r="F102" s="130">
        <f>F101*D102</f>
        <v/>
      </c>
    </row>
    <row r="103">
      <c r="A103" s="131" t="n">
        <v>94</v>
      </c>
      <c r="B103" s="132">
        <f>IF(RAND()&gt;$B$2,-(RAND()*($D$3-$D$2)+$D$2),RAND()*($C$3-$C$2)+$C$2)</f>
        <v/>
      </c>
      <c r="C103" s="133">
        <f>B103*$E$2</f>
        <v/>
      </c>
      <c r="D103" s="134">
        <f>C103+1</f>
        <v/>
      </c>
      <c r="E103" s="129">
        <f>F103/MAX($F$9:F103)-1</f>
        <v/>
      </c>
      <c r="F103" s="130">
        <f>F102*D103</f>
        <v/>
      </c>
    </row>
    <row r="104">
      <c r="A104" s="131" t="n">
        <v>95</v>
      </c>
      <c r="B104" s="132">
        <f>IF(RAND()&gt;$B$2,-(RAND()*($D$3-$D$2)+$D$2),RAND()*($C$3-$C$2)+$C$2)</f>
        <v/>
      </c>
      <c r="C104" s="133">
        <f>B104*$E$2</f>
        <v/>
      </c>
      <c r="D104" s="134">
        <f>C104+1</f>
        <v/>
      </c>
      <c r="E104" s="129">
        <f>F104/MAX($F$9:F104)-1</f>
        <v/>
      </c>
      <c r="F104" s="130">
        <f>F103*D104</f>
        <v/>
      </c>
    </row>
    <row r="105">
      <c r="A105" s="131" t="n">
        <v>96</v>
      </c>
      <c r="B105" s="132">
        <f>IF(RAND()&gt;$B$2,-(RAND()*($D$3-$D$2)+$D$2),RAND()*($C$3-$C$2)+$C$2)</f>
        <v/>
      </c>
      <c r="C105" s="133">
        <f>B105*$E$2</f>
        <v/>
      </c>
      <c r="D105" s="134">
        <f>C105+1</f>
        <v/>
      </c>
      <c r="E105" s="129">
        <f>F105/MAX($F$9:F105)-1</f>
        <v/>
      </c>
      <c r="F105" s="130">
        <f>F104*D105</f>
        <v/>
      </c>
    </row>
    <row r="106">
      <c r="A106" s="131" t="n">
        <v>97</v>
      </c>
      <c r="B106" s="132">
        <f>IF(RAND()&gt;$B$2,-(RAND()*($D$3-$D$2)+$D$2),RAND()*($C$3-$C$2)+$C$2)</f>
        <v/>
      </c>
      <c r="C106" s="133">
        <f>B106*$E$2</f>
        <v/>
      </c>
      <c r="D106" s="134">
        <f>C106+1</f>
        <v/>
      </c>
      <c r="E106" s="129">
        <f>F106/MAX($F$9:F106)-1</f>
        <v/>
      </c>
      <c r="F106" s="130">
        <f>F105*D106</f>
        <v/>
      </c>
    </row>
    <row r="107">
      <c r="A107" s="131" t="n">
        <v>98</v>
      </c>
      <c r="B107" s="132">
        <f>IF(RAND()&gt;$B$2,-(RAND()*($D$3-$D$2)+$D$2),RAND()*($C$3-$C$2)+$C$2)</f>
        <v/>
      </c>
      <c r="C107" s="133">
        <f>B107*$E$2</f>
        <v/>
      </c>
      <c r="D107" s="134">
        <f>C107+1</f>
        <v/>
      </c>
      <c r="E107" s="129">
        <f>F107/MAX($F$9:F107)-1</f>
        <v/>
      </c>
      <c r="F107" s="130">
        <f>F106*D107</f>
        <v/>
      </c>
    </row>
    <row r="108">
      <c r="A108" s="131" t="n">
        <v>99</v>
      </c>
      <c r="B108" s="132">
        <f>IF(RAND()&gt;$B$2,-(RAND()*($D$3-$D$2)+$D$2),RAND()*($C$3-$C$2)+$C$2)</f>
        <v/>
      </c>
      <c r="C108" s="133">
        <f>B108*$E$2</f>
        <v/>
      </c>
      <c r="D108" s="134">
        <f>C108+1</f>
        <v/>
      </c>
      <c r="E108" s="129">
        <f>F108/MAX($F$9:F108)-1</f>
        <v/>
      </c>
      <c r="F108" s="130">
        <f>F107*D108</f>
        <v/>
      </c>
    </row>
    <row r="109" ht="15" customHeight="1" thickBot="1">
      <c r="A109" s="135" t="n">
        <v>100</v>
      </c>
      <c r="B109" s="136">
        <f>IF(RAND()&gt;$B$2,-(RAND()*($D$3-$D$2)+$D$2),RAND()*($C$3-$C$2)+$C$2)</f>
        <v/>
      </c>
      <c r="C109" s="137">
        <f>B109*$E$2</f>
        <v/>
      </c>
      <c r="D109" s="138">
        <f>C109+1</f>
        <v/>
      </c>
      <c r="E109" s="139">
        <f>F109/MAX($F$9:F109)-1</f>
        <v/>
      </c>
      <c r="F109" s="140">
        <f>F108*D109</f>
        <v/>
      </c>
    </row>
  </sheetData>
  <conditionalFormatting sqref="B10:C109">
    <cfRule type="cellIs" priority="1" operator="lessThan" dxfId="4">
      <formula>0</formula>
    </cfRule>
    <cfRule type="cellIs" priority="2" operator="greaterThanOrEqual" dxfId="3">
      <formula>0</formula>
    </cfRule>
  </conditionalFormatting>
  <conditionalFormatting sqref="E10:E109">
    <cfRule type="cellIs" priority="3" operator="lessThan" dxfId="2">
      <formula>0</formula>
    </cfRule>
  </conditionalFormatting>
  <pageMargins left="0.7" right="0.7" top="0.75" bottom="0.75" header="0.3" footer="0.3"/>
  <pageSetup orientation="portrait" paperSize="9" horizontalDpi="4294967293" verticalDpi="0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7"/>
  <sheetViews>
    <sheetView showGridLines="0" workbookViewId="0">
      <pane xSplit="1" ySplit="1" topLeftCell="B5" activePane="bottomRight" state="frozen"/>
      <selection pane="topRight" activeCell="A1" sqref="A1"/>
      <selection pane="bottomLeft" activeCell="A1" sqref="A1"/>
      <selection pane="bottomRight" activeCell="C14" sqref="C14"/>
    </sheetView>
  </sheetViews>
  <sheetFormatPr baseColWidth="8" defaultRowHeight="14.5"/>
  <cols>
    <col width="34" customWidth="1" min="1" max="1"/>
    <col width="43" customWidth="1" min="2" max="2"/>
    <col width="35" customWidth="1" min="3" max="3"/>
    <col width="36" customWidth="1" min="4" max="4"/>
    <col width="40" customWidth="1" min="5" max="5"/>
    <col width="35" customWidth="1" min="6" max="6"/>
    <col width="36" customWidth="1" min="7" max="7"/>
    <col width="37" customWidth="1" min="8" max="8"/>
    <col width="39" customWidth="1" min="9" max="9"/>
    <col width="38" customWidth="1" min="10" max="10"/>
  </cols>
  <sheetData>
    <row r="1">
      <c r="A1" s="883" t="n"/>
      <c r="B1" s="884" t="n">
        <v>2018</v>
      </c>
      <c r="C1" s="884" t="n">
        <v>2019</v>
      </c>
      <c r="D1" s="884" t="n">
        <v>2020</v>
      </c>
      <c r="E1" s="884" t="n">
        <v>2021</v>
      </c>
      <c r="F1" s="884" t="n">
        <v>2022</v>
      </c>
      <c r="G1" s="884" t="n">
        <v>2023</v>
      </c>
      <c r="H1" s="884" t="n">
        <v>2024</v>
      </c>
      <c r="I1" s="884" t="n">
        <v>2025</v>
      </c>
      <c r="J1" s="885" t="n">
        <v>2026</v>
      </c>
    </row>
    <row r="2" ht="14.5" customHeight="1">
      <c r="A2" s="886" t="inlineStr">
        <is>
          <t>Trades</t>
        </is>
      </c>
      <c r="B2" s="887" t="n">
        <v>380</v>
      </c>
      <c r="C2" s="887" t="n">
        <v>310</v>
      </c>
      <c r="D2" s="887" t="n">
        <v>232</v>
      </c>
      <c r="E2" s="887" t="n">
        <v>288</v>
      </c>
      <c r="F2" s="887" t="n">
        <v>58</v>
      </c>
      <c r="G2" s="887" t="n">
        <v>63</v>
      </c>
      <c r="H2" s="887" t="n">
        <v>41</v>
      </c>
      <c r="I2" s="887" t="n">
        <v>36</v>
      </c>
      <c r="J2" s="888" t="n">
        <v>13</v>
      </c>
    </row>
    <row r="3" ht="14.5" customHeight="1">
      <c r="A3" s="889" t="inlineStr">
        <is>
          <t>Wins</t>
        </is>
      </c>
      <c r="B3" s="890" t="n">
        <v>123</v>
      </c>
      <c r="C3" s="890" t="n">
        <v>102</v>
      </c>
      <c r="D3" s="890" t="n">
        <v>50</v>
      </c>
      <c r="E3" s="890" t="n">
        <v>60</v>
      </c>
      <c r="F3" s="890" t="n">
        <v>19</v>
      </c>
      <c r="G3" s="890" t="n">
        <v>21</v>
      </c>
      <c r="H3" s="890" t="n">
        <v>12</v>
      </c>
      <c r="I3" s="890" t="n">
        <v>13</v>
      </c>
      <c r="J3" s="891" t="n">
        <v>4</v>
      </c>
    </row>
    <row r="4" ht="14.5" customHeight="1">
      <c r="A4" s="889" t="inlineStr">
        <is>
          <t>Losses</t>
        </is>
      </c>
      <c r="B4" s="892" t="n">
        <v>248</v>
      </c>
      <c r="C4" s="892" t="n">
        <v>205</v>
      </c>
      <c r="D4" s="892" t="n">
        <v>178</v>
      </c>
      <c r="E4" s="892" t="n">
        <v>228</v>
      </c>
      <c r="F4" s="892" t="n">
        <v>39</v>
      </c>
      <c r="G4" s="892" t="n">
        <v>42</v>
      </c>
      <c r="H4" s="892" t="n">
        <v>29</v>
      </c>
      <c r="I4" s="892" t="n">
        <v>23</v>
      </c>
      <c r="J4" s="893" t="n">
        <v>9</v>
      </c>
    </row>
    <row r="5" ht="14.5" customHeight="1">
      <c r="A5" s="889" t="inlineStr">
        <is>
          <t>Break-even</t>
        </is>
      </c>
      <c r="B5" s="887" t="n">
        <v>9</v>
      </c>
      <c r="C5" s="887" t="n">
        <v>3</v>
      </c>
      <c r="D5" s="887" t="n">
        <v>4</v>
      </c>
      <c r="E5" s="887" t="n">
        <v>0</v>
      </c>
      <c r="F5" s="887" t="n">
        <v>0</v>
      </c>
      <c r="G5" s="887" t="n">
        <v>0</v>
      </c>
      <c r="H5" s="887" t="n">
        <v>0</v>
      </c>
      <c r="I5" s="887" t="n">
        <v>0</v>
      </c>
      <c r="J5" s="888" t="n">
        <v>0</v>
      </c>
    </row>
    <row r="6" ht="14.5" customHeight="1">
      <c r="A6" s="889" t="inlineStr">
        <is>
          <t>Test</t>
        </is>
      </c>
      <c r="B6" s="887" t="n">
        <v>0</v>
      </c>
      <c r="C6" s="887" t="n">
        <v>0</v>
      </c>
      <c r="D6" s="887" t="n">
        <v>2</v>
      </c>
      <c r="E6" s="887" t="n">
        <v>0</v>
      </c>
      <c r="F6" s="887" t="n">
        <v>0</v>
      </c>
      <c r="G6" s="887" t="n">
        <v>0</v>
      </c>
      <c r="H6" s="887" t="n">
        <v>20</v>
      </c>
      <c r="I6" s="887" t="n">
        <v>2</v>
      </c>
      <c r="J6" s="888" t="n">
        <v>17</v>
      </c>
    </row>
    <row r="7" ht="14.5" customHeight="1">
      <c r="A7" s="886" t="inlineStr">
        <is>
          <t>Win rate</t>
        </is>
      </c>
      <c r="B7" s="894" t="n">
        <v>0.3236842105263158</v>
      </c>
      <c r="C7" s="894" t="n">
        <v>0.3290322580645161</v>
      </c>
      <c r="D7" s="894" t="n">
        <v>0.2155172413793103</v>
      </c>
      <c r="E7" s="894" t="n">
        <v>0.2083333333333334</v>
      </c>
      <c r="F7" s="894" t="n">
        <v>0.3275862068965518</v>
      </c>
      <c r="G7" s="894" t="n">
        <v>0.3333333333333333</v>
      </c>
      <c r="H7" s="894" t="n">
        <v>0.2926829268292683</v>
      </c>
      <c r="I7" s="894" t="n">
        <v>0.361111111111111</v>
      </c>
      <c r="J7" s="895" t="n">
        <v>0.3076923076923077</v>
      </c>
    </row>
    <row r="8" ht="14.5" customHeight="1">
      <c r="A8" s="886" t="inlineStr">
        <is>
          <t>Net P/L</t>
        </is>
      </c>
      <c r="B8" s="896" t="n">
        <v>-0.2241979279769629</v>
      </c>
      <c r="C8" s="896" t="n">
        <v>-0.5564704234656839</v>
      </c>
      <c r="D8" s="896" t="n">
        <v>-0.4295865872907748</v>
      </c>
      <c r="E8" s="896" t="n">
        <v>-0.5445070328348874</v>
      </c>
      <c r="F8" s="896" t="n">
        <v>-0.03432552575846604</v>
      </c>
      <c r="G8" s="896" t="n">
        <v>-0.03318670589439997</v>
      </c>
      <c r="H8" s="896" t="n">
        <v>-0.1105566951803516</v>
      </c>
      <c r="I8" s="897" t="n">
        <v>0.01934836289862958</v>
      </c>
      <c r="J8" s="898" t="n">
        <v>-0.04789912098582219</v>
      </c>
    </row>
    <row r="9" ht="14.5" customHeight="1">
      <c r="A9" s="886" t="inlineStr">
        <is>
          <t>Gross percent gain</t>
        </is>
      </c>
      <c r="B9" s="897" t="n">
        <v>1.160383344750839</v>
      </c>
      <c r="C9" s="897" t="n">
        <v>1.110642742797419</v>
      </c>
      <c r="D9" s="897" t="n">
        <v>0.9405957372407395</v>
      </c>
      <c r="E9" s="897" t="n">
        <v>1.206320247285034</v>
      </c>
      <c r="F9" s="897" t="n">
        <v>0.324571434038607</v>
      </c>
      <c r="G9" s="897" t="n">
        <v>0.363797619540224</v>
      </c>
      <c r="H9" s="897" t="n">
        <v>0.1541583975991649</v>
      </c>
      <c r="I9" s="897" t="n">
        <v>0.2381561504016483</v>
      </c>
      <c r="J9" s="899" t="n">
        <v>0.0008367833890213609</v>
      </c>
    </row>
    <row r="10" ht="14.5" customHeight="1">
      <c r="A10" s="886" t="inlineStr">
        <is>
          <t>Gross percent loss</t>
        </is>
      </c>
      <c r="B10" s="896" t="n">
        <v>1.384581272727802</v>
      </c>
      <c r="C10" s="896" t="n">
        <v>1.667113166263103</v>
      </c>
      <c r="D10" s="896" t="n">
        <v>1.370182324531514</v>
      </c>
      <c r="E10" s="896" t="n">
        <v>1.750827280119921</v>
      </c>
      <c r="F10" s="896" t="n">
        <v>0.358896959797073</v>
      </c>
      <c r="G10" s="896" t="n">
        <v>0.396984325434624</v>
      </c>
      <c r="H10" s="896" t="n">
        <v>0.2647150927795165</v>
      </c>
      <c r="I10" s="896" t="n">
        <v>0.2188077875030187</v>
      </c>
      <c r="J10" s="898" t="n">
        <v>0.04873590437484356</v>
      </c>
    </row>
    <row r="11" ht="14.5" customHeight="1">
      <c r="A11" s="886" t="inlineStr">
        <is>
          <t>Gross IR gain</t>
        </is>
      </c>
      <c r="B11" s="900" t="n">
        <v>208.6687654550603</v>
      </c>
      <c r="C11" s="900" t="n">
        <v>155.1875611232419</v>
      </c>
      <c r="D11" s="900" t="n">
        <v>107.098628411018</v>
      </c>
      <c r="E11" s="900" t="n">
        <v>149.0104744659724</v>
      </c>
      <c r="F11" s="900" t="n">
        <v>35.28888257395787</v>
      </c>
      <c r="G11" s="900" t="n">
        <v>37.42374999049753</v>
      </c>
      <c r="H11" s="900" t="n">
        <v>19.10140940315911</v>
      </c>
      <c r="I11" s="900" t="n">
        <v>24.78755156709347</v>
      </c>
      <c r="J11" s="901" t="n">
        <v>5.88770029215818</v>
      </c>
    </row>
    <row r="12" ht="14.5" customHeight="1">
      <c r="A12" s="886" t="inlineStr">
        <is>
          <t>Gross IR loss</t>
        </is>
      </c>
      <c r="B12" s="902" t="n">
        <v>203.4901914772075</v>
      </c>
      <c r="C12" s="902" t="n">
        <v>194.0044178009383</v>
      </c>
      <c r="D12" s="902" t="n">
        <v>131.8083496238863</v>
      </c>
      <c r="E12" s="902" t="n">
        <v>223.0006250852393</v>
      </c>
      <c r="F12" s="902" t="n">
        <v>39.57728304351</v>
      </c>
      <c r="G12" s="902" t="n">
        <v>37.59984571659223</v>
      </c>
      <c r="H12" s="902" t="n">
        <v>27.50593499967114</v>
      </c>
      <c r="I12" s="902" t="n">
        <v>21.95581698054319</v>
      </c>
      <c r="J12" s="903" t="n">
        <v>6.939835301987719</v>
      </c>
    </row>
    <row r="13" ht="14.5" customHeight="1">
      <c r="A13" s="886" t="inlineStr">
        <is>
          <t>Best Win Streak</t>
        </is>
      </c>
      <c r="B13" s="890" t="n">
        <v>5</v>
      </c>
      <c r="C13" s="890" t="n">
        <v>5</v>
      </c>
      <c r="D13" s="890" t="n">
        <v>3</v>
      </c>
      <c r="E13" s="890" t="n">
        <v>3</v>
      </c>
      <c r="F13" s="890" t="n">
        <v>2</v>
      </c>
      <c r="G13" s="890" t="n">
        <v>4</v>
      </c>
      <c r="H13" s="890" t="n">
        <v>3</v>
      </c>
      <c r="I13" s="890" t="n">
        <v>2</v>
      </c>
      <c r="J13" s="891" t="n">
        <v>4</v>
      </c>
    </row>
    <row r="14" ht="14.5" customHeight="1">
      <c r="A14" s="889" t="inlineStr">
        <is>
          <t>Start</t>
        </is>
      </c>
      <c r="B14" s="661" t="inlineStr">
        <is>
          <t>2018-10-29 22:34:00</t>
        </is>
      </c>
      <c r="C14" s="661" t="inlineStr">
        <is>
          <t>2019-02-11 22:19:00</t>
        </is>
      </c>
      <c r="D14" s="661" t="inlineStr">
        <is>
          <t>2020-03-12 22:45:27</t>
        </is>
      </c>
      <c r="E14" s="661" t="inlineStr">
        <is>
          <t>2021-04-29 01:48:00</t>
        </is>
      </c>
      <c r="F14" s="661" t="inlineStr">
        <is>
          <t>2022-05-05 16:51:11</t>
        </is>
      </c>
      <c r="G14" s="661" t="inlineStr">
        <is>
          <t>2023-09-15 22:22:00</t>
        </is>
      </c>
      <c r="H14" s="661" t="inlineStr">
        <is>
          <t>2024-10-27 22:46:00</t>
        </is>
      </c>
      <c r="I14" s="661" t="inlineStr">
        <is>
          <t>2025-04-30 04:50:00</t>
        </is>
      </c>
      <c r="J14" s="904" t="inlineStr">
        <is>
          <t>2026-09-07 07:57:41</t>
        </is>
      </c>
    </row>
    <row r="15" ht="14.5" customHeight="1">
      <c r="A15" s="889" t="inlineStr">
        <is>
          <t>End</t>
        </is>
      </c>
      <c r="B15" s="661" t="inlineStr">
        <is>
          <t>2018-10-30 19:39:00</t>
        </is>
      </c>
      <c r="C15" s="661" t="inlineStr">
        <is>
          <t>2019-02-12 01:35:00</t>
        </is>
      </c>
      <c r="D15" s="661" t="inlineStr">
        <is>
          <t>2020-03-17 22:31:00</t>
        </is>
      </c>
      <c r="E15" s="661" t="inlineStr">
        <is>
          <t>2021-04-29 04:35:00</t>
        </is>
      </c>
      <c r="F15" s="661" t="inlineStr">
        <is>
          <t>2022-05-05 18:02:04</t>
        </is>
      </c>
      <c r="G15" s="661" t="inlineStr">
        <is>
          <t>2023-09-15 22:41:45</t>
        </is>
      </c>
      <c r="H15" s="661" t="inlineStr">
        <is>
          <t>2024-11-10 23:27:00</t>
        </is>
      </c>
      <c r="I15" s="661" t="inlineStr">
        <is>
          <t>2025-05-06 02:37:53</t>
        </is>
      </c>
      <c r="J15" s="904" t="inlineStr">
        <is>
          <t>2026-10-05 04:38:17</t>
        </is>
      </c>
    </row>
    <row r="16" ht="14.5" customHeight="1">
      <c r="A16" s="886" t="inlineStr">
        <is>
          <t>Worst Losing Streak</t>
        </is>
      </c>
      <c r="B16" s="892" t="n">
        <v>14</v>
      </c>
      <c r="C16" s="892" t="n">
        <v>9</v>
      </c>
      <c r="D16" s="892" t="n">
        <v>13</v>
      </c>
      <c r="E16" s="892" t="n">
        <v>22</v>
      </c>
      <c r="F16" s="892" t="n">
        <v>7</v>
      </c>
      <c r="G16" s="892" t="n">
        <v>6</v>
      </c>
      <c r="H16" s="892" t="n">
        <v>7</v>
      </c>
      <c r="I16" s="892" t="n">
        <v>7</v>
      </c>
      <c r="J16" s="893" t="n">
        <v>7</v>
      </c>
    </row>
    <row r="17" ht="14.5" customHeight="1">
      <c r="A17" s="889" t="inlineStr">
        <is>
          <t>Start</t>
        </is>
      </c>
      <c r="B17" s="661" t="inlineStr">
        <is>
          <t>2018-06-11 19:15:00</t>
        </is>
      </c>
      <c r="C17" s="661" t="inlineStr">
        <is>
          <t>2019-01-04 23:13:00</t>
        </is>
      </c>
      <c r="D17" s="661" t="inlineStr">
        <is>
          <t>2020-11-01 00:54:00</t>
        </is>
      </c>
      <c r="E17" s="661" t="inlineStr">
        <is>
          <t>2021-07-20 22:09:00</t>
        </is>
      </c>
      <c r="F17" s="661" t="inlineStr">
        <is>
          <t>2022-05-05 23:50:00</t>
        </is>
      </c>
      <c r="G17" s="661" t="inlineStr">
        <is>
          <t>2023-04-04 18:16:40</t>
        </is>
      </c>
      <c r="H17" s="661" t="inlineStr">
        <is>
          <t>2024-09-15 17:02:00</t>
        </is>
      </c>
      <c r="I17" s="661" t="inlineStr">
        <is>
          <t>2025-09-28 15:11:00</t>
        </is>
      </c>
      <c r="J17" s="904" t="inlineStr">
        <is>
          <t>2026-10-07 12:01:07</t>
        </is>
      </c>
    </row>
    <row r="18" ht="14.5" customHeight="1">
      <c r="A18" s="889" t="inlineStr">
        <is>
          <t>End</t>
        </is>
      </c>
      <c r="B18" s="661" t="inlineStr">
        <is>
          <t>2018-06-12 22:09:00</t>
        </is>
      </c>
      <c r="C18" s="661" t="inlineStr">
        <is>
          <t>2019-01-09 03:35:00</t>
        </is>
      </c>
      <c r="D18" s="661" t="inlineStr">
        <is>
          <t>2020-12-25 04:18:01</t>
        </is>
      </c>
      <c r="E18" s="661" t="inlineStr">
        <is>
          <t>2021-09-04 23:29:00</t>
        </is>
      </c>
      <c r="F18" s="661" t="inlineStr">
        <is>
          <t>2022-05-12 22:36:56</t>
        </is>
      </c>
      <c r="G18" s="661" t="inlineStr">
        <is>
          <t>2023-04-28 19:59:23</t>
        </is>
      </c>
      <c r="H18" s="661" t="inlineStr">
        <is>
          <t>2024-10-27 20:47:00</t>
        </is>
      </c>
      <c r="I18" s="661" t="inlineStr">
        <is>
          <t>2025-11-06 11:28:13</t>
        </is>
      </c>
      <c r="J18" s="904" t="inlineStr">
        <is>
          <t>2026-10-19 17:15:01</t>
        </is>
      </c>
    </row>
    <row r="19" ht="14.5" customHeight="1">
      <c r="A19" s="886" t="inlineStr">
        <is>
          <t>Percentage expectancy</t>
        </is>
      </c>
      <c r="B19" s="905" t="n">
        <v>-0.000589994547307797</v>
      </c>
      <c r="C19" s="896" t="n">
        <v>-0.001795065882147367</v>
      </c>
      <c r="D19" s="896" t="n">
        <v>-0.001851666324529202</v>
      </c>
      <c r="E19" s="896" t="n">
        <v>-0.001890649419565581</v>
      </c>
      <c r="F19" s="905" t="n">
        <v>-0.0006022022062888778</v>
      </c>
      <c r="G19" s="905" t="n">
        <v>-0.0005267731094349202</v>
      </c>
      <c r="H19" s="896" t="n">
        <v>-0.002696504760496379</v>
      </c>
      <c r="I19" s="906" t="n">
        <v>0.0005374545249619328</v>
      </c>
      <c r="J19" s="898" t="n">
        <v>-0.003684547768140168</v>
      </c>
    </row>
    <row r="20" ht="14.5" customHeight="1">
      <c r="A20" s="907" t="inlineStr">
        <is>
          <t>R expectancy</t>
        </is>
      </c>
      <c r="B20" s="908" t="n">
        <v>0.01411055579796401</v>
      </c>
      <c r="C20" s="909" t="n">
        <v>-0.1252156667022463</v>
      </c>
      <c r="D20" s="909" t="n">
        <v>-0.1079027127199489</v>
      </c>
      <c r="E20" s="909" t="n">
        <v>-0.2605286993636158</v>
      </c>
      <c r="F20" s="910" t="n">
        <v>-0.07523509595705483</v>
      </c>
      <c r="G20" s="911" t="n">
        <v>-0.002984673323639046</v>
      </c>
      <c r="H20" s="909" t="n">
        <v>-0.2101131399128008</v>
      </c>
      <c r="I20" s="908" t="n">
        <v>0.07865929407084107</v>
      </c>
      <c r="J20" s="912" t="n">
        <v>-0.0809334622945799</v>
      </c>
    </row>
    <row r="21" ht="14.5" customHeight="1">
      <c r="A21" s="913" t="inlineStr">
        <is>
          <t>Avg stop %</t>
        </is>
      </c>
      <c r="B21" s="914" t="n">
        <v>0.0008438719366948843</v>
      </c>
      <c r="C21" s="915" t="n">
        <v>0.001109228573123737</v>
      </c>
      <c r="D21" s="915" t="n">
        <v>0.02485969378259707</v>
      </c>
      <c r="E21" s="915" t="n">
        <v>0.0198602643686207</v>
      </c>
      <c r="F21" s="915" t="n">
        <v>0.007030871628263637</v>
      </c>
      <c r="G21" s="915" t="n">
        <v>0.005987007083412069</v>
      </c>
      <c r="H21" s="915" t="n">
        <v>0.01115208000150986</v>
      </c>
      <c r="I21" s="915" t="n">
        <v>0.02127835050963099</v>
      </c>
      <c r="J21" s="916" t="n">
        <v>0.03467336237058728</v>
      </c>
    </row>
    <row r="22" ht="14.5" customHeight="1">
      <c r="A22" s="889" t="inlineStr">
        <is>
          <t>Avg target %</t>
        </is>
      </c>
      <c r="B22" s="894" t="n">
        <v>0.00193901160932585</v>
      </c>
      <c r="C22" s="894" t="n">
        <v>0.002675557309624248</v>
      </c>
      <c r="D22" s="894" t="n">
        <v>0.06957636049158517</v>
      </c>
      <c r="E22" s="894" t="n">
        <v>0.05909506161478827</v>
      </c>
      <c r="F22" s="894" t="n">
        <v>0.01470454100035741</v>
      </c>
      <c r="G22" s="894" t="n">
        <v>0.012080375167063</v>
      </c>
      <c r="H22" s="894" t="n">
        <v>0.02298895763592601</v>
      </c>
      <c r="I22" s="894" t="n">
        <v>0.04415787292031441</v>
      </c>
      <c r="J22" s="895" t="n">
        <v>0.1074303375688254</v>
      </c>
    </row>
    <row r="23" ht="14.5" customHeight="1">
      <c r="A23" s="889" t="inlineStr">
        <is>
          <t>Min stop %</t>
        </is>
      </c>
      <c r="B23" s="917" t="inlineStr">
        <is>
          <t>0.0076% - USDCAD 2018-09-07</t>
        </is>
      </c>
      <c r="C23" s="917" t="inlineStr">
        <is>
          <t>0.011% - GBPAUD 2019-07-25</t>
        </is>
      </c>
      <c r="D23" s="917" t="inlineStr">
        <is>
          <t>0.044% - EURJPY 2020-05-06</t>
        </is>
      </c>
      <c r="E23" s="917" t="inlineStr">
        <is>
          <t>0.012% - EURGBP 2021-07-07</t>
        </is>
      </c>
      <c r="F23" s="917" t="inlineStr">
        <is>
          <t>0.036% - GBPUSD 2022-05-03</t>
        </is>
      </c>
      <c r="G23" s="917" t="inlineStr">
        <is>
          <t>0.035% - EURUSD 2023-07-07</t>
        </is>
      </c>
      <c r="H23" s="917" t="inlineStr">
        <is>
          <t>0.032% - EURUSD 2024-11-21</t>
        </is>
      </c>
      <c r="I23" s="917" t="inlineStr">
        <is>
          <t>0.037% - EURUSD 2025-07-28</t>
        </is>
      </c>
      <c r="J23" s="918" t="inlineStr">
        <is>
          <t>0.025% - USDJPY 2026-09-07</t>
        </is>
      </c>
    </row>
    <row r="24" ht="14.5" customHeight="1">
      <c r="A24" s="889" t="inlineStr">
        <is>
          <t>Max stop %</t>
        </is>
      </c>
      <c r="B24" s="917" t="inlineStr">
        <is>
          <t>0.61% - USDCHF 2018-10-15</t>
        </is>
      </c>
      <c r="C24" s="917" t="inlineStr">
        <is>
          <t>0.56% - EURGBP 2019-10-18</t>
        </is>
      </c>
      <c r="D24" s="917" t="inlineStr">
        <is>
          <t>15.33% - TRXUSDT 2020-09-16</t>
        </is>
      </c>
      <c r="E24" s="917" t="inlineStr">
        <is>
          <t>21.36% - XTZUSDT 2021-05-06</t>
        </is>
      </c>
      <c r="F24" s="917" t="inlineStr">
        <is>
          <t>12.58% - BATUSDT 2022-05-11</t>
        </is>
      </c>
      <c r="G24" s="917" t="inlineStr">
        <is>
          <t>7.81% - SOLUSDT 2023-07-14</t>
        </is>
      </c>
      <c r="H24" s="917" t="inlineStr">
        <is>
          <t>7.21% - LTCUSDT 2024-11-26</t>
        </is>
      </c>
      <c r="I24" s="917" t="inlineStr">
        <is>
          <t>9.29% - AVNTUSDT 2025-09-28</t>
        </is>
      </c>
      <c r="J24" s="918" t="inlineStr">
        <is>
          <t>14.36% - ENAUSDT 2026-08-25</t>
        </is>
      </c>
    </row>
    <row r="25" ht="14.5" customHeight="1">
      <c r="A25" s="889" t="inlineStr">
        <is>
          <t>Min target %</t>
        </is>
      </c>
      <c r="B25" s="917" t="inlineStr">
        <is>
          <t>0.023% - GBPUSD 2018-08-24</t>
        </is>
      </c>
      <c r="C25" s="917" t="inlineStr">
        <is>
          <t>0.00100% - USDCHF 2019-02-27</t>
        </is>
      </c>
      <c r="D25" s="917" t="inlineStr">
        <is>
          <t>0.087% - EURJPY 2020-05-06</t>
        </is>
      </c>
      <c r="E25" s="917" t="inlineStr">
        <is>
          <t>0.052% - EURUSD 2021-10-06</t>
        </is>
      </c>
      <c r="F25" s="917" t="inlineStr">
        <is>
          <t>0.076% - USDJPY 2022-05-09</t>
        </is>
      </c>
      <c r="G25" s="917" t="inlineStr">
        <is>
          <t>0.078% - EURUSD 2023-07-07</t>
        </is>
      </c>
      <c r="H25" s="917" t="inlineStr">
        <is>
          <t>0.015% - EURUSD 2024-11-21</t>
        </is>
      </c>
      <c r="I25" s="917" t="inlineStr">
        <is>
          <t>0.0068% - NZDUSD 2025-06-10</t>
        </is>
      </c>
      <c r="J25" s="918" t="inlineStr">
        <is>
          <t>0.064% - USDJPY 2026-09-07</t>
        </is>
      </c>
    </row>
    <row r="26" ht="14.5" customHeight="1">
      <c r="A26" s="919" t="inlineStr">
        <is>
          <t>Max target %</t>
        </is>
      </c>
      <c r="B26" s="920" t="inlineStr">
        <is>
          <t>1.21% - USDCHF 2018-10-15</t>
        </is>
      </c>
      <c r="C26" s="920" t="inlineStr">
        <is>
          <t>1.54% - GBPNZD 2019-08-23</t>
        </is>
      </c>
      <c r="D26" s="920" t="inlineStr">
        <is>
          <t>59.19% - SXPUSDT 2020-10-02</t>
        </is>
      </c>
      <c r="E26" s="920" t="inlineStr">
        <is>
          <t>74.66% - SHIB1000USDT 2021-11-24</t>
        </is>
      </c>
      <c r="F26" s="920" t="inlineStr">
        <is>
          <t>25.22% - BATUSDT 2022-05-11</t>
        </is>
      </c>
      <c r="G26" s="920" t="inlineStr">
        <is>
          <t>15.63% - SOLUSDT 2023-07-14</t>
        </is>
      </c>
      <c r="H26" s="920" t="inlineStr">
        <is>
          <t>14.41% - LTCUSDT 2024-11-26</t>
        </is>
      </c>
      <c r="I26" s="920" t="inlineStr">
        <is>
          <t>19.05% - AVNTUSDT 2025-09-28</t>
        </is>
      </c>
      <c r="J26" s="921" t="inlineStr">
        <is>
          <t>37.91% - ENAUSDT 2026-08-25</t>
        </is>
      </c>
    </row>
    <row r="27" ht="14.5" customHeight="1">
      <c r="A27" s="913" t="inlineStr">
        <is>
          <t>Avg duration (DD:HH:MM:SS)</t>
        </is>
      </c>
      <c r="B27" s="922" t="inlineStr">
        <is>
          <t>1H 6M 47S</t>
        </is>
      </c>
      <c r="C27" s="922" t="inlineStr">
        <is>
          <t>4H 11M 20S</t>
        </is>
      </c>
      <c r="D27" s="922" t="inlineStr">
        <is>
          <t>15H 26M 58S</t>
        </is>
      </c>
      <c r="E27" s="922" t="inlineStr">
        <is>
          <t>18H 57M 16S</t>
        </is>
      </c>
      <c r="F27" s="922" t="inlineStr">
        <is>
          <t>1D 13H 13M 30S</t>
        </is>
      </c>
      <c r="G27" s="922" t="inlineStr">
        <is>
          <t>10H 4M 42S</t>
        </is>
      </c>
      <c r="H27" s="922" t="inlineStr">
        <is>
          <t>11H 7M 51S</t>
        </is>
      </c>
      <c r="I27" s="922" t="inlineStr">
        <is>
          <t>6H 39M 55S</t>
        </is>
      </c>
      <c r="J27" s="923" t="inlineStr">
        <is>
          <t>14H 26M 19S</t>
        </is>
      </c>
    </row>
    <row r="28" ht="14.5" customHeight="1">
      <c r="A28" s="889" t="inlineStr">
        <is>
          <t>Move to Break Even (DD:HH:MM:SS)</t>
        </is>
      </c>
      <c r="B28" s="917" t="inlineStr">
        <is>
          <t>1H 9M 51S</t>
        </is>
      </c>
      <c r="C28" s="917" t="inlineStr">
        <is>
          <t>3H 59M 59S</t>
        </is>
      </c>
      <c r="D28" s="917" t="inlineStr">
        <is>
          <t>10H 11M 54S</t>
        </is>
      </c>
      <c r="E28" s="917" t="inlineStr">
        <is>
          <t>20H 5M 32S</t>
        </is>
      </c>
      <c r="F28" s="917" t="inlineStr"/>
      <c r="G28" s="917" t="inlineStr"/>
      <c r="H28" s="917" t="inlineStr"/>
      <c r="I28" s="917" t="inlineStr"/>
      <c r="J28" s="918" t="inlineStr"/>
    </row>
    <row r="29" ht="14.5" customHeight="1">
      <c r="A29" s="919" t="inlineStr">
        <is>
          <t>Move to Profit (DD:HH:MM:SS)</t>
        </is>
      </c>
      <c r="B29" s="920" t="inlineStr">
        <is>
          <t>44M 45S</t>
        </is>
      </c>
      <c r="C29" s="920" t="inlineStr">
        <is>
          <t>1H 42M 18S</t>
        </is>
      </c>
      <c r="D29" s="920" t="inlineStr"/>
      <c r="E29" s="920" t="inlineStr">
        <is>
          <t>1D 8H 11M 26S</t>
        </is>
      </c>
      <c r="F29" s="920" t="inlineStr"/>
      <c r="G29" s="920" t="inlineStr"/>
      <c r="H29" s="920" t="inlineStr"/>
      <c r="I29" s="920" t="inlineStr"/>
      <c r="J29" s="921" t="inlineStr"/>
    </row>
    <row r="30" ht="14.5" customHeight="1">
      <c r="A30" s="924" t="inlineStr">
        <is>
          <t>Max win %</t>
        </is>
      </c>
      <c r="B30" s="925" t="inlineStr">
        <is>
          <t>4.48% - USDCAD 2018-07-20</t>
        </is>
      </c>
      <c r="C30" s="925" t="inlineStr">
        <is>
          <t>4.09% - GBPJPY 2019-08-16</t>
        </is>
      </c>
      <c r="D30" s="925" t="inlineStr">
        <is>
          <t>4.61% - ERDUSDT 2020-09-03</t>
        </is>
      </c>
      <c r="E30" s="925" t="inlineStr">
        <is>
          <t>5.48% - USDJPY 2021-07-02</t>
        </is>
      </c>
      <c r="F30" s="925" t="inlineStr">
        <is>
          <t>4.02% - EURGBP 2022-02-04</t>
        </is>
      </c>
      <c r="G30" s="925" t="inlineStr">
        <is>
          <t>2.07% - EURUSD 2023-07-07</t>
        </is>
      </c>
      <c r="H30" s="925" t="inlineStr">
        <is>
          <t>2.04% - BTCUSDT 2024-11-14</t>
        </is>
      </c>
      <c r="I30" s="925" t="inlineStr">
        <is>
          <t>3.98% - STBLUSDT 2025-09-22</t>
        </is>
      </c>
      <c r="J30" s="926" t="inlineStr">
        <is>
          <t>0.036% - USDJPY 2026-09-07</t>
        </is>
      </c>
    </row>
    <row r="31" ht="14.5" customHeight="1">
      <c r="A31" s="886" t="inlineStr">
        <is>
          <t>Max loss %</t>
        </is>
      </c>
      <c r="B31" s="927" t="inlineStr">
        <is>
          <t>-6.02% - NZDUSD 2018-09-20</t>
        </is>
      </c>
      <c r="C31" s="927" t="inlineStr">
        <is>
          <t>-2.17% - USDCAD 2019-06-21</t>
        </is>
      </c>
      <c r="D31" s="927" t="inlineStr">
        <is>
          <t>-2.62% - GBPCAD 2020-01-28</t>
        </is>
      </c>
      <c r="E31" s="927" t="inlineStr">
        <is>
          <t>-1.62% - GBPCHF 2021-09-20</t>
        </is>
      </c>
      <c r="F31" s="927" t="inlineStr">
        <is>
          <t>-2.14% - EURCHF 2022-05-06</t>
        </is>
      </c>
      <c r="G31" s="927" t="inlineStr">
        <is>
          <t>-1.24% - BTCUSDT 2023-08-02</t>
        </is>
      </c>
      <c r="H31" s="927" t="inlineStr">
        <is>
          <t>-2.63% - NZDUSD 2024-11-11</t>
        </is>
      </c>
      <c r="I31" s="927" t="inlineStr">
        <is>
          <t>-1.31% - SOLAYERUSDT 2025-05-23</t>
        </is>
      </c>
      <c r="J31" s="928" t="inlineStr">
        <is>
          <t>-0.98% - BTCUSDT 2026-10-07</t>
        </is>
      </c>
    </row>
    <row r="32" ht="14.5" customHeight="1">
      <c r="A32" s="886" t="inlineStr">
        <is>
          <t>Max R loss</t>
        </is>
      </c>
      <c r="B32" s="927" t="inlineStr">
        <is>
          <t>-2.79R - USDCAD 2018-09-06</t>
        </is>
      </c>
      <c r="C32" s="927" t="inlineStr">
        <is>
          <t>-10.75R - GBPAUD 2019-07-25</t>
        </is>
      </c>
      <c r="D32" s="927" t="inlineStr">
        <is>
          <t>-1.44R - EURNZD 2020-12-25</t>
        </is>
      </c>
      <c r="E32" s="927" t="inlineStr">
        <is>
          <t>-1.60R - EURGBP 2021-07-07</t>
        </is>
      </c>
      <c r="F32" s="927" t="inlineStr">
        <is>
          <t>-1.36R - NZDCAD 2022-05-05</t>
        </is>
      </c>
      <c r="G32" s="927" t="inlineStr">
        <is>
          <t>-1.17R - BTCUSDT 2023-07-14</t>
        </is>
      </c>
      <c r="H32" s="927" t="inlineStr">
        <is>
          <t>-2.30R - USDCHF 2024-10-03</t>
        </is>
      </c>
      <c r="I32" s="927" t="inlineStr">
        <is>
          <t>-1.22R - DOGEUSDT 2025-01-19</t>
        </is>
      </c>
      <c r="J32" s="928" t="inlineStr">
        <is>
          <t>-1.00R - BTCUSDT 2026-10-07</t>
        </is>
      </c>
    </row>
    <row r="33" ht="14.5" customHeight="1">
      <c r="A33" s="907" t="inlineStr">
        <is>
          <t>Max R win</t>
        </is>
      </c>
      <c r="B33" s="929" t="inlineStr">
        <is>
          <t>5.97R - USDCHF 2018-10-11</t>
        </is>
      </c>
      <c r="C33" s="929" t="inlineStr">
        <is>
          <t>3.99R - EURAUD 2019-07-16</t>
        </is>
      </c>
      <c r="D33" s="929" t="inlineStr">
        <is>
          <t>4.87R - ERDUSDT 2020-09-03</t>
        </is>
      </c>
      <c r="E33" s="929" t="inlineStr">
        <is>
          <t>5.95R - ETHUSDT 2021-09-26</t>
        </is>
      </c>
      <c r="F33" s="929" t="inlineStr">
        <is>
          <t>3.53R - EURGBP 2022-02-04</t>
        </is>
      </c>
      <c r="G33" s="929" t="inlineStr">
        <is>
          <t>2.26R - EURUSD 2023-07-07</t>
        </is>
      </c>
      <c r="H33" s="929" t="inlineStr">
        <is>
          <t>2.04R - GBPUSD 2024-03-12</t>
        </is>
      </c>
      <c r="I33" s="929" t="inlineStr">
        <is>
          <t>2.41R - ETHUSDT 2025-08-21</t>
        </is>
      </c>
      <c r="J33" s="930" t="inlineStr">
        <is>
          <t>2.56R - USDJPY 2026-09-07</t>
        </is>
      </c>
    </row>
    <row r="34" ht="14.5" customHeight="1">
      <c r="A34" s="913" t="inlineStr">
        <is>
          <t>Shortest (DD:HH:MM:SS)</t>
        </is>
      </c>
      <c r="B34" s="931" t="inlineStr">
        <is>
          <t>1S - GBPUSD 2018-09-05</t>
        </is>
      </c>
      <c r="C34" s="931" t="inlineStr">
        <is>
          <t>9S - GBPUSD 2019-04-11</t>
        </is>
      </c>
      <c r="D34" s="931" t="inlineStr">
        <is>
          <t>1S - EURNZD 2020-12-25</t>
        </is>
      </c>
      <c r="E34" s="931" t="inlineStr">
        <is>
          <t>1S - ADAUSDT 2021-05-15</t>
        </is>
      </c>
      <c r="F34" s="931" t="inlineStr">
        <is>
          <t>1M 0S - AUDUSD 2022-11-10</t>
        </is>
      </c>
      <c r="G34" s="931" t="inlineStr">
        <is>
          <t>1M 0S - BTCUSDT 2023-07-14</t>
        </is>
      </c>
      <c r="H34" s="931" t="inlineStr">
        <is>
          <t>1S - BTCUSDT 2024-03-13</t>
        </is>
      </c>
      <c r="I34" s="931" t="inlineStr">
        <is>
          <t>1S - NZDUSD 2025-06-10</t>
        </is>
      </c>
      <c r="J34" s="932" t="inlineStr">
        <is>
          <t>21S - QUSDT 2026-10-18</t>
        </is>
      </c>
    </row>
    <row r="35" ht="14.5" customHeight="1">
      <c r="A35" s="919" t="inlineStr">
        <is>
          <t>Longest (DD:HH:MM:SS)</t>
        </is>
      </c>
      <c r="B35" s="920" t="inlineStr">
        <is>
          <t>2D 16H 35M 0S - AUDJPY 2018-07-02</t>
        </is>
      </c>
      <c r="C35" s="920" t="inlineStr">
        <is>
          <t>2D 12H 8M 0S - CHFJPY 2019-09-19</t>
        </is>
      </c>
      <c r="D35" s="920" t="inlineStr">
        <is>
          <t>10D 8H 39M 0S - TRXUSDT 2020-09-16</t>
        </is>
      </c>
      <c r="E35" s="920" t="inlineStr">
        <is>
          <t>18D 2H 50M 0S - DOTUSDT 2021-06-21</t>
        </is>
      </c>
      <c r="F35" s="920" t="inlineStr">
        <is>
          <t>11D 2H 3M 0S - USDCHF 2022-07-06</t>
        </is>
      </c>
      <c r="G35" s="920" t="inlineStr">
        <is>
          <t>4D 21H 17M 12S - USDCAD 2023-08-30</t>
        </is>
      </c>
      <c r="H35" s="920" t="inlineStr">
        <is>
          <t>10D 14H 31M 18S - GBPUSD 2024-04-02</t>
        </is>
      </c>
      <c r="I35" s="920" t="inlineStr">
        <is>
          <t>1D 5H 32M 0S - ENAUSDT 2025-08-19</t>
        </is>
      </c>
      <c r="J35" s="921" t="inlineStr">
        <is>
          <t>4D 11H 43M 22S - ETHUSDT 2026-08-31</t>
        </is>
      </c>
    </row>
    <row r="36" ht="14.5" customHeight="1">
      <c r="A36" s="924" t="inlineStr">
        <is>
          <t>Winners</t>
        </is>
      </c>
      <c r="B36" s="931" t="inlineStr"/>
      <c r="C36" s="931" t="inlineStr"/>
      <c r="D36" s="931" t="inlineStr"/>
      <c r="E36" s="931" t="inlineStr"/>
      <c r="F36" s="931" t="inlineStr"/>
      <c r="G36" s="931" t="inlineStr"/>
      <c r="H36" s="931" t="inlineStr"/>
      <c r="I36" s="931" t="inlineStr"/>
      <c r="J36" s="932" t="inlineStr"/>
    </row>
    <row r="37" ht="14.5" customHeight="1">
      <c r="A37" s="889" t="inlineStr">
        <is>
          <t>Avg stop %</t>
        </is>
      </c>
      <c r="B37" s="933" t="n">
        <v>0.0008949079162883933</v>
      </c>
      <c r="C37" s="894" t="n">
        <v>0.001166240163616209</v>
      </c>
      <c r="D37" s="894" t="n">
        <v>0.02213110759378469</v>
      </c>
      <c r="E37" s="894" t="n">
        <v>0.02314881407001934</v>
      </c>
      <c r="F37" s="894" t="n">
        <v>0.004609327016526125</v>
      </c>
      <c r="G37" s="894" t="n">
        <v>0.005043918245768881</v>
      </c>
      <c r="H37" s="894" t="n">
        <v>0.01201885299646562</v>
      </c>
      <c r="I37" s="894" t="n">
        <v>0.01895250251817406</v>
      </c>
      <c r="J37" s="934" t="n">
        <v>0.0004816749231937492</v>
      </c>
    </row>
    <row r="38" ht="14.5" customHeight="1">
      <c r="A38" s="889" t="inlineStr">
        <is>
          <t>Avg target %</t>
        </is>
      </c>
      <c r="B38" s="662" t="n">
        <v>0.002128162314682108</v>
      </c>
      <c r="C38" s="662" t="n">
        <v>0.002659619072446864</v>
      </c>
      <c r="D38" s="662" t="n">
        <v>0.05862606405545872</v>
      </c>
      <c r="E38" s="662" t="n">
        <v>0.05463025387409787</v>
      </c>
      <c r="F38" s="662" t="n">
        <v>0.01010305285030776</v>
      </c>
      <c r="G38" s="662" t="n">
        <v>0.01021308160301508</v>
      </c>
      <c r="H38" s="662" t="n">
        <v>0.02360754754462832</v>
      </c>
      <c r="I38" s="662" t="n">
        <v>0.03863745666857066</v>
      </c>
      <c r="J38" s="663" t="n">
        <v>0.001271615565645342</v>
      </c>
    </row>
    <row r="39" ht="14.5" customHeight="1">
      <c r="A39" s="889" t="inlineStr">
        <is>
          <t>Percentage expectancy</t>
        </is>
      </c>
      <c r="B39" s="897" t="n">
        <v>0.009434010932933652</v>
      </c>
      <c r="C39" s="897" t="n">
        <v>0.01088865434115117</v>
      </c>
      <c r="D39" s="897" t="n">
        <v>0.01881191474481479</v>
      </c>
      <c r="E39" s="897" t="n">
        <v>0.02010533745475056</v>
      </c>
      <c r="F39" s="897" t="n">
        <v>0.01803174633547816</v>
      </c>
      <c r="G39" s="897" t="n">
        <v>0.0173236961685821</v>
      </c>
      <c r="H39" s="897" t="n">
        <v>0.01284653313326374</v>
      </c>
      <c r="I39" s="897" t="n">
        <v>0.01831970387704987</v>
      </c>
      <c r="J39" s="899" t="n">
        <v>0.0002091958472553402</v>
      </c>
    </row>
    <row r="40" ht="14.5" customHeight="1">
      <c r="A40" s="889" t="inlineStr">
        <is>
          <t>R expectancy</t>
        </is>
      </c>
      <c r="B40" s="900" t="n">
        <v>1.755119010130085</v>
      </c>
      <c r="C40" s="900" t="n">
        <v>1.544526798838253</v>
      </c>
      <c r="D40" s="900" t="n">
        <v>2.152907810679447</v>
      </c>
      <c r="E40" s="900" t="n">
        <v>2.660901329749508</v>
      </c>
      <c r="F40" s="900" t="n">
        <v>1.960493476330993</v>
      </c>
      <c r="G40" s="900" t="n">
        <v>1.871187499524876</v>
      </c>
      <c r="H40" s="900" t="n">
        <v>1.59013136814774</v>
      </c>
      <c r="I40" s="900" t="n">
        <v>1.906734735930267</v>
      </c>
      <c r="J40" s="901" t="n">
        <v>1.471925073039545</v>
      </c>
    </row>
    <row r="41" ht="14.5" customHeight="1">
      <c r="A41" s="889" t="inlineStr">
        <is>
          <t>Winners min duration</t>
        </is>
      </c>
      <c r="B41" s="917" t="inlineStr">
        <is>
          <t>1S - GBPUSD 2018-09-19</t>
        </is>
      </c>
      <c r="C41" s="917" t="inlineStr">
        <is>
          <t>3M 0S - USDCHF 2019-02-27</t>
        </is>
      </c>
      <c r="D41" s="917" t="inlineStr">
        <is>
          <t>9S - AUDUSD 2020-03-03</t>
        </is>
      </c>
      <c r="E41" s="917" t="inlineStr">
        <is>
          <t>8M 0S - SOLUSDT 2021-09-07</t>
        </is>
      </c>
      <c r="F41" s="917" t="inlineStr">
        <is>
          <t>4M 52S - EURCHF 2022-07-13</t>
        </is>
      </c>
      <c r="G41" s="917" t="inlineStr">
        <is>
          <t>15M 56S - EURUSD 2023-07-07</t>
        </is>
      </c>
      <c r="H41" s="917" t="inlineStr">
        <is>
          <t>1M 29S - EURUSD 2024-11-21</t>
        </is>
      </c>
      <c r="I41" s="917" t="inlineStr">
        <is>
          <t>6M 0S - EURUSD 2025-07-28</t>
        </is>
      </c>
      <c r="J41" s="918" t="inlineStr">
        <is>
          <t>9M 37S - USDJPY 2026-09-11</t>
        </is>
      </c>
    </row>
    <row r="42" ht="14.5" customHeight="1">
      <c r="A42" s="889" t="inlineStr">
        <is>
          <t>Winners avg duration</t>
        </is>
      </c>
      <c r="B42" s="917" t="inlineStr">
        <is>
          <t>2H 10M 49S</t>
        </is>
      </c>
      <c r="C42" s="917" t="inlineStr">
        <is>
          <t>6H 26M 7S</t>
        </is>
      </c>
      <c r="D42" s="917" t="inlineStr">
        <is>
          <t>18H 16M 33S</t>
        </is>
      </c>
      <c r="E42" s="917" t="inlineStr">
        <is>
          <t>1D 15H 44M 37S</t>
        </is>
      </c>
      <c r="F42" s="917" t="inlineStr">
        <is>
          <t>2D 9H 44M 22S</t>
        </is>
      </c>
      <c r="G42" s="917" t="inlineStr">
        <is>
          <t>19H 53M 54S</t>
        </is>
      </c>
      <c r="H42" s="917" t="inlineStr">
        <is>
          <t>6H 21M 49S</t>
        </is>
      </c>
      <c r="I42" s="917" t="inlineStr">
        <is>
          <t>5H 2M 19S</t>
        </is>
      </c>
      <c r="J42" s="918" t="inlineStr">
        <is>
          <t>22M 30S</t>
        </is>
      </c>
    </row>
    <row r="43" ht="14.5" customHeight="1">
      <c r="A43" s="919" t="inlineStr">
        <is>
          <t>Winners max duration</t>
        </is>
      </c>
      <c r="B43" s="920" t="inlineStr">
        <is>
          <t>2D 16H 35M 0S - AUDJPY 2018-07-02</t>
        </is>
      </c>
      <c r="C43" s="920" t="inlineStr">
        <is>
          <t>2D 6H 10M 0S - USDJPY 2019-02-18</t>
        </is>
      </c>
      <c r="D43" s="920" t="inlineStr">
        <is>
          <t>7D 5H 52M 0S - SNXUSDT 2020-08-10</t>
        </is>
      </c>
      <c r="E43" s="920" t="inlineStr">
        <is>
          <t>18D 2H 50M 0S - DOTUSDT 2021-06-21</t>
        </is>
      </c>
      <c r="F43" s="920" t="inlineStr">
        <is>
          <t>11D 2H 3M 0S - USDCHF 2022-07-06</t>
        </is>
      </c>
      <c r="G43" s="920" t="inlineStr">
        <is>
          <t>4D 21H 17M 12S - USDCAD 2023-08-30</t>
        </is>
      </c>
      <c r="H43" s="920" t="inlineStr">
        <is>
          <t>2D 22H 55M 0S - LTCUSDT 2024-11-26</t>
        </is>
      </c>
      <c r="I43" s="920" t="inlineStr">
        <is>
          <t>15H 34M 0S - ETHUSDT 2025-08-21</t>
        </is>
      </c>
      <c r="J43" s="921" t="inlineStr">
        <is>
          <t>43M 44S - USDJPY 2026-09-07</t>
        </is>
      </c>
    </row>
    <row r="44" ht="14.5" customHeight="1">
      <c r="A44" s="924" t="inlineStr">
        <is>
          <t>Losers</t>
        </is>
      </c>
      <c r="B44" s="922" t="inlineStr"/>
      <c r="C44" s="922" t="inlineStr"/>
      <c r="D44" s="922" t="inlineStr"/>
      <c r="E44" s="922" t="inlineStr"/>
      <c r="F44" s="922" t="inlineStr"/>
      <c r="G44" s="922" t="inlineStr"/>
      <c r="H44" s="922" t="inlineStr"/>
      <c r="I44" s="922" t="inlineStr"/>
      <c r="J44" s="923" t="inlineStr"/>
    </row>
    <row r="45" ht="14.5" customHeight="1">
      <c r="A45" s="889" t="inlineStr">
        <is>
          <t>Avg stop %</t>
        </is>
      </c>
      <c r="B45" s="933" t="n">
        <v>0.0008173615515784908</v>
      </c>
      <c r="C45" s="894" t="n">
        <v>0.001083298484937003</v>
      </c>
      <c r="D45" s="894" t="n">
        <v>0.02615737831071142</v>
      </c>
      <c r="E45" s="894" t="n">
        <v>0.01905255040687367</v>
      </c>
      <c r="F45" s="894" t="n">
        <v>0.008148507602911718</v>
      </c>
      <c r="G45" s="894" t="n">
        <v>0.00647064238476755</v>
      </c>
      <c r="H45" s="894" t="n">
        <v>0.01078060586081454</v>
      </c>
      <c r="I45" s="894" t="n">
        <v>0.02259296024393273</v>
      </c>
      <c r="J45" s="895" t="n">
        <v>0.04986966790276218</v>
      </c>
    </row>
    <row r="46" ht="14.5" customHeight="1">
      <c r="A46" s="889" t="inlineStr">
        <is>
          <t>Avg target %</t>
        </is>
      </c>
      <c r="B46" s="935" t="n">
        <v>0.001830755980484696</v>
      </c>
      <c r="C46" s="935" t="n">
        <v>0.002689218539574303</v>
      </c>
      <c r="D46" s="935" t="n">
        <v>0.07417857960859524</v>
      </c>
      <c r="E46" s="935" t="n">
        <v>0.06031273645315838</v>
      </c>
      <c r="F46" s="935" t="n">
        <v>0.01694629163756109</v>
      </c>
      <c r="G46" s="935" t="n">
        <v>0.01303796161016449</v>
      </c>
      <c r="H46" s="935" t="n">
        <v>0.02272384767505359</v>
      </c>
      <c r="I46" s="935" t="n">
        <v>0.04727810819303913</v>
      </c>
      <c r="J46" s="936" t="n">
        <v>0.154611991792461</v>
      </c>
    </row>
    <row r="47" ht="14.5" customHeight="1">
      <c r="A47" s="889" t="inlineStr">
        <is>
          <t>Percentage expectancy</t>
        </is>
      </c>
      <c r="B47" s="896" t="n">
        <v>-0.005582989002934686</v>
      </c>
      <c r="C47" s="896" t="n">
        <v>-0.008132259347624893</v>
      </c>
      <c r="D47" s="896" t="n">
        <v>-0.007697653508604014</v>
      </c>
      <c r="E47" s="896" t="n">
        <v>-0.007679067018069828</v>
      </c>
      <c r="F47" s="896" t="n">
        <v>-0.009202486148642899</v>
      </c>
      <c r="G47" s="896" t="n">
        <v>-0.009452007748443429</v>
      </c>
      <c r="H47" s="896" t="n">
        <v>-0.009128106647569533</v>
      </c>
      <c r="I47" s="896" t="n">
        <v>-0.009513382065348637</v>
      </c>
      <c r="J47" s="898" t="n">
        <v>-0.005415100486093728</v>
      </c>
    </row>
    <row r="48" ht="14.5" customHeight="1">
      <c r="A48" s="889" t="inlineStr">
        <is>
          <t>R expectancy</t>
        </is>
      </c>
      <c r="B48" s="902" t="n">
        <v>-0.8586084028574155</v>
      </c>
      <c r="C48" s="902" t="n">
        <v>-1.000022772169785</v>
      </c>
      <c r="D48" s="902" t="n">
        <v>-0.8729029776416313</v>
      </c>
      <c r="E48" s="902" t="n">
        <v>-0.9823816083050191</v>
      </c>
      <c r="F48" s="902" t="n">
        <v>-1.014802129320769</v>
      </c>
      <c r="G48" s="902" t="n">
        <v>-0.9640986081177494</v>
      </c>
      <c r="H48" s="902" t="n">
        <v>-1.018738333321153</v>
      </c>
      <c r="I48" s="902" t="n">
        <v>-0.9546007382844867</v>
      </c>
      <c r="J48" s="903" t="n">
        <v>-0.7710928113319687</v>
      </c>
    </row>
    <row r="49" ht="14.5" customHeight="1">
      <c r="A49" s="889" t="inlineStr">
        <is>
          <t>Losers min duration</t>
        </is>
      </c>
      <c r="B49" s="661" t="inlineStr">
        <is>
          <t>1S - GBPUSD 2018-09-05</t>
        </is>
      </c>
      <c r="C49" s="661" t="inlineStr">
        <is>
          <t>9S - GBPUSD 2019-04-11</t>
        </is>
      </c>
      <c r="D49" s="661" t="inlineStr">
        <is>
          <t>1S - EURNZD 2020-12-25</t>
        </is>
      </c>
      <c r="E49" s="661" t="inlineStr">
        <is>
          <t>1S - ADAUSDT 2021-05-15</t>
        </is>
      </c>
      <c r="F49" s="661" t="inlineStr">
        <is>
          <t>1M 0S - AUDUSD 2022-11-10</t>
        </is>
      </c>
      <c r="G49" s="661" t="inlineStr">
        <is>
          <t>1M 0S - BTCUSDT 2023-07-14</t>
        </is>
      </c>
      <c r="H49" s="661" t="inlineStr">
        <is>
          <t>1S - BTCUSDT 2024-03-13</t>
        </is>
      </c>
      <c r="I49" s="661" t="inlineStr">
        <is>
          <t>1S - NZDUSD 2025-06-10</t>
        </is>
      </c>
      <c r="J49" s="904" t="inlineStr">
        <is>
          <t>21S - QUSDT 2026-10-18</t>
        </is>
      </c>
    </row>
    <row r="50" ht="14.5" customHeight="1">
      <c r="A50" s="889" t="inlineStr">
        <is>
          <t>Losers avg duration</t>
        </is>
      </c>
      <c r="B50" s="661" t="inlineStr">
        <is>
          <t>33M 50S</t>
        </is>
      </c>
      <c r="C50" s="661" t="inlineStr">
        <is>
          <t>3H 6M 8S</t>
        </is>
      </c>
      <c r="D50" s="661" t="inlineStr">
        <is>
          <t>14H 56M 13S</t>
        </is>
      </c>
      <c r="E50" s="661" t="inlineStr">
        <is>
          <t>13H 29M 1S</t>
        </is>
      </c>
      <c r="F50" s="661" t="inlineStr">
        <is>
          <t>1D 3H 13M 51S</t>
        </is>
      </c>
      <c r="G50" s="661" t="inlineStr">
        <is>
          <t>5H 10M 6S</t>
        </is>
      </c>
      <c r="H50" s="661" t="inlineStr">
        <is>
          <t>13H 6M 13S</t>
        </is>
      </c>
      <c r="I50" s="661" t="inlineStr">
        <is>
          <t>7H 35M 4S</t>
        </is>
      </c>
      <c r="J50" s="904" t="inlineStr">
        <is>
          <t>20H 41M 21S</t>
        </is>
      </c>
    </row>
    <row r="51" ht="14.5" customHeight="1">
      <c r="A51" s="919" t="inlineStr">
        <is>
          <t>Losers max duration</t>
        </is>
      </c>
      <c r="B51" s="920" t="inlineStr">
        <is>
          <t>11H 8M 0S - EURUSD 2018-12-07</t>
        </is>
      </c>
      <c r="C51" s="920" t="inlineStr">
        <is>
          <t>2D 12H 8M 0S - CHFJPY 2019-09-19</t>
        </is>
      </c>
      <c r="D51" s="920" t="inlineStr">
        <is>
          <t>10D 8H 39M 0S - TRXUSDT 2020-09-16</t>
        </is>
      </c>
      <c r="E51" s="920" t="inlineStr">
        <is>
          <t>17D 19H 58M 0S - USDCHF 2021-02-01</t>
        </is>
      </c>
      <c r="F51" s="920" t="inlineStr">
        <is>
          <t>7D 20H 11M 0S - USDCHF 2022-10-21</t>
        </is>
      </c>
      <c r="G51" s="920" t="inlineStr">
        <is>
          <t>1D 3H 18M 4S - USDJPY 2023-04-12</t>
        </is>
      </c>
      <c r="H51" s="920" t="inlineStr">
        <is>
          <t>10D 14H 31M 18S - GBPUSD 2024-04-02</t>
        </is>
      </c>
      <c r="I51" s="920" t="inlineStr">
        <is>
          <t>1D 5H 32M 0S - ENAUSDT 2025-08-19</t>
        </is>
      </c>
      <c r="J51" s="921" t="inlineStr">
        <is>
          <t>4D 11H 43M 22S - ETHUSDT 2026-08-31</t>
        </is>
      </c>
    </row>
    <row r="52" ht="14.5" customHeight="1">
      <c r="A52" s="924" t="inlineStr">
        <is>
          <t>Drawdown</t>
        </is>
      </c>
      <c r="B52" s="922" t="inlineStr"/>
      <c r="C52" s="922" t="inlineStr"/>
      <c r="D52" s="922" t="inlineStr"/>
      <c r="E52" s="922" t="inlineStr"/>
      <c r="F52" s="922" t="inlineStr"/>
      <c r="G52" s="922" t="inlineStr"/>
      <c r="H52" s="922" t="inlineStr"/>
      <c r="I52" s="922" t="inlineStr"/>
      <c r="J52" s="923" t="inlineStr"/>
    </row>
    <row r="53" ht="14.5" customHeight="1">
      <c r="A53" s="886" t="inlineStr">
        <is>
          <t>Max drawdown</t>
        </is>
      </c>
      <c r="B53" s="896" t="n">
        <v>0.1609647794933899</v>
      </c>
      <c r="C53" s="896" t="n">
        <v>0.1991814461118694</v>
      </c>
      <c r="D53" s="896" t="n">
        <v>0.1130906841151871</v>
      </c>
      <c r="E53" s="896" t="n">
        <v>0.3489591732400339</v>
      </c>
      <c r="F53" s="896" t="n">
        <v>0.05833193057770508</v>
      </c>
      <c r="G53" s="896" t="n">
        <v>0.08955804544039841</v>
      </c>
      <c r="H53" s="896" t="n">
        <v>0.07095472714243498</v>
      </c>
      <c r="I53" s="896" t="n">
        <v>0.06466855731349545</v>
      </c>
      <c r="J53" s="898" t="n">
        <v>0.03888913926242103</v>
      </c>
    </row>
    <row r="54" ht="14.5" customHeight="1">
      <c r="A54" s="889" t="inlineStr">
        <is>
          <t>Start</t>
        </is>
      </c>
      <c r="B54" s="937" t="inlineStr">
        <is>
          <t>2018-05-29 09:26:00</t>
        </is>
      </c>
      <c r="C54" s="937" t="inlineStr">
        <is>
          <t>2019-02-04 22:12:00</t>
        </is>
      </c>
      <c r="D54" s="937" t="inlineStr">
        <is>
          <t>2020-10-28 01:44:00</t>
        </is>
      </c>
      <c r="E54" s="937" t="inlineStr">
        <is>
          <t>2021-01-02 22:39:00</t>
        </is>
      </c>
      <c r="F54" s="937" t="inlineStr">
        <is>
          <t>2022-06-09 22:25:00</t>
        </is>
      </c>
      <c r="G54" s="937" t="inlineStr">
        <is>
          <t>2023-03-10 15:57:08</t>
        </is>
      </c>
      <c r="H54" s="937" t="inlineStr">
        <is>
          <t>2024-01-20 04:50:00</t>
        </is>
      </c>
      <c r="I54" s="937" t="inlineStr">
        <is>
          <t>2025-06-27 12:23:00</t>
        </is>
      </c>
      <c r="J54" s="938" t="inlineStr">
        <is>
          <t>2026-08-25 15:24:28</t>
        </is>
      </c>
    </row>
    <row r="55" ht="14.5" customHeight="1">
      <c r="A55" s="889" t="inlineStr">
        <is>
          <t>End</t>
        </is>
      </c>
      <c r="B55" s="917" t="inlineStr">
        <is>
          <t>2018-06-15 22:00:00</t>
        </is>
      </c>
      <c r="C55" s="917" t="inlineStr">
        <is>
          <t>2019-03-11 21:03:00</t>
        </is>
      </c>
      <c r="D55" s="917" t="inlineStr">
        <is>
          <t>2020-12-24 08:22:00</t>
        </is>
      </c>
      <c r="E55" s="917" t="inlineStr">
        <is>
          <t>2021-11-26 04:48:00</t>
        </is>
      </c>
      <c r="F55" s="917" t="inlineStr">
        <is>
          <t>2022-11-10 01:10:00</t>
        </is>
      </c>
      <c r="G55" s="917" t="inlineStr">
        <is>
          <t>2023-08-23 17:31:57</t>
        </is>
      </c>
      <c r="H55" s="917" t="inlineStr">
        <is>
          <t>2024-10-27 20:47:00</t>
        </is>
      </c>
      <c r="I55" s="917" t="inlineStr">
        <is>
          <t>2025-08-19 22:18:00</t>
        </is>
      </c>
      <c r="J55" s="918" t="inlineStr">
        <is>
          <t>2026-10-19 17:15:01</t>
        </is>
      </c>
    </row>
    <row r="56" ht="14.5" customHeight="1">
      <c r="A56" s="886" t="inlineStr">
        <is>
          <t>Avg drawdown</t>
        </is>
      </c>
      <c r="B56" s="896" t="n">
        <v>0.03215804894558932</v>
      </c>
      <c r="C56" s="896" t="n">
        <v>0.07187360761913739</v>
      </c>
      <c r="D56" s="896" t="n">
        <v>0.03922904026366821</v>
      </c>
      <c r="E56" s="896" t="n">
        <v>0.1726100421403581</v>
      </c>
      <c r="F56" s="896" t="n">
        <v>0.0297749330701303</v>
      </c>
      <c r="G56" s="896" t="n">
        <v>0.04624548535424083</v>
      </c>
      <c r="H56" s="896" t="n">
        <v>0.02452999149703073</v>
      </c>
      <c r="I56" s="896" t="n">
        <v>0.0295605939711384</v>
      </c>
      <c r="J56" s="898" t="n">
        <v>0.01638802647922356</v>
      </c>
    </row>
    <row r="57" ht="14.5" customHeight="1">
      <c r="A57" s="886" t="inlineStr">
        <is>
          <t>Min drawdown</t>
        </is>
      </c>
      <c r="B57" s="905" t="n">
        <v>0.0002091996280012972</v>
      </c>
      <c r="C57" s="905" t="n">
        <v>0.0004478447471543368</v>
      </c>
      <c r="D57" s="939" t="n">
        <v>8.612271185476756e-05</v>
      </c>
      <c r="E57" s="905" t="n">
        <v>0.0006218844084694689</v>
      </c>
      <c r="F57" s="896" t="n">
        <v>0.001320293398533057</v>
      </c>
      <c r="G57" s="896" t="n">
        <v>0.002888050895764067</v>
      </c>
      <c r="H57" s="905" t="n">
        <v>0.0001393025585236824</v>
      </c>
      <c r="I57" s="896" t="n">
        <v>0.006186804561614181</v>
      </c>
      <c r="J57" s="940" t="n">
        <v>0.0001946370887566699</v>
      </c>
    </row>
    <row r="58" ht="14.5" customHeight="1">
      <c r="A58" s="889" t="inlineStr">
        <is>
          <t>Start</t>
        </is>
      </c>
      <c r="B58" s="661" t="inlineStr">
        <is>
          <t>2018-07-31 22:32:00</t>
        </is>
      </c>
      <c r="C58" s="661" t="inlineStr">
        <is>
          <t>2019-10-19 06:00:00</t>
        </is>
      </c>
      <c r="D58" s="661" t="inlineStr">
        <is>
          <t>2020-04-12 16:42:00</t>
        </is>
      </c>
      <c r="E58" s="661" t="inlineStr">
        <is>
          <t>2021-09-30 00:11:00</t>
        </is>
      </c>
      <c r="F58" s="661" t="inlineStr">
        <is>
          <t>2022-05-05 18:02:04</t>
        </is>
      </c>
      <c r="G58" s="661" t="inlineStr">
        <is>
          <t>2023-04-28 23:41:00</t>
        </is>
      </c>
      <c r="H58" s="661" t="inlineStr">
        <is>
          <t>2024-06-10 22:56:42</t>
        </is>
      </c>
      <c r="I58" s="661" t="inlineStr">
        <is>
          <t>2025-09-18 17:42:32</t>
        </is>
      </c>
      <c r="J58" s="904" t="inlineStr">
        <is>
          <t>2026-10-05 04:38:17</t>
        </is>
      </c>
    </row>
    <row r="59" ht="14.5" customHeight="1">
      <c r="A59" s="919" t="inlineStr">
        <is>
          <t>End</t>
        </is>
      </c>
      <c r="B59" s="920" t="inlineStr">
        <is>
          <t>2018-08-02 21:00:48</t>
        </is>
      </c>
      <c r="C59" s="920" t="inlineStr">
        <is>
          <t>2019-10-24 23:48:00</t>
        </is>
      </c>
      <c r="D59" s="920" t="inlineStr">
        <is>
          <t>2020-04-13 19:21:00</t>
        </is>
      </c>
      <c r="E59" s="920" t="inlineStr">
        <is>
          <t>2021-09-30 02:00:00</t>
        </is>
      </c>
      <c r="F59" s="920" t="inlineStr">
        <is>
          <t>2022-06-01 11:18:13</t>
        </is>
      </c>
      <c r="G59" s="920" t="inlineStr">
        <is>
          <t>2023-06-16 01:47:00</t>
        </is>
      </c>
      <c r="H59" s="920" t="inlineStr">
        <is>
          <t>2024-09-19 13:26:31</t>
        </is>
      </c>
      <c r="I59" s="920" t="inlineStr">
        <is>
          <t>2025-09-30 23:50:16</t>
        </is>
      </c>
      <c r="J59" s="921" t="inlineStr">
        <is>
          <t>2026-10-13 16:02:36</t>
        </is>
      </c>
    </row>
    <row r="60" ht="14.5" customHeight="1">
      <c r="A60" s="924" t="inlineStr">
        <is>
          <t>Longs</t>
        </is>
      </c>
      <c r="B60" s="941" t="n">
        <v>233</v>
      </c>
      <c r="C60" s="941" t="n">
        <v>170</v>
      </c>
      <c r="D60" s="941" t="n">
        <v>200</v>
      </c>
      <c r="E60" s="941" t="n">
        <v>202</v>
      </c>
      <c r="F60" s="941" t="n">
        <v>26</v>
      </c>
      <c r="G60" s="941" t="n">
        <v>21</v>
      </c>
      <c r="H60" s="941" t="n">
        <v>27</v>
      </c>
      <c r="I60" s="941" t="n">
        <v>18</v>
      </c>
      <c r="J60" s="942" t="n">
        <v>8</v>
      </c>
    </row>
    <row r="61" ht="14.5" customHeight="1">
      <c r="A61" s="889" t="inlineStr">
        <is>
          <t>Long wins</t>
        </is>
      </c>
      <c r="B61" s="890" t="n">
        <v>67</v>
      </c>
      <c r="C61" s="890" t="n">
        <v>53</v>
      </c>
      <c r="D61" s="890" t="n">
        <v>46</v>
      </c>
      <c r="E61" s="890" t="n">
        <v>45</v>
      </c>
      <c r="F61" s="890" t="n">
        <v>9</v>
      </c>
      <c r="G61" s="890" t="n">
        <v>10</v>
      </c>
      <c r="H61" s="890" t="n">
        <v>8</v>
      </c>
      <c r="I61" s="890" t="n">
        <v>6</v>
      </c>
      <c r="J61" s="891" t="n">
        <v>1</v>
      </c>
    </row>
    <row r="62" ht="14.5" customHeight="1">
      <c r="A62" s="889" t="inlineStr">
        <is>
          <t>Long losses</t>
        </is>
      </c>
      <c r="B62" s="943" t="n">
        <v>159</v>
      </c>
      <c r="C62" s="943" t="n">
        <v>116</v>
      </c>
      <c r="D62" s="943" t="n">
        <v>151</v>
      </c>
      <c r="E62" s="943" t="n">
        <v>157</v>
      </c>
      <c r="F62" s="943" t="n">
        <v>17</v>
      </c>
      <c r="G62" s="943" t="n">
        <v>11</v>
      </c>
      <c r="H62" s="943" t="n">
        <v>19</v>
      </c>
      <c r="I62" s="943" t="n">
        <v>12</v>
      </c>
      <c r="J62" s="944" t="n">
        <v>7</v>
      </c>
    </row>
    <row r="63" ht="14.5" customHeight="1">
      <c r="A63" s="886" t="inlineStr">
        <is>
          <t>Long break-even</t>
        </is>
      </c>
      <c r="B63" s="945" t="n">
        <v>7</v>
      </c>
      <c r="C63" s="945" t="n">
        <v>1</v>
      </c>
      <c r="D63" s="945" t="n">
        <v>3</v>
      </c>
      <c r="E63" s="945" t="n">
        <v>0</v>
      </c>
      <c r="F63" s="945" t="n">
        <v>0</v>
      </c>
      <c r="G63" s="945" t="n">
        <v>0</v>
      </c>
      <c r="H63" s="945" t="n">
        <v>0</v>
      </c>
      <c r="I63" s="945" t="n">
        <v>0</v>
      </c>
      <c r="J63" s="946" t="n">
        <v>0</v>
      </c>
    </row>
    <row r="64" ht="14.5" customHeight="1">
      <c r="A64" s="886" t="inlineStr">
        <is>
          <t>Shorts</t>
        </is>
      </c>
      <c r="B64" s="887" t="n">
        <v>147</v>
      </c>
      <c r="C64" s="887" t="n">
        <v>140</v>
      </c>
      <c r="D64" s="887" t="n">
        <v>32</v>
      </c>
      <c r="E64" s="887" t="n">
        <v>86</v>
      </c>
      <c r="F64" s="887" t="n">
        <v>32</v>
      </c>
      <c r="G64" s="887" t="n">
        <v>42</v>
      </c>
      <c r="H64" s="887" t="n">
        <v>14</v>
      </c>
      <c r="I64" s="887" t="n">
        <v>18</v>
      </c>
      <c r="J64" s="888" t="n">
        <v>5</v>
      </c>
    </row>
    <row r="65" ht="14.5" customHeight="1">
      <c r="A65" s="889" t="inlineStr">
        <is>
          <t>Short wins</t>
        </is>
      </c>
      <c r="B65" s="890" t="n">
        <v>56</v>
      </c>
      <c r="C65" s="890" t="n">
        <v>49</v>
      </c>
      <c r="D65" s="890" t="n">
        <v>4</v>
      </c>
      <c r="E65" s="890" t="n">
        <v>15</v>
      </c>
      <c r="F65" s="890" t="n">
        <v>10</v>
      </c>
      <c r="G65" s="890" t="n">
        <v>11</v>
      </c>
      <c r="H65" s="890" t="n">
        <v>4</v>
      </c>
      <c r="I65" s="890" t="n">
        <v>7</v>
      </c>
      <c r="J65" s="891" t="n">
        <v>3</v>
      </c>
    </row>
    <row r="66" ht="14.5" customHeight="1">
      <c r="A66" s="889" t="inlineStr">
        <is>
          <t>Short losses</t>
        </is>
      </c>
      <c r="B66" s="892" t="n">
        <v>89</v>
      </c>
      <c r="C66" s="892" t="n">
        <v>89</v>
      </c>
      <c r="D66" s="892" t="n">
        <v>27</v>
      </c>
      <c r="E66" s="892" t="n">
        <v>71</v>
      </c>
      <c r="F66" s="892" t="n">
        <v>22</v>
      </c>
      <c r="G66" s="892" t="n">
        <v>31</v>
      </c>
      <c r="H66" s="892" t="n">
        <v>10</v>
      </c>
      <c r="I66" s="892" t="n">
        <v>11</v>
      </c>
      <c r="J66" s="893" t="n">
        <v>2</v>
      </c>
    </row>
    <row r="67" ht="14.5" customHeight="1">
      <c r="A67" s="907" t="inlineStr">
        <is>
          <t>Short break-even</t>
        </is>
      </c>
      <c r="B67" s="947" t="n">
        <v>2</v>
      </c>
      <c r="C67" s="947" t="n">
        <v>2</v>
      </c>
      <c r="D67" s="947" t="n">
        <v>1</v>
      </c>
      <c r="E67" s="947" t="n">
        <v>0</v>
      </c>
      <c r="F67" s="947" t="n">
        <v>0</v>
      </c>
      <c r="G67" s="947" t="n">
        <v>0</v>
      </c>
      <c r="H67" s="947" t="n">
        <v>0</v>
      </c>
      <c r="I67" s="947" t="n">
        <v>0</v>
      </c>
      <c r="J67" s="948" t="n">
        <v>0</v>
      </c>
    </row>
    <row r="68" ht="14.5" customHeight="1">
      <c r="A68" s="913" t="inlineStr">
        <is>
          <t>Min duration</t>
        </is>
      </c>
      <c r="B68" s="922" t="inlineStr">
        <is>
          <t>1S - GBPUSD 2018-09-05</t>
        </is>
      </c>
      <c r="C68" s="922" t="inlineStr">
        <is>
          <t>9S - GBPUSD 2019-04-11</t>
        </is>
      </c>
      <c r="D68" s="922" t="inlineStr">
        <is>
          <t>1S - EURNZD 2020-12-25</t>
        </is>
      </c>
      <c r="E68" s="922" t="inlineStr">
        <is>
          <t>1S - ADAUSDT 2021-05-15</t>
        </is>
      </c>
      <c r="F68" s="922" t="inlineStr">
        <is>
          <t>1M 0S - AUDUSD 2022-11-10</t>
        </is>
      </c>
      <c r="G68" s="922" t="inlineStr">
        <is>
          <t>1M 0S - BTCUSDT 2023-07-14</t>
        </is>
      </c>
      <c r="H68" s="922" t="inlineStr">
        <is>
          <t>1S - BTCUSDT 2024-03-13</t>
        </is>
      </c>
      <c r="I68" s="922" t="inlineStr">
        <is>
          <t>1S - NZDUSD 2025-06-10</t>
        </is>
      </c>
      <c r="J68" s="923" t="inlineStr">
        <is>
          <t>21S - QUSDT 2026-10-18</t>
        </is>
      </c>
    </row>
    <row r="69" ht="14.5" customHeight="1">
      <c r="A69" s="889" t="inlineStr">
        <is>
          <t>Max duration</t>
        </is>
      </c>
      <c r="B69" s="917" t="inlineStr">
        <is>
          <t>2D 16H 35M 0S - AUDJPY 2018-07-02</t>
        </is>
      </c>
      <c r="C69" s="917" t="inlineStr">
        <is>
          <t>2D 12H 8M 0S - CHFJPY 2019-09-19</t>
        </is>
      </c>
      <c r="D69" s="917" t="inlineStr">
        <is>
          <t>10D 8H 39M 0S - TRXUSDT 2020-09-16</t>
        </is>
      </c>
      <c r="E69" s="917" t="inlineStr">
        <is>
          <t>18D 2H 50M 0S - DOTUSDT 2021-06-21</t>
        </is>
      </c>
      <c r="F69" s="917" t="inlineStr">
        <is>
          <t>11D 2H 3M 0S - USDCHF 2022-07-06</t>
        </is>
      </c>
      <c r="G69" s="917" t="inlineStr">
        <is>
          <t>4D 21H 17M 12S - USDCAD 2023-08-30</t>
        </is>
      </c>
      <c r="H69" s="917" t="inlineStr">
        <is>
          <t>10D 14H 31M 18S - GBPUSD 2024-04-02</t>
        </is>
      </c>
      <c r="I69" s="917" t="inlineStr">
        <is>
          <t>1D 5H 32M 0S - ENAUSDT 2025-08-19</t>
        </is>
      </c>
      <c r="J69" s="918" t="inlineStr">
        <is>
          <t>4D 11H 43M 22S - ETHUSDT 2026-08-31</t>
        </is>
      </c>
    </row>
    <row r="70" ht="14.5" customHeight="1">
      <c r="A70" s="889" t="inlineStr">
        <is>
          <t>Min Move to Break Even</t>
        </is>
      </c>
      <c r="B70" s="937" t="inlineStr">
        <is>
          <t>30S - EURUSD 2018-07-24</t>
        </is>
      </c>
      <c r="C70" s="937" t="inlineStr">
        <is>
          <t>3M 0S - EURUSD 2019-02-02</t>
        </is>
      </c>
      <c r="D70" s="937" t="inlineStr">
        <is>
          <t>2M 0S - USDCAD 2020-03-20</t>
        </is>
      </c>
      <c r="E70" s="937" t="inlineStr">
        <is>
          <t>5M 0S - AUDUSD 2021-09-30</t>
        </is>
      </c>
      <c r="F70" s="937" t="inlineStr"/>
      <c r="G70" s="937" t="inlineStr"/>
      <c r="H70" s="937" t="inlineStr"/>
      <c r="I70" s="937" t="inlineStr"/>
      <c r="J70" s="938" t="inlineStr"/>
    </row>
    <row r="71" ht="14.5" customHeight="1">
      <c r="A71" s="889" t="inlineStr">
        <is>
          <t>Max Move to Break Even</t>
        </is>
      </c>
      <c r="B71" s="661" t="inlineStr">
        <is>
          <t>7H 37M 0S - AUDCAD 2018-07-04</t>
        </is>
      </c>
      <c r="C71" s="661" t="inlineStr">
        <is>
          <t>1D 13H 59M 0S - GBPCAD 2019-11-14</t>
        </is>
      </c>
      <c r="D71" s="661" t="inlineStr">
        <is>
          <t>3D 8H 22M 0S - FETUSDT 2020-06-24</t>
        </is>
      </c>
      <c r="E71" s="661" t="inlineStr">
        <is>
          <t>7D 23H 5M 0S - DOTUSDT 2021-04-17</t>
        </is>
      </c>
      <c r="F71" s="661" t="inlineStr"/>
      <c r="G71" s="661" t="inlineStr"/>
      <c r="H71" s="661" t="inlineStr"/>
      <c r="I71" s="661" t="inlineStr"/>
      <c r="J71" s="904" t="inlineStr"/>
    </row>
    <row r="72" ht="14.5" customHeight="1">
      <c r="A72" s="889" t="inlineStr">
        <is>
          <t>Min Move to Profit</t>
        </is>
      </c>
      <c r="B72" s="661" t="inlineStr">
        <is>
          <t>38S - USDCAD 2018-07-31</t>
        </is>
      </c>
      <c r="C72" s="661" t="inlineStr">
        <is>
          <t>7M 0S - EURUSD 2019-02-05</t>
        </is>
      </c>
      <c r="D72" s="661" t="inlineStr"/>
      <c r="E72" s="661" t="inlineStr">
        <is>
          <t>4H 16M 52S - ETHUSDT 2021-09-26</t>
        </is>
      </c>
      <c r="F72" s="661" t="inlineStr"/>
      <c r="G72" s="661" t="inlineStr"/>
      <c r="H72" s="661" t="inlineStr"/>
      <c r="I72" s="661" t="inlineStr"/>
      <c r="J72" s="904" t="inlineStr"/>
    </row>
    <row r="73" ht="14.5" customHeight="1">
      <c r="A73" s="919" t="inlineStr">
        <is>
          <t>Max Move to Profit</t>
        </is>
      </c>
      <c r="B73" s="920" t="inlineStr">
        <is>
          <t>3H 47M 0S - EURUSD 2018-07-05</t>
        </is>
      </c>
      <c r="C73" s="920" t="inlineStr">
        <is>
          <t>9H 16M 0S - EURUSD 2019-02-26</t>
        </is>
      </c>
      <c r="D73" s="920" t="inlineStr"/>
      <c r="E73" s="920" t="inlineStr">
        <is>
          <t>2D 12H 6M 0S - GBPJPY 2021-10-21</t>
        </is>
      </c>
      <c r="F73" s="920" t="inlineStr"/>
      <c r="G73" s="920" t="inlineStr"/>
      <c r="H73" s="920" t="inlineStr"/>
      <c r="I73" s="920" t="inlineStr"/>
      <c r="J73" s="921" t="inlineStr"/>
    </row>
    <row r="74" ht="14.5" customHeight="1">
      <c r="A74" s="913" t="inlineStr">
        <is>
          <t>Winners min stop %</t>
        </is>
      </c>
      <c r="B74" s="949" t="inlineStr">
        <is>
          <t>0.013% - AUDUSD 2018-05-30</t>
        </is>
      </c>
      <c r="C74" s="949" t="inlineStr">
        <is>
          <t>0.023% - GBPUSD 2019-02-05</t>
        </is>
      </c>
      <c r="D74" s="949" t="inlineStr">
        <is>
          <t>0.070% - USDCAD 2020-03-20</t>
        </is>
      </c>
      <c r="E74" s="949" t="inlineStr">
        <is>
          <t>0.036% - USDJPY 2021-07-02</t>
        </is>
      </c>
      <c r="F74" s="949" t="inlineStr">
        <is>
          <t>0.041% - EURCHF 2022-07-13</t>
        </is>
      </c>
      <c r="G74" s="949" t="inlineStr">
        <is>
          <t>0.035% - EURUSD 2023-07-07</t>
        </is>
      </c>
      <c r="H74" s="949" t="inlineStr">
        <is>
          <t>0.032% - EURUSD 2024-11-21</t>
        </is>
      </c>
      <c r="I74" s="949" t="inlineStr">
        <is>
          <t>0.037% - EURUSD 2025-07-28</t>
        </is>
      </c>
      <c r="J74" s="950" t="inlineStr">
        <is>
          <t>0.025% - USDJPY 2026-09-07</t>
        </is>
      </c>
    </row>
    <row r="75" ht="14.5" customHeight="1">
      <c r="A75" s="889" t="inlineStr">
        <is>
          <t>Winners max stop %</t>
        </is>
      </c>
      <c r="B75" s="661" t="inlineStr">
        <is>
          <t>0.24% - AUDCAD 2018-07-04</t>
        </is>
      </c>
      <c r="C75" s="661" t="inlineStr">
        <is>
          <t>0.56% - EURGBP 2019-10-18</t>
        </is>
      </c>
      <c r="D75" s="661" t="inlineStr">
        <is>
          <t>7.73% - HIVEUSDT 2020-05-05</t>
        </is>
      </c>
      <c r="E75" s="661" t="inlineStr">
        <is>
          <t>21.36% - XTZUSDT 2021-05-06</t>
        </is>
      </c>
      <c r="F75" s="661" t="inlineStr">
        <is>
          <t>1.21% - GBPJPY 2022-05-17</t>
        </is>
      </c>
      <c r="G75" s="661" t="inlineStr">
        <is>
          <t>1.62% - XRPUSDT 2023-04-28</t>
        </is>
      </c>
      <c r="H75" s="661" t="inlineStr">
        <is>
          <t>7.21% - LTCUSDT 2024-11-26</t>
        </is>
      </c>
      <c r="I75" s="661" t="inlineStr">
        <is>
          <t>8.79% - STBLUSDT 2025-09-22</t>
        </is>
      </c>
      <c r="J75" s="904" t="inlineStr">
        <is>
          <t>0.10% - USDJPY 2026-09-11</t>
        </is>
      </c>
    </row>
    <row r="76" ht="14.5" customHeight="1">
      <c r="A76" s="889" t="inlineStr">
        <is>
          <t>Winners min target %</t>
        </is>
      </c>
      <c r="B76" s="661" t="inlineStr">
        <is>
          <t>0.046% - GBPAUD 2018-06-07</t>
        </is>
      </c>
      <c r="C76" s="661" t="inlineStr">
        <is>
          <t>0.00100% - USDCHF 2019-02-27</t>
        </is>
      </c>
      <c r="D76" s="661" t="inlineStr">
        <is>
          <t>0.14% - USDCAD 2020-03-20</t>
        </is>
      </c>
      <c r="E76" s="661" t="inlineStr">
        <is>
          <t>0.12% - EURCHF 2021-06-09</t>
        </is>
      </c>
      <c r="F76" s="661" t="inlineStr">
        <is>
          <t>0.081% - EURCHF 2022-07-13</t>
        </is>
      </c>
      <c r="G76" s="661" t="inlineStr">
        <is>
          <t>0.078% - EURUSD 2023-07-07</t>
        </is>
      </c>
      <c r="H76" s="661" t="inlineStr">
        <is>
          <t>0.025% - EURUSD 2024-11-21</t>
        </is>
      </c>
      <c r="I76" s="661" t="inlineStr">
        <is>
          <t>0.057% - EURUSD 2025-07-28</t>
        </is>
      </c>
      <c r="J76" s="904" t="inlineStr">
        <is>
          <t>0.064% - USDJPY 2026-09-07</t>
        </is>
      </c>
    </row>
    <row r="77" ht="14.5" customHeight="1">
      <c r="A77" s="889" t="inlineStr">
        <is>
          <t>Winners max target %</t>
        </is>
      </c>
      <c r="B77" s="917" t="inlineStr">
        <is>
          <t>0.55% - USDCAD 2018-08-10</t>
        </is>
      </c>
      <c r="C77" s="917" t="inlineStr">
        <is>
          <t>1.26% - EURJPY 2019-09-07</t>
        </is>
      </c>
      <c r="D77" s="917" t="inlineStr">
        <is>
          <t>23.46% - ANKRUSDT 2020-06-01</t>
        </is>
      </c>
      <c r="E77" s="917" t="inlineStr">
        <is>
          <t>56.93% - XTZUSDT 2021-05-06</t>
        </is>
      </c>
      <c r="F77" s="917" t="inlineStr">
        <is>
          <t>2.43% - GBPJPY 2022-05-17</t>
        </is>
      </c>
      <c r="G77" s="917" t="inlineStr">
        <is>
          <t>3.24% - XRPUSDT 2023-04-28</t>
        </is>
      </c>
      <c r="H77" s="917" t="inlineStr">
        <is>
          <t>14.41% - LTCUSDT 2024-11-26</t>
        </is>
      </c>
      <c r="I77" s="917" t="inlineStr">
        <is>
          <t>17.96% - STBLUSDT 2025-09-22</t>
        </is>
      </c>
      <c r="J77" s="918" t="inlineStr">
        <is>
          <t>0.26% - USDJPY 2026-09-11</t>
        </is>
      </c>
    </row>
    <row r="78" ht="14.5" customHeight="1">
      <c r="A78" s="889" t="inlineStr">
        <is>
          <t>Winners min result %</t>
        </is>
      </c>
      <c r="B78" s="951" t="inlineStr">
        <is>
          <t>0.0022% - USDCAD 2018-08-24</t>
        </is>
      </c>
      <c r="C78" s="951" t="inlineStr">
        <is>
          <t>0.0081% - EURNZD 2019-11-08</t>
        </is>
      </c>
      <c r="D78" s="951" t="inlineStr">
        <is>
          <t>0.020% - USDJPY 2020-01-25</t>
        </is>
      </c>
      <c r="E78" s="951" t="inlineStr">
        <is>
          <t>0.046% - BCHUSDT 2021-04-14</t>
        </is>
      </c>
      <c r="F78" s="951" t="inlineStr">
        <is>
          <t>0.27% - GBPCAD 2022-05-05</t>
        </is>
      </c>
      <c r="G78" s="951" t="inlineStr">
        <is>
          <t>0.38% - CADJPY 2023-09-15</t>
        </is>
      </c>
      <c r="H78" s="951" t="inlineStr">
        <is>
          <t>0.0051% - EURUSD 2024-11-21</t>
        </is>
      </c>
      <c r="I78" s="951" t="inlineStr">
        <is>
          <t>0.69% - EURUSD 2025-07-28</t>
        </is>
      </c>
      <c r="J78" s="952" t="inlineStr">
        <is>
          <t>0.0045% - GBPUSD 2026-10-05</t>
        </is>
      </c>
    </row>
    <row r="79" ht="14.5" customHeight="1">
      <c r="A79" s="889" t="inlineStr">
        <is>
          <t>Winners max result %</t>
        </is>
      </c>
      <c r="B79" s="951" t="inlineStr">
        <is>
          <t>4.48% - USDCAD 2018-07-20</t>
        </is>
      </c>
      <c r="C79" s="951" t="inlineStr">
        <is>
          <t>4.09% - GBPJPY 2019-08-16</t>
        </is>
      </c>
      <c r="D79" s="951" t="inlineStr">
        <is>
          <t>4.61% - ERDUSDT 2020-09-03</t>
        </is>
      </c>
      <c r="E79" s="951" t="inlineStr">
        <is>
          <t>5.48% - USDJPY 2021-07-02</t>
        </is>
      </c>
      <c r="F79" s="951" t="inlineStr">
        <is>
          <t>4.02% - EURGBP 2022-02-04</t>
        </is>
      </c>
      <c r="G79" s="951" t="inlineStr">
        <is>
          <t>2.07% - EURUSD 2023-07-07</t>
        </is>
      </c>
      <c r="H79" s="951" t="inlineStr">
        <is>
          <t>2.04% - BTCUSDT 2024-11-14</t>
        </is>
      </c>
      <c r="I79" s="951" t="inlineStr">
        <is>
          <t>3.98% - STBLUSDT 2025-09-22</t>
        </is>
      </c>
      <c r="J79" s="952" t="inlineStr">
        <is>
          <t>0.036% - USDJPY 2026-09-07</t>
        </is>
      </c>
    </row>
    <row r="80" ht="14.5" customHeight="1">
      <c r="A80" s="889" t="inlineStr">
        <is>
          <t>Winners min R</t>
        </is>
      </c>
      <c r="B80" s="951" t="inlineStr">
        <is>
          <t>0.029R - EURUSD 2018-12-14</t>
        </is>
      </c>
      <c r="C80" s="951" t="inlineStr">
        <is>
          <t>0.020R - EURCAD 2019-10-29</t>
        </is>
      </c>
      <c r="D80" s="951" t="inlineStr">
        <is>
          <t>0.21R - USDJPY 2020-01-25</t>
        </is>
      </c>
      <c r="E80" s="951" t="inlineStr">
        <is>
          <t>0.025R - BCHUSDT 2021-04-14</t>
        </is>
      </c>
      <c r="F80" s="951" t="inlineStr">
        <is>
          <t>0.16R - GBPCAD 2022-05-05</t>
        </is>
      </c>
      <c r="G80" s="951" t="inlineStr">
        <is>
          <t>0.43R - CADJPY 2023-09-15</t>
        </is>
      </c>
      <c r="H80" s="951" t="inlineStr">
        <is>
          <t>0.15R - EURUSD 2024-11-21</t>
        </is>
      </c>
      <c r="I80" s="951" t="inlineStr">
        <is>
          <t>1.47R - XAUUSD 2025-09-18</t>
        </is>
      </c>
      <c r="J80" s="952" t="inlineStr">
        <is>
          <t>0.35R - GBPUSD 2026-10-05</t>
        </is>
      </c>
    </row>
    <row r="81" ht="14.5" customHeight="1">
      <c r="A81" s="919" t="inlineStr">
        <is>
          <t>Winners max R</t>
        </is>
      </c>
      <c r="B81" s="929" t="inlineStr">
        <is>
          <t>5.97R - USDCHF 2018-10-11</t>
        </is>
      </c>
      <c r="C81" s="929" t="inlineStr">
        <is>
          <t>3.99R - EURAUD 2019-07-16</t>
        </is>
      </c>
      <c r="D81" s="929" t="inlineStr">
        <is>
          <t>4.87R - ERDUSDT 2020-09-03</t>
        </is>
      </c>
      <c r="E81" s="929" t="inlineStr">
        <is>
          <t>5.95R - ETHUSDT 2021-09-26</t>
        </is>
      </c>
      <c r="F81" s="929" t="inlineStr">
        <is>
          <t>3.53R - EURGBP 2022-02-04</t>
        </is>
      </c>
      <c r="G81" s="929" t="inlineStr">
        <is>
          <t>2.26R - EURUSD 2023-07-07</t>
        </is>
      </c>
      <c r="H81" s="929" t="inlineStr">
        <is>
          <t>2.04R - GBPUSD 2024-03-12</t>
        </is>
      </c>
      <c r="I81" s="929" t="inlineStr">
        <is>
          <t>2.41R - ETHUSDT 2025-08-21</t>
        </is>
      </c>
      <c r="J81" s="930" t="inlineStr">
        <is>
          <t>2.56R - USDJPY 2026-09-07</t>
        </is>
      </c>
    </row>
    <row r="82" ht="14.5" customHeight="1">
      <c r="A82" s="913" t="inlineStr">
        <is>
          <t>Losers min stop %</t>
        </is>
      </c>
      <c r="B82" s="922" t="inlineStr">
        <is>
          <t>0.0076% - USDCAD 2018-09-07</t>
        </is>
      </c>
      <c r="C82" s="922" t="inlineStr">
        <is>
          <t>0.011% - GBPAUD 2019-07-25</t>
        </is>
      </c>
      <c r="D82" s="922" t="inlineStr">
        <is>
          <t>0.044% - EURJPY 2020-05-06</t>
        </is>
      </c>
      <c r="E82" s="922" t="inlineStr">
        <is>
          <t>0.012% - EURGBP 2021-07-07</t>
        </is>
      </c>
      <c r="F82" s="922" t="inlineStr">
        <is>
          <t>0.036% - GBPUSD 2022-05-03</t>
        </is>
      </c>
      <c r="G82" s="922" t="inlineStr">
        <is>
          <t>0.048% - CHFJPY 2023-08-18</t>
        </is>
      </c>
      <c r="H82" s="922" t="inlineStr">
        <is>
          <t>0.032% - EURUSD 2024-11-21</t>
        </is>
      </c>
      <c r="I82" s="922" t="inlineStr">
        <is>
          <t>0.097% - NZDUSD 2025-06-10</t>
        </is>
      </c>
      <c r="J82" s="923" t="inlineStr">
        <is>
          <t>0.047% - EURGBP 2026-10-15</t>
        </is>
      </c>
    </row>
    <row r="83" ht="14.5" customHeight="1">
      <c r="A83" s="889" t="inlineStr">
        <is>
          <t>Losers max stop %</t>
        </is>
      </c>
      <c r="B83" s="917" t="inlineStr">
        <is>
          <t>0.61% - USDCHF 2018-10-15</t>
        </is>
      </c>
      <c r="C83" s="917" t="inlineStr">
        <is>
          <t>0.49% - AUDUSD 2019-01-30</t>
        </is>
      </c>
      <c r="D83" s="917" t="inlineStr">
        <is>
          <t>15.33% - TRXUSDT 2020-09-16</t>
        </is>
      </c>
      <c r="E83" s="917" t="inlineStr">
        <is>
          <t>15.95% - SHIB1000USDT 2021-11-24</t>
        </is>
      </c>
      <c r="F83" s="917" t="inlineStr">
        <is>
          <t>12.58% - BATUSDT 2022-05-11</t>
        </is>
      </c>
      <c r="G83" s="917" t="inlineStr">
        <is>
          <t>7.81% - SOLUSDT 2023-07-14</t>
        </is>
      </c>
      <c r="H83" s="917" t="inlineStr">
        <is>
          <t>7.12% - PRCLUSDT 2024-11-28</t>
        </is>
      </c>
      <c r="I83" s="917" t="inlineStr">
        <is>
          <t>9.29% - AVNTUSDT 2025-09-28</t>
        </is>
      </c>
      <c r="J83" s="918" t="inlineStr">
        <is>
          <t>14.36% - ENAUSDT 2026-08-25</t>
        </is>
      </c>
    </row>
    <row r="84" ht="14.5" customHeight="1">
      <c r="A84" s="889" t="inlineStr">
        <is>
          <t>Losers min target %</t>
        </is>
      </c>
      <c r="B84" s="917" t="inlineStr">
        <is>
          <t>0.023% - GBPUSD 2018-08-24</t>
        </is>
      </c>
      <c r="C84" s="917" t="inlineStr">
        <is>
          <t>0.015% - GBPUSD 2019-04-11</t>
        </is>
      </c>
      <c r="D84" s="917" t="inlineStr">
        <is>
          <t>0.087% - EURJPY 2020-05-06</t>
        </is>
      </c>
      <c r="E84" s="917" t="inlineStr">
        <is>
          <t>0.052% - EURUSD 2021-10-06</t>
        </is>
      </c>
      <c r="F84" s="917" t="inlineStr">
        <is>
          <t>0.076% - USDJPY 2022-05-09</t>
        </is>
      </c>
      <c r="G84" s="917" t="inlineStr">
        <is>
          <t>0.097% - CHFJPY 2023-08-18</t>
        </is>
      </c>
      <c r="H84" s="917" t="inlineStr">
        <is>
          <t>0.015% - EURUSD 2024-11-21</t>
        </is>
      </c>
      <c r="I84" s="917" t="inlineStr">
        <is>
          <t>0.0068% - NZDUSD 2025-06-10</t>
        </is>
      </c>
      <c r="J84" s="918" t="inlineStr">
        <is>
          <t>0.16% - USDJPY 2026-10-13</t>
        </is>
      </c>
    </row>
    <row r="85" ht="14.5" customHeight="1">
      <c r="A85" s="889" t="inlineStr">
        <is>
          <t>Losers max target %</t>
        </is>
      </c>
      <c r="B85" s="917" t="inlineStr">
        <is>
          <t>1.21% - USDCHF 2018-10-15</t>
        </is>
      </c>
      <c r="C85" s="917" t="inlineStr">
        <is>
          <t>1.54% - GBPNZD 2019-08-23</t>
        </is>
      </c>
      <c r="D85" s="917" t="inlineStr">
        <is>
          <t>59.19% - SXPUSDT 2020-10-02</t>
        </is>
      </c>
      <c r="E85" s="917" t="inlineStr">
        <is>
          <t>74.66% - SHIB1000USDT 2021-11-24</t>
        </is>
      </c>
      <c r="F85" s="917" t="inlineStr">
        <is>
          <t>25.22% - BATUSDT 2022-05-11</t>
        </is>
      </c>
      <c r="G85" s="917" t="inlineStr">
        <is>
          <t>15.63% - SOLUSDT 2023-07-14</t>
        </is>
      </c>
      <c r="H85" s="917" t="inlineStr">
        <is>
          <t>14.25% - PRCLUSDT 2024-11-28</t>
        </is>
      </c>
      <c r="I85" s="917" t="inlineStr">
        <is>
          <t>19.05% - AVNTUSDT 2025-09-28</t>
        </is>
      </c>
      <c r="J85" s="918" t="inlineStr">
        <is>
          <t>37.91% - ENAUSDT 2026-08-25</t>
        </is>
      </c>
    </row>
    <row r="86" ht="14.5" customHeight="1">
      <c r="A86" s="889" t="inlineStr">
        <is>
          <t>Losers min result %</t>
        </is>
      </c>
      <c r="B86" s="927" t="inlineStr">
        <is>
          <t>-0.0027% - AUDUSD 2018-10-15</t>
        </is>
      </c>
      <c r="C86" s="927" t="inlineStr">
        <is>
          <t>-0.012% - GBPAUD 2019-09-20</t>
        </is>
      </c>
      <c r="D86" s="927" t="inlineStr">
        <is>
          <t>-0.0041% - AUDCAD 2020-06-13</t>
        </is>
      </c>
      <c r="E86" s="927" t="inlineStr">
        <is>
          <t>-0.0031% - ETHUSDT 2021-05-04</t>
        </is>
      </c>
      <c r="F86" s="927" t="inlineStr">
        <is>
          <t>-0.44% - EURUSD 2022-07-08</t>
        </is>
      </c>
      <c r="G86" s="927" t="inlineStr">
        <is>
          <t>-0.24% - AUDUSD 2023-06-14</t>
        </is>
      </c>
      <c r="H86" s="927" t="inlineStr">
        <is>
          <t>-0.014% - NZDUSD 2024-09-19</t>
        </is>
      </c>
      <c r="I86" s="927" t="inlineStr">
        <is>
          <t>-0.0076% - NZDUSD 2025-06-10</t>
        </is>
      </c>
      <c r="J86" s="928" t="inlineStr">
        <is>
          <t>-0.015% - ENAUSDT 2026-08-25</t>
        </is>
      </c>
    </row>
    <row r="87" ht="14.5" customHeight="1">
      <c r="A87" s="889" t="inlineStr">
        <is>
          <t>Losers max result %</t>
        </is>
      </c>
      <c r="B87" s="927" t="inlineStr">
        <is>
          <t>-6.02% - NZDUSD 2018-09-20</t>
        </is>
      </c>
      <c r="C87" s="927" t="inlineStr">
        <is>
          <t>-2.17% - USDCAD 2019-06-21</t>
        </is>
      </c>
      <c r="D87" s="927" t="inlineStr">
        <is>
          <t>-2.62% - GBPCAD 2020-01-28</t>
        </is>
      </c>
      <c r="E87" s="927" t="inlineStr">
        <is>
          <t>-1.62% - GBPCHF 2021-09-20</t>
        </is>
      </c>
      <c r="F87" s="927" t="inlineStr">
        <is>
          <t>-2.14% - EURCHF 2022-05-06</t>
        </is>
      </c>
      <c r="G87" s="927" t="inlineStr">
        <is>
          <t>-1.24% - BTCUSDT 2023-08-02</t>
        </is>
      </c>
      <c r="H87" s="927" t="inlineStr">
        <is>
          <t>-2.63% - NZDUSD 2024-11-11</t>
        </is>
      </c>
      <c r="I87" s="927" t="inlineStr">
        <is>
          <t>-1.31% - SOLAYERUSDT 2025-05-23</t>
        </is>
      </c>
      <c r="J87" s="928" t="inlineStr">
        <is>
          <t>-0.98% - BTCUSDT 2026-10-07</t>
        </is>
      </c>
    </row>
    <row r="88" ht="14.5" customHeight="1">
      <c r="A88" s="889" t="inlineStr">
        <is>
          <t>Losers min R</t>
        </is>
      </c>
      <c r="B88" s="927" t="inlineStr">
        <is>
          <t>-0.012R - GBPAUD 2018-06-11</t>
        </is>
      </c>
      <c r="C88" s="927" t="inlineStr">
        <is>
          <t>-0.078R - USDCAD 2019-03-15</t>
        </is>
      </c>
      <c r="D88" s="927" t="inlineStr">
        <is>
          <t>-0.0098R - LINKUSDT 2020-12-20</t>
        </is>
      </c>
      <c r="E88" s="927" t="inlineStr">
        <is>
          <t>-0.0031R - SOLUSDT 2021-11-16</t>
        </is>
      </c>
      <c r="F88" s="927" t="inlineStr">
        <is>
          <t>-0.67R - AUDCAD 2022-07-05</t>
        </is>
      </c>
      <c r="G88" s="927" t="inlineStr">
        <is>
          <t>-0.25R - AUDUSD 2023-06-14</t>
        </is>
      </c>
      <c r="H88" s="927" t="inlineStr">
        <is>
          <t>-0.020R - NZDUSD 2024-09-19</t>
        </is>
      </c>
      <c r="I88" s="927" t="inlineStr">
        <is>
          <t>-0.017R - NZDUSD 2025-06-10</t>
        </is>
      </c>
      <c r="J88" s="928" t="inlineStr">
        <is>
          <t>-0.0076R - ENAUSDT 2026-08-25</t>
        </is>
      </c>
    </row>
    <row r="89" ht="14.5" customHeight="1">
      <c r="A89" s="919" t="inlineStr">
        <is>
          <t>Losers max R</t>
        </is>
      </c>
      <c r="B89" s="953" t="inlineStr">
        <is>
          <t>-2.79R - USDCAD 2018-09-06</t>
        </is>
      </c>
      <c r="C89" s="953" t="inlineStr">
        <is>
          <t>-10.75R - GBPAUD 2019-07-25</t>
        </is>
      </c>
      <c r="D89" s="953" t="inlineStr">
        <is>
          <t>-1.44R - EURNZD 2020-12-25</t>
        </is>
      </c>
      <c r="E89" s="953" t="inlineStr">
        <is>
          <t>-1.60R - EURGBP 2021-07-07</t>
        </is>
      </c>
      <c r="F89" s="953" t="inlineStr">
        <is>
          <t>-1.36R - NZDCAD 2022-05-05</t>
        </is>
      </c>
      <c r="G89" s="953" t="inlineStr">
        <is>
          <t>-1.17R - BTCUSDT 2023-07-14</t>
        </is>
      </c>
      <c r="H89" s="953" t="inlineStr">
        <is>
          <t>-2.30R - USDCHF 2024-10-03</t>
        </is>
      </c>
      <c r="I89" s="953" t="inlineStr">
        <is>
          <t>-1.22R - DOGEUSDT 2025-01-19</t>
        </is>
      </c>
      <c r="J89" s="954" t="inlineStr">
        <is>
          <t>-1.00R - BTCUSDT 2026-10-07</t>
        </is>
      </c>
    </row>
    <row r="90" ht="14.5" customHeight="1">
      <c r="A90" s="924" t="inlineStr">
        <is>
          <t>Patterns</t>
        </is>
      </c>
      <c r="B90" s="922" t="inlineStr"/>
      <c r="C90" s="922" t="inlineStr"/>
      <c r="D90" s="922" t="inlineStr"/>
      <c r="E90" s="922" t="inlineStr"/>
      <c r="F90" s="922" t="inlineStr"/>
      <c r="G90" s="922" t="inlineStr"/>
      <c r="H90" s="922" t="inlineStr"/>
      <c r="I90" s="922" t="inlineStr"/>
      <c r="J90" s="923" t="inlineStr"/>
    </row>
    <row r="91" ht="14.5" customHeight="1">
      <c r="A91" s="886" t="inlineStr">
        <is>
          <t>Most Traded</t>
        </is>
      </c>
      <c r="B91" s="917" t="inlineStr"/>
      <c r="C91" s="917" t="inlineStr"/>
      <c r="D91" s="917" t="inlineStr"/>
      <c r="E91" s="917" t="inlineStr"/>
      <c r="F91" s="917" t="inlineStr"/>
      <c r="G91" s="917" t="inlineStr">
        <is>
          <t>range</t>
        </is>
      </c>
      <c r="H91" s="917" t="inlineStr">
        <is>
          <t>channel</t>
        </is>
      </c>
      <c r="I91" s="917" t="inlineStr">
        <is>
          <t>channel</t>
        </is>
      </c>
      <c r="J91" s="918" t="inlineStr">
        <is>
          <t>range</t>
        </is>
      </c>
    </row>
    <row r="92" ht="14.5" customHeight="1">
      <c r="A92" s="886" t="inlineStr">
        <is>
          <t>Least Traded</t>
        </is>
      </c>
      <c r="B92" s="661" t="inlineStr"/>
      <c r="C92" s="661" t="inlineStr"/>
      <c r="D92" s="661" t="inlineStr"/>
      <c r="E92" s="661" t="inlineStr"/>
      <c r="F92" s="661" t="inlineStr"/>
      <c r="G92" s="661" t="inlineStr">
        <is>
          <t>channel</t>
        </is>
      </c>
      <c r="H92" s="661" t="inlineStr">
        <is>
          <t>range</t>
        </is>
      </c>
      <c r="I92" s="661" t="inlineStr">
        <is>
          <t>channel</t>
        </is>
      </c>
      <c r="J92" s="904" t="inlineStr">
        <is>
          <t>channel</t>
        </is>
      </c>
    </row>
    <row r="93" ht="14.5" customHeight="1">
      <c r="A93" s="886" t="inlineStr">
        <is>
          <t>Most Profitable</t>
        </is>
      </c>
      <c r="B93" s="661" t="inlineStr"/>
      <c r="C93" s="661" t="inlineStr"/>
      <c r="D93" s="661" t="inlineStr"/>
      <c r="E93" s="661" t="inlineStr"/>
      <c r="F93" s="661" t="inlineStr"/>
      <c r="G93" s="661" t="inlineStr">
        <is>
          <t>range</t>
        </is>
      </c>
      <c r="H93" s="661" t="inlineStr">
        <is>
          <t>range</t>
        </is>
      </c>
      <c r="I93" s="661" t="inlineStr">
        <is>
          <t>channel</t>
        </is>
      </c>
      <c r="J93" s="904" t="inlineStr">
        <is>
          <t>channel</t>
        </is>
      </c>
    </row>
    <row r="94" ht="14.5" customHeight="1">
      <c r="A94" s="907" t="inlineStr">
        <is>
          <t>Least Profitable</t>
        </is>
      </c>
      <c r="B94" s="669" t="inlineStr"/>
      <c r="C94" s="669" t="inlineStr"/>
      <c r="D94" s="669" t="inlineStr"/>
      <c r="E94" s="669" t="inlineStr"/>
      <c r="F94" s="669" t="inlineStr"/>
      <c r="G94" s="669" t="inlineStr">
        <is>
          <t>channel</t>
        </is>
      </c>
      <c r="H94" s="669" t="inlineStr">
        <is>
          <t>channel</t>
        </is>
      </c>
      <c r="I94" s="669" t="inlineStr">
        <is>
          <t>channel</t>
        </is>
      </c>
      <c r="J94" s="955" t="inlineStr">
        <is>
          <t>range</t>
        </is>
      </c>
    </row>
    <row r="95" ht="14.5" customHeight="1">
      <c r="A95" s="924" t="inlineStr">
        <is>
          <t>Timeframe</t>
        </is>
      </c>
      <c r="B95" s="931" t="inlineStr"/>
      <c r="C95" s="931" t="inlineStr"/>
      <c r="D95" s="931" t="inlineStr"/>
      <c r="E95" s="931" t="inlineStr"/>
      <c r="F95" s="931" t="inlineStr"/>
      <c r="G95" s="931" t="inlineStr"/>
      <c r="H95" s="931" t="inlineStr"/>
      <c r="I95" s="931" t="inlineStr"/>
      <c r="J95" s="932" t="inlineStr"/>
    </row>
    <row r="96" ht="14.5" customHeight="1">
      <c r="A96" s="886" t="inlineStr">
        <is>
          <t>1MIN</t>
        </is>
      </c>
      <c r="B96" s="887" t="n">
        <v>61</v>
      </c>
      <c r="C96" s="887" t="n">
        <v>2</v>
      </c>
      <c r="D96" s="887" t="n">
        <v>12</v>
      </c>
      <c r="E96" s="887" t="n">
        <v>0</v>
      </c>
      <c r="F96" s="887" t="n">
        <v>4</v>
      </c>
      <c r="G96" s="887" t="n">
        <v>0</v>
      </c>
      <c r="H96" s="887" t="n">
        <v>3</v>
      </c>
      <c r="I96" s="887" t="n">
        <v>2</v>
      </c>
      <c r="J96" s="888" t="n">
        <v>0</v>
      </c>
    </row>
    <row r="97" ht="14.5" customHeight="1">
      <c r="A97" s="886" t="inlineStr">
        <is>
          <t>5MIN</t>
        </is>
      </c>
      <c r="B97" s="887" t="n">
        <v>107</v>
      </c>
      <c r="C97" s="887" t="n">
        <v>31</v>
      </c>
      <c r="D97" s="887" t="n">
        <v>27</v>
      </c>
      <c r="E97" s="887" t="n">
        <v>50</v>
      </c>
      <c r="F97" s="887" t="n">
        <v>2</v>
      </c>
      <c r="G97" s="887" t="n">
        <v>0</v>
      </c>
      <c r="H97" s="887" t="n">
        <v>9</v>
      </c>
      <c r="I97" s="887" t="n">
        <v>1</v>
      </c>
      <c r="J97" s="888" t="n">
        <v>6</v>
      </c>
    </row>
    <row r="98" ht="14.5" customHeight="1">
      <c r="A98" s="886" t="inlineStr">
        <is>
          <t>15MIN</t>
        </is>
      </c>
      <c r="B98" s="887" t="n">
        <v>61</v>
      </c>
      <c r="C98" s="887" t="n">
        <v>129</v>
      </c>
      <c r="D98" s="887" t="n">
        <v>22</v>
      </c>
      <c r="E98" s="887" t="n">
        <v>16</v>
      </c>
      <c r="F98" s="887" t="n">
        <v>3</v>
      </c>
      <c r="G98" s="887" t="n">
        <v>4</v>
      </c>
      <c r="H98" s="887" t="n">
        <v>9</v>
      </c>
      <c r="I98" s="887" t="n">
        <v>9</v>
      </c>
      <c r="J98" s="888" t="n">
        <v>0</v>
      </c>
    </row>
    <row r="99" ht="14.5" customHeight="1">
      <c r="A99" s="886" t="inlineStr">
        <is>
          <t>30MIN</t>
        </is>
      </c>
      <c r="B99" s="887" t="n">
        <v>54</v>
      </c>
      <c r="C99" s="887" t="n">
        <v>0</v>
      </c>
      <c r="D99" s="887" t="n">
        <v>0</v>
      </c>
      <c r="E99" s="887" t="n">
        <v>0</v>
      </c>
      <c r="F99" s="887" t="n">
        <v>2</v>
      </c>
      <c r="G99" s="887" t="n">
        <v>0</v>
      </c>
      <c r="H99" s="887" t="n">
        <v>1</v>
      </c>
      <c r="I99" s="887" t="n">
        <v>6</v>
      </c>
      <c r="J99" s="888" t="n">
        <v>0</v>
      </c>
    </row>
    <row r="100" ht="14.5" customHeight="1">
      <c r="A100" s="886" t="inlineStr">
        <is>
          <t>1H</t>
        </is>
      </c>
      <c r="B100" s="887" t="n">
        <v>10</v>
      </c>
      <c r="C100" s="887" t="n">
        <v>97</v>
      </c>
      <c r="D100" s="887" t="n">
        <v>105</v>
      </c>
      <c r="E100" s="887" t="n">
        <v>54</v>
      </c>
      <c r="F100" s="887" t="n">
        <v>5</v>
      </c>
      <c r="G100" s="887" t="n">
        <v>17</v>
      </c>
      <c r="H100" s="887" t="n">
        <v>7</v>
      </c>
      <c r="I100" s="887" t="n">
        <v>10</v>
      </c>
      <c r="J100" s="888" t="n">
        <v>1</v>
      </c>
    </row>
    <row r="101" ht="14.5" customHeight="1">
      <c r="A101" s="886" t="inlineStr">
        <is>
          <t>4H</t>
        </is>
      </c>
      <c r="B101" s="887" t="n">
        <v>1</v>
      </c>
      <c r="C101" s="887" t="n">
        <v>50</v>
      </c>
      <c r="D101" s="887" t="n">
        <v>61</v>
      </c>
      <c r="E101" s="887" t="n">
        <v>51</v>
      </c>
      <c r="F101" s="887" t="n">
        <v>9</v>
      </c>
      <c r="G101" s="887" t="n">
        <v>20</v>
      </c>
      <c r="H101" s="887" t="n">
        <v>4</v>
      </c>
      <c r="I101" s="887" t="n">
        <v>4</v>
      </c>
      <c r="J101" s="888" t="n">
        <v>2</v>
      </c>
    </row>
    <row r="102" ht="14.5" customHeight="1">
      <c r="A102" s="886" t="inlineStr">
        <is>
          <t>DAILY</t>
        </is>
      </c>
      <c r="B102" s="887" t="n">
        <v>0</v>
      </c>
      <c r="C102" s="887" t="n">
        <v>0</v>
      </c>
      <c r="D102" s="887" t="n">
        <v>0</v>
      </c>
      <c r="E102" s="887" t="n">
        <v>46</v>
      </c>
      <c r="F102" s="887" t="n">
        <v>13</v>
      </c>
      <c r="G102" s="887" t="n">
        <v>12</v>
      </c>
      <c r="H102" s="887" t="n">
        <v>2</v>
      </c>
      <c r="I102" s="887" t="n">
        <v>0</v>
      </c>
      <c r="J102" s="888" t="n">
        <v>0</v>
      </c>
    </row>
    <row r="103" ht="14.5" customHeight="1">
      <c r="A103" s="886" t="inlineStr">
        <is>
          <t>WEEKLY</t>
        </is>
      </c>
      <c r="B103" s="887" t="n">
        <v>0</v>
      </c>
      <c r="C103" s="887" t="n">
        <v>0</v>
      </c>
      <c r="D103" s="887" t="n">
        <v>0</v>
      </c>
      <c r="E103" s="887" t="n">
        <v>6</v>
      </c>
      <c r="F103" s="887" t="n">
        <v>16</v>
      </c>
      <c r="G103" s="887" t="n">
        <v>7</v>
      </c>
      <c r="H103" s="887" t="n">
        <v>1</v>
      </c>
      <c r="I103" s="887" t="n">
        <v>0</v>
      </c>
      <c r="J103" s="888" t="n">
        <v>0</v>
      </c>
    </row>
    <row r="104" ht="14.5" customHeight="1">
      <c r="A104" s="907" t="inlineStr">
        <is>
          <t>MONTHLY</t>
        </is>
      </c>
      <c r="B104" s="947" t="n">
        <v>0</v>
      </c>
      <c r="C104" s="947" t="n">
        <v>0</v>
      </c>
      <c r="D104" s="947" t="n">
        <v>0</v>
      </c>
      <c r="E104" s="947" t="n">
        <v>0</v>
      </c>
      <c r="F104" s="947" t="n">
        <v>3</v>
      </c>
      <c r="G104" s="947" t="n">
        <v>0</v>
      </c>
      <c r="H104" s="947" t="n">
        <v>0</v>
      </c>
      <c r="I104" s="947" t="n">
        <v>0</v>
      </c>
      <c r="J104" s="948" t="n">
        <v>0</v>
      </c>
    </row>
    <row r="105" ht="14.5" customHeight="1">
      <c r="A105" s="924" t="inlineStr">
        <is>
          <t>Commission</t>
        </is>
      </c>
      <c r="B105" s="931" t="inlineStr"/>
      <c r="C105" s="931" t="inlineStr"/>
      <c r="D105" s="931" t="inlineStr"/>
      <c r="E105" s="931" t="inlineStr"/>
      <c r="F105" s="931" t="inlineStr"/>
      <c r="G105" s="931" t="inlineStr"/>
      <c r="H105" s="931" t="inlineStr"/>
      <c r="I105" s="931" t="inlineStr"/>
      <c r="J105" s="932" t="inlineStr"/>
    </row>
    <row r="106" ht="14.5" customHeight="1">
      <c r="A106" s="889" t="inlineStr">
        <is>
          <t>Min Commission</t>
        </is>
      </c>
      <c r="B106" s="956" t="n">
        <v>0.06</v>
      </c>
      <c r="C106" s="956" t="n">
        <v>0.01</v>
      </c>
      <c r="D106" s="927" t="inlineStr">
        <is>
          <t>AUD 0.010 / USDT 0.0083</t>
        </is>
      </c>
      <c r="E106" s="927" t="inlineStr">
        <is>
          <t>AUD 0.010 / USDT 0.0019</t>
        </is>
      </c>
      <c r="F106" s="927" t="inlineStr">
        <is>
          <t>AUD 0.070 / USDT 0.011</t>
        </is>
      </c>
      <c r="G106" s="927" t="inlineStr">
        <is>
          <t>AUD 0.14 / USDT 0.020</t>
        </is>
      </c>
      <c r="H106" s="927" t="inlineStr">
        <is>
          <t>AUD 0.070 / USDT 0.039</t>
        </is>
      </c>
      <c r="I106" s="927" t="inlineStr">
        <is>
          <t>AUD 0.026 / USDT 0.043</t>
        </is>
      </c>
      <c r="J106" s="928" t="inlineStr">
        <is>
          <t>AUD 0.50 / USDT 0.025</t>
        </is>
      </c>
    </row>
    <row r="107" ht="14.5" customHeight="1">
      <c r="A107" s="889" t="inlineStr">
        <is>
          <t>Avg Commission</t>
        </is>
      </c>
      <c r="B107" s="957" t="n">
        <v>0.5942857142857143</v>
      </c>
      <c r="C107" s="957" t="n">
        <v>0.2107142857142857</v>
      </c>
      <c r="D107" s="927" t="inlineStr">
        <is>
          <t>AUD 0.14 / USDT 0.24</t>
        </is>
      </c>
      <c r="E107" s="927" t="inlineStr">
        <is>
          <t>AUD 0.51 / USDT 0.12</t>
        </is>
      </c>
      <c r="F107" s="927" t="inlineStr">
        <is>
          <t>AUD 0.40 / USDT 0.022</t>
        </is>
      </c>
      <c r="G107" s="927" t="inlineStr">
        <is>
          <t>AUD 0.35 / USDT 0.21</t>
        </is>
      </c>
      <c r="H107" s="927" t="inlineStr">
        <is>
          <t>AUD 0.44 / USDT 0.34</t>
        </is>
      </c>
      <c r="I107" s="927" t="inlineStr">
        <is>
          <t>AUD 0.61 / USDT 0.17</t>
        </is>
      </c>
      <c r="J107" s="928" t="inlineStr">
        <is>
          <t>AUD 0.99 / USDT 0.18</t>
        </is>
      </c>
    </row>
    <row r="108" ht="14.5" customHeight="1">
      <c r="A108" s="889" t="inlineStr">
        <is>
          <t>Max Commission</t>
        </is>
      </c>
      <c r="B108" s="958" t="n">
        <v>1.87</v>
      </c>
      <c r="C108" s="958" t="n">
        <v>1.28</v>
      </c>
      <c r="D108" s="959" t="inlineStr">
        <is>
          <t>AUD 1.00 / USDT 3.21</t>
        </is>
      </c>
      <c r="E108" s="959" t="inlineStr">
        <is>
          <t>AUD 1.40 / USDT 2.40</t>
        </is>
      </c>
      <c r="F108" s="959" t="inlineStr">
        <is>
          <t>AUD 0.70 / USDT 0.032</t>
        </is>
      </c>
      <c r="G108" s="959" t="inlineStr">
        <is>
          <t>AUD 0.63 / USDT 0.67</t>
        </is>
      </c>
      <c r="H108" s="959" t="inlineStr">
        <is>
          <t>AUD 0.63 / USDT 2.24</t>
        </is>
      </c>
      <c r="I108" s="959" t="inlineStr">
        <is>
          <t>AUD 1.26 / USDT 0.48</t>
        </is>
      </c>
      <c r="J108" s="960" t="inlineStr">
        <is>
          <t>AUD 1.54 / USDT 0.48</t>
        </is>
      </c>
    </row>
    <row r="109" ht="14.5" customHeight="1">
      <c r="A109" s="919" t="inlineStr">
        <is>
          <t>Total Commission</t>
        </is>
      </c>
      <c r="B109" s="961" t="n">
        <v>4.16</v>
      </c>
      <c r="C109" s="961" t="n">
        <v>8.85</v>
      </c>
      <c r="D109" s="953" t="inlineStr">
        <is>
          <t>AUD 4.33 / USDT 31.58</t>
        </is>
      </c>
      <c r="E109" s="953" t="inlineStr">
        <is>
          <t>AUD 33.78 / USDT 21.12</t>
        </is>
      </c>
      <c r="F109" s="953" t="inlineStr">
        <is>
          <t>AUD 3.64 / USDT 0.043</t>
        </is>
      </c>
      <c r="G109" s="953" t="inlineStr">
        <is>
          <t>AUD 1.40 / USDT 4.18</t>
        </is>
      </c>
      <c r="H109" s="953" t="inlineStr">
        <is>
          <t>AUD 2.64 / USDT 7.45</t>
        </is>
      </c>
      <c r="I109" s="953" t="inlineStr">
        <is>
          <t>AUD 2.44 / USDT 4.28</t>
        </is>
      </c>
      <c r="J109" s="954" t="inlineStr">
        <is>
          <t>AUD 5.92 / USDT 1.26</t>
        </is>
      </c>
    </row>
    <row r="110">
      <c r="A110" s="962" t="n"/>
      <c r="B110" s="963" t="n"/>
      <c r="C110" s="963" t="n"/>
      <c r="D110" s="963" t="n"/>
      <c r="E110" s="963" t="n"/>
      <c r="F110" s="963" t="n"/>
      <c r="G110" s="964" t="n"/>
      <c r="H110" s="964" t="n"/>
      <c r="I110" s="964" t="n"/>
      <c r="J110" s="963" t="n"/>
    </row>
    <row r="111">
      <c r="A111" s="962" t="n"/>
      <c r="B111" s="965" t="n"/>
      <c r="C111" s="965" t="n"/>
      <c r="D111" s="965" t="n"/>
      <c r="E111" s="965" t="n"/>
      <c r="F111" s="965" t="n"/>
      <c r="G111" s="966" t="n"/>
      <c r="H111" s="966" t="n"/>
      <c r="I111" s="966" t="n"/>
      <c r="J111" s="965" t="n"/>
    </row>
    <row r="112">
      <c r="A112" s="962" t="n"/>
      <c r="B112" s="965" t="n"/>
      <c r="C112" s="965" t="n"/>
      <c r="D112" s="965" t="n"/>
      <c r="E112" s="965" t="n"/>
      <c r="F112" s="965" t="n"/>
      <c r="G112" s="966" t="n"/>
      <c r="H112" s="966" t="n"/>
      <c r="I112" s="966" t="n"/>
      <c r="J112" s="965" t="n"/>
    </row>
    <row r="113">
      <c r="A113" s="962" t="n"/>
      <c r="B113" s="967" t="n"/>
      <c r="C113" s="967" t="n"/>
      <c r="D113" s="967" t="n"/>
      <c r="E113" s="967" t="n"/>
      <c r="F113" s="967" t="n"/>
      <c r="G113" s="967" t="n"/>
      <c r="H113" s="967" t="n"/>
      <c r="I113" s="967" t="n"/>
      <c r="J113" s="967" t="n"/>
    </row>
    <row r="114">
      <c r="A114" s="962" t="n"/>
      <c r="B114" s="964" t="n"/>
      <c r="C114" s="964" t="n"/>
      <c r="D114" s="964" t="n"/>
      <c r="E114" s="964" t="n"/>
      <c r="F114" s="964" t="n"/>
      <c r="G114" s="964" t="n"/>
      <c r="H114" s="964" t="n"/>
      <c r="I114" s="964" t="n"/>
      <c r="J114" s="964" t="n"/>
    </row>
    <row r="115">
      <c r="A115" s="962" t="n"/>
      <c r="B115" s="964" t="n"/>
      <c r="C115" s="964" t="n"/>
      <c r="D115" s="964" t="n"/>
      <c r="E115" s="964" t="n"/>
      <c r="F115" s="964" t="n"/>
      <c r="G115" s="964" t="n"/>
      <c r="H115" s="964" t="n"/>
      <c r="I115" s="964" t="n"/>
      <c r="J115" s="964" t="n"/>
    </row>
    <row r="116">
      <c r="A116" s="962" t="n"/>
      <c r="B116" s="964" t="n"/>
      <c r="C116" s="964" t="n"/>
      <c r="D116" s="964" t="n"/>
      <c r="E116" s="964" t="n"/>
      <c r="F116" s="964" t="n"/>
      <c r="G116" s="964" t="n"/>
      <c r="H116" s="964" t="n"/>
      <c r="I116" s="964" t="n"/>
      <c r="J116" s="964" t="n"/>
    </row>
    <row r="117">
      <c r="A117" s="962" t="n"/>
      <c r="B117" s="964" t="n"/>
      <c r="C117" s="964" t="n"/>
      <c r="D117" s="964" t="n"/>
      <c r="E117" s="964" t="n"/>
      <c r="F117" s="964" t="n"/>
      <c r="G117" s="964" t="n"/>
      <c r="H117" s="964" t="n"/>
      <c r="I117" s="964" t="n"/>
      <c r="J117" s="964" t="n"/>
    </row>
    <row r="118">
      <c r="A118" s="962" t="n"/>
      <c r="B118" s="964" t="n"/>
      <c r="C118" s="964" t="n"/>
      <c r="D118" s="964" t="n"/>
      <c r="E118" s="964" t="n"/>
      <c r="F118" s="964" t="n"/>
      <c r="G118" s="964" t="n"/>
      <c r="H118" s="964" t="n"/>
      <c r="I118" s="964" t="n"/>
      <c r="J118" s="964" t="n"/>
    </row>
    <row r="119">
      <c r="A119" s="962" t="n"/>
      <c r="B119" s="964" t="n"/>
      <c r="C119" s="964" t="n"/>
      <c r="D119" s="964" t="n"/>
      <c r="E119" s="964" t="n"/>
      <c r="F119" s="964" t="n"/>
      <c r="G119" s="964" t="n"/>
      <c r="H119" s="964" t="n"/>
      <c r="I119" s="964" t="n"/>
      <c r="J119" s="964" t="n"/>
    </row>
    <row r="120">
      <c r="A120" s="962" t="n"/>
      <c r="B120" s="964" t="n"/>
      <c r="C120" s="964" t="n"/>
      <c r="D120" s="964" t="n"/>
      <c r="E120" s="964" t="n"/>
      <c r="F120" s="964" t="n"/>
      <c r="G120" s="964" t="n"/>
      <c r="H120" s="964" t="n"/>
      <c r="I120" s="964" t="n"/>
      <c r="J120" s="964" t="n"/>
    </row>
    <row r="121">
      <c r="A121" s="962" t="n"/>
      <c r="B121" s="964" t="n"/>
      <c r="C121" s="964" t="n"/>
      <c r="D121" s="964" t="n"/>
      <c r="E121" s="964" t="n"/>
      <c r="F121" s="964" t="n"/>
      <c r="G121" s="964" t="n"/>
      <c r="H121" s="964" t="n"/>
      <c r="I121" s="964" t="n"/>
      <c r="J121" s="964" t="n"/>
    </row>
    <row r="122">
      <c r="A122" s="962" t="n"/>
      <c r="B122" s="964" t="n"/>
      <c r="C122" s="964" t="n"/>
      <c r="D122" s="964" t="n"/>
      <c r="E122" s="964" t="n"/>
      <c r="F122" s="964" t="n"/>
      <c r="G122" s="964" t="n"/>
      <c r="H122" s="964" t="n"/>
      <c r="I122" s="964" t="n"/>
      <c r="J122" s="964" t="n"/>
    </row>
    <row r="123">
      <c r="A123" s="962" t="n"/>
      <c r="B123" s="967" t="n"/>
      <c r="C123" s="967" t="n"/>
      <c r="D123" s="967" t="n"/>
      <c r="E123" s="967" t="n"/>
      <c r="F123" s="967" t="n"/>
      <c r="G123" s="967" t="n"/>
      <c r="H123" s="967" t="n"/>
      <c r="I123" s="967" t="n"/>
      <c r="J123" s="967" t="n"/>
    </row>
    <row r="124">
      <c r="A124" s="962" t="n"/>
      <c r="B124" s="964" t="n"/>
      <c r="C124" s="964" t="n"/>
      <c r="D124" s="964" t="n"/>
      <c r="E124" s="964" t="n"/>
      <c r="F124" s="964" t="n"/>
      <c r="G124" s="964" t="n"/>
      <c r="H124" s="964" t="n"/>
      <c r="I124" s="964" t="n"/>
      <c r="J124" s="963" t="n"/>
    </row>
    <row r="125">
      <c r="A125" s="962" t="n"/>
      <c r="B125" s="964" t="n"/>
      <c r="C125" s="964" t="n"/>
      <c r="D125" s="964" t="n"/>
      <c r="E125" s="964" t="n"/>
      <c r="F125" s="964" t="n"/>
      <c r="G125" s="964" t="n"/>
      <c r="H125" s="964" t="n"/>
      <c r="I125" s="964" t="n"/>
      <c r="J125" s="963" t="n"/>
    </row>
    <row r="126">
      <c r="A126" s="962" t="n"/>
      <c r="B126" s="964" t="n"/>
      <c r="C126" s="964" t="n"/>
      <c r="D126" s="964" t="n"/>
      <c r="E126" s="964" t="n"/>
      <c r="F126" s="964" t="n"/>
      <c r="G126" s="964" t="n"/>
      <c r="H126" s="964" t="n"/>
      <c r="I126" s="964" t="n"/>
      <c r="J126" s="963" t="n"/>
    </row>
    <row r="127">
      <c r="A127" s="962" t="n"/>
      <c r="B127" s="964" t="n"/>
      <c r="C127" s="964" t="n"/>
      <c r="D127" s="964" t="n"/>
      <c r="E127" s="964" t="n"/>
      <c r="F127" s="964" t="n"/>
      <c r="G127" s="964" t="n"/>
      <c r="H127" s="964" t="n"/>
      <c r="I127" s="964" t="n"/>
      <c r="J127" s="96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27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34" customWidth="1" min="1" max="1"/>
    <col width="28" customWidth="1" min="2" max="2"/>
    <col width="31" customWidth="1" min="3" max="3"/>
    <col width="43" customWidth="1" min="4" max="4"/>
    <col width="34" customWidth="1" min="5" max="5"/>
    <col width="31" customWidth="1" min="6" max="6"/>
    <col width="32" customWidth="1" min="7" max="7"/>
    <col width="31" customWidth="1" min="8" max="9"/>
  </cols>
  <sheetData>
    <row r="1">
      <c r="A1" s="883" t="n"/>
      <c r="B1" s="884" t="inlineStr">
        <is>
          <t>May</t>
        </is>
      </c>
      <c r="C1" s="884" t="inlineStr">
        <is>
          <t>June</t>
        </is>
      </c>
      <c r="D1" s="884" t="inlineStr">
        <is>
          <t>July</t>
        </is>
      </c>
      <c r="E1" s="884" t="inlineStr">
        <is>
          <t>August</t>
        </is>
      </c>
      <c r="F1" s="884" t="inlineStr">
        <is>
          <t>September</t>
        </is>
      </c>
      <c r="G1" s="884" t="inlineStr">
        <is>
          <t>October</t>
        </is>
      </c>
      <c r="H1" s="884" t="inlineStr">
        <is>
          <t>November</t>
        </is>
      </c>
      <c r="I1" s="885" t="inlineStr">
        <is>
          <t>December</t>
        </is>
      </c>
    </row>
    <row r="2" ht="14.5" customHeight="1">
      <c r="A2" s="886" t="inlineStr">
        <is>
          <t>Trades</t>
        </is>
      </c>
      <c r="B2" s="887" t="n">
        <v>10</v>
      </c>
      <c r="C2" s="887" t="n">
        <v>61</v>
      </c>
      <c r="D2" s="887" t="n">
        <v>39</v>
      </c>
      <c r="E2" s="887" t="n">
        <v>41</v>
      </c>
      <c r="F2" s="887" t="n">
        <v>74</v>
      </c>
      <c r="G2" s="887" t="n">
        <v>61</v>
      </c>
      <c r="H2" s="887" t="n">
        <v>36</v>
      </c>
      <c r="I2" s="888" t="n">
        <v>58</v>
      </c>
    </row>
    <row r="3" ht="14.5" customHeight="1">
      <c r="A3" s="889" t="inlineStr">
        <is>
          <t>Wins</t>
        </is>
      </c>
      <c r="B3" s="890" t="n">
        <v>1</v>
      </c>
      <c r="C3" s="890" t="n">
        <v>15</v>
      </c>
      <c r="D3" s="890" t="n">
        <v>13</v>
      </c>
      <c r="E3" s="890" t="n">
        <v>16</v>
      </c>
      <c r="F3" s="890" t="n">
        <v>26</v>
      </c>
      <c r="G3" s="890" t="n">
        <v>23</v>
      </c>
      <c r="H3" s="890" t="n">
        <v>9</v>
      </c>
      <c r="I3" s="891" t="n">
        <v>20</v>
      </c>
    </row>
    <row r="4" ht="14.5" customHeight="1">
      <c r="A4" s="889" t="inlineStr">
        <is>
          <t>Losses</t>
        </is>
      </c>
      <c r="B4" s="892" t="n">
        <v>9</v>
      </c>
      <c r="C4" s="892" t="n">
        <v>46</v>
      </c>
      <c r="D4" s="892" t="n">
        <v>23</v>
      </c>
      <c r="E4" s="892" t="n">
        <v>22</v>
      </c>
      <c r="F4" s="892" t="n">
        <v>48</v>
      </c>
      <c r="G4" s="892" t="n">
        <v>37</v>
      </c>
      <c r="H4" s="892" t="n">
        <v>27</v>
      </c>
      <c r="I4" s="893" t="n">
        <v>36</v>
      </c>
    </row>
    <row r="5" ht="14.5" customHeight="1">
      <c r="A5" s="889" t="inlineStr">
        <is>
          <t>Break-even</t>
        </is>
      </c>
      <c r="B5" s="887" t="n">
        <v>0</v>
      </c>
      <c r="C5" s="887" t="n">
        <v>0</v>
      </c>
      <c r="D5" s="887" t="n">
        <v>3</v>
      </c>
      <c r="E5" s="887" t="n">
        <v>3</v>
      </c>
      <c r="F5" s="887" t="n">
        <v>0</v>
      </c>
      <c r="G5" s="887" t="n">
        <v>1</v>
      </c>
      <c r="H5" s="887" t="n">
        <v>0</v>
      </c>
      <c r="I5" s="888" t="n">
        <v>2</v>
      </c>
    </row>
    <row r="6" ht="14.5" customHeight="1">
      <c r="A6" s="889" t="inlineStr">
        <is>
          <t>Test</t>
        </is>
      </c>
      <c r="B6" s="887" t="n">
        <v>0</v>
      </c>
      <c r="C6" s="887" t="n">
        <v>0</v>
      </c>
      <c r="D6" s="887" t="n">
        <v>0</v>
      </c>
      <c r="E6" s="887" t="n">
        <v>0</v>
      </c>
      <c r="F6" s="887" t="n">
        <v>0</v>
      </c>
      <c r="G6" s="887" t="n">
        <v>0</v>
      </c>
      <c r="H6" s="887" t="n">
        <v>0</v>
      </c>
      <c r="I6" s="888" t="n">
        <v>0</v>
      </c>
    </row>
    <row r="7" ht="14.5" customHeight="1">
      <c r="A7" s="886" t="inlineStr">
        <is>
          <t>Win rate</t>
        </is>
      </c>
      <c r="B7" s="894" t="n">
        <v>0.1</v>
      </c>
      <c r="C7" s="894" t="n">
        <v>0.2459016393442623</v>
      </c>
      <c r="D7" s="894" t="n">
        <v>0.3333333333333333</v>
      </c>
      <c r="E7" s="894" t="n">
        <v>0.3902439024390244</v>
      </c>
      <c r="F7" s="894" t="n">
        <v>0.3513513513513514</v>
      </c>
      <c r="G7" s="894" t="n">
        <v>0.3770491803278688</v>
      </c>
      <c r="H7" s="894" t="n">
        <v>0.25</v>
      </c>
      <c r="I7" s="895" t="n">
        <v>0.3448275862068966</v>
      </c>
    </row>
    <row r="8" ht="14.5" customHeight="1">
      <c r="A8" s="886" t="inlineStr">
        <is>
          <t>Net P/L</t>
        </is>
      </c>
      <c r="B8" s="896" t="n">
        <v>-0.06659244745078043</v>
      </c>
      <c r="C8" s="896" t="n">
        <v>-0.1029275675156582</v>
      </c>
      <c r="D8" s="897" t="n">
        <v>0.03884262970753071</v>
      </c>
      <c r="E8" s="897" t="n">
        <v>0.07983997594276593</v>
      </c>
      <c r="F8" s="896" t="n">
        <v>-0.1613938176818261</v>
      </c>
      <c r="G8" s="897" t="n">
        <v>0.0105141823676526</v>
      </c>
      <c r="H8" s="896" t="n">
        <v>-0.02066176718005066</v>
      </c>
      <c r="I8" s="898" t="n">
        <v>-0.001819116166596715</v>
      </c>
    </row>
    <row r="9" ht="14.5" customHeight="1">
      <c r="A9" s="886" t="inlineStr">
        <is>
          <t>Gross percent gain</t>
        </is>
      </c>
      <c r="B9" s="897" t="n">
        <v>0.002523128679562657</v>
      </c>
      <c r="C9" s="897" t="n">
        <v>0.2293773729350607</v>
      </c>
      <c r="D9" s="897" t="n">
        <v>0.2231298552109805</v>
      </c>
      <c r="E9" s="897" t="n">
        <v>0.1495188289353367</v>
      </c>
      <c r="F9" s="897" t="n">
        <v>0.1809655039472386</v>
      </c>
      <c r="G9" s="897" t="n">
        <v>0.1102054496034963</v>
      </c>
      <c r="H9" s="897" t="n">
        <v>0.04582243152870093</v>
      </c>
      <c r="I9" s="968" t="n">
        <v>0.2188407739104629</v>
      </c>
    </row>
    <row r="10" ht="14.5" customHeight="1">
      <c r="A10" s="886" t="inlineStr">
        <is>
          <t>Gross percent loss</t>
        </is>
      </c>
      <c r="B10" s="896" t="n">
        <v>0.06911557613034308</v>
      </c>
      <c r="C10" s="896" t="n">
        <v>0.3323049404507188</v>
      </c>
      <c r="D10" s="896" t="n">
        <v>0.1842872255034498</v>
      </c>
      <c r="E10" s="896" t="n">
        <v>0.06967885299257076</v>
      </c>
      <c r="F10" s="896" t="n">
        <v>0.3423593216290647</v>
      </c>
      <c r="G10" s="896" t="n">
        <v>0.09969126723584366</v>
      </c>
      <c r="H10" s="896" t="n">
        <v>0.06648419870875159</v>
      </c>
      <c r="I10" s="898" t="n">
        <v>0.2206598900770596</v>
      </c>
    </row>
    <row r="11" ht="14.5" customHeight="1">
      <c r="A11" s="886" t="inlineStr">
        <is>
          <t>Gross IR gain</t>
        </is>
      </c>
      <c r="B11" s="900" t="n">
        <v>1.600000000000666</v>
      </c>
      <c r="C11" s="900" t="n">
        <v>28.55300751879773</v>
      </c>
      <c r="D11" s="900" t="n">
        <v>30.51817115252023</v>
      </c>
      <c r="E11" s="900" t="n">
        <v>30.35584582126266</v>
      </c>
      <c r="F11" s="900" t="n">
        <v>36.25422067311522</v>
      </c>
      <c r="G11" s="900" t="n">
        <v>36.13889661986022</v>
      </c>
      <c r="H11" s="900" t="n">
        <v>15.66679200701365</v>
      </c>
      <c r="I11" s="901" t="n">
        <v>29.5818316624899</v>
      </c>
    </row>
    <row r="12" ht="14.5" customHeight="1">
      <c r="A12" s="886" t="inlineStr">
        <is>
          <t>Gross IR loss</t>
        </is>
      </c>
      <c r="B12" s="902" t="n">
        <v>7.045000000001065</v>
      </c>
      <c r="C12" s="902" t="n">
        <v>35.07929765023414</v>
      </c>
      <c r="D12" s="902" t="n">
        <v>19.33204481792604</v>
      </c>
      <c r="E12" s="902" t="n">
        <v>19.39742063492151</v>
      </c>
      <c r="F12" s="902" t="n">
        <v>42.05332910553491</v>
      </c>
      <c r="G12" s="902" t="n">
        <v>33.49012815615635</v>
      </c>
      <c r="H12" s="902" t="n">
        <v>21.84621794871775</v>
      </c>
      <c r="I12" s="903" t="n">
        <v>25.24675316371573</v>
      </c>
    </row>
    <row r="13" ht="14.5" customHeight="1">
      <c r="A13" s="886" t="inlineStr">
        <is>
          <t>Best Win Streak</t>
        </is>
      </c>
      <c r="B13" s="890" t="n">
        <v>1</v>
      </c>
      <c r="C13" s="890" t="n">
        <v>4</v>
      </c>
      <c r="D13" s="890" t="n">
        <v>2</v>
      </c>
      <c r="E13" s="890" t="n">
        <v>4</v>
      </c>
      <c r="F13" s="890" t="n">
        <v>3</v>
      </c>
      <c r="G13" s="890" t="n">
        <v>5</v>
      </c>
      <c r="H13" s="890" t="n">
        <v>2</v>
      </c>
      <c r="I13" s="891" t="n">
        <v>3</v>
      </c>
    </row>
    <row r="14" ht="14.5" customHeight="1">
      <c r="A14" s="889" t="inlineStr">
        <is>
          <t>Start</t>
        </is>
      </c>
      <c r="B14" s="661" t="inlineStr">
        <is>
          <t>2018-05-30 00:25:00</t>
        </is>
      </c>
      <c r="C14" s="661" t="inlineStr">
        <is>
          <t>2018-06-02 03:59:00</t>
        </is>
      </c>
      <c r="D14" s="661" t="inlineStr">
        <is>
          <t>2018-07-04 11:34:00</t>
        </is>
      </c>
      <c r="E14" s="661" t="inlineStr">
        <is>
          <t>2018-08-10 22:31:00</t>
        </is>
      </c>
      <c r="F14" s="661" t="inlineStr">
        <is>
          <t>2018-09-03 11:32:00</t>
        </is>
      </c>
      <c r="G14" s="661" t="inlineStr">
        <is>
          <t>2018-10-29 22:34:00</t>
        </is>
      </c>
      <c r="H14" s="661" t="inlineStr">
        <is>
          <t>2018-11-09 12:30:00</t>
        </is>
      </c>
      <c r="I14" s="904" t="inlineStr">
        <is>
          <t>2018-12-20 23:20:00</t>
        </is>
      </c>
    </row>
    <row r="15" ht="14.5" customHeight="1">
      <c r="A15" s="889" t="inlineStr">
        <is>
          <t>End</t>
        </is>
      </c>
      <c r="B15" s="661" t="inlineStr">
        <is>
          <t>2018-05-30 00:25:00</t>
        </is>
      </c>
      <c r="C15" s="661" t="inlineStr">
        <is>
          <t>2018-06-07 20:25:00</t>
        </is>
      </c>
      <c r="D15" s="661" t="inlineStr">
        <is>
          <t>2018-07-05 02:51:00</t>
        </is>
      </c>
      <c r="E15" s="661" t="inlineStr">
        <is>
          <t>2018-08-14 18:31:00</t>
        </is>
      </c>
      <c r="F15" s="661" t="inlineStr">
        <is>
          <t>2018-09-03 18:30:48</t>
        </is>
      </c>
      <c r="G15" s="661" t="inlineStr">
        <is>
          <t>2018-10-30 19:39:00</t>
        </is>
      </c>
      <c r="H15" s="661" t="inlineStr">
        <is>
          <t>2018-11-09 18:55:00</t>
        </is>
      </c>
      <c r="I15" s="904" t="inlineStr">
        <is>
          <t>2018-12-21 01:51:00</t>
        </is>
      </c>
    </row>
    <row r="16" ht="14.5" customHeight="1">
      <c r="A16" s="886" t="inlineStr">
        <is>
          <t>Worst Losing Streak</t>
        </is>
      </c>
      <c r="B16" s="892" t="n">
        <v>6</v>
      </c>
      <c r="C16" s="892" t="n">
        <v>14</v>
      </c>
      <c r="D16" s="892" t="n">
        <v>7</v>
      </c>
      <c r="E16" s="892" t="n">
        <v>3</v>
      </c>
      <c r="F16" s="892" t="n">
        <v>9</v>
      </c>
      <c r="G16" s="892" t="n">
        <v>7</v>
      </c>
      <c r="H16" s="892" t="n">
        <v>7</v>
      </c>
      <c r="I16" s="893" t="n">
        <v>4</v>
      </c>
    </row>
    <row r="17" ht="14.5" customHeight="1">
      <c r="A17" s="889" t="inlineStr">
        <is>
          <t>Start</t>
        </is>
      </c>
      <c r="B17" s="661" t="inlineStr">
        <is>
          <t>2018-05-29 09:26:00</t>
        </is>
      </c>
      <c r="C17" s="661" t="inlineStr">
        <is>
          <t>2018-06-11 19:15:00</t>
        </is>
      </c>
      <c r="D17" s="661" t="inlineStr">
        <is>
          <t>2018-07-11 23:59:48</t>
        </is>
      </c>
      <c r="E17" s="661" t="inlineStr">
        <is>
          <t>2018-08-01 18:59:00</t>
        </is>
      </c>
      <c r="F17" s="661" t="inlineStr">
        <is>
          <t>2018-09-05 14:10:00</t>
        </is>
      </c>
      <c r="G17" s="661" t="inlineStr">
        <is>
          <t>2018-10-12 23:45:00</t>
        </is>
      </c>
      <c r="H17" s="661" t="inlineStr">
        <is>
          <t>2018-11-01 00:16:00</t>
        </is>
      </c>
      <c r="I17" s="904" t="inlineStr">
        <is>
          <t>2018-12-05 10:30:00</t>
        </is>
      </c>
    </row>
    <row r="18" ht="14.5" customHeight="1">
      <c r="A18" s="889" t="inlineStr">
        <is>
          <t>End</t>
        </is>
      </c>
      <c r="B18" s="661" t="inlineStr">
        <is>
          <t>2018-05-30 00:17:00</t>
        </is>
      </c>
      <c r="C18" s="661" t="inlineStr">
        <is>
          <t>2018-06-12 22:09:00</t>
        </is>
      </c>
      <c r="D18" s="661" t="inlineStr">
        <is>
          <t>2018-07-17 18:30:48</t>
        </is>
      </c>
      <c r="E18" s="661" t="inlineStr">
        <is>
          <t>2018-08-02 16:06:00</t>
        </is>
      </c>
      <c r="F18" s="661" t="inlineStr">
        <is>
          <t>2018-09-07 00:05:59</t>
        </is>
      </c>
      <c r="G18" s="661" t="inlineStr">
        <is>
          <t>2018-10-16 13:02:00</t>
        </is>
      </c>
      <c r="H18" s="661" t="inlineStr">
        <is>
          <t>2018-11-03 00:24:00</t>
        </is>
      </c>
      <c r="I18" s="904" t="inlineStr">
        <is>
          <t>2018-12-07 14:10:00</t>
        </is>
      </c>
    </row>
    <row r="19" ht="14.5" customHeight="1">
      <c r="A19" s="886" t="inlineStr">
        <is>
          <t>Percentage expectancy</t>
        </is>
      </c>
      <c r="B19" s="896" t="n">
        <v>-0.006659244745078043</v>
      </c>
      <c r="C19" s="896" t="n">
        <v>-0.001687337172387839</v>
      </c>
      <c r="D19" s="906" t="n">
        <v>0.0009959648642956591</v>
      </c>
      <c r="E19" s="897" t="n">
        <v>0.001947316486408925</v>
      </c>
      <c r="F19" s="896" t="n">
        <v>-0.002180997536240894</v>
      </c>
      <c r="G19" s="906" t="n">
        <v>0.0001723636453713541</v>
      </c>
      <c r="H19" s="905" t="n">
        <v>-0.0005739379772236294</v>
      </c>
      <c r="I19" s="969" t="n">
        <v>-3.136407183787441e-05</v>
      </c>
    </row>
    <row r="20" ht="14.5" customHeight="1">
      <c r="A20" s="907" t="inlineStr">
        <is>
          <t>R expectancy</t>
        </is>
      </c>
      <c r="B20" s="909" t="n">
        <v>-0.54450000000004</v>
      </c>
      <c r="C20" s="909" t="n">
        <v>-0.118659820571571</v>
      </c>
      <c r="D20" s="970" t="n">
        <v>0.3023277387728159</v>
      </c>
      <c r="E20" s="970" t="n">
        <v>0.2809852611882347</v>
      </c>
      <c r="F20" s="910" t="n">
        <v>-0.08054317267249576</v>
      </c>
      <c r="G20" s="908" t="n">
        <v>0.04414614106173122</v>
      </c>
      <c r="H20" s="909" t="n">
        <v>-0.1716507206028917</v>
      </c>
      <c r="I20" s="971" t="n">
        <v>0.07474273273748583</v>
      </c>
    </row>
    <row r="21" ht="14.5" customHeight="1">
      <c r="A21" s="913" t="inlineStr">
        <is>
          <t>Avg stop %</t>
        </is>
      </c>
      <c r="B21" s="914" t="n">
        <v>0.0003387370955995353</v>
      </c>
      <c r="C21" s="914" t="n">
        <v>0.000649775730573909</v>
      </c>
      <c r="D21" s="914" t="n">
        <v>0.0006686211642934762</v>
      </c>
      <c r="E21" s="914" t="n">
        <v>0.0005489004900634612</v>
      </c>
      <c r="F21" s="914" t="n">
        <v>0.0007500928810494833</v>
      </c>
      <c r="G21" s="915" t="n">
        <v>0.001120086778695576</v>
      </c>
      <c r="H21" s="915" t="n">
        <v>0.001205936718608002</v>
      </c>
      <c r="I21" s="916" t="n">
        <v>0.001031107696740399</v>
      </c>
    </row>
    <row r="22" ht="14.5" customHeight="1">
      <c r="A22" s="889" t="inlineStr">
        <is>
          <t>Avg target %</t>
        </is>
      </c>
      <c r="B22" s="933" t="n">
        <v>0.0006751847596973649</v>
      </c>
      <c r="C22" s="894" t="n">
        <v>0.00145018246395278</v>
      </c>
      <c r="D22" s="894" t="n">
        <v>0.001744161678914976</v>
      </c>
      <c r="E22" s="894" t="n">
        <v>0.001350371043227207</v>
      </c>
      <c r="F22" s="894" t="n">
        <v>0.001837400111683642</v>
      </c>
      <c r="G22" s="894" t="n">
        <v>0.002419802135833459</v>
      </c>
      <c r="H22" s="894" t="n">
        <v>0.002407606169718047</v>
      </c>
      <c r="I22" s="895" t="n">
        <v>0.002086301146529613</v>
      </c>
    </row>
    <row r="23" ht="14.5" customHeight="1">
      <c r="A23" s="889" t="inlineStr">
        <is>
          <t>Min stop %</t>
        </is>
      </c>
      <c r="B23" s="917" t="inlineStr">
        <is>
          <t>0.013% - EURAUD 2018-05-29</t>
        </is>
      </c>
      <c r="C23" s="917" t="inlineStr">
        <is>
          <t>0.013% - AUDUSD 2018-06-12</t>
        </is>
      </c>
      <c r="D23" s="917" t="inlineStr">
        <is>
          <t>0.023% - GBPUSD 2018-07-17</t>
        </is>
      </c>
      <c r="E23" s="917" t="inlineStr">
        <is>
          <t>0.0078% - GBPUSD 2018-08-24</t>
        </is>
      </c>
      <c r="F23" s="917" t="inlineStr">
        <is>
          <t>0.0076% - USDCAD 2018-09-07</t>
        </is>
      </c>
      <c r="G23" s="917" t="inlineStr">
        <is>
          <t>0.016% - USDCAD 2018-10-03</t>
        </is>
      </c>
      <c r="H23" s="917" t="inlineStr">
        <is>
          <t>0.035% - USDJPY 2018-11-01</t>
        </is>
      </c>
      <c r="I23" s="918" t="inlineStr">
        <is>
          <t>0.037% - USDCAD 2018-12-18</t>
        </is>
      </c>
    </row>
    <row r="24" ht="14.5" customHeight="1">
      <c r="A24" s="889" t="inlineStr">
        <is>
          <t>Max stop %</t>
        </is>
      </c>
      <c r="B24" s="917" t="inlineStr">
        <is>
          <t>0.065% - EURAUD 2018-05-29</t>
        </is>
      </c>
      <c r="C24" s="917" t="inlineStr">
        <is>
          <t>0.45% - AUDUSD 2018-06-12</t>
        </is>
      </c>
      <c r="D24" s="917" t="inlineStr">
        <is>
          <t>0.24% - AUDCAD 2018-07-04</t>
        </is>
      </c>
      <c r="E24" s="917" t="inlineStr">
        <is>
          <t>0.13% - NZDUSD 2018-08-22</t>
        </is>
      </c>
      <c r="F24" s="917" t="inlineStr">
        <is>
          <t>0.24% - AUDUSD 2018-09-13</t>
        </is>
      </c>
      <c r="G24" s="917" t="inlineStr">
        <is>
          <t>0.61% - USDCHF 2018-10-15</t>
        </is>
      </c>
      <c r="H24" s="917" t="inlineStr">
        <is>
          <t>0.30% - AUDUSD 2018-11-21</t>
        </is>
      </c>
      <c r="I24" s="918" t="inlineStr">
        <is>
          <t>0.24% - GBPUSD 2018-12-12</t>
        </is>
      </c>
    </row>
    <row r="25" ht="14.5" customHeight="1">
      <c r="A25" s="889" t="inlineStr">
        <is>
          <t>Min target %</t>
        </is>
      </c>
      <c r="B25" s="917" t="inlineStr">
        <is>
          <t>0.026% - EURAUD 2018-05-29</t>
        </is>
      </c>
      <c r="C25" s="917" t="inlineStr">
        <is>
          <t>0.040% - GBPAUD 2018-06-11</t>
        </is>
      </c>
      <c r="D25" s="917" t="inlineStr">
        <is>
          <t>0.043% - EURUSD 2018-07-24</t>
        </is>
      </c>
      <c r="E25" s="917" t="inlineStr">
        <is>
          <t>0.023% - GBPUSD 2018-08-24</t>
        </is>
      </c>
      <c r="F25" s="917" t="inlineStr">
        <is>
          <t>0.030% - USDCAD 2018-09-07</t>
        </is>
      </c>
      <c r="G25" s="917" t="inlineStr">
        <is>
          <t>0.039% - USDCAD 2018-10-03</t>
        </is>
      </c>
      <c r="H25" s="917" t="inlineStr">
        <is>
          <t>0.071% - USDJPY 2018-11-01</t>
        </is>
      </c>
      <c r="I25" s="918" t="inlineStr">
        <is>
          <t>0.082% - USDCAD 2018-12-18</t>
        </is>
      </c>
    </row>
    <row r="26" ht="14.5" customHeight="1">
      <c r="A26" s="919" t="inlineStr">
        <is>
          <t>Max target %</t>
        </is>
      </c>
      <c r="B26" s="920" t="inlineStr">
        <is>
          <t>0.11% - AUDUSD 2018-05-30</t>
        </is>
      </c>
      <c r="C26" s="920" t="inlineStr">
        <is>
          <t>0.39% - AUDCAD 2018-06-08</t>
        </is>
      </c>
      <c r="D26" s="920" t="inlineStr">
        <is>
          <t>0.47% - AUDCAD 2018-07-04</t>
        </is>
      </c>
      <c r="E26" s="920" t="inlineStr">
        <is>
          <t>0.55% - USDCAD 2018-08-10</t>
        </is>
      </c>
      <c r="F26" s="920" t="inlineStr">
        <is>
          <t>0.45% - GBPUSD 2018-09-03</t>
        </is>
      </c>
      <c r="G26" s="920" t="inlineStr">
        <is>
          <t>1.21% - USDCHF 2018-10-15</t>
        </is>
      </c>
      <c r="H26" s="920" t="inlineStr">
        <is>
          <t>0.61% - AUDUSD 2018-11-21</t>
        </is>
      </c>
      <c r="I26" s="921" t="inlineStr">
        <is>
          <t>0.51% - GBPUSD 2018-12-12</t>
        </is>
      </c>
    </row>
    <row r="27" ht="14.5" customHeight="1">
      <c r="A27" s="913" t="inlineStr">
        <is>
          <t>Avg duration (DD:HH:MM:SS)</t>
        </is>
      </c>
      <c r="B27" s="922" t="inlineStr">
        <is>
          <t>2M 42S</t>
        </is>
      </c>
      <c r="C27" s="922" t="inlineStr">
        <is>
          <t>18M 51S</t>
        </is>
      </c>
      <c r="D27" s="922" t="inlineStr">
        <is>
          <t>2H 29M 48S</t>
        </is>
      </c>
      <c r="E27" s="922" t="inlineStr">
        <is>
          <t>35M 46S</t>
        </is>
      </c>
      <c r="F27" s="922" t="inlineStr">
        <is>
          <t>39M 55S</t>
        </is>
      </c>
      <c r="G27" s="922" t="inlineStr">
        <is>
          <t>2H 27M 59S</t>
        </is>
      </c>
      <c r="H27" s="922" t="inlineStr">
        <is>
          <t>49M 30S</t>
        </is>
      </c>
      <c r="I27" s="923" t="inlineStr">
        <is>
          <t>53M 57S</t>
        </is>
      </c>
    </row>
    <row r="28" ht="14.5" customHeight="1">
      <c r="A28" s="889" t="inlineStr">
        <is>
          <t>Move to Break Even (DD:HH:MM:SS)</t>
        </is>
      </c>
      <c r="B28" s="917" t="inlineStr"/>
      <c r="C28" s="917" t="inlineStr"/>
      <c r="D28" s="917" t="inlineStr">
        <is>
          <t>2H 7M 35S</t>
        </is>
      </c>
      <c r="E28" s="917" t="inlineStr">
        <is>
          <t>52M 37S</t>
        </is>
      </c>
      <c r="F28" s="917" t="inlineStr"/>
      <c r="G28" s="917" t="inlineStr">
        <is>
          <t>1H 13M 0S</t>
        </is>
      </c>
      <c r="H28" s="917" t="inlineStr"/>
      <c r="I28" s="918" t="inlineStr">
        <is>
          <t>34M 22S</t>
        </is>
      </c>
    </row>
    <row r="29" ht="14.5" customHeight="1">
      <c r="A29" s="919" t="inlineStr">
        <is>
          <t>Move to Profit (DD:HH:MM:SS)</t>
        </is>
      </c>
      <c r="B29" s="920" t="inlineStr"/>
      <c r="C29" s="920" t="inlineStr"/>
      <c r="D29" s="920" t="inlineStr">
        <is>
          <t>34M 31S</t>
        </is>
      </c>
      <c r="E29" s="920" t="inlineStr">
        <is>
          <t>1H 8M 40S</t>
        </is>
      </c>
      <c r="F29" s="920" t="inlineStr"/>
      <c r="G29" s="920" t="inlineStr"/>
      <c r="H29" s="920" t="inlineStr"/>
      <c r="I29" s="921" t="inlineStr"/>
    </row>
    <row r="30" ht="14.5" customHeight="1">
      <c r="A30" s="924" t="inlineStr">
        <is>
          <t>Max win %</t>
        </is>
      </c>
      <c r="B30" s="925" t="inlineStr">
        <is>
          <t>0.25% - AUDUSD 2018-05-30</t>
        </is>
      </c>
      <c r="C30" s="925" t="inlineStr">
        <is>
          <t>3.03% - AUDCAD 2018-06-22</t>
        </is>
      </c>
      <c r="D30" s="925" t="inlineStr">
        <is>
          <t>4.48% - USDCAD 2018-07-20</t>
        </is>
      </c>
      <c r="E30" s="925" t="inlineStr">
        <is>
          <t>3.28% - USDCAD 2018-08-30</t>
        </is>
      </c>
      <c r="F30" s="925" t="inlineStr">
        <is>
          <t>3.29% - AUDUSD 2018-09-05</t>
        </is>
      </c>
      <c r="G30" s="925" t="inlineStr">
        <is>
          <t>1.96% - USDJPY 2018-10-08</t>
        </is>
      </c>
      <c r="H30" s="925" t="inlineStr">
        <is>
          <t>0.72% - GBPUSD 2018-11-09</t>
        </is>
      </c>
      <c r="I30" s="926" t="inlineStr">
        <is>
          <t>2.31% - GBPUSD 2018-12-12</t>
        </is>
      </c>
    </row>
    <row r="31" ht="14.5" customHeight="1">
      <c r="A31" s="886" t="inlineStr">
        <is>
          <t>Max loss %</t>
        </is>
      </c>
      <c r="B31" s="927" t="inlineStr">
        <is>
          <t>-1.00% - AUDUSD 2018-05-30</t>
        </is>
      </c>
      <c r="C31" s="927" t="inlineStr">
        <is>
          <t>-1.77% - AUDUSD 2018-06-14</t>
        </is>
      </c>
      <c r="D31" s="927" t="inlineStr">
        <is>
          <t>-1.16% - AUDUSD 2018-07-25</t>
        </is>
      </c>
      <c r="E31" s="927" t="inlineStr">
        <is>
          <t>-0.52% - USDCAD 2018-08-09</t>
        </is>
      </c>
      <c r="F31" s="927" t="inlineStr">
        <is>
          <t>-6.02% - NZDUSD 2018-09-20</t>
        </is>
      </c>
      <c r="G31" s="927" t="inlineStr">
        <is>
          <t>-1.01% - USDCAD 2018-10-10</t>
        </is>
      </c>
      <c r="H31" s="927" t="inlineStr">
        <is>
          <t>-0.37% - USDCAD 2018-11-02</t>
        </is>
      </c>
      <c r="I31" s="928" t="inlineStr">
        <is>
          <t>-1.01% - USDCHF 2018-12-18</t>
        </is>
      </c>
    </row>
    <row r="32" ht="14.5" customHeight="1">
      <c r="A32" s="886" t="inlineStr">
        <is>
          <t>Max R loss</t>
        </is>
      </c>
      <c r="B32" s="927" t="inlineStr">
        <is>
          <t>-1.45R - EURAUD 2018-05-29</t>
        </is>
      </c>
      <c r="C32" s="927" t="inlineStr">
        <is>
          <t>-1.17R - EURAUD 2018-06-11</t>
        </is>
      </c>
      <c r="D32" s="927" t="inlineStr">
        <is>
          <t>-1.13R - USDCAD 2018-07-12</t>
        </is>
      </c>
      <c r="E32" s="927" t="inlineStr">
        <is>
          <t>-1.16R - GBPUSD 2018-08-02</t>
        </is>
      </c>
      <c r="F32" s="927" t="inlineStr">
        <is>
          <t>-2.79R - USDCAD 2018-09-06</t>
        </is>
      </c>
      <c r="G32" s="927" t="inlineStr">
        <is>
          <t>-1.15R - AUDUSD 2018-10-29</t>
        </is>
      </c>
      <c r="H32" s="927" t="inlineStr">
        <is>
          <t>-1.05R - GBPUSD 2018-11-12</t>
        </is>
      </c>
      <c r="I32" s="928" t="inlineStr">
        <is>
          <t>-1.20R - NZDUSD 2018-12-26</t>
        </is>
      </c>
    </row>
    <row r="33" ht="14.5" customHeight="1">
      <c r="A33" s="907" t="inlineStr">
        <is>
          <t>Max R win</t>
        </is>
      </c>
      <c r="B33" s="929" t="inlineStr">
        <is>
          <t>1.60R - AUDUSD 2018-05-30</t>
        </is>
      </c>
      <c r="C33" s="929" t="inlineStr">
        <is>
          <t>5.80R - AUDCAD 2018-06-22</t>
        </is>
      </c>
      <c r="D33" s="929" t="inlineStr">
        <is>
          <t>4.60R - USDCAD 2018-07-20</t>
        </is>
      </c>
      <c r="E33" s="929" t="inlineStr">
        <is>
          <t>4.76R - GBPUSD 2018-08-06</t>
        </is>
      </c>
      <c r="F33" s="929" t="inlineStr">
        <is>
          <t>4.01R - EURUSD 2018-09-28</t>
        </is>
      </c>
      <c r="G33" s="929" t="inlineStr">
        <is>
          <t>5.97R - USDCHF 2018-10-11</t>
        </is>
      </c>
      <c r="H33" s="929" t="inlineStr">
        <is>
          <t>2.06R - USDJPY 2018-11-03</t>
        </is>
      </c>
      <c r="I33" s="930" t="inlineStr">
        <is>
          <t>2.87R - GBPUSD 2018-12-12</t>
        </is>
      </c>
    </row>
    <row r="34" ht="14.5" customHeight="1">
      <c r="A34" s="913" t="inlineStr">
        <is>
          <t>Shortest (DD:HH:MM:SS)</t>
        </is>
      </c>
      <c r="B34" s="931" t="inlineStr">
        <is>
          <t>3S - EURAUD 2018-05-29</t>
        </is>
      </c>
      <c r="C34" s="931" t="inlineStr">
        <is>
          <t>5S - GBPAUD 2018-06-07</t>
        </is>
      </c>
      <c r="D34" s="931" t="inlineStr">
        <is>
          <t>1S - USDCAD 2018-07-11</t>
        </is>
      </c>
      <c r="E34" s="931" t="inlineStr">
        <is>
          <t>1S - USDCAD 2018-08-17</t>
        </is>
      </c>
      <c r="F34" s="931" t="inlineStr">
        <is>
          <t>1S - GBPUSD 2018-09-05</t>
        </is>
      </c>
      <c r="G34" s="931" t="inlineStr">
        <is>
          <t>5S - AUDUSD 2018-10-15</t>
        </is>
      </c>
      <c r="H34" s="931" t="inlineStr">
        <is>
          <t>1S - GBPUSD 2018-11-09</t>
        </is>
      </c>
      <c r="I34" s="932" t="inlineStr">
        <is>
          <t>1S - USDCAD 2018-12-19</t>
        </is>
      </c>
    </row>
    <row r="35" ht="14.5" customHeight="1">
      <c r="A35" s="919" t="inlineStr">
        <is>
          <t>Longest (DD:HH:MM:SS)</t>
        </is>
      </c>
      <c r="B35" s="920" t="inlineStr">
        <is>
          <t>8M 0S - EURAUD 2018-05-29</t>
        </is>
      </c>
      <c r="C35" s="920" t="inlineStr">
        <is>
          <t>4H 45M 0S - AUDCAD 2018-06-16</t>
        </is>
      </c>
      <c r="D35" s="920" t="inlineStr">
        <is>
          <t>2D 16H 35M 0S - AUDJPY 2018-07-02</t>
        </is>
      </c>
      <c r="E35" s="920" t="inlineStr">
        <is>
          <t>6H 12M 0S - USDCHF 2018-08-29</t>
        </is>
      </c>
      <c r="F35" s="920" t="inlineStr">
        <is>
          <t>6H 13M 0S - USDCAD 2018-09-08</t>
        </is>
      </c>
      <c r="G35" s="920" t="inlineStr">
        <is>
          <t>15H 56M 0S - USDCHF 2018-10-11</t>
        </is>
      </c>
      <c r="H35" s="920" t="inlineStr">
        <is>
          <t>5H 19M 0S - AUDUSD 2018-11-28</t>
        </is>
      </c>
      <c r="I35" s="921" t="inlineStr">
        <is>
          <t>11H 8M 0S - EURUSD 2018-12-07</t>
        </is>
      </c>
    </row>
    <row r="36" ht="14.5" customHeight="1">
      <c r="A36" s="924" t="inlineStr">
        <is>
          <t>Winners</t>
        </is>
      </c>
      <c r="B36" s="931" t="inlineStr"/>
      <c r="C36" s="931" t="inlineStr"/>
      <c r="D36" s="931" t="inlineStr"/>
      <c r="E36" s="931" t="inlineStr"/>
      <c r="F36" s="931" t="inlineStr"/>
      <c r="G36" s="931" t="inlineStr"/>
      <c r="H36" s="931" t="inlineStr"/>
      <c r="I36" s="932" t="inlineStr"/>
    </row>
    <row r="37" ht="14.5" customHeight="1">
      <c r="A37" s="889" t="inlineStr">
        <is>
          <t>Avg stop %</t>
        </is>
      </c>
      <c r="B37" s="933" t="n">
        <v>0.0001328903654484904</v>
      </c>
      <c r="C37" s="933" t="n">
        <v>0.0005571454175956264</v>
      </c>
      <c r="D37" s="933" t="n">
        <v>0.0009097160142918489</v>
      </c>
      <c r="E37" s="933" t="n">
        <v>0.0006593693064465075</v>
      </c>
      <c r="F37" s="933" t="n">
        <v>0.0007697752239249994</v>
      </c>
      <c r="G37" s="894" t="n">
        <v>0.001086009217674902</v>
      </c>
      <c r="H37" s="894" t="n">
        <v>0.001322392896680346</v>
      </c>
      <c r="I37" s="895" t="n">
        <v>0.001040719479790425</v>
      </c>
    </row>
    <row r="38" ht="14.5" customHeight="1">
      <c r="A38" s="889" t="inlineStr">
        <is>
          <t>Avg target %</t>
        </is>
      </c>
      <c r="B38" s="662" t="inlineStr"/>
      <c r="C38" s="662" t="n">
        <v>0.001277304825167719</v>
      </c>
      <c r="D38" s="662" t="n">
        <v>0.002303582638956122</v>
      </c>
      <c r="E38" s="662" t="n">
        <v>0.001831657934092926</v>
      </c>
      <c r="F38" s="662" t="n">
        <v>0.001986920502426227</v>
      </c>
      <c r="G38" s="662" t="n">
        <v>0.002539930953704772</v>
      </c>
      <c r="H38" s="662" t="n">
        <v>0.002627716723369042</v>
      </c>
      <c r="I38" s="663" t="n">
        <v>0.002153361735850297</v>
      </c>
    </row>
    <row r="39" ht="14.5" customHeight="1">
      <c r="A39" s="889" t="inlineStr">
        <is>
          <t>Percentage expectancy</t>
        </is>
      </c>
      <c r="B39" s="897" t="n">
        <v>0.002523128679562657</v>
      </c>
      <c r="C39" s="897" t="n">
        <v>0.01529182486233738</v>
      </c>
      <c r="D39" s="897" t="n">
        <v>0.01716383501622927</v>
      </c>
      <c r="E39" s="897" t="n">
        <v>0.009344926808458543</v>
      </c>
      <c r="F39" s="897" t="n">
        <v>0.006960211690278408</v>
      </c>
      <c r="G39" s="897" t="n">
        <v>0.004791541287108533</v>
      </c>
      <c r="H39" s="897" t="n">
        <v>0.005091381280966769</v>
      </c>
      <c r="I39" s="968" t="n">
        <v>0.01094203869552314</v>
      </c>
    </row>
    <row r="40" ht="14.5" customHeight="1">
      <c r="A40" s="889" t="inlineStr">
        <is>
          <t>R expectancy</t>
        </is>
      </c>
      <c r="B40" s="900" t="n">
        <v>1.600000000000666</v>
      </c>
      <c r="C40" s="900" t="n">
        <v>2.314833959899797</v>
      </c>
      <c r="D40" s="900" t="n">
        <v>2.338149917715226</v>
      </c>
      <c r="E40" s="900" t="n">
        <v>1.943723054750854</v>
      </c>
      <c r="F40" s="900" t="n">
        <v>1.461733401062383</v>
      </c>
      <c r="G40" s="900" t="n">
        <v>1.569082461733053</v>
      </c>
      <c r="H40" s="900" t="n">
        <v>1.740754667445961</v>
      </c>
      <c r="I40" s="901" t="n">
        <v>1.479091583124495</v>
      </c>
    </row>
    <row r="41" ht="14.5" customHeight="1">
      <c r="A41" s="889" t="inlineStr">
        <is>
          <t>Winners min duration</t>
        </is>
      </c>
      <c r="B41" s="917" t="inlineStr">
        <is>
          <t>6M 0S - AUDUSD 2018-05-30</t>
        </is>
      </c>
      <c r="C41" s="917" t="inlineStr">
        <is>
          <t>1M 0S - AUDCAD 2018-06-22</t>
        </is>
      </c>
      <c r="D41" s="917" t="inlineStr">
        <is>
          <t>1M 0S - USDCAD 2018-07-20</t>
        </is>
      </c>
      <c r="E41" s="917" t="inlineStr">
        <is>
          <t>1S - USDCAD 2018-08-17</t>
        </is>
      </c>
      <c r="F41" s="917" t="inlineStr">
        <is>
          <t>1S - GBPUSD 2018-09-19</t>
        </is>
      </c>
      <c r="G41" s="917" t="inlineStr">
        <is>
          <t>2M 0S - USDCAD 2018-10-25</t>
        </is>
      </c>
      <c r="H41" s="917" t="inlineStr">
        <is>
          <t>7M 0S - EURUSD 2018-11-12</t>
        </is>
      </c>
      <c r="I41" s="918" t="inlineStr">
        <is>
          <t>44S - USDCAD 2018-12-07</t>
        </is>
      </c>
    </row>
    <row r="42" ht="14.5" customHeight="1">
      <c r="A42" s="889" t="inlineStr">
        <is>
          <t>Winners avg duration</t>
        </is>
      </c>
      <c r="B42" s="917" t="inlineStr">
        <is>
          <t>6M 0S</t>
        </is>
      </c>
      <c r="C42" s="917" t="inlineStr">
        <is>
          <t>23M 40S</t>
        </is>
      </c>
      <c r="D42" s="917" t="inlineStr">
        <is>
          <t>6H 57M 0S</t>
        </is>
      </c>
      <c r="E42" s="917" t="inlineStr">
        <is>
          <t>37M 58S</t>
        </is>
      </c>
      <c r="F42" s="917" t="inlineStr">
        <is>
          <t>1H 17M 20S</t>
        </is>
      </c>
      <c r="G42" s="917" t="inlineStr">
        <is>
          <t>4H 3M 57S</t>
        </is>
      </c>
      <c r="H42" s="917" t="inlineStr">
        <is>
          <t>1H 30M 0S</t>
        </is>
      </c>
      <c r="I42" s="918" t="inlineStr">
        <is>
          <t>1H 3M 29S</t>
        </is>
      </c>
    </row>
    <row r="43" ht="14.5" customHeight="1">
      <c r="A43" s="919" t="inlineStr">
        <is>
          <t>Winners max duration</t>
        </is>
      </c>
      <c r="B43" s="920" t="inlineStr">
        <is>
          <t>6M 0S - AUDUSD 2018-05-30</t>
        </is>
      </c>
      <c r="C43" s="920" t="inlineStr">
        <is>
          <t>1H 22M 0S - EURAUD 2018-06-30</t>
        </is>
      </c>
      <c r="D43" s="920" t="inlineStr">
        <is>
          <t>2D 16H 35M 0S - AUDJPY 2018-07-02</t>
        </is>
      </c>
      <c r="E43" s="920" t="inlineStr">
        <is>
          <t>5H 10M 0S - GBPUSD 2018-08-06</t>
        </is>
      </c>
      <c r="F43" s="920" t="inlineStr">
        <is>
          <t>6H 13M 0S - USDCAD 2018-09-08</t>
        </is>
      </c>
      <c r="G43" s="920" t="inlineStr">
        <is>
          <t>15H 56M 0S - USDCHF 2018-10-11</t>
        </is>
      </c>
      <c r="H43" s="920" t="inlineStr">
        <is>
          <t>5H 19M 0S - AUDUSD 2018-11-28</t>
        </is>
      </c>
      <c r="I43" s="921" t="inlineStr">
        <is>
          <t>2H 36M 0S - USDJPY 2018-12-10</t>
        </is>
      </c>
    </row>
    <row r="44" ht="14.5" customHeight="1">
      <c r="A44" s="924" t="inlineStr">
        <is>
          <t>Losers</t>
        </is>
      </c>
      <c r="B44" s="922" t="inlineStr"/>
      <c r="C44" s="922" t="inlineStr"/>
      <c r="D44" s="922" t="inlineStr"/>
      <c r="E44" s="922" t="inlineStr"/>
      <c r="F44" s="922" t="inlineStr"/>
      <c r="G44" s="922" t="inlineStr"/>
      <c r="H44" s="922" t="inlineStr"/>
      <c r="I44" s="923" t="inlineStr"/>
    </row>
    <row r="45" ht="14.5" customHeight="1">
      <c r="A45" s="889" t="inlineStr">
        <is>
          <t>Avg stop %</t>
        </is>
      </c>
      <c r="B45" s="933" t="n">
        <v>0.0003616089545052069</v>
      </c>
      <c r="C45" s="933" t="n">
        <v>0.000675626050474825</v>
      </c>
      <c r="D45" s="933" t="n">
        <v>0.0005403198533154193</v>
      </c>
      <c r="E45" s="933" t="n">
        <v>0.0004771551714105382</v>
      </c>
      <c r="F45" s="933" t="n">
        <v>0.0007402517096117252</v>
      </c>
      <c r="G45" s="894" t="n">
        <v>0.001129972419419798</v>
      </c>
      <c r="H45" s="894" t="n">
        <v>0.001167117992583888</v>
      </c>
      <c r="I45" s="895" t="n">
        <v>0.001005686965788815</v>
      </c>
    </row>
    <row r="46" ht="14.5" customHeight="1">
      <c r="A46" s="889" t="inlineStr">
        <is>
          <t>Avg target %</t>
        </is>
      </c>
      <c r="B46" s="972" t="n">
        <v>0.0006751847596973649</v>
      </c>
      <c r="C46" s="935" t="n">
        <v>0.001551875192649875</v>
      </c>
      <c r="D46" s="935" t="n">
        <v>0.001441236412817309</v>
      </c>
      <c r="E46" s="972" t="n">
        <v>0.0008563813791100922</v>
      </c>
      <c r="F46" s="935" t="n">
        <v>0.001759389473035336</v>
      </c>
      <c r="G46" s="935" t="n">
        <v>0.002277312892304775</v>
      </c>
      <c r="H46" s="935" t="n">
        <v>0.002334235985167716</v>
      </c>
      <c r="I46" s="936" t="n">
        <v>0.002006530458913706</v>
      </c>
    </row>
    <row r="47" ht="14.5" customHeight="1">
      <c r="A47" s="889" t="inlineStr">
        <is>
          <t>Percentage expectancy</t>
        </is>
      </c>
      <c r="B47" s="896" t="n">
        <v>-0.007679508458927009</v>
      </c>
      <c r="C47" s="896" t="n">
        <v>-0.007224020444580845</v>
      </c>
      <c r="D47" s="896" t="n">
        <v>-0.008012488065367383</v>
      </c>
      <c r="E47" s="896" t="n">
        <v>-0.003167220590571398</v>
      </c>
      <c r="F47" s="896" t="n">
        <v>-0.007132485867272181</v>
      </c>
      <c r="G47" s="896" t="n">
        <v>-0.002694358573941721</v>
      </c>
      <c r="H47" s="896" t="n">
        <v>-0.002462377729953763</v>
      </c>
      <c r="I47" s="898" t="n">
        <v>-0.006129441391029433</v>
      </c>
    </row>
    <row r="48" ht="14.5" customHeight="1">
      <c r="A48" s="889" t="inlineStr">
        <is>
          <t>R expectancy</t>
        </is>
      </c>
      <c r="B48" s="902" t="n">
        <v>-0.7827777777778961</v>
      </c>
      <c r="C48" s="902" t="n">
        <v>-0.8352213726246224</v>
      </c>
      <c r="D48" s="902" t="n">
        <v>-0.9205735627583829</v>
      </c>
      <c r="E48" s="902" t="n">
        <v>-0.9236866969010241</v>
      </c>
      <c r="F48" s="902" t="n">
        <v>-0.9345184245674425</v>
      </c>
      <c r="G48" s="902" t="n">
        <v>-0.9302813376710096</v>
      </c>
      <c r="H48" s="902" t="n">
        <v>-0.8091191832858426</v>
      </c>
      <c r="I48" s="903" t="n">
        <v>-0.7012986989921035</v>
      </c>
    </row>
    <row r="49" ht="14.5" customHeight="1">
      <c r="A49" s="889" t="inlineStr">
        <is>
          <t>Losers min duration</t>
        </is>
      </c>
      <c r="B49" s="661" t="inlineStr">
        <is>
          <t>3S - EURAUD 2018-05-29</t>
        </is>
      </c>
      <c r="C49" s="661" t="inlineStr">
        <is>
          <t>5S - GBPAUD 2018-06-07</t>
        </is>
      </c>
      <c r="D49" s="661" t="inlineStr">
        <is>
          <t>1S - USDCAD 2018-07-11</t>
        </is>
      </c>
      <c r="E49" s="661" t="inlineStr">
        <is>
          <t>8S - AUDUSD 2018-08-31</t>
        </is>
      </c>
      <c r="F49" s="661" t="inlineStr">
        <is>
          <t>1S - GBPUSD 2018-09-05</t>
        </is>
      </c>
      <c r="G49" s="661" t="inlineStr">
        <is>
          <t>5S - AUDUSD 2018-10-15</t>
        </is>
      </c>
      <c r="H49" s="661" t="inlineStr">
        <is>
          <t>1S - GBPUSD 2018-11-09</t>
        </is>
      </c>
      <c r="I49" s="904" t="inlineStr">
        <is>
          <t>1S - USDCAD 2018-12-19</t>
        </is>
      </c>
    </row>
    <row r="50" ht="14.5" customHeight="1">
      <c r="A50" s="889" t="inlineStr">
        <is>
          <t>Losers avg duration</t>
        </is>
      </c>
      <c r="B50" s="661" t="inlineStr">
        <is>
          <t>2M 20S</t>
        </is>
      </c>
      <c r="C50" s="661" t="inlineStr">
        <is>
          <t>17M 17S</t>
        </is>
      </c>
      <c r="D50" s="661" t="inlineStr">
        <is>
          <t>12M 48S</t>
        </is>
      </c>
      <c r="E50" s="661" t="inlineStr">
        <is>
          <t>20M 19S</t>
        </is>
      </c>
      <c r="F50" s="661" t="inlineStr">
        <is>
          <t>19M 39S</t>
        </is>
      </c>
      <c r="G50" s="661" t="inlineStr">
        <is>
          <t>1H 26M 36S</t>
        </is>
      </c>
      <c r="H50" s="661" t="inlineStr">
        <is>
          <t>36M 0S</t>
        </is>
      </c>
      <c r="I50" s="904" t="inlineStr">
        <is>
          <t>47M 36S</t>
        </is>
      </c>
    </row>
    <row r="51" ht="14.5" customHeight="1">
      <c r="A51" s="919" t="inlineStr">
        <is>
          <t>Losers max duration</t>
        </is>
      </c>
      <c r="B51" s="920" t="inlineStr">
        <is>
          <t>8M 0S - EURAUD 2018-05-29</t>
        </is>
      </c>
      <c r="C51" s="920" t="inlineStr">
        <is>
          <t>4H 45M 0S - AUDCAD 2018-06-16</t>
        </is>
      </c>
      <c r="D51" s="920" t="inlineStr">
        <is>
          <t>1H 1M 0S - AUDNZD 2018-07-03</t>
        </is>
      </c>
      <c r="E51" s="920" t="inlineStr">
        <is>
          <t>2H 12M 0S - NZDUSD 2018-08-30</t>
        </is>
      </c>
      <c r="F51" s="920" t="inlineStr">
        <is>
          <t>2H 49M 0S - USDJPY 2018-09-21</t>
        </is>
      </c>
      <c r="G51" s="920" t="inlineStr">
        <is>
          <t>9H 1M 0S - AUDUSD 2018-10-19</t>
        </is>
      </c>
      <c r="H51" s="920" t="inlineStr">
        <is>
          <t>5H 12M 0S - USDJPY 2018-11-08</t>
        </is>
      </c>
      <c r="I51" s="921" t="inlineStr">
        <is>
          <t>11H 8M 0S - EURUSD 2018-12-07</t>
        </is>
      </c>
    </row>
    <row r="52" ht="14.5" customHeight="1">
      <c r="A52" s="924" t="inlineStr">
        <is>
          <t>Drawdown</t>
        </is>
      </c>
      <c r="B52" s="922" t="inlineStr"/>
      <c r="C52" s="922" t="inlineStr"/>
      <c r="D52" s="922" t="inlineStr"/>
      <c r="E52" s="922" t="inlineStr"/>
      <c r="F52" s="922" t="inlineStr"/>
      <c r="G52" s="922" t="inlineStr"/>
      <c r="H52" s="922" t="inlineStr"/>
      <c r="I52" s="923" t="inlineStr"/>
    </row>
    <row r="53" ht="14.5" customHeight="1">
      <c r="A53" s="886" t="inlineStr">
        <is>
          <t>Max drawdown</t>
        </is>
      </c>
      <c r="B53" s="896" t="n">
        <v>0.05611060651932589</v>
      </c>
      <c r="C53" s="896" t="n">
        <v>0.1482866362751626</v>
      </c>
      <c r="D53" s="896" t="n">
        <v>0.04521844802916582</v>
      </c>
      <c r="E53" s="896" t="n">
        <v>0.01920799999999999</v>
      </c>
      <c r="F53" s="896" t="n">
        <v>0.1236326471950302</v>
      </c>
      <c r="G53" s="896" t="n">
        <v>0.02261347445552618</v>
      </c>
      <c r="H53" s="896" t="n">
        <v>0.01863900630436972</v>
      </c>
      <c r="I53" s="898" t="n">
        <v>0.04733410049865736</v>
      </c>
    </row>
    <row r="54" ht="14.5" customHeight="1">
      <c r="A54" s="889" t="inlineStr">
        <is>
          <t>Start</t>
        </is>
      </c>
      <c r="B54" s="937" t="inlineStr">
        <is>
          <t>2018-05-29 09:26:00</t>
        </is>
      </c>
      <c r="C54" s="937" t="inlineStr">
        <is>
          <t>2018-06-07 20:25:00</t>
        </is>
      </c>
      <c r="D54" s="937" t="inlineStr">
        <is>
          <t>2018-07-05 23:28:00</t>
        </is>
      </c>
      <c r="E54" s="937" t="inlineStr">
        <is>
          <t>2018-08-28 00:02:00</t>
        </is>
      </c>
      <c r="F54" s="937" t="inlineStr">
        <is>
          <t>2018-09-05 11:30:08</t>
        </is>
      </c>
      <c r="G54" s="937" t="inlineStr">
        <is>
          <t>2018-10-08 23:26:00</t>
        </is>
      </c>
      <c r="H54" s="937" t="inlineStr">
        <is>
          <t>2018-11-12 16:42:00</t>
        </is>
      </c>
      <c r="I54" s="938" t="inlineStr">
        <is>
          <t>2018-12-21 01:51:00</t>
        </is>
      </c>
    </row>
    <row r="55" ht="14.5" customHeight="1">
      <c r="A55" s="889" t="inlineStr">
        <is>
          <t>End</t>
        </is>
      </c>
      <c r="B55" s="917" t="inlineStr">
        <is>
          <t>2018-05-30 22:44:00</t>
        </is>
      </c>
      <c r="C55" s="917" t="inlineStr">
        <is>
          <t>2018-06-15 22:00:00</t>
        </is>
      </c>
      <c r="D55" s="917" t="inlineStr">
        <is>
          <t>2018-07-11 23:59:53</t>
        </is>
      </c>
      <c r="E55" s="917" t="inlineStr">
        <is>
          <t>2018-08-31 15:00:22</t>
        </is>
      </c>
      <c r="F55" s="917" t="inlineStr">
        <is>
          <t>2018-09-20 18:33:00</t>
        </is>
      </c>
      <c r="G55" s="917" t="inlineStr">
        <is>
          <t>2018-10-16 03:44:00</t>
        </is>
      </c>
      <c r="H55" s="917" t="inlineStr">
        <is>
          <t>2018-11-28 00:07:00</t>
        </is>
      </c>
      <c r="I55" s="918" t="inlineStr">
        <is>
          <t>2018-12-29 01:46:00</t>
        </is>
      </c>
    </row>
    <row r="56" ht="14.5" customHeight="1">
      <c r="A56" s="886" t="inlineStr">
        <is>
          <t>Avg drawdown</t>
        </is>
      </c>
      <c r="B56" s="896" t="n">
        <v>0.03429542167053522</v>
      </c>
      <c r="C56" s="896" t="n">
        <v>0.06904286952365662</v>
      </c>
      <c r="D56" s="896" t="n">
        <v>0.02122620715125981</v>
      </c>
      <c r="E56" s="896" t="n">
        <v>0.006764685733648328</v>
      </c>
      <c r="F56" s="896" t="n">
        <v>0.04206459295676054</v>
      </c>
      <c r="G56" s="896" t="n">
        <v>0.01299263242087588</v>
      </c>
      <c r="H56" s="896" t="n">
        <v>0.009118293983224056</v>
      </c>
      <c r="I56" s="898" t="n">
        <v>0.01636029396035086</v>
      </c>
    </row>
    <row r="57" ht="14.5" customHeight="1">
      <c r="A57" s="886" t="inlineStr">
        <is>
          <t>Min drawdown</t>
        </is>
      </c>
      <c r="B57" s="896" t="n">
        <v>0.00933494802704609</v>
      </c>
      <c r="C57" s="896" t="n">
        <v>0.002562307268312344</v>
      </c>
      <c r="D57" s="905" t="n">
        <v>0.0005213137105505693</v>
      </c>
      <c r="E57" s="896" t="n">
        <v>0.001666013814031316</v>
      </c>
      <c r="F57" s="905" t="n">
        <v>0.0006615349012255758</v>
      </c>
      <c r="G57" s="905" t="n">
        <v>0.0009107643927975048</v>
      </c>
      <c r="H57" s="905" t="n">
        <v>0.0002316356371427283</v>
      </c>
      <c r="I57" s="898" t="n">
        <v>0.001597790709143142</v>
      </c>
    </row>
    <row r="58" ht="14.5" customHeight="1">
      <c r="A58" s="889" t="inlineStr">
        <is>
          <t>Start</t>
        </is>
      </c>
      <c r="B58" s="661" t="inlineStr">
        <is>
          <t>2018-05-29 09:26:00</t>
        </is>
      </c>
      <c r="C58" s="661" t="inlineStr">
        <is>
          <t>2018-06-28 07:03:57</t>
        </is>
      </c>
      <c r="D58" s="661" t="inlineStr">
        <is>
          <t>2018-07-05 02:51:00</t>
        </is>
      </c>
      <c r="E58" s="661" t="inlineStr">
        <is>
          <t>2018-08-02 21:00:48</t>
        </is>
      </c>
      <c r="F58" s="661" t="inlineStr">
        <is>
          <t>2018-09-03 18:30:48</t>
        </is>
      </c>
      <c r="G58" s="661" t="inlineStr">
        <is>
          <t>2018-10-01 23:49:00</t>
        </is>
      </c>
      <c r="H58" s="661" t="inlineStr">
        <is>
          <t>2018-11-03 02:14:00</t>
        </is>
      </c>
      <c r="I58" s="904" t="inlineStr">
        <is>
          <t>2018-12-19 03:24:00</t>
        </is>
      </c>
    </row>
    <row r="59" ht="14.5" customHeight="1">
      <c r="A59" s="919" t="inlineStr">
        <is>
          <t>End</t>
        </is>
      </c>
      <c r="B59" s="920" t="inlineStr">
        <is>
          <t>2018-05-29 09:32:00</t>
        </is>
      </c>
      <c r="C59" s="920" t="inlineStr">
        <is>
          <t>2018-06-28 07:21:00</t>
        </is>
      </c>
      <c r="D59" s="920" t="inlineStr">
        <is>
          <t>2018-07-05 16:42:41</t>
        </is>
      </c>
      <c r="E59" s="920" t="inlineStr">
        <is>
          <t>2018-08-04 00:19:00</t>
        </is>
      </c>
      <c r="F59" s="920" t="inlineStr">
        <is>
          <t>2018-09-04 14:31:00</t>
        </is>
      </c>
      <c r="G59" s="920" t="inlineStr">
        <is>
          <t>2018-10-02 04:01:00</t>
        </is>
      </c>
      <c r="H59" s="920" t="inlineStr">
        <is>
          <t>2018-11-07 19:04:00</t>
        </is>
      </c>
      <c r="I59" s="921" t="inlineStr">
        <is>
          <t>2018-12-20 05:03:00</t>
        </is>
      </c>
    </row>
    <row r="60" ht="14.5" customHeight="1">
      <c r="A60" s="924" t="inlineStr">
        <is>
          <t>Longs</t>
        </is>
      </c>
      <c r="B60" s="941" t="n">
        <v>8</v>
      </c>
      <c r="C60" s="941" t="n">
        <v>36</v>
      </c>
      <c r="D60" s="941" t="n">
        <v>25</v>
      </c>
      <c r="E60" s="941" t="n">
        <v>27</v>
      </c>
      <c r="F60" s="941" t="n">
        <v>49</v>
      </c>
      <c r="G60" s="941" t="n">
        <v>28</v>
      </c>
      <c r="H60" s="941" t="n">
        <v>25</v>
      </c>
      <c r="I60" s="942" t="n">
        <v>35</v>
      </c>
    </row>
    <row r="61" ht="14.5" customHeight="1">
      <c r="A61" s="889" t="inlineStr">
        <is>
          <t>Long wins</t>
        </is>
      </c>
      <c r="B61" s="890" t="n">
        <v>1</v>
      </c>
      <c r="C61" s="890" t="n">
        <v>9</v>
      </c>
      <c r="D61" s="890" t="n">
        <v>8</v>
      </c>
      <c r="E61" s="890" t="n">
        <v>8</v>
      </c>
      <c r="F61" s="890" t="n">
        <v>14</v>
      </c>
      <c r="G61" s="890" t="n">
        <v>9</v>
      </c>
      <c r="H61" s="890" t="n">
        <v>5</v>
      </c>
      <c r="I61" s="891" t="n">
        <v>13</v>
      </c>
    </row>
    <row r="62" ht="14.5" customHeight="1">
      <c r="A62" s="889" t="inlineStr">
        <is>
          <t>Long losses</t>
        </is>
      </c>
      <c r="B62" s="943" t="n">
        <v>7</v>
      </c>
      <c r="C62" s="943" t="n">
        <v>27</v>
      </c>
      <c r="D62" s="943" t="n">
        <v>15</v>
      </c>
      <c r="E62" s="943" t="n">
        <v>17</v>
      </c>
      <c r="F62" s="943" t="n">
        <v>35</v>
      </c>
      <c r="G62" s="943" t="n">
        <v>18</v>
      </c>
      <c r="H62" s="943" t="n">
        <v>20</v>
      </c>
      <c r="I62" s="944" t="n">
        <v>20</v>
      </c>
    </row>
    <row r="63" ht="14.5" customHeight="1">
      <c r="A63" s="886" t="inlineStr">
        <is>
          <t>Long break-even</t>
        </is>
      </c>
      <c r="B63" s="945" t="n">
        <v>0</v>
      </c>
      <c r="C63" s="945" t="n">
        <v>0</v>
      </c>
      <c r="D63" s="945" t="n">
        <v>2</v>
      </c>
      <c r="E63" s="945" t="n">
        <v>2</v>
      </c>
      <c r="F63" s="945" t="n">
        <v>0</v>
      </c>
      <c r="G63" s="945" t="n">
        <v>1</v>
      </c>
      <c r="H63" s="945" t="n">
        <v>0</v>
      </c>
      <c r="I63" s="946" t="n">
        <v>2</v>
      </c>
    </row>
    <row r="64" ht="14.5" customHeight="1">
      <c r="A64" s="886" t="inlineStr">
        <is>
          <t>Shorts</t>
        </is>
      </c>
      <c r="B64" s="887" t="n">
        <v>2</v>
      </c>
      <c r="C64" s="887" t="n">
        <v>25</v>
      </c>
      <c r="D64" s="887" t="n">
        <v>14</v>
      </c>
      <c r="E64" s="887" t="n">
        <v>14</v>
      </c>
      <c r="F64" s="887" t="n">
        <v>25</v>
      </c>
      <c r="G64" s="887" t="n">
        <v>33</v>
      </c>
      <c r="H64" s="887" t="n">
        <v>11</v>
      </c>
      <c r="I64" s="888" t="n">
        <v>23</v>
      </c>
    </row>
    <row r="65" ht="14.5" customHeight="1">
      <c r="A65" s="889" t="inlineStr">
        <is>
          <t>Short wins</t>
        </is>
      </c>
      <c r="B65" s="890" t="n">
        <v>0</v>
      </c>
      <c r="C65" s="890" t="n">
        <v>6</v>
      </c>
      <c r="D65" s="890" t="n">
        <v>5</v>
      </c>
      <c r="E65" s="890" t="n">
        <v>8</v>
      </c>
      <c r="F65" s="890" t="n">
        <v>12</v>
      </c>
      <c r="G65" s="890" t="n">
        <v>14</v>
      </c>
      <c r="H65" s="890" t="n">
        <v>4</v>
      </c>
      <c r="I65" s="891" t="n">
        <v>7</v>
      </c>
    </row>
    <row r="66" ht="14.5" customHeight="1">
      <c r="A66" s="889" t="inlineStr">
        <is>
          <t>Short losses</t>
        </is>
      </c>
      <c r="B66" s="892" t="n">
        <v>2</v>
      </c>
      <c r="C66" s="892" t="n">
        <v>19</v>
      </c>
      <c r="D66" s="892" t="n">
        <v>8</v>
      </c>
      <c r="E66" s="892" t="n">
        <v>5</v>
      </c>
      <c r="F66" s="892" t="n">
        <v>13</v>
      </c>
      <c r="G66" s="892" t="n">
        <v>19</v>
      </c>
      <c r="H66" s="892" t="n">
        <v>7</v>
      </c>
      <c r="I66" s="893" t="n">
        <v>16</v>
      </c>
    </row>
    <row r="67" ht="14.5" customHeight="1">
      <c r="A67" s="907" t="inlineStr">
        <is>
          <t>Short break-even</t>
        </is>
      </c>
      <c r="B67" s="947" t="n">
        <v>0</v>
      </c>
      <c r="C67" s="947" t="n">
        <v>0</v>
      </c>
      <c r="D67" s="947" t="n">
        <v>1</v>
      </c>
      <c r="E67" s="947" t="n">
        <v>1</v>
      </c>
      <c r="F67" s="947" t="n">
        <v>0</v>
      </c>
      <c r="G67" s="947" t="n">
        <v>0</v>
      </c>
      <c r="H67" s="947" t="n">
        <v>0</v>
      </c>
      <c r="I67" s="948" t="n">
        <v>0</v>
      </c>
    </row>
    <row r="68" ht="14.5" customHeight="1">
      <c r="A68" s="913" t="inlineStr">
        <is>
          <t>Min duration</t>
        </is>
      </c>
      <c r="B68" s="922" t="inlineStr">
        <is>
          <t>3S - EURAUD 2018-05-29</t>
        </is>
      </c>
      <c r="C68" s="922" t="inlineStr">
        <is>
          <t>5S - GBPAUD 2018-06-07</t>
        </is>
      </c>
      <c r="D68" s="922" t="inlineStr">
        <is>
          <t>1S - USDCAD 2018-07-11</t>
        </is>
      </c>
      <c r="E68" s="922" t="inlineStr">
        <is>
          <t>1S - USDCAD 2018-08-17</t>
        </is>
      </c>
      <c r="F68" s="922" t="inlineStr">
        <is>
          <t>1S - GBPUSD 2018-09-05</t>
        </is>
      </c>
      <c r="G68" s="922" t="inlineStr">
        <is>
          <t>5S - AUDUSD 2018-10-15</t>
        </is>
      </c>
      <c r="H68" s="922" t="inlineStr">
        <is>
          <t>1S - GBPUSD 2018-11-09</t>
        </is>
      </c>
      <c r="I68" s="923" t="inlineStr">
        <is>
          <t>1S - USDCAD 2018-12-19</t>
        </is>
      </c>
    </row>
    <row r="69" ht="14.5" customHeight="1">
      <c r="A69" s="889" t="inlineStr">
        <is>
          <t>Max duration</t>
        </is>
      </c>
      <c r="B69" s="917" t="inlineStr">
        <is>
          <t>8M 0S - EURAUD 2018-05-29</t>
        </is>
      </c>
      <c r="C69" s="917" t="inlineStr">
        <is>
          <t>4H 45M 0S - AUDCAD 2018-06-16</t>
        </is>
      </c>
      <c r="D69" s="917" t="inlineStr">
        <is>
          <t>2D 16H 35M 0S - AUDJPY 2018-07-02</t>
        </is>
      </c>
      <c r="E69" s="917" t="inlineStr">
        <is>
          <t>6H 12M 0S - USDCHF 2018-08-29</t>
        </is>
      </c>
      <c r="F69" s="917" t="inlineStr">
        <is>
          <t>6H 13M 0S - USDCAD 2018-09-08</t>
        </is>
      </c>
      <c r="G69" s="917" t="inlineStr">
        <is>
          <t>15H 56M 0S - USDCHF 2018-10-11</t>
        </is>
      </c>
      <c r="H69" s="917" t="inlineStr">
        <is>
          <t>5H 19M 0S - AUDUSD 2018-11-28</t>
        </is>
      </c>
      <c r="I69" s="918" t="inlineStr">
        <is>
          <t>11H 8M 0S - EURUSD 2018-12-07</t>
        </is>
      </c>
    </row>
    <row r="70" ht="14.5" customHeight="1">
      <c r="A70" s="889" t="inlineStr">
        <is>
          <t>Min Move to Break Even</t>
        </is>
      </c>
      <c r="B70" s="937" t="inlineStr"/>
      <c r="C70" s="937" t="inlineStr"/>
      <c r="D70" s="937" t="inlineStr">
        <is>
          <t>30S - EURUSD 2018-07-24</t>
        </is>
      </c>
      <c r="E70" s="937" t="inlineStr">
        <is>
          <t>30S - USDCAD 2018-08-10</t>
        </is>
      </c>
      <c r="F70" s="937" t="inlineStr"/>
      <c r="G70" s="937" t="inlineStr">
        <is>
          <t>44M 0S - EURUSD 2018-10-02</t>
        </is>
      </c>
      <c r="H70" s="937" t="inlineStr"/>
      <c r="I70" s="938" t="inlineStr">
        <is>
          <t>5M 0S - USDCHF 2018-12-21</t>
        </is>
      </c>
    </row>
    <row r="71" ht="14.5" customHeight="1">
      <c r="A71" s="889" t="inlineStr">
        <is>
          <t>Max Move to Break Even</t>
        </is>
      </c>
      <c r="B71" s="661" t="inlineStr"/>
      <c r="C71" s="661" t="inlineStr"/>
      <c r="D71" s="661" t="inlineStr">
        <is>
          <t>7H 37M 0S - AUDCAD 2018-07-04</t>
        </is>
      </c>
      <c r="E71" s="661" t="inlineStr">
        <is>
          <t>2H 6M 0S - GBPUSD 2018-08-06</t>
        </is>
      </c>
      <c r="F71" s="661" t="inlineStr"/>
      <c r="G71" s="661" t="inlineStr">
        <is>
          <t>1H 42M 0S - EURUSD 2018-10-03</t>
        </is>
      </c>
      <c r="H71" s="661" t="inlineStr"/>
      <c r="I71" s="904" t="inlineStr">
        <is>
          <t>1H 15M 0S - USDCAD 2018-12-19</t>
        </is>
      </c>
    </row>
    <row r="72" ht="14.5" customHeight="1">
      <c r="A72" s="889" t="inlineStr">
        <is>
          <t>Min Move to Profit</t>
        </is>
      </c>
      <c r="B72" s="661" t="inlineStr"/>
      <c r="C72" s="661" t="inlineStr"/>
      <c r="D72" s="661" t="inlineStr">
        <is>
          <t>38S - USDCAD 2018-07-31</t>
        </is>
      </c>
      <c r="E72" s="661" t="inlineStr">
        <is>
          <t>22M 0S - GBPUSD 2018-08-02</t>
        </is>
      </c>
      <c r="F72" s="661" t="inlineStr"/>
      <c r="G72" s="661" t="inlineStr"/>
      <c r="H72" s="661" t="inlineStr"/>
      <c r="I72" s="904" t="inlineStr"/>
    </row>
    <row r="73" ht="14.5" customHeight="1">
      <c r="A73" s="919" t="inlineStr">
        <is>
          <t>Max Move to Profit</t>
        </is>
      </c>
      <c r="B73" s="920" t="inlineStr"/>
      <c r="C73" s="920" t="inlineStr"/>
      <c r="D73" s="920" t="inlineStr">
        <is>
          <t>3H 47M 0S - EURUSD 2018-07-05</t>
        </is>
      </c>
      <c r="E73" s="920" t="inlineStr">
        <is>
          <t>2H 25M 0S - GBPUSD 2018-08-06</t>
        </is>
      </c>
      <c r="F73" s="920" t="inlineStr"/>
      <c r="G73" s="920" t="inlineStr"/>
      <c r="H73" s="920" t="inlineStr"/>
      <c r="I73" s="921" t="inlineStr"/>
    </row>
    <row r="74" ht="14.5" customHeight="1">
      <c r="A74" s="913" t="inlineStr">
        <is>
          <t>Winners min stop %</t>
        </is>
      </c>
      <c r="B74" s="949" t="inlineStr">
        <is>
          <t>0.013% - AUDUSD 2018-05-30</t>
        </is>
      </c>
      <c r="C74" s="949" t="inlineStr">
        <is>
          <t>0.017% - GBPAUD 2018-06-07</t>
        </is>
      </c>
      <c r="D74" s="949" t="inlineStr">
        <is>
          <t>0.023% - GBPUSD 2018-07-17</t>
        </is>
      </c>
      <c r="E74" s="949" t="inlineStr">
        <is>
          <t>0.028% - USDCAD 2018-08-24</t>
        </is>
      </c>
      <c r="F74" s="949" t="inlineStr">
        <is>
          <t>0.023% - GBPUSD 2018-09-28</t>
        </is>
      </c>
      <c r="G74" s="949" t="inlineStr">
        <is>
          <t>0.043% - EURUSD 2018-10-02</t>
        </is>
      </c>
      <c r="H74" s="949" t="inlineStr">
        <is>
          <t>0.062% - USDJPY 2018-11-03</t>
        </is>
      </c>
      <c r="I74" s="950" t="inlineStr">
        <is>
          <t>0.037% - USDCAD 2018-12-18</t>
        </is>
      </c>
    </row>
    <row r="75" ht="14.5" customHeight="1">
      <c r="A75" s="889" t="inlineStr">
        <is>
          <t>Winners max stop %</t>
        </is>
      </c>
      <c r="B75" s="661" t="inlineStr">
        <is>
          <t>0.013% - AUDUSD 2018-05-30</t>
        </is>
      </c>
      <c r="C75" s="661" t="inlineStr">
        <is>
          <t>0.11% - GBPAUD 2018-06-07</t>
        </is>
      </c>
      <c r="D75" s="661" t="inlineStr">
        <is>
          <t>0.24% - AUDCAD 2018-07-04</t>
        </is>
      </c>
      <c r="E75" s="661" t="inlineStr">
        <is>
          <t>0.13% - NZDUSD 2018-08-22</t>
        </is>
      </c>
      <c r="F75" s="661" t="inlineStr">
        <is>
          <t>0.18% - USDCHF 2018-09-27</t>
        </is>
      </c>
      <c r="G75" s="661" t="inlineStr">
        <is>
          <t>0.20% - EURUSD 2018-10-18</t>
        </is>
      </c>
      <c r="H75" s="661" t="inlineStr">
        <is>
          <t>0.22% - AUDUSD 2018-11-28</t>
        </is>
      </c>
      <c r="I75" s="904" t="inlineStr">
        <is>
          <t>0.23% - USDJPY 2018-12-25</t>
        </is>
      </c>
    </row>
    <row r="76" ht="14.5" customHeight="1">
      <c r="A76" s="889" t="inlineStr">
        <is>
          <t>Winners min target %</t>
        </is>
      </c>
      <c r="B76" s="662" t="inlineStr"/>
      <c r="C76" s="661" t="inlineStr">
        <is>
          <t>0.046% - GBPAUD 2018-06-07</t>
        </is>
      </c>
      <c r="D76" s="661" t="inlineStr">
        <is>
          <t>0.075% - GBPUSD 2018-07-17</t>
        </is>
      </c>
      <c r="E76" s="661" t="inlineStr">
        <is>
          <t>0.064% - USDCAD 2018-08-24</t>
        </is>
      </c>
      <c r="F76" s="661" t="inlineStr">
        <is>
          <t>0.070% - GBPUSD 2018-09-05</t>
        </is>
      </c>
      <c r="G76" s="661" t="inlineStr">
        <is>
          <t>0.088% - USDJPY 2018-10-02</t>
        </is>
      </c>
      <c r="H76" s="661" t="inlineStr">
        <is>
          <t>0.12% - USDJPY 2018-11-03</t>
        </is>
      </c>
      <c r="I76" s="904" t="inlineStr">
        <is>
          <t>0.082% - USDCAD 2018-12-18</t>
        </is>
      </c>
    </row>
    <row r="77" ht="14.5" customHeight="1">
      <c r="A77" s="889" t="inlineStr">
        <is>
          <t>Winners max target %</t>
        </is>
      </c>
      <c r="B77" s="894" t="inlineStr"/>
      <c r="C77" s="917" t="inlineStr">
        <is>
          <t>0.22% - GBPAUD 2018-06-07</t>
        </is>
      </c>
      <c r="D77" s="917" t="inlineStr">
        <is>
          <t>0.47% - AUDCAD 2018-07-04</t>
        </is>
      </c>
      <c r="E77" s="917" t="inlineStr">
        <is>
          <t>0.55% - USDCAD 2018-08-10</t>
        </is>
      </c>
      <c r="F77" s="917" t="inlineStr">
        <is>
          <t>0.45% - GBPUSD 2018-09-03</t>
        </is>
      </c>
      <c r="G77" s="917" t="inlineStr">
        <is>
          <t>0.54% - USDCHF 2018-10-11</t>
        </is>
      </c>
      <c r="H77" s="917" t="inlineStr">
        <is>
          <t>0.44% - AUDUSD 2018-11-28</t>
        </is>
      </c>
      <c r="I77" s="918" t="inlineStr">
        <is>
          <t>0.48% - USDJPY 2018-12-25</t>
        </is>
      </c>
    </row>
    <row r="78" ht="14.5" customHeight="1">
      <c r="A78" s="889" t="inlineStr">
        <is>
          <t>Winners min result %</t>
        </is>
      </c>
      <c r="B78" s="951" t="inlineStr">
        <is>
          <t>0.25% - AUDUSD 2018-05-30</t>
        </is>
      </c>
      <c r="C78" s="951" t="inlineStr">
        <is>
          <t>0.15% - GBPAUD 2018-06-07</t>
        </is>
      </c>
      <c r="D78" s="951" t="inlineStr">
        <is>
          <t>0.32% - EURUSD 2018-07-31</t>
        </is>
      </c>
      <c r="E78" s="951" t="inlineStr">
        <is>
          <t>0.0022% - USDCAD 2018-08-24</t>
        </is>
      </c>
      <c r="F78" s="951" t="inlineStr">
        <is>
          <t>0.025% - EURUSD 2018-09-12</t>
        </is>
      </c>
      <c r="G78" s="951" t="inlineStr">
        <is>
          <t>0.012% - AUDUSD 2018-10-30</t>
        </is>
      </c>
      <c r="H78" s="951" t="inlineStr">
        <is>
          <t>0.21% - AUDUSD 2018-11-28</t>
        </is>
      </c>
      <c r="I78" s="952" t="inlineStr">
        <is>
          <t>0.042% - EURUSD 2018-12-14</t>
        </is>
      </c>
    </row>
    <row r="79" ht="14.5" customHeight="1">
      <c r="A79" s="889" t="inlineStr">
        <is>
          <t>Winners max result %</t>
        </is>
      </c>
      <c r="B79" s="951" t="inlineStr">
        <is>
          <t>0.25% - AUDUSD 2018-05-30</t>
        </is>
      </c>
      <c r="C79" s="951" t="inlineStr">
        <is>
          <t>3.03% - AUDCAD 2018-06-22</t>
        </is>
      </c>
      <c r="D79" s="951" t="inlineStr">
        <is>
          <t>4.48% - USDCAD 2018-07-20</t>
        </is>
      </c>
      <c r="E79" s="951" t="inlineStr">
        <is>
          <t>3.28% - USDCAD 2018-08-30</t>
        </is>
      </c>
      <c r="F79" s="951" t="inlineStr">
        <is>
          <t>3.29% - AUDUSD 2018-09-05</t>
        </is>
      </c>
      <c r="G79" s="951" t="inlineStr">
        <is>
          <t>1.96% - USDJPY 2018-10-08</t>
        </is>
      </c>
      <c r="H79" s="951" t="inlineStr">
        <is>
          <t>0.72% - GBPUSD 2018-11-09</t>
        </is>
      </c>
      <c r="I79" s="952" t="inlineStr">
        <is>
          <t>2.31% - GBPUSD 2018-12-12</t>
        </is>
      </c>
    </row>
    <row r="80" ht="14.5" customHeight="1">
      <c r="A80" s="889" t="inlineStr">
        <is>
          <t>Winners min R</t>
        </is>
      </c>
      <c r="B80" s="951" t="inlineStr">
        <is>
          <t>1.60R - AUDUSD 2018-05-30</t>
        </is>
      </c>
      <c r="C80" s="951" t="inlineStr">
        <is>
          <t>0.13R - GBPAUD 2018-06-07</t>
        </is>
      </c>
      <c r="D80" s="951" t="inlineStr">
        <is>
          <t>0.38R - EURUSD 2018-07-26</t>
        </is>
      </c>
      <c r="E80" s="951" t="inlineStr">
        <is>
          <t>0.081R - USDCAD 2018-08-24</t>
        </is>
      </c>
      <c r="F80" s="951" t="inlineStr">
        <is>
          <t>0.073R - EURUSD 2018-09-05</t>
        </is>
      </c>
      <c r="G80" s="951" t="inlineStr">
        <is>
          <t>0.056R - USDJPY 2018-10-12</t>
        </is>
      </c>
      <c r="H80" s="951" t="inlineStr">
        <is>
          <t>0.87R - AUDUSD 2018-11-09</t>
        </is>
      </c>
      <c r="I80" s="952" t="inlineStr">
        <is>
          <t>0.029R - EURUSD 2018-12-14</t>
        </is>
      </c>
    </row>
    <row r="81" ht="14.5" customHeight="1">
      <c r="A81" s="919" t="inlineStr">
        <is>
          <t>Winners max R</t>
        </is>
      </c>
      <c r="B81" s="929" t="inlineStr">
        <is>
          <t>1.60R - AUDUSD 2018-05-30</t>
        </is>
      </c>
      <c r="C81" s="929" t="inlineStr">
        <is>
          <t>5.80R - AUDCAD 2018-06-22</t>
        </is>
      </c>
      <c r="D81" s="929" t="inlineStr">
        <is>
          <t>4.60R - USDCAD 2018-07-20</t>
        </is>
      </c>
      <c r="E81" s="929" t="inlineStr">
        <is>
          <t>4.76R - GBPUSD 2018-08-06</t>
        </is>
      </c>
      <c r="F81" s="929" t="inlineStr">
        <is>
          <t>4.01R - EURUSD 2018-09-28</t>
        </is>
      </c>
      <c r="G81" s="929" t="inlineStr">
        <is>
          <t>5.97R - USDCHF 2018-10-11</t>
        </is>
      </c>
      <c r="H81" s="929" t="inlineStr">
        <is>
          <t>2.06R - USDJPY 2018-11-03</t>
        </is>
      </c>
      <c r="I81" s="930" t="inlineStr">
        <is>
          <t>2.87R - GBPUSD 2018-12-12</t>
        </is>
      </c>
    </row>
    <row r="82" ht="14.5" customHeight="1">
      <c r="A82" s="913" t="inlineStr">
        <is>
          <t>Losers min stop %</t>
        </is>
      </c>
      <c r="B82" s="922" t="inlineStr">
        <is>
          <t>0.013% - EURAUD 2018-05-29</t>
        </is>
      </c>
      <c r="C82" s="922" t="inlineStr">
        <is>
          <t>0.013% - AUDUSD 2018-06-12</t>
        </is>
      </c>
      <c r="D82" s="922" t="inlineStr">
        <is>
          <t>0.023% - USDCAD 2018-07-12</t>
        </is>
      </c>
      <c r="E82" s="922" t="inlineStr">
        <is>
          <t>0.0078% - GBPUSD 2018-08-24</t>
        </is>
      </c>
      <c r="F82" s="922" t="inlineStr">
        <is>
          <t>0.0076% - USDCAD 2018-09-07</t>
        </is>
      </c>
      <c r="G82" s="922" t="inlineStr">
        <is>
          <t>0.016% - USDCAD 2018-10-03</t>
        </is>
      </c>
      <c r="H82" s="922" t="inlineStr">
        <is>
          <t>0.035% - USDJPY 2018-11-01</t>
        </is>
      </c>
      <c r="I82" s="923" t="inlineStr">
        <is>
          <t>0.044% - EURUSD 2018-12-11</t>
        </is>
      </c>
    </row>
    <row r="83" ht="14.5" customHeight="1">
      <c r="A83" s="889" t="inlineStr">
        <is>
          <t>Losers max stop %</t>
        </is>
      </c>
      <c r="B83" s="917" t="inlineStr">
        <is>
          <t>0.065% - EURAUD 2018-05-29</t>
        </is>
      </c>
      <c r="C83" s="917" t="inlineStr">
        <is>
          <t>0.45% - AUDUSD 2018-06-12</t>
        </is>
      </c>
      <c r="D83" s="917" t="inlineStr">
        <is>
          <t>0.11% - USDJPY 2018-07-06</t>
        </is>
      </c>
      <c r="E83" s="917" t="inlineStr">
        <is>
          <t>0.12% - NZDUSD 2018-08-30</t>
        </is>
      </c>
      <c r="F83" s="917" t="inlineStr">
        <is>
          <t>0.24% - AUDUSD 2018-09-13</t>
        </is>
      </c>
      <c r="G83" s="917" t="inlineStr">
        <is>
          <t>0.61% - USDCHF 2018-10-15</t>
        </is>
      </c>
      <c r="H83" s="917" t="inlineStr">
        <is>
          <t>0.30% - AUDUSD 2018-11-21</t>
        </is>
      </c>
      <c r="I83" s="918" t="inlineStr">
        <is>
          <t>0.24% - GBPUSD 2018-12-12</t>
        </is>
      </c>
    </row>
    <row r="84" ht="14.5" customHeight="1">
      <c r="A84" s="889" t="inlineStr">
        <is>
          <t>Losers min target %</t>
        </is>
      </c>
      <c r="B84" s="917" t="inlineStr">
        <is>
          <t>0.026% - EURAUD 2018-05-29</t>
        </is>
      </c>
      <c r="C84" s="917" t="inlineStr">
        <is>
          <t>0.040% - GBPAUD 2018-06-11</t>
        </is>
      </c>
      <c r="D84" s="917" t="inlineStr">
        <is>
          <t>0.043% - EURUSD 2018-07-24</t>
        </is>
      </c>
      <c r="E84" s="917" t="inlineStr">
        <is>
          <t>0.023% - GBPUSD 2018-08-24</t>
        </is>
      </c>
      <c r="F84" s="917" t="inlineStr">
        <is>
          <t>0.030% - USDCAD 2018-09-07</t>
        </is>
      </c>
      <c r="G84" s="917" t="inlineStr">
        <is>
          <t>0.039% - USDCAD 2018-10-03</t>
        </is>
      </c>
      <c r="H84" s="917" t="inlineStr">
        <is>
          <t>0.071% - USDJPY 2018-11-01</t>
        </is>
      </c>
      <c r="I84" s="918" t="inlineStr">
        <is>
          <t>0.088% - EURUSD 2018-12-11</t>
        </is>
      </c>
    </row>
    <row r="85" ht="14.5" customHeight="1">
      <c r="A85" s="889" t="inlineStr">
        <is>
          <t>Losers max target %</t>
        </is>
      </c>
      <c r="B85" s="917" t="inlineStr">
        <is>
          <t>0.11% - AUDUSD 2018-05-30</t>
        </is>
      </c>
      <c r="C85" s="917" t="inlineStr">
        <is>
          <t>0.39% - AUDCAD 2018-06-08</t>
        </is>
      </c>
      <c r="D85" s="917" t="inlineStr">
        <is>
          <t>0.36% - USDJPY 2018-07-06</t>
        </is>
      </c>
      <c r="E85" s="917" t="inlineStr">
        <is>
          <t>0.24% - NZDUSD 2018-08-30</t>
        </is>
      </c>
      <c r="F85" s="917" t="inlineStr">
        <is>
          <t>0.39% - AUDUSD 2018-09-13</t>
        </is>
      </c>
      <c r="G85" s="917" t="inlineStr">
        <is>
          <t>1.21% - USDCHF 2018-10-15</t>
        </is>
      </c>
      <c r="H85" s="917" t="inlineStr">
        <is>
          <t>0.61% - AUDUSD 2018-11-21</t>
        </is>
      </c>
      <c r="I85" s="918" t="inlineStr">
        <is>
          <t>0.51% - GBPUSD 2018-12-12</t>
        </is>
      </c>
    </row>
    <row r="86" ht="14.5" customHeight="1">
      <c r="A86" s="889" t="inlineStr">
        <is>
          <t>Losers min result %</t>
        </is>
      </c>
      <c r="B86" s="927" t="inlineStr">
        <is>
          <t>-0.34% - AUDUSD 2018-05-30</t>
        </is>
      </c>
      <c r="C86" s="927" t="inlineStr">
        <is>
          <t>-0.032% - EURAUD 2018-06-12</t>
        </is>
      </c>
      <c r="D86" s="927" t="inlineStr">
        <is>
          <t>-0.052% - GBPUSD 2018-07-05</t>
        </is>
      </c>
      <c r="E86" s="927" t="inlineStr">
        <is>
          <t>-0.055% - GBPUSD 2018-08-17</t>
        </is>
      </c>
      <c r="F86" s="927" t="inlineStr">
        <is>
          <t>-0.043% - EURUSD 2018-09-27</t>
        </is>
      </c>
      <c r="G86" s="927" t="inlineStr">
        <is>
          <t>-0.0027% - AUDUSD 2018-10-15</t>
        </is>
      </c>
      <c r="H86" s="927" t="inlineStr">
        <is>
          <t>-0.064% - AUDUSD 2018-11-21</t>
        </is>
      </c>
      <c r="I86" s="928" t="inlineStr">
        <is>
          <t>-0.042% - GBPUSD 2018-12-12</t>
        </is>
      </c>
    </row>
    <row r="87" ht="14.5" customHeight="1">
      <c r="A87" s="889" t="inlineStr">
        <is>
          <t>Losers max result %</t>
        </is>
      </c>
      <c r="B87" s="927" t="inlineStr">
        <is>
          <t>-1.00% - AUDUSD 2018-05-30</t>
        </is>
      </c>
      <c r="C87" s="927" t="inlineStr">
        <is>
          <t>-1.77% - AUDUSD 2018-06-14</t>
        </is>
      </c>
      <c r="D87" s="927" t="inlineStr">
        <is>
          <t>-1.16% - AUDUSD 2018-07-25</t>
        </is>
      </c>
      <c r="E87" s="927" t="inlineStr">
        <is>
          <t>-0.52% - USDCAD 2018-08-09</t>
        </is>
      </c>
      <c r="F87" s="927" t="inlineStr">
        <is>
          <t>-6.02% - NZDUSD 2018-09-20</t>
        </is>
      </c>
      <c r="G87" s="927" t="inlineStr">
        <is>
          <t>-1.01% - USDCAD 2018-10-10</t>
        </is>
      </c>
      <c r="H87" s="927" t="inlineStr">
        <is>
          <t>-0.37% - USDCAD 2018-11-02</t>
        </is>
      </c>
      <c r="I87" s="928" t="inlineStr">
        <is>
          <t>-1.01% - USDCHF 2018-12-18</t>
        </is>
      </c>
    </row>
    <row r="88" ht="14.5" customHeight="1">
      <c r="A88" s="889" t="inlineStr">
        <is>
          <t>Losers min R</t>
        </is>
      </c>
      <c r="B88" s="927" t="inlineStr">
        <is>
          <t>-0.20R - AUDUSD 2018-05-30</t>
        </is>
      </c>
      <c r="C88" s="927" t="inlineStr">
        <is>
          <t>-0.012R - GBPAUD 2018-06-11</t>
        </is>
      </c>
      <c r="D88" s="927" t="inlineStr">
        <is>
          <t>-0.33R - EURUSD 2018-07-24</t>
        </is>
      </c>
      <c r="E88" s="927" t="inlineStr">
        <is>
          <t>-0.73R - GBPUSD 2018-08-20</t>
        </is>
      </c>
      <c r="F88" s="927" t="inlineStr">
        <is>
          <t>-0.025R - GBPUSD 2018-09-28</t>
        </is>
      </c>
      <c r="G88" s="927" t="inlineStr">
        <is>
          <t>-0.067R - AUDUSD 2018-10-02</t>
        </is>
      </c>
      <c r="H88" s="927" t="inlineStr">
        <is>
          <t>-0.24R - USDJPY 2018-11-21</t>
        </is>
      </c>
      <c r="I88" s="928" t="inlineStr">
        <is>
          <t>-0.050R - GBPUSD 2018-12-12</t>
        </is>
      </c>
    </row>
    <row r="89" ht="14.5" customHeight="1">
      <c r="A89" s="919" t="inlineStr">
        <is>
          <t>Losers max R</t>
        </is>
      </c>
      <c r="B89" s="953" t="inlineStr">
        <is>
          <t>-1.45R - EURAUD 2018-05-29</t>
        </is>
      </c>
      <c r="C89" s="953" t="inlineStr">
        <is>
          <t>-1.17R - EURAUD 2018-06-11</t>
        </is>
      </c>
      <c r="D89" s="953" t="inlineStr">
        <is>
          <t>-1.13R - USDCAD 2018-07-12</t>
        </is>
      </c>
      <c r="E89" s="953" t="inlineStr">
        <is>
          <t>-1.16R - GBPUSD 2018-08-02</t>
        </is>
      </c>
      <c r="F89" s="953" t="inlineStr">
        <is>
          <t>-2.79R - USDCAD 2018-09-06</t>
        </is>
      </c>
      <c r="G89" s="953" t="inlineStr">
        <is>
          <t>-1.15R - AUDUSD 2018-10-29</t>
        </is>
      </c>
      <c r="H89" s="953" t="inlineStr">
        <is>
          <t>-1.05R - GBPUSD 2018-11-12</t>
        </is>
      </c>
      <c r="I89" s="954" t="inlineStr">
        <is>
          <t>-1.20R - NZDUSD 2018-12-26</t>
        </is>
      </c>
    </row>
    <row r="90" ht="14.5" customHeight="1">
      <c r="A90" s="924" t="inlineStr">
        <is>
          <t>Patterns</t>
        </is>
      </c>
      <c r="B90" s="922" t="inlineStr"/>
      <c r="C90" s="922" t="inlineStr"/>
      <c r="D90" s="922" t="inlineStr"/>
      <c r="E90" s="922" t="inlineStr"/>
      <c r="F90" s="922" t="inlineStr"/>
      <c r="G90" s="922" t="inlineStr"/>
      <c r="H90" s="922" t="inlineStr"/>
      <c r="I90" s="923" t="inlineStr"/>
    </row>
    <row r="91" ht="14.5" customHeight="1">
      <c r="A91" s="886" t="inlineStr">
        <is>
          <t>Most Traded</t>
        </is>
      </c>
      <c r="B91" s="917" t="inlineStr"/>
      <c r="C91" s="917" t="inlineStr"/>
      <c r="D91" s="917" t="inlineStr"/>
      <c r="E91" s="917" t="inlineStr"/>
      <c r="F91" s="917" t="inlineStr"/>
      <c r="G91" s="917" t="inlineStr"/>
      <c r="H91" s="917" t="inlineStr"/>
      <c r="I91" s="918" t="inlineStr"/>
    </row>
    <row r="92" ht="14.5" customHeight="1">
      <c r="A92" s="886" t="inlineStr">
        <is>
          <t>Least Traded</t>
        </is>
      </c>
      <c r="B92" s="661" t="inlineStr"/>
      <c r="C92" s="661" t="inlineStr"/>
      <c r="D92" s="661" t="inlineStr"/>
      <c r="E92" s="661" t="inlineStr"/>
      <c r="F92" s="661" t="inlineStr"/>
      <c r="G92" s="661" t="inlineStr"/>
      <c r="H92" s="661" t="inlineStr"/>
      <c r="I92" s="904" t="inlineStr"/>
    </row>
    <row r="93" ht="14.5" customHeight="1">
      <c r="A93" s="886" t="inlineStr">
        <is>
          <t>Most Profitable</t>
        </is>
      </c>
      <c r="B93" s="661" t="inlineStr"/>
      <c r="C93" s="661" t="inlineStr"/>
      <c r="D93" s="661" t="inlineStr"/>
      <c r="E93" s="661" t="inlineStr"/>
      <c r="F93" s="661" t="inlineStr"/>
      <c r="G93" s="661" t="inlineStr"/>
      <c r="H93" s="661" t="inlineStr"/>
      <c r="I93" s="904" t="inlineStr"/>
    </row>
    <row r="94" ht="14.5" customHeight="1">
      <c r="A94" s="907" t="inlineStr">
        <is>
          <t>Least Profitable</t>
        </is>
      </c>
      <c r="B94" s="669" t="inlineStr"/>
      <c r="C94" s="669" t="inlineStr"/>
      <c r="D94" s="669" t="inlineStr"/>
      <c r="E94" s="669" t="inlineStr"/>
      <c r="F94" s="669" t="inlineStr"/>
      <c r="G94" s="669" t="inlineStr"/>
      <c r="H94" s="669" t="inlineStr"/>
      <c r="I94" s="955" t="inlineStr"/>
    </row>
    <row r="95" ht="14.5" customHeight="1">
      <c r="A95" s="924" t="inlineStr">
        <is>
          <t>Timeframe</t>
        </is>
      </c>
      <c r="B95" s="931" t="inlineStr"/>
      <c r="C95" s="931" t="inlineStr"/>
      <c r="D95" s="931" t="inlineStr"/>
      <c r="E95" s="931" t="inlineStr"/>
      <c r="F95" s="931" t="inlineStr"/>
      <c r="G95" s="931" t="inlineStr"/>
      <c r="H95" s="931" t="inlineStr"/>
      <c r="I95" s="932" t="inlineStr"/>
    </row>
    <row r="96" ht="14.5" customHeight="1">
      <c r="A96" s="886" t="inlineStr">
        <is>
          <t>1MIN</t>
        </is>
      </c>
      <c r="B96" s="887" t="n">
        <v>0</v>
      </c>
      <c r="C96" s="887" t="n">
        <v>0</v>
      </c>
      <c r="D96" s="887" t="n">
        <v>16</v>
      </c>
      <c r="E96" s="887" t="n">
        <v>10</v>
      </c>
      <c r="F96" s="887" t="n">
        <v>34</v>
      </c>
      <c r="G96" s="887" t="n">
        <v>1</v>
      </c>
      <c r="H96" s="887" t="n">
        <v>0</v>
      </c>
      <c r="I96" s="888" t="n">
        <v>0</v>
      </c>
    </row>
    <row r="97" ht="14.5" customHeight="1">
      <c r="A97" s="886" t="inlineStr">
        <is>
          <t>5MIN</t>
        </is>
      </c>
      <c r="B97" s="887" t="n">
        <v>0</v>
      </c>
      <c r="C97" s="887" t="n">
        <v>0</v>
      </c>
      <c r="D97" s="887" t="n">
        <v>6</v>
      </c>
      <c r="E97" s="887" t="n">
        <v>24</v>
      </c>
      <c r="F97" s="887" t="n">
        <v>0</v>
      </c>
      <c r="G97" s="887" t="n">
        <v>12</v>
      </c>
      <c r="H97" s="887" t="n">
        <v>14</v>
      </c>
      <c r="I97" s="888" t="n">
        <v>51</v>
      </c>
    </row>
    <row r="98" ht="14.5" customHeight="1">
      <c r="A98" s="886" t="inlineStr">
        <is>
          <t>15MIN</t>
        </is>
      </c>
      <c r="B98" s="887" t="n">
        <v>0</v>
      </c>
      <c r="C98" s="887" t="n">
        <v>4</v>
      </c>
      <c r="D98" s="887" t="n">
        <v>5</v>
      </c>
      <c r="E98" s="887" t="n">
        <v>3</v>
      </c>
      <c r="F98" s="887" t="n">
        <v>20</v>
      </c>
      <c r="G98" s="887" t="n">
        <v>2</v>
      </c>
      <c r="H98" s="887" t="n">
        <v>20</v>
      </c>
      <c r="I98" s="888" t="n">
        <v>7</v>
      </c>
    </row>
    <row r="99" ht="14.5" customHeight="1">
      <c r="A99" s="886" t="inlineStr">
        <is>
          <t>30MIN</t>
        </is>
      </c>
      <c r="B99" s="887" t="n">
        <v>0</v>
      </c>
      <c r="C99" s="887" t="n">
        <v>0</v>
      </c>
      <c r="D99" s="887" t="n">
        <v>0</v>
      </c>
      <c r="E99" s="887" t="n">
        <v>0</v>
      </c>
      <c r="F99" s="887" t="n">
        <v>11</v>
      </c>
      <c r="G99" s="887" t="n">
        <v>42</v>
      </c>
      <c r="H99" s="887" t="n">
        <v>1</v>
      </c>
      <c r="I99" s="888" t="n">
        <v>0</v>
      </c>
    </row>
    <row r="100" ht="14.5" customHeight="1">
      <c r="A100" s="886" t="inlineStr">
        <is>
          <t>1H</t>
        </is>
      </c>
      <c r="B100" s="887" t="n">
        <v>0</v>
      </c>
      <c r="C100" s="887" t="n">
        <v>2</v>
      </c>
      <c r="D100" s="887" t="n">
        <v>8</v>
      </c>
      <c r="E100" s="887" t="n">
        <v>0</v>
      </c>
      <c r="F100" s="887" t="n">
        <v>0</v>
      </c>
      <c r="G100" s="887" t="n">
        <v>0</v>
      </c>
      <c r="H100" s="887" t="n">
        <v>0</v>
      </c>
      <c r="I100" s="888" t="n">
        <v>0</v>
      </c>
    </row>
    <row r="101" ht="14.5" customHeight="1">
      <c r="A101" s="886" t="inlineStr">
        <is>
          <t>4H</t>
        </is>
      </c>
      <c r="B101" s="887" t="n">
        <v>0</v>
      </c>
      <c r="C101" s="887" t="n">
        <v>0</v>
      </c>
      <c r="D101" s="887" t="n">
        <v>1</v>
      </c>
      <c r="E101" s="887" t="n">
        <v>0</v>
      </c>
      <c r="F101" s="887" t="n">
        <v>0</v>
      </c>
      <c r="G101" s="887" t="n">
        <v>0</v>
      </c>
      <c r="H101" s="887" t="n">
        <v>0</v>
      </c>
      <c r="I101" s="888" t="n">
        <v>0</v>
      </c>
    </row>
    <row r="102" ht="14.5" customHeight="1">
      <c r="A102" s="886" t="inlineStr">
        <is>
          <t>DAILY</t>
        </is>
      </c>
      <c r="B102" s="887" t="n">
        <v>0</v>
      </c>
      <c r="C102" s="887" t="n">
        <v>0</v>
      </c>
      <c r="D102" s="887" t="n">
        <v>0</v>
      </c>
      <c r="E102" s="887" t="n">
        <v>0</v>
      </c>
      <c r="F102" s="887" t="n">
        <v>0</v>
      </c>
      <c r="G102" s="887" t="n">
        <v>0</v>
      </c>
      <c r="H102" s="887" t="n">
        <v>0</v>
      </c>
      <c r="I102" s="888" t="n">
        <v>0</v>
      </c>
    </row>
    <row r="103" ht="14.5" customHeight="1">
      <c r="A103" s="886" t="inlineStr">
        <is>
          <t>WEEKLY</t>
        </is>
      </c>
      <c r="B103" s="887" t="n">
        <v>0</v>
      </c>
      <c r="C103" s="887" t="n">
        <v>0</v>
      </c>
      <c r="D103" s="887" t="n">
        <v>0</v>
      </c>
      <c r="E103" s="887" t="n">
        <v>0</v>
      </c>
      <c r="F103" s="887" t="n">
        <v>0</v>
      </c>
      <c r="G103" s="887" t="n">
        <v>0</v>
      </c>
      <c r="H103" s="887" t="n">
        <v>0</v>
      </c>
      <c r="I103" s="888" t="n">
        <v>0</v>
      </c>
    </row>
    <row r="104" ht="14.5" customHeight="1">
      <c r="A104" s="907" t="inlineStr">
        <is>
          <t>MONTHLY</t>
        </is>
      </c>
      <c r="B104" s="947" t="n">
        <v>0</v>
      </c>
      <c r="C104" s="947" t="n">
        <v>0</v>
      </c>
      <c r="D104" s="947" t="n">
        <v>0</v>
      </c>
      <c r="E104" s="947" t="n">
        <v>0</v>
      </c>
      <c r="F104" s="947" t="n">
        <v>0</v>
      </c>
      <c r="G104" s="947" t="n">
        <v>0</v>
      </c>
      <c r="H104" s="947" t="n">
        <v>0</v>
      </c>
      <c r="I104" s="948" t="n">
        <v>0</v>
      </c>
    </row>
    <row r="105" ht="14.5" customHeight="1">
      <c r="A105" s="924" t="inlineStr">
        <is>
          <t>Commission</t>
        </is>
      </c>
      <c r="B105" s="931" t="inlineStr"/>
      <c r="C105" s="931" t="inlineStr"/>
      <c r="D105" s="931" t="inlineStr"/>
      <c r="E105" s="931" t="inlineStr"/>
      <c r="F105" s="931" t="inlineStr"/>
      <c r="G105" s="931" t="inlineStr"/>
      <c r="H105" s="931" t="inlineStr"/>
      <c r="I105" s="932" t="inlineStr"/>
    </row>
    <row r="106" ht="14.5" customHeight="1">
      <c r="A106" s="889" t="inlineStr">
        <is>
          <t>Min Commission</t>
        </is>
      </c>
      <c r="B106" s="661" t="inlineStr"/>
      <c r="C106" s="661" t="inlineStr"/>
      <c r="D106" s="956" t="n">
        <v>0.06</v>
      </c>
      <c r="E106" s="661" t="inlineStr"/>
      <c r="F106" s="661" t="inlineStr"/>
      <c r="G106" s="957" t="n">
        <v>0.14</v>
      </c>
      <c r="H106" s="661" t="inlineStr"/>
      <c r="I106" s="973" t="n">
        <v>0.3</v>
      </c>
    </row>
    <row r="107" ht="14.5" customHeight="1">
      <c r="A107" s="889" t="inlineStr">
        <is>
          <t>Avg Commission</t>
        </is>
      </c>
      <c r="B107" s="661" t="inlineStr"/>
      <c r="C107" s="661" t="inlineStr"/>
      <c r="D107" s="956" t="n">
        <v>0.06</v>
      </c>
      <c r="E107" s="661" t="inlineStr"/>
      <c r="F107" s="661" t="inlineStr"/>
      <c r="G107" s="957" t="n">
        <v>0.9350000000000001</v>
      </c>
      <c r="H107" s="661" t="inlineStr"/>
      <c r="I107" s="973" t="n">
        <v>0.3</v>
      </c>
    </row>
    <row r="108" ht="14.5" customHeight="1">
      <c r="A108" s="889" t="inlineStr">
        <is>
          <t>Max Commission</t>
        </is>
      </c>
      <c r="B108" s="937" t="inlineStr"/>
      <c r="C108" s="937" t="inlineStr"/>
      <c r="D108" s="974" t="n">
        <v>0.06</v>
      </c>
      <c r="E108" s="937" t="inlineStr"/>
      <c r="F108" s="937" t="inlineStr"/>
      <c r="G108" s="958" t="n">
        <v>1.87</v>
      </c>
      <c r="H108" s="937" t="inlineStr"/>
      <c r="I108" s="975" t="n">
        <v>0.3</v>
      </c>
    </row>
    <row r="109" ht="14.5" customHeight="1">
      <c r="A109" s="919" t="inlineStr">
        <is>
          <t>Total Commission</t>
        </is>
      </c>
      <c r="B109" s="920" t="inlineStr"/>
      <c r="C109" s="920" t="inlineStr"/>
      <c r="D109" s="961" t="n">
        <v>0.12</v>
      </c>
      <c r="E109" s="920" t="inlineStr"/>
      <c r="F109" s="920" t="inlineStr"/>
      <c r="G109" s="961" t="n">
        <v>3.74</v>
      </c>
      <c r="H109" s="920" t="inlineStr"/>
      <c r="I109" s="976" t="n">
        <v>0.3</v>
      </c>
    </row>
    <row r="110">
      <c r="A110" s="962" t="n"/>
      <c r="B110" s="963" t="n"/>
      <c r="C110" s="963" t="n"/>
      <c r="D110" s="963" t="n"/>
      <c r="E110" s="963" t="n"/>
      <c r="F110" s="963" t="n"/>
      <c r="G110" s="963" t="n"/>
      <c r="H110" s="963" t="n"/>
      <c r="I110" s="963" t="n"/>
    </row>
    <row r="111">
      <c r="A111" s="962" t="n"/>
      <c r="B111" s="965" t="n"/>
      <c r="C111" s="965" t="n"/>
      <c r="D111" s="965" t="n"/>
      <c r="E111" s="965" t="n"/>
      <c r="F111" s="965" t="n"/>
      <c r="G111" s="965" t="n"/>
      <c r="H111" s="965" t="n"/>
      <c r="I111" s="965" t="n"/>
    </row>
    <row r="112">
      <c r="A112" s="962" t="n"/>
      <c r="B112" s="965" t="n"/>
      <c r="C112" s="965" t="n"/>
      <c r="D112" s="965" t="n"/>
      <c r="E112" s="965" t="n"/>
      <c r="F112" s="965" t="n"/>
      <c r="G112" s="965" t="n"/>
      <c r="H112" s="965" t="n"/>
      <c r="I112" s="965" t="n"/>
    </row>
    <row r="113">
      <c r="A113" s="962" t="n"/>
      <c r="B113" s="967" t="n"/>
      <c r="C113" s="967" t="n"/>
      <c r="D113" s="967" t="n"/>
      <c r="E113" s="967" t="n"/>
      <c r="F113" s="967" t="n"/>
      <c r="G113" s="967" t="n"/>
      <c r="H113" s="967" t="n"/>
      <c r="I113" s="967" t="n"/>
    </row>
    <row r="114">
      <c r="A114" s="962" t="n"/>
      <c r="B114" s="964" t="n"/>
      <c r="C114" s="964" t="n"/>
      <c r="D114" s="964" t="n"/>
      <c r="E114" s="964" t="n"/>
      <c r="F114" s="964" t="n"/>
      <c r="G114" s="964" t="n"/>
      <c r="H114" s="964" t="n"/>
      <c r="I114" s="964" t="n"/>
    </row>
    <row r="115">
      <c r="A115" s="962" t="n"/>
      <c r="B115" s="964" t="n"/>
      <c r="C115" s="964" t="n"/>
      <c r="D115" s="964" t="n"/>
      <c r="E115" s="964" t="n"/>
      <c r="F115" s="964" t="n"/>
      <c r="G115" s="964" t="n"/>
      <c r="H115" s="964" t="n"/>
      <c r="I115" s="964" t="n"/>
    </row>
    <row r="116">
      <c r="A116" s="962" t="n"/>
      <c r="B116" s="964" t="n"/>
      <c r="C116" s="964" t="n"/>
      <c r="D116" s="964" t="n"/>
      <c r="E116" s="964" t="n"/>
      <c r="F116" s="964" t="n"/>
      <c r="G116" s="964" t="n"/>
      <c r="H116" s="964" t="n"/>
      <c r="I116" s="964" t="n"/>
    </row>
    <row r="117">
      <c r="A117" s="962" t="n"/>
      <c r="B117" s="964" t="n"/>
      <c r="C117" s="964" t="n"/>
      <c r="D117" s="964" t="n"/>
      <c r="E117" s="964" t="n"/>
      <c r="F117" s="964" t="n"/>
      <c r="G117" s="964" t="n"/>
      <c r="H117" s="964" t="n"/>
      <c r="I117" s="964" t="n"/>
    </row>
    <row r="118">
      <c r="A118" s="962" t="n"/>
      <c r="B118" s="964" t="n"/>
      <c r="C118" s="964" t="n"/>
      <c r="D118" s="964" t="n"/>
      <c r="E118" s="964" t="n"/>
      <c r="F118" s="964" t="n"/>
      <c r="G118" s="964" t="n"/>
      <c r="H118" s="964" t="n"/>
      <c r="I118" s="964" t="n"/>
    </row>
    <row r="119">
      <c r="A119" s="962" t="n"/>
      <c r="B119" s="964" t="n"/>
      <c r="C119" s="964" t="n"/>
      <c r="D119" s="964" t="n"/>
      <c r="E119" s="964" t="n"/>
      <c r="F119" s="964" t="n"/>
      <c r="G119" s="964" t="n"/>
      <c r="H119" s="964" t="n"/>
      <c r="I119" s="964" t="n"/>
    </row>
    <row r="120">
      <c r="A120" s="962" t="n"/>
      <c r="B120" s="964" t="n"/>
      <c r="C120" s="964" t="n"/>
      <c r="D120" s="964" t="n"/>
      <c r="E120" s="964" t="n"/>
      <c r="F120" s="964" t="n"/>
      <c r="G120" s="964" t="n"/>
      <c r="H120" s="964" t="n"/>
      <c r="I120" s="964" t="n"/>
    </row>
    <row r="121">
      <c r="A121" s="962" t="n"/>
      <c r="B121" s="964" t="n"/>
      <c r="C121" s="964" t="n"/>
      <c r="D121" s="964" t="n"/>
      <c r="E121" s="964" t="n"/>
      <c r="F121" s="964" t="n"/>
      <c r="G121" s="964" t="n"/>
      <c r="H121" s="964" t="n"/>
      <c r="I121" s="964" t="n"/>
    </row>
    <row r="122">
      <c r="A122" s="962" t="n"/>
      <c r="B122" s="964" t="n"/>
      <c r="C122" s="964" t="n"/>
      <c r="D122" s="964" t="n"/>
      <c r="E122" s="964" t="n"/>
      <c r="F122" s="964" t="n"/>
      <c r="G122" s="964" t="n"/>
      <c r="H122" s="964" t="n"/>
      <c r="I122" s="964" t="n"/>
    </row>
    <row r="123">
      <c r="A123" s="962" t="n"/>
      <c r="B123" s="967" t="n"/>
      <c r="C123" s="967" t="n"/>
      <c r="D123" s="967" t="n"/>
      <c r="E123" s="967" t="n"/>
      <c r="F123" s="967" t="n"/>
      <c r="G123" s="967" t="n"/>
      <c r="H123" s="967" t="n"/>
      <c r="I123" s="967" t="n"/>
    </row>
    <row r="124">
      <c r="A124" s="962" t="n"/>
      <c r="B124" s="963" t="n"/>
      <c r="C124" s="963" t="n"/>
      <c r="D124" s="964" t="n"/>
      <c r="E124" s="963" t="n"/>
      <c r="F124" s="963" t="n"/>
      <c r="G124" s="964" t="n"/>
      <c r="H124" s="963" t="n"/>
      <c r="I124" s="964" t="n"/>
    </row>
    <row r="125">
      <c r="A125" s="962" t="n"/>
      <c r="B125" s="963" t="n"/>
      <c r="C125" s="963" t="n"/>
      <c r="D125" s="964" t="n"/>
      <c r="E125" s="963" t="n"/>
      <c r="F125" s="963" t="n"/>
      <c r="G125" s="964" t="n"/>
      <c r="H125" s="963" t="n"/>
      <c r="I125" s="964" t="n"/>
    </row>
    <row r="126">
      <c r="A126" s="962" t="n"/>
      <c r="B126" s="963" t="n"/>
      <c r="C126" s="963" t="n"/>
      <c r="D126" s="964" t="n"/>
      <c r="E126" s="963" t="n"/>
      <c r="F126" s="963" t="n"/>
      <c r="G126" s="964" t="n"/>
      <c r="H126" s="963" t="n"/>
      <c r="I126" s="964" t="n"/>
    </row>
    <row r="127">
      <c r="A127" s="962" t="n"/>
      <c r="B127" s="963" t="n"/>
      <c r="C127" s="963" t="n"/>
      <c r="D127" s="964" t="n"/>
      <c r="E127" s="963" t="n"/>
      <c r="F127" s="963" t="n"/>
      <c r="G127" s="964" t="n"/>
      <c r="H127" s="963" t="n"/>
      <c r="I127" s="964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27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34" customWidth="1" min="1" max="1"/>
    <col width="43" customWidth="1" min="2" max="2"/>
    <col width="34" customWidth="1" min="3" max="3"/>
    <col width="31" customWidth="1" min="4" max="5"/>
    <col width="14" customWidth="1" min="6" max="6"/>
    <col width="34" customWidth="1" min="7" max="7"/>
    <col width="31" customWidth="1" min="8" max="8"/>
    <col width="32" customWidth="1" min="9" max="9"/>
    <col width="43" customWidth="1" min="10" max="10"/>
    <col width="34" customWidth="1" min="11" max="11"/>
    <col width="35" customWidth="1" min="12" max="12"/>
    <col width="14" customWidth="1" min="13" max="13"/>
  </cols>
  <sheetData>
    <row r="1">
      <c r="A1" s="883" t="n"/>
      <c r="B1" s="884" t="inlineStr">
        <is>
          <t>January</t>
        </is>
      </c>
      <c r="C1" s="884" t="inlineStr">
        <is>
          <t>February</t>
        </is>
      </c>
      <c r="D1" s="884" t="inlineStr">
        <is>
          <t>March</t>
        </is>
      </c>
      <c r="E1" s="884" t="inlineStr">
        <is>
          <t>April</t>
        </is>
      </c>
      <c r="F1" s="884" t="inlineStr">
        <is>
          <t>May</t>
        </is>
      </c>
      <c r="G1" s="884" t="inlineStr">
        <is>
          <t>June</t>
        </is>
      </c>
      <c r="H1" s="884" t="inlineStr">
        <is>
          <t>July</t>
        </is>
      </c>
      <c r="I1" s="884" t="inlineStr">
        <is>
          <t>August</t>
        </is>
      </c>
      <c r="J1" s="884" t="inlineStr">
        <is>
          <t>September</t>
        </is>
      </c>
      <c r="K1" s="884" t="inlineStr">
        <is>
          <t>October</t>
        </is>
      </c>
      <c r="L1" s="884" t="inlineStr">
        <is>
          <t>November</t>
        </is>
      </c>
      <c r="M1" s="885" t="inlineStr">
        <is>
          <t>December</t>
        </is>
      </c>
    </row>
    <row r="2" ht="14.5" customHeight="1">
      <c r="A2" s="886" t="inlineStr">
        <is>
          <t>Trades</t>
        </is>
      </c>
      <c r="B2" s="887" t="n">
        <v>66</v>
      </c>
      <c r="C2" s="887" t="n">
        <v>95</v>
      </c>
      <c r="D2" s="887" t="n">
        <v>40</v>
      </c>
      <c r="E2" s="887" t="n">
        <v>4</v>
      </c>
      <c r="F2" s="887" t="n">
        <v>0</v>
      </c>
      <c r="G2" s="887" t="n">
        <v>13</v>
      </c>
      <c r="H2" s="887" t="n">
        <v>33</v>
      </c>
      <c r="I2" s="887" t="n">
        <v>13</v>
      </c>
      <c r="J2" s="887" t="n">
        <v>11</v>
      </c>
      <c r="K2" s="887" t="n">
        <v>22</v>
      </c>
      <c r="L2" s="887" t="n">
        <v>13</v>
      </c>
      <c r="M2" s="888" t="n">
        <v>0</v>
      </c>
    </row>
    <row r="3" ht="14.5" customHeight="1">
      <c r="A3" s="889" t="inlineStr">
        <is>
          <t>Wins</t>
        </is>
      </c>
      <c r="B3" s="890" t="n">
        <v>23</v>
      </c>
      <c r="C3" s="890" t="n">
        <v>33</v>
      </c>
      <c r="D3" s="890" t="n">
        <v>13</v>
      </c>
      <c r="E3" s="890" t="n">
        <v>0</v>
      </c>
      <c r="F3" s="890" t="n">
        <v>0</v>
      </c>
      <c r="G3" s="890" t="n">
        <v>6</v>
      </c>
      <c r="H3" s="890" t="n">
        <v>8</v>
      </c>
      <c r="I3" s="890" t="n">
        <v>2</v>
      </c>
      <c r="J3" s="890" t="n">
        <v>2</v>
      </c>
      <c r="K3" s="890" t="n">
        <v>11</v>
      </c>
      <c r="L3" s="890" t="n">
        <v>4</v>
      </c>
      <c r="M3" s="891" t="n">
        <v>0</v>
      </c>
    </row>
    <row r="4" ht="14.5" customHeight="1">
      <c r="A4" s="889" t="inlineStr">
        <is>
          <t>Losses</t>
        </is>
      </c>
      <c r="B4" s="892" t="n">
        <v>42</v>
      </c>
      <c r="C4" s="892" t="n">
        <v>62</v>
      </c>
      <c r="D4" s="892" t="n">
        <v>27</v>
      </c>
      <c r="E4" s="892" t="n">
        <v>4</v>
      </c>
      <c r="F4" s="892" t="n">
        <v>0</v>
      </c>
      <c r="G4" s="892" t="n">
        <v>6</v>
      </c>
      <c r="H4" s="892" t="n">
        <v>25</v>
      </c>
      <c r="I4" s="892" t="n">
        <v>11</v>
      </c>
      <c r="J4" s="892" t="n">
        <v>9</v>
      </c>
      <c r="K4" s="892" t="n">
        <v>10</v>
      </c>
      <c r="L4" s="892" t="n">
        <v>9</v>
      </c>
      <c r="M4" s="893" t="n">
        <v>0</v>
      </c>
    </row>
    <row r="5" ht="14.5" customHeight="1">
      <c r="A5" s="889" t="inlineStr">
        <is>
          <t>Break-even</t>
        </is>
      </c>
      <c r="B5" s="887" t="n">
        <v>1</v>
      </c>
      <c r="C5" s="887" t="n">
        <v>0</v>
      </c>
      <c r="D5" s="887" t="n">
        <v>0</v>
      </c>
      <c r="E5" s="887" t="n">
        <v>0</v>
      </c>
      <c r="F5" s="887" t="n">
        <v>0</v>
      </c>
      <c r="G5" s="887" t="n">
        <v>1</v>
      </c>
      <c r="H5" s="887" t="n">
        <v>0</v>
      </c>
      <c r="I5" s="887" t="n">
        <v>0</v>
      </c>
      <c r="J5" s="887" t="n">
        <v>0</v>
      </c>
      <c r="K5" s="887" t="n">
        <v>1</v>
      </c>
      <c r="L5" s="887" t="n">
        <v>0</v>
      </c>
      <c r="M5" s="888" t="n">
        <v>0</v>
      </c>
    </row>
    <row r="6" ht="14.5" customHeight="1">
      <c r="A6" s="889" t="inlineStr">
        <is>
          <t>Test</t>
        </is>
      </c>
      <c r="B6" s="887" t="n">
        <v>0</v>
      </c>
      <c r="C6" s="887" t="n">
        <v>0</v>
      </c>
      <c r="D6" s="887" t="n">
        <v>0</v>
      </c>
      <c r="E6" s="887" t="n">
        <v>0</v>
      </c>
      <c r="F6" s="887" t="n">
        <v>0</v>
      </c>
      <c r="G6" s="887" t="n">
        <v>0</v>
      </c>
      <c r="H6" s="887" t="n">
        <v>0</v>
      </c>
      <c r="I6" s="887" t="n">
        <v>0</v>
      </c>
      <c r="J6" s="887" t="n">
        <v>0</v>
      </c>
      <c r="K6" s="887" t="n">
        <v>0</v>
      </c>
      <c r="L6" s="887" t="n">
        <v>0</v>
      </c>
      <c r="M6" s="888" t="n">
        <v>0</v>
      </c>
    </row>
    <row r="7" ht="14.5" customHeight="1">
      <c r="A7" s="886" t="inlineStr">
        <is>
          <t>Win rate</t>
        </is>
      </c>
      <c r="B7" s="894" t="n">
        <v>0.3484848484848485</v>
      </c>
      <c r="C7" s="894" t="n">
        <v>0.3473684210526315</v>
      </c>
      <c r="D7" s="894" t="n">
        <v>0.325</v>
      </c>
      <c r="E7" s="894" t="n">
        <v>0</v>
      </c>
      <c r="F7" s="894" t="inlineStr"/>
      <c r="G7" s="894" t="n">
        <v>0.4615384615384615</v>
      </c>
      <c r="H7" s="894" t="n">
        <v>0.2424242424242424</v>
      </c>
      <c r="I7" s="894" t="n">
        <v>0.1538461538461539</v>
      </c>
      <c r="J7" s="894" t="n">
        <v>0.1818181818181818</v>
      </c>
      <c r="K7" s="894" t="n">
        <v>0.5</v>
      </c>
      <c r="L7" s="894" t="n">
        <v>0.3076923076923077</v>
      </c>
      <c r="M7" s="895" t="inlineStr"/>
    </row>
    <row r="8" ht="14.5" customHeight="1">
      <c r="A8" s="886" t="inlineStr">
        <is>
          <t>Net P/L</t>
        </is>
      </c>
      <c r="B8" s="896" t="n">
        <v>-0.06150710571853276</v>
      </c>
      <c r="C8" s="896" t="n">
        <v>-0.1804812110387265</v>
      </c>
      <c r="D8" s="896" t="n">
        <v>-0.1055459234008033</v>
      </c>
      <c r="E8" s="896" t="n">
        <v>-0.01424062710016781</v>
      </c>
      <c r="F8" s="894" t="inlineStr"/>
      <c r="G8" s="897" t="n">
        <v>0.01272968402728127</v>
      </c>
      <c r="H8" s="896" t="n">
        <v>-0.123460198900343</v>
      </c>
      <c r="I8" s="896" t="n">
        <v>-0.03994170634858647</v>
      </c>
      <c r="J8" s="896" t="n">
        <v>-0.04316878483815086</v>
      </c>
      <c r="K8" s="897" t="n">
        <v>0.04541499214518115</v>
      </c>
      <c r="L8" s="896" t="n">
        <v>-0.04626954229283554</v>
      </c>
      <c r="M8" s="895" t="inlineStr"/>
    </row>
    <row r="9" ht="14.5" customHeight="1">
      <c r="A9" s="886" t="inlineStr">
        <is>
          <t>Gross percent gain</t>
        </is>
      </c>
      <c r="B9" s="897" t="n">
        <v>0.3028822543929517</v>
      </c>
      <c r="C9" s="897" t="n">
        <v>0.3546751087081397</v>
      </c>
      <c r="D9" s="897" t="n">
        <v>0.0789214471792767</v>
      </c>
      <c r="E9" s="897" t="n">
        <v>0</v>
      </c>
      <c r="F9" s="662" t="inlineStr"/>
      <c r="G9" s="897" t="n">
        <v>0.07758357435049117</v>
      </c>
      <c r="H9" s="897" t="n">
        <v>0.1041105323487009</v>
      </c>
      <c r="I9" s="897" t="n">
        <v>0.04828813408865226</v>
      </c>
      <c r="J9" s="897" t="n">
        <v>0.01194521396837172</v>
      </c>
      <c r="K9" s="897" t="n">
        <v>0.1084009536959919</v>
      </c>
      <c r="L9" s="897" t="n">
        <v>0.02383552406484336</v>
      </c>
      <c r="M9" s="663" t="inlineStr"/>
    </row>
    <row r="10" ht="14.5" customHeight="1">
      <c r="A10" s="886" t="inlineStr">
        <is>
          <t>Gross percent loss</t>
        </is>
      </c>
      <c r="B10" s="896" t="n">
        <v>0.3643893601114844</v>
      </c>
      <c r="C10" s="896" t="n">
        <v>0.5351563197468663</v>
      </c>
      <c r="D10" s="896" t="n">
        <v>0.18446737058008</v>
      </c>
      <c r="E10" s="896" t="n">
        <v>0.01424062710016781</v>
      </c>
      <c r="F10" s="662" t="inlineStr"/>
      <c r="G10" s="896" t="n">
        <v>0.06485389032320989</v>
      </c>
      <c r="H10" s="896" t="n">
        <v>0.2275707312490438</v>
      </c>
      <c r="I10" s="896" t="n">
        <v>0.08822984043723872</v>
      </c>
      <c r="J10" s="896" t="n">
        <v>0.05511399880652258</v>
      </c>
      <c r="K10" s="896" t="n">
        <v>0.06298596155081072</v>
      </c>
      <c r="L10" s="896" t="n">
        <v>0.07010506635767891</v>
      </c>
      <c r="M10" s="663" t="inlineStr"/>
    </row>
    <row r="11" ht="14.5" customHeight="1">
      <c r="A11" s="886" t="inlineStr">
        <is>
          <t>Gross IR gain</t>
        </is>
      </c>
      <c r="B11" s="900" t="n">
        <v>35.28550770866531</v>
      </c>
      <c r="C11" s="900" t="n">
        <v>54.28828439676126</v>
      </c>
      <c r="D11" s="900" t="n">
        <v>14.64011904761974</v>
      </c>
      <c r="E11" s="900" t="n">
        <v>0</v>
      </c>
      <c r="F11" s="977" t="inlineStr"/>
      <c r="G11" s="900" t="n">
        <v>10.83071428571452</v>
      </c>
      <c r="H11" s="900" t="n">
        <v>15.72495143745223</v>
      </c>
      <c r="I11" s="900" t="n">
        <v>5.485919540229821</v>
      </c>
      <c r="J11" s="900" t="n">
        <v>1.253676470588338</v>
      </c>
      <c r="K11" s="900" t="n">
        <v>14.44744438913777</v>
      </c>
      <c r="L11" s="900" t="n">
        <v>3.230943847072895</v>
      </c>
      <c r="M11" s="978" t="inlineStr"/>
    </row>
    <row r="12" ht="14.5" customHeight="1">
      <c r="A12" s="886" t="inlineStr">
        <is>
          <t>Gross IR loss</t>
        </is>
      </c>
      <c r="B12" s="902" t="n">
        <v>34.87199448917117</v>
      </c>
      <c r="C12" s="902" t="n">
        <v>55.99710272957072</v>
      </c>
      <c r="D12" s="902" t="n">
        <v>25.78529609279635</v>
      </c>
      <c r="E12" s="902" t="n">
        <v>3.337062937063127</v>
      </c>
      <c r="F12" s="977" t="inlineStr"/>
      <c r="G12" s="902" t="n">
        <v>6.520000000000057</v>
      </c>
      <c r="H12" s="902" t="n">
        <v>34.85256654967834</v>
      </c>
      <c r="I12" s="902" t="n">
        <v>10.06947368421083</v>
      </c>
      <c r="J12" s="902" t="n">
        <v>6.854801929064956</v>
      </c>
      <c r="K12" s="902" t="n">
        <v>8.147368421052661</v>
      </c>
      <c r="L12" s="902" t="n">
        <v>7.568750968330032</v>
      </c>
      <c r="M12" s="978" t="inlineStr"/>
    </row>
    <row r="13" ht="14.5" customHeight="1">
      <c r="A13" s="886" t="inlineStr">
        <is>
          <t>Best Win Streak</t>
        </is>
      </c>
      <c r="B13" s="890" t="n">
        <v>3</v>
      </c>
      <c r="C13" s="890" t="n">
        <v>5</v>
      </c>
      <c r="D13" s="890" t="n">
        <v>2</v>
      </c>
      <c r="E13" s="945" t="inlineStr"/>
      <c r="F13" s="945" t="inlineStr"/>
      <c r="G13" s="890" t="n">
        <v>2</v>
      </c>
      <c r="H13" s="890" t="n">
        <v>3</v>
      </c>
      <c r="I13" s="890" t="n">
        <v>2</v>
      </c>
      <c r="J13" s="890" t="n">
        <v>2</v>
      </c>
      <c r="K13" s="890" t="n">
        <v>5</v>
      </c>
      <c r="L13" s="890" t="n">
        <v>2</v>
      </c>
      <c r="M13" s="946" t="inlineStr"/>
    </row>
    <row r="14" ht="14.5" customHeight="1">
      <c r="A14" s="889" t="inlineStr">
        <is>
          <t>Start</t>
        </is>
      </c>
      <c r="B14" s="661" t="inlineStr">
        <is>
          <t>2019-01-10 05:00:00</t>
        </is>
      </c>
      <c r="C14" s="661" t="inlineStr">
        <is>
          <t>2019-02-11 22:19:00</t>
        </is>
      </c>
      <c r="D14" s="661" t="inlineStr">
        <is>
          <t>2019-03-05 01:52:00</t>
        </is>
      </c>
      <c r="E14" s="917" t="inlineStr"/>
      <c r="F14" s="917" t="inlineStr"/>
      <c r="G14" s="661" t="inlineStr">
        <is>
          <t>2019-06-18 02:38:00</t>
        </is>
      </c>
      <c r="H14" s="661" t="inlineStr">
        <is>
          <t>2019-07-02 23:42:00</t>
        </is>
      </c>
      <c r="I14" s="661" t="inlineStr">
        <is>
          <t>2019-08-16 19:08:00</t>
        </is>
      </c>
      <c r="J14" s="661" t="inlineStr">
        <is>
          <t>2019-09-07 06:30:00</t>
        </is>
      </c>
      <c r="K14" s="661" t="inlineStr">
        <is>
          <t>2019-10-16 02:54:00</t>
        </is>
      </c>
      <c r="L14" s="661" t="inlineStr">
        <is>
          <t>2019-11-23 00:11:00</t>
        </is>
      </c>
      <c r="M14" s="918" t="inlineStr"/>
    </row>
    <row r="15" ht="14.5" customHeight="1">
      <c r="A15" s="889" t="inlineStr">
        <is>
          <t>End</t>
        </is>
      </c>
      <c r="B15" s="661" t="inlineStr">
        <is>
          <t>2019-01-12 03:00:00</t>
        </is>
      </c>
      <c r="C15" s="661" t="inlineStr">
        <is>
          <t>2019-02-12 01:35:00</t>
        </is>
      </c>
      <c r="D15" s="661" t="inlineStr">
        <is>
          <t>2019-03-05 08:13:00</t>
        </is>
      </c>
      <c r="E15" s="917" t="inlineStr"/>
      <c r="F15" s="917" t="inlineStr"/>
      <c r="G15" s="661" t="inlineStr">
        <is>
          <t>2019-06-19 01:23:00</t>
        </is>
      </c>
      <c r="H15" s="661" t="inlineStr">
        <is>
          <t>2019-07-04 00:12:00</t>
        </is>
      </c>
      <c r="I15" s="661" t="inlineStr">
        <is>
          <t>2019-08-20 15:29:00</t>
        </is>
      </c>
      <c r="J15" s="661" t="inlineStr">
        <is>
          <t>2019-09-19 03:31:00</t>
        </is>
      </c>
      <c r="K15" s="661" t="inlineStr">
        <is>
          <t>2019-10-19 06:00:00</t>
        </is>
      </c>
      <c r="L15" s="661" t="inlineStr">
        <is>
          <t>2019-11-27 00:45:00</t>
        </is>
      </c>
      <c r="M15" s="918" t="inlineStr"/>
    </row>
    <row r="16" ht="14.5" customHeight="1">
      <c r="A16" s="886" t="inlineStr">
        <is>
          <t>Worst Losing Streak</t>
        </is>
      </c>
      <c r="B16" s="892" t="n">
        <v>9</v>
      </c>
      <c r="C16" s="892" t="n">
        <v>8</v>
      </c>
      <c r="D16" s="892" t="n">
        <v>9</v>
      </c>
      <c r="E16" s="892" t="n">
        <v>4</v>
      </c>
      <c r="F16" s="945" t="inlineStr"/>
      <c r="G16" s="892" t="n">
        <v>2</v>
      </c>
      <c r="H16" s="892" t="n">
        <v>7</v>
      </c>
      <c r="I16" s="892" t="n">
        <v>6</v>
      </c>
      <c r="J16" s="892" t="n">
        <v>6</v>
      </c>
      <c r="K16" s="892" t="n">
        <v>3</v>
      </c>
      <c r="L16" s="892" t="n">
        <v>6</v>
      </c>
      <c r="M16" s="946" t="inlineStr"/>
    </row>
    <row r="17" ht="14.5" customHeight="1">
      <c r="A17" s="889" t="inlineStr">
        <is>
          <t>Start</t>
        </is>
      </c>
      <c r="B17" s="661" t="inlineStr">
        <is>
          <t>2019-01-04 23:13:00</t>
        </is>
      </c>
      <c r="C17" s="661" t="inlineStr">
        <is>
          <t>2019-02-05 01:13:00</t>
        </is>
      </c>
      <c r="D17" s="661" t="inlineStr">
        <is>
          <t>2019-03-18 22:08:00</t>
        </is>
      </c>
      <c r="E17" s="661" t="inlineStr">
        <is>
          <t>2019-04-05 03:51:00</t>
        </is>
      </c>
      <c r="F17" s="917" t="inlineStr"/>
      <c r="G17" s="661" t="inlineStr">
        <is>
          <t>2019-06-20 01:57:00</t>
        </is>
      </c>
      <c r="H17" s="661" t="inlineStr">
        <is>
          <t>2019-07-16 22:50:00</t>
        </is>
      </c>
      <c r="I17" s="661" t="inlineStr">
        <is>
          <t>2019-08-02 22:57:00</t>
        </is>
      </c>
      <c r="J17" s="661" t="inlineStr">
        <is>
          <t>2019-09-19 11:09:00</t>
        </is>
      </c>
      <c r="K17" s="661" t="inlineStr">
        <is>
          <t>2019-10-24 23:48:00</t>
        </is>
      </c>
      <c r="L17" s="661" t="inlineStr">
        <is>
          <t>2019-11-09 01:00:00</t>
        </is>
      </c>
      <c r="M17" s="918" t="inlineStr"/>
    </row>
    <row r="18" ht="14.5" customHeight="1">
      <c r="A18" s="889" t="inlineStr">
        <is>
          <t>End</t>
        </is>
      </c>
      <c r="B18" s="661" t="inlineStr">
        <is>
          <t>2019-01-09 03:35:00</t>
        </is>
      </c>
      <c r="C18" s="661" t="inlineStr">
        <is>
          <t>2019-02-05 16:12:00</t>
        </is>
      </c>
      <c r="D18" s="661" t="inlineStr">
        <is>
          <t>2019-03-27 03:18:00</t>
        </is>
      </c>
      <c r="E18" s="661" t="inlineStr">
        <is>
          <t>2019-04-11 17:48:00</t>
        </is>
      </c>
      <c r="F18" s="917" t="inlineStr"/>
      <c r="G18" s="661" t="inlineStr">
        <is>
          <t>2019-06-21 00:30:00</t>
        </is>
      </c>
      <c r="H18" s="661" t="inlineStr">
        <is>
          <t>2019-07-22 23:44:00</t>
        </is>
      </c>
      <c r="I18" s="661" t="inlineStr">
        <is>
          <t>2019-08-07 21:12:00</t>
        </is>
      </c>
      <c r="J18" s="661" t="inlineStr">
        <is>
          <t>2019-09-28 01:39:00</t>
        </is>
      </c>
      <c r="K18" s="661" t="inlineStr">
        <is>
          <t>2019-10-25 18:37:00</t>
        </is>
      </c>
      <c r="L18" s="661" t="inlineStr">
        <is>
          <t>2019-11-20 05:20:00</t>
        </is>
      </c>
      <c r="M18" s="918" t="inlineStr"/>
    </row>
    <row r="19" ht="14.5" customHeight="1">
      <c r="A19" s="886" t="inlineStr">
        <is>
          <t>Percentage expectancy</t>
        </is>
      </c>
      <c r="B19" s="905" t="n">
        <v>-0.0009319258442201933</v>
      </c>
      <c r="C19" s="896" t="n">
        <v>-0.001899802221460279</v>
      </c>
      <c r="D19" s="896" t="n">
        <v>-0.002638648085020084</v>
      </c>
      <c r="E19" s="896" t="n">
        <v>-0.003560156775041952</v>
      </c>
      <c r="F19" s="894" t="inlineStr"/>
      <c r="G19" s="906" t="n">
        <v>0.0009792064636370212</v>
      </c>
      <c r="H19" s="896" t="n">
        <v>-0.003741218148495242</v>
      </c>
      <c r="I19" s="896" t="n">
        <v>-0.003072438949891267</v>
      </c>
      <c r="J19" s="896" t="n">
        <v>-0.003924434985286442</v>
      </c>
      <c r="K19" s="897" t="n">
        <v>0.002064317824780961</v>
      </c>
      <c r="L19" s="896" t="n">
        <v>-0.003559195560987349</v>
      </c>
      <c r="M19" s="895" t="inlineStr"/>
    </row>
    <row r="20" ht="14.5" customHeight="1">
      <c r="A20" s="907" t="inlineStr">
        <is>
          <t>R expectancy</t>
        </is>
      </c>
      <c r="B20" s="979" t="n">
        <v>0.006265351810517179</v>
      </c>
      <c r="C20" s="910" t="n">
        <v>-0.01798756139799428</v>
      </c>
      <c r="D20" s="909" t="n">
        <v>-0.2786294261294152</v>
      </c>
      <c r="E20" s="909" t="n">
        <v>-0.8342657342657817</v>
      </c>
      <c r="F20" s="980" t="inlineStr"/>
      <c r="G20" s="970" t="n">
        <v>0.33159340659342</v>
      </c>
      <c r="H20" s="909" t="n">
        <v>-0.5796247003704883</v>
      </c>
      <c r="I20" s="909" t="n">
        <v>-0.3525810879985394</v>
      </c>
      <c r="J20" s="909" t="n">
        <v>-0.5091932234978743</v>
      </c>
      <c r="K20" s="970" t="n">
        <v>0.2863670894584142</v>
      </c>
      <c r="L20" s="909" t="n">
        <v>-0.3336774708659336</v>
      </c>
      <c r="M20" s="981" t="inlineStr"/>
    </row>
    <row r="21" ht="14.5" customHeight="1">
      <c r="A21" s="913" t="inlineStr">
        <is>
          <t>Avg stop %</t>
        </is>
      </c>
      <c r="B21" s="915" t="n">
        <v>0.001181513788686843</v>
      </c>
      <c r="C21" s="914" t="n">
        <v>0.0006880003070266357</v>
      </c>
      <c r="D21" s="914" t="n">
        <v>0.0006852406313748399</v>
      </c>
      <c r="E21" s="915" t="n">
        <v>0.001036402064315664</v>
      </c>
      <c r="F21" s="915" t="inlineStr"/>
      <c r="G21" s="914" t="n">
        <v>0.000517432381275715</v>
      </c>
      <c r="H21" s="914" t="n">
        <v>0.0007242740316843415</v>
      </c>
      <c r="I21" s="915" t="n">
        <v>0.00120799964457479</v>
      </c>
      <c r="J21" s="915" t="n">
        <v>0.002672837716995223</v>
      </c>
      <c r="K21" s="915" t="n">
        <v>0.002747271394584549</v>
      </c>
      <c r="L21" s="915" t="n">
        <v>0.002522526152753296</v>
      </c>
      <c r="M21" s="916" t="inlineStr"/>
    </row>
    <row r="22" ht="14.5" customHeight="1">
      <c r="A22" s="889" t="inlineStr">
        <is>
          <t>Avg target %</t>
        </is>
      </c>
      <c r="B22" s="894" t="n">
        <v>0.002459569579205453</v>
      </c>
      <c r="C22" s="894" t="n">
        <v>0.001379871195494238</v>
      </c>
      <c r="D22" s="894" t="n">
        <v>0.001665928125207192</v>
      </c>
      <c r="E22" s="894" t="n">
        <v>0.002155711381656223</v>
      </c>
      <c r="F22" s="894" t="inlineStr"/>
      <c r="G22" s="894" t="n">
        <v>0.001405262366260494</v>
      </c>
      <c r="H22" s="894" t="n">
        <v>0.002171605382405864</v>
      </c>
      <c r="I22" s="894" t="n">
        <v>0.00537306906430112</v>
      </c>
      <c r="J22" s="894" t="n">
        <v>0.007972489100956806</v>
      </c>
      <c r="K22" s="894" t="n">
        <v>0.006119997002645863</v>
      </c>
      <c r="L22" s="894" t="n">
        <v>0.006048064558743345</v>
      </c>
      <c r="M22" s="895" t="inlineStr"/>
    </row>
    <row r="23" ht="14.5" customHeight="1">
      <c r="A23" s="889" t="inlineStr">
        <is>
          <t>Min stop %</t>
        </is>
      </c>
      <c r="B23" s="917" t="inlineStr">
        <is>
          <t>0.044% - EURUSD 2019-01-22</t>
        </is>
      </c>
      <c r="C23" s="917" t="inlineStr">
        <is>
          <t>0.023% - GBPUSD 2019-02-05</t>
        </is>
      </c>
      <c r="D23" s="917" t="inlineStr">
        <is>
          <t>0.027% - USDJPY 2019-03-06</t>
        </is>
      </c>
      <c r="E23" s="917" t="inlineStr">
        <is>
          <t>0.090% - USDCAD 2019-04-11</t>
        </is>
      </c>
      <c r="F23" s="894" t="inlineStr"/>
      <c r="G23" s="917" t="inlineStr">
        <is>
          <t>0.030% - USDCAD 2019-06-17</t>
        </is>
      </c>
      <c r="H23" s="917" t="inlineStr">
        <is>
          <t>0.011% - GBPAUD 2019-07-25</t>
        </is>
      </c>
      <c r="I23" s="917" t="inlineStr">
        <is>
          <t>0.054% - EURUSD 2019-08-06</t>
        </is>
      </c>
      <c r="J23" s="917" t="inlineStr">
        <is>
          <t>0.17% - EURCHF 2019-09-05</t>
        </is>
      </c>
      <c r="K23" s="917" t="inlineStr">
        <is>
          <t>0.15% - EURUSD 2019-10-23</t>
        </is>
      </c>
      <c r="L23" s="917" t="inlineStr">
        <is>
          <t>0.14% - EURCHF 2019-11-01</t>
        </is>
      </c>
      <c r="M23" s="895" t="inlineStr"/>
    </row>
    <row r="24" ht="14.5" customHeight="1">
      <c r="A24" s="889" t="inlineStr">
        <is>
          <t>Max stop %</t>
        </is>
      </c>
      <c r="B24" s="917" t="inlineStr">
        <is>
          <t>0.49% - AUDUSD 2019-01-30</t>
        </is>
      </c>
      <c r="C24" s="917" t="inlineStr">
        <is>
          <t>0.17% - USDJPY 2019-02-01</t>
        </is>
      </c>
      <c r="D24" s="917" t="inlineStr">
        <is>
          <t>0.18% - AUDUSD 2019-03-22</t>
        </is>
      </c>
      <c r="E24" s="917" t="inlineStr">
        <is>
          <t>0.13% - AUDUSD 2019-04-05</t>
        </is>
      </c>
      <c r="F24" s="894" t="inlineStr"/>
      <c r="G24" s="917" t="inlineStr">
        <is>
          <t>0.092% - NZDCHF 2019-06-29</t>
        </is>
      </c>
      <c r="H24" s="917" t="inlineStr">
        <is>
          <t>0.13% - USDCAD 2019-07-06</t>
        </is>
      </c>
      <c r="I24" s="917" t="inlineStr">
        <is>
          <t>0.23% - GBPJPY 2019-08-16</t>
        </is>
      </c>
      <c r="J24" s="917" t="inlineStr">
        <is>
          <t>0.38% - EURJPY 2019-09-05</t>
        </is>
      </c>
      <c r="K24" s="917" t="inlineStr">
        <is>
          <t>0.56% - EURGBP 2019-10-18</t>
        </is>
      </c>
      <c r="L24" s="917" t="inlineStr">
        <is>
          <t>0.34% - AUDCAD 2019-11-02</t>
        </is>
      </c>
      <c r="M24" s="895" t="inlineStr"/>
    </row>
    <row r="25" ht="14.5" customHeight="1">
      <c r="A25" s="889" t="inlineStr">
        <is>
          <t>Min target %</t>
        </is>
      </c>
      <c r="B25" s="917" t="inlineStr">
        <is>
          <t>0.088% - EURUSD 2019-01-22</t>
        </is>
      </c>
      <c r="C25" s="917" t="inlineStr">
        <is>
          <t>0.00100% - USDCHF 2019-02-27</t>
        </is>
      </c>
      <c r="D25" s="917" t="inlineStr">
        <is>
          <t>0.054% - USDJPY 2019-03-06</t>
        </is>
      </c>
      <c r="E25" s="917" t="inlineStr">
        <is>
          <t>0.015% - GBPUSD 2019-04-11</t>
        </is>
      </c>
      <c r="F25" s="894" t="inlineStr"/>
      <c r="G25" s="917" t="inlineStr">
        <is>
          <t>0.060% - USDCAD 2019-06-17</t>
        </is>
      </c>
      <c r="H25" s="917" t="inlineStr">
        <is>
          <t>0.13% - EURNZD 2019-07-16</t>
        </is>
      </c>
      <c r="I25" s="917" t="inlineStr">
        <is>
          <t>0.16% - AUDNZD 2019-08-20</t>
        </is>
      </c>
      <c r="J25" s="917" t="inlineStr">
        <is>
          <t>0.42% - EURCHF 2019-09-05</t>
        </is>
      </c>
      <c r="K25" s="917" t="inlineStr">
        <is>
          <t>0.31% - EURUSD 2019-10-23</t>
        </is>
      </c>
      <c r="L25" s="917" t="inlineStr">
        <is>
          <t>0.27% - EURCHF 2019-11-01</t>
        </is>
      </c>
      <c r="M25" s="895" t="inlineStr"/>
    </row>
    <row r="26" ht="14.5" customHeight="1">
      <c r="A26" s="919" t="inlineStr">
        <is>
          <t>Max target %</t>
        </is>
      </c>
      <c r="B26" s="920" t="inlineStr">
        <is>
          <t>0.98% - AUDUSD 2019-01-30</t>
        </is>
      </c>
      <c r="C26" s="920" t="inlineStr">
        <is>
          <t>0.35% - USDJPY 2019-02-01</t>
        </is>
      </c>
      <c r="D26" s="920" t="inlineStr">
        <is>
          <t>0.37% - EURUSD 2019-03-01</t>
        </is>
      </c>
      <c r="E26" s="920" t="inlineStr">
        <is>
          <t>0.38% - AUDUSD 2019-04-05</t>
        </is>
      </c>
      <c r="F26" s="982" t="inlineStr"/>
      <c r="G26" s="920" t="inlineStr">
        <is>
          <t>0.23% - USDCAD 2019-06-21</t>
        </is>
      </c>
      <c r="H26" s="920" t="inlineStr">
        <is>
          <t>0.43% - CADCHF 2019-07-20</t>
        </is>
      </c>
      <c r="I26" s="920" t="inlineStr">
        <is>
          <t>1.54% - GBPNZD 2019-08-23</t>
        </is>
      </c>
      <c r="J26" s="920" t="inlineStr">
        <is>
          <t>1.51% - EURNZD 2019-09-06</t>
        </is>
      </c>
      <c r="K26" s="920" t="inlineStr">
        <is>
          <t>1.13% - EURGBP 2019-10-18</t>
        </is>
      </c>
      <c r="L26" s="920" t="inlineStr">
        <is>
          <t>1.02% - AUDCHF 2019-11-23</t>
        </is>
      </c>
      <c r="M26" s="983" t="inlineStr"/>
    </row>
    <row r="27" ht="14.5" customHeight="1">
      <c r="A27" s="913" t="inlineStr">
        <is>
          <t>Avg duration (DD:HH:MM:SS)</t>
        </is>
      </c>
      <c r="B27" s="922" t="inlineStr">
        <is>
          <t>3H 31M 40S</t>
        </is>
      </c>
      <c r="C27" s="922" t="inlineStr">
        <is>
          <t>2H 8M 26S</t>
        </is>
      </c>
      <c r="D27" s="922" t="inlineStr">
        <is>
          <t>1H 11M 6S</t>
        </is>
      </c>
      <c r="E27" s="922" t="inlineStr">
        <is>
          <t>2H 17M 17S</t>
        </is>
      </c>
      <c r="F27" s="922" t="inlineStr"/>
      <c r="G27" s="922" t="inlineStr">
        <is>
          <t>29M 50S</t>
        </is>
      </c>
      <c r="H27" s="922" t="inlineStr">
        <is>
          <t>1H 12M 34S</t>
        </is>
      </c>
      <c r="I27" s="922" t="inlineStr">
        <is>
          <t>3H 46M 45S</t>
        </is>
      </c>
      <c r="J27" s="922" t="inlineStr">
        <is>
          <t>16H 12M 21S</t>
        </is>
      </c>
      <c r="K27" s="922" t="inlineStr">
        <is>
          <t>15H 6M 2S</t>
        </is>
      </c>
      <c r="L27" s="922" t="inlineStr">
        <is>
          <t>15H 22M 23S</t>
        </is>
      </c>
      <c r="M27" s="923" t="inlineStr"/>
    </row>
    <row r="28" ht="14.5" customHeight="1">
      <c r="A28" s="889" t="inlineStr">
        <is>
          <t>Move to Break Even (DD:HH:MM:SS)</t>
        </is>
      </c>
      <c r="B28" s="917" t="inlineStr">
        <is>
          <t>2H 39M 47S</t>
        </is>
      </c>
      <c r="C28" s="917" t="inlineStr">
        <is>
          <t>1H 26M 42S</t>
        </is>
      </c>
      <c r="D28" s="917" t="inlineStr">
        <is>
          <t>1H 7M 32S</t>
        </is>
      </c>
      <c r="E28" s="917" t="inlineStr"/>
      <c r="F28" s="917" t="inlineStr"/>
      <c r="G28" s="917" t="inlineStr">
        <is>
          <t>34M 17S</t>
        </is>
      </c>
      <c r="H28" s="917" t="inlineStr">
        <is>
          <t>1H 0M 50S</t>
        </is>
      </c>
      <c r="I28" s="917" t="inlineStr">
        <is>
          <t>15H 17M 0S</t>
        </is>
      </c>
      <c r="J28" s="917" t="inlineStr">
        <is>
          <t>17H 27M 30S</t>
        </is>
      </c>
      <c r="K28" s="917" t="inlineStr">
        <is>
          <t>12H 36M 0S</t>
        </is>
      </c>
      <c r="L28" s="917" t="inlineStr">
        <is>
          <t>17H 54M 0S</t>
        </is>
      </c>
      <c r="M28" s="918" t="inlineStr"/>
    </row>
    <row r="29" ht="14.5" customHeight="1">
      <c r="A29" s="919" t="inlineStr">
        <is>
          <t>Move to Profit (DD:HH:MM:SS)</t>
        </is>
      </c>
      <c r="B29" s="920" t="inlineStr"/>
      <c r="C29" s="920" t="inlineStr">
        <is>
          <t>2H 48M 52S</t>
        </is>
      </c>
      <c r="D29" s="920" t="inlineStr">
        <is>
          <t>35M 40S</t>
        </is>
      </c>
      <c r="E29" s="920" t="inlineStr"/>
      <c r="F29" s="920" t="inlineStr"/>
      <c r="G29" s="920" t="inlineStr">
        <is>
          <t>26M 30S</t>
        </is>
      </c>
      <c r="H29" s="920" t="inlineStr">
        <is>
          <t>1H 35M 0S</t>
        </is>
      </c>
      <c r="I29" s="920" t="inlineStr"/>
      <c r="J29" s="920" t="inlineStr"/>
      <c r="K29" s="920" t="inlineStr"/>
      <c r="L29" s="920" t="inlineStr"/>
      <c r="M29" s="921" t="inlineStr"/>
    </row>
    <row r="30" ht="14.5" customHeight="1">
      <c r="A30" s="924" t="inlineStr">
        <is>
          <t>Max win %</t>
        </is>
      </c>
      <c r="B30" s="925" t="inlineStr">
        <is>
          <t>2.45% - USDCAD 2019-01-28</t>
        </is>
      </c>
      <c r="C30" s="925" t="inlineStr">
        <is>
          <t>3.08% - EURUSD 2019-02-12</t>
        </is>
      </c>
      <c r="D30" s="925" t="inlineStr">
        <is>
          <t>1.60% - USDCAD 2019-03-07</t>
        </is>
      </c>
      <c r="E30" s="925" t="inlineStr">
        <is>
          <t>-0.050% - GBPUSD 2019-04-11</t>
        </is>
      </c>
      <c r="F30" s="915" t="inlineStr"/>
      <c r="G30" s="925" t="inlineStr">
        <is>
          <t>2.54% - USDCHF 2019-06-25</t>
        </is>
      </c>
      <c r="H30" s="925" t="inlineStr">
        <is>
          <t>2.92% - GBPAUD 2019-07-04</t>
        </is>
      </c>
      <c r="I30" s="925" t="inlineStr">
        <is>
          <t>4.09% - GBPJPY 2019-08-16</t>
        </is>
      </c>
      <c r="J30" s="925" t="inlineStr">
        <is>
          <t>0.99% - NZDUSD 2019-09-19</t>
        </is>
      </c>
      <c r="K30" s="925" t="inlineStr">
        <is>
          <t>2.11% - CADCHF 2019-10-16</t>
        </is>
      </c>
      <c r="L30" s="925" t="inlineStr">
        <is>
          <t>1.67% - GBPUSD 2019-11-27</t>
        </is>
      </c>
      <c r="M30" s="916" t="inlineStr"/>
    </row>
    <row r="31" ht="14.5" customHeight="1">
      <c r="A31" s="886" t="inlineStr">
        <is>
          <t>Max loss %</t>
        </is>
      </c>
      <c r="B31" s="927" t="inlineStr">
        <is>
          <t>-1.70% - GBPUSD 2019-01-28</t>
        </is>
      </c>
      <c r="C31" s="927" t="inlineStr">
        <is>
          <t>-1.53% - USDJPY 2019-02-01</t>
        </is>
      </c>
      <c r="D31" s="927" t="inlineStr">
        <is>
          <t>-1.02% - USDCAD 2019-03-09</t>
        </is>
      </c>
      <c r="E31" s="927" t="inlineStr">
        <is>
          <t>-0.48% - USDJPY 2019-04-09</t>
        </is>
      </c>
      <c r="F31" s="894" t="inlineStr"/>
      <c r="G31" s="927" t="inlineStr">
        <is>
          <t>-2.17% - USDCAD 2019-06-21</t>
        </is>
      </c>
      <c r="H31" s="927" t="inlineStr">
        <is>
          <t>-1.13% - USDCAD 2019-07-06</t>
        </is>
      </c>
      <c r="I31" s="927" t="inlineStr">
        <is>
          <t>-1.47% - GBPNZD 2019-08-23</t>
        </is>
      </c>
      <c r="J31" s="927" t="inlineStr">
        <is>
          <t>-1.20% - EURJPY 2019-09-05</t>
        </is>
      </c>
      <c r="K31" s="927" t="inlineStr">
        <is>
          <t>-1.02% - CADCHF 2019-10-02</t>
        </is>
      </c>
      <c r="L31" s="927" t="inlineStr">
        <is>
          <t>-1.31% - GBPNZD 2019-11-15</t>
        </is>
      </c>
      <c r="M31" s="895" t="inlineStr"/>
    </row>
    <row r="32" ht="14.5" customHeight="1">
      <c r="A32" s="886" t="inlineStr">
        <is>
          <t>Max R loss</t>
        </is>
      </c>
      <c r="B32" s="927" t="inlineStr">
        <is>
          <t>-1.16R - NZDUSD 2019-01-01</t>
        </is>
      </c>
      <c r="C32" s="927" t="inlineStr">
        <is>
          <t>-1.20R - GBPUSD 2019-02-05</t>
        </is>
      </c>
      <c r="D32" s="927" t="inlineStr">
        <is>
          <t>-1.13R - USDCHF 2019-03-13</t>
        </is>
      </c>
      <c r="E32" s="927" t="inlineStr">
        <is>
          <t>-1.07R - USDCAD 2019-04-11</t>
        </is>
      </c>
      <c r="F32" s="984" t="inlineStr"/>
      <c r="G32" s="927" t="inlineStr">
        <is>
          <t>-1.20R - USDCAD 2019-06-17</t>
        </is>
      </c>
      <c r="H32" s="927" t="inlineStr">
        <is>
          <t>-10.75R - GBPAUD 2019-07-25</t>
        </is>
      </c>
      <c r="I32" s="927" t="inlineStr">
        <is>
          <t>-1.15R - NZDCHF 2019-08-05</t>
        </is>
      </c>
      <c r="J32" s="927" t="inlineStr">
        <is>
          <t>-1.04R - EURCHF 2019-09-05</t>
        </is>
      </c>
      <c r="K32" s="927" t="inlineStr">
        <is>
          <t>-1.00R - AUDJPY 2019-10-14</t>
        </is>
      </c>
      <c r="L32" s="927" t="inlineStr">
        <is>
          <t>-1.04R - EURCHF 2019-11-01</t>
        </is>
      </c>
      <c r="M32" s="985" t="inlineStr"/>
    </row>
    <row r="33" ht="14.5" customHeight="1">
      <c r="A33" s="907" t="inlineStr">
        <is>
          <t>Max R win</t>
        </is>
      </c>
      <c r="B33" s="929" t="inlineStr">
        <is>
          <t>2.07R - AUDUSD 2019-01-16</t>
        </is>
      </c>
      <c r="C33" s="929" t="inlineStr">
        <is>
          <t>2.93R - USDCHF 2019-02-19</t>
        </is>
      </c>
      <c r="D33" s="929" t="inlineStr">
        <is>
          <t>2.01R - USDCAD 2019-03-02</t>
        </is>
      </c>
      <c r="E33" s="929" t="inlineStr">
        <is>
          <t>-0.25R - GBPUSD 2019-04-11</t>
        </is>
      </c>
      <c r="F33" s="980" t="inlineStr"/>
      <c r="G33" s="929" t="inlineStr">
        <is>
          <t>2.82R - USDCHF 2019-06-25</t>
        </is>
      </c>
      <c r="H33" s="929" t="inlineStr">
        <is>
          <t>3.99R - EURAUD 2019-07-16</t>
        </is>
      </c>
      <c r="I33" s="929" t="inlineStr">
        <is>
          <t>3.23R - GBPJPY 2019-08-16</t>
        </is>
      </c>
      <c r="J33" s="929" t="inlineStr">
        <is>
          <t>1.01R - NZDUSD 2019-09-19</t>
        </is>
      </c>
      <c r="K33" s="929" t="inlineStr">
        <is>
          <t>3.04R - CADCHF 2019-10-02</t>
        </is>
      </c>
      <c r="L33" s="929" t="inlineStr">
        <is>
          <t>1.98R - GBPUSD 2019-11-27</t>
        </is>
      </c>
      <c r="M33" s="981" t="inlineStr"/>
    </row>
    <row r="34" ht="14.5" customHeight="1">
      <c r="A34" s="913" t="inlineStr">
        <is>
          <t>Shortest (DD:HH:MM:SS)</t>
        </is>
      </c>
      <c r="B34" s="931" t="inlineStr">
        <is>
          <t>43S - USDCAD 2019-01-10</t>
        </is>
      </c>
      <c r="C34" s="931" t="inlineStr">
        <is>
          <t>2M 0S - USDCAD 2019-02-07</t>
        </is>
      </c>
      <c r="D34" s="931" t="inlineStr">
        <is>
          <t>2M 0S - EURUSD 2019-03-11</t>
        </is>
      </c>
      <c r="E34" s="931" t="inlineStr">
        <is>
          <t>9S - GBPUSD 2019-04-11</t>
        </is>
      </c>
      <c r="F34" s="931" t="inlineStr"/>
      <c r="G34" s="931" t="inlineStr">
        <is>
          <t>1M 0S - GBPNZD 2019-06-27</t>
        </is>
      </c>
      <c r="H34" s="931" t="inlineStr">
        <is>
          <t>1M 0S - GBPCAD 2019-07-01</t>
        </is>
      </c>
      <c r="I34" s="931" t="inlineStr">
        <is>
          <t>49S - CADCHF 2019-08-22</t>
        </is>
      </c>
      <c r="J34" s="931" t="inlineStr">
        <is>
          <t>2H 19M 0S - CADCHF 2019-09-27</t>
        </is>
      </c>
      <c r="K34" s="931" t="inlineStr">
        <is>
          <t>1H 3M 0S - CADCHF 2019-10-02</t>
        </is>
      </c>
      <c r="L34" s="931" t="inlineStr">
        <is>
          <t>24M 0S - CADCHF 2019-11-27</t>
        </is>
      </c>
      <c r="M34" s="932" t="inlineStr"/>
    </row>
    <row r="35" ht="14.5" customHeight="1">
      <c r="A35" s="919" t="inlineStr">
        <is>
          <t>Longest (DD:HH:MM:SS)</t>
        </is>
      </c>
      <c r="B35" s="920" t="inlineStr">
        <is>
          <t>2D 5H 31M 0S - USDCAD 2019-01-28</t>
        </is>
      </c>
      <c r="C35" s="920" t="inlineStr">
        <is>
          <t>2D 6H 10M 0S - USDJPY 2019-02-18</t>
        </is>
      </c>
      <c r="D35" s="920" t="inlineStr">
        <is>
          <t>6H 13M 0S - USDCAD 2019-03-15</t>
        </is>
      </c>
      <c r="E35" s="920" t="inlineStr">
        <is>
          <t>3H 46M 0S - USDCAD 2019-04-11</t>
        </is>
      </c>
      <c r="F35" s="920" t="inlineStr"/>
      <c r="G35" s="920" t="inlineStr">
        <is>
          <t>2H 15M 0S - NZDCHF 2019-06-29</t>
        </is>
      </c>
      <c r="H35" s="920" t="inlineStr">
        <is>
          <t>5H 58M 0S - EURAUD 2019-07-16</t>
        </is>
      </c>
      <c r="I35" s="920" t="inlineStr">
        <is>
          <t>16H 11M 0S - GBPUSD 2019-08-20</t>
        </is>
      </c>
      <c r="J35" s="920" t="inlineStr">
        <is>
          <t>2D 12H 8M 0S - CHFJPY 2019-09-19</t>
        </is>
      </c>
      <c r="K35" s="920" t="inlineStr">
        <is>
          <t>2D 0H 26M 0S - EURJPY 2019-10-04</t>
        </is>
      </c>
      <c r="L35" s="920" t="inlineStr">
        <is>
          <t>2D 0H 27M 0S - AUDCHF 2019-11-23</t>
        </is>
      </c>
      <c r="M35" s="921" t="inlineStr"/>
    </row>
    <row r="36" ht="14.5" customHeight="1">
      <c r="A36" s="924" t="inlineStr">
        <is>
          <t>Winners</t>
        </is>
      </c>
      <c r="B36" s="931" t="inlineStr"/>
      <c r="C36" s="931" t="inlineStr"/>
      <c r="D36" s="931" t="inlineStr"/>
      <c r="E36" s="931" t="inlineStr"/>
      <c r="F36" s="931" t="inlineStr"/>
      <c r="G36" s="931" t="inlineStr"/>
      <c r="H36" s="931" t="inlineStr"/>
      <c r="I36" s="931" t="inlineStr"/>
      <c r="J36" s="931" t="inlineStr"/>
      <c r="K36" s="931" t="inlineStr"/>
      <c r="L36" s="931" t="inlineStr"/>
      <c r="M36" s="932" t="inlineStr"/>
    </row>
    <row r="37" ht="14.5" customHeight="1">
      <c r="A37" s="889" t="inlineStr">
        <is>
          <t>Avg stop %</t>
        </is>
      </c>
      <c r="B37" s="894" t="n">
        <v>0.001218490469830369</v>
      </c>
      <c r="C37" s="933" t="n">
        <v>0.000686364094182199</v>
      </c>
      <c r="D37" s="933" t="n">
        <v>0.0006273763802917686</v>
      </c>
      <c r="E37" s="894" t="inlineStr"/>
      <c r="F37" s="894" t="inlineStr"/>
      <c r="G37" s="933" t="n">
        <v>0.0005370245585832104</v>
      </c>
      <c r="H37" s="933" t="n">
        <v>0.0007157818121968307</v>
      </c>
      <c r="I37" s="894" t="n">
        <v>0.001625647348863064</v>
      </c>
      <c r="J37" s="894" t="n">
        <v>0.002701409754653378</v>
      </c>
      <c r="K37" s="894" t="n">
        <v>0.00290293172859037</v>
      </c>
      <c r="L37" s="894" t="n">
        <v>0.002647635690087106</v>
      </c>
      <c r="M37" s="895" t="inlineStr"/>
    </row>
    <row r="38" ht="14.5" customHeight="1">
      <c r="A38" s="889" t="inlineStr">
        <is>
          <t>Avg target %</t>
        </is>
      </c>
      <c r="B38" s="662" t="n">
        <v>0.00233370371469214</v>
      </c>
      <c r="C38" s="662" t="n">
        <v>0.001380531233549807</v>
      </c>
      <c r="D38" s="662" t="n">
        <v>0.00141076700329081</v>
      </c>
      <c r="E38" s="662" t="inlineStr"/>
      <c r="F38" s="662" t="inlineStr"/>
      <c r="G38" s="662" t="n">
        <v>0.001159484152365683</v>
      </c>
      <c r="H38" s="662" t="n">
        <v>0.002110102747510745</v>
      </c>
      <c r="I38" s="662" t="n">
        <v>0.005812277817944285</v>
      </c>
      <c r="J38" s="662" t="n">
        <v>0.01009862797396618</v>
      </c>
      <c r="K38" s="662" t="n">
        <v>0.006410749521591892</v>
      </c>
      <c r="L38" s="662" t="n">
        <v>0.006882668746531249</v>
      </c>
      <c r="M38" s="663" t="inlineStr"/>
    </row>
    <row r="39" ht="14.5" customHeight="1">
      <c r="A39" s="889" t="inlineStr">
        <is>
          <t>Percentage expectancy</t>
        </is>
      </c>
      <c r="B39" s="897" t="n">
        <v>0.01316879366925877</v>
      </c>
      <c r="C39" s="897" t="n">
        <v>0.01074773056691333</v>
      </c>
      <c r="D39" s="897" t="n">
        <v>0.006070880552252054</v>
      </c>
      <c r="E39" s="894" t="inlineStr"/>
      <c r="F39" s="894" t="inlineStr"/>
      <c r="G39" s="897" t="n">
        <v>0.01293059572508186</v>
      </c>
      <c r="H39" s="897" t="n">
        <v>0.01301381654358761</v>
      </c>
      <c r="I39" s="897" t="n">
        <v>0.02414406704432613</v>
      </c>
      <c r="J39" s="897" t="n">
        <v>0.005972606984185862</v>
      </c>
      <c r="K39" s="897" t="n">
        <v>0.00985463215418108</v>
      </c>
      <c r="L39" s="897" t="n">
        <v>0.00595888101621084</v>
      </c>
      <c r="M39" s="895" t="inlineStr"/>
    </row>
    <row r="40" ht="14.5" customHeight="1">
      <c r="A40" s="889" t="inlineStr">
        <is>
          <t>R expectancy</t>
        </is>
      </c>
      <c r="B40" s="900" t="n">
        <v>1.489530083443116</v>
      </c>
      <c r="C40" s="900" t="n">
        <v>1.609083292160682</v>
      </c>
      <c r="D40" s="900" t="n">
        <v>1.220009920634979</v>
      </c>
      <c r="E40" s="977" t="inlineStr"/>
      <c r="F40" s="977" t="inlineStr"/>
      <c r="G40" s="900" t="n">
        <v>1.805119047619086</v>
      </c>
      <c r="H40" s="900" t="n">
        <v>1.965618929681528</v>
      </c>
      <c r="I40" s="900" t="n">
        <v>2.74295977011491</v>
      </c>
      <c r="J40" s="900" t="n">
        <v>0.6268382352941692</v>
      </c>
      <c r="K40" s="900" t="n">
        <v>1.444744438913777</v>
      </c>
      <c r="L40" s="900" t="n">
        <v>1.076981282357632</v>
      </c>
      <c r="M40" s="978" t="inlineStr"/>
    </row>
    <row r="41" ht="14.5" customHeight="1">
      <c r="A41" s="889" t="inlineStr">
        <is>
          <t>Winners min duration</t>
        </is>
      </c>
      <c r="B41" s="917" t="inlineStr">
        <is>
          <t>26M 0S - USDCHF 2019-01-03</t>
        </is>
      </c>
      <c r="C41" s="917" t="inlineStr">
        <is>
          <t>3M 0S - USDCHF 2019-02-27</t>
        </is>
      </c>
      <c r="D41" s="917" t="inlineStr">
        <is>
          <t>15M 0S - USDCAD 2019-03-07</t>
        </is>
      </c>
      <c r="E41" s="917" t="inlineStr"/>
      <c r="F41" s="917" t="inlineStr"/>
      <c r="G41" s="917" t="inlineStr">
        <is>
          <t>23M 0S - USDCAD 2019-06-14</t>
        </is>
      </c>
      <c r="H41" s="917" t="inlineStr">
        <is>
          <t>52M 0S - CADCHF 2019-07-02</t>
        </is>
      </c>
      <c r="I41" s="917" t="inlineStr">
        <is>
          <t>15H 16M 0S - GBPJPY 2019-08-16</t>
        </is>
      </c>
      <c r="J41" s="917" t="inlineStr">
        <is>
          <t>8H 0M 0S - EURJPY 2019-09-07</t>
        </is>
      </c>
      <c r="K41" s="917" t="inlineStr">
        <is>
          <t>3H 49M 0S - EURCHF 2019-10-17</t>
        </is>
      </c>
      <c r="L41" s="917" t="inlineStr">
        <is>
          <t>13H 20M 0S - GBPUSD 2019-11-27</t>
        </is>
      </c>
      <c r="M41" s="918" t="inlineStr"/>
    </row>
    <row r="42" ht="14.5" customHeight="1">
      <c r="A42" s="889" t="inlineStr">
        <is>
          <t>Winners avg duration</t>
        </is>
      </c>
      <c r="B42" s="917" t="inlineStr">
        <is>
          <t>6H 11M 15S</t>
        </is>
      </c>
      <c r="C42" s="917" t="inlineStr">
        <is>
          <t>3H 45M 20S</t>
        </is>
      </c>
      <c r="D42" s="917" t="inlineStr">
        <is>
          <t>1H 51M 23S</t>
        </is>
      </c>
      <c r="E42" s="917" t="inlineStr"/>
      <c r="F42" s="917" t="inlineStr"/>
      <c r="G42" s="917" t="inlineStr">
        <is>
          <t>54M 40S</t>
        </is>
      </c>
      <c r="H42" s="917" t="inlineStr">
        <is>
          <t>3H 21M 22S</t>
        </is>
      </c>
      <c r="I42" s="917" t="inlineStr">
        <is>
          <t>15H 43M 30S</t>
        </is>
      </c>
      <c r="J42" s="917" t="inlineStr">
        <is>
          <t>12H 32M 30S</t>
        </is>
      </c>
      <c r="K42" s="917" t="inlineStr">
        <is>
          <t>15H 54M 43S</t>
        </is>
      </c>
      <c r="L42" s="917" t="inlineStr">
        <is>
          <t>1D 1H 32M 0S</t>
        </is>
      </c>
      <c r="M42" s="918" t="inlineStr"/>
    </row>
    <row r="43" ht="14.5" customHeight="1">
      <c r="A43" s="919" t="inlineStr">
        <is>
          <t>Winners max duration</t>
        </is>
      </c>
      <c r="B43" s="920" t="inlineStr">
        <is>
          <t>2D 5H 31M 0S - USDCAD 2019-01-28</t>
        </is>
      </c>
      <c r="C43" s="920" t="inlineStr">
        <is>
          <t>2D 6H 10M 0S - USDJPY 2019-02-18</t>
        </is>
      </c>
      <c r="D43" s="920" t="inlineStr">
        <is>
          <t>6H 7M 0S - USDCHF 2019-03-05</t>
        </is>
      </c>
      <c r="E43" s="920" t="inlineStr"/>
      <c r="F43" s="920" t="inlineStr"/>
      <c r="G43" s="920" t="inlineStr">
        <is>
          <t>2H 15M 0S - NZDCHF 2019-06-29</t>
        </is>
      </c>
      <c r="H43" s="920" t="inlineStr">
        <is>
          <t>5H 58M 0S - EURAUD 2019-07-16</t>
        </is>
      </c>
      <c r="I43" s="920" t="inlineStr">
        <is>
          <t>16H 11M 0S - GBPUSD 2019-08-20</t>
        </is>
      </c>
      <c r="J43" s="920" t="inlineStr">
        <is>
          <t>17H 5M 0S - NZDUSD 2019-09-19</t>
        </is>
      </c>
      <c r="K43" s="920" t="inlineStr">
        <is>
          <t>2D 0H 26M 0S - EURJPY 2019-10-04</t>
        </is>
      </c>
      <c r="L43" s="920" t="inlineStr">
        <is>
          <t>2D 0H 27M 0S - AUDCHF 2019-11-23</t>
        </is>
      </c>
      <c r="M43" s="921" t="inlineStr"/>
    </row>
    <row r="44" ht="14.5" customHeight="1">
      <c r="A44" s="924" t="inlineStr">
        <is>
          <t>Losers</t>
        </is>
      </c>
      <c r="B44" s="922" t="inlineStr"/>
      <c r="C44" s="922" t="inlineStr"/>
      <c r="D44" s="922" t="inlineStr"/>
      <c r="E44" s="922" t="inlineStr"/>
      <c r="F44" s="922" t="inlineStr"/>
      <c r="G44" s="922" t="inlineStr"/>
      <c r="H44" s="922" t="inlineStr"/>
      <c r="I44" s="922" t="inlineStr"/>
      <c r="J44" s="922" t="inlineStr"/>
      <c r="K44" s="922" t="inlineStr"/>
      <c r="L44" s="922" t="inlineStr"/>
      <c r="M44" s="923" t="inlineStr"/>
    </row>
    <row r="45" ht="14.5" customHeight="1">
      <c r="A45" s="889" t="inlineStr">
        <is>
          <t>Avg stop %</t>
        </is>
      </c>
      <c r="B45" s="894" t="n">
        <v>0.00117023018469816</v>
      </c>
      <c r="C45" s="933" t="n">
        <v>0.0006888711945083519</v>
      </c>
      <c r="D45" s="933" t="n">
        <v>0.0007131011967111335</v>
      </c>
      <c r="E45" s="894" t="n">
        <v>0.001036402064315664</v>
      </c>
      <c r="F45" s="894" t="inlineStr"/>
      <c r="G45" s="933" t="n">
        <v>0.0005015360118612471</v>
      </c>
      <c r="H45" s="933" t="n">
        <v>0.0007269915419203448</v>
      </c>
      <c r="I45" s="894" t="n">
        <v>0.001132063698340558</v>
      </c>
      <c r="J45" s="894" t="n">
        <v>0.002666488375293411</v>
      </c>
      <c r="K45" s="894" t="n">
        <v>0.002697976912277437</v>
      </c>
      <c r="L45" s="894" t="n">
        <v>0.002466921913938269</v>
      </c>
      <c r="M45" s="895" t="inlineStr"/>
    </row>
    <row r="46" ht="14.5" customHeight="1">
      <c r="A46" s="889" t="inlineStr">
        <is>
          <t>Avg target %</t>
        </is>
      </c>
      <c r="B46" s="935" t="n">
        <v>0.002547419049330265</v>
      </c>
      <c r="C46" s="935" t="n">
        <v>0.001379519884916273</v>
      </c>
      <c r="D46" s="935" t="n">
        <v>0.001788783480203968</v>
      </c>
      <c r="E46" s="935" t="n">
        <v>0.002155711381656223</v>
      </c>
      <c r="F46" s="935" t="inlineStr"/>
      <c r="G46" s="935" t="n">
        <v>0.001530066278490118</v>
      </c>
      <c r="H46" s="935" t="n">
        <v>0.002191286225572302</v>
      </c>
      <c r="I46" s="935" t="n">
        <v>0.005293212927275089</v>
      </c>
      <c r="J46" s="935" t="n">
        <v>0.007500013795843612</v>
      </c>
      <c r="K46" s="935" t="n">
        <v>0.006106578423351494</v>
      </c>
      <c r="L46" s="935" t="n">
        <v>0.005677129364170943</v>
      </c>
      <c r="M46" s="936" t="inlineStr"/>
    </row>
    <row r="47" ht="14.5" customHeight="1">
      <c r="A47" s="889" t="inlineStr">
        <is>
          <t>Percentage expectancy</t>
        </is>
      </c>
      <c r="B47" s="896" t="n">
        <v>-0.008675937145511535</v>
      </c>
      <c r="C47" s="896" t="n">
        <v>-0.008631553544304294</v>
      </c>
      <c r="D47" s="896" t="n">
        <v>-0.00683212483629926</v>
      </c>
      <c r="E47" s="896" t="n">
        <v>-0.003560156775041952</v>
      </c>
      <c r="F47" s="894" t="inlineStr"/>
      <c r="G47" s="896" t="n">
        <v>-0.01080898172053498</v>
      </c>
      <c r="H47" s="896" t="n">
        <v>-0.009102829249961754</v>
      </c>
      <c r="I47" s="896" t="n">
        <v>-0.00802089458520352</v>
      </c>
      <c r="J47" s="896" t="n">
        <v>-0.006123777645169175</v>
      </c>
      <c r="K47" s="896" t="n">
        <v>-0.006298596155081072</v>
      </c>
      <c r="L47" s="896" t="n">
        <v>-0.007789451817519878</v>
      </c>
      <c r="M47" s="895" t="inlineStr"/>
    </row>
    <row r="48" ht="14.5" customHeight="1">
      <c r="A48" s="889" t="inlineStr">
        <is>
          <t>R expectancy</t>
        </is>
      </c>
      <c r="B48" s="902" t="n">
        <v>-0.8717998622292793</v>
      </c>
      <c r="C48" s="902" t="n">
        <v>-0.9654672884408745</v>
      </c>
      <c r="D48" s="902" t="n">
        <v>-0.9550109663998648</v>
      </c>
      <c r="E48" s="902" t="n">
        <v>-0.8342657342657817</v>
      </c>
      <c r="F48" s="984" t="inlineStr"/>
      <c r="G48" s="902" t="n">
        <v>-1.086666666666676</v>
      </c>
      <c r="H48" s="902" t="n">
        <v>-1.394102661987134</v>
      </c>
      <c r="I48" s="902" t="n">
        <v>-1.006947368421083</v>
      </c>
      <c r="J48" s="902" t="n">
        <v>-0.9792574184378509</v>
      </c>
      <c r="K48" s="902" t="n">
        <v>-0.9052631578947401</v>
      </c>
      <c r="L48" s="902" t="n">
        <v>-0.946093871041254</v>
      </c>
      <c r="M48" s="985" t="inlineStr"/>
    </row>
    <row r="49" ht="14.5" customHeight="1">
      <c r="A49" s="889" t="inlineStr">
        <is>
          <t>Losers min duration</t>
        </is>
      </c>
      <c r="B49" s="661" t="inlineStr">
        <is>
          <t>43S - USDCAD 2019-01-10</t>
        </is>
      </c>
      <c r="C49" s="661" t="inlineStr">
        <is>
          <t>2M 0S - USDCAD 2019-02-07</t>
        </is>
      </c>
      <c r="D49" s="661" t="inlineStr">
        <is>
          <t>2M 0S - EURUSD 2019-03-11</t>
        </is>
      </c>
      <c r="E49" s="661" t="inlineStr">
        <is>
          <t>9S - GBPUSD 2019-04-11</t>
        </is>
      </c>
      <c r="F49" s="661" t="inlineStr"/>
      <c r="G49" s="661" t="inlineStr">
        <is>
          <t>1M 0S - GBPNZD 2019-06-27</t>
        </is>
      </c>
      <c r="H49" s="661" t="inlineStr">
        <is>
          <t>1M 0S - GBPCAD 2019-07-01</t>
        </is>
      </c>
      <c r="I49" s="661" t="inlineStr">
        <is>
          <t>49S - CADCHF 2019-08-22</t>
        </is>
      </c>
      <c r="J49" s="661" t="inlineStr">
        <is>
          <t>2H 19M 0S - CADCHF 2019-09-27</t>
        </is>
      </c>
      <c r="K49" s="661" t="inlineStr">
        <is>
          <t>1H 3M 0S - CADCHF 2019-10-02</t>
        </is>
      </c>
      <c r="L49" s="661" t="inlineStr">
        <is>
          <t>24M 0S - CADCHF 2019-11-27</t>
        </is>
      </c>
      <c r="M49" s="904" t="inlineStr"/>
    </row>
    <row r="50" ht="14.5" customHeight="1">
      <c r="A50" s="889" t="inlineStr">
        <is>
          <t>Losers avg duration</t>
        </is>
      </c>
      <c r="B50" s="661" t="inlineStr">
        <is>
          <t>2H 6M 26S</t>
        </is>
      </c>
      <c r="C50" s="661" t="inlineStr">
        <is>
          <t>1H 16M 52S</t>
        </is>
      </c>
      <c r="D50" s="661" t="inlineStr">
        <is>
          <t>51M 42S</t>
        </is>
      </c>
      <c r="E50" s="661" t="inlineStr">
        <is>
          <t>2H 17M 17S</t>
        </is>
      </c>
      <c r="F50" s="661" t="inlineStr"/>
      <c r="G50" s="661" t="inlineStr">
        <is>
          <t>3M 20S</t>
        </is>
      </c>
      <c r="H50" s="661" t="inlineStr">
        <is>
          <t>31M 21S</t>
        </is>
      </c>
      <c r="I50" s="661" t="inlineStr">
        <is>
          <t>1H 36M 26S</t>
        </is>
      </c>
      <c r="J50" s="661" t="inlineStr">
        <is>
          <t>17H 1M 13S</t>
        </is>
      </c>
      <c r="K50" s="661" t="inlineStr">
        <is>
          <t>15H 21M 48S</t>
        </is>
      </c>
      <c r="L50" s="661" t="inlineStr">
        <is>
          <t>10H 51M 26S</t>
        </is>
      </c>
      <c r="M50" s="904" t="inlineStr"/>
    </row>
    <row r="51" ht="14.5" customHeight="1">
      <c r="A51" s="919" t="inlineStr">
        <is>
          <t>Losers max duration</t>
        </is>
      </c>
      <c r="B51" s="920" t="inlineStr">
        <is>
          <t>14H 36M 0S - AUDUSD 2019-01-30</t>
        </is>
      </c>
      <c r="C51" s="920" t="inlineStr">
        <is>
          <t>19H 5M 0S - USDJPY 2019-02-01</t>
        </is>
      </c>
      <c r="D51" s="920" t="inlineStr">
        <is>
          <t>6H 13M 0S - USDCAD 2019-03-15</t>
        </is>
      </c>
      <c r="E51" s="920" t="inlineStr">
        <is>
          <t>3H 46M 0S - USDCAD 2019-04-11</t>
        </is>
      </c>
      <c r="F51" s="920" t="inlineStr"/>
      <c r="G51" s="920" t="inlineStr">
        <is>
          <t>10M 0S - USDCAD 2019-06-21</t>
        </is>
      </c>
      <c r="H51" s="920" t="inlineStr">
        <is>
          <t>1H 57M 0S - EURUSD 2019-07-13</t>
        </is>
      </c>
      <c r="I51" s="920" t="inlineStr">
        <is>
          <t>11H 20M 0S - AUDCAD 2019-08-07</t>
        </is>
      </c>
      <c r="J51" s="920" t="inlineStr">
        <is>
          <t>2D 12H 8M 0S - CHFJPY 2019-09-19</t>
        </is>
      </c>
      <c r="K51" s="920" t="inlineStr">
        <is>
          <t>1D 9H 17M 0S - NZDCHF 2019-10-10</t>
        </is>
      </c>
      <c r="L51" s="920" t="inlineStr">
        <is>
          <t>1D 20H 53M 0S - GBPCAD 2019-11-14</t>
        </is>
      </c>
      <c r="M51" s="921" t="inlineStr"/>
    </row>
    <row r="52" ht="14.5" customHeight="1">
      <c r="A52" s="924" t="inlineStr">
        <is>
          <t>Drawdown</t>
        </is>
      </c>
      <c r="B52" s="922" t="inlineStr"/>
      <c r="C52" s="922" t="inlineStr"/>
      <c r="D52" s="922" t="inlineStr"/>
      <c r="E52" s="922" t="inlineStr"/>
      <c r="F52" s="922" t="inlineStr"/>
      <c r="G52" s="922" t="inlineStr"/>
      <c r="H52" s="922" t="inlineStr"/>
      <c r="I52" s="922" t="inlineStr"/>
      <c r="J52" s="922" t="inlineStr"/>
      <c r="K52" s="922" t="inlineStr"/>
      <c r="L52" s="922" t="inlineStr"/>
      <c r="M52" s="923" t="inlineStr"/>
    </row>
    <row r="53" ht="14.5" customHeight="1">
      <c r="A53" s="886" t="inlineStr">
        <is>
          <t>Max drawdown</t>
        </is>
      </c>
      <c r="B53" s="896" t="n">
        <v>0.08456048601144271</v>
      </c>
      <c r="C53" s="896" t="n">
        <v>0.1736955533147478</v>
      </c>
      <c r="D53" s="896" t="n">
        <v>0.05822307996372729</v>
      </c>
      <c r="E53" s="896" t="n">
        <v>0.009847485477562404</v>
      </c>
      <c r="F53" s="894" t="inlineStr"/>
      <c r="G53" s="896" t="n">
        <v>0.03049355548569629</v>
      </c>
      <c r="H53" s="896" t="n">
        <v>0.1471970493168612</v>
      </c>
      <c r="I53" s="896" t="n">
        <v>0.05028724168195959</v>
      </c>
      <c r="J53" s="896" t="n">
        <v>0.03091030545940362</v>
      </c>
      <c r="K53" s="896" t="n">
        <v>0.0260682963239413</v>
      </c>
      <c r="L53" s="896" t="n">
        <v>0.04230559427844099</v>
      </c>
      <c r="M53" s="895" t="inlineStr"/>
    </row>
    <row r="54" ht="14.5" customHeight="1">
      <c r="A54" s="889" t="inlineStr">
        <is>
          <t>Start</t>
        </is>
      </c>
      <c r="B54" s="937" t="inlineStr">
        <is>
          <t>2019-01-04 21:44:00</t>
        </is>
      </c>
      <c r="C54" s="937" t="inlineStr">
        <is>
          <t>2019-02-04 22:12:00</t>
        </is>
      </c>
      <c r="D54" s="937" t="inlineStr">
        <is>
          <t>2019-03-02 02:07:00</t>
        </is>
      </c>
      <c r="E54" s="937" t="inlineStr">
        <is>
          <t>2019-04-05 03:51:00</t>
        </is>
      </c>
      <c r="F54" s="937" t="inlineStr"/>
      <c r="G54" s="937" t="inlineStr">
        <is>
          <t>2019-06-19 01:23:00</t>
        </is>
      </c>
      <c r="H54" s="937" t="inlineStr">
        <is>
          <t>2019-07-04 00:12:00</t>
        </is>
      </c>
      <c r="I54" s="937" t="inlineStr">
        <is>
          <t>2019-08-20 15:29:00</t>
        </is>
      </c>
      <c r="J54" s="937" t="inlineStr">
        <is>
          <t>2019-09-05 11:34:00</t>
        </is>
      </c>
      <c r="K54" s="937" t="inlineStr">
        <is>
          <t>2019-10-19 06:00:00</t>
        </is>
      </c>
      <c r="L54" s="937" t="inlineStr">
        <is>
          <t>2019-11-08 15:06:00</t>
        </is>
      </c>
      <c r="M54" s="938" t="inlineStr"/>
    </row>
    <row r="55" ht="14.5" customHeight="1">
      <c r="A55" s="889" t="inlineStr">
        <is>
          <t>End</t>
        </is>
      </c>
      <c r="B55" s="917" t="inlineStr">
        <is>
          <t>2019-01-24 15:38:00</t>
        </is>
      </c>
      <c r="C55" s="917" t="inlineStr">
        <is>
          <t>2019-02-22 03:13:00</t>
        </is>
      </c>
      <c r="D55" s="917" t="inlineStr">
        <is>
          <t>2019-03-11 21:03:00</t>
        </is>
      </c>
      <c r="E55" s="917" t="inlineStr">
        <is>
          <t>2019-04-11 17:48:00</t>
        </is>
      </c>
      <c r="F55" s="917" t="inlineStr"/>
      <c r="G55" s="917" t="inlineStr">
        <is>
          <t>2019-06-21 00:30:00</t>
        </is>
      </c>
      <c r="H55" s="917" t="inlineStr">
        <is>
          <t>2019-07-25 22:34:00</t>
        </is>
      </c>
      <c r="I55" s="917" t="inlineStr">
        <is>
          <t>2019-08-23 16:53:00</t>
        </is>
      </c>
      <c r="J55" s="917" t="inlineStr">
        <is>
          <t>2019-09-28 01:39:00</t>
        </is>
      </c>
      <c r="K55" s="917" t="inlineStr">
        <is>
          <t>2019-10-30 16:48:00</t>
        </is>
      </c>
      <c r="L55" s="917" t="inlineStr">
        <is>
          <t>2019-11-20 05:20:00</t>
        </is>
      </c>
      <c r="M55" s="918" t="inlineStr"/>
    </row>
    <row r="56" ht="14.5" customHeight="1">
      <c r="A56" s="886" t="inlineStr">
        <is>
          <t>Avg drawdown</t>
        </is>
      </c>
      <c r="B56" s="896" t="n">
        <v>0.05172876775937588</v>
      </c>
      <c r="C56" s="896" t="n">
        <v>0.09532463119284276</v>
      </c>
      <c r="D56" s="896" t="n">
        <v>0.02841299644456058</v>
      </c>
      <c r="E56" s="896" t="n">
        <v>0.006649849182654766</v>
      </c>
      <c r="F56" s="894" t="inlineStr"/>
      <c r="G56" s="896" t="n">
        <v>0.01192385083045453</v>
      </c>
      <c r="H56" s="896" t="n">
        <v>0.07123202240182649</v>
      </c>
      <c r="I56" s="896" t="n">
        <v>0.02052134206005946</v>
      </c>
      <c r="J56" s="896" t="n">
        <v>0.01545110422865936</v>
      </c>
      <c r="K56" s="896" t="n">
        <v>0.01262589602318216</v>
      </c>
      <c r="L56" s="896" t="n">
        <v>0.02617667063997138</v>
      </c>
      <c r="M56" s="895" t="inlineStr"/>
    </row>
    <row r="57" ht="14.5" customHeight="1">
      <c r="A57" s="886" t="inlineStr">
        <is>
          <t>Min drawdown</t>
        </is>
      </c>
      <c r="B57" s="896" t="n">
        <v>0.001258282051786144</v>
      </c>
      <c r="C57" s="896" t="n">
        <v>0.006247899242738731</v>
      </c>
      <c r="D57" s="896" t="n">
        <v>0.003046015764875755</v>
      </c>
      <c r="E57" s="896" t="n">
        <v>0.004802240274016962</v>
      </c>
      <c r="F57" s="662" t="inlineStr"/>
      <c r="G57" s="896" t="n">
        <v>0.004835896622800059</v>
      </c>
      <c r="H57" s="896" t="n">
        <v>0.001650366748166032</v>
      </c>
      <c r="I57" s="896" t="n">
        <v>0.004322381161265434</v>
      </c>
      <c r="J57" s="896" t="n">
        <v>0.003643650938240139</v>
      </c>
      <c r="K57" s="905" t="n">
        <v>0.0004478447471543368</v>
      </c>
      <c r="L57" s="896" t="n">
        <v>0.006808493444047123</v>
      </c>
      <c r="M57" s="663" t="inlineStr"/>
    </row>
    <row r="58" ht="14.5" customHeight="1">
      <c r="A58" s="889" t="inlineStr">
        <is>
          <t>Start</t>
        </is>
      </c>
      <c r="B58" s="661" t="inlineStr">
        <is>
          <t>2019-01-04 21:44:00</t>
        </is>
      </c>
      <c r="C58" s="661" t="inlineStr">
        <is>
          <t>2019-02-04 22:12:00</t>
        </is>
      </c>
      <c r="D58" s="661" t="inlineStr">
        <is>
          <t>2019-03-02 02:07:00</t>
        </is>
      </c>
      <c r="E58" s="661" t="inlineStr">
        <is>
          <t>2019-04-05 03:51:00</t>
        </is>
      </c>
      <c r="F58" s="661" t="inlineStr"/>
      <c r="G58" s="661" t="inlineStr">
        <is>
          <t>2019-06-14 03:54:00</t>
        </is>
      </c>
      <c r="H58" s="661" t="inlineStr">
        <is>
          <t>2019-07-02 03:41:00</t>
        </is>
      </c>
      <c r="I58" s="661" t="inlineStr">
        <is>
          <t>2019-08-02 22:57:00</t>
        </is>
      </c>
      <c r="J58" s="661" t="inlineStr">
        <is>
          <t>2019-09-05 11:34:00</t>
        </is>
      </c>
      <c r="K58" s="661" t="inlineStr">
        <is>
          <t>2019-10-19 06:00:00</t>
        </is>
      </c>
      <c r="L58" s="661" t="inlineStr">
        <is>
          <t>2019-11-08 15:06:00</t>
        </is>
      </c>
      <c r="M58" s="904" t="inlineStr"/>
    </row>
    <row r="59" ht="14.5" customHeight="1">
      <c r="A59" s="919" t="inlineStr">
        <is>
          <t>End</t>
        </is>
      </c>
      <c r="B59" s="920" t="inlineStr">
        <is>
          <t>2019-01-04 23:13:00</t>
        </is>
      </c>
      <c r="C59" s="920" t="inlineStr">
        <is>
          <t>2019-02-04 22:33:00</t>
        </is>
      </c>
      <c r="D59" s="920" t="inlineStr">
        <is>
          <t>2019-03-05 08:13:00</t>
        </is>
      </c>
      <c r="E59" s="920" t="inlineStr">
        <is>
          <t>2019-04-09 17:51:00</t>
        </is>
      </c>
      <c r="F59" s="920" t="inlineStr"/>
      <c r="G59" s="920" t="inlineStr">
        <is>
          <t>2019-06-18 02:38:00</t>
        </is>
      </c>
      <c r="H59" s="920" t="inlineStr">
        <is>
          <t>2019-07-03 03:15:00</t>
        </is>
      </c>
      <c r="I59" s="920" t="inlineStr">
        <is>
          <t>2019-08-02 23:57:00</t>
        </is>
      </c>
      <c r="J59" s="920" t="inlineStr">
        <is>
          <t>2019-09-19 03:31:00</t>
        </is>
      </c>
      <c r="K59" s="920" t="inlineStr">
        <is>
          <t>2019-10-24 23:48:00</t>
        </is>
      </c>
      <c r="L59" s="920" t="inlineStr">
        <is>
          <t>2019-11-09 01:00:00</t>
        </is>
      </c>
      <c r="M59" s="921" t="inlineStr"/>
    </row>
    <row r="60" ht="14.5" customHeight="1">
      <c r="A60" s="924" t="inlineStr">
        <is>
          <t>Longs</t>
        </is>
      </c>
      <c r="B60" s="941" t="n">
        <v>37</v>
      </c>
      <c r="C60" s="941" t="n">
        <v>50</v>
      </c>
      <c r="D60" s="941" t="n">
        <v>22</v>
      </c>
      <c r="E60" s="941" t="n">
        <v>1</v>
      </c>
      <c r="F60" s="941" t="n">
        <v>0</v>
      </c>
      <c r="G60" s="941" t="n">
        <v>2</v>
      </c>
      <c r="H60" s="941" t="n">
        <v>17</v>
      </c>
      <c r="I60" s="941" t="n">
        <v>9</v>
      </c>
      <c r="J60" s="941" t="n">
        <v>8</v>
      </c>
      <c r="K60" s="941" t="n">
        <v>18</v>
      </c>
      <c r="L60" s="941" t="n">
        <v>6</v>
      </c>
      <c r="M60" s="942" t="n">
        <v>0</v>
      </c>
    </row>
    <row r="61" ht="14.5" customHeight="1">
      <c r="A61" s="889" t="inlineStr">
        <is>
          <t>Long wins</t>
        </is>
      </c>
      <c r="B61" s="890" t="n">
        <v>14</v>
      </c>
      <c r="C61" s="890" t="n">
        <v>16</v>
      </c>
      <c r="D61" s="890" t="n">
        <v>6</v>
      </c>
      <c r="E61" s="890" t="n">
        <v>0</v>
      </c>
      <c r="F61" s="890" t="n">
        <v>0</v>
      </c>
      <c r="G61" s="890" t="n">
        <v>2</v>
      </c>
      <c r="H61" s="890" t="n">
        <v>4</v>
      </c>
      <c r="I61" s="890" t="n">
        <v>2</v>
      </c>
      <c r="J61" s="890" t="n">
        <v>1</v>
      </c>
      <c r="K61" s="890" t="n">
        <v>7</v>
      </c>
      <c r="L61" s="890" t="n">
        <v>1</v>
      </c>
      <c r="M61" s="891" t="n">
        <v>0</v>
      </c>
    </row>
    <row r="62" ht="14.5" customHeight="1">
      <c r="A62" s="889" t="inlineStr">
        <is>
          <t>Long losses</t>
        </is>
      </c>
      <c r="B62" s="943" t="n">
        <v>23</v>
      </c>
      <c r="C62" s="943" t="n">
        <v>34</v>
      </c>
      <c r="D62" s="943" t="n">
        <v>16</v>
      </c>
      <c r="E62" s="943" t="n">
        <v>1</v>
      </c>
      <c r="F62" s="943" t="n">
        <v>0</v>
      </c>
      <c r="G62" s="943" t="n">
        <v>0</v>
      </c>
      <c r="H62" s="943" t="n">
        <v>13</v>
      </c>
      <c r="I62" s="943" t="n">
        <v>7</v>
      </c>
      <c r="J62" s="943" t="n">
        <v>7</v>
      </c>
      <c r="K62" s="943" t="n">
        <v>10</v>
      </c>
      <c r="L62" s="943" t="n">
        <v>5</v>
      </c>
      <c r="M62" s="944" t="n">
        <v>0</v>
      </c>
    </row>
    <row r="63" ht="14.5" customHeight="1">
      <c r="A63" s="886" t="inlineStr">
        <is>
          <t>Long break-even</t>
        </is>
      </c>
      <c r="B63" s="945" t="n">
        <v>0</v>
      </c>
      <c r="C63" s="945" t="n">
        <v>0</v>
      </c>
      <c r="D63" s="945" t="n">
        <v>0</v>
      </c>
      <c r="E63" s="945" t="n">
        <v>0</v>
      </c>
      <c r="F63" s="945" t="n">
        <v>0</v>
      </c>
      <c r="G63" s="945" t="n">
        <v>0</v>
      </c>
      <c r="H63" s="945" t="n">
        <v>0</v>
      </c>
      <c r="I63" s="945" t="n">
        <v>0</v>
      </c>
      <c r="J63" s="945" t="n">
        <v>0</v>
      </c>
      <c r="K63" s="945" t="n">
        <v>1</v>
      </c>
      <c r="L63" s="945" t="n">
        <v>0</v>
      </c>
      <c r="M63" s="946" t="n">
        <v>0</v>
      </c>
    </row>
    <row r="64" ht="14.5" customHeight="1">
      <c r="A64" s="886" t="inlineStr">
        <is>
          <t>Shorts</t>
        </is>
      </c>
      <c r="B64" s="887" t="n">
        <v>29</v>
      </c>
      <c r="C64" s="887" t="n">
        <v>45</v>
      </c>
      <c r="D64" s="887" t="n">
        <v>18</v>
      </c>
      <c r="E64" s="887" t="n">
        <v>3</v>
      </c>
      <c r="F64" s="887" t="n">
        <v>0</v>
      </c>
      <c r="G64" s="887" t="n">
        <v>11</v>
      </c>
      <c r="H64" s="887" t="n">
        <v>16</v>
      </c>
      <c r="I64" s="887" t="n">
        <v>4</v>
      </c>
      <c r="J64" s="887" t="n">
        <v>3</v>
      </c>
      <c r="K64" s="887" t="n">
        <v>4</v>
      </c>
      <c r="L64" s="887" t="n">
        <v>7</v>
      </c>
      <c r="M64" s="888" t="n">
        <v>0</v>
      </c>
    </row>
    <row r="65" ht="14.5" customHeight="1">
      <c r="A65" s="889" t="inlineStr">
        <is>
          <t>Short wins</t>
        </is>
      </c>
      <c r="B65" s="890" t="n">
        <v>9</v>
      </c>
      <c r="C65" s="890" t="n">
        <v>17</v>
      </c>
      <c r="D65" s="890" t="n">
        <v>7</v>
      </c>
      <c r="E65" s="890" t="n">
        <v>0</v>
      </c>
      <c r="F65" s="890" t="n">
        <v>0</v>
      </c>
      <c r="G65" s="890" t="n">
        <v>4</v>
      </c>
      <c r="H65" s="890" t="n">
        <v>4</v>
      </c>
      <c r="I65" s="890" t="n">
        <v>0</v>
      </c>
      <c r="J65" s="890" t="n">
        <v>1</v>
      </c>
      <c r="K65" s="890" t="n">
        <v>4</v>
      </c>
      <c r="L65" s="890" t="n">
        <v>3</v>
      </c>
      <c r="M65" s="891" t="n">
        <v>0</v>
      </c>
    </row>
    <row r="66" ht="14.5" customHeight="1">
      <c r="A66" s="889" t="inlineStr">
        <is>
          <t>Short losses</t>
        </is>
      </c>
      <c r="B66" s="892" t="n">
        <v>19</v>
      </c>
      <c r="C66" s="892" t="n">
        <v>28</v>
      </c>
      <c r="D66" s="892" t="n">
        <v>11</v>
      </c>
      <c r="E66" s="892" t="n">
        <v>3</v>
      </c>
      <c r="F66" s="892" t="n">
        <v>0</v>
      </c>
      <c r="G66" s="892" t="n">
        <v>6</v>
      </c>
      <c r="H66" s="892" t="n">
        <v>12</v>
      </c>
      <c r="I66" s="892" t="n">
        <v>4</v>
      </c>
      <c r="J66" s="892" t="n">
        <v>2</v>
      </c>
      <c r="K66" s="892" t="n">
        <v>0</v>
      </c>
      <c r="L66" s="892" t="n">
        <v>4</v>
      </c>
      <c r="M66" s="893" t="n">
        <v>0</v>
      </c>
    </row>
    <row r="67" ht="14.5" customHeight="1">
      <c r="A67" s="907" t="inlineStr">
        <is>
          <t>Short break-even</t>
        </is>
      </c>
      <c r="B67" s="947" t="n">
        <v>1</v>
      </c>
      <c r="C67" s="947" t="n">
        <v>0</v>
      </c>
      <c r="D67" s="947" t="n">
        <v>0</v>
      </c>
      <c r="E67" s="947" t="n">
        <v>0</v>
      </c>
      <c r="F67" s="947" t="n">
        <v>0</v>
      </c>
      <c r="G67" s="947" t="n">
        <v>1</v>
      </c>
      <c r="H67" s="947" t="n">
        <v>0</v>
      </c>
      <c r="I67" s="947" t="n">
        <v>0</v>
      </c>
      <c r="J67" s="947" t="n">
        <v>0</v>
      </c>
      <c r="K67" s="947" t="n">
        <v>0</v>
      </c>
      <c r="L67" s="947" t="n">
        <v>0</v>
      </c>
      <c r="M67" s="948" t="n">
        <v>0</v>
      </c>
    </row>
    <row r="68" ht="14.5" customHeight="1">
      <c r="A68" s="913" t="inlineStr">
        <is>
          <t>Min duration</t>
        </is>
      </c>
      <c r="B68" s="922" t="inlineStr">
        <is>
          <t>43S - USDCAD 2019-01-10</t>
        </is>
      </c>
      <c r="C68" s="922" t="inlineStr">
        <is>
          <t>2M 0S - USDCAD 2019-02-07</t>
        </is>
      </c>
      <c r="D68" s="922" t="inlineStr">
        <is>
          <t>2M 0S - EURUSD 2019-03-11</t>
        </is>
      </c>
      <c r="E68" s="922" t="inlineStr">
        <is>
          <t>9S - GBPUSD 2019-04-11</t>
        </is>
      </c>
      <c r="F68" s="922" t="inlineStr"/>
      <c r="G68" s="922" t="inlineStr">
        <is>
          <t>1M 0S - GBPNZD 2019-06-27</t>
        </is>
      </c>
      <c r="H68" s="922" t="inlineStr">
        <is>
          <t>1M 0S - GBPCAD 2019-07-01</t>
        </is>
      </c>
      <c r="I68" s="922" t="inlineStr">
        <is>
          <t>49S - CADCHF 2019-08-22</t>
        </is>
      </c>
      <c r="J68" s="922" t="inlineStr">
        <is>
          <t>2H 19M 0S - CADCHF 2019-09-27</t>
        </is>
      </c>
      <c r="K68" s="922" t="inlineStr">
        <is>
          <t>1H 3M 0S - CADCHF 2019-10-02</t>
        </is>
      </c>
      <c r="L68" s="922" t="inlineStr">
        <is>
          <t>24M 0S - CADCHF 2019-11-27</t>
        </is>
      </c>
      <c r="M68" s="923" t="inlineStr"/>
    </row>
    <row r="69" ht="14.5" customHeight="1">
      <c r="A69" s="889" t="inlineStr">
        <is>
          <t>Max duration</t>
        </is>
      </c>
      <c r="B69" s="917" t="inlineStr">
        <is>
          <t>2D 5H 31M 0S - USDCAD 2019-01-28</t>
        </is>
      </c>
      <c r="C69" s="917" t="inlineStr">
        <is>
          <t>2D 6H 10M 0S - USDJPY 2019-02-18</t>
        </is>
      </c>
      <c r="D69" s="917" t="inlineStr">
        <is>
          <t>6H 13M 0S - USDCAD 2019-03-15</t>
        </is>
      </c>
      <c r="E69" s="917" t="inlineStr">
        <is>
          <t>3H 46M 0S - USDCAD 2019-04-11</t>
        </is>
      </c>
      <c r="F69" s="917" t="inlineStr"/>
      <c r="G69" s="917" t="inlineStr">
        <is>
          <t>2H 15M 0S - NZDCHF 2019-06-29</t>
        </is>
      </c>
      <c r="H69" s="917" t="inlineStr">
        <is>
          <t>5H 58M 0S - EURAUD 2019-07-16</t>
        </is>
      </c>
      <c r="I69" s="917" t="inlineStr">
        <is>
          <t>16H 11M 0S - GBPUSD 2019-08-20</t>
        </is>
      </c>
      <c r="J69" s="917" t="inlineStr">
        <is>
          <t>2D 12H 8M 0S - CHFJPY 2019-09-19</t>
        </is>
      </c>
      <c r="K69" s="917" t="inlineStr">
        <is>
          <t>2D 0H 26M 0S - EURJPY 2019-10-04</t>
        </is>
      </c>
      <c r="L69" s="917" t="inlineStr">
        <is>
          <t>2D 0H 27M 0S - AUDCHF 2019-11-23</t>
        </is>
      </c>
      <c r="M69" s="918" t="inlineStr"/>
    </row>
    <row r="70" ht="14.5" customHeight="1">
      <c r="A70" s="889" t="inlineStr">
        <is>
          <t>Min Move to Break Even</t>
        </is>
      </c>
      <c r="B70" s="937" t="inlineStr">
        <is>
          <t>11M 0S - USDCHF 2019-01-03</t>
        </is>
      </c>
      <c r="C70" s="937" t="inlineStr">
        <is>
          <t>3M 0S - EURUSD 2019-02-02</t>
        </is>
      </c>
      <c r="D70" s="937" t="inlineStr">
        <is>
          <t>5M 0S - USDCAD 2019-03-07</t>
        </is>
      </c>
      <c r="E70" s="937" t="inlineStr"/>
      <c r="F70" s="937" t="inlineStr"/>
      <c r="G70" s="937" t="inlineStr">
        <is>
          <t>9M 0S - USDCHF 2019-06-25</t>
        </is>
      </c>
      <c r="H70" s="937" t="inlineStr">
        <is>
          <t>14M 0S - CADCHF 2019-07-02</t>
        </is>
      </c>
      <c r="I70" s="937" t="inlineStr">
        <is>
          <t>15H 17M 0S - GBPUSD 2019-08-20</t>
        </is>
      </c>
      <c r="J70" s="937" t="inlineStr">
        <is>
          <t>12H 46M 0S - GBPAUD 2019-09-20</t>
        </is>
      </c>
      <c r="K70" s="937" t="inlineStr">
        <is>
          <t>3H 21M 0S - EURUSD 2019-10-23</t>
        </is>
      </c>
      <c r="L70" s="937" t="inlineStr">
        <is>
          <t>8H 35M 0S - EURNZD 2019-11-08</t>
        </is>
      </c>
      <c r="M70" s="938" t="inlineStr"/>
    </row>
    <row r="71" ht="14.5" customHeight="1">
      <c r="A71" s="889" t="inlineStr">
        <is>
          <t>Max Move to Break Even</t>
        </is>
      </c>
      <c r="B71" s="661" t="inlineStr">
        <is>
          <t>8H 43M 0S - USDCAD 2019-01-23</t>
        </is>
      </c>
      <c r="C71" s="661" t="inlineStr">
        <is>
          <t>12H 34M 0S - EURUSD 2019-02-22</t>
        </is>
      </c>
      <c r="D71" s="661" t="inlineStr">
        <is>
          <t>4H 42M 0S - USDCHF 2019-03-05</t>
        </is>
      </c>
      <c r="E71" s="661" t="inlineStr"/>
      <c r="F71" s="661" t="inlineStr"/>
      <c r="G71" s="661" t="inlineStr">
        <is>
          <t>1H 53M 0S - NZDCHF 2019-06-29</t>
        </is>
      </c>
      <c r="H71" s="661" t="inlineStr">
        <is>
          <t>1H 31M 0S - EURAUD 2019-07-16</t>
        </is>
      </c>
      <c r="I71" s="661" t="inlineStr">
        <is>
          <t>15H 17M 0S - GBPUSD 2019-08-20</t>
        </is>
      </c>
      <c r="J71" s="661" t="inlineStr">
        <is>
          <t>22H 9M 0S - EURCAD 2019-09-20</t>
        </is>
      </c>
      <c r="K71" s="661" t="inlineStr">
        <is>
          <t>1D 2H 14M 0S - CHFJPY 2019-10-24</t>
        </is>
      </c>
      <c r="L71" s="661" t="inlineStr">
        <is>
          <t>1D 13H 59M 0S - GBPCAD 2019-11-14</t>
        </is>
      </c>
      <c r="M71" s="904" t="inlineStr"/>
    </row>
    <row r="72" ht="14.5" customHeight="1">
      <c r="A72" s="889" t="inlineStr">
        <is>
          <t>Min Move to Profit</t>
        </is>
      </c>
      <c r="B72" s="661" t="inlineStr"/>
      <c r="C72" s="661" t="inlineStr">
        <is>
          <t>7M 0S - EURUSD 2019-02-05</t>
        </is>
      </c>
      <c r="D72" s="661" t="inlineStr">
        <is>
          <t>8M 0S - USDCAD 2019-03-07</t>
        </is>
      </c>
      <c r="E72" s="661" t="inlineStr"/>
      <c r="F72" s="661" t="inlineStr"/>
      <c r="G72" s="661" t="inlineStr">
        <is>
          <t>10M 0S - USDCHF 2019-06-25</t>
        </is>
      </c>
      <c r="H72" s="661" t="inlineStr">
        <is>
          <t>36M 0S - CADCHF 2019-07-02</t>
        </is>
      </c>
      <c r="I72" s="661" t="inlineStr"/>
      <c r="J72" s="661" t="inlineStr"/>
      <c r="K72" s="661" t="inlineStr"/>
      <c r="L72" s="661" t="inlineStr"/>
      <c r="M72" s="904" t="inlineStr"/>
    </row>
    <row r="73" ht="14.5" customHeight="1">
      <c r="A73" s="919" t="inlineStr">
        <is>
          <t>Max Move to Profit</t>
        </is>
      </c>
      <c r="B73" s="920" t="inlineStr"/>
      <c r="C73" s="920" t="inlineStr">
        <is>
          <t>9H 16M 0S - EURUSD 2019-02-26</t>
        </is>
      </c>
      <c r="D73" s="920" t="inlineStr">
        <is>
          <t>1H 2M 0S - USDCAD 2019-03-07</t>
        </is>
      </c>
      <c r="E73" s="920" t="inlineStr"/>
      <c r="F73" s="920" t="inlineStr"/>
      <c r="G73" s="920" t="inlineStr">
        <is>
          <t>47M 0S - NZDUSD 2019-06-28</t>
        </is>
      </c>
      <c r="H73" s="920" t="inlineStr">
        <is>
          <t>2H 3M 0S - EURAUD 2019-07-16</t>
        </is>
      </c>
      <c r="I73" s="920" t="inlineStr"/>
      <c r="J73" s="920" t="inlineStr"/>
      <c r="K73" s="920" t="inlineStr"/>
      <c r="L73" s="920" t="inlineStr"/>
      <c r="M73" s="921" t="inlineStr"/>
    </row>
    <row r="74" ht="14.5" customHeight="1">
      <c r="A74" s="913" t="inlineStr">
        <is>
          <t>Winners min stop %</t>
        </is>
      </c>
      <c r="B74" s="949" t="inlineStr">
        <is>
          <t>0.044% - EURUSD 2019-01-22</t>
        </is>
      </c>
      <c r="C74" s="949" t="inlineStr">
        <is>
          <t>0.023% - GBPUSD 2019-02-05</t>
        </is>
      </c>
      <c r="D74" s="949" t="inlineStr">
        <is>
          <t>0.030% - USDCAD 2019-03-07</t>
        </is>
      </c>
      <c r="E74" s="986" t="inlineStr"/>
      <c r="F74" s="986" t="inlineStr"/>
      <c r="G74" s="949" t="inlineStr">
        <is>
          <t>0.030% - USDCAD 2019-06-14</t>
        </is>
      </c>
      <c r="H74" s="949" t="inlineStr">
        <is>
          <t>0.050% - EURAUD 2019-07-16</t>
        </is>
      </c>
      <c r="I74" s="949" t="inlineStr">
        <is>
          <t>0.099% - GBPUSD 2019-08-20</t>
        </is>
      </c>
      <c r="J74" s="949" t="inlineStr">
        <is>
          <t>0.25% - NZDUSD 2019-09-19</t>
        </is>
      </c>
      <c r="K74" s="949" t="inlineStr">
        <is>
          <t>0.16% - EURCAD 2019-10-29</t>
        </is>
      </c>
      <c r="L74" s="949" t="inlineStr">
        <is>
          <t>0.21% - GBPUSD 2019-11-27</t>
        </is>
      </c>
      <c r="M74" s="987" t="inlineStr"/>
    </row>
    <row r="75" ht="14.5" customHeight="1">
      <c r="A75" s="889" t="inlineStr">
        <is>
          <t>Winners max stop %</t>
        </is>
      </c>
      <c r="B75" s="661" t="inlineStr">
        <is>
          <t>0.31% - GBPUSD 2019-01-12</t>
        </is>
      </c>
      <c r="C75" s="661" t="inlineStr">
        <is>
          <t>0.15% - USDCAD 2019-02-01</t>
        </is>
      </c>
      <c r="D75" s="661" t="inlineStr">
        <is>
          <t>0.11% - USDCAD 2019-03-02</t>
        </is>
      </c>
      <c r="E75" s="662" t="inlineStr"/>
      <c r="F75" s="662" t="inlineStr"/>
      <c r="G75" s="661" t="inlineStr">
        <is>
          <t>0.092% - NZDCHF 2019-06-29</t>
        </is>
      </c>
      <c r="H75" s="661" t="inlineStr">
        <is>
          <t>0.11% - USDCHF 2019-07-26</t>
        </is>
      </c>
      <c r="I75" s="661" t="inlineStr">
        <is>
          <t>0.23% - GBPJPY 2019-08-16</t>
        </is>
      </c>
      <c r="J75" s="661" t="inlineStr">
        <is>
          <t>0.29% - EURJPY 2019-09-07</t>
        </is>
      </c>
      <c r="K75" s="661" t="inlineStr">
        <is>
          <t>0.56% - EURGBP 2019-10-18</t>
        </is>
      </c>
      <c r="L75" s="661" t="inlineStr">
        <is>
          <t>0.34% - AUDCAD 2019-11-02</t>
        </is>
      </c>
      <c r="M75" s="663" t="inlineStr"/>
    </row>
    <row r="76" ht="14.5" customHeight="1">
      <c r="A76" s="889" t="inlineStr">
        <is>
          <t>Winners min target %</t>
        </is>
      </c>
      <c r="B76" s="661" t="inlineStr">
        <is>
          <t>0.088% - EURUSD 2019-01-22</t>
        </is>
      </c>
      <c r="C76" s="661" t="inlineStr">
        <is>
          <t>0.00100% - USDCHF 2019-02-27</t>
        </is>
      </c>
      <c r="D76" s="661" t="inlineStr">
        <is>
          <t>0.060% - USDCAD 2019-03-07</t>
        </is>
      </c>
      <c r="E76" s="662" t="inlineStr"/>
      <c r="F76" s="662" t="inlineStr"/>
      <c r="G76" s="661" t="inlineStr">
        <is>
          <t>0.060% - USDCAD 2019-06-14</t>
        </is>
      </c>
      <c r="H76" s="661" t="inlineStr">
        <is>
          <t>0.16% - CADCHF 2019-07-02</t>
        </is>
      </c>
      <c r="I76" s="661" t="inlineStr">
        <is>
          <t>0.44% - GBPUSD 2019-08-20</t>
        </is>
      </c>
      <c r="J76" s="661" t="inlineStr">
        <is>
          <t>0.76% - NZDUSD 2019-09-19</t>
        </is>
      </c>
      <c r="K76" s="661" t="inlineStr">
        <is>
          <t>0.32% - EURCAD 2019-10-29</t>
        </is>
      </c>
      <c r="L76" s="661" t="inlineStr">
        <is>
          <t>0.48% - EURNZD 2019-11-08</t>
        </is>
      </c>
      <c r="M76" s="663" t="inlineStr"/>
    </row>
    <row r="77" ht="14.5" customHeight="1">
      <c r="A77" s="889" t="inlineStr">
        <is>
          <t>Winners max target %</t>
        </is>
      </c>
      <c r="B77" s="917" t="inlineStr">
        <is>
          <t>0.53% - GBPUSD 2019-01-26</t>
        </is>
      </c>
      <c r="C77" s="917" t="inlineStr">
        <is>
          <t>0.32% - GBPUSD 2019-02-23</t>
        </is>
      </c>
      <c r="D77" s="917" t="inlineStr">
        <is>
          <t>0.27% - USDCAD 2019-03-07</t>
        </is>
      </c>
      <c r="E77" s="894" t="inlineStr"/>
      <c r="F77" s="894" t="inlineStr"/>
      <c r="G77" s="917" t="inlineStr">
        <is>
          <t>0.18% - NZDCHF 2019-06-29</t>
        </is>
      </c>
      <c r="H77" s="917" t="inlineStr">
        <is>
          <t>0.33% - USDCHF 2019-07-26</t>
        </is>
      </c>
      <c r="I77" s="917" t="inlineStr">
        <is>
          <t>0.73% - GBPJPY 2019-08-16</t>
        </is>
      </c>
      <c r="J77" s="917" t="inlineStr">
        <is>
          <t>1.26% - EURJPY 2019-09-07</t>
        </is>
      </c>
      <c r="K77" s="917" t="inlineStr">
        <is>
          <t>1.13% - EURGBP 2019-10-18</t>
        </is>
      </c>
      <c r="L77" s="917" t="inlineStr">
        <is>
          <t>1.02% - AUDCHF 2019-11-23</t>
        </is>
      </c>
      <c r="M77" s="895" t="inlineStr"/>
    </row>
    <row r="78" ht="14.5" customHeight="1">
      <c r="A78" s="889" t="inlineStr">
        <is>
          <t>Winners min result %</t>
        </is>
      </c>
      <c r="B78" s="951" t="inlineStr">
        <is>
          <t>0.074% - USDCHF 2019-01-09</t>
        </is>
      </c>
      <c r="C78" s="951" t="inlineStr">
        <is>
          <t>0.019% - USDCHF 2019-02-27</t>
        </is>
      </c>
      <c r="D78" s="951" t="inlineStr">
        <is>
          <t>0.17% - USDCAD 2019-03-12</t>
        </is>
      </c>
      <c r="E78" s="894" t="inlineStr"/>
      <c r="F78" s="894" t="inlineStr"/>
      <c r="G78" s="951" t="inlineStr">
        <is>
          <t>0.17% - NZDCHF 2019-06-29</t>
        </is>
      </c>
      <c r="H78" s="951" t="inlineStr">
        <is>
          <t>0.058% - GBPUSD 2019-07-09</t>
        </is>
      </c>
      <c r="I78" s="951" t="inlineStr">
        <is>
          <t>0.74% - GBPUSD 2019-08-20</t>
        </is>
      </c>
      <c r="J78" s="951" t="inlineStr">
        <is>
          <t>0.21% - EURJPY 2019-09-07</t>
        </is>
      </c>
      <c r="K78" s="951" t="inlineStr">
        <is>
          <t>0.030% - EURCAD 2019-10-29</t>
        </is>
      </c>
      <c r="L78" s="951" t="inlineStr">
        <is>
          <t>0.0081% - EURNZD 2019-11-08</t>
        </is>
      </c>
      <c r="M78" s="895" t="inlineStr"/>
    </row>
    <row r="79" ht="14.5" customHeight="1">
      <c r="A79" s="889" t="inlineStr">
        <is>
          <t>Winners max result %</t>
        </is>
      </c>
      <c r="B79" s="951" t="inlineStr">
        <is>
          <t>2.45% - USDCAD 2019-01-28</t>
        </is>
      </c>
      <c r="C79" s="951" t="inlineStr">
        <is>
          <t>3.08% - EURUSD 2019-02-12</t>
        </is>
      </c>
      <c r="D79" s="951" t="inlineStr">
        <is>
          <t>1.60% - USDCAD 2019-03-07</t>
        </is>
      </c>
      <c r="E79" s="894" t="inlineStr"/>
      <c r="F79" s="894" t="inlineStr"/>
      <c r="G79" s="951" t="inlineStr">
        <is>
          <t>2.54% - USDCHF 2019-06-25</t>
        </is>
      </c>
      <c r="H79" s="951" t="inlineStr">
        <is>
          <t>2.92% - GBPAUD 2019-07-04</t>
        </is>
      </c>
      <c r="I79" s="951" t="inlineStr">
        <is>
          <t>4.09% - GBPJPY 2019-08-16</t>
        </is>
      </c>
      <c r="J79" s="951" t="inlineStr">
        <is>
          <t>0.99% - NZDUSD 2019-09-19</t>
        </is>
      </c>
      <c r="K79" s="951" t="inlineStr">
        <is>
          <t>2.11% - CADCHF 2019-10-16</t>
        </is>
      </c>
      <c r="L79" s="951" t="inlineStr">
        <is>
          <t>1.67% - GBPUSD 2019-11-27</t>
        </is>
      </c>
      <c r="M79" s="895" t="inlineStr"/>
    </row>
    <row r="80" ht="14.5" customHeight="1">
      <c r="A80" s="889" t="inlineStr">
        <is>
          <t>Winners min R</t>
        </is>
      </c>
      <c r="B80" s="951" t="inlineStr">
        <is>
          <t>0.020R - USDCHF 2019-01-09</t>
        </is>
      </c>
      <c r="C80" s="951" t="inlineStr">
        <is>
          <t>0.32R - USDCHF 2019-02-27</t>
        </is>
      </c>
      <c r="D80" s="951" t="inlineStr">
        <is>
          <t>0.29R - USDCHF 2019-03-05</t>
        </is>
      </c>
      <c r="E80" s="984" t="inlineStr"/>
      <c r="F80" s="984" t="inlineStr"/>
      <c r="G80" s="951" t="inlineStr">
        <is>
          <t>1.00R - USDCAD 2019-06-18</t>
        </is>
      </c>
      <c r="H80" s="951" t="inlineStr">
        <is>
          <t>0.022R - GBPUSD 2019-07-09</t>
        </is>
      </c>
      <c r="I80" s="951" t="inlineStr">
        <is>
          <t>2.26R - GBPUSD 2019-08-20</t>
        </is>
      </c>
      <c r="J80" s="951" t="inlineStr">
        <is>
          <t>0.24R - EURJPY 2019-09-07</t>
        </is>
      </c>
      <c r="K80" s="951" t="inlineStr">
        <is>
          <t>0.13R - EURCAD 2019-10-29</t>
        </is>
      </c>
      <c r="L80" s="951" t="inlineStr">
        <is>
          <t>0.53R - EURNZD 2019-11-08</t>
        </is>
      </c>
      <c r="M80" s="985" t="inlineStr"/>
    </row>
    <row r="81" ht="14.5" customHeight="1">
      <c r="A81" s="919" t="inlineStr">
        <is>
          <t>Winners max R</t>
        </is>
      </c>
      <c r="B81" s="929" t="inlineStr">
        <is>
          <t>2.07R - AUDUSD 2019-01-16</t>
        </is>
      </c>
      <c r="C81" s="929" t="inlineStr">
        <is>
          <t>2.93R - USDCHF 2019-02-19</t>
        </is>
      </c>
      <c r="D81" s="929" t="inlineStr">
        <is>
          <t>2.01R - USDCAD 2019-03-02</t>
        </is>
      </c>
      <c r="E81" s="980" t="inlineStr"/>
      <c r="F81" s="980" t="inlineStr"/>
      <c r="G81" s="929" t="inlineStr">
        <is>
          <t>2.82R - USDCHF 2019-06-25</t>
        </is>
      </c>
      <c r="H81" s="929" t="inlineStr">
        <is>
          <t>3.99R - EURAUD 2019-07-16</t>
        </is>
      </c>
      <c r="I81" s="929" t="inlineStr">
        <is>
          <t>3.23R - GBPJPY 2019-08-16</t>
        </is>
      </c>
      <c r="J81" s="929" t="inlineStr">
        <is>
          <t>1.01R - NZDUSD 2019-09-19</t>
        </is>
      </c>
      <c r="K81" s="929" t="inlineStr">
        <is>
          <t>3.04R - CADCHF 2019-10-02</t>
        </is>
      </c>
      <c r="L81" s="929" t="inlineStr">
        <is>
          <t>1.98R - GBPUSD 2019-11-27</t>
        </is>
      </c>
      <c r="M81" s="981" t="inlineStr"/>
    </row>
    <row r="82" ht="14.5" customHeight="1">
      <c r="A82" s="913" t="inlineStr">
        <is>
          <t>Losers min stop %</t>
        </is>
      </c>
      <c r="B82" s="922" t="inlineStr">
        <is>
          <t>0.046% - USDJPY 2019-01-03</t>
        </is>
      </c>
      <c r="C82" s="922" t="inlineStr">
        <is>
          <t>0.023% - GBPUSD 2019-02-05</t>
        </is>
      </c>
      <c r="D82" s="922" t="inlineStr">
        <is>
          <t>0.027% - USDJPY 2019-03-06</t>
        </is>
      </c>
      <c r="E82" s="922" t="inlineStr">
        <is>
          <t>0.090% - USDCAD 2019-04-11</t>
        </is>
      </c>
      <c r="F82" s="915" t="inlineStr"/>
      <c r="G82" s="922" t="inlineStr">
        <is>
          <t>0.030% - USDCAD 2019-06-17</t>
        </is>
      </c>
      <c r="H82" s="922" t="inlineStr">
        <is>
          <t>0.011% - GBPAUD 2019-07-25</t>
        </is>
      </c>
      <c r="I82" s="922" t="inlineStr">
        <is>
          <t>0.054% - EURUSD 2019-08-06</t>
        </is>
      </c>
      <c r="J82" s="922" t="inlineStr">
        <is>
          <t>0.17% - EURCHF 2019-09-05</t>
        </is>
      </c>
      <c r="K82" s="922" t="inlineStr">
        <is>
          <t>0.16% - EURAUD 2019-10-25</t>
        </is>
      </c>
      <c r="L82" s="922" t="inlineStr">
        <is>
          <t>0.14% - EURCHF 2019-11-01</t>
        </is>
      </c>
      <c r="M82" s="916" t="inlineStr"/>
    </row>
    <row r="83" ht="14.5" customHeight="1">
      <c r="A83" s="889" t="inlineStr">
        <is>
          <t>Losers max stop %</t>
        </is>
      </c>
      <c r="B83" s="917" t="inlineStr">
        <is>
          <t>0.49% - AUDUSD 2019-01-30</t>
        </is>
      </c>
      <c r="C83" s="917" t="inlineStr">
        <is>
          <t>0.17% - USDJPY 2019-02-01</t>
        </is>
      </c>
      <c r="D83" s="917" t="inlineStr">
        <is>
          <t>0.18% - AUDUSD 2019-03-22</t>
        </is>
      </c>
      <c r="E83" s="917" t="inlineStr">
        <is>
          <t>0.13% - AUDUSD 2019-04-05</t>
        </is>
      </c>
      <c r="F83" s="894" t="inlineStr"/>
      <c r="G83" s="917" t="inlineStr">
        <is>
          <t>0.076% - USDCAD 2019-06-21</t>
        </is>
      </c>
      <c r="H83" s="917" t="inlineStr">
        <is>
          <t>0.13% - USDCAD 2019-07-06</t>
        </is>
      </c>
      <c r="I83" s="917" t="inlineStr">
        <is>
          <t>0.20% - GBPNZD 2019-08-23</t>
        </is>
      </c>
      <c r="J83" s="917" t="inlineStr">
        <is>
          <t>0.38% - EURJPY 2019-09-05</t>
        </is>
      </c>
      <c r="K83" s="917" t="inlineStr">
        <is>
          <t>0.46% - AUDJPY 2019-10-14</t>
        </is>
      </c>
      <c r="L83" s="917" t="inlineStr">
        <is>
          <t>0.34% - GBPNZD 2019-11-15</t>
        </is>
      </c>
      <c r="M83" s="895" t="inlineStr"/>
    </row>
    <row r="84" ht="14.5" customHeight="1">
      <c r="A84" s="889" t="inlineStr">
        <is>
          <t>Losers min target %</t>
        </is>
      </c>
      <c r="B84" s="917" t="inlineStr">
        <is>
          <t>0.10% - USDCHF 2019-01-22</t>
        </is>
      </c>
      <c r="C84" s="917" t="inlineStr">
        <is>
          <t>0.046% - GBPUSD 2019-02-05</t>
        </is>
      </c>
      <c r="D84" s="917" t="inlineStr">
        <is>
          <t>0.054% - USDJPY 2019-03-06</t>
        </is>
      </c>
      <c r="E84" s="917" t="inlineStr">
        <is>
          <t>0.015% - GBPUSD 2019-04-11</t>
        </is>
      </c>
      <c r="F84" s="894" t="inlineStr"/>
      <c r="G84" s="917" t="inlineStr">
        <is>
          <t>0.060% - USDCAD 2019-06-17</t>
        </is>
      </c>
      <c r="H84" s="917" t="inlineStr">
        <is>
          <t>0.13% - EURNZD 2019-07-16</t>
        </is>
      </c>
      <c r="I84" s="917" t="inlineStr">
        <is>
          <t>0.16% - AUDNZD 2019-08-20</t>
        </is>
      </c>
      <c r="J84" s="917" t="inlineStr">
        <is>
          <t>0.42% - EURCHF 2019-09-05</t>
        </is>
      </c>
      <c r="K84" s="917" t="inlineStr">
        <is>
          <t>0.32% - EURAUD 2019-10-25</t>
        </is>
      </c>
      <c r="L84" s="917" t="inlineStr">
        <is>
          <t>0.27% - EURCHF 2019-11-01</t>
        </is>
      </c>
      <c r="M84" s="895" t="inlineStr"/>
    </row>
    <row r="85" ht="14.5" customHeight="1">
      <c r="A85" s="889" t="inlineStr">
        <is>
          <t>Losers max target %</t>
        </is>
      </c>
      <c r="B85" s="917" t="inlineStr">
        <is>
          <t>0.98% - AUDUSD 2019-01-30</t>
        </is>
      </c>
      <c r="C85" s="917" t="inlineStr">
        <is>
          <t>0.35% - USDJPY 2019-02-01</t>
        </is>
      </c>
      <c r="D85" s="917" t="inlineStr">
        <is>
          <t>0.37% - EURUSD 2019-03-01</t>
        </is>
      </c>
      <c r="E85" s="917" t="inlineStr">
        <is>
          <t>0.38% - AUDUSD 2019-04-05</t>
        </is>
      </c>
      <c r="F85" s="894" t="inlineStr"/>
      <c r="G85" s="917" t="inlineStr">
        <is>
          <t>0.23% - USDCAD 2019-06-21</t>
        </is>
      </c>
      <c r="H85" s="917" t="inlineStr">
        <is>
          <t>0.43% - CADCHF 2019-07-20</t>
        </is>
      </c>
      <c r="I85" s="917" t="inlineStr">
        <is>
          <t>1.54% - GBPNZD 2019-08-23</t>
        </is>
      </c>
      <c r="J85" s="917" t="inlineStr">
        <is>
          <t>1.51% - EURNZD 2019-09-06</t>
        </is>
      </c>
      <c r="K85" s="917" t="inlineStr">
        <is>
          <t>0.93% - AUDJPY 2019-10-14</t>
        </is>
      </c>
      <c r="L85" s="917" t="inlineStr">
        <is>
          <t>0.82% - GBPJPY 2019-11-20</t>
        </is>
      </c>
      <c r="M85" s="895" t="inlineStr"/>
    </row>
    <row r="86" ht="14.5" customHeight="1">
      <c r="A86" s="889" t="inlineStr">
        <is>
          <t>Losers min result %</t>
        </is>
      </c>
      <c r="B86" s="927" t="inlineStr">
        <is>
          <t>-0.099% - GBPUSD 2019-01-03</t>
        </is>
      </c>
      <c r="C86" s="927" t="inlineStr">
        <is>
          <t>-0.10% - USDCHF 2019-02-13</t>
        </is>
      </c>
      <c r="D86" s="927" t="inlineStr">
        <is>
          <t>-0.052% - USDCAD 2019-03-15</t>
        </is>
      </c>
      <c r="E86" s="927" t="inlineStr">
        <is>
          <t>-0.050% - GBPUSD 2019-04-11</t>
        </is>
      </c>
      <c r="F86" s="894" t="inlineStr"/>
      <c r="G86" s="927" t="inlineStr">
        <is>
          <t>-0.65% - USDCAD 2019-06-14</t>
        </is>
      </c>
      <c r="H86" s="927" t="inlineStr">
        <is>
          <t>-0.48% - GBPCAD 2019-07-01</t>
        </is>
      </c>
      <c r="I86" s="927" t="inlineStr">
        <is>
          <t>-0.012% - AUDCAD 2019-08-07</t>
        </is>
      </c>
      <c r="J86" s="927" t="inlineStr">
        <is>
          <t>-0.012% - GBPAUD 2019-09-20</t>
        </is>
      </c>
      <c r="K86" s="927" t="inlineStr">
        <is>
          <t>-0.045% - CHFJPY 2019-10-24</t>
        </is>
      </c>
      <c r="L86" s="927" t="inlineStr">
        <is>
          <t>-0.041% - GBPCAD 2019-11-14</t>
        </is>
      </c>
      <c r="M86" s="895" t="inlineStr"/>
    </row>
    <row r="87" ht="14.5" customHeight="1">
      <c r="A87" s="889" t="inlineStr">
        <is>
          <t>Losers max result %</t>
        </is>
      </c>
      <c r="B87" s="927" t="inlineStr">
        <is>
          <t>-1.70% - GBPUSD 2019-01-28</t>
        </is>
      </c>
      <c r="C87" s="927" t="inlineStr">
        <is>
          <t>-1.53% - USDJPY 2019-02-01</t>
        </is>
      </c>
      <c r="D87" s="927" t="inlineStr">
        <is>
          <t>-1.02% - USDCAD 2019-03-09</t>
        </is>
      </c>
      <c r="E87" s="927" t="inlineStr">
        <is>
          <t>-0.48% - USDJPY 2019-04-09</t>
        </is>
      </c>
      <c r="F87" s="894" t="inlineStr"/>
      <c r="G87" s="927" t="inlineStr">
        <is>
          <t>-2.17% - USDCAD 2019-06-21</t>
        </is>
      </c>
      <c r="H87" s="927" t="inlineStr">
        <is>
          <t>-1.13% - USDCAD 2019-07-06</t>
        </is>
      </c>
      <c r="I87" s="927" t="inlineStr">
        <is>
          <t>-1.47% - GBPNZD 2019-08-23</t>
        </is>
      </c>
      <c r="J87" s="927" t="inlineStr">
        <is>
          <t>-1.20% - EURJPY 2019-09-05</t>
        </is>
      </c>
      <c r="K87" s="927" t="inlineStr">
        <is>
          <t>-1.02% - CADCHF 2019-10-02</t>
        </is>
      </c>
      <c r="L87" s="927" t="inlineStr">
        <is>
          <t>-1.31% - GBPNZD 2019-11-15</t>
        </is>
      </c>
      <c r="M87" s="895" t="inlineStr"/>
    </row>
    <row r="88" ht="14.5" customHeight="1">
      <c r="A88" s="889" t="inlineStr">
        <is>
          <t>Losers min R</t>
        </is>
      </c>
      <c r="B88" s="927" t="inlineStr">
        <is>
          <t>-0.14R - USDCAD 2019-01-12</t>
        </is>
      </c>
      <c r="C88" s="927" t="inlineStr">
        <is>
          <t>-0.47R - EURUSD 2019-02-04</t>
        </is>
      </c>
      <c r="D88" s="927" t="inlineStr">
        <is>
          <t>-0.078R - USDCAD 2019-03-15</t>
        </is>
      </c>
      <c r="E88" s="927" t="inlineStr">
        <is>
          <t>-0.25R - GBPUSD 2019-04-11</t>
        </is>
      </c>
      <c r="F88" s="984" t="inlineStr"/>
      <c r="G88" s="927" t="inlineStr">
        <is>
          <t>-1.02R - USDCAD 2019-06-14</t>
        </is>
      </c>
      <c r="H88" s="927" t="inlineStr">
        <is>
          <t>-0.80R - NZDCHF 2019-07-18</t>
        </is>
      </c>
      <c r="I88" s="927" t="inlineStr">
        <is>
          <t>-0.89R - CADCHF 2019-08-22</t>
        </is>
      </c>
      <c r="J88" s="927" t="inlineStr">
        <is>
          <t>-0.87R - CHFJPY 2019-09-19</t>
        </is>
      </c>
      <c r="K88" s="927" t="inlineStr">
        <is>
          <t>-0.15R - NZDCHF 2019-10-04</t>
        </is>
      </c>
      <c r="L88" s="927" t="inlineStr">
        <is>
          <t>-0.54R - GBPAUD 2019-11-16</t>
        </is>
      </c>
      <c r="M88" s="985" t="inlineStr"/>
    </row>
    <row r="89" ht="14.5" customHeight="1">
      <c r="A89" s="919" t="inlineStr">
        <is>
          <t>Losers max R</t>
        </is>
      </c>
      <c r="B89" s="953" t="inlineStr">
        <is>
          <t>-1.16R - NZDUSD 2019-01-01</t>
        </is>
      </c>
      <c r="C89" s="953" t="inlineStr">
        <is>
          <t>-1.20R - GBPUSD 2019-02-05</t>
        </is>
      </c>
      <c r="D89" s="953" t="inlineStr">
        <is>
          <t>-1.13R - USDCHF 2019-03-13</t>
        </is>
      </c>
      <c r="E89" s="953" t="inlineStr">
        <is>
          <t>-1.07R - USDCAD 2019-04-11</t>
        </is>
      </c>
      <c r="F89" s="980" t="inlineStr"/>
      <c r="G89" s="953" t="inlineStr">
        <is>
          <t>-1.20R - USDCAD 2019-06-17</t>
        </is>
      </c>
      <c r="H89" s="953" t="inlineStr">
        <is>
          <t>-10.75R - GBPAUD 2019-07-25</t>
        </is>
      </c>
      <c r="I89" s="953" t="inlineStr">
        <is>
          <t>-1.15R - NZDCHF 2019-08-05</t>
        </is>
      </c>
      <c r="J89" s="953" t="inlineStr">
        <is>
          <t>-1.04R - EURCHF 2019-09-05</t>
        </is>
      </c>
      <c r="K89" s="953" t="inlineStr">
        <is>
          <t>-1.00R - AUDJPY 2019-10-14</t>
        </is>
      </c>
      <c r="L89" s="953" t="inlineStr">
        <is>
          <t>-1.04R - EURCHF 2019-11-01</t>
        </is>
      </c>
      <c r="M89" s="981" t="inlineStr"/>
    </row>
    <row r="90" ht="14.5" customHeight="1">
      <c r="A90" s="924" t="inlineStr">
        <is>
          <t>Patterns</t>
        </is>
      </c>
      <c r="B90" s="922" t="inlineStr"/>
      <c r="C90" s="922" t="inlineStr"/>
      <c r="D90" s="922" t="inlineStr"/>
      <c r="E90" s="922" t="inlineStr"/>
      <c r="F90" s="922" t="inlineStr"/>
      <c r="G90" s="922" t="inlineStr"/>
      <c r="H90" s="922" t="inlineStr"/>
      <c r="I90" s="922" t="inlineStr"/>
      <c r="J90" s="922" t="inlineStr"/>
      <c r="K90" s="922" t="inlineStr"/>
      <c r="L90" s="922" t="inlineStr"/>
      <c r="M90" s="923" t="inlineStr"/>
    </row>
    <row r="91" ht="14.5" customHeight="1">
      <c r="A91" s="886" t="inlineStr">
        <is>
          <t>Most Traded</t>
        </is>
      </c>
      <c r="B91" s="917" t="inlineStr"/>
      <c r="C91" s="917" t="inlineStr"/>
      <c r="D91" s="917" t="inlineStr"/>
      <c r="E91" s="917" t="inlineStr"/>
      <c r="F91" s="917" t="inlineStr"/>
      <c r="G91" s="917" t="inlineStr"/>
      <c r="H91" s="917" t="inlineStr"/>
      <c r="I91" s="917" t="inlineStr"/>
      <c r="J91" s="917" t="inlineStr"/>
      <c r="K91" s="917" t="inlineStr"/>
      <c r="L91" s="917" t="inlineStr"/>
      <c r="M91" s="918" t="inlineStr"/>
    </row>
    <row r="92" ht="14.5" customHeight="1">
      <c r="A92" s="886" t="inlineStr">
        <is>
          <t>Least Traded</t>
        </is>
      </c>
      <c r="B92" s="661" t="inlineStr"/>
      <c r="C92" s="661" t="inlineStr"/>
      <c r="D92" s="661" t="inlineStr"/>
      <c r="E92" s="661" t="inlineStr"/>
      <c r="F92" s="661" t="inlineStr"/>
      <c r="G92" s="661" t="inlineStr"/>
      <c r="H92" s="661" t="inlineStr"/>
      <c r="I92" s="661" t="inlineStr"/>
      <c r="J92" s="661" t="inlineStr"/>
      <c r="K92" s="661" t="inlineStr"/>
      <c r="L92" s="661" t="inlineStr"/>
      <c r="M92" s="904" t="inlineStr"/>
    </row>
    <row r="93" ht="14.5" customHeight="1">
      <c r="A93" s="886" t="inlineStr">
        <is>
          <t>Most Profitable</t>
        </is>
      </c>
      <c r="B93" s="661" t="inlineStr"/>
      <c r="C93" s="661" t="inlineStr"/>
      <c r="D93" s="661" t="inlineStr"/>
      <c r="E93" s="661" t="inlineStr"/>
      <c r="F93" s="661" t="inlineStr"/>
      <c r="G93" s="661" t="inlineStr"/>
      <c r="H93" s="661" t="inlineStr"/>
      <c r="I93" s="661" t="inlineStr"/>
      <c r="J93" s="661" t="inlineStr"/>
      <c r="K93" s="661" t="inlineStr"/>
      <c r="L93" s="661" t="inlineStr"/>
      <c r="M93" s="904" t="inlineStr"/>
    </row>
    <row r="94" ht="14.5" customHeight="1">
      <c r="A94" s="907" t="inlineStr">
        <is>
          <t>Least Profitable</t>
        </is>
      </c>
      <c r="B94" s="669" t="inlineStr"/>
      <c r="C94" s="669" t="inlineStr"/>
      <c r="D94" s="669" t="inlineStr"/>
      <c r="E94" s="669" t="inlineStr"/>
      <c r="F94" s="669" t="inlineStr"/>
      <c r="G94" s="669" t="inlineStr"/>
      <c r="H94" s="669" t="inlineStr"/>
      <c r="I94" s="669" t="inlineStr"/>
      <c r="J94" s="669" t="inlineStr"/>
      <c r="K94" s="669" t="inlineStr"/>
      <c r="L94" s="669" t="inlineStr"/>
      <c r="M94" s="955" t="inlineStr"/>
    </row>
    <row r="95" ht="14.5" customHeight="1">
      <c r="A95" s="924" t="inlineStr">
        <is>
          <t>Timeframe</t>
        </is>
      </c>
      <c r="B95" s="931" t="inlineStr"/>
      <c r="C95" s="931" t="inlineStr"/>
      <c r="D95" s="931" t="inlineStr"/>
      <c r="E95" s="931" t="inlineStr"/>
      <c r="F95" s="931" t="inlineStr"/>
      <c r="G95" s="931" t="inlineStr"/>
      <c r="H95" s="931" t="inlineStr"/>
      <c r="I95" s="931" t="inlineStr"/>
      <c r="J95" s="931" t="inlineStr"/>
      <c r="K95" s="931" t="inlineStr"/>
      <c r="L95" s="931" t="inlineStr"/>
      <c r="M95" s="932" t="inlineStr"/>
    </row>
    <row r="96" ht="14.5" customHeight="1">
      <c r="A96" s="886" t="inlineStr">
        <is>
          <t>1MIN</t>
        </is>
      </c>
      <c r="B96" s="887" t="n">
        <v>0</v>
      </c>
      <c r="C96" s="887" t="n">
        <v>2</v>
      </c>
      <c r="D96" s="887" t="n">
        <v>0</v>
      </c>
      <c r="E96" s="887" t="n">
        <v>0</v>
      </c>
      <c r="F96" s="887" t="n">
        <v>0</v>
      </c>
      <c r="G96" s="887" t="n">
        <v>0</v>
      </c>
      <c r="H96" s="887" t="n">
        <v>0</v>
      </c>
      <c r="I96" s="887" t="n">
        <v>0</v>
      </c>
      <c r="J96" s="887" t="n">
        <v>0</v>
      </c>
      <c r="K96" s="887" t="n">
        <v>0</v>
      </c>
      <c r="L96" s="887" t="n">
        <v>0</v>
      </c>
      <c r="M96" s="888" t="n">
        <v>0</v>
      </c>
    </row>
    <row r="97" ht="14.5" customHeight="1">
      <c r="A97" s="886" t="inlineStr">
        <is>
          <t>5MIN</t>
        </is>
      </c>
      <c r="B97" s="887" t="n">
        <v>9</v>
      </c>
      <c r="C97" s="887" t="n">
        <v>21</v>
      </c>
      <c r="D97" s="887" t="n">
        <v>1</v>
      </c>
      <c r="E97" s="887" t="n">
        <v>0</v>
      </c>
      <c r="F97" s="887" t="n">
        <v>0</v>
      </c>
      <c r="G97" s="887" t="n">
        <v>0</v>
      </c>
      <c r="H97" s="887" t="n">
        <v>0</v>
      </c>
      <c r="I97" s="887" t="n">
        <v>0</v>
      </c>
      <c r="J97" s="887" t="n">
        <v>0</v>
      </c>
      <c r="K97" s="887" t="n">
        <v>0</v>
      </c>
      <c r="L97" s="887" t="n">
        <v>0</v>
      </c>
      <c r="M97" s="888" t="n">
        <v>0</v>
      </c>
    </row>
    <row r="98" ht="14.5" customHeight="1">
      <c r="A98" s="886" t="inlineStr">
        <is>
          <t>15MIN</t>
        </is>
      </c>
      <c r="B98" s="887" t="n">
        <v>0</v>
      </c>
      <c r="C98" s="887" t="n">
        <v>56</v>
      </c>
      <c r="D98" s="887" t="n">
        <v>28</v>
      </c>
      <c r="E98" s="887" t="n">
        <v>0</v>
      </c>
      <c r="F98" s="887" t="n">
        <v>0</v>
      </c>
      <c r="G98" s="887" t="n">
        <v>13</v>
      </c>
      <c r="H98" s="887" t="n">
        <v>29</v>
      </c>
      <c r="I98" s="887" t="n">
        <v>3</v>
      </c>
      <c r="J98" s="887" t="n">
        <v>0</v>
      </c>
      <c r="K98" s="887" t="n">
        <v>0</v>
      </c>
      <c r="L98" s="887" t="n">
        <v>0</v>
      </c>
      <c r="M98" s="888" t="n">
        <v>0</v>
      </c>
    </row>
    <row r="99" ht="14.5" customHeight="1">
      <c r="A99" s="886" t="inlineStr">
        <is>
          <t>30MIN</t>
        </is>
      </c>
      <c r="B99" s="887" t="n">
        <v>0</v>
      </c>
      <c r="C99" s="887" t="n">
        <v>0</v>
      </c>
      <c r="D99" s="887" t="n">
        <v>0</v>
      </c>
      <c r="E99" s="887" t="n">
        <v>0</v>
      </c>
      <c r="F99" s="887" t="n">
        <v>0</v>
      </c>
      <c r="G99" s="887" t="n">
        <v>0</v>
      </c>
      <c r="H99" s="887" t="n">
        <v>0</v>
      </c>
      <c r="I99" s="887" t="n">
        <v>0</v>
      </c>
      <c r="J99" s="887" t="n">
        <v>0</v>
      </c>
      <c r="K99" s="887" t="n">
        <v>0</v>
      </c>
      <c r="L99" s="887" t="n">
        <v>0</v>
      </c>
      <c r="M99" s="888" t="n">
        <v>0</v>
      </c>
    </row>
    <row r="100" ht="14.5" customHeight="1">
      <c r="A100" s="886" t="inlineStr">
        <is>
          <t>1H</t>
        </is>
      </c>
      <c r="B100" s="887" t="n">
        <v>54</v>
      </c>
      <c r="C100" s="887" t="n">
        <v>16</v>
      </c>
      <c r="D100" s="887" t="n">
        <v>11</v>
      </c>
      <c r="E100" s="887" t="n">
        <v>3</v>
      </c>
      <c r="F100" s="887" t="n">
        <v>0</v>
      </c>
      <c r="G100" s="887" t="n">
        <v>0</v>
      </c>
      <c r="H100" s="887" t="n">
        <v>4</v>
      </c>
      <c r="I100" s="887" t="n">
        <v>9</v>
      </c>
      <c r="J100" s="887" t="n">
        <v>0</v>
      </c>
      <c r="K100" s="887" t="n">
        <v>0</v>
      </c>
      <c r="L100" s="887" t="n">
        <v>0</v>
      </c>
      <c r="M100" s="888" t="n">
        <v>0</v>
      </c>
    </row>
    <row r="101" ht="14.5" customHeight="1">
      <c r="A101" s="886" t="inlineStr">
        <is>
          <t>4H</t>
        </is>
      </c>
      <c r="B101" s="887" t="n">
        <v>3</v>
      </c>
      <c r="C101" s="887" t="n">
        <v>0</v>
      </c>
      <c r="D101" s="887" t="n">
        <v>0</v>
      </c>
      <c r="E101" s="887" t="n">
        <v>0</v>
      </c>
      <c r="F101" s="887" t="n">
        <v>0</v>
      </c>
      <c r="G101" s="887" t="n">
        <v>0</v>
      </c>
      <c r="H101" s="887" t="n">
        <v>0</v>
      </c>
      <c r="I101" s="887" t="n">
        <v>1</v>
      </c>
      <c r="J101" s="887" t="n">
        <v>11</v>
      </c>
      <c r="K101" s="887" t="n">
        <v>22</v>
      </c>
      <c r="L101" s="887" t="n">
        <v>13</v>
      </c>
      <c r="M101" s="888" t="n">
        <v>0</v>
      </c>
    </row>
    <row r="102" ht="14.5" customHeight="1">
      <c r="A102" s="886" t="inlineStr">
        <is>
          <t>DAILY</t>
        </is>
      </c>
      <c r="B102" s="887" t="n">
        <v>0</v>
      </c>
      <c r="C102" s="887" t="n">
        <v>0</v>
      </c>
      <c r="D102" s="887" t="n">
        <v>0</v>
      </c>
      <c r="E102" s="887" t="n">
        <v>0</v>
      </c>
      <c r="F102" s="887" t="n">
        <v>0</v>
      </c>
      <c r="G102" s="887" t="n">
        <v>0</v>
      </c>
      <c r="H102" s="887" t="n">
        <v>0</v>
      </c>
      <c r="I102" s="887" t="n">
        <v>0</v>
      </c>
      <c r="J102" s="887" t="n">
        <v>0</v>
      </c>
      <c r="K102" s="887" t="n">
        <v>0</v>
      </c>
      <c r="L102" s="887" t="n">
        <v>0</v>
      </c>
      <c r="M102" s="888" t="n">
        <v>0</v>
      </c>
    </row>
    <row r="103" ht="14.5" customHeight="1">
      <c r="A103" s="886" t="inlineStr">
        <is>
          <t>WEEKLY</t>
        </is>
      </c>
      <c r="B103" s="887" t="n">
        <v>0</v>
      </c>
      <c r="C103" s="887" t="n">
        <v>0</v>
      </c>
      <c r="D103" s="887" t="n">
        <v>0</v>
      </c>
      <c r="E103" s="887" t="n">
        <v>0</v>
      </c>
      <c r="F103" s="887" t="n">
        <v>0</v>
      </c>
      <c r="G103" s="887" t="n">
        <v>0</v>
      </c>
      <c r="H103" s="887" t="n">
        <v>0</v>
      </c>
      <c r="I103" s="887" t="n">
        <v>0</v>
      </c>
      <c r="J103" s="887" t="n">
        <v>0</v>
      </c>
      <c r="K103" s="887" t="n">
        <v>0</v>
      </c>
      <c r="L103" s="887" t="n">
        <v>0</v>
      </c>
      <c r="M103" s="888" t="n">
        <v>0</v>
      </c>
    </row>
    <row r="104" ht="14.5" customHeight="1">
      <c r="A104" s="907" t="inlineStr">
        <is>
          <t>MONTHLY</t>
        </is>
      </c>
      <c r="B104" s="947" t="n">
        <v>0</v>
      </c>
      <c r="C104" s="947" t="n">
        <v>0</v>
      </c>
      <c r="D104" s="947" t="n">
        <v>0</v>
      </c>
      <c r="E104" s="947" t="n">
        <v>0</v>
      </c>
      <c r="F104" s="947" t="n">
        <v>0</v>
      </c>
      <c r="G104" s="947" t="n">
        <v>0</v>
      </c>
      <c r="H104" s="947" t="n">
        <v>0</v>
      </c>
      <c r="I104" s="947" t="n">
        <v>0</v>
      </c>
      <c r="J104" s="947" t="n">
        <v>0</v>
      </c>
      <c r="K104" s="947" t="n">
        <v>0</v>
      </c>
      <c r="L104" s="947" t="n">
        <v>0</v>
      </c>
      <c r="M104" s="948" t="n">
        <v>0</v>
      </c>
    </row>
    <row r="105" ht="14.5" customHeight="1">
      <c r="A105" s="924" t="inlineStr">
        <is>
          <t>Commission</t>
        </is>
      </c>
      <c r="B105" s="931" t="inlineStr"/>
      <c r="C105" s="931" t="inlineStr"/>
      <c r="D105" s="931" t="inlineStr"/>
      <c r="E105" s="931" t="inlineStr"/>
      <c r="F105" s="931" t="inlineStr"/>
      <c r="G105" s="931" t="inlineStr"/>
      <c r="H105" s="931" t="inlineStr"/>
      <c r="I105" s="931" t="inlineStr"/>
      <c r="J105" s="931" t="inlineStr"/>
      <c r="K105" s="931" t="inlineStr"/>
      <c r="L105" s="931" t="inlineStr"/>
      <c r="M105" s="932" t="inlineStr"/>
    </row>
    <row r="106" ht="14.5" customHeight="1">
      <c r="A106" s="889" t="inlineStr">
        <is>
          <t>Min Commission</t>
        </is>
      </c>
      <c r="B106" s="956" t="n">
        <v>0.02</v>
      </c>
      <c r="C106" s="956" t="n">
        <v>0.03</v>
      </c>
      <c r="D106" s="956" t="n">
        <v>0.06</v>
      </c>
      <c r="E106" s="661" t="inlineStr"/>
      <c r="F106" s="661" t="inlineStr"/>
      <c r="G106" s="661" t="inlineStr"/>
      <c r="H106" s="957" t="n">
        <v>0.66</v>
      </c>
      <c r="I106" s="956" t="n">
        <v>0.06</v>
      </c>
      <c r="J106" s="956" t="n">
        <v>0.03</v>
      </c>
      <c r="K106" s="956" t="n">
        <v>0.02</v>
      </c>
      <c r="L106" s="956" t="n">
        <v>0.01</v>
      </c>
      <c r="M106" s="904" t="inlineStr"/>
    </row>
    <row r="107" ht="14.5" customHeight="1">
      <c r="A107" s="889" t="inlineStr">
        <is>
          <t>Avg Commission</t>
        </is>
      </c>
      <c r="B107" s="957" t="n">
        <v>0.3325</v>
      </c>
      <c r="C107" s="957" t="n">
        <v>0.29125</v>
      </c>
      <c r="D107" s="957" t="n">
        <v>0.19</v>
      </c>
      <c r="E107" s="661" t="inlineStr"/>
      <c r="F107" s="661" t="inlineStr"/>
      <c r="G107" s="661" t="inlineStr"/>
      <c r="H107" s="957" t="n">
        <v>0.66</v>
      </c>
      <c r="I107" s="957" t="n">
        <v>0.1233333333333333</v>
      </c>
      <c r="J107" s="957" t="n">
        <v>0.162</v>
      </c>
      <c r="K107" s="956" t="n">
        <v>0.093</v>
      </c>
      <c r="L107" s="957" t="n">
        <v>0.13</v>
      </c>
      <c r="M107" s="904" t="inlineStr"/>
    </row>
    <row r="108" ht="14.5" customHeight="1">
      <c r="A108" s="889" t="inlineStr">
        <is>
          <t>Max Commission</t>
        </is>
      </c>
      <c r="B108" s="958" t="n">
        <v>1.28</v>
      </c>
      <c r="C108" s="958" t="n">
        <v>0.79</v>
      </c>
      <c r="D108" s="958" t="n">
        <v>0.26</v>
      </c>
      <c r="E108" s="937" t="inlineStr"/>
      <c r="F108" s="937" t="inlineStr"/>
      <c r="G108" s="937" t="inlineStr"/>
      <c r="H108" s="958" t="n">
        <v>0.66</v>
      </c>
      <c r="I108" s="958" t="n">
        <v>0.25</v>
      </c>
      <c r="J108" s="958" t="n">
        <v>0.36</v>
      </c>
      <c r="K108" s="958" t="n">
        <v>0.24</v>
      </c>
      <c r="L108" s="958" t="n">
        <v>0.27</v>
      </c>
      <c r="M108" s="938" t="inlineStr"/>
    </row>
    <row r="109" ht="14.5" customHeight="1">
      <c r="A109" s="919" t="inlineStr">
        <is>
          <t>Total Commission</t>
        </is>
      </c>
      <c r="B109" s="961" t="n">
        <v>2.66</v>
      </c>
      <c r="C109" s="961" t="n">
        <v>2.33</v>
      </c>
      <c r="D109" s="961" t="n">
        <v>0.5700000000000001</v>
      </c>
      <c r="E109" s="920" t="inlineStr"/>
      <c r="F109" s="920" t="inlineStr"/>
      <c r="G109" s="920" t="inlineStr"/>
      <c r="H109" s="961" t="n">
        <v>0.66</v>
      </c>
      <c r="I109" s="961" t="n">
        <v>0.37</v>
      </c>
      <c r="J109" s="961" t="n">
        <v>0.8100000000000001</v>
      </c>
      <c r="K109" s="961" t="n">
        <v>0.93</v>
      </c>
      <c r="L109" s="961" t="n">
        <v>0.52</v>
      </c>
      <c r="M109" s="921" t="inlineStr"/>
    </row>
    <row r="110">
      <c r="A110" s="962" t="n"/>
      <c r="B110" s="963" t="n"/>
      <c r="C110" s="963" t="n"/>
      <c r="D110" s="963" t="n"/>
      <c r="E110" s="963" t="n"/>
      <c r="F110" s="963" t="n"/>
      <c r="G110" s="963" t="n"/>
      <c r="H110" s="963" t="n"/>
      <c r="I110" s="963" t="n"/>
      <c r="J110" s="963" t="n"/>
      <c r="K110" s="963" t="n"/>
      <c r="L110" s="963" t="n"/>
      <c r="M110" s="963" t="n"/>
    </row>
    <row r="111">
      <c r="A111" s="962" t="n"/>
      <c r="B111" s="965" t="n"/>
      <c r="C111" s="965" t="n"/>
      <c r="D111" s="965" t="n"/>
      <c r="E111" s="965" t="n"/>
      <c r="F111" s="965" t="n"/>
      <c r="G111" s="965" t="n"/>
      <c r="H111" s="965" t="n"/>
      <c r="I111" s="965" t="n"/>
      <c r="J111" s="965" t="n"/>
      <c r="K111" s="965" t="n"/>
      <c r="L111" s="965" t="n"/>
      <c r="M111" s="965" t="n"/>
    </row>
    <row r="112">
      <c r="A112" s="962" t="n"/>
      <c r="B112" s="965" t="n"/>
      <c r="C112" s="965" t="n"/>
      <c r="D112" s="965" t="n"/>
      <c r="E112" s="965" t="n"/>
      <c r="F112" s="965" t="n"/>
      <c r="G112" s="965" t="n"/>
      <c r="H112" s="965" t="n"/>
      <c r="I112" s="965" t="n"/>
      <c r="J112" s="965" t="n"/>
      <c r="K112" s="965" t="n"/>
      <c r="L112" s="965" t="n"/>
      <c r="M112" s="965" t="n"/>
    </row>
    <row r="113">
      <c r="A113" s="962" t="n"/>
      <c r="B113" s="967" t="n"/>
      <c r="C113" s="967" t="n"/>
      <c r="D113" s="967" t="n"/>
      <c r="E113" s="967" t="n"/>
      <c r="F113" s="967" t="n"/>
      <c r="G113" s="967" t="n"/>
      <c r="H113" s="967" t="n"/>
      <c r="I113" s="967" t="n"/>
      <c r="J113" s="967" t="n"/>
      <c r="K113" s="967" t="n"/>
      <c r="L113" s="967" t="n"/>
      <c r="M113" s="967" t="n"/>
    </row>
    <row r="114">
      <c r="A114" s="962" t="n"/>
      <c r="B114" s="964" t="n"/>
      <c r="C114" s="964" t="n"/>
      <c r="D114" s="964" t="n"/>
      <c r="E114" s="964" t="n"/>
      <c r="F114" s="963" t="n"/>
      <c r="G114" s="964" t="n"/>
      <c r="H114" s="964" t="n"/>
      <c r="I114" s="964" t="n"/>
      <c r="J114" s="964" t="n"/>
      <c r="K114" s="964" t="n"/>
      <c r="L114" s="964" t="n"/>
      <c r="M114" s="964" t="n"/>
    </row>
    <row r="115">
      <c r="A115" s="962" t="n"/>
      <c r="B115" s="964" t="n"/>
      <c r="C115" s="964" t="n"/>
      <c r="D115" s="964" t="n"/>
      <c r="E115" s="964" t="n"/>
      <c r="F115" s="963" t="n"/>
      <c r="G115" s="964" t="n"/>
      <c r="H115" s="964" t="n"/>
      <c r="I115" s="964" t="n"/>
      <c r="J115" s="964" t="n"/>
      <c r="K115" s="964" t="n"/>
      <c r="L115" s="964" t="n"/>
      <c r="M115" s="964" t="n"/>
    </row>
    <row r="116">
      <c r="A116" s="962" t="n"/>
      <c r="B116" s="964" t="n"/>
      <c r="C116" s="964" t="n"/>
      <c r="D116" s="964" t="n"/>
      <c r="E116" s="964" t="n"/>
      <c r="F116" s="963" t="n"/>
      <c r="G116" s="964" t="n"/>
      <c r="H116" s="964" t="n"/>
      <c r="I116" s="964" t="n"/>
      <c r="J116" s="964" t="n"/>
      <c r="K116" s="964" t="n"/>
      <c r="L116" s="964" t="n"/>
      <c r="M116" s="964" t="n"/>
    </row>
    <row r="117">
      <c r="A117" s="962" t="n"/>
      <c r="B117" s="964" t="n"/>
      <c r="C117" s="964" t="n"/>
      <c r="D117" s="964" t="n"/>
      <c r="E117" s="964" t="n"/>
      <c r="F117" s="963" t="n"/>
      <c r="G117" s="964" t="n"/>
      <c r="H117" s="964" t="n"/>
      <c r="I117" s="964" t="n"/>
      <c r="J117" s="964" t="n"/>
      <c r="K117" s="964" t="n"/>
      <c r="L117" s="964" t="n"/>
      <c r="M117" s="964" t="n"/>
    </row>
    <row r="118">
      <c r="A118" s="962" t="n"/>
      <c r="B118" s="964" t="n"/>
      <c r="C118" s="964" t="n"/>
      <c r="D118" s="964" t="n"/>
      <c r="E118" s="964" t="n"/>
      <c r="F118" s="963" t="n"/>
      <c r="G118" s="964" t="n"/>
      <c r="H118" s="964" t="n"/>
      <c r="I118" s="964" t="n"/>
      <c r="J118" s="964" t="n"/>
      <c r="K118" s="964" t="n"/>
      <c r="L118" s="964" t="n"/>
      <c r="M118" s="964" t="n"/>
    </row>
    <row r="119">
      <c r="A119" s="962" t="n"/>
      <c r="B119" s="964" t="n"/>
      <c r="C119" s="964" t="n"/>
      <c r="D119" s="964" t="n"/>
      <c r="E119" s="964" t="n"/>
      <c r="F119" s="963" t="n"/>
      <c r="G119" s="964" t="n"/>
      <c r="H119" s="964" t="n"/>
      <c r="I119" s="964" t="n"/>
      <c r="J119" s="964" t="n"/>
      <c r="K119" s="964" t="n"/>
      <c r="L119" s="964" t="n"/>
      <c r="M119" s="964" t="n"/>
    </row>
    <row r="120">
      <c r="A120" s="962" t="n"/>
      <c r="B120" s="964" t="n"/>
      <c r="C120" s="964" t="n"/>
      <c r="D120" s="964" t="n"/>
      <c r="E120" s="964" t="n"/>
      <c r="F120" s="963" t="n"/>
      <c r="G120" s="964" t="n"/>
      <c r="H120" s="964" t="n"/>
      <c r="I120" s="964" t="n"/>
      <c r="J120" s="964" t="n"/>
      <c r="K120" s="964" t="n"/>
      <c r="L120" s="964" t="n"/>
      <c r="M120" s="964" t="n"/>
    </row>
    <row r="121">
      <c r="A121" s="962" t="n"/>
      <c r="B121" s="964" t="n"/>
      <c r="C121" s="964" t="n"/>
      <c r="D121" s="964" t="n"/>
      <c r="E121" s="964" t="n"/>
      <c r="F121" s="963" t="n"/>
      <c r="G121" s="964" t="n"/>
      <c r="H121" s="964" t="n"/>
      <c r="I121" s="964" t="n"/>
      <c r="J121" s="964" t="n"/>
      <c r="K121" s="964" t="n"/>
      <c r="L121" s="964" t="n"/>
      <c r="M121" s="964" t="n"/>
    </row>
    <row r="122">
      <c r="A122" s="962" t="n"/>
      <c r="B122" s="964" t="n"/>
      <c r="C122" s="964" t="n"/>
      <c r="D122" s="964" t="n"/>
      <c r="E122" s="964" t="n"/>
      <c r="F122" s="963" t="n"/>
      <c r="G122" s="964" t="n"/>
      <c r="H122" s="964" t="n"/>
      <c r="I122" s="964" t="n"/>
      <c r="J122" s="964" t="n"/>
      <c r="K122" s="964" t="n"/>
      <c r="L122" s="964" t="n"/>
      <c r="M122" s="964" t="n"/>
    </row>
    <row r="123">
      <c r="A123" s="962" t="n"/>
      <c r="B123" s="967" t="n"/>
      <c r="C123" s="967" t="n"/>
      <c r="D123" s="967" t="n"/>
      <c r="E123" s="967" t="n"/>
      <c r="F123" s="967" t="n"/>
      <c r="G123" s="967" t="n"/>
      <c r="H123" s="967" t="n"/>
      <c r="I123" s="967" t="n"/>
      <c r="J123" s="967" t="n"/>
      <c r="K123" s="967" t="n"/>
      <c r="L123" s="967" t="n"/>
      <c r="M123" s="967" t="n"/>
    </row>
    <row r="124">
      <c r="A124" s="962" t="n"/>
      <c r="B124" s="964" t="n"/>
      <c r="C124" s="964" t="n"/>
      <c r="D124" s="964" t="n"/>
      <c r="E124" s="963" t="n"/>
      <c r="F124" s="963" t="n"/>
      <c r="G124" s="963" t="n"/>
      <c r="H124" s="964" t="n"/>
      <c r="I124" s="964" t="n"/>
      <c r="J124" s="964" t="n"/>
      <c r="K124" s="964" t="n"/>
      <c r="L124" s="964" t="n"/>
      <c r="M124" s="963" t="n"/>
    </row>
    <row r="125">
      <c r="A125" s="962" t="n"/>
      <c r="B125" s="964" t="n"/>
      <c r="C125" s="964" t="n"/>
      <c r="D125" s="964" t="n"/>
      <c r="E125" s="963" t="n"/>
      <c r="F125" s="963" t="n"/>
      <c r="G125" s="963" t="n"/>
      <c r="H125" s="964" t="n"/>
      <c r="I125" s="964" t="n"/>
      <c r="J125" s="964" t="n"/>
      <c r="K125" s="964" t="n"/>
      <c r="L125" s="964" t="n"/>
      <c r="M125" s="963" t="n"/>
    </row>
    <row r="126">
      <c r="A126" s="962" t="n"/>
      <c r="B126" s="964" t="n"/>
      <c r="C126" s="964" t="n"/>
      <c r="D126" s="964" t="n"/>
      <c r="E126" s="963" t="n"/>
      <c r="F126" s="963" t="n"/>
      <c r="G126" s="963" t="n"/>
      <c r="H126" s="964" t="n"/>
      <c r="I126" s="964" t="n"/>
      <c r="J126" s="964" t="n"/>
      <c r="K126" s="964" t="n"/>
      <c r="L126" s="964" t="n"/>
      <c r="M126" s="963" t="n"/>
    </row>
    <row r="127">
      <c r="A127" s="962" t="n"/>
      <c r="B127" s="964" t="n"/>
      <c r="C127" s="964" t="n"/>
      <c r="D127" s="964" t="n"/>
      <c r="E127" s="963" t="n"/>
      <c r="F127" s="963" t="n"/>
      <c r="G127" s="963" t="n"/>
      <c r="H127" s="964" t="n"/>
      <c r="I127" s="964" t="n"/>
      <c r="J127" s="964" t="n"/>
      <c r="K127" s="964" t="n"/>
      <c r="L127" s="964" t="n"/>
      <c r="M127" s="963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27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34" customWidth="1" min="1" max="1"/>
    <col width="43" customWidth="1" min="2" max="2"/>
    <col width="34" customWidth="1" min="3" max="3"/>
    <col width="31" customWidth="1" min="4" max="4"/>
    <col width="43" customWidth="1" min="5" max="5"/>
    <col width="36" customWidth="1" min="6" max="6"/>
    <col width="37" customWidth="1" min="7" max="7"/>
    <col width="36" customWidth="1" min="8" max="13"/>
  </cols>
  <sheetData>
    <row r="1">
      <c r="A1" s="883" t="n"/>
      <c r="B1" s="884" t="inlineStr">
        <is>
          <t>January</t>
        </is>
      </c>
      <c r="C1" s="884" t="inlineStr">
        <is>
          <t>February</t>
        </is>
      </c>
      <c r="D1" s="884" t="inlineStr">
        <is>
          <t>March</t>
        </is>
      </c>
      <c r="E1" s="884" t="inlineStr">
        <is>
          <t>April</t>
        </is>
      </c>
      <c r="F1" s="884" t="inlineStr">
        <is>
          <t>May</t>
        </is>
      </c>
      <c r="G1" s="884" t="inlineStr">
        <is>
          <t>June</t>
        </is>
      </c>
      <c r="H1" s="884" t="inlineStr">
        <is>
          <t>July</t>
        </is>
      </c>
      <c r="I1" s="884" t="inlineStr">
        <is>
          <t>August</t>
        </is>
      </c>
      <c r="J1" s="884" t="inlineStr">
        <is>
          <t>September</t>
        </is>
      </c>
      <c r="K1" s="884" t="inlineStr">
        <is>
          <t>October</t>
        </is>
      </c>
      <c r="L1" s="884" t="inlineStr">
        <is>
          <t>November</t>
        </is>
      </c>
      <c r="M1" s="885" t="inlineStr">
        <is>
          <t>December</t>
        </is>
      </c>
    </row>
    <row r="2" ht="14.5" customHeight="1">
      <c r="A2" s="886" t="inlineStr">
        <is>
          <t>Trades</t>
        </is>
      </c>
      <c r="B2" s="887" t="n">
        <v>5</v>
      </c>
      <c r="C2" s="887" t="n">
        <v>7</v>
      </c>
      <c r="D2" s="887" t="n">
        <v>16</v>
      </c>
      <c r="E2" s="887" t="n">
        <v>40</v>
      </c>
      <c r="F2" s="887" t="n">
        <v>57</v>
      </c>
      <c r="G2" s="887" t="n">
        <v>22</v>
      </c>
      <c r="H2" s="887" t="n">
        <v>20</v>
      </c>
      <c r="I2" s="887" t="n">
        <v>17</v>
      </c>
      <c r="J2" s="887" t="n">
        <v>12</v>
      </c>
      <c r="K2" s="887" t="n">
        <v>18</v>
      </c>
      <c r="L2" s="887" t="n">
        <v>5</v>
      </c>
      <c r="M2" s="888" t="n">
        <v>13</v>
      </c>
    </row>
    <row r="3" ht="14.5" customHeight="1">
      <c r="A3" s="889" t="inlineStr">
        <is>
          <t>Wins</t>
        </is>
      </c>
      <c r="B3" s="890" t="n">
        <v>1</v>
      </c>
      <c r="C3" s="890" t="n">
        <v>0</v>
      </c>
      <c r="D3" s="890" t="n">
        <v>6</v>
      </c>
      <c r="E3" s="890" t="n">
        <v>11</v>
      </c>
      <c r="F3" s="890" t="n">
        <v>15</v>
      </c>
      <c r="G3" s="890" t="n">
        <v>3</v>
      </c>
      <c r="H3" s="890" t="n">
        <v>4</v>
      </c>
      <c r="I3" s="890" t="n">
        <v>2</v>
      </c>
      <c r="J3" s="890" t="n">
        <v>2</v>
      </c>
      <c r="K3" s="890" t="n">
        <v>4</v>
      </c>
      <c r="L3" s="890" t="n">
        <v>0</v>
      </c>
      <c r="M3" s="891" t="n">
        <v>2</v>
      </c>
    </row>
    <row r="4" ht="14.5" customHeight="1">
      <c r="A4" s="889" t="inlineStr">
        <is>
          <t>Losses</t>
        </is>
      </c>
      <c r="B4" s="892" t="n">
        <v>4</v>
      </c>
      <c r="C4" s="892" t="n">
        <v>6</v>
      </c>
      <c r="D4" s="892" t="n">
        <v>9</v>
      </c>
      <c r="E4" s="892" t="n">
        <v>28</v>
      </c>
      <c r="F4" s="892" t="n">
        <v>41</v>
      </c>
      <c r="G4" s="892" t="n">
        <v>19</v>
      </c>
      <c r="H4" s="892" t="n">
        <v>16</v>
      </c>
      <c r="I4" s="892" t="n">
        <v>15</v>
      </c>
      <c r="J4" s="892" t="n">
        <v>10</v>
      </c>
      <c r="K4" s="892" t="n">
        <v>14</v>
      </c>
      <c r="L4" s="892" t="n">
        <v>5</v>
      </c>
      <c r="M4" s="893" t="n">
        <v>11</v>
      </c>
    </row>
    <row r="5" ht="14.5" customHeight="1">
      <c r="A5" s="889" t="inlineStr">
        <is>
          <t>Break-even</t>
        </is>
      </c>
      <c r="B5" s="887" t="n">
        <v>0</v>
      </c>
      <c r="C5" s="887" t="n">
        <v>1</v>
      </c>
      <c r="D5" s="887" t="n">
        <v>1</v>
      </c>
      <c r="E5" s="887" t="n">
        <v>1</v>
      </c>
      <c r="F5" s="887" t="n">
        <v>1</v>
      </c>
      <c r="G5" s="887" t="n">
        <v>0</v>
      </c>
      <c r="H5" s="887" t="n">
        <v>0</v>
      </c>
      <c r="I5" s="887" t="n">
        <v>0</v>
      </c>
      <c r="J5" s="887" t="n">
        <v>0</v>
      </c>
      <c r="K5" s="887" t="n">
        <v>0</v>
      </c>
      <c r="L5" s="887" t="n">
        <v>0</v>
      </c>
      <c r="M5" s="888" t="n">
        <v>0</v>
      </c>
    </row>
    <row r="6" ht="14.5" customHeight="1">
      <c r="A6" s="889" t="inlineStr">
        <is>
          <t>Test</t>
        </is>
      </c>
      <c r="B6" s="887" t="n">
        <v>0</v>
      </c>
      <c r="C6" s="887" t="n">
        <v>0</v>
      </c>
      <c r="D6" s="887" t="n">
        <v>0</v>
      </c>
      <c r="E6" s="887" t="n">
        <v>0</v>
      </c>
      <c r="F6" s="887" t="n">
        <v>1</v>
      </c>
      <c r="G6" s="887" t="n">
        <v>0</v>
      </c>
      <c r="H6" s="887" t="n">
        <v>0</v>
      </c>
      <c r="I6" s="887" t="n">
        <v>0</v>
      </c>
      <c r="J6" s="887" t="n">
        <v>0</v>
      </c>
      <c r="K6" s="887" t="n">
        <v>1</v>
      </c>
      <c r="L6" s="887" t="n">
        <v>0</v>
      </c>
      <c r="M6" s="888" t="n">
        <v>0</v>
      </c>
    </row>
    <row r="7" ht="14.5" customHeight="1">
      <c r="A7" s="886" t="inlineStr">
        <is>
          <t>Win rate</t>
        </is>
      </c>
      <c r="B7" s="894" t="n">
        <v>0.2</v>
      </c>
      <c r="C7" s="894" t="n">
        <v>0</v>
      </c>
      <c r="D7" s="894" t="n">
        <v>0.375</v>
      </c>
      <c r="E7" s="894" t="n">
        <v>0.275</v>
      </c>
      <c r="F7" s="894" t="n">
        <v>0.2631578947368421</v>
      </c>
      <c r="G7" s="894" t="n">
        <v>0.1363636363636364</v>
      </c>
      <c r="H7" s="894" t="n">
        <v>0.2</v>
      </c>
      <c r="I7" s="894" t="n">
        <v>0.1176470588235294</v>
      </c>
      <c r="J7" s="894" t="n">
        <v>0.1666666666666666</v>
      </c>
      <c r="K7" s="894" t="n">
        <v>0.2222222222222222</v>
      </c>
      <c r="L7" s="894" t="n">
        <v>0</v>
      </c>
      <c r="M7" s="895" t="n">
        <v>0.1538461538461539</v>
      </c>
    </row>
    <row r="8" ht="14.5" customHeight="1">
      <c r="A8" s="886" t="inlineStr">
        <is>
          <t>Net P/L</t>
        </is>
      </c>
      <c r="B8" s="896" t="n">
        <v>-0.04042002731142359</v>
      </c>
      <c r="C8" s="896" t="n">
        <v>-0.04666157009156183</v>
      </c>
      <c r="D8" s="897" t="n">
        <v>0.006549304975867754</v>
      </c>
      <c r="E8" s="896" t="n">
        <v>-0.0424175049809697</v>
      </c>
      <c r="F8" s="896" t="n">
        <v>-0.001712141029892666</v>
      </c>
      <c r="G8" s="896" t="n">
        <v>-0.1086310173551392</v>
      </c>
      <c r="H8" s="897" t="n">
        <v>0.01282420354608151</v>
      </c>
      <c r="I8" s="896" t="n">
        <v>-0.02692253939183481</v>
      </c>
      <c r="J8" s="896" t="n">
        <v>-0.004352352170407072</v>
      </c>
      <c r="K8" s="896" t="n">
        <v>-0.07144308800358759</v>
      </c>
      <c r="L8" s="896" t="n">
        <v>-0.04795095174446007</v>
      </c>
      <c r="M8" s="898" t="n">
        <v>-0.05844890373344749</v>
      </c>
    </row>
    <row r="9" ht="14.5" customHeight="1">
      <c r="A9" s="886" t="inlineStr">
        <is>
          <t>Gross percent gain</t>
        </is>
      </c>
      <c r="B9" s="906" t="n">
        <v>0.0002028809089064719</v>
      </c>
      <c r="C9" s="897" t="n">
        <v>0</v>
      </c>
      <c r="D9" s="897" t="n">
        <v>0.09440853920322147</v>
      </c>
      <c r="E9" s="897" t="n">
        <v>0.2103773615638318</v>
      </c>
      <c r="F9" s="897" t="n">
        <v>0.2347101387824612</v>
      </c>
      <c r="G9" s="897" t="n">
        <v>0.01577919052446753</v>
      </c>
      <c r="H9" s="897" t="n">
        <v>0.1321729243983845</v>
      </c>
      <c r="I9" s="897" t="n">
        <v>0.05727418692271241</v>
      </c>
      <c r="J9" s="897" t="n">
        <v>0.07712225938493569</v>
      </c>
      <c r="K9" s="897" t="n">
        <v>0.07818333160627634</v>
      </c>
      <c r="L9" s="897" t="n">
        <v>0</v>
      </c>
      <c r="M9" s="968" t="n">
        <v>0.0403649239455421</v>
      </c>
    </row>
    <row r="10" ht="14.5" customHeight="1">
      <c r="A10" s="886" t="inlineStr">
        <is>
          <t>Gross percent loss</t>
        </is>
      </c>
      <c r="B10" s="896" t="n">
        <v>0.04062290822033006</v>
      </c>
      <c r="C10" s="896" t="n">
        <v>0.04666157009156183</v>
      </c>
      <c r="D10" s="896" t="n">
        <v>0.0878592342273537</v>
      </c>
      <c r="E10" s="896" t="n">
        <v>0.2527948665448015</v>
      </c>
      <c r="F10" s="896" t="n">
        <v>0.2364222798123539</v>
      </c>
      <c r="G10" s="896" t="n">
        <v>0.1244102078796067</v>
      </c>
      <c r="H10" s="896" t="n">
        <v>0.1193487208523029</v>
      </c>
      <c r="I10" s="896" t="n">
        <v>0.08419672631454722</v>
      </c>
      <c r="J10" s="896" t="n">
        <v>0.08147461155534277</v>
      </c>
      <c r="K10" s="896" t="n">
        <v>0.1496264196098639</v>
      </c>
      <c r="L10" s="896" t="n">
        <v>0.04795095174446007</v>
      </c>
      <c r="M10" s="898" t="n">
        <v>0.09881382767898959</v>
      </c>
    </row>
    <row r="11" ht="14.5" customHeight="1">
      <c r="A11" s="886" t="inlineStr">
        <is>
          <t>Gross IR gain</t>
        </is>
      </c>
      <c r="B11" s="900" t="n">
        <v>0</v>
      </c>
      <c r="C11" s="900" t="n">
        <v>0</v>
      </c>
      <c r="D11" s="900" t="n">
        <v>10.39882352941192</v>
      </c>
      <c r="E11" s="900" t="n">
        <v>23.68495791304215</v>
      </c>
      <c r="F11" s="900" t="n">
        <v>28.24302741036437</v>
      </c>
      <c r="G11" s="900" t="n">
        <v>1.725730798112068</v>
      </c>
      <c r="H11" s="900" t="n">
        <v>13.8515904209905</v>
      </c>
      <c r="I11" s="900" t="n">
        <v>6.109127650735907</v>
      </c>
      <c r="J11" s="900" t="n">
        <v>8.150503039646981</v>
      </c>
      <c r="K11" s="900" t="n">
        <v>10.88788902392677</v>
      </c>
      <c r="L11" s="900" t="n">
        <v>0</v>
      </c>
      <c r="M11" s="901" t="n">
        <v>4.046978624787373</v>
      </c>
    </row>
    <row r="12" ht="14.5" customHeight="1">
      <c r="A12" s="886" t="inlineStr">
        <is>
          <t>Gross IR loss</t>
        </is>
      </c>
      <c r="B12" s="902" t="n">
        <v>2.488471877013787</v>
      </c>
      <c r="C12" s="902" t="n">
        <v>5.65359237204406</v>
      </c>
      <c r="D12" s="902" t="n">
        <v>9.241086113798136</v>
      </c>
      <c r="E12" s="902" t="n">
        <v>21.97217075768068</v>
      </c>
      <c r="F12" s="902" t="n">
        <v>27.15097758738377</v>
      </c>
      <c r="G12" s="902" t="n">
        <v>12.9186121371791</v>
      </c>
      <c r="H12" s="902" t="n">
        <v>11.03791272051025</v>
      </c>
      <c r="I12" s="902" t="n">
        <v>8.276334559061633</v>
      </c>
      <c r="J12" s="902" t="n">
        <v>7.556505364200993</v>
      </c>
      <c r="K12" s="902" t="n">
        <v>12.40498111587095</v>
      </c>
      <c r="L12" s="902" t="n">
        <v>4.504756761957863</v>
      </c>
      <c r="M12" s="903" t="n">
        <v>8.602948257185119</v>
      </c>
    </row>
    <row r="13" ht="14.5" customHeight="1">
      <c r="A13" s="886" t="inlineStr">
        <is>
          <t>Best Win Streak</t>
        </is>
      </c>
      <c r="B13" s="890" t="n">
        <v>1</v>
      </c>
      <c r="C13" s="945" t="inlineStr"/>
      <c r="D13" s="890" t="n">
        <v>3</v>
      </c>
      <c r="E13" s="890" t="n">
        <v>3</v>
      </c>
      <c r="F13" s="890" t="n">
        <v>3</v>
      </c>
      <c r="G13" s="890" t="n">
        <v>1</v>
      </c>
      <c r="H13" s="890" t="n">
        <v>1</v>
      </c>
      <c r="I13" s="890" t="n">
        <v>1</v>
      </c>
      <c r="J13" s="890" t="n">
        <v>1</v>
      </c>
      <c r="K13" s="890" t="n">
        <v>1</v>
      </c>
      <c r="L13" s="945" t="inlineStr"/>
      <c r="M13" s="891" t="n">
        <v>2</v>
      </c>
    </row>
    <row r="14" ht="14.5" customHeight="1">
      <c r="A14" s="889" t="inlineStr">
        <is>
          <t>Start</t>
        </is>
      </c>
      <c r="B14" s="661" t="inlineStr">
        <is>
          <t>2020-01-25 01:19:00</t>
        </is>
      </c>
      <c r="C14" s="917" t="inlineStr"/>
      <c r="D14" s="661" t="inlineStr">
        <is>
          <t>2020-03-12 22:45:27</t>
        </is>
      </c>
      <c r="E14" s="661" t="inlineStr">
        <is>
          <t>2020-04-02 00:49:00</t>
        </is>
      </c>
      <c r="F14" s="661" t="inlineStr">
        <is>
          <t>2020-05-14 19:33:00</t>
        </is>
      </c>
      <c r="G14" s="661" t="inlineStr">
        <is>
          <t>2020-06-01 09:49:00</t>
        </is>
      </c>
      <c r="H14" s="661" t="inlineStr">
        <is>
          <t>2020-07-04 17:32:00</t>
        </is>
      </c>
      <c r="I14" s="661" t="inlineStr">
        <is>
          <t>2020-08-10 18:16:00</t>
        </is>
      </c>
      <c r="J14" s="661" t="inlineStr">
        <is>
          <t>2020-09-03 13:30:00</t>
        </is>
      </c>
      <c r="K14" s="661" t="inlineStr">
        <is>
          <t>2020-10-18 01:01:00</t>
        </is>
      </c>
      <c r="L14" s="917" t="inlineStr"/>
      <c r="M14" s="904" t="inlineStr">
        <is>
          <t>2020-12-25 20:05:00</t>
        </is>
      </c>
    </row>
    <row r="15" ht="14.5" customHeight="1">
      <c r="A15" s="889" t="inlineStr">
        <is>
          <t>End</t>
        </is>
      </c>
      <c r="B15" s="661" t="inlineStr">
        <is>
          <t>2020-01-25 01:19:00</t>
        </is>
      </c>
      <c r="C15" s="917" t="inlineStr"/>
      <c r="D15" s="661" t="inlineStr">
        <is>
          <t>2020-03-17 22:31:00</t>
        </is>
      </c>
      <c r="E15" s="661" t="inlineStr">
        <is>
          <t>2020-04-03 18:19:00</t>
        </is>
      </c>
      <c r="F15" s="661" t="inlineStr">
        <is>
          <t>2020-05-15 03:44:00</t>
        </is>
      </c>
      <c r="G15" s="661" t="inlineStr">
        <is>
          <t>2020-06-01 09:49:00</t>
        </is>
      </c>
      <c r="H15" s="661" t="inlineStr">
        <is>
          <t>2020-07-04 17:32:00</t>
        </is>
      </c>
      <c r="I15" s="661" t="inlineStr">
        <is>
          <t>2020-08-10 18:16:00</t>
        </is>
      </c>
      <c r="J15" s="661" t="inlineStr">
        <is>
          <t>2020-09-03 13:30:00</t>
        </is>
      </c>
      <c r="K15" s="661" t="inlineStr">
        <is>
          <t>2020-10-18 01:01:00</t>
        </is>
      </c>
      <c r="L15" s="917" t="inlineStr"/>
      <c r="M15" s="904" t="inlineStr">
        <is>
          <t>2020-12-27 07:09:00</t>
        </is>
      </c>
    </row>
    <row r="16" ht="14.5" customHeight="1">
      <c r="A16" s="886" t="inlineStr">
        <is>
          <t>Worst Losing Streak</t>
        </is>
      </c>
      <c r="B16" s="892" t="n">
        <v>2</v>
      </c>
      <c r="C16" s="892" t="n">
        <v>6</v>
      </c>
      <c r="D16" s="892" t="n">
        <v>3</v>
      </c>
      <c r="E16" s="892" t="n">
        <v>7</v>
      </c>
      <c r="F16" s="892" t="n">
        <v>8</v>
      </c>
      <c r="G16" s="892" t="n">
        <v>12</v>
      </c>
      <c r="H16" s="892" t="n">
        <v>7</v>
      </c>
      <c r="I16" s="892" t="n">
        <v>6</v>
      </c>
      <c r="J16" s="892" t="n">
        <v>10</v>
      </c>
      <c r="K16" s="892" t="n">
        <v>6</v>
      </c>
      <c r="L16" s="892" t="n">
        <v>5</v>
      </c>
      <c r="M16" s="893" t="n">
        <v>8</v>
      </c>
    </row>
    <row r="17" ht="14.5" customHeight="1">
      <c r="A17" s="889" t="inlineStr">
        <is>
          <t>Start</t>
        </is>
      </c>
      <c r="B17" s="661" t="inlineStr">
        <is>
          <t>2020-01-16 02:39:00</t>
        </is>
      </c>
      <c r="C17" s="661" t="inlineStr">
        <is>
          <t>2020-02-07 01:01:00</t>
        </is>
      </c>
      <c r="D17" s="661" t="inlineStr">
        <is>
          <t>2020-03-26 21:12:00</t>
        </is>
      </c>
      <c r="E17" s="661" t="inlineStr">
        <is>
          <t>2020-04-17 14:55:00</t>
        </is>
      </c>
      <c r="F17" s="661" t="inlineStr">
        <is>
          <t>2020-05-09 15:19:00</t>
        </is>
      </c>
      <c r="G17" s="661" t="inlineStr">
        <is>
          <t>2020-06-05 01:05:00</t>
        </is>
      </c>
      <c r="H17" s="661" t="inlineStr">
        <is>
          <t>2020-07-10 01:04:00</t>
        </is>
      </c>
      <c r="I17" s="661" t="inlineStr">
        <is>
          <t>2020-08-17 23:24:00</t>
        </is>
      </c>
      <c r="J17" s="661" t="inlineStr">
        <is>
          <t>2020-09-05 23:03:00</t>
        </is>
      </c>
      <c r="K17" s="661" t="inlineStr">
        <is>
          <t>2020-10-18 02:13:00</t>
        </is>
      </c>
      <c r="L17" s="661" t="inlineStr">
        <is>
          <t>2020-11-01 00:54:00</t>
        </is>
      </c>
      <c r="M17" s="904" t="inlineStr">
        <is>
          <t>2020-12-04 20:15:00</t>
        </is>
      </c>
    </row>
    <row r="18" ht="14.5" customHeight="1">
      <c r="A18" s="889" t="inlineStr">
        <is>
          <t>End</t>
        </is>
      </c>
      <c r="B18" s="661" t="inlineStr">
        <is>
          <t>2020-01-17 00:32:00</t>
        </is>
      </c>
      <c r="C18" s="661" t="inlineStr">
        <is>
          <t>2020-02-26 01:59:00</t>
        </is>
      </c>
      <c r="D18" s="661" t="inlineStr">
        <is>
          <t>2020-03-26 22:30:36</t>
        </is>
      </c>
      <c r="E18" s="661" t="inlineStr">
        <is>
          <t>2020-04-20 18:05:00</t>
        </is>
      </c>
      <c r="F18" s="661" t="inlineStr">
        <is>
          <t>2020-05-14 03:00:00</t>
        </is>
      </c>
      <c r="G18" s="661" t="inlineStr">
        <is>
          <t>2020-06-17 00:52:00</t>
        </is>
      </c>
      <c r="H18" s="661" t="inlineStr">
        <is>
          <t>2020-07-14 19:29:00</t>
        </is>
      </c>
      <c r="I18" s="661" t="inlineStr">
        <is>
          <t>2020-08-26 02:54:00</t>
        </is>
      </c>
      <c r="J18" s="661" t="inlineStr">
        <is>
          <t>2020-09-22 17:34:00</t>
        </is>
      </c>
      <c r="K18" s="661" t="inlineStr">
        <is>
          <t>2020-10-24 02:18:00</t>
        </is>
      </c>
      <c r="L18" s="661" t="inlineStr">
        <is>
          <t>2020-11-25 06:02:00</t>
        </is>
      </c>
      <c r="M18" s="904" t="inlineStr">
        <is>
          <t>2020-12-25 04:18:01</t>
        </is>
      </c>
    </row>
    <row r="19" ht="14.5" customHeight="1">
      <c r="A19" s="886" t="inlineStr">
        <is>
          <t>Percentage expectancy</t>
        </is>
      </c>
      <c r="B19" s="896" t="n">
        <v>-0.008084005462284717</v>
      </c>
      <c r="C19" s="896" t="n">
        <v>-0.006665938584508833</v>
      </c>
      <c r="D19" s="906" t="n">
        <v>0.0004093315609917346</v>
      </c>
      <c r="E19" s="896" t="n">
        <v>-0.001060437624524243</v>
      </c>
      <c r="F19" s="939" t="n">
        <v>-3.003756192794151e-05</v>
      </c>
      <c r="G19" s="896" t="n">
        <v>-0.00493777351614269</v>
      </c>
      <c r="H19" s="906" t="n">
        <v>0.0006412101773040753</v>
      </c>
      <c r="I19" s="896" t="n">
        <v>-0.001583678787754989</v>
      </c>
      <c r="J19" s="905" t="n">
        <v>-0.0003626960142005894</v>
      </c>
      <c r="K19" s="896" t="n">
        <v>-0.003969060444643755</v>
      </c>
      <c r="L19" s="896" t="n">
        <v>-0.009590190348892014</v>
      </c>
      <c r="M19" s="898" t="n">
        <v>-0.004496069517957499</v>
      </c>
    </row>
    <row r="20" ht="14.5" customHeight="1">
      <c r="A20" s="907" t="inlineStr">
        <is>
          <t>R expectancy</t>
        </is>
      </c>
      <c r="B20" s="909" t="n">
        <v>-0.4976943754027573</v>
      </c>
      <c r="C20" s="909" t="n">
        <v>-0.8076560531491515</v>
      </c>
      <c r="D20" s="908" t="n">
        <v>0.07235858847586134</v>
      </c>
      <c r="E20" s="908" t="n">
        <v>0.04391761936824282</v>
      </c>
      <c r="F20" s="908" t="n">
        <v>0.01915876882422105</v>
      </c>
      <c r="G20" s="909" t="n">
        <v>-0.5087673335939559</v>
      </c>
      <c r="H20" s="970" t="n">
        <v>0.1406838850240127</v>
      </c>
      <c r="I20" s="909" t="n">
        <v>-0.1354504317703579</v>
      </c>
      <c r="J20" s="908" t="n">
        <v>0.04949980628716574</v>
      </c>
      <c r="K20" s="910" t="n">
        <v>-0.08428289399689862</v>
      </c>
      <c r="L20" s="909" t="n">
        <v>-0.9009513523915725</v>
      </c>
      <c r="M20" s="988" t="n">
        <v>-0.3796641360331455</v>
      </c>
    </row>
    <row r="21" ht="14.5" customHeight="1">
      <c r="A21" s="913" t="inlineStr">
        <is>
          <t>Avg stop %</t>
        </is>
      </c>
      <c r="B21" s="915" t="n">
        <v>0.002074877879742009</v>
      </c>
      <c r="C21" s="915" t="n">
        <v>0.002524507420749794</v>
      </c>
      <c r="D21" s="915" t="n">
        <v>0.001956110329750777</v>
      </c>
      <c r="E21" s="915" t="n">
        <v>0.00415462840150593</v>
      </c>
      <c r="F21" s="915" t="n">
        <v>0.02875928310228534</v>
      </c>
      <c r="G21" s="915" t="n">
        <v>0.03206455958626117</v>
      </c>
      <c r="H21" s="915" t="n">
        <v>0.05258278306355235</v>
      </c>
      <c r="I21" s="915" t="n">
        <v>0.04985216776545329</v>
      </c>
      <c r="J21" s="915" t="n">
        <v>0.04658558241699055</v>
      </c>
      <c r="K21" s="915" t="n">
        <v>0.02631723362580209</v>
      </c>
      <c r="L21" s="915" t="n">
        <v>0.008086293392605531</v>
      </c>
      <c r="M21" s="916" t="n">
        <v>0.01702810062153054</v>
      </c>
    </row>
    <row r="22" ht="14.5" customHeight="1">
      <c r="A22" s="889" t="inlineStr">
        <is>
          <t>Avg target %</t>
        </is>
      </c>
      <c r="B22" s="894" t="n">
        <v>0.006837287300199017</v>
      </c>
      <c r="C22" s="894" t="n">
        <v>0.008795279159544433</v>
      </c>
      <c r="D22" s="894" t="n">
        <v>0.003972692372431741</v>
      </c>
      <c r="E22" s="894" t="n">
        <v>0.008304877469365779</v>
      </c>
      <c r="F22" s="894" t="n">
        <v>0.06055798508033888</v>
      </c>
      <c r="G22" s="894" t="n">
        <v>0.1031673324265754</v>
      </c>
      <c r="H22" s="894" t="n">
        <v>0.1709787736235931</v>
      </c>
      <c r="I22" s="894" t="n">
        <v>0.155752725108343</v>
      </c>
      <c r="J22" s="894" t="n">
        <v>0.1526145756810726</v>
      </c>
      <c r="K22" s="894" t="n">
        <v>0.08290723645645973</v>
      </c>
      <c r="L22" s="894" t="n">
        <v>0.01631835800696852</v>
      </c>
      <c r="M22" s="895" t="n">
        <v>0.03428144759147612</v>
      </c>
    </row>
    <row r="23" ht="14.5" customHeight="1">
      <c r="A23" s="889" t="inlineStr">
        <is>
          <t>Min stop %</t>
        </is>
      </c>
      <c r="B23" s="917" t="inlineStr">
        <is>
          <t>0.15% - USDJPY 2020-01-25</t>
        </is>
      </c>
      <c r="C23" s="917" t="inlineStr">
        <is>
          <t>0.18% - USDCHF 2020-02-07</t>
        </is>
      </c>
      <c r="D23" s="917" t="inlineStr">
        <is>
          <t>0.070% - USDCAD 2020-03-20</t>
        </is>
      </c>
      <c r="E23" s="917" t="inlineStr">
        <is>
          <t>0.071% - USDCAD 2020-04-09</t>
        </is>
      </c>
      <c r="F23" s="917" t="inlineStr">
        <is>
          <t>0.044% - EURJPY 2020-05-06</t>
        </is>
      </c>
      <c r="G23" s="917" t="inlineStr">
        <is>
          <t>0.24% - GBPJPY 2020-06-17</t>
        </is>
      </c>
      <c r="H23" s="917" t="inlineStr">
        <is>
          <t>0.26% - EURGBP 2020-07-17</t>
        </is>
      </c>
      <c r="I23" s="917" t="inlineStr">
        <is>
          <t>0.16% - EURCHF 2020-08-12</t>
        </is>
      </c>
      <c r="J23" s="917" t="inlineStr">
        <is>
          <t>0.17% - GBPUSD 2020-09-15</t>
        </is>
      </c>
      <c r="K23" s="917" t="inlineStr">
        <is>
          <t>0.13% - XRPUSDT 2020-10-18</t>
        </is>
      </c>
      <c r="L23" s="917" t="inlineStr">
        <is>
          <t>0.19% - ETHUSDT 2020-11-01</t>
        </is>
      </c>
      <c r="M23" s="918" t="inlineStr">
        <is>
          <t>0.047% - EURNZD 2020-12-25</t>
        </is>
      </c>
    </row>
    <row r="24" ht="14.5" customHeight="1">
      <c r="A24" s="889" t="inlineStr">
        <is>
          <t>Max stop %</t>
        </is>
      </c>
      <c r="B24" s="917" t="inlineStr">
        <is>
          <t>0.26% - GBPCAD 2020-01-28</t>
        </is>
      </c>
      <c r="C24" s="917" t="inlineStr">
        <is>
          <t>0.33% - USDJPY 2020-02-28</t>
        </is>
      </c>
      <c r="D24" s="917" t="inlineStr">
        <is>
          <t>0.43% - AUDCHF 2020-03-26</t>
        </is>
      </c>
      <c r="E24" s="917" t="inlineStr">
        <is>
          <t>1.02% - BCHUSDT 2020-04-29</t>
        </is>
      </c>
      <c r="F24" s="917" t="inlineStr">
        <is>
          <t>13.56% - COSUSDT 2020-05-27</t>
        </is>
      </c>
      <c r="G24" s="917" t="inlineStr">
        <is>
          <t>8.00% - CTSIUSDT 2020-06-15</t>
        </is>
      </c>
      <c r="H24" s="917" t="inlineStr">
        <is>
          <t>12.32% - RLCUSDT 2020-07-21</t>
        </is>
      </c>
      <c r="I24" s="917" t="inlineStr">
        <is>
          <t>11.57% - STMXUSDT 2020-08-02</t>
        </is>
      </c>
      <c r="J24" s="917" t="inlineStr">
        <is>
          <t>15.33% - TRXUSDT 2020-09-16</t>
        </is>
      </c>
      <c r="K24" s="917" t="inlineStr">
        <is>
          <t>14.80% - SXPUSDT 2020-10-02</t>
        </is>
      </c>
      <c r="L24" s="917" t="inlineStr">
        <is>
          <t>1.88% - LINKUSDT 2020-11-16</t>
        </is>
      </c>
      <c r="M24" s="918" t="inlineStr">
        <is>
          <t>2.52% - LINKUSDT 2020-12-20</t>
        </is>
      </c>
    </row>
    <row r="25" ht="14.5" customHeight="1">
      <c r="A25" s="889" t="inlineStr">
        <is>
          <t>Min target %</t>
        </is>
      </c>
      <c r="B25" s="917" t="inlineStr">
        <is>
          <t>0.36% - AUDNZD 2020-01-17</t>
        </is>
      </c>
      <c r="C25" s="917" t="inlineStr">
        <is>
          <t>0.55% - USDCHF 2020-02-07</t>
        </is>
      </c>
      <c r="D25" s="917" t="inlineStr">
        <is>
          <t>0.14% - USDCAD 2020-03-20</t>
        </is>
      </c>
      <c r="E25" s="917" t="inlineStr">
        <is>
          <t>0.12% - USDCAD 2020-04-16</t>
        </is>
      </c>
      <c r="F25" s="917" t="inlineStr">
        <is>
          <t>0.087% - EURJPY 2020-05-06</t>
        </is>
      </c>
      <c r="G25" s="917" t="inlineStr">
        <is>
          <t>0.66% - GBPUSD 2020-06-09</t>
        </is>
      </c>
      <c r="H25" s="917" t="inlineStr">
        <is>
          <t>0.87% - GBPCAD 2020-07-24</t>
        </is>
      </c>
      <c r="I25" s="917" t="inlineStr">
        <is>
          <t>0.66% - EURCHF 2020-08-12</t>
        </is>
      </c>
      <c r="J25" s="917" t="inlineStr">
        <is>
          <t>0.51% - GBPUSD 2020-09-15</t>
        </is>
      </c>
      <c r="K25" s="917" t="inlineStr">
        <is>
          <t>0.26% - BTCUSDT 2020-10-18</t>
        </is>
      </c>
      <c r="L25" s="917" t="inlineStr">
        <is>
          <t>0.40% - ETHUSDT 2020-11-01</t>
        </is>
      </c>
      <c r="M25" s="918" t="inlineStr">
        <is>
          <t>0.093% - EURNZD 2020-12-25</t>
        </is>
      </c>
    </row>
    <row r="26" ht="14.5" customHeight="1">
      <c r="A26" s="919" t="inlineStr">
        <is>
          <t>Max target %</t>
        </is>
      </c>
      <c r="B26" s="920" t="inlineStr">
        <is>
          <t>0.88% - GBPCAD 2020-01-28</t>
        </is>
      </c>
      <c r="C26" s="920" t="inlineStr">
        <is>
          <t>1.15% - GBPCAD 2020-02-26</t>
        </is>
      </c>
      <c r="D26" s="920" t="inlineStr">
        <is>
          <t>0.86% - AUDCHF 2020-03-26</t>
        </is>
      </c>
      <c r="E26" s="920" t="inlineStr">
        <is>
          <t>2.04% - BCHUSDT 2020-04-29</t>
        </is>
      </c>
      <c r="F26" s="920" t="inlineStr">
        <is>
          <t>25.25% - COSUSDT 2020-05-27</t>
        </is>
      </c>
      <c r="G26" s="920" t="inlineStr">
        <is>
          <t>25.56% - ERDUSDT 2020-06-22</t>
        </is>
      </c>
      <c r="H26" s="920" t="inlineStr">
        <is>
          <t>38.71% - ONGUSDT 2020-07-10</t>
        </is>
      </c>
      <c r="I26" s="920" t="inlineStr">
        <is>
          <t>34.83% - STMXUSDT 2020-08-02</t>
        </is>
      </c>
      <c r="J26" s="920" t="inlineStr">
        <is>
          <t>46.56% - TRXUSDT 2020-09-16</t>
        </is>
      </c>
      <c r="K26" s="920" t="inlineStr">
        <is>
          <t>59.19% - SXPUSDT 2020-10-02</t>
        </is>
      </c>
      <c r="L26" s="920" t="inlineStr">
        <is>
          <t>3.78% - LINKUSDT 2020-11-16</t>
        </is>
      </c>
      <c r="M26" s="921" t="inlineStr">
        <is>
          <t>5.13% - LINKUSDT 2020-12-20</t>
        </is>
      </c>
    </row>
    <row r="27" ht="14.5" customHeight="1">
      <c r="A27" s="913" t="inlineStr">
        <is>
          <t>Avg duration (DD:HH:MM:SS)</t>
        </is>
      </c>
      <c r="B27" s="922" t="inlineStr">
        <is>
          <t>14H 25M 36S</t>
        </is>
      </c>
      <c r="C27" s="922" t="inlineStr">
        <is>
          <t>10H 12M 34S</t>
        </is>
      </c>
      <c r="D27" s="922" t="inlineStr">
        <is>
          <t>1H 25M 12S</t>
        </is>
      </c>
      <c r="E27" s="922" t="inlineStr">
        <is>
          <t>3H 35M 56S</t>
        </is>
      </c>
      <c r="F27" s="922" t="inlineStr">
        <is>
          <t>6H 14M 9S</t>
        </is>
      </c>
      <c r="G27" s="922" t="inlineStr">
        <is>
          <t>23H 47M 2S</t>
        </is>
      </c>
      <c r="H27" s="922" t="inlineStr">
        <is>
          <t>1D 10H 57M 36S</t>
        </is>
      </c>
      <c r="I27" s="922" t="inlineStr">
        <is>
          <t>1D 13H 51M 45S</t>
        </is>
      </c>
      <c r="J27" s="922" t="inlineStr">
        <is>
          <t>2D 9H 16M 25S</t>
        </is>
      </c>
      <c r="K27" s="922" t="inlineStr">
        <is>
          <t>12H 56M 30S</t>
        </is>
      </c>
      <c r="L27" s="922" t="inlineStr">
        <is>
          <t>5H 28M 0S</t>
        </is>
      </c>
      <c r="M27" s="923" t="inlineStr">
        <is>
          <t>8H 4M 0S</t>
        </is>
      </c>
    </row>
    <row r="28" ht="14.5" customHeight="1">
      <c r="A28" s="889" t="inlineStr">
        <is>
          <t>Move to Break Even (DD:HH:MM:SS)</t>
        </is>
      </c>
      <c r="B28" s="917" t="inlineStr">
        <is>
          <t>11H 34M 0S</t>
        </is>
      </c>
      <c r="C28" s="917" t="inlineStr">
        <is>
          <t>1H 54M 0S</t>
        </is>
      </c>
      <c r="D28" s="917" t="inlineStr">
        <is>
          <t>51M 20S</t>
        </is>
      </c>
      <c r="E28" s="917" t="inlineStr">
        <is>
          <t>6H 10M 39S</t>
        </is>
      </c>
      <c r="F28" s="917" t="inlineStr">
        <is>
          <t>6H 45M 58S</t>
        </is>
      </c>
      <c r="G28" s="917" t="inlineStr">
        <is>
          <t>1D 1H 29M 16S</t>
        </is>
      </c>
      <c r="H28" s="917" t="inlineStr">
        <is>
          <t>10H 12M 53S</t>
        </is>
      </c>
      <c r="I28" s="917" t="inlineStr">
        <is>
          <t>23H 29M 55S</t>
        </is>
      </c>
      <c r="J28" s="917" t="inlineStr">
        <is>
          <t>11H 10M 16S</t>
        </is>
      </c>
      <c r="K28" s="917" t="inlineStr">
        <is>
          <t>6H 2M 46S</t>
        </is>
      </c>
      <c r="L28" s="917" t="inlineStr">
        <is>
          <t>20M 0S</t>
        </is>
      </c>
      <c r="M28" s="918" t="inlineStr">
        <is>
          <t>9H 28M 30S</t>
        </is>
      </c>
    </row>
    <row r="29" ht="14.5" customHeight="1">
      <c r="A29" s="919" t="inlineStr">
        <is>
          <t>Move to Profit (DD:HH:MM:SS)</t>
        </is>
      </c>
      <c r="B29" s="920" t="inlineStr"/>
      <c r="C29" s="920" t="inlineStr"/>
      <c r="D29" s="920" t="inlineStr"/>
      <c r="E29" s="920" t="inlineStr"/>
      <c r="F29" s="920" t="inlineStr"/>
      <c r="G29" s="920" t="inlineStr"/>
      <c r="H29" s="920" t="inlineStr"/>
      <c r="I29" s="920" t="inlineStr"/>
      <c r="J29" s="920" t="inlineStr"/>
      <c r="K29" s="920" t="inlineStr"/>
      <c r="L29" s="920" t="inlineStr"/>
      <c r="M29" s="921" t="inlineStr"/>
    </row>
    <row r="30" ht="14.5" customHeight="1">
      <c r="A30" s="924" t="inlineStr">
        <is>
          <t>Max win %</t>
        </is>
      </c>
      <c r="B30" s="925" t="inlineStr">
        <is>
          <t>0.020% - USDJPY 2020-01-25</t>
        </is>
      </c>
      <c r="C30" s="925" t="inlineStr">
        <is>
          <t>0.00% - USDJPY 2020-02-28</t>
        </is>
      </c>
      <c r="D30" s="925" t="inlineStr">
        <is>
          <t>2.02% - USDCAD 2020-03-05</t>
        </is>
      </c>
      <c r="E30" s="925" t="inlineStr">
        <is>
          <t>2.86% - CADCHF 2020-04-02</t>
        </is>
      </c>
      <c r="F30" s="925" t="inlineStr">
        <is>
          <t>2.35% - BTCUSDT 2020-05-29</t>
        </is>
      </c>
      <c r="G30" s="925" t="inlineStr">
        <is>
          <t>0.65% - ANKRUSDT 2020-06-01</t>
        </is>
      </c>
      <c r="H30" s="925" t="inlineStr">
        <is>
          <t>3.80% - ONTUSDT 2020-07-19</t>
        </is>
      </c>
      <c r="I30" s="925" t="inlineStr">
        <is>
          <t>2.89% - NKNUSDT 2020-08-16</t>
        </is>
      </c>
      <c r="J30" s="925" t="inlineStr">
        <is>
          <t>4.61% - ERDUSDT 2020-09-03</t>
        </is>
      </c>
      <c r="K30" s="925" t="inlineStr">
        <is>
          <t>1.98% - XRPUSDT 2020-10-18</t>
        </is>
      </c>
      <c r="L30" s="925" t="inlineStr">
        <is>
          <t>-0.23% - LINKUSDT 2020-11-01</t>
        </is>
      </c>
      <c r="M30" s="926" t="inlineStr">
        <is>
          <t>2.10% - LTCUSDT 2020-12-27</t>
        </is>
      </c>
    </row>
    <row r="31" ht="14.5" customHeight="1">
      <c r="A31" s="886" t="inlineStr">
        <is>
          <t>Max loss %</t>
        </is>
      </c>
      <c r="B31" s="927" t="inlineStr">
        <is>
          <t>-2.62% - GBPCAD 2020-01-28</t>
        </is>
      </c>
      <c r="C31" s="927" t="inlineStr">
        <is>
          <t>-1.09% - GBPCAD 2020-02-26</t>
        </is>
      </c>
      <c r="D31" s="927" t="inlineStr">
        <is>
          <t>-1.24% - EURJPY 2020-03-24</t>
        </is>
      </c>
      <c r="E31" s="927" t="inlineStr">
        <is>
          <t>-1.66% - LTCUSDT 2020-04-23</t>
        </is>
      </c>
      <c r="F31" s="927" t="inlineStr">
        <is>
          <t>-1.00% - HIVEUSDT 2020-05-12</t>
        </is>
      </c>
      <c r="G31" s="927" t="inlineStr">
        <is>
          <t>-1.13% - NZDCHF 2020-06-24</t>
        </is>
      </c>
      <c r="H31" s="927" t="inlineStr">
        <is>
          <t>-1.50% - AUDJPY 2020-07-10</t>
        </is>
      </c>
      <c r="I31" s="927" t="inlineStr">
        <is>
          <t>-1.27% - EURJPY 2020-08-21</t>
        </is>
      </c>
      <c r="J31" s="927" t="inlineStr">
        <is>
          <t>-1.32% - CADJPY 2020-09-15</t>
        </is>
      </c>
      <c r="K31" s="927" t="inlineStr">
        <is>
          <t>-2.31% - XRPUSDT 2020-10-18</t>
        </is>
      </c>
      <c r="L31" s="927" t="inlineStr">
        <is>
          <t>-1.22% - ETHUSDT 2020-11-01</t>
        </is>
      </c>
      <c r="M31" s="928" t="inlineStr">
        <is>
          <t>-1.41% - EURNZD 2020-12-25</t>
        </is>
      </c>
    </row>
    <row r="32" ht="14.5" customHeight="1">
      <c r="A32" s="886" t="inlineStr">
        <is>
          <t>Max R loss</t>
        </is>
      </c>
      <c r="B32" s="927" t="inlineStr">
        <is>
          <t>-1.00R - AUDNZD 2020-01-17</t>
        </is>
      </c>
      <c r="C32" s="927" t="inlineStr">
        <is>
          <t>-1.02R - GBPCAD 2020-02-25</t>
        </is>
      </c>
      <c r="D32" s="927" t="inlineStr">
        <is>
          <t>-1.06R - AUDUSD 2020-03-03</t>
        </is>
      </c>
      <c r="E32" s="927" t="inlineStr">
        <is>
          <t>-1.31R - ETHUSDT 2020-04-11</t>
        </is>
      </c>
      <c r="F32" s="927" t="inlineStr">
        <is>
          <t>-1.10R - HIVEUSDT 2020-05-12</t>
        </is>
      </c>
      <c r="G32" s="927" t="inlineStr">
        <is>
          <t>-1.10R - BNTUSDT 2020-06-12</t>
        </is>
      </c>
      <c r="H32" s="927" t="inlineStr">
        <is>
          <t>-1.00R - AUDJPY 2020-07-10</t>
        </is>
      </c>
      <c r="I32" s="927" t="inlineStr">
        <is>
          <t>-1.16R - RENUSDT 2020-08-21</t>
        </is>
      </c>
      <c r="J32" s="927" t="inlineStr">
        <is>
          <t>-1.00R - NEOUSDT 2020-09-22</t>
        </is>
      </c>
      <c r="K32" s="927" t="inlineStr">
        <is>
          <t>-1.14R - XTZUSDT 2020-10-31</t>
        </is>
      </c>
      <c r="L32" s="927" t="inlineStr">
        <is>
          <t>-1.13R - ETHUSDT 2020-11-01</t>
        </is>
      </c>
      <c r="M32" s="928" t="inlineStr">
        <is>
          <t>-1.44R - EURNZD 2020-12-25</t>
        </is>
      </c>
    </row>
    <row r="33" ht="14.5" customHeight="1">
      <c r="A33" s="907" t="inlineStr">
        <is>
          <t>Max R win</t>
        </is>
      </c>
      <c r="B33" s="929" t="inlineStr">
        <is>
          <t>0.00R - USDJPY 2020-01-25</t>
        </is>
      </c>
      <c r="C33" s="929" t="inlineStr">
        <is>
          <t>0.00R - USDJPY 2020-02-28</t>
        </is>
      </c>
      <c r="D33" s="929" t="inlineStr">
        <is>
          <t>2.05R - AUDUSD 2020-03-03</t>
        </is>
      </c>
      <c r="E33" s="929" t="inlineStr">
        <is>
          <t>2.58R - BTCUSDT 2020-04-17</t>
        </is>
      </c>
      <c r="F33" s="929" t="inlineStr">
        <is>
          <t>2.59R - BTCUSDT 2020-05-29</t>
        </is>
      </c>
      <c r="G33" s="929" t="inlineStr">
        <is>
          <t>0.70R - ERDUSDT 2020-06-04</t>
        </is>
      </c>
      <c r="H33" s="929" t="inlineStr">
        <is>
          <t>4.08R - ONTUSDT 2020-07-19</t>
        </is>
      </c>
      <c r="I33" s="929" t="inlineStr">
        <is>
          <t>3.07R - NKNUSDT 2020-08-16</t>
        </is>
      </c>
      <c r="J33" s="929" t="inlineStr">
        <is>
          <t>4.87R - ERDUSDT 2020-09-03</t>
        </is>
      </c>
      <c r="K33" s="929" t="inlineStr">
        <is>
          <t>3.59R - XRPUSDT 2020-10-18</t>
        </is>
      </c>
      <c r="L33" s="929" t="inlineStr">
        <is>
          <t>-0.14R - LINKUSDT 2020-11-01</t>
        </is>
      </c>
      <c r="M33" s="930" t="inlineStr">
        <is>
          <t>2.03R - LTCUSDT 2020-12-27</t>
        </is>
      </c>
    </row>
    <row r="34" ht="14.5" customHeight="1">
      <c r="A34" s="913" t="inlineStr">
        <is>
          <t>Shortest (DD:HH:MM:SS)</t>
        </is>
      </c>
      <c r="B34" s="931" t="inlineStr">
        <is>
          <t>1H 42M 0S - AUDNZD 2020-01-17</t>
        </is>
      </c>
      <c r="C34" s="931" t="inlineStr">
        <is>
          <t>47M 0S - GBPCAD 2020-02-26</t>
        </is>
      </c>
      <c r="D34" s="931" t="inlineStr">
        <is>
          <t>1S - GBPUSD 2020-03-26</t>
        </is>
      </c>
      <c r="E34" s="931" t="inlineStr">
        <is>
          <t>19S - USDCAD 2020-04-09</t>
        </is>
      </c>
      <c r="F34" s="931" t="inlineStr">
        <is>
          <t>1M 0S - GBPUSD 2020-05-23</t>
        </is>
      </c>
      <c r="G34" s="931" t="inlineStr">
        <is>
          <t>1S - GBPUSD 2020-06-09</t>
        </is>
      </c>
      <c r="H34" s="931" t="inlineStr">
        <is>
          <t>44M 0S - KAVAUSDT 2020-07-16</t>
        </is>
      </c>
      <c r="I34" s="931" t="inlineStr">
        <is>
          <t>1M 0S - KNCUSDT 2020-08-06</t>
        </is>
      </c>
      <c r="J34" s="931" t="inlineStr">
        <is>
          <t>39M 0S - NEOUSDT 2020-09-22</t>
        </is>
      </c>
      <c r="K34" s="931" t="inlineStr">
        <is>
          <t>2M 0S - XRPUSDT 2020-10-18</t>
        </is>
      </c>
      <c r="L34" s="931" t="inlineStr">
        <is>
          <t>10M 0S - ETHUSDT 2020-11-01</t>
        </is>
      </c>
      <c r="M34" s="932" t="inlineStr">
        <is>
          <t>1S - EURNZD 2020-12-25</t>
        </is>
      </c>
    </row>
    <row r="35" ht="14.5" customHeight="1">
      <c r="A35" s="919" t="inlineStr">
        <is>
          <t>Longest (DD:HH:MM:SS)</t>
        </is>
      </c>
      <c r="B35" s="920" t="inlineStr">
        <is>
          <t>1D 0H 2M 0S - AUDUSD 2020-01-16</t>
        </is>
      </c>
      <c r="C35" s="920" t="inlineStr">
        <is>
          <t>1D 0H 46M 0S - GBPCAD 2020-02-25</t>
        </is>
      </c>
      <c r="D35" s="920" t="inlineStr">
        <is>
          <t>6H 51M 0S - EURJPY 2020-03-24</t>
        </is>
      </c>
      <c r="E35" s="920" t="inlineStr">
        <is>
          <t>2D 8H 58M 0S - EURAUD 2020-04-06</t>
        </is>
      </c>
      <c r="F35" s="920" t="inlineStr">
        <is>
          <t>1D 2H 37M 0S - BTCUSDT 2020-05-21</t>
        </is>
      </c>
      <c r="G35" s="920" t="inlineStr">
        <is>
          <t>6D 1H 7M 0S - FETUSDT 2020-06-24</t>
        </is>
      </c>
      <c r="H35" s="920" t="inlineStr">
        <is>
          <t>4D 17H 32M 0S - ONGUSDT 2020-07-10</t>
        </is>
      </c>
      <c r="I35" s="920" t="inlineStr">
        <is>
          <t>7D 5H 52M 0S - SNXUSDT 2020-08-10</t>
        </is>
      </c>
      <c r="J35" s="920" t="inlineStr">
        <is>
          <t>10D 8H 39M 0S - TRXUSDT 2020-09-16</t>
        </is>
      </c>
      <c r="K35" s="920" t="inlineStr">
        <is>
          <t>3D 20H 24M 0S - SXPUSDT 2020-10-02</t>
        </is>
      </c>
      <c r="L35" s="920" t="inlineStr">
        <is>
          <t>1D 0H 34M 0S - LINKUSDT 2020-11-16</t>
        </is>
      </c>
      <c r="M35" s="921" t="inlineStr">
        <is>
          <t>1D 8H 27M 0S - LINKUSDT 2020-12-20</t>
        </is>
      </c>
    </row>
    <row r="36" ht="14.5" customHeight="1">
      <c r="A36" s="924" t="inlineStr">
        <is>
          <t>Winners</t>
        </is>
      </c>
      <c r="B36" s="931" t="inlineStr"/>
      <c r="C36" s="931" t="inlineStr"/>
      <c r="D36" s="931" t="inlineStr"/>
      <c r="E36" s="931" t="inlineStr"/>
      <c r="F36" s="931" t="inlineStr"/>
      <c r="G36" s="931" t="inlineStr"/>
      <c r="H36" s="931" t="inlineStr"/>
      <c r="I36" s="931" t="inlineStr"/>
      <c r="J36" s="931" t="inlineStr"/>
      <c r="K36" s="931" t="inlineStr"/>
      <c r="L36" s="931" t="inlineStr"/>
      <c r="M36" s="932" t="inlineStr"/>
    </row>
    <row r="37" ht="14.5" customHeight="1">
      <c r="A37" s="889" t="inlineStr">
        <is>
          <t>Avg stop %</t>
        </is>
      </c>
      <c r="B37" s="894" t="n">
        <v>0.001490585534918994</v>
      </c>
      <c r="C37" s="894" t="inlineStr"/>
      <c r="D37" s="894" t="n">
        <v>0.001583563983866424</v>
      </c>
      <c r="E37" s="894" t="n">
        <v>0.005504639349981045</v>
      </c>
      <c r="F37" s="894" t="n">
        <v>0.02877997461986215</v>
      </c>
      <c r="G37" s="894" t="n">
        <v>0.04311924621118861</v>
      </c>
      <c r="H37" s="894" t="n">
        <v>0.04006430680859377</v>
      </c>
      <c r="I37" s="894" t="n">
        <v>0.06455967508265135</v>
      </c>
      <c r="J37" s="894" t="n">
        <v>0.06002886777325744</v>
      </c>
      <c r="K37" s="894" t="n">
        <v>0.00787100436594962</v>
      </c>
      <c r="L37" s="894" t="inlineStr"/>
      <c r="M37" s="895" t="n">
        <v>0.01651834452991813</v>
      </c>
    </row>
    <row r="38" ht="14.5" customHeight="1">
      <c r="A38" s="889" t="inlineStr">
        <is>
          <t>Avg target %</t>
        </is>
      </c>
      <c r="B38" s="662" t="n">
        <v>0.007928451894323927</v>
      </c>
      <c r="C38" s="662" t="inlineStr"/>
      <c r="D38" s="662" t="n">
        <v>0.003167127967732883</v>
      </c>
      <c r="E38" s="662" t="n">
        <v>0.01100209268686753</v>
      </c>
      <c r="F38" s="662" t="n">
        <v>0.0620559689764435</v>
      </c>
      <c r="G38" s="662" t="n">
        <v>0.142015767152338</v>
      </c>
      <c r="H38" s="662" t="n">
        <v>0.1275143511816109</v>
      </c>
      <c r="I38" s="662" t="n">
        <v>0.1946270254086114</v>
      </c>
      <c r="J38" s="662" t="n">
        <v>0.1989797801030465</v>
      </c>
      <c r="K38" s="662" t="n">
        <v>0.01566552996886681</v>
      </c>
      <c r="L38" s="662" t="inlineStr"/>
      <c r="M38" s="663" t="n">
        <v>0.03326449589388918</v>
      </c>
    </row>
    <row r="39" ht="14.5" customHeight="1">
      <c r="A39" s="889" t="inlineStr">
        <is>
          <t>Percentage expectancy</t>
        </is>
      </c>
      <c r="B39" s="906" t="n">
        <v>0.0002028809089064719</v>
      </c>
      <c r="C39" s="894" t="inlineStr"/>
      <c r="D39" s="897" t="n">
        <v>0.01573475653387025</v>
      </c>
      <c r="E39" s="897" t="n">
        <v>0.01912521468762108</v>
      </c>
      <c r="F39" s="897" t="n">
        <v>0.01564734258549742</v>
      </c>
      <c r="G39" s="897" t="n">
        <v>0.005259730174822509</v>
      </c>
      <c r="H39" s="897" t="n">
        <v>0.03304323109959612</v>
      </c>
      <c r="I39" s="897" t="n">
        <v>0.02863709346135621</v>
      </c>
      <c r="J39" s="897" t="n">
        <v>0.03856112969246785</v>
      </c>
      <c r="K39" s="897" t="n">
        <v>0.01954583290156909</v>
      </c>
      <c r="L39" s="894" t="inlineStr"/>
      <c r="M39" s="968" t="n">
        <v>0.02018246197277105</v>
      </c>
    </row>
    <row r="40" ht="14.5" customHeight="1">
      <c r="A40" s="889" t="inlineStr">
        <is>
          <t>R expectancy</t>
        </is>
      </c>
      <c r="B40" s="977" t="inlineStr"/>
      <c r="C40" s="977" t="inlineStr"/>
      <c r="D40" s="900" t="n">
        <v>1.733137254901987</v>
      </c>
      <c r="E40" s="900" t="n">
        <v>2.1327719110826</v>
      </c>
      <c r="F40" s="900" t="n">
        <v>1.88252835796987</v>
      </c>
      <c r="G40" s="900" t="n">
        <v>0.5695938818565652</v>
      </c>
      <c r="H40" s="900" t="n">
        <v>3.462897605247625</v>
      </c>
      <c r="I40" s="900" t="n">
        <v>3.046089249096766</v>
      </c>
      <c r="J40" s="900" t="n">
        <v>4.075251519823491</v>
      </c>
      <c r="K40" s="900" t="n">
        <v>2.38630264330906</v>
      </c>
      <c r="L40" s="977" t="inlineStr"/>
      <c r="M40" s="901" t="n">
        <v>2.023489312393687</v>
      </c>
    </row>
    <row r="41" ht="14.5" customHeight="1">
      <c r="A41" s="889" t="inlineStr">
        <is>
          <t>Winners min duration</t>
        </is>
      </c>
      <c r="B41" s="917" t="inlineStr">
        <is>
          <t>23H 11M 0S - USDJPY 2020-01-25</t>
        </is>
      </c>
      <c r="C41" s="917" t="inlineStr"/>
      <c r="D41" s="917" t="inlineStr">
        <is>
          <t>9S - AUDUSD 2020-03-03</t>
        </is>
      </c>
      <c r="E41" s="917" t="inlineStr">
        <is>
          <t>25M 0S - AUDNZD 2020-04-02</t>
        </is>
      </c>
      <c r="F41" s="917" t="inlineStr">
        <is>
          <t>47M 0S - USDCAD 2020-05-14</t>
        </is>
      </c>
      <c r="G41" s="917" t="inlineStr">
        <is>
          <t>18H 40M 0S - NZDCHF 2020-06-20</t>
        </is>
      </c>
      <c r="H41" s="917" t="inlineStr">
        <is>
          <t>11H 39M 0S - FTMUSDT 2020-07-04</t>
        </is>
      </c>
      <c r="I41" s="917" t="inlineStr">
        <is>
          <t>2D 8H 47M 0S - NKNUSDT 2020-08-16</t>
        </is>
      </c>
      <c r="J41" s="917" t="inlineStr">
        <is>
          <t>1D 19H 38M 0S - NEOUSDT 2020-09-25</t>
        </is>
      </c>
      <c r="K41" s="917" t="inlineStr">
        <is>
          <t>7M 0S - XRPUSDT 2020-10-18</t>
        </is>
      </c>
      <c r="L41" s="917" t="inlineStr"/>
      <c r="M41" s="918" t="inlineStr">
        <is>
          <t>1H 56M 0S - LTCUSDT 2020-12-27</t>
        </is>
      </c>
    </row>
    <row r="42" ht="14.5" customHeight="1">
      <c r="A42" s="889" t="inlineStr">
        <is>
          <t>Winners avg duration</t>
        </is>
      </c>
      <c r="B42" s="917" t="inlineStr">
        <is>
          <t>23H 11M 0S</t>
        </is>
      </c>
      <c r="C42" s="917" t="inlineStr"/>
      <c r="D42" s="917" t="inlineStr">
        <is>
          <t>23M 26S</t>
        </is>
      </c>
      <c r="E42" s="917" t="inlineStr">
        <is>
          <t>5H 40M 32S</t>
        </is>
      </c>
      <c r="F42" s="917" t="inlineStr">
        <is>
          <t>8H 45M 28S</t>
        </is>
      </c>
      <c r="G42" s="917" t="inlineStr">
        <is>
          <t>1D 19H 2M 0S</t>
        </is>
      </c>
      <c r="H42" s="917" t="inlineStr">
        <is>
          <t>1D 3H 2M 45S</t>
        </is>
      </c>
      <c r="I42" s="917" t="inlineStr">
        <is>
          <t>4D 19H 19M 30S</t>
        </is>
      </c>
      <c r="J42" s="917" t="inlineStr">
        <is>
          <t>3D 15H 37M 0S</t>
        </is>
      </c>
      <c r="K42" s="917" t="inlineStr">
        <is>
          <t>7H 41M 0S</t>
        </is>
      </c>
      <c r="L42" s="917" t="inlineStr"/>
      <c r="M42" s="918" t="inlineStr">
        <is>
          <t>10H 17M 0S</t>
        </is>
      </c>
    </row>
    <row r="43" ht="14.5" customHeight="1">
      <c r="A43" s="919" t="inlineStr">
        <is>
          <t>Winners max duration</t>
        </is>
      </c>
      <c r="B43" s="920" t="inlineStr">
        <is>
          <t>23H 11M 0S - USDJPY 2020-01-25</t>
        </is>
      </c>
      <c r="C43" s="920" t="inlineStr"/>
      <c r="D43" s="920" t="inlineStr">
        <is>
          <t>2H 14M 0S - AUDCAD 2020-03-14</t>
        </is>
      </c>
      <c r="E43" s="920" t="inlineStr">
        <is>
          <t>12H 3M 0S - AUDNZD 2020-04-07</t>
        </is>
      </c>
      <c r="F43" s="920" t="inlineStr">
        <is>
          <t>20H 47M 0S - THETAUSDT 2020-05-14</t>
        </is>
      </c>
      <c r="G43" s="920" t="inlineStr">
        <is>
          <t>2D 16H 58M 0S - ANKRUSDT 2020-06-01</t>
        </is>
      </c>
      <c r="H43" s="920" t="inlineStr">
        <is>
          <t>2D 1H 40M 0S - ONTUSDT 2020-07-19</t>
        </is>
      </c>
      <c r="I43" s="920" t="inlineStr">
        <is>
          <t>7D 5H 52M 0S - SNXUSDT 2020-08-10</t>
        </is>
      </c>
      <c r="J43" s="920" t="inlineStr">
        <is>
          <t>5D 11H 36M 0S - ERDUSDT 2020-09-03</t>
        </is>
      </c>
      <c r="K43" s="920" t="inlineStr">
        <is>
          <t>1D 1H 10M 0S - BTCUSDT 2020-10-30</t>
        </is>
      </c>
      <c r="L43" s="920" t="inlineStr"/>
      <c r="M43" s="921" t="inlineStr">
        <is>
          <t>18H 38M 0S - BTCUSDT 2020-12-25</t>
        </is>
      </c>
    </row>
    <row r="44" ht="14.5" customHeight="1">
      <c r="A44" s="924" t="inlineStr">
        <is>
          <t>Losers</t>
        </is>
      </c>
      <c r="B44" s="922" t="inlineStr"/>
      <c r="C44" s="922" t="inlineStr"/>
      <c r="D44" s="922" t="inlineStr"/>
      <c r="E44" s="922" t="inlineStr"/>
      <c r="F44" s="922" t="inlineStr"/>
      <c r="G44" s="922" t="inlineStr"/>
      <c r="H44" s="922" t="inlineStr"/>
      <c r="I44" s="922" t="inlineStr"/>
      <c r="J44" s="922" t="inlineStr"/>
      <c r="K44" s="922" t="inlineStr"/>
      <c r="L44" s="922" t="inlineStr"/>
      <c r="M44" s="923" t="inlineStr"/>
    </row>
    <row r="45" ht="14.5" customHeight="1">
      <c r="A45" s="889" t="inlineStr">
        <is>
          <t>Avg stop %</t>
        </is>
      </c>
      <c r="B45" s="894" t="n">
        <v>0.002220950965947763</v>
      </c>
      <c r="C45" s="894" t="n">
        <v>0.002398810570109733</v>
      </c>
      <c r="D45" s="894" t="n">
        <v>0.002084299204650472</v>
      </c>
      <c r="E45" s="894" t="n">
        <v>0.003709447449367389</v>
      </c>
      <c r="F45" s="894" t="n">
        <v>0.02942553649055867</v>
      </c>
      <c r="G45" s="894" t="n">
        <v>0.03031908275074631</v>
      </c>
      <c r="H45" s="894" t="n">
        <v>0.05571240212729199</v>
      </c>
      <c r="I45" s="894" t="n">
        <v>0.04775109529156785</v>
      </c>
      <c r="J45" s="894" t="n">
        <v>0.04389692534573717</v>
      </c>
      <c r="K45" s="894" t="n">
        <v>0.03158758484290279</v>
      </c>
      <c r="L45" s="894" t="n">
        <v>0.008086293392605531</v>
      </c>
      <c r="M45" s="895" t="n">
        <v>0.01713005183985301</v>
      </c>
    </row>
    <row r="46" ht="14.5" customHeight="1">
      <c r="A46" s="889" t="inlineStr">
        <is>
          <t>Avg target %</t>
        </is>
      </c>
      <c r="B46" s="935" t="n">
        <v>0.006564496151667789</v>
      </c>
      <c r="C46" s="935" t="n">
        <v>0.008621814757173427</v>
      </c>
      <c r="D46" s="935" t="n">
        <v>0.004297689318748217</v>
      </c>
      <c r="E46" s="935" t="n">
        <v>0.007424694007849483</v>
      </c>
      <c r="F46" s="935" t="n">
        <v>0.06143052029346574</v>
      </c>
      <c r="G46" s="935" t="n">
        <v>0.09703336904882338</v>
      </c>
      <c r="H46" s="935" t="n">
        <v>0.1818448792340886</v>
      </c>
      <c r="I46" s="935" t="n">
        <v>0.1501992536368761</v>
      </c>
      <c r="J46" s="935" t="n">
        <v>0.1433415347966778</v>
      </c>
      <c r="K46" s="935" t="n">
        <v>0.102119152595772</v>
      </c>
      <c r="L46" s="935" t="n">
        <v>0.01631835800696852</v>
      </c>
      <c r="M46" s="936" t="n">
        <v>0.03448483793099352</v>
      </c>
    </row>
    <row r="47" ht="14.5" customHeight="1">
      <c r="A47" s="889" t="inlineStr">
        <is>
          <t>Percentage expectancy</t>
        </is>
      </c>
      <c r="B47" s="896" t="n">
        <v>-0.01015572705508251</v>
      </c>
      <c r="C47" s="896" t="n">
        <v>-0.007776928348593639</v>
      </c>
      <c r="D47" s="896" t="n">
        <v>-0.009762137136372634</v>
      </c>
      <c r="E47" s="896" t="n">
        <v>-0.009028388090885768</v>
      </c>
      <c r="F47" s="896" t="n">
        <v>-0.005766397068593998</v>
      </c>
      <c r="G47" s="896" t="n">
        <v>-0.006547905677874039</v>
      </c>
      <c r="H47" s="896" t="n">
        <v>-0.007459295053268934</v>
      </c>
      <c r="I47" s="896" t="n">
        <v>-0.005613115087636481</v>
      </c>
      <c r="J47" s="896" t="n">
        <v>-0.008147461155534276</v>
      </c>
      <c r="K47" s="896" t="n">
        <v>-0.01068760140070456</v>
      </c>
      <c r="L47" s="896" t="n">
        <v>-0.009590190348892014</v>
      </c>
      <c r="M47" s="898" t="n">
        <v>-0.008983075243544508</v>
      </c>
    </row>
    <row r="48" ht="14.5" customHeight="1">
      <c r="A48" s="889" t="inlineStr">
        <is>
          <t>R expectancy</t>
        </is>
      </c>
      <c r="B48" s="902" t="n">
        <v>-0.6221179692534466</v>
      </c>
      <c r="C48" s="902" t="n">
        <v>-0.9422653953406767</v>
      </c>
      <c r="D48" s="902" t="n">
        <v>-1.026787345977571</v>
      </c>
      <c r="E48" s="902" t="n">
        <v>-0.9155071149033617</v>
      </c>
      <c r="F48" s="902" t="n">
        <v>-0.7541938218717714</v>
      </c>
      <c r="G48" s="902" t="n">
        <v>-0.8074132585736936</v>
      </c>
      <c r="H48" s="902" t="n">
        <v>-0.8490702092700192</v>
      </c>
      <c r="I48" s="902" t="n">
        <v>-1.034541819882704</v>
      </c>
      <c r="J48" s="902" t="n">
        <v>-0.9445631705251241</v>
      </c>
      <c r="K48" s="902" t="n">
        <v>-1.033748426322579</v>
      </c>
      <c r="L48" s="902" t="n">
        <v>-0.9009513523915725</v>
      </c>
      <c r="M48" s="903" t="n">
        <v>-0.8602948257185119</v>
      </c>
    </row>
    <row r="49" ht="14.5" customHeight="1">
      <c r="A49" s="889" t="inlineStr">
        <is>
          <t>Losers min duration</t>
        </is>
      </c>
      <c r="B49" s="661" t="inlineStr">
        <is>
          <t>1H 42M 0S - AUDNZD 2020-01-17</t>
        </is>
      </c>
      <c r="C49" s="661" t="inlineStr">
        <is>
          <t>47M 0S - GBPCAD 2020-02-26</t>
        </is>
      </c>
      <c r="D49" s="661" t="inlineStr">
        <is>
          <t>1S - GBPUSD 2020-03-26</t>
        </is>
      </c>
      <c r="E49" s="661" t="inlineStr">
        <is>
          <t>19S - USDCAD 2020-04-09</t>
        </is>
      </c>
      <c r="F49" s="661" t="inlineStr">
        <is>
          <t>1M 0S - GBPUSD 2020-05-23</t>
        </is>
      </c>
      <c r="G49" s="661" t="inlineStr">
        <is>
          <t>1S - GBPUSD 2020-06-09</t>
        </is>
      </c>
      <c r="H49" s="661" t="inlineStr">
        <is>
          <t>44M 0S - KAVAUSDT 2020-07-16</t>
        </is>
      </c>
      <c r="I49" s="661" t="inlineStr">
        <is>
          <t>1M 0S - KNCUSDT 2020-08-06</t>
        </is>
      </c>
      <c r="J49" s="661" t="inlineStr">
        <is>
          <t>39M 0S - NEOUSDT 2020-09-22</t>
        </is>
      </c>
      <c r="K49" s="661" t="inlineStr">
        <is>
          <t>2M 0S - XRPUSDT 2020-10-18</t>
        </is>
      </c>
      <c r="L49" s="661" t="inlineStr">
        <is>
          <t>10M 0S - ETHUSDT 2020-11-01</t>
        </is>
      </c>
      <c r="M49" s="904" t="inlineStr">
        <is>
          <t>1S - EURNZD 2020-12-25</t>
        </is>
      </c>
    </row>
    <row r="50" ht="14.5" customHeight="1">
      <c r="A50" s="889" t="inlineStr">
        <is>
          <t>Losers avg duration</t>
        </is>
      </c>
      <c r="B50" s="661" t="inlineStr">
        <is>
          <t>12H 14M 15S</t>
        </is>
      </c>
      <c r="C50" s="661" t="inlineStr">
        <is>
          <t>10H 57M 30S</t>
        </is>
      </c>
      <c r="D50" s="661" t="inlineStr">
        <is>
          <t>1H 55M 44S</t>
        </is>
      </c>
      <c r="E50" s="661" t="inlineStr">
        <is>
          <t>2H 50M 40S</t>
        </is>
      </c>
      <c r="F50" s="661" t="inlineStr">
        <is>
          <t>5H 26M 21S</t>
        </is>
      </c>
      <c r="G50" s="661" t="inlineStr">
        <is>
          <t>20H 44M 41S</t>
        </is>
      </c>
      <c r="H50" s="661" t="inlineStr">
        <is>
          <t>1D 12H 56M 18S</t>
        </is>
      </c>
      <c r="I50" s="661" t="inlineStr">
        <is>
          <t>1D 3H 32M 4S</t>
        </is>
      </c>
      <c r="J50" s="661" t="inlineStr">
        <is>
          <t>2D 3H 12M 18S</t>
        </is>
      </c>
      <c r="K50" s="661" t="inlineStr">
        <is>
          <t>14H 26M 38S</t>
        </is>
      </c>
      <c r="L50" s="661" t="inlineStr">
        <is>
          <t>5H 28M 0S</t>
        </is>
      </c>
      <c r="M50" s="904" t="inlineStr">
        <is>
          <t>7H 39M 49S</t>
        </is>
      </c>
    </row>
    <row r="51" ht="14.5" customHeight="1">
      <c r="A51" s="919" t="inlineStr">
        <is>
          <t>Losers max duration</t>
        </is>
      </c>
      <c r="B51" s="920" t="inlineStr">
        <is>
          <t>1D 0H 2M 0S - AUDUSD 2020-01-16</t>
        </is>
      </c>
      <c r="C51" s="920" t="inlineStr">
        <is>
          <t>1D 0H 46M 0S - GBPCAD 2020-02-25</t>
        </is>
      </c>
      <c r="D51" s="920" t="inlineStr">
        <is>
          <t>6H 51M 0S - EURJPY 2020-03-24</t>
        </is>
      </c>
      <c r="E51" s="920" t="inlineStr">
        <is>
          <t>2D 8H 58M 0S - EURAUD 2020-04-06</t>
        </is>
      </c>
      <c r="F51" s="920" t="inlineStr">
        <is>
          <t>1D 2H 37M 0S - BTCUSDT 2020-05-21</t>
        </is>
      </c>
      <c r="G51" s="920" t="inlineStr">
        <is>
          <t>6D 1H 7M 0S - FETUSDT 2020-06-24</t>
        </is>
      </c>
      <c r="H51" s="920" t="inlineStr">
        <is>
          <t>4D 17H 32M 0S - ONGUSDT 2020-07-10</t>
        </is>
      </c>
      <c r="I51" s="920" t="inlineStr">
        <is>
          <t>2D 21H 0M 0S - STMXUSDT 2020-08-02</t>
        </is>
      </c>
      <c r="J51" s="920" t="inlineStr">
        <is>
          <t>10D 8H 39M 0S - TRXUSDT 2020-09-16</t>
        </is>
      </c>
      <c r="K51" s="920" t="inlineStr">
        <is>
          <t>3D 20H 24M 0S - SXPUSDT 2020-10-02</t>
        </is>
      </c>
      <c r="L51" s="920" t="inlineStr">
        <is>
          <t>1D 0H 34M 0S - LINKUSDT 2020-11-16</t>
        </is>
      </c>
      <c r="M51" s="921" t="inlineStr">
        <is>
          <t>1D 8H 27M 0S - LINKUSDT 2020-12-20</t>
        </is>
      </c>
    </row>
    <row r="52" ht="14.5" customHeight="1">
      <c r="A52" s="924" t="inlineStr">
        <is>
          <t>Drawdown</t>
        </is>
      </c>
      <c r="B52" s="922" t="inlineStr"/>
      <c r="C52" s="922" t="inlineStr"/>
      <c r="D52" s="922" t="inlineStr"/>
      <c r="E52" s="922" t="inlineStr"/>
      <c r="F52" s="922" t="inlineStr"/>
      <c r="G52" s="922" t="inlineStr"/>
      <c r="H52" s="922" t="inlineStr"/>
      <c r="I52" s="922" t="inlineStr"/>
      <c r="J52" s="922" t="inlineStr"/>
      <c r="K52" s="922" t="inlineStr"/>
      <c r="L52" s="922" t="inlineStr"/>
      <c r="M52" s="923" t="inlineStr"/>
    </row>
    <row r="53" ht="14.5" customHeight="1">
      <c r="A53" s="886" t="inlineStr">
        <is>
          <t>Max drawdown</t>
        </is>
      </c>
      <c r="B53" s="896" t="n">
        <v>0.03459372485921156</v>
      </c>
      <c r="C53" s="896" t="n">
        <v>0.04190931362705307</v>
      </c>
      <c r="D53" s="896" t="n">
        <v>0.04888558998783526</v>
      </c>
      <c r="E53" s="896" t="n">
        <v>0.08118565904966381</v>
      </c>
      <c r="F53" s="896" t="n">
        <v>0.04504415901178203</v>
      </c>
      <c r="G53" s="896" t="n">
        <v>0.06008212861738525</v>
      </c>
      <c r="H53" s="896" t="n">
        <v>0.03057724557846583</v>
      </c>
      <c r="I53" s="896" t="n">
        <v>0.03056824577895942</v>
      </c>
      <c r="J53" s="896" t="n">
        <v>0.05192265037404473</v>
      </c>
      <c r="K53" s="896" t="n">
        <v>0.03632515385404</v>
      </c>
      <c r="L53" s="896" t="n">
        <v>0.0448752192284428</v>
      </c>
      <c r="M53" s="898" t="n">
        <v>0.0426424980964995</v>
      </c>
    </row>
    <row r="54" ht="14.5" customHeight="1">
      <c r="A54" s="889" t="inlineStr">
        <is>
          <t>Start</t>
        </is>
      </c>
      <c r="B54" s="937" t="inlineStr">
        <is>
          <t>2020-01-16 02:39:00</t>
        </is>
      </c>
      <c r="C54" s="937" t="inlineStr">
        <is>
          <t>2020-02-07 01:01:00</t>
        </is>
      </c>
      <c r="D54" s="937" t="inlineStr">
        <is>
          <t>2020-03-14 01:47:00</t>
        </is>
      </c>
      <c r="E54" s="937" t="inlineStr">
        <is>
          <t>2020-04-15 03:01:00</t>
        </is>
      </c>
      <c r="F54" s="937" t="inlineStr">
        <is>
          <t>2020-05-15 03:44:00</t>
        </is>
      </c>
      <c r="G54" s="937" t="inlineStr">
        <is>
          <t>2020-06-01 09:49:00</t>
        </is>
      </c>
      <c r="H54" s="937" t="inlineStr">
        <is>
          <t>2020-07-04 17:32:00</t>
        </is>
      </c>
      <c r="I54" s="937" t="inlineStr">
        <is>
          <t>2020-08-16 03:31:00</t>
        </is>
      </c>
      <c r="J54" s="937" t="inlineStr">
        <is>
          <t>2020-09-08 19:18:00</t>
        </is>
      </c>
      <c r="K54" s="937" t="inlineStr">
        <is>
          <t>2020-10-28 01:44:00</t>
        </is>
      </c>
      <c r="L54" s="937" t="inlineStr">
        <is>
          <t>2020-11-01 00:54:00</t>
        </is>
      </c>
      <c r="M54" s="938" t="inlineStr">
        <is>
          <t>2020-12-04 20:15:00</t>
        </is>
      </c>
    </row>
    <row r="55" ht="14.5" customHeight="1">
      <c r="A55" s="889" t="inlineStr">
        <is>
          <t>End</t>
        </is>
      </c>
      <c r="B55" s="917" t="inlineStr">
        <is>
          <t>2020-01-28 17:34:00</t>
        </is>
      </c>
      <c r="C55" s="917" t="inlineStr">
        <is>
          <t>2020-02-26 01:59:00</t>
        </is>
      </c>
      <c r="D55" s="917" t="inlineStr">
        <is>
          <t>2020-03-26 21:12:00</t>
        </is>
      </c>
      <c r="E55" s="917" t="inlineStr">
        <is>
          <t>2020-04-25 00:16:00</t>
        </is>
      </c>
      <c r="F55" s="917" t="inlineStr">
        <is>
          <t>2020-05-29 23:34:00</t>
        </is>
      </c>
      <c r="G55" s="917" t="inlineStr">
        <is>
          <t>2020-06-25 00:42:00</t>
        </is>
      </c>
      <c r="H55" s="917" t="inlineStr">
        <is>
          <t>2020-07-14 08:33:00</t>
        </is>
      </c>
      <c r="I55" s="917" t="inlineStr">
        <is>
          <t>2020-08-26 02:54:00</t>
        </is>
      </c>
      <c r="J55" s="917" t="inlineStr">
        <is>
          <t>2020-09-21 18:14:00</t>
        </is>
      </c>
      <c r="K55" s="917" t="inlineStr">
        <is>
          <t>2020-10-31 04:08:00</t>
        </is>
      </c>
      <c r="L55" s="917" t="inlineStr">
        <is>
          <t>2020-11-25 06:02:00</t>
        </is>
      </c>
      <c r="M55" s="918" t="inlineStr">
        <is>
          <t>2020-12-24 08:22:00</t>
        </is>
      </c>
    </row>
    <row r="56" ht="14.5" customHeight="1">
      <c r="A56" s="886" t="inlineStr">
        <is>
          <t>Avg drawdown</t>
        </is>
      </c>
      <c r="B56" s="896" t="n">
        <v>0.01508447304907482</v>
      </c>
      <c r="C56" s="896" t="n">
        <v>0.02710952247078183</v>
      </c>
      <c r="D56" s="896" t="n">
        <v>0.0245259545875278</v>
      </c>
      <c r="E56" s="896" t="n">
        <v>0.03148174467381706</v>
      </c>
      <c r="F56" s="896" t="n">
        <v>0.01789579475513653</v>
      </c>
      <c r="G56" s="896" t="n">
        <v>0.02600221855721122</v>
      </c>
      <c r="H56" s="896" t="n">
        <v>0.01361569209681802</v>
      </c>
      <c r="I56" s="896" t="n">
        <v>0.01073294409832898</v>
      </c>
      <c r="J56" s="896" t="n">
        <v>0.02143388445311305</v>
      </c>
      <c r="K56" s="896" t="n">
        <v>0.01939128621776083</v>
      </c>
      <c r="L56" s="896" t="n">
        <v>0.02860199013797736</v>
      </c>
      <c r="M56" s="898" t="n">
        <v>0.02076283850968581</v>
      </c>
    </row>
    <row r="57" ht="14.5" customHeight="1">
      <c r="A57" s="886" t="inlineStr">
        <is>
          <t>Min drawdown</t>
        </is>
      </c>
      <c r="B57" s="896" t="n">
        <v>0.008447304907481933</v>
      </c>
      <c r="C57" s="896" t="n">
        <v>0.009156994256797465</v>
      </c>
      <c r="D57" s="896" t="n">
        <v>0.008618379002494809</v>
      </c>
      <c r="E57" s="939" t="n">
        <v>8.612271185476756e-05</v>
      </c>
      <c r="F57" s="905" t="n">
        <v>0.0007712080937046684</v>
      </c>
      <c r="G57" s="905" t="n">
        <v>0.000238804978144363</v>
      </c>
      <c r="H57" s="905" t="n">
        <v>0.0004558519151262075</v>
      </c>
      <c r="I57" s="905" t="n">
        <v>0.0001512392511861186</v>
      </c>
      <c r="J57" s="905" t="n">
        <v>0.0001602522277165098</v>
      </c>
      <c r="K57" s="905" t="n">
        <v>0.0009819159304850981</v>
      </c>
      <c r="L57" s="896" t="n">
        <v>0.01149414397147881</v>
      </c>
      <c r="M57" s="898" t="n">
        <v>0.003609570951611571</v>
      </c>
    </row>
    <row r="58" ht="14.5" customHeight="1">
      <c r="A58" s="889" t="inlineStr">
        <is>
          <t>Start</t>
        </is>
      </c>
      <c r="B58" s="661" t="inlineStr">
        <is>
          <t>2020-01-16 02:39:00</t>
        </is>
      </c>
      <c r="C58" s="661" t="inlineStr">
        <is>
          <t>2020-02-07 01:01:00</t>
        </is>
      </c>
      <c r="D58" s="661" t="inlineStr">
        <is>
          <t>2020-03-14 01:47:00</t>
        </is>
      </c>
      <c r="E58" s="661" t="inlineStr">
        <is>
          <t>2020-04-12 16:42:00</t>
        </is>
      </c>
      <c r="F58" s="661" t="inlineStr">
        <is>
          <t>2020-05-08 03:46:00</t>
        </is>
      </c>
      <c r="G58" s="661" t="inlineStr">
        <is>
          <t>2020-06-01 09:49:00</t>
        </is>
      </c>
      <c r="H58" s="661" t="inlineStr">
        <is>
          <t>2020-07-04 17:32:00</t>
        </is>
      </c>
      <c r="I58" s="661" t="inlineStr">
        <is>
          <t>2020-08-10 18:16:00</t>
        </is>
      </c>
      <c r="J58" s="661" t="inlineStr">
        <is>
          <t>2020-09-03 13:30:00</t>
        </is>
      </c>
      <c r="K58" s="661" t="inlineStr">
        <is>
          <t>2020-10-02 18:56:00</t>
        </is>
      </c>
      <c r="L58" s="661" t="inlineStr">
        <is>
          <t>2020-11-01 00:54:00</t>
        </is>
      </c>
      <c r="M58" s="904" t="inlineStr">
        <is>
          <t>2020-12-04 20:15:00</t>
        </is>
      </c>
    </row>
    <row r="59" ht="14.5" customHeight="1">
      <c r="A59" s="919" t="inlineStr">
        <is>
          <t>End</t>
        </is>
      </c>
      <c r="B59" s="920" t="inlineStr">
        <is>
          <t>2020-01-25 01:19:00</t>
        </is>
      </c>
      <c r="C59" s="920" t="inlineStr">
        <is>
          <t>2020-02-07 02:24:00</t>
        </is>
      </c>
      <c r="D59" s="920" t="inlineStr">
        <is>
          <t>2020-03-18 01:28:00</t>
        </is>
      </c>
      <c r="E59" s="920" t="inlineStr">
        <is>
          <t>2020-04-13 19:21:00</t>
        </is>
      </c>
      <c r="F59" s="920" t="inlineStr">
        <is>
          <t>2020-05-09 00:59:00</t>
        </is>
      </c>
      <c r="G59" s="920" t="inlineStr">
        <is>
          <t>2020-06-01 10:01:00</t>
        </is>
      </c>
      <c r="H59" s="920" t="inlineStr">
        <is>
          <t>2020-07-10 01:04:00</t>
        </is>
      </c>
      <c r="I59" s="920" t="inlineStr">
        <is>
          <t>2020-08-11 22:44:00</t>
        </is>
      </c>
      <c r="J59" s="920" t="inlineStr">
        <is>
          <t>2020-09-05 23:03:00</t>
        </is>
      </c>
      <c r="K59" s="920" t="inlineStr">
        <is>
          <t>2020-10-18 01:01:00</t>
        </is>
      </c>
      <c r="L59" s="920" t="inlineStr">
        <is>
          <t>2020-11-01 05:05:00</t>
        </is>
      </c>
      <c r="M59" s="921" t="inlineStr">
        <is>
          <t>2020-12-27 07:09:00</t>
        </is>
      </c>
    </row>
    <row r="60" ht="14.5" customHeight="1">
      <c r="A60" s="924" t="inlineStr">
        <is>
          <t>Longs</t>
        </is>
      </c>
      <c r="B60" s="941" t="n">
        <v>4</v>
      </c>
      <c r="C60" s="941" t="n">
        <v>3</v>
      </c>
      <c r="D60" s="941" t="n">
        <v>10</v>
      </c>
      <c r="E60" s="941" t="n">
        <v>35</v>
      </c>
      <c r="F60" s="941" t="n">
        <v>48</v>
      </c>
      <c r="G60" s="941" t="n">
        <v>20</v>
      </c>
      <c r="H60" s="941" t="n">
        <v>20</v>
      </c>
      <c r="I60" s="941" t="n">
        <v>16</v>
      </c>
      <c r="J60" s="941" t="n">
        <v>12</v>
      </c>
      <c r="K60" s="941" t="n">
        <v>17</v>
      </c>
      <c r="L60" s="941" t="n">
        <v>4</v>
      </c>
      <c r="M60" s="942" t="n">
        <v>11</v>
      </c>
    </row>
    <row r="61" ht="14.5" customHeight="1">
      <c r="A61" s="889" t="inlineStr">
        <is>
          <t>Long wins</t>
        </is>
      </c>
      <c r="B61" s="890" t="n">
        <v>1</v>
      </c>
      <c r="C61" s="890" t="n">
        <v>0</v>
      </c>
      <c r="D61" s="890" t="n">
        <v>4</v>
      </c>
      <c r="E61" s="890" t="n">
        <v>10</v>
      </c>
      <c r="F61" s="890" t="n">
        <v>14</v>
      </c>
      <c r="G61" s="890" t="n">
        <v>3</v>
      </c>
      <c r="H61" s="890" t="n">
        <v>4</v>
      </c>
      <c r="I61" s="890" t="n">
        <v>2</v>
      </c>
      <c r="J61" s="890" t="n">
        <v>2</v>
      </c>
      <c r="K61" s="890" t="n">
        <v>4</v>
      </c>
      <c r="L61" s="890" t="n">
        <v>0</v>
      </c>
      <c r="M61" s="891" t="n">
        <v>2</v>
      </c>
    </row>
    <row r="62" ht="14.5" customHeight="1">
      <c r="A62" s="889" t="inlineStr">
        <is>
          <t>Long losses</t>
        </is>
      </c>
      <c r="B62" s="943" t="n">
        <v>3</v>
      </c>
      <c r="C62" s="943" t="n">
        <v>2</v>
      </c>
      <c r="D62" s="943" t="n">
        <v>5</v>
      </c>
      <c r="E62" s="943" t="n">
        <v>24</v>
      </c>
      <c r="F62" s="943" t="n">
        <v>34</v>
      </c>
      <c r="G62" s="943" t="n">
        <v>17</v>
      </c>
      <c r="H62" s="943" t="n">
        <v>16</v>
      </c>
      <c r="I62" s="943" t="n">
        <v>14</v>
      </c>
      <c r="J62" s="943" t="n">
        <v>10</v>
      </c>
      <c r="K62" s="943" t="n">
        <v>13</v>
      </c>
      <c r="L62" s="943" t="n">
        <v>4</v>
      </c>
      <c r="M62" s="944" t="n">
        <v>9</v>
      </c>
    </row>
    <row r="63" ht="14.5" customHeight="1">
      <c r="A63" s="886" t="inlineStr">
        <is>
          <t>Long break-even</t>
        </is>
      </c>
      <c r="B63" s="945" t="n">
        <v>0</v>
      </c>
      <c r="C63" s="945" t="n">
        <v>1</v>
      </c>
      <c r="D63" s="945" t="n">
        <v>1</v>
      </c>
      <c r="E63" s="945" t="n">
        <v>1</v>
      </c>
      <c r="F63" s="945" t="n">
        <v>0</v>
      </c>
      <c r="G63" s="945" t="n">
        <v>0</v>
      </c>
      <c r="H63" s="945" t="n">
        <v>0</v>
      </c>
      <c r="I63" s="945" t="n">
        <v>0</v>
      </c>
      <c r="J63" s="945" t="n">
        <v>0</v>
      </c>
      <c r="K63" s="945" t="n">
        <v>0</v>
      </c>
      <c r="L63" s="945" t="n">
        <v>0</v>
      </c>
      <c r="M63" s="946" t="n">
        <v>0</v>
      </c>
    </row>
    <row r="64" ht="14.5" customHeight="1">
      <c r="A64" s="886" t="inlineStr">
        <is>
          <t>Shorts</t>
        </is>
      </c>
      <c r="B64" s="887" t="n">
        <v>1</v>
      </c>
      <c r="C64" s="887" t="n">
        <v>4</v>
      </c>
      <c r="D64" s="887" t="n">
        <v>6</v>
      </c>
      <c r="E64" s="887" t="n">
        <v>5</v>
      </c>
      <c r="F64" s="887" t="n">
        <v>9</v>
      </c>
      <c r="G64" s="887" t="n">
        <v>2</v>
      </c>
      <c r="H64" s="887" t="n">
        <v>0</v>
      </c>
      <c r="I64" s="887" t="n">
        <v>1</v>
      </c>
      <c r="J64" s="887" t="n">
        <v>0</v>
      </c>
      <c r="K64" s="887" t="n">
        <v>1</v>
      </c>
      <c r="L64" s="887" t="n">
        <v>1</v>
      </c>
      <c r="M64" s="888" t="n">
        <v>2</v>
      </c>
    </row>
    <row r="65" ht="14.5" customHeight="1">
      <c r="A65" s="889" t="inlineStr">
        <is>
          <t>Short wins</t>
        </is>
      </c>
      <c r="B65" s="890" t="n">
        <v>0</v>
      </c>
      <c r="C65" s="890" t="n">
        <v>0</v>
      </c>
      <c r="D65" s="890" t="n">
        <v>2</v>
      </c>
      <c r="E65" s="890" t="n">
        <v>1</v>
      </c>
      <c r="F65" s="890" t="n">
        <v>1</v>
      </c>
      <c r="G65" s="890" t="n">
        <v>0</v>
      </c>
      <c r="H65" s="890" t="n">
        <v>0</v>
      </c>
      <c r="I65" s="890" t="n">
        <v>0</v>
      </c>
      <c r="J65" s="890" t="n">
        <v>0</v>
      </c>
      <c r="K65" s="890" t="n">
        <v>0</v>
      </c>
      <c r="L65" s="890" t="n">
        <v>0</v>
      </c>
      <c r="M65" s="891" t="n">
        <v>0</v>
      </c>
    </row>
    <row r="66" ht="14.5" customHeight="1">
      <c r="A66" s="889" t="inlineStr">
        <is>
          <t>Short losses</t>
        </is>
      </c>
      <c r="B66" s="892" t="n">
        <v>1</v>
      </c>
      <c r="C66" s="892" t="n">
        <v>4</v>
      </c>
      <c r="D66" s="892" t="n">
        <v>4</v>
      </c>
      <c r="E66" s="892" t="n">
        <v>4</v>
      </c>
      <c r="F66" s="892" t="n">
        <v>7</v>
      </c>
      <c r="G66" s="892" t="n">
        <v>2</v>
      </c>
      <c r="H66" s="892" t="n">
        <v>0</v>
      </c>
      <c r="I66" s="892" t="n">
        <v>1</v>
      </c>
      <c r="J66" s="892" t="n">
        <v>0</v>
      </c>
      <c r="K66" s="892" t="n">
        <v>1</v>
      </c>
      <c r="L66" s="892" t="n">
        <v>1</v>
      </c>
      <c r="M66" s="893" t="n">
        <v>2</v>
      </c>
    </row>
    <row r="67" ht="14.5" customHeight="1">
      <c r="A67" s="907" t="inlineStr">
        <is>
          <t>Short break-even</t>
        </is>
      </c>
      <c r="B67" s="947" t="n">
        <v>0</v>
      </c>
      <c r="C67" s="947" t="n">
        <v>0</v>
      </c>
      <c r="D67" s="947" t="n">
        <v>0</v>
      </c>
      <c r="E67" s="947" t="n">
        <v>0</v>
      </c>
      <c r="F67" s="947" t="n">
        <v>1</v>
      </c>
      <c r="G67" s="947" t="n">
        <v>0</v>
      </c>
      <c r="H67" s="947" t="n">
        <v>0</v>
      </c>
      <c r="I67" s="947" t="n">
        <v>0</v>
      </c>
      <c r="J67" s="947" t="n">
        <v>0</v>
      </c>
      <c r="K67" s="947" t="n">
        <v>0</v>
      </c>
      <c r="L67" s="947" t="n">
        <v>0</v>
      </c>
      <c r="M67" s="948" t="n">
        <v>0</v>
      </c>
    </row>
    <row r="68" ht="14.5" customHeight="1">
      <c r="A68" s="913" t="inlineStr">
        <is>
          <t>Min duration</t>
        </is>
      </c>
      <c r="B68" s="922" t="inlineStr">
        <is>
          <t>1H 42M 0S - AUDNZD 2020-01-17</t>
        </is>
      </c>
      <c r="C68" s="922" t="inlineStr">
        <is>
          <t>47M 0S - GBPCAD 2020-02-26</t>
        </is>
      </c>
      <c r="D68" s="922" t="inlineStr">
        <is>
          <t>1S - GBPUSD 2020-03-26</t>
        </is>
      </c>
      <c r="E68" s="922" t="inlineStr">
        <is>
          <t>19S - USDCAD 2020-04-09</t>
        </is>
      </c>
      <c r="F68" s="922" t="inlineStr">
        <is>
          <t>1M 0S - GBPUSD 2020-05-23</t>
        </is>
      </c>
      <c r="G68" s="922" t="inlineStr">
        <is>
          <t>1S - GBPUSD 2020-06-09</t>
        </is>
      </c>
      <c r="H68" s="922" t="inlineStr">
        <is>
          <t>44M 0S - KAVAUSDT 2020-07-16</t>
        </is>
      </c>
      <c r="I68" s="922" t="inlineStr">
        <is>
          <t>1M 0S - KNCUSDT 2020-08-06</t>
        </is>
      </c>
      <c r="J68" s="922" t="inlineStr">
        <is>
          <t>39M 0S - NEOUSDT 2020-09-22</t>
        </is>
      </c>
      <c r="K68" s="922" t="inlineStr">
        <is>
          <t>2M 0S - XRPUSDT 2020-10-18</t>
        </is>
      </c>
      <c r="L68" s="922" t="inlineStr">
        <is>
          <t>10M 0S - ETHUSDT 2020-11-01</t>
        </is>
      </c>
      <c r="M68" s="923" t="inlineStr">
        <is>
          <t>1S - EURNZD 2020-12-25</t>
        </is>
      </c>
    </row>
    <row r="69" ht="14.5" customHeight="1">
      <c r="A69" s="889" t="inlineStr">
        <is>
          <t>Max duration</t>
        </is>
      </c>
      <c r="B69" s="917" t="inlineStr">
        <is>
          <t>1D 0H 2M 0S - AUDUSD 2020-01-16</t>
        </is>
      </c>
      <c r="C69" s="917" t="inlineStr">
        <is>
          <t>1D 0H 46M 0S - GBPCAD 2020-02-25</t>
        </is>
      </c>
      <c r="D69" s="917" t="inlineStr">
        <is>
          <t>6H 51M 0S - EURJPY 2020-03-24</t>
        </is>
      </c>
      <c r="E69" s="917" t="inlineStr">
        <is>
          <t>2D 8H 58M 0S - EURAUD 2020-04-06</t>
        </is>
      </c>
      <c r="F69" s="917" t="inlineStr">
        <is>
          <t>1D 2H 37M 0S - BTCUSDT 2020-05-21</t>
        </is>
      </c>
      <c r="G69" s="917" t="inlineStr">
        <is>
          <t>6D 1H 7M 0S - FETUSDT 2020-06-24</t>
        </is>
      </c>
      <c r="H69" s="917" t="inlineStr">
        <is>
          <t>4D 17H 32M 0S - ONGUSDT 2020-07-10</t>
        </is>
      </c>
      <c r="I69" s="917" t="inlineStr">
        <is>
          <t>7D 5H 52M 0S - SNXUSDT 2020-08-10</t>
        </is>
      </c>
      <c r="J69" s="917" t="inlineStr">
        <is>
          <t>10D 8H 39M 0S - TRXUSDT 2020-09-16</t>
        </is>
      </c>
      <c r="K69" s="917" t="inlineStr">
        <is>
          <t>3D 20H 24M 0S - SXPUSDT 2020-10-02</t>
        </is>
      </c>
      <c r="L69" s="917" t="inlineStr">
        <is>
          <t>1D 0H 34M 0S - LINKUSDT 2020-11-16</t>
        </is>
      </c>
      <c r="M69" s="918" t="inlineStr">
        <is>
          <t>1D 8H 27M 0S - LINKUSDT 2020-12-20</t>
        </is>
      </c>
    </row>
    <row r="70" ht="14.5" customHeight="1">
      <c r="A70" s="889" t="inlineStr">
        <is>
          <t>Min Move to Break Even</t>
        </is>
      </c>
      <c r="B70" s="937" t="inlineStr">
        <is>
          <t>6H 3M 0S - GBPUSD 2020-01-27</t>
        </is>
      </c>
      <c r="C70" s="937" t="inlineStr">
        <is>
          <t>1H 54M 0S - USDJPY 2020-02-28</t>
        </is>
      </c>
      <c r="D70" s="937" t="inlineStr">
        <is>
          <t>2M 0S - USDCAD 2020-03-20</t>
        </is>
      </c>
      <c r="E70" s="937" t="inlineStr">
        <is>
          <t>9M 46S - BTCUSDT 2020-04-15</t>
        </is>
      </c>
      <c r="F70" s="937" t="inlineStr">
        <is>
          <t>12M 0S - USDCAD 2020-05-14</t>
        </is>
      </c>
      <c r="G70" s="937" t="inlineStr">
        <is>
          <t>2H 17M 46S - ERDUSDT 2020-06-04</t>
        </is>
      </c>
      <c r="H70" s="937" t="inlineStr">
        <is>
          <t>1H 26M 34S - FTMUSDT 2020-07-04</t>
        </is>
      </c>
      <c r="I70" s="937" t="inlineStr">
        <is>
          <t>8H 30M 0S - EURCHF 2020-08-12</t>
        </is>
      </c>
      <c r="J70" s="937" t="inlineStr">
        <is>
          <t>5H 55M 45S - NEOUSDT 2020-09-25</t>
        </is>
      </c>
      <c r="K70" s="937" t="inlineStr">
        <is>
          <t>7M 55S - BTCUSDT 2020-10-18</t>
        </is>
      </c>
      <c r="L70" s="937" t="inlineStr">
        <is>
          <t>20M 0S - LINKUSDT 2020-11-01</t>
        </is>
      </c>
      <c r="M70" s="938" t="inlineStr">
        <is>
          <t>1H 33M 0S - LTCUSDT 2020-12-27</t>
        </is>
      </c>
    </row>
    <row r="71" ht="14.5" customHeight="1">
      <c r="A71" s="889" t="inlineStr">
        <is>
          <t>Max Move to Break Even</t>
        </is>
      </c>
      <c r="B71" s="661" t="inlineStr">
        <is>
          <t>17H 5M 0S - USDJPY 2020-01-25</t>
        </is>
      </c>
      <c r="C71" s="661" t="inlineStr">
        <is>
          <t>1H 54M 0S - USDJPY 2020-02-28</t>
        </is>
      </c>
      <c r="D71" s="661" t="inlineStr">
        <is>
          <t>2H 5M 0S - AUDCAD 2020-03-14</t>
        </is>
      </c>
      <c r="E71" s="661" t="inlineStr">
        <is>
          <t>2D 6H 27M 0S - EURAUD 2020-04-06</t>
        </is>
      </c>
      <c r="F71" s="661" t="inlineStr">
        <is>
          <t>1D 0H 46M 0S - USDJPY 2020-05-28</t>
        </is>
      </c>
      <c r="G71" s="661" t="inlineStr">
        <is>
          <t>3D 8H 22M 0S - FETUSDT 2020-06-24</t>
        </is>
      </c>
      <c r="H71" s="661" t="inlineStr">
        <is>
          <t>20H 31M 34S - LINKUSDT 2020-07-15</t>
        </is>
      </c>
      <c r="I71" s="661" t="inlineStr">
        <is>
          <t>2D 2H 16M 0S - EURCHF 2020-08-01</t>
        </is>
      </c>
      <c r="J71" s="661" t="inlineStr">
        <is>
          <t>15H 7M 5S - WINUSDT 2020-09-05</t>
        </is>
      </c>
      <c r="K71" s="661" t="inlineStr">
        <is>
          <t>22H 8M 19S - BTCUSDT 2020-10-30</t>
        </is>
      </c>
      <c r="L71" s="661" t="inlineStr">
        <is>
          <t>20M 0S - LINKUSDT 2020-11-01</t>
        </is>
      </c>
      <c r="M71" s="904" t="inlineStr">
        <is>
          <t>18H 49M 0S - LINKUSDT 2020-12-20</t>
        </is>
      </c>
    </row>
    <row r="72" ht="14.5" customHeight="1">
      <c r="A72" s="889" t="inlineStr">
        <is>
          <t>Min Move to Profit</t>
        </is>
      </c>
      <c r="B72" s="661" t="inlineStr"/>
      <c r="C72" s="661" t="inlineStr"/>
      <c r="D72" s="661" t="inlineStr"/>
      <c r="E72" s="661" t="inlineStr"/>
      <c r="F72" s="661" t="inlineStr"/>
      <c r="G72" s="661" t="inlineStr"/>
      <c r="H72" s="661" t="inlineStr"/>
      <c r="I72" s="661" t="inlineStr"/>
      <c r="J72" s="661" t="inlineStr"/>
      <c r="K72" s="661" t="inlineStr"/>
      <c r="L72" s="661" t="inlineStr"/>
      <c r="M72" s="904" t="inlineStr"/>
    </row>
    <row r="73" ht="14.5" customHeight="1">
      <c r="A73" s="919" t="inlineStr">
        <is>
          <t>Max Move to Profit</t>
        </is>
      </c>
      <c r="B73" s="920" t="inlineStr"/>
      <c r="C73" s="920" t="inlineStr"/>
      <c r="D73" s="920" t="inlineStr"/>
      <c r="E73" s="920" t="inlineStr"/>
      <c r="F73" s="920" t="inlineStr"/>
      <c r="G73" s="920" t="inlineStr"/>
      <c r="H73" s="920" t="inlineStr"/>
      <c r="I73" s="920" t="inlineStr"/>
      <c r="J73" s="920" t="inlineStr"/>
      <c r="K73" s="920" t="inlineStr"/>
      <c r="L73" s="920" t="inlineStr"/>
      <c r="M73" s="921" t="inlineStr"/>
    </row>
    <row r="74" ht="14.5" customHeight="1">
      <c r="A74" s="913" t="inlineStr">
        <is>
          <t>Winners min stop %</t>
        </is>
      </c>
      <c r="B74" s="949" t="inlineStr">
        <is>
          <t>0.15% - USDJPY 2020-01-25</t>
        </is>
      </c>
      <c r="C74" s="986" t="inlineStr"/>
      <c r="D74" s="949" t="inlineStr">
        <is>
          <t>0.070% - USDCAD 2020-03-20</t>
        </is>
      </c>
      <c r="E74" s="949" t="inlineStr">
        <is>
          <t>0.11% - EURJPY 2020-04-21</t>
        </is>
      </c>
      <c r="F74" s="949" t="inlineStr">
        <is>
          <t>0.086% - USDCAD 2020-05-14</t>
        </is>
      </c>
      <c r="G74" s="949" t="inlineStr">
        <is>
          <t>0.26% - NZDCHF 2020-06-20</t>
        </is>
      </c>
      <c r="H74" s="949" t="inlineStr">
        <is>
          <t>0.27% - GBPCAD 2020-07-24</t>
        </is>
      </c>
      <c r="I74" s="949" t="inlineStr">
        <is>
          <t>6.09% - SNXUSDT 2020-08-10</t>
        </is>
      </c>
      <c r="J74" s="949" t="inlineStr">
        <is>
          <t>5.41% - NEOUSDT 2020-09-25</t>
        </is>
      </c>
      <c r="K74" s="949" t="inlineStr">
        <is>
          <t>0.13% - XRPUSDT 2020-10-18</t>
        </is>
      </c>
      <c r="L74" s="986" t="inlineStr"/>
      <c r="M74" s="950" t="inlineStr">
        <is>
          <t>1.44% - LTCUSDT 2020-12-27</t>
        </is>
      </c>
    </row>
    <row r="75" ht="14.5" customHeight="1">
      <c r="A75" s="889" t="inlineStr">
        <is>
          <t>Winners max stop %</t>
        </is>
      </c>
      <c r="B75" s="661" t="inlineStr">
        <is>
          <t>0.15% - USDJPY 2020-01-25</t>
        </is>
      </c>
      <c r="C75" s="662" t="inlineStr"/>
      <c r="D75" s="661" t="inlineStr">
        <is>
          <t>0.39% - AUDCAD 2020-03-14</t>
        </is>
      </c>
      <c r="E75" s="661" t="inlineStr">
        <is>
          <t>1.02% - BCHUSDT 2020-04-29</t>
        </is>
      </c>
      <c r="F75" s="661" t="inlineStr">
        <is>
          <t>7.73% - HIVEUSDT 2020-05-05</t>
        </is>
      </c>
      <c r="G75" s="661" t="inlineStr">
        <is>
          <t>6.65% - ANKRUSDT 2020-06-01</t>
        </is>
      </c>
      <c r="H75" s="661" t="inlineStr">
        <is>
          <t>7.38% - FTMUSDT 2020-07-04</t>
        </is>
      </c>
      <c r="I75" s="661" t="inlineStr">
        <is>
          <t>6.82% - NKNUSDT 2020-08-16</t>
        </is>
      </c>
      <c r="J75" s="661" t="inlineStr">
        <is>
          <t>6.60% - ERDUSDT 2020-09-03</t>
        </is>
      </c>
      <c r="K75" s="661" t="inlineStr">
        <is>
          <t>1.88% - BTCUSDT 2020-10-30</t>
        </is>
      </c>
      <c r="L75" s="662" t="inlineStr"/>
      <c r="M75" s="904" t="inlineStr">
        <is>
          <t>1.87% - BTCUSDT 2020-12-25</t>
        </is>
      </c>
    </row>
    <row r="76" ht="14.5" customHeight="1">
      <c r="A76" s="889" t="inlineStr">
        <is>
          <t>Winners min target %</t>
        </is>
      </c>
      <c r="B76" s="661" t="inlineStr">
        <is>
          <t>0.79% - USDJPY 2020-01-25</t>
        </is>
      </c>
      <c r="C76" s="662" t="inlineStr"/>
      <c r="D76" s="661" t="inlineStr">
        <is>
          <t>0.14% - USDCAD 2020-03-20</t>
        </is>
      </c>
      <c r="E76" s="661" t="inlineStr">
        <is>
          <t>0.22% - EURJPY 2020-04-21</t>
        </is>
      </c>
      <c r="F76" s="661" t="inlineStr">
        <is>
          <t>0.17% - USDCAD 2020-05-14</t>
        </is>
      </c>
      <c r="G76" s="661" t="inlineStr">
        <is>
          <t>0.92% - NZDCHF 2020-06-20</t>
        </is>
      </c>
      <c r="H76" s="661" t="inlineStr">
        <is>
          <t>0.87% - GBPCAD 2020-07-24</t>
        </is>
      </c>
      <c r="I76" s="661" t="inlineStr">
        <is>
          <t>18.40% - SNXUSDT 2020-08-10</t>
        </is>
      </c>
      <c r="J76" s="661" t="inlineStr">
        <is>
          <t>16.68% - NEOUSDT 2020-09-25</t>
        </is>
      </c>
      <c r="K76" s="661" t="inlineStr">
        <is>
          <t>0.26% - XRPUSDT 2020-10-18</t>
        </is>
      </c>
      <c r="L76" s="662" t="inlineStr"/>
      <c r="M76" s="904" t="inlineStr">
        <is>
          <t>2.89% - LTCUSDT 2020-12-27</t>
        </is>
      </c>
    </row>
    <row r="77" ht="14.5" customHeight="1">
      <c r="A77" s="889" t="inlineStr">
        <is>
          <t>Winners max target %</t>
        </is>
      </c>
      <c r="B77" s="917" t="inlineStr">
        <is>
          <t>0.79% - USDJPY 2020-01-25</t>
        </is>
      </c>
      <c r="C77" s="894" t="inlineStr"/>
      <c r="D77" s="917" t="inlineStr">
        <is>
          <t>0.78% - AUDCAD 2020-03-14</t>
        </is>
      </c>
      <c r="E77" s="917" t="inlineStr">
        <is>
          <t>2.04% - BCHUSDT 2020-04-29</t>
        </is>
      </c>
      <c r="F77" s="917" t="inlineStr">
        <is>
          <t>18.35% - BNTUSDT 2020-05-24</t>
        </is>
      </c>
      <c r="G77" s="917" t="inlineStr">
        <is>
          <t>23.46% - ANKRUSDT 2020-06-01</t>
        </is>
      </c>
      <c r="H77" s="917" t="inlineStr">
        <is>
          <t>22.40% - FTMUSDT 2020-07-04</t>
        </is>
      </c>
      <c r="I77" s="917" t="inlineStr">
        <is>
          <t>20.52% - NKNUSDT 2020-08-16</t>
        </is>
      </c>
      <c r="J77" s="917" t="inlineStr">
        <is>
          <t>23.12% - ERDUSDT 2020-09-03</t>
        </is>
      </c>
      <c r="K77" s="917" t="inlineStr">
        <is>
          <t>3.73% - BTCUSDT 2020-10-30</t>
        </is>
      </c>
      <c r="L77" s="894" t="inlineStr"/>
      <c r="M77" s="918" t="inlineStr">
        <is>
          <t>3.76% - BTCUSDT 2020-12-25</t>
        </is>
      </c>
    </row>
    <row r="78" ht="14.5" customHeight="1">
      <c r="A78" s="889" t="inlineStr">
        <is>
          <t>Winners min result %</t>
        </is>
      </c>
      <c r="B78" s="951" t="inlineStr">
        <is>
          <t>0.020% - USDJPY 2020-01-25</t>
        </is>
      </c>
      <c r="C78" s="894" t="inlineStr"/>
      <c r="D78" s="951" t="inlineStr">
        <is>
          <t>0.25% - EURUSD 2020-03-17</t>
        </is>
      </c>
      <c r="E78" s="951" t="inlineStr">
        <is>
          <t>1.16% - CADJPY 2020-04-03</t>
        </is>
      </c>
      <c r="F78" s="951" t="inlineStr">
        <is>
          <t>0.16% - THETAUSDT 2020-05-14</t>
        </is>
      </c>
      <c r="G78" s="951" t="inlineStr">
        <is>
          <t>0.29% - NZDCHF 2020-06-20</t>
        </is>
      </c>
      <c r="H78" s="951" t="inlineStr">
        <is>
          <t>2.84% - LINKUSDT 2020-07-15</t>
        </is>
      </c>
      <c r="I78" s="951" t="inlineStr">
        <is>
          <t>2.84% - SNXUSDT 2020-08-10</t>
        </is>
      </c>
      <c r="J78" s="951" t="inlineStr">
        <is>
          <t>3.10% - NEOUSDT 2020-09-25</t>
        </is>
      </c>
      <c r="K78" s="951" t="inlineStr">
        <is>
          <t>1.93% - BTCUSDT 2020-10-28</t>
        </is>
      </c>
      <c r="L78" s="894" t="inlineStr"/>
      <c r="M78" s="952" t="inlineStr">
        <is>
          <t>1.93% - BTCUSDT 2020-12-25</t>
        </is>
      </c>
    </row>
    <row r="79" ht="14.5" customHeight="1">
      <c r="A79" s="889" t="inlineStr">
        <is>
          <t>Winners max result %</t>
        </is>
      </c>
      <c r="B79" s="951" t="inlineStr">
        <is>
          <t>0.020% - USDJPY 2020-01-25</t>
        </is>
      </c>
      <c r="C79" s="894" t="inlineStr"/>
      <c r="D79" s="951" t="inlineStr">
        <is>
          <t>2.02% - USDCAD 2020-03-05</t>
        </is>
      </c>
      <c r="E79" s="951" t="inlineStr">
        <is>
          <t>2.86% - CADCHF 2020-04-02</t>
        </is>
      </c>
      <c r="F79" s="951" t="inlineStr">
        <is>
          <t>2.35% - BTCUSDT 2020-05-29</t>
        </is>
      </c>
      <c r="G79" s="951" t="inlineStr">
        <is>
          <t>0.65% - ANKRUSDT 2020-06-01</t>
        </is>
      </c>
      <c r="H79" s="951" t="inlineStr">
        <is>
          <t>3.80% - ONTUSDT 2020-07-19</t>
        </is>
      </c>
      <c r="I79" s="951" t="inlineStr">
        <is>
          <t>2.89% - NKNUSDT 2020-08-16</t>
        </is>
      </c>
      <c r="J79" s="951" t="inlineStr">
        <is>
          <t>4.61% - ERDUSDT 2020-09-03</t>
        </is>
      </c>
      <c r="K79" s="951" t="inlineStr">
        <is>
          <t>1.98% - XRPUSDT 2020-10-18</t>
        </is>
      </c>
      <c r="L79" s="894" t="inlineStr"/>
      <c r="M79" s="952" t="inlineStr">
        <is>
          <t>2.10% - LTCUSDT 2020-12-27</t>
        </is>
      </c>
    </row>
    <row r="80" ht="14.5" customHeight="1">
      <c r="A80" s="889" t="inlineStr">
        <is>
          <t>Winners min R</t>
        </is>
      </c>
      <c r="B80" s="984" t="inlineStr"/>
      <c r="C80" s="984" t="inlineStr"/>
      <c r="D80" s="951" t="inlineStr">
        <is>
          <t>0.25R - EURUSD 2020-03-17</t>
        </is>
      </c>
      <c r="E80" s="951" t="inlineStr">
        <is>
          <t>1.94R - EURJPY 2020-04-21</t>
        </is>
      </c>
      <c r="F80" s="951" t="inlineStr">
        <is>
          <t>0.21R - THETAUSDT 2020-05-14</t>
        </is>
      </c>
      <c r="G80" s="951" t="inlineStr">
        <is>
          <t>0.31R - NZDCHF 2020-06-20</t>
        </is>
      </c>
      <c r="H80" s="951" t="inlineStr">
        <is>
          <t>3.01R - LINKUSDT 2020-07-15</t>
        </is>
      </c>
      <c r="I80" s="951" t="inlineStr">
        <is>
          <t>3.02R - SNXUSDT 2020-08-10</t>
        </is>
      </c>
      <c r="J80" s="951" t="inlineStr">
        <is>
          <t>3.28R - NEOUSDT 2020-09-25</t>
        </is>
      </c>
      <c r="K80" s="951" t="inlineStr">
        <is>
          <t>1.95R - BTCUSDT 2020-10-30</t>
        </is>
      </c>
      <c r="L80" s="984" t="inlineStr"/>
      <c r="M80" s="952" t="inlineStr">
        <is>
          <t>2.02R - BTCUSDT 2020-12-25</t>
        </is>
      </c>
    </row>
    <row r="81" ht="14.5" customHeight="1">
      <c r="A81" s="919" t="inlineStr">
        <is>
          <t>Winners max R</t>
        </is>
      </c>
      <c r="B81" s="980" t="inlineStr"/>
      <c r="C81" s="980" t="inlineStr"/>
      <c r="D81" s="929" t="inlineStr">
        <is>
          <t>2.05R - AUDUSD 2020-03-03</t>
        </is>
      </c>
      <c r="E81" s="929" t="inlineStr">
        <is>
          <t>2.58R - BTCUSDT 2020-04-17</t>
        </is>
      </c>
      <c r="F81" s="929" t="inlineStr">
        <is>
          <t>2.59R - BTCUSDT 2020-05-29</t>
        </is>
      </c>
      <c r="G81" s="929" t="inlineStr">
        <is>
          <t>0.70R - ERDUSDT 2020-06-04</t>
        </is>
      </c>
      <c r="H81" s="929" t="inlineStr">
        <is>
          <t>4.08R - ONTUSDT 2020-07-19</t>
        </is>
      </c>
      <c r="I81" s="929" t="inlineStr">
        <is>
          <t>3.07R - NKNUSDT 2020-08-16</t>
        </is>
      </c>
      <c r="J81" s="929" t="inlineStr">
        <is>
          <t>4.87R - ERDUSDT 2020-09-03</t>
        </is>
      </c>
      <c r="K81" s="929" t="inlineStr">
        <is>
          <t>3.59R - XRPUSDT 2020-10-18</t>
        </is>
      </c>
      <c r="L81" s="980" t="inlineStr"/>
      <c r="M81" s="930" t="inlineStr">
        <is>
          <t>2.03R - LTCUSDT 2020-12-27</t>
        </is>
      </c>
    </row>
    <row r="82" ht="14.5" customHeight="1">
      <c r="A82" s="913" t="inlineStr">
        <is>
          <t>Losers min stop %</t>
        </is>
      </c>
      <c r="B82" s="922" t="inlineStr">
        <is>
          <t>0.16% - AUDNZD 2020-01-17</t>
        </is>
      </c>
      <c r="C82" s="922" t="inlineStr">
        <is>
          <t>0.18% - USDCHF 2020-02-07</t>
        </is>
      </c>
      <c r="D82" s="922" t="inlineStr">
        <is>
          <t>0.091% - EURUSD 2020-03-26</t>
        </is>
      </c>
      <c r="E82" s="922" t="inlineStr">
        <is>
          <t>0.071% - USDCAD 2020-04-09</t>
        </is>
      </c>
      <c r="F82" s="922" t="inlineStr">
        <is>
          <t>0.044% - EURJPY 2020-05-06</t>
        </is>
      </c>
      <c r="G82" s="922" t="inlineStr">
        <is>
          <t>0.24% - GBPJPY 2020-06-17</t>
        </is>
      </c>
      <c r="H82" s="922" t="inlineStr">
        <is>
          <t>0.26% - EURGBP 2020-07-17</t>
        </is>
      </c>
      <c r="I82" s="922" t="inlineStr">
        <is>
          <t>0.16% - EURCHF 2020-08-12</t>
        </is>
      </c>
      <c r="J82" s="922" t="inlineStr">
        <is>
          <t>0.17% - GBPUSD 2020-09-15</t>
        </is>
      </c>
      <c r="K82" s="922" t="inlineStr">
        <is>
          <t>0.13% - XRPUSDT 2020-10-18</t>
        </is>
      </c>
      <c r="L82" s="922" t="inlineStr">
        <is>
          <t>0.19% - ETHUSDT 2020-11-01</t>
        </is>
      </c>
      <c r="M82" s="923" t="inlineStr">
        <is>
          <t>0.047% - EURNZD 2020-12-25</t>
        </is>
      </c>
    </row>
    <row r="83" ht="14.5" customHeight="1">
      <c r="A83" s="889" t="inlineStr">
        <is>
          <t>Losers max stop %</t>
        </is>
      </c>
      <c r="B83" s="917" t="inlineStr">
        <is>
          <t>0.26% - GBPCAD 2020-01-28</t>
        </is>
      </c>
      <c r="C83" s="917" t="inlineStr">
        <is>
          <t>0.28% - AUDSGD 2020-02-21</t>
        </is>
      </c>
      <c r="D83" s="917" t="inlineStr">
        <is>
          <t>0.43% - AUDCHF 2020-03-26</t>
        </is>
      </c>
      <c r="E83" s="917" t="inlineStr">
        <is>
          <t>0.81% - LINKUSDT 2020-04-20</t>
        </is>
      </c>
      <c r="F83" s="917" t="inlineStr">
        <is>
          <t>13.56% - COSUSDT 2020-05-27</t>
        </is>
      </c>
      <c r="G83" s="917" t="inlineStr">
        <is>
          <t>8.00% - CTSIUSDT 2020-06-15</t>
        </is>
      </c>
      <c r="H83" s="917" t="inlineStr">
        <is>
          <t>12.32% - RLCUSDT 2020-07-21</t>
        </is>
      </c>
      <c r="I83" s="917" t="inlineStr">
        <is>
          <t>11.57% - STMXUSDT 2020-08-02</t>
        </is>
      </c>
      <c r="J83" s="917" t="inlineStr">
        <is>
          <t>15.33% - TRXUSDT 2020-09-16</t>
        </is>
      </c>
      <c r="K83" s="917" t="inlineStr">
        <is>
          <t>14.80% - SXPUSDT 2020-10-02</t>
        </is>
      </c>
      <c r="L83" s="917" t="inlineStr">
        <is>
          <t>1.88% - LINKUSDT 2020-11-16</t>
        </is>
      </c>
      <c r="M83" s="918" t="inlineStr">
        <is>
          <t>2.52% - LINKUSDT 2020-12-20</t>
        </is>
      </c>
    </row>
    <row r="84" ht="14.5" customHeight="1">
      <c r="A84" s="889" t="inlineStr">
        <is>
          <t>Losers min target %</t>
        </is>
      </c>
      <c r="B84" s="917" t="inlineStr">
        <is>
          <t>0.36% - AUDNZD 2020-01-17</t>
        </is>
      </c>
      <c r="C84" s="917" t="inlineStr">
        <is>
          <t>0.55% - USDCHF 2020-02-07</t>
        </is>
      </c>
      <c r="D84" s="917" t="inlineStr">
        <is>
          <t>0.18% - EURUSD 2020-03-26</t>
        </is>
      </c>
      <c r="E84" s="917" t="inlineStr">
        <is>
          <t>0.12% - USDCAD 2020-04-16</t>
        </is>
      </c>
      <c r="F84" s="917" t="inlineStr">
        <is>
          <t>0.087% - EURJPY 2020-05-06</t>
        </is>
      </c>
      <c r="G84" s="917" t="inlineStr">
        <is>
          <t>0.66% - GBPUSD 2020-06-09</t>
        </is>
      </c>
      <c r="H84" s="917" t="inlineStr">
        <is>
          <t>0.87% - CADCHF 2020-07-18</t>
        </is>
      </c>
      <c r="I84" s="917" t="inlineStr">
        <is>
          <t>0.66% - EURCHF 2020-08-12</t>
        </is>
      </c>
      <c r="J84" s="917" t="inlineStr">
        <is>
          <t>0.51% - GBPUSD 2020-09-15</t>
        </is>
      </c>
      <c r="K84" s="917" t="inlineStr">
        <is>
          <t>0.26% - BTCUSDT 2020-10-18</t>
        </is>
      </c>
      <c r="L84" s="917" t="inlineStr">
        <is>
          <t>0.40% - ETHUSDT 2020-11-01</t>
        </is>
      </c>
      <c r="M84" s="918" t="inlineStr">
        <is>
          <t>0.093% - EURNZD 2020-12-25</t>
        </is>
      </c>
    </row>
    <row r="85" ht="14.5" customHeight="1">
      <c r="A85" s="889" t="inlineStr">
        <is>
          <t>Losers max target %</t>
        </is>
      </c>
      <c r="B85" s="917" t="inlineStr">
        <is>
          <t>0.88% - GBPCAD 2020-01-28</t>
        </is>
      </c>
      <c r="C85" s="917" t="inlineStr">
        <is>
          <t>1.15% - GBPCAD 2020-02-26</t>
        </is>
      </c>
      <c r="D85" s="917" t="inlineStr">
        <is>
          <t>0.86% - AUDCHF 2020-03-26</t>
        </is>
      </c>
      <c r="E85" s="917" t="inlineStr">
        <is>
          <t>1.62% - LINKUSDT 2020-04-20</t>
        </is>
      </c>
      <c r="F85" s="917" t="inlineStr">
        <is>
          <t>25.25% - COSUSDT 2020-05-27</t>
        </is>
      </c>
      <c r="G85" s="917" t="inlineStr">
        <is>
          <t>25.56% - ERDUSDT 2020-06-22</t>
        </is>
      </c>
      <c r="H85" s="917" t="inlineStr">
        <is>
          <t>38.71% - ONGUSDT 2020-07-10</t>
        </is>
      </c>
      <c r="I85" s="917" t="inlineStr">
        <is>
          <t>34.83% - STMXUSDT 2020-08-02</t>
        </is>
      </c>
      <c r="J85" s="917" t="inlineStr">
        <is>
          <t>46.56% - TRXUSDT 2020-09-16</t>
        </is>
      </c>
      <c r="K85" s="917" t="inlineStr">
        <is>
          <t>59.19% - SXPUSDT 2020-10-02</t>
        </is>
      </c>
      <c r="L85" s="917" t="inlineStr">
        <is>
          <t>3.78% - LINKUSDT 2020-11-16</t>
        </is>
      </c>
      <c r="M85" s="918" t="inlineStr">
        <is>
          <t>5.13% - LINKUSDT 2020-12-20</t>
        </is>
      </c>
    </row>
    <row r="86" ht="14.5" customHeight="1">
      <c r="A86" s="889" t="inlineStr">
        <is>
          <t>Losers min result %</t>
        </is>
      </c>
      <c r="B86" s="927" t="inlineStr">
        <is>
          <t>-0.020% - GBPUSD 2020-01-27</t>
        </is>
      </c>
      <c r="C86" s="927" t="inlineStr">
        <is>
          <t>-0.40% - USDCHF 2020-02-07</t>
        </is>
      </c>
      <c r="D86" s="927" t="inlineStr">
        <is>
          <t>-0.86% - USDCNH 2020-03-18</t>
        </is>
      </c>
      <c r="E86" s="927" t="inlineStr">
        <is>
          <t>-0.0086% - BNBUSDT 2020-04-13</t>
        </is>
      </c>
      <c r="F86" s="927" t="inlineStr">
        <is>
          <t>-0.018% - ZILUSDT 2020-05-26</t>
        </is>
      </c>
      <c r="G86" s="927" t="inlineStr">
        <is>
          <t>-0.0041% - AUDCAD 2020-06-13</t>
        </is>
      </c>
      <c r="H86" s="927" t="inlineStr">
        <is>
          <t>-0.012% - ERDUSDT 2020-07-31</t>
        </is>
      </c>
      <c r="I86" s="927" t="inlineStr">
        <is>
          <t>-0.0082% - EURCHF 2020-08-12</t>
        </is>
      </c>
      <c r="J86" s="927" t="inlineStr">
        <is>
          <t>-0.011% - FTMUSDT 2020-09-21</t>
        </is>
      </c>
      <c r="K86" s="927" t="inlineStr">
        <is>
          <t>-0.22% - BTCUSDT 2020-10-18</t>
        </is>
      </c>
      <c r="L86" s="927" t="inlineStr">
        <is>
          <t>-0.23% - LINKUSDT 2020-11-01</t>
        </is>
      </c>
      <c r="M86" s="928" t="inlineStr">
        <is>
          <t>-0.019% - LINKUSDT 2020-12-15</t>
        </is>
      </c>
    </row>
    <row r="87" ht="14.5" customHeight="1">
      <c r="A87" s="889" t="inlineStr">
        <is>
          <t>Losers max result %</t>
        </is>
      </c>
      <c r="B87" s="927" t="inlineStr">
        <is>
          <t>-2.62% - GBPCAD 2020-01-28</t>
        </is>
      </c>
      <c r="C87" s="927" t="inlineStr">
        <is>
          <t>-1.09% - GBPCAD 2020-02-26</t>
        </is>
      </c>
      <c r="D87" s="927" t="inlineStr">
        <is>
          <t>-1.24% - EURJPY 2020-03-24</t>
        </is>
      </c>
      <c r="E87" s="927" t="inlineStr">
        <is>
          <t>-1.66% - LTCUSDT 2020-04-23</t>
        </is>
      </c>
      <c r="F87" s="927" t="inlineStr">
        <is>
          <t>-1.00% - HIVEUSDT 2020-05-12</t>
        </is>
      </c>
      <c r="G87" s="927" t="inlineStr">
        <is>
          <t>-1.13% - NZDCHF 2020-06-24</t>
        </is>
      </c>
      <c r="H87" s="927" t="inlineStr">
        <is>
          <t>-1.50% - AUDJPY 2020-07-10</t>
        </is>
      </c>
      <c r="I87" s="927" t="inlineStr">
        <is>
          <t>-1.27% - EURJPY 2020-08-21</t>
        </is>
      </c>
      <c r="J87" s="927" t="inlineStr">
        <is>
          <t>-1.32% - CADJPY 2020-09-15</t>
        </is>
      </c>
      <c r="K87" s="927" t="inlineStr">
        <is>
          <t>-2.31% - XRPUSDT 2020-10-18</t>
        </is>
      </c>
      <c r="L87" s="927" t="inlineStr">
        <is>
          <t>-1.22% - ETHUSDT 2020-11-01</t>
        </is>
      </c>
      <c r="M87" s="928" t="inlineStr">
        <is>
          <t>-1.41% - EURNZD 2020-12-25</t>
        </is>
      </c>
    </row>
    <row r="88" ht="14.5" customHeight="1">
      <c r="A88" s="889" t="inlineStr">
        <is>
          <t>Losers min R</t>
        </is>
      </c>
      <c r="B88" s="927" t="inlineStr">
        <is>
          <t>-0.011R - GBPUSD 2020-01-27</t>
        </is>
      </c>
      <c r="C88" s="927" t="inlineStr">
        <is>
          <t>-0.64R - USDCHF 2020-02-07</t>
        </is>
      </c>
      <c r="D88" s="927" t="inlineStr">
        <is>
          <t>-0.98R - EURUSD 2020-03-26</t>
        </is>
      </c>
      <c r="E88" s="927" t="inlineStr">
        <is>
          <t>-0.055R - BTCUSDT 2020-04-12</t>
        </is>
      </c>
      <c r="F88" s="927" t="inlineStr">
        <is>
          <t>-0.051R - COSUSDT 2020-05-27</t>
        </is>
      </c>
      <c r="G88" s="927" t="inlineStr">
        <is>
          <t>-0.033R - GBPUSD 2020-06-09</t>
        </is>
      </c>
      <c r="H88" s="927" t="inlineStr">
        <is>
          <t>-0.030R - FTMUSDT 2020-07-10</t>
        </is>
      </c>
      <c r="I88" s="927" t="inlineStr">
        <is>
          <t>-0.99R - EURGBP 2020-08-11</t>
        </is>
      </c>
      <c r="J88" s="927" t="inlineStr">
        <is>
          <t>-0.64R - GBPUSD 2020-09-15</t>
        </is>
      </c>
      <c r="K88" s="927" t="inlineStr">
        <is>
          <t>-1.00R - SXPUSDT 2020-10-02</t>
        </is>
      </c>
      <c r="L88" s="927" t="inlineStr">
        <is>
          <t>-0.14R - LINKUSDT 2020-11-01</t>
        </is>
      </c>
      <c r="M88" s="928" t="inlineStr">
        <is>
          <t>-0.0098R - LINKUSDT 2020-12-20</t>
        </is>
      </c>
    </row>
    <row r="89" ht="14.5" customHeight="1">
      <c r="A89" s="919" t="inlineStr">
        <is>
          <t>Losers max R</t>
        </is>
      </c>
      <c r="B89" s="953" t="inlineStr">
        <is>
          <t>-1.00R - AUDNZD 2020-01-17</t>
        </is>
      </c>
      <c r="C89" s="953" t="inlineStr">
        <is>
          <t>-1.02R - GBPCAD 2020-02-25</t>
        </is>
      </c>
      <c r="D89" s="953" t="inlineStr">
        <is>
          <t>-1.06R - AUDUSD 2020-03-03</t>
        </is>
      </c>
      <c r="E89" s="953" t="inlineStr">
        <is>
          <t>-1.31R - ETHUSDT 2020-04-11</t>
        </is>
      </c>
      <c r="F89" s="953" t="inlineStr">
        <is>
          <t>-1.10R - HIVEUSDT 2020-05-12</t>
        </is>
      </c>
      <c r="G89" s="953" t="inlineStr">
        <is>
          <t>-1.10R - BNTUSDT 2020-06-12</t>
        </is>
      </c>
      <c r="H89" s="953" t="inlineStr">
        <is>
          <t>-1.00R - AUDJPY 2020-07-10</t>
        </is>
      </c>
      <c r="I89" s="953" t="inlineStr">
        <is>
          <t>-1.16R - RENUSDT 2020-08-21</t>
        </is>
      </c>
      <c r="J89" s="953" t="inlineStr">
        <is>
          <t>-1.00R - NEOUSDT 2020-09-22</t>
        </is>
      </c>
      <c r="K89" s="953" t="inlineStr">
        <is>
          <t>-1.14R - XTZUSDT 2020-10-31</t>
        </is>
      </c>
      <c r="L89" s="953" t="inlineStr">
        <is>
          <t>-1.13R - ETHUSDT 2020-11-01</t>
        </is>
      </c>
      <c r="M89" s="954" t="inlineStr">
        <is>
          <t>-1.44R - EURNZD 2020-12-25</t>
        </is>
      </c>
    </row>
    <row r="90" ht="14.5" customHeight="1">
      <c r="A90" s="924" t="inlineStr">
        <is>
          <t>Patterns</t>
        </is>
      </c>
      <c r="B90" s="922" t="inlineStr"/>
      <c r="C90" s="922" t="inlineStr"/>
      <c r="D90" s="922" t="inlineStr"/>
      <c r="E90" s="922" t="inlineStr"/>
      <c r="F90" s="922" t="inlineStr"/>
      <c r="G90" s="922" t="inlineStr"/>
      <c r="H90" s="922" t="inlineStr"/>
      <c r="I90" s="922" t="inlineStr"/>
      <c r="J90" s="922" t="inlineStr"/>
      <c r="K90" s="922" t="inlineStr"/>
      <c r="L90" s="922" t="inlineStr"/>
      <c r="M90" s="923" t="inlineStr"/>
    </row>
    <row r="91" ht="14.5" customHeight="1">
      <c r="A91" s="886" t="inlineStr">
        <is>
          <t>Most Traded</t>
        </is>
      </c>
      <c r="B91" s="917" t="inlineStr"/>
      <c r="C91" s="917" t="inlineStr"/>
      <c r="D91" s="917" t="inlineStr"/>
      <c r="E91" s="917" t="inlineStr"/>
      <c r="F91" s="917" t="inlineStr"/>
      <c r="G91" s="917" t="inlineStr"/>
      <c r="H91" s="917" t="inlineStr"/>
      <c r="I91" s="917" t="inlineStr"/>
      <c r="J91" s="917" t="inlineStr"/>
      <c r="K91" s="917" t="inlineStr"/>
      <c r="L91" s="917" t="inlineStr"/>
      <c r="M91" s="918" t="inlineStr"/>
    </row>
    <row r="92" ht="14.5" customHeight="1">
      <c r="A92" s="886" t="inlineStr">
        <is>
          <t>Least Traded</t>
        </is>
      </c>
      <c r="B92" s="661" t="inlineStr"/>
      <c r="C92" s="661" t="inlineStr"/>
      <c r="D92" s="661" t="inlineStr"/>
      <c r="E92" s="661" t="inlineStr"/>
      <c r="F92" s="661" t="inlineStr"/>
      <c r="G92" s="661" t="inlineStr"/>
      <c r="H92" s="661" t="inlineStr"/>
      <c r="I92" s="661" t="inlineStr"/>
      <c r="J92" s="661" t="inlineStr"/>
      <c r="K92" s="661" t="inlineStr"/>
      <c r="L92" s="661" t="inlineStr"/>
      <c r="M92" s="904" t="inlineStr"/>
    </row>
    <row r="93" ht="14.5" customHeight="1">
      <c r="A93" s="886" t="inlineStr">
        <is>
          <t>Most Profitable</t>
        </is>
      </c>
      <c r="B93" s="661" t="inlineStr"/>
      <c r="C93" s="661" t="inlineStr"/>
      <c r="D93" s="661" t="inlineStr"/>
      <c r="E93" s="661" t="inlineStr"/>
      <c r="F93" s="661" t="inlineStr"/>
      <c r="G93" s="661" t="inlineStr"/>
      <c r="H93" s="661" t="inlineStr"/>
      <c r="I93" s="661" t="inlineStr"/>
      <c r="J93" s="661" t="inlineStr"/>
      <c r="K93" s="661" t="inlineStr"/>
      <c r="L93" s="661" t="inlineStr"/>
      <c r="M93" s="904" t="inlineStr"/>
    </row>
    <row r="94" ht="14.5" customHeight="1">
      <c r="A94" s="907" t="inlineStr">
        <is>
          <t>Least Profitable</t>
        </is>
      </c>
      <c r="B94" s="669" t="inlineStr"/>
      <c r="C94" s="669" t="inlineStr"/>
      <c r="D94" s="669" t="inlineStr"/>
      <c r="E94" s="669" t="inlineStr"/>
      <c r="F94" s="669" t="inlineStr"/>
      <c r="G94" s="669" t="inlineStr"/>
      <c r="H94" s="669" t="inlineStr"/>
      <c r="I94" s="669" t="inlineStr"/>
      <c r="J94" s="669" t="inlineStr"/>
      <c r="K94" s="669" t="inlineStr"/>
      <c r="L94" s="669" t="inlineStr"/>
      <c r="M94" s="955" t="inlineStr"/>
    </row>
    <row r="95" ht="14.5" customHeight="1">
      <c r="A95" s="924" t="inlineStr">
        <is>
          <t>Timeframe</t>
        </is>
      </c>
      <c r="B95" s="931" t="inlineStr"/>
      <c r="C95" s="931" t="inlineStr"/>
      <c r="D95" s="931" t="inlineStr"/>
      <c r="E95" s="931" t="inlineStr"/>
      <c r="F95" s="931" t="inlineStr"/>
      <c r="G95" s="931" t="inlineStr"/>
      <c r="H95" s="931" t="inlineStr"/>
      <c r="I95" s="931" t="inlineStr"/>
      <c r="J95" s="931" t="inlineStr"/>
      <c r="K95" s="931" t="inlineStr"/>
      <c r="L95" s="931" t="inlineStr"/>
      <c r="M95" s="932" t="inlineStr"/>
    </row>
    <row r="96" ht="14.5" customHeight="1">
      <c r="A96" s="886" t="inlineStr">
        <is>
          <t>1MIN</t>
        </is>
      </c>
      <c r="B96" s="887" t="n">
        <v>0</v>
      </c>
      <c r="C96" s="887" t="n">
        <v>0</v>
      </c>
      <c r="D96" s="887" t="n">
        <v>3</v>
      </c>
      <c r="E96" s="887" t="n">
        <v>6</v>
      </c>
      <c r="F96" s="887" t="n">
        <v>3</v>
      </c>
      <c r="G96" s="887" t="n">
        <v>0</v>
      </c>
      <c r="H96" s="887" t="n">
        <v>0</v>
      </c>
      <c r="I96" s="887" t="n">
        <v>0</v>
      </c>
      <c r="J96" s="887" t="n">
        <v>0</v>
      </c>
      <c r="K96" s="887" t="n">
        <v>0</v>
      </c>
      <c r="L96" s="887" t="n">
        <v>0</v>
      </c>
      <c r="M96" s="888" t="n">
        <v>0</v>
      </c>
    </row>
    <row r="97" ht="14.5" customHeight="1">
      <c r="A97" s="886" t="inlineStr">
        <is>
          <t>5MIN</t>
        </is>
      </c>
      <c r="B97" s="887" t="n">
        <v>0</v>
      </c>
      <c r="C97" s="887" t="n">
        <v>0</v>
      </c>
      <c r="D97" s="887" t="n">
        <v>0</v>
      </c>
      <c r="E97" s="887" t="n">
        <v>3</v>
      </c>
      <c r="F97" s="887" t="n">
        <v>10</v>
      </c>
      <c r="G97" s="887" t="n">
        <v>1</v>
      </c>
      <c r="H97" s="887" t="n">
        <v>0</v>
      </c>
      <c r="I97" s="887" t="n">
        <v>0</v>
      </c>
      <c r="J97" s="887" t="n">
        <v>0</v>
      </c>
      <c r="K97" s="887" t="n">
        <v>10</v>
      </c>
      <c r="L97" s="887" t="n">
        <v>2</v>
      </c>
      <c r="M97" s="888" t="n">
        <v>1</v>
      </c>
    </row>
    <row r="98" ht="14.5" customHeight="1">
      <c r="A98" s="886" t="inlineStr">
        <is>
          <t>15MIN</t>
        </is>
      </c>
      <c r="B98" s="887" t="n">
        <v>0</v>
      </c>
      <c r="C98" s="887" t="n">
        <v>0</v>
      </c>
      <c r="D98" s="887" t="n">
        <v>0</v>
      </c>
      <c r="E98" s="887" t="n">
        <v>19</v>
      </c>
      <c r="F98" s="887" t="n">
        <v>1</v>
      </c>
      <c r="G98" s="887" t="n">
        <v>0</v>
      </c>
      <c r="H98" s="887" t="n">
        <v>0</v>
      </c>
      <c r="I98" s="887" t="n">
        <v>0</v>
      </c>
      <c r="J98" s="887" t="n">
        <v>0</v>
      </c>
      <c r="K98" s="887" t="n">
        <v>0</v>
      </c>
      <c r="L98" s="887" t="n">
        <v>0</v>
      </c>
      <c r="M98" s="888" t="n">
        <v>2</v>
      </c>
    </row>
    <row r="99" ht="14.5" customHeight="1">
      <c r="A99" s="886" t="inlineStr">
        <is>
          <t>30MIN</t>
        </is>
      </c>
      <c r="B99" s="887" t="n">
        <v>0</v>
      </c>
      <c r="C99" s="887" t="n">
        <v>0</v>
      </c>
      <c r="D99" s="887" t="n">
        <v>0</v>
      </c>
      <c r="E99" s="887" t="n">
        <v>0</v>
      </c>
      <c r="F99" s="887" t="n">
        <v>0</v>
      </c>
      <c r="G99" s="887" t="n">
        <v>0</v>
      </c>
      <c r="H99" s="887" t="n">
        <v>0</v>
      </c>
      <c r="I99" s="887" t="n">
        <v>0</v>
      </c>
      <c r="J99" s="887" t="n">
        <v>0</v>
      </c>
      <c r="K99" s="887" t="n">
        <v>0</v>
      </c>
      <c r="L99" s="887" t="n">
        <v>0</v>
      </c>
      <c r="M99" s="888" t="n">
        <v>0</v>
      </c>
    </row>
    <row r="100" ht="14.5" customHeight="1">
      <c r="A100" s="886" t="inlineStr">
        <is>
          <t>1H</t>
        </is>
      </c>
      <c r="B100" s="887" t="n">
        <v>0</v>
      </c>
      <c r="C100" s="887" t="n">
        <v>0</v>
      </c>
      <c r="D100" s="887" t="n">
        <v>13</v>
      </c>
      <c r="E100" s="887" t="n">
        <v>12</v>
      </c>
      <c r="F100" s="887" t="n">
        <v>43</v>
      </c>
      <c r="G100" s="887" t="n">
        <v>20</v>
      </c>
      <c r="H100" s="887" t="n">
        <v>0</v>
      </c>
      <c r="I100" s="887" t="n">
        <v>0</v>
      </c>
      <c r="J100" s="887" t="n">
        <v>2</v>
      </c>
      <c r="K100" s="887" t="n">
        <v>4</v>
      </c>
      <c r="L100" s="887" t="n">
        <v>3</v>
      </c>
      <c r="M100" s="888" t="n">
        <v>8</v>
      </c>
    </row>
    <row r="101" ht="14.5" customHeight="1">
      <c r="A101" s="886" t="inlineStr">
        <is>
          <t>4H</t>
        </is>
      </c>
      <c r="B101" s="887" t="n">
        <v>5</v>
      </c>
      <c r="C101" s="887" t="n">
        <v>7</v>
      </c>
      <c r="D101" s="887" t="n">
        <v>0</v>
      </c>
      <c r="E101" s="887" t="n">
        <v>0</v>
      </c>
      <c r="F101" s="887" t="n">
        <v>0</v>
      </c>
      <c r="G101" s="887" t="n">
        <v>0</v>
      </c>
      <c r="H101" s="887" t="n">
        <v>20</v>
      </c>
      <c r="I101" s="887" t="n">
        <v>16</v>
      </c>
      <c r="J101" s="887" t="n">
        <v>10</v>
      </c>
      <c r="K101" s="887" t="n">
        <v>3</v>
      </c>
      <c r="L101" s="887" t="n">
        <v>0</v>
      </c>
      <c r="M101" s="888" t="n">
        <v>0</v>
      </c>
    </row>
    <row r="102" ht="14.5" customHeight="1">
      <c r="A102" s="886" t="inlineStr">
        <is>
          <t>DAILY</t>
        </is>
      </c>
      <c r="B102" s="887" t="n">
        <v>0</v>
      </c>
      <c r="C102" s="887" t="n">
        <v>0</v>
      </c>
      <c r="D102" s="887" t="n">
        <v>0</v>
      </c>
      <c r="E102" s="887" t="n">
        <v>0</v>
      </c>
      <c r="F102" s="887" t="n">
        <v>0</v>
      </c>
      <c r="G102" s="887" t="n">
        <v>0</v>
      </c>
      <c r="H102" s="887" t="n">
        <v>0</v>
      </c>
      <c r="I102" s="887" t="n">
        <v>0</v>
      </c>
      <c r="J102" s="887" t="n">
        <v>0</v>
      </c>
      <c r="K102" s="887" t="n">
        <v>0</v>
      </c>
      <c r="L102" s="887" t="n">
        <v>0</v>
      </c>
      <c r="M102" s="888" t="n">
        <v>0</v>
      </c>
    </row>
    <row r="103" ht="14.5" customHeight="1">
      <c r="A103" s="886" t="inlineStr">
        <is>
          <t>WEEKLY</t>
        </is>
      </c>
      <c r="B103" s="887" t="n">
        <v>0</v>
      </c>
      <c r="C103" s="887" t="n">
        <v>0</v>
      </c>
      <c r="D103" s="887" t="n">
        <v>0</v>
      </c>
      <c r="E103" s="887" t="n">
        <v>0</v>
      </c>
      <c r="F103" s="887" t="n">
        <v>0</v>
      </c>
      <c r="G103" s="887" t="n">
        <v>0</v>
      </c>
      <c r="H103" s="887" t="n">
        <v>0</v>
      </c>
      <c r="I103" s="887" t="n">
        <v>0</v>
      </c>
      <c r="J103" s="887" t="n">
        <v>0</v>
      </c>
      <c r="K103" s="887" t="n">
        <v>0</v>
      </c>
      <c r="L103" s="887" t="n">
        <v>0</v>
      </c>
      <c r="M103" s="888" t="n">
        <v>0</v>
      </c>
    </row>
    <row r="104" ht="14.5" customHeight="1">
      <c r="A104" s="907" t="inlineStr">
        <is>
          <t>MONTHLY</t>
        </is>
      </c>
      <c r="B104" s="947" t="n">
        <v>0</v>
      </c>
      <c r="C104" s="947" t="n">
        <v>0</v>
      </c>
      <c r="D104" s="947" t="n">
        <v>0</v>
      </c>
      <c r="E104" s="947" t="n">
        <v>0</v>
      </c>
      <c r="F104" s="947" t="n">
        <v>0</v>
      </c>
      <c r="G104" s="947" t="n">
        <v>0</v>
      </c>
      <c r="H104" s="947" t="n">
        <v>0</v>
      </c>
      <c r="I104" s="947" t="n">
        <v>0</v>
      </c>
      <c r="J104" s="947" t="n">
        <v>0</v>
      </c>
      <c r="K104" s="947" t="n">
        <v>0</v>
      </c>
      <c r="L104" s="947" t="n">
        <v>0</v>
      </c>
      <c r="M104" s="948" t="n">
        <v>0</v>
      </c>
    </row>
    <row r="105" ht="14.5" customHeight="1">
      <c r="A105" s="924" t="inlineStr">
        <is>
          <t>Commission</t>
        </is>
      </c>
      <c r="B105" s="931" t="inlineStr"/>
      <c r="C105" s="931" t="inlineStr"/>
      <c r="D105" s="931" t="inlineStr"/>
      <c r="E105" s="931" t="inlineStr"/>
      <c r="F105" s="931" t="inlineStr"/>
      <c r="G105" s="931" t="inlineStr"/>
      <c r="H105" s="931" t="inlineStr"/>
      <c r="I105" s="931" t="inlineStr"/>
      <c r="J105" s="931" t="inlineStr"/>
      <c r="K105" s="931" t="inlineStr"/>
      <c r="L105" s="931" t="inlineStr"/>
      <c r="M105" s="932" t="inlineStr"/>
    </row>
    <row r="106" ht="14.5" customHeight="1">
      <c r="A106" s="889" t="inlineStr">
        <is>
          <t>Min Commission</t>
        </is>
      </c>
      <c r="B106" s="956" t="n">
        <v>0.02</v>
      </c>
      <c r="C106" s="956" t="n">
        <v>0.01</v>
      </c>
      <c r="D106" s="956" t="n">
        <v>0.07000000000000001</v>
      </c>
      <c r="E106" s="927" t="inlineStr">
        <is>
          <t>AUD 0.070 / USDT 0.061</t>
        </is>
      </c>
      <c r="F106" s="927" t="inlineStr">
        <is>
          <t>AUD 0.010 / USDT 0.015</t>
        </is>
      </c>
      <c r="G106" s="927" t="inlineStr">
        <is>
          <t>AUD 0.020 / USDT 0.019</t>
        </is>
      </c>
      <c r="H106" s="927" t="inlineStr">
        <is>
          <t>AUD 0.050 / USDT 0.022</t>
        </is>
      </c>
      <c r="I106" s="927" t="inlineStr">
        <is>
          <t>AUD 0.040 / USDT 0.020</t>
        </is>
      </c>
      <c r="J106" s="927" t="inlineStr">
        <is>
          <t>AUD 0.020 / USDT 0.019</t>
        </is>
      </c>
      <c r="K106" s="989" t="n">
        <v>0.02026748</v>
      </c>
      <c r="L106" s="990" t="n">
        <v>0.124632</v>
      </c>
      <c r="M106" s="991" t="n">
        <v>0.00831492</v>
      </c>
    </row>
    <row r="107" ht="14.5" customHeight="1">
      <c r="A107" s="889" t="inlineStr">
        <is>
          <t>Avg Commission</t>
        </is>
      </c>
      <c r="B107" s="956" t="n">
        <v>0.05333333333333334</v>
      </c>
      <c r="C107" s="957" t="n">
        <v>0.15</v>
      </c>
      <c r="D107" s="956" t="n">
        <v>0.07000000000000001</v>
      </c>
      <c r="E107" s="927" t="inlineStr">
        <is>
          <t>AUD 0.34 / USDT 0.37</t>
        </is>
      </c>
      <c r="F107" s="927" t="inlineStr">
        <is>
          <t>AUD 0.33 / USDT 0.043</t>
        </is>
      </c>
      <c r="G107" s="927" t="inlineStr">
        <is>
          <t>AUD 0.027 / USDT 0.058</t>
        </is>
      </c>
      <c r="H107" s="927" t="inlineStr">
        <is>
          <t>AUD 0.12 / USDT 0.050</t>
        </is>
      </c>
      <c r="I107" s="927" t="inlineStr">
        <is>
          <t>AUD 0.082 / USDT 0.044</t>
        </is>
      </c>
      <c r="J107" s="927" t="inlineStr">
        <is>
          <t>AUD 0.040 / USDT 0.044</t>
        </is>
      </c>
      <c r="K107" s="990" t="n">
        <v>0.9253597994444444</v>
      </c>
      <c r="L107" s="990" t="n">
        <v>0.297803468</v>
      </c>
      <c r="M107" s="992" t="n">
        <v>0.1175665416666667</v>
      </c>
    </row>
    <row r="108" ht="14.5" customHeight="1">
      <c r="A108" s="889" t="inlineStr">
        <is>
          <t>Max Commission</t>
        </is>
      </c>
      <c r="B108" s="958" t="n">
        <v>0.1</v>
      </c>
      <c r="C108" s="958" t="n">
        <v>0.38</v>
      </c>
      <c r="D108" s="974" t="n">
        <v>0.07000000000000001</v>
      </c>
      <c r="E108" s="959" t="inlineStr">
        <is>
          <t>AUD 0.86 / USDT 0.73</t>
        </is>
      </c>
      <c r="F108" s="959" t="inlineStr">
        <is>
          <t>AUD 1.00 / USDT 0.20</t>
        </is>
      </c>
      <c r="G108" s="959" t="inlineStr">
        <is>
          <t>AUD 0.040 / USDT 0.12</t>
        </is>
      </c>
      <c r="H108" s="959" t="inlineStr">
        <is>
          <t>AUD 0.20 / USDT 0.13</t>
        </is>
      </c>
      <c r="I108" s="959" t="inlineStr">
        <is>
          <t>AUD 0.13 / USDT 0.076</t>
        </is>
      </c>
      <c r="J108" s="959" t="inlineStr">
        <is>
          <t>AUD 0.11 / USDT 0.071</t>
        </is>
      </c>
      <c r="K108" s="993" t="n">
        <v>3.21372678</v>
      </c>
      <c r="L108" s="993" t="n">
        <v>0.5336</v>
      </c>
      <c r="M108" s="994" t="n">
        <v>0.4741422</v>
      </c>
    </row>
    <row r="109" ht="14.5" customHeight="1">
      <c r="A109" s="919" t="inlineStr">
        <is>
          <t>Total Commission</t>
        </is>
      </c>
      <c r="B109" s="961" t="n">
        <v>0.16</v>
      </c>
      <c r="C109" s="961" t="n">
        <v>0.6</v>
      </c>
      <c r="D109" s="995" t="n">
        <v>0.07000000000000001</v>
      </c>
      <c r="E109" s="953" t="inlineStr">
        <is>
          <t>AUD 1.02 / USDT 8.50</t>
        </is>
      </c>
      <c r="F109" s="953" t="inlineStr">
        <is>
          <t>AUD 1.33 / USDT 1.36</t>
        </is>
      </c>
      <c r="G109" s="953" t="inlineStr">
        <is>
          <t>AUD 0.080 / USDT 0.70</t>
        </is>
      </c>
      <c r="H109" s="953" t="inlineStr">
        <is>
          <t>AUD 0.46 / USDT 0.70</t>
        </is>
      </c>
      <c r="I109" s="953" t="inlineStr">
        <is>
          <t>AUD 0.41 / USDT 0.49</t>
        </is>
      </c>
      <c r="J109" s="953" t="inlineStr">
        <is>
          <t>AUD 0.20 / USDT 0.27</t>
        </is>
      </c>
      <c r="K109" s="996" t="n">
        <v>16.65647639</v>
      </c>
      <c r="L109" s="996" t="n">
        <v>1.48901734</v>
      </c>
      <c r="M109" s="997" t="n">
        <v>1.4107985</v>
      </c>
    </row>
    <row r="110">
      <c r="A110" s="962" t="n"/>
      <c r="B110" s="963" t="n"/>
      <c r="C110" s="963" t="n"/>
      <c r="D110" s="963" t="n"/>
      <c r="E110" s="963" t="n"/>
      <c r="F110" s="963" t="n"/>
      <c r="G110" s="963" t="n"/>
      <c r="H110" s="963" t="n"/>
      <c r="I110" s="963" t="n"/>
      <c r="J110" s="963" t="n"/>
      <c r="K110" s="963" t="n"/>
      <c r="L110" s="963" t="n"/>
      <c r="M110" s="963" t="n"/>
    </row>
    <row r="111">
      <c r="A111" s="962" t="n"/>
      <c r="B111" s="965" t="n"/>
      <c r="C111" s="965" t="n"/>
      <c r="D111" s="965" t="n"/>
      <c r="E111" s="965" t="n"/>
      <c r="F111" s="965" t="n"/>
      <c r="G111" s="965" t="n"/>
      <c r="H111" s="965" t="n"/>
      <c r="I111" s="965" t="n"/>
      <c r="J111" s="965" t="n"/>
      <c r="K111" s="965" t="n"/>
      <c r="L111" s="965" t="n"/>
      <c r="M111" s="965" t="n"/>
    </row>
    <row r="112">
      <c r="A112" s="962" t="n"/>
      <c r="B112" s="965" t="n"/>
      <c r="C112" s="965" t="n"/>
      <c r="D112" s="965" t="n"/>
      <c r="E112" s="965" t="n"/>
      <c r="F112" s="965" t="n"/>
      <c r="G112" s="965" t="n"/>
      <c r="H112" s="965" t="n"/>
      <c r="I112" s="965" t="n"/>
      <c r="J112" s="965" t="n"/>
      <c r="K112" s="965" t="n"/>
      <c r="L112" s="965" t="n"/>
      <c r="M112" s="965" t="n"/>
    </row>
    <row r="113">
      <c r="A113" s="962" t="n"/>
      <c r="B113" s="967" t="n"/>
      <c r="C113" s="967" t="n"/>
      <c r="D113" s="967" t="n"/>
      <c r="E113" s="967" t="n"/>
      <c r="F113" s="967" t="n"/>
      <c r="G113" s="967" t="n"/>
      <c r="H113" s="967" t="n"/>
      <c r="I113" s="967" t="n"/>
      <c r="J113" s="967" t="n"/>
      <c r="K113" s="967" t="n"/>
      <c r="L113" s="967" t="n"/>
      <c r="M113" s="967" t="n"/>
    </row>
    <row r="114">
      <c r="A114" s="962" t="n"/>
      <c r="B114" s="964" t="n"/>
      <c r="C114" s="964" t="n"/>
      <c r="D114" s="964" t="n"/>
      <c r="E114" s="964" t="n"/>
      <c r="F114" s="964" t="n"/>
      <c r="G114" s="964" t="n"/>
      <c r="H114" s="964" t="n"/>
      <c r="I114" s="964" t="n"/>
      <c r="J114" s="964" t="n"/>
      <c r="K114" s="964" t="n"/>
      <c r="L114" s="964" t="n"/>
      <c r="M114" s="964" t="n"/>
    </row>
    <row r="115">
      <c r="A115" s="962" t="n"/>
      <c r="B115" s="964" t="n"/>
      <c r="C115" s="964" t="n"/>
      <c r="D115" s="964" t="n"/>
      <c r="E115" s="964" t="n"/>
      <c r="F115" s="964" t="n"/>
      <c r="G115" s="964" t="n"/>
      <c r="H115" s="964" t="n"/>
      <c r="I115" s="964" t="n"/>
      <c r="J115" s="964" t="n"/>
      <c r="K115" s="964" t="n"/>
      <c r="L115" s="964" t="n"/>
      <c r="M115" s="964" t="n"/>
    </row>
    <row r="116">
      <c r="A116" s="962" t="n"/>
      <c r="B116" s="964" t="n"/>
      <c r="C116" s="964" t="n"/>
      <c r="D116" s="964" t="n"/>
      <c r="E116" s="964" t="n"/>
      <c r="F116" s="964" t="n"/>
      <c r="G116" s="964" t="n"/>
      <c r="H116" s="964" t="n"/>
      <c r="I116" s="964" t="n"/>
      <c r="J116" s="964" t="n"/>
      <c r="K116" s="964" t="n"/>
      <c r="L116" s="964" t="n"/>
      <c r="M116" s="964" t="n"/>
    </row>
    <row r="117">
      <c r="A117" s="962" t="n"/>
      <c r="B117" s="964" t="n"/>
      <c r="C117" s="964" t="n"/>
      <c r="D117" s="964" t="n"/>
      <c r="E117" s="964" t="n"/>
      <c r="F117" s="964" t="n"/>
      <c r="G117" s="964" t="n"/>
      <c r="H117" s="964" t="n"/>
      <c r="I117" s="964" t="n"/>
      <c r="J117" s="964" t="n"/>
      <c r="K117" s="964" t="n"/>
      <c r="L117" s="964" t="n"/>
      <c r="M117" s="964" t="n"/>
    </row>
    <row r="118">
      <c r="A118" s="962" t="n"/>
      <c r="B118" s="964" t="n"/>
      <c r="C118" s="964" t="n"/>
      <c r="D118" s="964" t="n"/>
      <c r="E118" s="964" t="n"/>
      <c r="F118" s="964" t="n"/>
      <c r="G118" s="964" t="n"/>
      <c r="H118" s="964" t="n"/>
      <c r="I118" s="964" t="n"/>
      <c r="J118" s="964" t="n"/>
      <c r="K118" s="964" t="n"/>
      <c r="L118" s="964" t="n"/>
      <c r="M118" s="964" t="n"/>
    </row>
    <row r="119">
      <c r="A119" s="962" t="n"/>
      <c r="B119" s="964" t="n"/>
      <c r="C119" s="964" t="n"/>
      <c r="D119" s="964" t="n"/>
      <c r="E119" s="964" t="n"/>
      <c r="F119" s="964" t="n"/>
      <c r="G119" s="964" t="n"/>
      <c r="H119" s="964" t="n"/>
      <c r="I119" s="964" t="n"/>
      <c r="J119" s="964" t="n"/>
      <c r="K119" s="964" t="n"/>
      <c r="L119" s="964" t="n"/>
      <c r="M119" s="964" t="n"/>
    </row>
    <row r="120">
      <c r="A120" s="962" t="n"/>
      <c r="B120" s="964" t="n"/>
      <c r="C120" s="964" t="n"/>
      <c r="D120" s="964" t="n"/>
      <c r="E120" s="964" t="n"/>
      <c r="F120" s="964" t="n"/>
      <c r="G120" s="964" t="n"/>
      <c r="H120" s="964" t="n"/>
      <c r="I120" s="964" t="n"/>
      <c r="J120" s="964" t="n"/>
      <c r="K120" s="964" t="n"/>
      <c r="L120" s="964" t="n"/>
      <c r="M120" s="964" t="n"/>
    </row>
    <row r="121">
      <c r="A121" s="962" t="n"/>
      <c r="B121" s="964" t="n"/>
      <c r="C121" s="964" t="n"/>
      <c r="D121" s="964" t="n"/>
      <c r="E121" s="964" t="n"/>
      <c r="F121" s="964" t="n"/>
      <c r="G121" s="964" t="n"/>
      <c r="H121" s="964" t="n"/>
      <c r="I121" s="964" t="n"/>
      <c r="J121" s="964" t="n"/>
      <c r="K121" s="964" t="n"/>
      <c r="L121" s="964" t="n"/>
      <c r="M121" s="964" t="n"/>
    </row>
    <row r="122">
      <c r="A122" s="962" t="n"/>
      <c r="B122" s="964" t="n"/>
      <c r="C122" s="964" t="n"/>
      <c r="D122" s="964" t="n"/>
      <c r="E122" s="964" t="n"/>
      <c r="F122" s="964" t="n"/>
      <c r="G122" s="964" t="n"/>
      <c r="H122" s="964" t="n"/>
      <c r="I122" s="964" t="n"/>
      <c r="J122" s="964" t="n"/>
      <c r="K122" s="964" t="n"/>
      <c r="L122" s="964" t="n"/>
      <c r="M122" s="964" t="n"/>
    </row>
    <row r="123">
      <c r="A123" s="962" t="n"/>
      <c r="B123" s="967" t="n"/>
      <c r="C123" s="967" t="n"/>
      <c r="D123" s="967" t="n"/>
      <c r="E123" s="967" t="n"/>
      <c r="F123" s="967" t="n"/>
      <c r="G123" s="967" t="n"/>
      <c r="H123" s="967" t="n"/>
      <c r="I123" s="967" t="n"/>
      <c r="J123" s="967" t="n"/>
      <c r="K123" s="967" t="n"/>
      <c r="L123" s="967" t="n"/>
      <c r="M123" s="967" t="n"/>
    </row>
    <row r="124">
      <c r="A124" s="962" t="n"/>
      <c r="B124" s="964" t="n"/>
      <c r="C124" s="964" t="n"/>
      <c r="D124" s="964" t="n"/>
      <c r="E124" s="964" t="n"/>
      <c r="F124" s="964" t="n"/>
      <c r="G124" s="964" t="n"/>
      <c r="H124" s="964" t="n"/>
      <c r="I124" s="964" t="n"/>
      <c r="J124" s="964" t="n"/>
      <c r="K124" s="964" t="n"/>
      <c r="L124" s="964" t="n"/>
      <c r="M124" s="964" t="n"/>
    </row>
    <row r="125">
      <c r="A125" s="962" t="n"/>
      <c r="B125" s="964" t="n"/>
      <c r="C125" s="964" t="n"/>
      <c r="D125" s="964" t="n"/>
      <c r="E125" s="964" t="n"/>
      <c r="F125" s="964" t="n"/>
      <c r="G125" s="964" t="n"/>
      <c r="H125" s="964" t="n"/>
      <c r="I125" s="964" t="n"/>
      <c r="J125" s="964" t="n"/>
      <c r="K125" s="964" t="n"/>
      <c r="L125" s="964" t="n"/>
      <c r="M125" s="964" t="n"/>
    </row>
    <row r="126">
      <c r="A126" s="962" t="n"/>
      <c r="B126" s="964" t="n"/>
      <c r="C126" s="964" t="n"/>
      <c r="D126" s="964" t="n"/>
      <c r="E126" s="964" t="n"/>
      <c r="F126" s="964" t="n"/>
      <c r="G126" s="964" t="n"/>
      <c r="H126" s="964" t="n"/>
      <c r="I126" s="964" t="n"/>
      <c r="J126" s="964" t="n"/>
      <c r="K126" s="964" t="n"/>
      <c r="L126" s="964" t="n"/>
      <c r="M126" s="964" t="n"/>
    </row>
    <row r="127">
      <c r="A127" s="962" t="n"/>
      <c r="B127" s="964" t="n"/>
      <c r="C127" s="964" t="n"/>
      <c r="D127" s="964" t="n"/>
      <c r="E127" s="964" t="n"/>
      <c r="F127" s="964" t="n"/>
      <c r="G127" s="964" t="n"/>
      <c r="H127" s="964" t="n"/>
      <c r="I127" s="964" t="n"/>
      <c r="J127" s="964" t="n"/>
      <c r="K127" s="964" t="n"/>
      <c r="L127" s="964" t="n"/>
      <c r="M127" s="964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27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34" customWidth="1" min="1" max="1"/>
    <col width="43" customWidth="1" min="2" max="2"/>
    <col width="36" customWidth="1" min="3" max="3"/>
    <col width="35" customWidth="1" min="4" max="4"/>
    <col width="36" customWidth="1" min="5" max="5"/>
    <col width="37" customWidth="1" min="6" max="6"/>
    <col width="36" customWidth="1" min="7" max="7"/>
    <col width="35" customWidth="1" min="8" max="8"/>
    <col width="33" customWidth="1" min="9" max="9"/>
    <col width="43" customWidth="1" min="10" max="10"/>
    <col width="35" customWidth="1" min="11" max="11"/>
    <col width="40" customWidth="1" min="12" max="12"/>
    <col width="14" customWidth="1" min="13" max="13"/>
  </cols>
  <sheetData>
    <row r="1">
      <c r="A1" s="883" t="n"/>
      <c r="B1" s="884" t="inlineStr">
        <is>
          <t>January</t>
        </is>
      </c>
      <c r="C1" s="884" t="inlineStr">
        <is>
          <t>February</t>
        </is>
      </c>
      <c r="D1" s="884" t="inlineStr">
        <is>
          <t>March</t>
        </is>
      </c>
      <c r="E1" s="884" t="inlineStr">
        <is>
          <t>April</t>
        </is>
      </c>
      <c r="F1" s="884" t="inlineStr">
        <is>
          <t>May</t>
        </is>
      </c>
      <c r="G1" s="884" t="inlineStr">
        <is>
          <t>June</t>
        </is>
      </c>
      <c r="H1" s="884" t="inlineStr">
        <is>
          <t>July</t>
        </is>
      </c>
      <c r="I1" s="884" t="inlineStr">
        <is>
          <t>August</t>
        </is>
      </c>
      <c r="J1" s="884" t="inlineStr">
        <is>
          <t>September</t>
        </is>
      </c>
      <c r="K1" s="884" t="inlineStr">
        <is>
          <t>October</t>
        </is>
      </c>
      <c r="L1" s="884" t="inlineStr">
        <is>
          <t>November</t>
        </is>
      </c>
      <c r="M1" s="885" t="inlineStr">
        <is>
          <t>December</t>
        </is>
      </c>
    </row>
    <row r="2" ht="14.5" customHeight="1">
      <c r="A2" s="886" t="inlineStr">
        <is>
          <t>Trades</t>
        </is>
      </c>
      <c r="B2" s="887" t="n">
        <v>17</v>
      </c>
      <c r="C2" s="887" t="n">
        <v>15</v>
      </c>
      <c r="D2" s="887" t="n">
        <v>27</v>
      </c>
      <c r="E2" s="887" t="n">
        <v>48</v>
      </c>
      <c r="F2" s="887" t="n">
        <v>48</v>
      </c>
      <c r="G2" s="887" t="n">
        <v>18</v>
      </c>
      <c r="H2" s="887" t="n">
        <v>20</v>
      </c>
      <c r="I2" s="887" t="n">
        <v>10</v>
      </c>
      <c r="J2" s="887" t="n">
        <v>35</v>
      </c>
      <c r="K2" s="887" t="n">
        <v>32</v>
      </c>
      <c r="L2" s="887" t="n">
        <v>18</v>
      </c>
      <c r="M2" s="888" t="n">
        <v>0</v>
      </c>
    </row>
    <row r="3" ht="14.5" customHeight="1">
      <c r="A3" s="889" t="inlineStr">
        <is>
          <t>Wins</t>
        </is>
      </c>
      <c r="B3" s="890" t="n">
        <v>5</v>
      </c>
      <c r="C3" s="890" t="n">
        <v>5</v>
      </c>
      <c r="D3" s="890" t="n">
        <v>6</v>
      </c>
      <c r="E3" s="890" t="n">
        <v>13</v>
      </c>
      <c r="F3" s="890" t="n">
        <v>11</v>
      </c>
      <c r="G3" s="890" t="n">
        <v>5</v>
      </c>
      <c r="H3" s="890" t="n">
        <v>4</v>
      </c>
      <c r="I3" s="890" t="n">
        <v>0</v>
      </c>
      <c r="J3" s="890" t="n">
        <v>6</v>
      </c>
      <c r="K3" s="890" t="n">
        <v>3</v>
      </c>
      <c r="L3" s="890" t="n">
        <v>2</v>
      </c>
      <c r="M3" s="891" t="n">
        <v>0</v>
      </c>
    </row>
    <row r="4" ht="14.5" customHeight="1">
      <c r="A4" s="889" t="inlineStr">
        <is>
          <t>Losses</t>
        </is>
      </c>
      <c r="B4" s="892" t="n">
        <v>12</v>
      </c>
      <c r="C4" s="892" t="n">
        <v>10</v>
      </c>
      <c r="D4" s="892" t="n">
        <v>21</v>
      </c>
      <c r="E4" s="892" t="n">
        <v>35</v>
      </c>
      <c r="F4" s="892" t="n">
        <v>37</v>
      </c>
      <c r="G4" s="892" t="n">
        <v>13</v>
      </c>
      <c r="H4" s="892" t="n">
        <v>16</v>
      </c>
      <c r="I4" s="892" t="n">
        <v>10</v>
      </c>
      <c r="J4" s="892" t="n">
        <v>29</v>
      </c>
      <c r="K4" s="892" t="n">
        <v>29</v>
      </c>
      <c r="L4" s="892" t="n">
        <v>16</v>
      </c>
      <c r="M4" s="893" t="n">
        <v>0</v>
      </c>
    </row>
    <row r="5" ht="14.5" customHeight="1">
      <c r="A5" s="889" t="inlineStr">
        <is>
          <t>Break-even</t>
        </is>
      </c>
      <c r="B5" s="887" t="n">
        <v>0</v>
      </c>
      <c r="C5" s="887" t="n">
        <v>0</v>
      </c>
      <c r="D5" s="887" t="n">
        <v>0</v>
      </c>
      <c r="E5" s="887" t="n">
        <v>0</v>
      </c>
      <c r="F5" s="887" t="n">
        <v>0</v>
      </c>
      <c r="G5" s="887" t="n">
        <v>0</v>
      </c>
      <c r="H5" s="887" t="n">
        <v>0</v>
      </c>
      <c r="I5" s="887" t="n">
        <v>0</v>
      </c>
      <c r="J5" s="887" t="n">
        <v>0</v>
      </c>
      <c r="K5" s="887" t="n">
        <v>0</v>
      </c>
      <c r="L5" s="887" t="n">
        <v>0</v>
      </c>
      <c r="M5" s="888" t="n">
        <v>0</v>
      </c>
    </row>
    <row r="6" ht="14.5" customHeight="1">
      <c r="A6" s="889" t="inlineStr">
        <is>
          <t>Test</t>
        </is>
      </c>
      <c r="B6" s="887" t="n">
        <v>0</v>
      </c>
      <c r="C6" s="887" t="n">
        <v>0</v>
      </c>
      <c r="D6" s="887" t="n">
        <v>0</v>
      </c>
      <c r="E6" s="887" t="n">
        <v>0</v>
      </c>
      <c r="F6" s="887" t="n">
        <v>0</v>
      </c>
      <c r="G6" s="887" t="n">
        <v>0</v>
      </c>
      <c r="H6" s="887" t="n">
        <v>0</v>
      </c>
      <c r="I6" s="887" t="n">
        <v>0</v>
      </c>
      <c r="J6" s="887" t="n">
        <v>0</v>
      </c>
      <c r="K6" s="887" t="n">
        <v>0</v>
      </c>
      <c r="L6" s="887" t="n">
        <v>0</v>
      </c>
      <c r="M6" s="888" t="n">
        <v>0</v>
      </c>
    </row>
    <row r="7" ht="14.5" customHeight="1">
      <c r="A7" s="886" t="inlineStr">
        <is>
          <t>Win rate</t>
        </is>
      </c>
      <c r="B7" s="894" t="n">
        <v>0.2941176470588235</v>
      </c>
      <c r="C7" s="894" t="n">
        <v>0.3333333333333333</v>
      </c>
      <c r="D7" s="894" t="n">
        <v>0.2222222222222222</v>
      </c>
      <c r="E7" s="894" t="n">
        <v>0.2708333333333333</v>
      </c>
      <c r="F7" s="894" t="n">
        <v>0.2291666666666666</v>
      </c>
      <c r="G7" s="894" t="n">
        <v>0.2777777777777778</v>
      </c>
      <c r="H7" s="894" t="n">
        <v>0.2</v>
      </c>
      <c r="I7" s="894" t="n">
        <v>0</v>
      </c>
      <c r="J7" s="894" t="n">
        <v>0.1714285714285714</v>
      </c>
      <c r="K7" s="894" t="n">
        <v>0.09375</v>
      </c>
      <c r="L7" s="894" t="n">
        <v>0.1111111111111111</v>
      </c>
      <c r="M7" s="895" t="inlineStr"/>
    </row>
    <row r="8" ht="14.5" customHeight="1">
      <c r="A8" s="886" t="inlineStr">
        <is>
          <t>Net P/L</t>
        </is>
      </c>
      <c r="B8" s="896" t="n">
        <v>-0.02546341979012916</v>
      </c>
      <c r="C8" s="897" t="n">
        <v>0.01285705986345305</v>
      </c>
      <c r="D8" s="896" t="n">
        <v>-0.07631861000548743</v>
      </c>
      <c r="E8" s="896" t="n">
        <v>-0.09988221325393716</v>
      </c>
      <c r="F8" s="896" t="n">
        <v>-0.08841259287081879</v>
      </c>
      <c r="G8" s="897" t="n">
        <v>0.004413598909177183</v>
      </c>
      <c r="H8" s="897" t="n">
        <v>0.04331525811270615</v>
      </c>
      <c r="I8" s="896" t="n">
        <v>-0.07011177742427951</v>
      </c>
      <c r="J8" s="896" t="n">
        <v>-0.09240852182034473</v>
      </c>
      <c r="K8" s="896" t="n">
        <v>-0.1050679711363459</v>
      </c>
      <c r="L8" s="896" t="n">
        <v>-0.04742784341888115</v>
      </c>
      <c r="M8" s="895" t="inlineStr"/>
    </row>
    <row r="9" ht="14.5" customHeight="1">
      <c r="A9" s="886" t="inlineStr">
        <is>
          <t>Gross percent gain</t>
        </is>
      </c>
      <c r="B9" s="897" t="n">
        <v>0.1035831186426773</v>
      </c>
      <c r="C9" s="897" t="n">
        <v>0.110260270615388</v>
      </c>
      <c r="D9" s="897" t="n">
        <v>0.1513803647532372</v>
      </c>
      <c r="E9" s="897" t="n">
        <v>0.1776715565177261</v>
      </c>
      <c r="F9" s="897" t="n">
        <v>0.1542026415577801</v>
      </c>
      <c r="G9" s="897" t="n">
        <v>0.1015319997028834</v>
      </c>
      <c r="H9" s="897" t="n">
        <v>0.1292262889740087</v>
      </c>
      <c r="I9" s="897" t="n">
        <v>0</v>
      </c>
      <c r="J9" s="897" t="n">
        <v>0.1070094151766607</v>
      </c>
      <c r="K9" s="897" t="n">
        <v>0.07711278393576125</v>
      </c>
      <c r="L9" s="897" t="n">
        <v>0.09434180740891072</v>
      </c>
      <c r="M9" s="663" t="inlineStr"/>
    </row>
    <row r="10" ht="14.5" customHeight="1">
      <c r="A10" s="886" t="inlineStr">
        <is>
          <t>Gross percent loss</t>
        </is>
      </c>
      <c r="B10" s="896" t="n">
        <v>0.1290465384328065</v>
      </c>
      <c r="C10" s="896" t="n">
        <v>0.09740321075193492</v>
      </c>
      <c r="D10" s="896" t="n">
        <v>0.2276989747587246</v>
      </c>
      <c r="E10" s="896" t="n">
        <v>0.2775537697716632</v>
      </c>
      <c r="F10" s="896" t="n">
        <v>0.2426152344285989</v>
      </c>
      <c r="G10" s="896" t="n">
        <v>0.09711840079370626</v>
      </c>
      <c r="H10" s="896" t="n">
        <v>0.08591103086130256</v>
      </c>
      <c r="I10" s="896" t="n">
        <v>0.07011177742427951</v>
      </c>
      <c r="J10" s="896" t="n">
        <v>0.1994179369970055</v>
      </c>
      <c r="K10" s="896" t="n">
        <v>0.1821807550721071</v>
      </c>
      <c r="L10" s="896" t="n">
        <v>0.1417696508277919</v>
      </c>
      <c r="M10" s="663" t="inlineStr"/>
    </row>
    <row r="11" ht="14.5" customHeight="1">
      <c r="A11" s="886" t="inlineStr">
        <is>
          <t>Gross IR gain</t>
        </is>
      </c>
      <c r="B11" s="900" t="n">
        <v>10.13222798476813</v>
      </c>
      <c r="C11" s="900" t="n">
        <v>10.85750828972835</v>
      </c>
      <c r="D11" s="900" t="n">
        <v>16.02982858292879</v>
      </c>
      <c r="E11" s="900" t="n">
        <v>20.54411783063539</v>
      </c>
      <c r="F11" s="900" t="n">
        <v>24.67608070413126</v>
      </c>
      <c r="G11" s="900" t="n">
        <v>13.8280239748336</v>
      </c>
      <c r="H11" s="900" t="n">
        <v>13.59499999999839</v>
      </c>
      <c r="I11" s="900" t="n">
        <v>0</v>
      </c>
      <c r="J11" s="900" t="n">
        <v>20.14397264429065</v>
      </c>
      <c r="K11" s="900" t="n">
        <v>10.78519593613906</v>
      </c>
      <c r="L11" s="900" t="n">
        <v>8.418518518518814</v>
      </c>
      <c r="M11" s="978" t="inlineStr"/>
    </row>
    <row r="12" ht="14.5" customHeight="1">
      <c r="A12" s="886" t="inlineStr">
        <is>
          <t>Gross IR loss</t>
        </is>
      </c>
      <c r="B12" s="902" t="n">
        <v>12.09690088649229</v>
      </c>
      <c r="C12" s="902" t="n">
        <v>9.08343321301861</v>
      </c>
      <c r="D12" s="902" t="n">
        <v>20.94520316571292</v>
      </c>
      <c r="E12" s="902" t="n">
        <v>34.62666746826763</v>
      </c>
      <c r="F12" s="902" t="n">
        <v>34.57129302622607</v>
      </c>
      <c r="G12" s="902" t="n">
        <v>11.58404179713671</v>
      </c>
      <c r="H12" s="902" t="n">
        <v>16.02650390849777</v>
      </c>
      <c r="I12" s="902" t="n">
        <v>9.742350693834805</v>
      </c>
      <c r="J12" s="902" t="n">
        <v>28.25845498561235</v>
      </c>
      <c r="K12" s="902" t="n">
        <v>30.64742515342249</v>
      </c>
      <c r="L12" s="902" t="n">
        <v>15.41835078701769</v>
      </c>
      <c r="M12" s="978" t="inlineStr"/>
    </row>
    <row r="13" ht="14.5" customHeight="1">
      <c r="A13" s="886" t="inlineStr">
        <is>
          <t>Best Win Streak</t>
        </is>
      </c>
      <c r="B13" s="890" t="n">
        <v>2</v>
      </c>
      <c r="C13" s="890" t="n">
        <v>2</v>
      </c>
      <c r="D13" s="890" t="n">
        <v>1</v>
      </c>
      <c r="E13" s="890" t="n">
        <v>3</v>
      </c>
      <c r="F13" s="890" t="n">
        <v>2</v>
      </c>
      <c r="G13" s="890" t="n">
        <v>1</v>
      </c>
      <c r="H13" s="890" t="n">
        <v>1</v>
      </c>
      <c r="I13" s="945" t="inlineStr"/>
      <c r="J13" s="890" t="n">
        <v>2</v>
      </c>
      <c r="K13" s="890" t="n">
        <v>1</v>
      </c>
      <c r="L13" s="890" t="n">
        <v>1</v>
      </c>
      <c r="M13" s="946" t="inlineStr"/>
    </row>
    <row r="14" ht="14.5" customHeight="1">
      <c r="A14" s="889" t="inlineStr">
        <is>
          <t>Start</t>
        </is>
      </c>
      <c r="B14" s="661" t="inlineStr">
        <is>
          <t>2021-01-01 12:00:00</t>
        </is>
      </c>
      <c r="C14" s="661" t="inlineStr">
        <is>
          <t>2021-02-09 12:11:00</t>
        </is>
      </c>
      <c r="D14" s="661" t="inlineStr">
        <is>
          <t>2021-03-02 20:47:00</t>
        </is>
      </c>
      <c r="E14" s="661" t="inlineStr">
        <is>
          <t>2021-04-29 01:48:00</t>
        </is>
      </c>
      <c r="F14" s="661" t="inlineStr">
        <is>
          <t>2021-05-02 08:23:00</t>
        </is>
      </c>
      <c r="G14" s="661" t="inlineStr">
        <is>
          <t>2021-06-09 22:52:00</t>
        </is>
      </c>
      <c r="H14" s="661" t="inlineStr">
        <is>
          <t>2021-07-02 00:38:00</t>
        </is>
      </c>
      <c r="I14" s="917" t="inlineStr"/>
      <c r="J14" s="661" t="inlineStr">
        <is>
          <t>2021-09-06 17:02:00</t>
        </is>
      </c>
      <c r="K14" s="661" t="inlineStr">
        <is>
          <t>2021-10-16 18:27:00</t>
        </is>
      </c>
      <c r="L14" s="661" t="inlineStr">
        <is>
          <t>2021-11-01 08:28:15</t>
        </is>
      </c>
      <c r="M14" s="918" t="inlineStr"/>
    </row>
    <row r="15" ht="14.5" customHeight="1">
      <c r="A15" s="889" t="inlineStr">
        <is>
          <t>End</t>
        </is>
      </c>
      <c r="B15" s="661" t="inlineStr">
        <is>
          <t>2021-01-02 22:39:00</t>
        </is>
      </c>
      <c r="C15" s="661" t="inlineStr">
        <is>
          <t>2021-02-10 02:52:00</t>
        </is>
      </c>
      <c r="D15" s="661" t="inlineStr">
        <is>
          <t>2021-03-02 20:47:00</t>
        </is>
      </c>
      <c r="E15" s="661" t="inlineStr">
        <is>
          <t>2021-04-29 04:35:00</t>
        </is>
      </c>
      <c r="F15" s="661" t="inlineStr">
        <is>
          <t>2021-05-03 10:18:00</t>
        </is>
      </c>
      <c r="G15" s="661" t="inlineStr">
        <is>
          <t>2021-06-09 22:52:00</t>
        </is>
      </c>
      <c r="H15" s="661" t="inlineStr">
        <is>
          <t>2021-07-02 00:38:00</t>
        </is>
      </c>
      <c r="I15" s="917" t="inlineStr"/>
      <c r="J15" s="661" t="inlineStr">
        <is>
          <t>2021-09-07 02:47:00</t>
        </is>
      </c>
      <c r="K15" s="661" t="inlineStr">
        <is>
          <t>2021-10-16 18:27:00</t>
        </is>
      </c>
      <c r="L15" s="661" t="inlineStr">
        <is>
          <t>2021-11-01 08:28:15</t>
        </is>
      </c>
      <c r="M15" s="918" t="inlineStr"/>
    </row>
    <row r="16" ht="14.5" customHeight="1">
      <c r="A16" s="886" t="inlineStr">
        <is>
          <t>Worst Losing Streak</t>
        </is>
      </c>
      <c r="B16" s="892" t="n">
        <v>6</v>
      </c>
      <c r="C16" s="892" t="n">
        <v>3</v>
      </c>
      <c r="D16" s="892" t="n">
        <v>11</v>
      </c>
      <c r="E16" s="892" t="n">
        <v>15</v>
      </c>
      <c r="F16" s="892" t="n">
        <v>11</v>
      </c>
      <c r="G16" s="892" t="n">
        <v>4</v>
      </c>
      <c r="H16" s="892" t="n">
        <v>6</v>
      </c>
      <c r="I16" s="892" t="n">
        <v>10</v>
      </c>
      <c r="J16" s="892" t="n">
        <v>11</v>
      </c>
      <c r="K16" s="892" t="n">
        <v>19</v>
      </c>
      <c r="L16" s="892" t="n">
        <v>12</v>
      </c>
      <c r="M16" s="946" t="inlineStr"/>
    </row>
    <row r="17" ht="14.5" customHeight="1">
      <c r="A17" s="889" t="inlineStr">
        <is>
          <t>Start</t>
        </is>
      </c>
      <c r="B17" s="661" t="inlineStr">
        <is>
          <t>2021-01-16 02:07:00</t>
        </is>
      </c>
      <c r="C17" s="661" t="inlineStr">
        <is>
          <t>2021-02-01 18:57:00</t>
        </is>
      </c>
      <c r="D17" s="661" t="inlineStr">
        <is>
          <t>2021-03-14 18:02:00</t>
        </is>
      </c>
      <c r="E17" s="661" t="inlineStr">
        <is>
          <t>2021-04-18 01:45:00</t>
        </is>
      </c>
      <c r="F17" s="661" t="inlineStr">
        <is>
          <t>2021-05-17 02:34:00</t>
        </is>
      </c>
      <c r="G17" s="661" t="inlineStr">
        <is>
          <t>2021-06-24 21:38:00</t>
        </is>
      </c>
      <c r="H17" s="661" t="inlineStr">
        <is>
          <t>2021-07-20 22:09:00</t>
        </is>
      </c>
      <c r="I17" s="661" t="inlineStr">
        <is>
          <t>2021-08-03 14:38:00</t>
        </is>
      </c>
      <c r="J17" s="661" t="inlineStr">
        <is>
          <t>2021-09-09 22:46:00</t>
        </is>
      </c>
      <c r="K17" s="661" t="inlineStr">
        <is>
          <t>2021-10-01 20:30:00</t>
        </is>
      </c>
      <c r="L17" s="661" t="inlineStr">
        <is>
          <t>2021-11-16 10:58:00</t>
        </is>
      </c>
      <c r="M17" s="918" t="inlineStr"/>
    </row>
    <row r="18" ht="14.5" customHeight="1">
      <c r="A18" s="889" t="inlineStr">
        <is>
          <t>End</t>
        </is>
      </c>
      <c r="B18" s="661" t="inlineStr">
        <is>
          <t>2021-01-28 19:33:00</t>
        </is>
      </c>
      <c r="C18" s="661" t="inlineStr">
        <is>
          <t>2021-02-08 01:20:00</t>
        </is>
      </c>
      <c r="D18" s="661" t="inlineStr">
        <is>
          <t>2021-03-25 22:27:00</t>
        </is>
      </c>
      <c r="E18" s="661" t="inlineStr">
        <is>
          <t>2021-04-25 23:12:00</t>
        </is>
      </c>
      <c r="F18" s="661" t="inlineStr">
        <is>
          <t>2021-05-30 22:44:00</t>
        </is>
      </c>
      <c r="G18" s="661" t="inlineStr">
        <is>
          <t>2021-06-29 01:57:00</t>
        </is>
      </c>
      <c r="H18" s="661" t="inlineStr">
        <is>
          <t>2021-07-31 06:41:00</t>
        </is>
      </c>
      <c r="I18" s="661" t="inlineStr">
        <is>
          <t>2021-08-28 06:47:00</t>
        </is>
      </c>
      <c r="J18" s="661" t="inlineStr">
        <is>
          <t>2021-09-22 07:20:00</t>
        </is>
      </c>
      <c r="K18" s="661" t="inlineStr">
        <is>
          <t>2021-10-15 09:36:00</t>
        </is>
      </c>
      <c r="L18" s="661" t="inlineStr">
        <is>
          <t>2021-11-27 03:59:54</t>
        </is>
      </c>
      <c r="M18" s="918" t="inlineStr"/>
    </row>
    <row r="19" ht="14.5" customHeight="1">
      <c r="A19" s="886" t="inlineStr">
        <is>
          <t>Percentage expectancy</t>
        </is>
      </c>
      <c r="B19" s="896" t="n">
        <v>-0.001497848222948774</v>
      </c>
      <c r="C19" s="906" t="n">
        <v>0.0008571373242302035</v>
      </c>
      <c r="D19" s="896" t="n">
        <v>-0.002826615185388423</v>
      </c>
      <c r="E19" s="896" t="n">
        <v>-0.002080879442790358</v>
      </c>
      <c r="F19" s="896" t="n">
        <v>-0.001841929018142058</v>
      </c>
      <c r="G19" s="906" t="n">
        <v>0.0002451999393987324</v>
      </c>
      <c r="H19" s="897" t="n">
        <v>0.002165762905635308</v>
      </c>
      <c r="I19" s="896" t="n">
        <v>-0.007011177742427951</v>
      </c>
      <c r="J19" s="896" t="n">
        <v>-0.002640243480581278</v>
      </c>
      <c r="K19" s="896" t="n">
        <v>-0.003283374098010809</v>
      </c>
      <c r="L19" s="896" t="n">
        <v>-0.002634880189937842</v>
      </c>
      <c r="M19" s="895" t="inlineStr"/>
    </row>
    <row r="20" ht="14.5" customHeight="1">
      <c r="A20" s="907" t="inlineStr">
        <is>
          <t>R expectancy</t>
        </is>
      </c>
      <c r="B20" s="909" t="n">
        <v>-0.1155689942190683</v>
      </c>
      <c r="C20" s="970" t="n">
        <v>0.1182716717806492</v>
      </c>
      <c r="D20" s="909" t="n">
        <v>-0.1820509104734861</v>
      </c>
      <c r="E20" s="909" t="n">
        <v>-0.3061423834267877</v>
      </c>
      <c r="F20" s="909" t="n">
        <v>-0.210536432384996</v>
      </c>
      <c r="G20" s="970" t="n">
        <v>0.1246656765387159</v>
      </c>
      <c r="H20" s="909" t="n">
        <v>-0.1279738899210202</v>
      </c>
      <c r="I20" s="909" t="n">
        <v>-0.9742350693834805</v>
      </c>
      <c r="J20" s="909" t="n">
        <v>-0.2318423526091913</v>
      </c>
      <c r="K20" s="909" t="n">
        <v>-0.620694663040107</v>
      </c>
      <c r="L20" s="909" t="n">
        <v>-0.3888795704721595</v>
      </c>
      <c r="M20" s="981" t="inlineStr"/>
    </row>
    <row r="21" ht="14.5" customHeight="1">
      <c r="A21" s="913" t="inlineStr">
        <is>
          <t>Avg stop %</t>
        </is>
      </c>
      <c r="B21" s="915" t="n">
        <v>0.02946664869763403</v>
      </c>
      <c r="C21" s="915" t="n">
        <v>0.01236452934926506</v>
      </c>
      <c r="D21" s="915" t="n">
        <v>0.008676311617925611</v>
      </c>
      <c r="E21" s="915" t="n">
        <v>0.0235953261819934</v>
      </c>
      <c r="F21" s="915" t="n">
        <v>0.03557739250098062</v>
      </c>
      <c r="G21" s="915" t="n">
        <v>0.01697899998734976</v>
      </c>
      <c r="H21" s="915" t="n">
        <v>0.01433380150086764</v>
      </c>
      <c r="I21" s="915" t="n">
        <v>0.01564721237117653</v>
      </c>
      <c r="J21" s="915" t="n">
        <v>0.02083620825890964</v>
      </c>
      <c r="K21" s="915" t="n">
        <v>0.004733912609377122</v>
      </c>
      <c r="L21" s="915" t="n">
        <v>0.01927457791251646</v>
      </c>
      <c r="M21" s="916" t="inlineStr"/>
    </row>
    <row r="22" ht="14.5" customHeight="1">
      <c r="A22" s="889" t="inlineStr">
        <is>
          <t>Avg target %</t>
        </is>
      </c>
      <c r="B22" s="894" t="n">
        <v>0.05909590118742149</v>
      </c>
      <c r="C22" s="894" t="n">
        <v>0.02608837163307912</v>
      </c>
      <c r="D22" s="894" t="n">
        <v>0.02070565473349715</v>
      </c>
      <c r="E22" s="894" t="n">
        <v>0.06373116274500157</v>
      </c>
      <c r="F22" s="894" t="n">
        <v>0.1043354285975452</v>
      </c>
      <c r="G22" s="894" t="n">
        <v>0.04080691660553239</v>
      </c>
      <c r="H22" s="894" t="n">
        <v>0.05086566631574426</v>
      </c>
      <c r="I22" s="894" t="n">
        <v>0.05798328124152443</v>
      </c>
      <c r="J22" s="894" t="n">
        <v>0.07820652294024777</v>
      </c>
      <c r="K22" s="894" t="n">
        <v>0.01623583877032833</v>
      </c>
      <c r="L22" s="894" t="n">
        <v>0.08709047853002491</v>
      </c>
      <c r="M22" s="895" t="inlineStr"/>
    </row>
    <row r="23" ht="14.5" customHeight="1">
      <c r="A23" s="889" t="inlineStr">
        <is>
          <t>Min stop %</t>
        </is>
      </c>
      <c r="B23" s="917" t="inlineStr">
        <is>
          <t>0.10% - GBPUSD 2021-01-04</t>
        </is>
      </c>
      <c r="C23" s="917" t="inlineStr">
        <is>
          <t>0.059% - CADJPY 2021-02-26</t>
        </is>
      </c>
      <c r="D23" s="917" t="inlineStr">
        <is>
          <t>0.055% - AUDNZD 2021-03-24</t>
        </is>
      </c>
      <c r="E23" s="917" t="inlineStr">
        <is>
          <t>0.065% - AUDNZD 2021-04-30</t>
        </is>
      </c>
      <c r="F23" s="917" t="inlineStr">
        <is>
          <t>0.11% - CADCHF 2021-05-05</t>
        </is>
      </c>
      <c r="G23" s="917" t="inlineStr">
        <is>
          <t>0.014% - GBPUSD 2021-06-30</t>
        </is>
      </c>
      <c r="H23" s="917" t="inlineStr">
        <is>
          <t>0.012% - EURGBP 2021-07-07</t>
        </is>
      </c>
      <c r="I23" s="917" t="inlineStr">
        <is>
          <t>0.14% - GBPAUD 2021-08-03</t>
        </is>
      </c>
      <c r="J23" s="917" t="inlineStr">
        <is>
          <t>0.035% - EURGBP 2021-09-30</t>
        </is>
      </c>
      <c r="K23" s="917" t="inlineStr">
        <is>
          <t>0.015% - GBPUSD 2021-10-13</t>
        </is>
      </c>
      <c r="L23" s="917" t="inlineStr">
        <is>
          <t>0.083% - EURGBP 2021-11-25</t>
        </is>
      </c>
      <c r="M23" s="895" t="inlineStr"/>
    </row>
    <row r="24" ht="14.5" customHeight="1">
      <c r="A24" s="889" t="inlineStr">
        <is>
          <t>Max stop %</t>
        </is>
      </c>
      <c r="B24" s="917" t="inlineStr">
        <is>
          <t>6.65% - LTCUSDT 2021-01-20</t>
        </is>
      </c>
      <c r="C24" s="917" t="inlineStr">
        <is>
          <t>6.30% - LTCUSDT 2021-02-26</t>
        </is>
      </c>
      <c r="D24" s="917" t="inlineStr">
        <is>
          <t>6.23% - BTCUSDT 2021-03-25</t>
        </is>
      </c>
      <c r="E24" s="917" t="inlineStr">
        <is>
          <t>10.31% - BCHUSDT 2021-04-18</t>
        </is>
      </c>
      <c r="F24" s="917" t="inlineStr">
        <is>
          <t>21.36% - XTZUSDT 2021-05-06</t>
        </is>
      </c>
      <c r="G24" s="917" t="inlineStr">
        <is>
          <t>15.25% - DOTUSDT 2021-06-21</t>
        </is>
      </c>
      <c r="H24" s="917" t="inlineStr">
        <is>
          <t>7.68% - DOTUSDT 2021-07-26</t>
        </is>
      </c>
      <c r="I24" s="917" t="inlineStr">
        <is>
          <t>5.85% - XTZUSDT 2021-08-24</t>
        </is>
      </c>
      <c r="J24" s="917" t="inlineStr">
        <is>
          <t>10.59% - SUSHIUSDT 2021-09-22</t>
        </is>
      </c>
      <c r="K24" s="917" t="inlineStr">
        <is>
          <t>4.44% - AXSUSDT 2021-10-06</t>
        </is>
      </c>
      <c r="L24" s="917" t="inlineStr">
        <is>
          <t>15.95% - SHIB1000USDT 2021-11-24</t>
        </is>
      </c>
      <c r="M24" s="895" t="inlineStr"/>
    </row>
    <row r="25" ht="14.5" customHeight="1">
      <c r="A25" s="889" t="inlineStr">
        <is>
          <t>Min target %</t>
        </is>
      </c>
      <c r="B25" s="917" t="inlineStr">
        <is>
          <t>0.20% - GBPUSD 2021-01-04</t>
        </is>
      </c>
      <c r="C25" s="917" t="inlineStr">
        <is>
          <t>0.12% - CADJPY 2021-02-26</t>
        </is>
      </c>
      <c r="D25" s="917" t="inlineStr">
        <is>
          <t>0.16% - AUDNZD 2021-03-24</t>
        </is>
      </c>
      <c r="E25" s="917" t="inlineStr">
        <is>
          <t>0.13% - AUDNZD 2021-04-30</t>
        </is>
      </c>
      <c r="F25" s="917" t="inlineStr">
        <is>
          <t>0.38% - CADCHF 2021-05-05</t>
        </is>
      </c>
      <c r="G25" s="917" t="inlineStr">
        <is>
          <t>0.058% - GBPUSD 2021-06-30</t>
        </is>
      </c>
      <c r="H25" s="917" t="inlineStr">
        <is>
          <t>0.093% - EURUSD 2021-07-07</t>
        </is>
      </c>
      <c r="I25" s="917" t="inlineStr">
        <is>
          <t>0.79% - GBPAUD 2021-08-03</t>
        </is>
      </c>
      <c r="J25" s="917" t="inlineStr">
        <is>
          <t>0.10% - EURGBP 2021-09-30</t>
        </is>
      </c>
      <c r="K25" s="917" t="inlineStr">
        <is>
          <t>0.052% - EURUSD 2021-10-06</t>
        </is>
      </c>
      <c r="L25" s="917" t="inlineStr">
        <is>
          <t>0.35% - USDCAD 2021-11-02</t>
        </is>
      </c>
      <c r="M25" s="895" t="inlineStr"/>
    </row>
    <row r="26" ht="14.5" customHeight="1">
      <c r="A26" s="919" t="inlineStr">
        <is>
          <t>Max target %</t>
        </is>
      </c>
      <c r="B26" s="920" t="inlineStr">
        <is>
          <t>13.30% - LTCUSDT 2021-01-20</t>
        </is>
      </c>
      <c r="C26" s="920" t="inlineStr">
        <is>
          <t>12.62% - LTCUSDT 2021-02-26</t>
        </is>
      </c>
      <c r="D26" s="920" t="inlineStr">
        <is>
          <t>12.51% - BTCUSDT 2021-03-25</t>
        </is>
      </c>
      <c r="E26" s="920" t="inlineStr">
        <is>
          <t>47.75% - ADAUSDT 2021-04-23</t>
        </is>
      </c>
      <c r="F26" s="920" t="inlineStr">
        <is>
          <t>61.38% - XTZUSDT 2021-05-19</t>
        </is>
      </c>
      <c r="G26" s="920" t="inlineStr">
        <is>
          <t>32.19% - DOTUSDT 2021-06-21</t>
        </is>
      </c>
      <c r="H26" s="920" t="inlineStr">
        <is>
          <t>22.36% - ETHUSDT 2021-07-30</t>
        </is>
      </c>
      <c r="I26" s="920" t="inlineStr">
        <is>
          <t>20.28% - XTZUSDT 2021-08-24</t>
        </is>
      </c>
      <c r="J26" s="920" t="inlineStr">
        <is>
          <t>35.73% - SUSHIUSDT 2021-09-22</t>
        </is>
      </c>
      <c r="K26" s="920" t="inlineStr">
        <is>
          <t>14.22% - AXSUSDT 2021-10-06</t>
        </is>
      </c>
      <c r="L26" s="920" t="inlineStr">
        <is>
          <t>74.66% - SHIB1000USDT 2021-11-24</t>
        </is>
      </c>
      <c r="M26" s="983" t="inlineStr"/>
    </row>
    <row r="27" ht="14.5" customHeight="1">
      <c r="A27" s="913" t="inlineStr">
        <is>
          <t>Avg duration (DD:HH:MM:SS)</t>
        </is>
      </c>
      <c r="B27" s="922" t="inlineStr">
        <is>
          <t>9H 48M 49S</t>
        </is>
      </c>
      <c r="C27" s="922" t="inlineStr">
        <is>
          <t>1D 19H 24M 20S</t>
        </is>
      </c>
      <c r="D27" s="922" t="inlineStr">
        <is>
          <t>1D 7H 38M 55S</t>
        </is>
      </c>
      <c r="E27" s="922" t="inlineStr">
        <is>
          <t>17H 21M 48S</t>
        </is>
      </c>
      <c r="F27" s="922" t="inlineStr">
        <is>
          <t>16H 2M 48S</t>
        </is>
      </c>
      <c r="G27" s="922" t="inlineStr">
        <is>
          <t>1D 15H 27M 53S</t>
        </is>
      </c>
      <c r="H27" s="922" t="inlineStr">
        <is>
          <t>12H 10M 57S</t>
        </is>
      </c>
      <c r="I27" s="922" t="inlineStr">
        <is>
          <t>6H 36M 12S</t>
        </is>
      </c>
      <c r="J27" s="922" t="inlineStr">
        <is>
          <t>10H 15M 58S</t>
        </is>
      </c>
      <c r="K27" s="922" t="inlineStr">
        <is>
          <t>4H 25M 48S</t>
        </is>
      </c>
      <c r="L27" s="922" t="inlineStr">
        <is>
          <t>1D 12H 45M 24S</t>
        </is>
      </c>
      <c r="M27" s="923" t="inlineStr"/>
    </row>
    <row r="28" ht="14.5" customHeight="1">
      <c r="A28" s="889" t="inlineStr">
        <is>
          <t>Move to Break Even (DD:HH:MM:SS)</t>
        </is>
      </c>
      <c r="B28" s="917" t="inlineStr">
        <is>
          <t>15H 9M 21S</t>
        </is>
      </c>
      <c r="C28" s="917" t="inlineStr">
        <is>
          <t>3H 45M 0S</t>
        </is>
      </c>
      <c r="D28" s="917" t="inlineStr"/>
      <c r="E28" s="917" t="inlineStr">
        <is>
          <t>7D 23H 5M 0S</t>
        </is>
      </c>
      <c r="F28" s="917" t="inlineStr">
        <is>
          <t>1H 50M 28S</t>
        </is>
      </c>
      <c r="G28" s="917" t="inlineStr">
        <is>
          <t>16H 50M 16S</t>
        </is>
      </c>
      <c r="H28" s="917" t="inlineStr"/>
      <c r="I28" s="917" t="inlineStr"/>
      <c r="J28" s="917" t="inlineStr">
        <is>
          <t>4H 4M 13S</t>
        </is>
      </c>
      <c r="K28" s="917" t="inlineStr">
        <is>
          <t>14H 52M 18S</t>
        </is>
      </c>
      <c r="L28" s="917" t="inlineStr">
        <is>
          <t>17H 5M 51S</t>
        </is>
      </c>
      <c r="M28" s="918" t="inlineStr"/>
    </row>
    <row r="29" ht="14.5" customHeight="1">
      <c r="A29" s="919" t="inlineStr">
        <is>
          <t>Move to Profit (DD:HH:MM:SS)</t>
        </is>
      </c>
      <c r="B29" s="920" t="inlineStr"/>
      <c r="C29" s="920" t="inlineStr"/>
      <c r="D29" s="920" t="inlineStr"/>
      <c r="E29" s="920" t="inlineStr"/>
      <c r="F29" s="920" t="inlineStr"/>
      <c r="G29" s="920" t="inlineStr"/>
      <c r="H29" s="920" t="inlineStr"/>
      <c r="I29" s="920" t="inlineStr"/>
      <c r="J29" s="920" t="inlineStr">
        <is>
          <t>4H 16M 52S</t>
        </is>
      </c>
      <c r="K29" s="920" t="inlineStr">
        <is>
          <t>2D 12H 6M 0S</t>
        </is>
      </c>
      <c r="L29" s="920" t="inlineStr"/>
      <c r="M29" s="921" t="inlineStr"/>
    </row>
    <row r="30" ht="14.5" customHeight="1">
      <c r="A30" s="924" t="inlineStr">
        <is>
          <t>Max win %</t>
        </is>
      </c>
      <c r="B30" s="925" t="inlineStr">
        <is>
          <t>2.31% - GBPUSD 2021-01-04</t>
        </is>
      </c>
      <c r="C30" s="925" t="inlineStr">
        <is>
          <t>3.62% - EURCAD 2021-02-24</t>
        </is>
      </c>
      <c r="D30" s="925" t="inlineStr">
        <is>
          <t>3.07% - CHFJPY 2021-03-31</t>
        </is>
      </c>
      <c r="E30" s="925" t="inlineStr">
        <is>
          <t>2.35% - AUDJPY 2021-04-27</t>
        </is>
      </c>
      <c r="F30" s="925" t="inlineStr">
        <is>
          <t>2.08% - LTCUSDT 2021-05-11</t>
        </is>
      </c>
      <c r="G30" s="925" t="inlineStr">
        <is>
          <t>2.80% - NZDCHF 2021-06-16</t>
        </is>
      </c>
      <c r="H30" s="925" t="inlineStr">
        <is>
          <t>5.48% - USDJPY 2021-07-02</t>
        </is>
      </c>
      <c r="I30" s="925" t="inlineStr">
        <is>
          <t>-0.48% - ETHUSDT 2021-08-07</t>
        </is>
      </c>
      <c r="J30" s="925" t="inlineStr">
        <is>
          <t>3.06% - ETHUSDT 2021-09-26</t>
        </is>
      </c>
      <c r="K30" s="925" t="inlineStr">
        <is>
          <t>4.61% - EURUSD 2021-10-28</t>
        </is>
      </c>
      <c r="L30" s="925" t="inlineStr">
        <is>
          <t>5.19% - EURCAD 2021-11-13</t>
        </is>
      </c>
      <c r="M30" s="916" t="inlineStr"/>
    </row>
    <row r="31" ht="14.5" customHeight="1">
      <c r="A31" s="886" t="inlineStr">
        <is>
          <t>Max loss %</t>
        </is>
      </c>
      <c r="B31" s="927" t="inlineStr">
        <is>
          <t>-1.29% - GBPUSD 2021-01-04</t>
        </is>
      </c>
      <c r="C31" s="927" t="inlineStr">
        <is>
          <t>-1.31% - USDCHF 2021-02-01</t>
        </is>
      </c>
      <c r="D31" s="927" t="inlineStr">
        <is>
          <t>-1.32% - BTCUSDT 2021-03-01</t>
        </is>
      </c>
      <c r="E31" s="927" t="inlineStr">
        <is>
          <t>-1.32% - GBPCHF 2021-04-02</t>
        </is>
      </c>
      <c r="F31" s="927" t="inlineStr">
        <is>
          <t>-1.29% - AUDUSD 2021-05-13</t>
        </is>
      </c>
      <c r="G31" s="927" t="inlineStr">
        <is>
          <t>-1.36% - GBPNZD 2021-06-12</t>
        </is>
      </c>
      <c r="H31" s="927" t="inlineStr">
        <is>
          <t>-1.10% - AUDCAD 2021-07-02</t>
        </is>
      </c>
      <c r="I31" s="927" t="inlineStr">
        <is>
          <t>-1.15% - GBPAUD 2021-08-03</t>
        </is>
      </c>
      <c r="J31" s="927" t="inlineStr">
        <is>
          <t>-1.62% - GBPCHF 2021-09-20</t>
        </is>
      </c>
      <c r="K31" s="927" t="inlineStr">
        <is>
          <t>-1.51% - EURGBP 2021-10-26</t>
        </is>
      </c>
      <c r="L31" s="927" t="inlineStr">
        <is>
          <t>-1.45% - GBPCAD 2021-11-11</t>
        </is>
      </c>
      <c r="M31" s="895" t="inlineStr"/>
    </row>
    <row r="32" ht="14.5" customHeight="1">
      <c r="A32" s="886" t="inlineStr">
        <is>
          <t>Max R loss</t>
        </is>
      </c>
      <c r="B32" s="927" t="inlineStr">
        <is>
          <t>-1.04R - GBPUSD 2021-01-04</t>
        </is>
      </c>
      <c r="C32" s="927" t="inlineStr">
        <is>
          <t>-1.07R - LINKUSDT 2021-02-06</t>
        </is>
      </c>
      <c r="D32" s="927" t="inlineStr">
        <is>
          <t>-1.15R - BTCUSDT 2021-03-11</t>
        </is>
      </c>
      <c r="E32" s="927" t="inlineStr">
        <is>
          <t>-1.24R - UNIUSDT 2021-04-25</t>
        </is>
      </c>
      <c r="F32" s="927" t="inlineStr">
        <is>
          <t>-1.17R - ADAUSDT 2021-05-10</t>
        </is>
      </c>
      <c r="G32" s="927" t="inlineStr">
        <is>
          <t>-1.13R - SUSHIUSDT 2021-06-27</t>
        </is>
      </c>
      <c r="H32" s="927" t="inlineStr">
        <is>
          <t>-1.60R - EURGBP 2021-07-07</t>
        </is>
      </c>
      <c r="I32" s="927" t="inlineStr">
        <is>
          <t>-1.14R - BTCUSDT 2021-08-21</t>
        </is>
      </c>
      <c r="J32" s="927" t="inlineStr">
        <is>
          <t>-1.19R - GBPCHF 2021-09-20</t>
        </is>
      </c>
      <c r="K32" s="927" t="inlineStr">
        <is>
          <t>-1.46R - EURGBP 2021-10-26</t>
        </is>
      </c>
      <c r="L32" s="927" t="inlineStr">
        <is>
          <t>-1.16R - GBPCAD 2021-11-11</t>
        </is>
      </c>
      <c r="M32" s="985" t="inlineStr"/>
    </row>
    <row r="33" ht="14.5" customHeight="1">
      <c r="A33" s="907" t="inlineStr">
        <is>
          <t>Max R win</t>
        </is>
      </c>
      <c r="B33" s="929" t="inlineStr">
        <is>
          <t>2.10R - GBPUSD 2021-01-04</t>
        </is>
      </c>
      <c r="C33" s="929" t="inlineStr">
        <is>
          <t>2.73R - EURCAD 2021-02-24</t>
        </is>
      </c>
      <c r="D33" s="929" t="inlineStr">
        <is>
          <t>3.73R - CHFJPY 2021-03-12</t>
        </is>
      </c>
      <c r="E33" s="929" t="inlineStr">
        <is>
          <t>2.31R - AUDJPY 2021-04-27</t>
        </is>
      </c>
      <c r="F33" s="929" t="inlineStr">
        <is>
          <t>2.97R - ADAUSDT 2021-05-14</t>
        </is>
      </c>
      <c r="G33" s="929" t="inlineStr">
        <is>
          <t>4.06R - EURJPY 2021-06-29</t>
        </is>
      </c>
      <c r="H33" s="929" t="inlineStr">
        <is>
          <t>5.90R - USDJPY 2021-07-02</t>
        </is>
      </c>
      <c r="I33" s="929" t="inlineStr">
        <is>
          <t>-0.62R - GBPNZD 2021-08-28</t>
        </is>
      </c>
      <c r="J33" s="929" t="inlineStr">
        <is>
          <t>5.95R - ETHUSDT 2021-09-26</t>
        </is>
      </c>
      <c r="K33" s="929" t="inlineStr">
        <is>
          <t>4.86R - ETHUSDT 2021-10-16</t>
        </is>
      </c>
      <c r="L33" s="929" t="inlineStr">
        <is>
          <t>4.92R - EURCAD 2021-11-13</t>
        </is>
      </c>
      <c r="M33" s="981" t="inlineStr"/>
    </row>
    <row r="34" ht="14.5" customHeight="1">
      <c r="A34" s="913" t="inlineStr">
        <is>
          <t>Shortest (DD:HH:MM:SS)</t>
        </is>
      </c>
      <c r="B34" s="931" t="inlineStr">
        <is>
          <t>6M 0S - GBPUSD 2021-01-04</t>
        </is>
      </c>
      <c r="C34" s="931" t="inlineStr">
        <is>
          <t>1S - CADJPY 2021-02-16</t>
        </is>
      </c>
      <c r="D34" s="931" t="inlineStr">
        <is>
          <t>2M 0S - BTCUSDT 2021-03-03</t>
        </is>
      </c>
      <c r="E34" s="931" t="inlineStr">
        <is>
          <t>1S - BTCUSDT 2021-04-14</t>
        </is>
      </c>
      <c r="F34" s="931" t="inlineStr">
        <is>
          <t>1S - ADAUSDT 2021-05-15</t>
        </is>
      </c>
      <c r="G34" s="931" t="inlineStr">
        <is>
          <t>7S - GBPUSD 2021-06-30</t>
        </is>
      </c>
      <c r="H34" s="931" t="inlineStr">
        <is>
          <t>1S - BTCUSDT 2021-07-06</t>
        </is>
      </c>
      <c r="I34" s="931" t="inlineStr">
        <is>
          <t>1S - BTCUSDT 2021-08-21</t>
        </is>
      </c>
      <c r="J34" s="931" t="inlineStr">
        <is>
          <t>1M 0S - AXSUSDT 2021-09-04</t>
        </is>
      </c>
      <c r="K34" s="931" t="inlineStr">
        <is>
          <t>1M 0S - EURGBP 2021-10-23</t>
        </is>
      </c>
      <c r="L34" s="931" t="inlineStr">
        <is>
          <t>1M 0S - GALAUSDT 2021-11-19</t>
        </is>
      </c>
      <c r="M34" s="932" t="inlineStr"/>
    </row>
    <row r="35" ht="14.5" customHeight="1">
      <c r="A35" s="919" t="inlineStr">
        <is>
          <t>Longest (DD:HH:MM:SS)</t>
        </is>
      </c>
      <c r="B35" s="920" t="inlineStr">
        <is>
          <t>2D 2H 29M 0S - ETHUSDT 2021-01-29</t>
        </is>
      </c>
      <c r="C35" s="920" t="inlineStr">
        <is>
          <t>17D 19H 58M 0S - USDCHF 2021-02-01</t>
        </is>
      </c>
      <c r="D35" s="920" t="inlineStr">
        <is>
          <t>8D 0H 15M 0S - BTCUSDT 2021-03-25</t>
        </is>
      </c>
      <c r="E35" s="920" t="inlineStr">
        <is>
          <t>12D 0H 39M 0S - CADJPY 2021-04-20</t>
        </is>
      </c>
      <c r="F35" s="920" t="inlineStr">
        <is>
          <t>13D 10H 58M 0S - XTZUSDT 2021-05-06</t>
        </is>
      </c>
      <c r="G35" s="920" t="inlineStr">
        <is>
          <t>18D 2H 50M 0S - DOTUSDT 2021-06-21</t>
        </is>
      </c>
      <c r="H35" s="920" t="inlineStr">
        <is>
          <t>4D 1H 52M 0S - BTCUSDT 2021-07-31</t>
        </is>
      </c>
      <c r="I35" s="920" t="inlineStr">
        <is>
          <t>20H 55M 0S - BTCUSDT 2021-08-15</t>
        </is>
      </c>
      <c r="J35" s="920" t="inlineStr">
        <is>
          <t>5D 12H 59M 0S - GBPCHF 2021-09-20</t>
        </is>
      </c>
      <c r="K35" s="920" t="inlineStr">
        <is>
          <t>2D 16H 33M 0S - GBPJPY 2021-10-21</t>
        </is>
      </c>
      <c r="L35" s="920" t="inlineStr">
        <is>
          <t>7D 5H 12M 4S - EURJPY 2021-11-27</t>
        </is>
      </c>
      <c r="M35" s="921" t="inlineStr"/>
    </row>
    <row r="36" ht="14.5" customHeight="1">
      <c r="A36" s="924" t="inlineStr">
        <is>
          <t>Winners</t>
        </is>
      </c>
      <c r="B36" s="931" t="inlineStr"/>
      <c r="C36" s="931" t="inlineStr"/>
      <c r="D36" s="931" t="inlineStr"/>
      <c r="E36" s="931" t="inlineStr"/>
      <c r="F36" s="931" t="inlineStr"/>
      <c r="G36" s="931" t="inlineStr"/>
      <c r="H36" s="931" t="inlineStr"/>
      <c r="I36" s="931" t="inlineStr"/>
      <c r="J36" s="931" t="inlineStr"/>
      <c r="K36" s="931" t="inlineStr"/>
      <c r="L36" s="931" t="inlineStr"/>
      <c r="M36" s="932" t="inlineStr"/>
    </row>
    <row r="37" ht="14.5" customHeight="1">
      <c r="A37" s="889" t="inlineStr">
        <is>
          <t>Avg stop %</t>
        </is>
      </c>
      <c r="B37" s="894" t="n">
        <v>0.02405714772439965</v>
      </c>
      <c r="C37" s="894" t="n">
        <v>0.008360353907887251</v>
      </c>
      <c r="D37" s="894" t="n">
        <v>0.00385376173932159</v>
      </c>
      <c r="E37" s="894" t="n">
        <v>0.02411235972978606</v>
      </c>
      <c r="F37" s="894" t="n">
        <v>0.05390236256021856</v>
      </c>
      <c r="G37" s="894" t="n">
        <v>0.0321778031289333</v>
      </c>
      <c r="H37" s="933" t="n">
        <v>0.0007250620392488606</v>
      </c>
      <c r="I37" s="894" t="inlineStr"/>
      <c r="J37" s="894" t="n">
        <v>0.02162179295323398</v>
      </c>
      <c r="K37" s="894" t="n">
        <v>0.003929554421108926</v>
      </c>
      <c r="L37" s="894" t="n">
        <v>0.001140151974371636</v>
      </c>
      <c r="M37" s="895" t="inlineStr"/>
    </row>
    <row r="38" ht="14.5" customHeight="1">
      <c r="A38" s="889" t="inlineStr">
        <is>
          <t>Avg target %</t>
        </is>
      </c>
      <c r="B38" s="662" t="n">
        <v>0.0483569557420548</v>
      </c>
      <c r="C38" s="662" t="n">
        <v>0.01700175838414577</v>
      </c>
      <c r="D38" s="662" t="n">
        <v>0.009816875593375922</v>
      </c>
      <c r="E38" s="662" t="n">
        <v>0.05663019664392503</v>
      </c>
      <c r="F38" s="662" t="n">
        <v>0.1236091948858695</v>
      </c>
      <c r="G38" s="662" t="n">
        <v>0.06935941525780337</v>
      </c>
      <c r="H38" s="662" t="n">
        <v>0.002833429159140925</v>
      </c>
      <c r="I38" s="662" t="inlineStr"/>
      <c r="J38" s="662" t="n">
        <v>0.06204109668654755</v>
      </c>
      <c r="K38" s="662" t="n">
        <v>0.01885420343037902</v>
      </c>
      <c r="L38" s="662" t="n">
        <v>0.004643362401510255</v>
      </c>
      <c r="M38" s="663" t="inlineStr"/>
    </row>
    <row r="39" ht="14.5" customHeight="1">
      <c r="A39" s="889" t="inlineStr">
        <is>
          <t>Percentage expectancy</t>
        </is>
      </c>
      <c r="B39" s="897" t="n">
        <v>0.02071662372853546</v>
      </c>
      <c r="C39" s="897" t="n">
        <v>0.02205205412307759</v>
      </c>
      <c r="D39" s="897" t="n">
        <v>0.0252300607922062</v>
      </c>
      <c r="E39" s="897" t="n">
        <v>0.01366704280905585</v>
      </c>
      <c r="F39" s="897" t="n">
        <v>0.01401842195979819</v>
      </c>
      <c r="G39" s="897" t="n">
        <v>0.02030639994057669</v>
      </c>
      <c r="H39" s="897" t="n">
        <v>0.03230657224350218</v>
      </c>
      <c r="I39" s="894" t="inlineStr"/>
      <c r="J39" s="897" t="n">
        <v>0.01783490252944346</v>
      </c>
      <c r="K39" s="897" t="n">
        <v>0.02570426131192042</v>
      </c>
      <c r="L39" s="897" t="n">
        <v>0.04717090370445536</v>
      </c>
      <c r="M39" s="895" t="inlineStr"/>
    </row>
    <row r="40" ht="14.5" customHeight="1">
      <c r="A40" s="889" t="inlineStr">
        <is>
          <t>R expectancy</t>
        </is>
      </c>
      <c r="B40" s="900" t="n">
        <v>2.026445596953626</v>
      </c>
      <c r="C40" s="900" t="n">
        <v>2.17150165794567</v>
      </c>
      <c r="D40" s="900" t="n">
        <v>2.671638097154799</v>
      </c>
      <c r="E40" s="900" t="n">
        <v>1.867647075512308</v>
      </c>
      <c r="F40" s="900" t="n">
        <v>2.467608070413126</v>
      </c>
      <c r="G40" s="900" t="n">
        <v>2.76560479496672</v>
      </c>
      <c r="H40" s="900" t="n">
        <v>4.53166666666613</v>
      </c>
      <c r="I40" s="977" t="inlineStr"/>
      <c r="J40" s="900" t="n">
        <v>3.357328774048442</v>
      </c>
      <c r="K40" s="900" t="n">
        <v>3.595065312046354</v>
      </c>
      <c r="L40" s="900" t="n">
        <v>4.209259259259407</v>
      </c>
      <c r="M40" s="978" t="inlineStr"/>
    </row>
    <row r="41" ht="14.5" customHeight="1">
      <c r="A41" s="889" t="inlineStr">
        <is>
          <t>Winners min duration</t>
        </is>
      </c>
      <c r="B41" s="917" t="inlineStr">
        <is>
          <t>2H 40M 0S - GBPUSD 2021-01-04</t>
        </is>
      </c>
      <c r="C41" s="917" t="inlineStr">
        <is>
          <t>1H 45M 0S - AUDCAD 2021-02-18</t>
        </is>
      </c>
      <c r="D41" s="917" t="inlineStr">
        <is>
          <t>3H 4M 0S - BTCUSDT 2021-03-29</t>
        </is>
      </c>
      <c r="E41" s="917" t="inlineStr">
        <is>
          <t>12M 0S - BCHUSDT 2021-04-14</t>
        </is>
      </c>
      <c r="F41" s="917" t="inlineStr">
        <is>
          <t>21M 0S - ETHUSDT 2021-05-02</t>
        </is>
      </c>
      <c r="G41" s="917" t="inlineStr">
        <is>
          <t>10M 0S - SUSHIUSDT 2021-06-21</t>
        </is>
      </c>
      <c r="H41" s="917" t="inlineStr">
        <is>
          <t>31M 0S - AUDUSD 2021-07-20</t>
        </is>
      </c>
      <c r="I41" s="917" t="inlineStr"/>
      <c r="J41" s="917" t="inlineStr">
        <is>
          <t>8M 0S - SOLUSDT 2021-09-07</t>
        </is>
      </c>
      <c r="K41" s="917" t="inlineStr">
        <is>
          <t>2H 43M 47S - EURUSD 2021-10-28</t>
        </is>
      </c>
      <c r="L41" s="917" t="inlineStr">
        <is>
          <t>1D 4H 25M 51S - EURCAD 2021-11-13</t>
        </is>
      </c>
      <c r="M41" s="918" t="inlineStr"/>
    </row>
    <row r="42" ht="14.5" customHeight="1">
      <c r="A42" s="889" t="inlineStr">
        <is>
          <t>Winners avg duration</t>
        </is>
      </c>
      <c r="B42" s="917" t="inlineStr">
        <is>
          <t>1D 0H 42M 36S</t>
        </is>
      </c>
      <c r="C42" s="917" t="inlineStr">
        <is>
          <t>1D 18H 16M 36S</t>
        </is>
      </c>
      <c r="D42" s="917" t="inlineStr">
        <is>
          <t>3D 19H 7M 10S</t>
        </is>
      </c>
      <c r="E42" s="917" t="inlineStr">
        <is>
          <t>1D 6H 59M 23S</t>
        </is>
      </c>
      <c r="F42" s="917" t="inlineStr">
        <is>
          <t>1D 12H 40M 5S</t>
        </is>
      </c>
      <c r="G42" s="917" t="inlineStr">
        <is>
          <t>3D 19H 19M 24S</t>
        </is>
      </c>
      <c r="H42" s="917" t="inlineStr">
        <is>
          <t>1H 58M 45S</t>
        </is>
      </c>
      <c r="I42" s="917" t="inlineStr"/>
      <c r="J42" s="917" t="inlineStr">
        <is>
          <t>7H 12M 40S</t>
        </is>
      </c>
      <c r="K42" s="917" t="inlineStr">
        <is>
          <t>1D 10H 49M 35S</t>
        </is>
      </c>
      <c r="L42" s="917" t="inlineStr">
        <is>
          <t>1D 18H 14M 18S</t>
        </is>
      </c>
      <c r="M42" s="918" t="inlineStr"/>
    </row>
    <row r="43" ht="14.5" customHeight="1">
      <c r="A43" s="919" t="inlineStr">
        <is>
          <t>Winners max duration</t>
        </is>
      </c>
      <c r="B43" s="920" t="inlineStr">
        <is>
          <t>2D 2H 29M 0S - ETHUSDT 2021-01-29</t>
        </is>
      </c>
      <c r="C43" s="920" t="inlineStr">
        <is>
          <t>7D 13H 10M 0S - NZDUSD 2021-02-09</t>
        </is>
      </c>
      <c r="D43" s="920" t="inlineStr">
        <is>
          <t>7D 18H 0M 0S - CHFJPY 2021-03-31</t>
        </is>
      </c>
      <c r="E43" s="920" t="inlineStr">
        <is>
          <t>9D 14H 30M 0S - DOTUSDT 2021-04-17</t>
        </is>
      </c>
      <c r="F43" s="920" t="inlineStr">
        <is>
          <t>13D 10H 58M 0S - XTZUSDT 2021-05-06</t>
        </is>
      </c>
      <c r="G43" s="920" t="inlineStr">
        <is>
          <t>18D 2H 50M 0S - DOTUSDT 2021-06-21</t>
        </is>
      </c>
      <c r="H43" s="920" t="inlineStr">
        <is>
          <t>6H 5M 0S - AUDCHF 2021-07-14</t>
        </is>
      </c>
      <c r="I43" s="920" t="inlineStr"/>
      <c r="J43" s="920" t="inlineStr">
        <is>
          <t>21H 15M 0S - COMPUSDT 2021-09-07</t>
        </is>
      </c>
      <c r="K43" s="920" t="inlineStr">
        <is>
          <t>2D 16H 33M 0S - GBPJPY 2021-10-21</t>
        </is>
      </c>
      <c r="L43" s="920" t="inlineStr">
        <is>
          <t>2D 8H 2M 45S - NZDUSD 2021-11-01</t>
        </is>
      </c>
      <c r="M43" s="921" t="inlineStr"/>
    </row>
    <row r="44" ht="14.5" customHeight="1">
      <c r="A44" s="924" t="inlineStr">
        <is>
          <t>Losers</t>
        </is>
      </c>
      <c r="B44" s="922" t="inlineStr"/>
      <c r="C44" s="922" t="inlineStr"/>
      <c r="D44" s="922" t="inlineStr"/>
      <c r="E44" s="922" t="inlineStr"/>
      <c r="F44" s="922" t="inlineStr"/>
      <c r="G44" s="922" t="inlineStr"/>
      <c r="H44" s="922" t="inlineStr"/>
      <c r="I44" s="922" t="inlineStr"/>
      <c r="J44" s="922" t="inlineStr"/>
      <c r="K44" s="922" t="inlineStr"/>
      <c r="L44" s="922" t="inlineStr"/>
      <c r="M44" s="923" t="inlineStr"/>
    </row>
    <row r="45" ht="14.5" customHeight="1">
      <c r="A45" s="889" t="inlineStr">
        <is>
          <t>Avg stop %</t>
        </is>
      </c>
      <c r="B45" s="894" t="n">
        <v>0.0317206074364817</v>
      </c>
      <c r="C45" s="894" t="n">
        <v>0.01436661706995396</v>
      </c>
      <c r="D45" s="894" t="n">
        <v>0.01005418301181247</v>
      </c>
      <c r="E45" s="894" t="n">
        <v>0.02343282992411571</v>
      </c>
      <c r="F45" s="894" t="n">
        <v>0.03062469789037578</v>
      </c>
      <c r="G45" s="894" t="n">
        <v>0.01113330647135609</v>
      </c>
      <c r="H45" s="894" t="n">
        <v>0.01688544014992116</v>
      </c>
      <c r="I45" s="894" t="n">
        <v>0.01564721237117653</v>
      </c>
      <c r="J45" s="894" t="n">
        <v>0.02067367349456668</v>
      </c>
      <c r="K45" s="894" t="n">
        <v>0.004817122077129004</v>
      </c>
      <c r="L45" s="894" t="n">
        <v>0.02154138115478456</v>
      </c>
      <c r="M45" s="895" t="inlineStr"/>
    </row>
    <row r="46" ht="14.5" customHeight="1">
      <c r="A46" s="889" t="inlineStr">
        <is>
          <t>Avg target %</t>
        </is>
      </c>
      <c r="B46" s="935" t="n">
        <v>0.06357046178965761</v>
      </c>
      <c r="C46" s="935" t="n">
        <v>0.0306316782575458</v>
      </c>
      <c r="D46" s="935" t="n">
        <v>0.0238167344878175</v>
      </c>
      <c r="E46" s="935" t="n">
        <v>0.06680824805546806</v>
      </c>
      <c r="F46" s="935" t="n">
        <v>0.09809979832779318</v>
      </c>
      <c r="G46" s="935" t="n">
        <v>0.02982518635465896</v>
      </c>
      <c r="H46" s="935" t="n">
        <v>0.0628737256048951</v>
      </c>
      <c r="I46" s="935" t="n">
        <v>0.05798328124152443</v>
      </c>
      <c r="J46" s="935" t="n">
        <v>0.08155109388928919</v>
      </c>
      <c r="K46" s="935" t="n">
        <v>0.01596497346066791</v>
      </c>
      <c r="L46" s="935" t="n">
        <v>0.09739636804608924</v>
      </c>
      <c r="M46" s="936" t="inlineStr"/>
    </row>
    <row r="47" ht="14.5" customHeight="1">
      <c r="A47" s="889" t="inlineStr">
        <is>
          <t>Percentage expectancy</t>
        </is>
      </c>
      <c r="B47" s="896" t="n">
        <v>-0.01075387820273387</v>
      </c>
      <c r="C47" s="896" t="n">
        <v>-0.009740321075193492</v>
      </c>
      <c r="D47" s="896" t="n">
        <v>-0.01084280832184403</v>
      </c>
      <c r="E47" s="896" t="n">
        <v>-0.007930107707761808</v>
      </c>
      <c r="F47" s="896" t="n">
        <v>-0.006557168498070239</v>
      </c>
      <c r="G47" s="896" t="n">
        <v>-0.007470646214900481</v>
      </c>
      <c r="H47" s="896" t="n">
        <v>-0.00536943942883141</v>
      </c>
      <c r="I47" s="896" t="n">
        <v>-0.007011177742427951</v>
      </c>
      <c r="J47" s="896" t="n">
        <v>-0.006876480586103637</v>
      </c>
      <c r="K47" s="896" t="n">
        <v>-0.006282095002486453</v>
      </c>
      <c r="L47" s="896" t="n">
        <v>-0.008860603176736991</v>
      </c>
      <c r="M47" s="895" t="inlineStr"/>
    </row>
    <row r="48" ht="14.5" customHeight="1">
      <c r="A48" s="889" t="inlineStr">
        <is>
          <t>R expectancy</t>
        </is>
      </c>
      <c r="B48" s="902" t="n">
        <v>-1.008075073874358</v>
      </c>
      <c r="C48" s="902" t="n">
        <v>-0.908343321301861</v>
      </c>
      <c r="D48" s="902" t="n">
        <v>-0.9973906269387104</v>
      </c>
      <c r="E48" s="902" t="n">
        <v>-0.9893333562362179</v>
      </c>
      <c r="F48" s="902" t="n">
        <v>-0.934359270979083</v>
      </c>
      <c r="G48" s="902" t="n">
        <v>-0.9653368164280592</v>
      </c>
      <c r="H48" s="902" t="n">
        <v>-1.001656494281111</v>
      </c>
      <c r="I48" s="902" t="n">
        <v>-0.9742350693834805</v>
      </c>
      <c r="J48" s="902" t="n">
        <v>-0.9744294822624947</v>
      </c>
      <c r="K48" s="902" t="n">
        <v>-1.05680776391112</v>
      </c>
      <c r="L48" s="902" t="n">
        <v>-0.9636469241886053</v>
      </c>
      <c r="M48" s="985" t="inlineStr"/>
    </row>
    <row r="49" ht="14.5" customHeight="1">
      <c r="A49" s="889" t="inlineStr">
        <is>
          <t>Losers min duration</t>
        </is>
      </c>
      <c r="B49" s="661" t="inlineStr">
        <is>
          <t>6M 0S - GBPUSD 2021-01-04</t>
        </is>
      </c>
      <c r="C49" s="661" t="inlineStr">
        <is>
          <t>1S - CADJPY 2021-02-16</t>
        </is>
      </c>
      <c r="D49" s="661" t="inlineStr">
        <is>
          <t>2M 0S - BTCUSDT 2021-03-03</t>
        </is>
      </c>
      <c r="E49" s="661" t="inlineStr">
        <is>
          <t>1S - BTCUSDT 2021-04-14</t>
        </is>
      </c>
      <c r="F49" s="661" t="inlineStr">
        <is>
          <t>1S - ADAUSDT 2021-05-15</t>
        </is>
      </c>
      <c r="G49" s="661" t="inlineStr">
        <is>
          <t>7S - GBPUSD 2021-06-30</t>
        </is>
      </c>
      <c r="H49" s="661" t="inlineStr">
        <is>
          <t>1S - BTCUSDT 2021-07-06</t>
        </is>
      </c>
      <c r="I49" s="661" t="inlineStr">
        <is>
          <t>1S - BTCUSDT 2021-08-21</t>
        </is>
      </c>
      <c r="J49" s="661" t="inlineStr">
        <is>
          <t>1M 0S - AXSUSDT 2021-09-04</t>
        </is>
      </c>
      <c r="K49" s="661" t="inlineStr">
        <is>
          <t>1M 0S - EURGBP 2021-10-23</t>
        </is>
      </c>
      <c r="L49" s="661" t="inlineStr">
        <is>
          <t>1M 0S - GALAUSDT 2021-11-19</t>
        </is>
      </c>
      <c r="M49" s="904" t="inlineStr"/>
    </row>
    <row r="50" ht="14.5" customHeight="1">
      <c r="A50" s="889" t="inlineStr">
        <is>
          <t>Losers avg duration</t>
        </is>
      </c>
      <c r="B50" s="661" t="inlineStr">
        <is>
          <t>3H 36M 25S</t>
        </is>
      </c>
      <c r="C50" s="661" t="inlineStr">
        <is>
          <t>1D 19H 58M 12S</t>
        </is>
      </c>
      <c r="D50" s="661" t="inlineStr">
        <is>
          <t>14H 39M 25S</t>
        </is>
      </c>
      <c r="E50" s="661" t="inlineStr">
        <is>
          <t>12H 18M 8S</t>
        </is>
      </c>
      <c r="F50" s="661" t="inlineStr">
        <is>
          <t>9H 54M 58S</t>
        </is>
      </c>
      <c r="G50" s="661" t="inlineStr">
        <is>
          <t>19H 31M 9S</t>
        </is>
      </c>
      <c r="H50" s="661" t="inlineStr">
        <is>
          <t>14H 44M 0S</t>
        </is>
      </c>
      <c r="I50" s="661" t="inlineStr">
        <is>
          <t>6H 36M 12S</t>
        </is>
      </c>
      <c r="J50" s="661" t="inlineStr">
        <is>
          <t>10H 53M 53S</t>
        </is>
      </c>
      <c r="K50" s="661" t="inlineStr">
        <is>
          <t>1H 17M 8S</t>
        </is>
      </c>
      <c r="L50" s="661" t="inlineStr">
        <is>
          <t>1D 12H 4M 17S</t>
        </is>
      </c>
      <c r="M50" s="904" t="inlineStr"/>
    </row>
    <row r="51" ht="14.5" customHeight="1">
      <c r="A51" s="919" t="inlineStr">
        <is>
          <t>Losers max duration</t>
        </is>
      </c>
      <c r="B51" s="920" t="inlineStr">
        <is>
          <t>14H 25M 0S - BTCUSDT 2021-01-04</t>
        </is>
      </c>
      <c r="C51" s="920" t="inlineStr">
        <is>
          <t>17D 19H 58M 0S - USDCHF 2021-02-01</t>
        </is>
      </c>
      <c r="D51" s="920" t="inlineStr">
        <is>
          <t>8D 0H 15M 0S - BTCUSDT 2021-03-25</t>
        </is>
      </c>
      <c r="E51" s="920" t="inlineStr">
        <is>
          <t>12D 0H 39M 0S - CADJPY 2021-04-20</t>
        </is>
      </c>
      <c r="F51" s="920" t="inlineStr">
        <is>
          <t>3D 16H 36M 0S - UNIUSDT 2021-05-11</t>
        </is>
      </c>
      <c r="G51" s="920" t="inlineStr">
        <is>
          <t>7D 21H 36M 0S - GBPNZD 2021-06-12</t>
        </is>
      </c>
      <c r="H51" s="920" t="inlineStr">
        <is>
          <t>4D 1H 52M 0S - BTCUSDT 2021-07-31</t>
        </is>
      </c>
      <c r="I51" s="920" t="inlineStr">
        <is>
          <t>20H 55M 0S - BTCUSDT 2021-08-15</t>
        </is>
      </c>
      <c r="J51" s="920" t="inlineStr">
        <is>
          <t>5D 12H 59M 0S - GBPCHF 2021-09-20</t>
        </is>
      </c>
      <c r="K51" s="920" t="inlineStr">
        <is>
          <t>15H 44M 0S - AXSUSDT 2021-10-06</t>
        </is>
      </c>
      <c r="L51" s="920" t="inlineStr">
        <is>
          <t>7D 5H 12M 4S - EURJPY 2021-11-27</t>
        </is>
      </c>
      <c r="M51" s="921" t="inlineStr"/>
    </row>
    <row r="52" ht="14.5" customHeight="1">
      <c r="A52" s="924" t="inlineStr">
        <is>
          <t>Drawdown</t>
        </is>
      </c>
      <c r="B52" s="922" t="inlineStr"/>
      <c r="C52" s="922" t="inlineStr"/>
      <c r="D52" s="922" t="inlineStr"/>
      <c r="E52" s="922" t="inlineStr"/>
      <c r="F52" s="922" t="inlineStr"/>
      <c r="G52" s="922" t="inlineStr"/>
      <c r="H52" s="922" t="inlineStr"/>
      <c r="I52" s="922" t="inlineStr"/>
      <c r="J52" s="922" t="inlineStr"/>
      <c r="K52" s="922" t="inlineStr"/>
      <c r="L52" s="922" t="inlineStr"/>
      <c r="M52" s="923" t="inlineStr"/>
    </row>
    <row r="53" ht="14.5" customHeight="1">
      <c r="A53" s="886" t="inlineStr">
        <is>
          <t>Max drawdown</t>
        </is>
      </c>
      <c r="B53" s="896" t="n">
        <v>0.08873446232494432</v>
      </c>
      <c r="C53" s="896" t="n">
        <v>0.0216906820365034</v>
      </c>
      <c r="D53" s="896" t="n">
        <v>0.08485520495527114</v>
      </c>
      <c r="E53" s="896" t="n">
        <v>0.1445987137031944</v>
      </c>
      <c r="F53" s="896" t="n">
        <v>0.08795433364398894</v>
      </c>
      <c r="G53" s="896" t="n">
        <v>0.02138576294571666</v>
      </c>
      <c r="H53" s="896" t="n">
        <v>0.02588680105637147</v>
      </c>
      <c r="I53" s="896" t="n">
        <v>0.02741724363906616</v>
      </c>
      <c r="J53" s="896" t="n">
        <v>0.07378506958338893</v>
      </c>
      <c r="K53" s="896" t="n">
        <v>0.05971954303305337</v>
      </c>
      <c r="L53" s="896" t="n">
        <v>0.05773045441072527</v>
      </c>
      <c r="M53" s="895" t="inlineStr"/>
    </row>
    <row r="54" ht="14.5" customHeight="1">
      <c r="A54" s="889" t="inlineStr">
        <is>
          <t>Start</t>
        </is>
      </c>
      <c r="B54" s="937" t="inlineStr">
        <is>
          <t>2021-01-02 22:39:00</t>
        </is>
      </c>
      <c r="C54" s="937" t="inlineStr">
        <is>
          <t>2021-02-24 06:22:00</t>
        </is>
      </c>
      <c r="D54" s="937" t="inlineStr">
        <is>
          <t>2021-03-01 01:42:00</t>
        </is>
      </c>
      <c r="E54" s="937" t="inlineStr">
        <is>
          <t>2021-04-07 15:14:00</t>
        </is>
      </c>
      <c r="F54" s="937" t="inlineStr">
        <is>
          <t>2021-05-03 19:09:00</t>
        </is>
      </c>
      <c r="G54" s="937" t="inlineStr">
        <is>
          <t>2021-06-04 20:55:00</t>
        </is>
      </c>
      <c r="H54" s="937" t="inlineStr">
        <is>
          <t>2021-07-02 00:38:00</t>
        </is>
      </c>
      <c r="I54" s="937" t="inlineStr">
        <is>
          <t>2021-08-07 19:31:00</t>
        </is>
      </c>
      <c r="J54" s="937" t="inlineStr">
        <is>
          <t>2021-09-01 16:02:00</t>
        </is>
      </c>
      <c r="K54" s="937" t="inlineStr">
        <is>
          <t>2021-10-01 21:20:00</t>
        </is>
      </c>
      <c r="L54" s="937" t="inlineStr">
        <is>
          <t>2021-11-13 05:21:09</t>
        </is>
      </c>
      <c r="M54" s="938" t="inlineStr"/>
    </row>
    <row r="55" ht="14.5" customHeight="1">
      <c r="A55" s="889" t="inlineStr">
        <is>
          <t>End</t>
        </is>
      </c>
      <c r="B55" s="917" t="inlineStr">
        <is>
          <t>2021-01-26 07:36:00</t>
        </is>
      </c>
      <c r="C55" s="917" t="inlineStr">
        <is>
          <t>2021-02-26 04:02:00</t>
        </is>
      </c>
      <c r="D55" s="917" t="inlineStr">
        <is>
          <t>2021-03-31 13:02:00</t>
        </is>
      </c>
      <c r="E55" s="917" t="inlineStr">
        <is>
          <t>2021-04-25 23:12:00</t>
        </is>
      </c>
      <c r="F55" s="917" t="inlineStr">
        <is>
          <t>2021-05-19 23:08:00</t>
        </is>
      </c>
      <c r="G55" s="917" t="inlineStr">
        <is>
          <t>2021-06-07 22:38:00</t>
        </is>
      </c>
      <c r="H55" s="917" t="inlineStr">
        <is>
          <t>2021-07-07 22:16:00</t>
        </is>
      </c>
      <c r="I55" s="917" t="inlineStr">
        <is>
          <t>2021-08-24 03:23:00</t>
        </is>
      </c>
      <c r="J55" s="917" t="inlineStr">
        <is>
          <t>2021-09-20 07:01:00</t>
        </is>
      </c>
      <c r="K55" s="917" t="inlineStr">
        <is>
          <t>2021-10-15 09:36:00</t>
        </is>
      </c>
      <c r="L55" s="917" t="inlineStr">
        <is>
          <t>2021-11-27 03:59:54</t>
        </is>
      </c>
      <c r="M55" s="918" t="inlineStr"/>
    </row>
    <row r="56" ht="14.5" customHeight="1">
      <c r="A56" s="886" t="inlineStr">
        <is>
          <t>Avg drawdown</t>
        </is>
      </c>
      <c r="B56" s="896" t="n">
        <v>0.04491687069061367</v>
      </c>
      <c r="C56" s="896" t="n">
        <v>0.01174854627733773</v>
      </c>
      <c r="D56" s="896" t="n">
        <v>0.04492185911148652</v>
      </c>
      <c r="E56" s="896" t="n">
        <v>0.07368189603840744</v>
      </c>
      <c r="F56" s="896" t="n">
        <v>0.02460035002207857</v>
      </c>
      <c r="G56" s="896" t="n">
        <v>0.01085825706105158</v>
      </c>
      <c r="H56" s="896" t="n">
        <v>0.01426971900243986</v>
      </c>
      <c r="I56" s="896" t="n">
        <v>0.01698590678078647</v>
      </c>
      <c r="J56" s="896" t="n">
        <v>0.03247356534481854</v>
      </c>
      <c r="K56" s="896" t="n">
        <v>0.02727851325677683</v>
      </c>
      <c r="L56" s="896" t="n">
        <v>0.02554500229181419</v>
      </c>
      <c r="M56" s="895" t="inlineStr"/>
    </row>
    <row r="57" ht="14.5" customHeight="1">
      <c r="A57" s="886" t="inlineStr">
        <is>
          <t>Min drawdown</t>
        </is>
      </c>
      <c r="B57" s="896" t="n">
        <v>0.009756052637883927</v>
      </c>
      <c r="C57" s="905" t="n">
        <v>0.0004222208818382008</v>
      </c>
      <c r="D57" s="896" t="n">
        <v>0.006028196402527997</v>
      </c>
      <c r="E57" s="896" t="n">
        <v>0.002879601525410573</v>
      </c>
      <c r="F57" s="896" t="n">
        <v>0.001366238815602019</v>
      </c>
      <c r="G57" s="905" t="n">
        <v>0.0009759238578169764</v>
      </c>
      <c r="H57" s="896" t="n">
        <v>0.005060580765026875</v>
      </c>
      <c r="I57" s="896" t="n">
        <v>0.005468610583643011</v>
      </c>
      <c r="J57" s="905" t="n">
        <v>0.0006218844084694689</v>
      </c>
      <c r="K57" s="896" t="n">
        <v>0.005227334059629607</v>
      </c>
      <c r="L57" s="896" t="n">
        <v>0.00511190994333521</v>
      </c>
      <c r="M57" s="663" t="inlineStr"/>
    </row>
    <row r="58" ht="14.5" customHeight="1">
      <c r="A58" s="889" t="inlineStr">
        <is>
          <t>Start</t>
        </is>
      </c>
      <c r="B58" s="661" t="inlineStr">
        <is>
          <t>2021-01-02 22:39:00</t>
        </is>
      </c>
      <c r="C58" s="661" t="inlineStr">
        <is>
          <t>2021-02-09 12:11:00</t>
        </is>
      </c>
      <c r="D58" s="661" t="inlineStr">
        <is>
          <t>2021-03-02 20:47:00</t>
        </is>
      </c>
      <c r="E58" s="661" t="inlineStr">
        <is>
          <t>2021-04-01 14:59:00</t>
        </is>
      </c>
      <c r="F58" s="661" t="inlineStr">
        <is>
          <t>2021-05-12 10:04:00</t>
        </is>
      </c>
      <c r="G58" s="661" t="inlineStr">
        <is>
          <t>2021-06-24 21:38:00</t>
        </is>
      </c>
      <c r="H58" s="661" t="inlineStr">
        <is>
          <t>2021-07-06 04:00:00</t>
        </is>
      </c>
      <c r="I58" s="661" t="inlineStr">
        <is>
          <t>2021-08-07 19:31:00</t>
        </is>
      </c>
      <c r="J58" s="661" t="inlineStr">
        <is>
          <t>2021-09-30 00:11:00</t>
        </is>
      </c>
      <c r="K58" s="661" t="inlineStr">
        <is>
          <t>2021-10-01 21:20:00</t>
        </is>
      </c>
      <c r="L58" s="661" t="inlineStr">
        <is>
          <t>2021-11-16 10:58:00</t>
        </is>
      </c>
      <c r="M58" s="904" t="inlineStr"/>
    </row>
    <row r="59" ht="14.5" customHeight="1">
      <c r="A59" s="919" t="inlineStr">
        <is>
          <t>End</t>
        </is>
      </c>
      <c r="B59" s="920" t="inlineStr">
        <is>
          <t>2021-01-04 01:06:00</t>
        </is>
      </c>
      <c r="C59" s="920" t="inlineStr">
        <is>
          <t>2021-02-16 17:18:01</t>
        </is>
      </c>
      <c r="D59" s="920" t="inlineStr">
        <is>
          <t>2021-03-03 04:00:00</t>
        </is>
      </c>
      <c r="E59" s="920" t="inlineStr">
        <is>
          <t>2021-04-27 00:48:00</t>
        </is>
      </c>
      <c r="F59" s="920" t="inlineStr">
        <is>
          <t>2021-05-16 16:27:00</t>
        </is>
      </c>
      <c r="G59" s="920" t="inlineStr">
        <is>
          <t>2021-06-24 23:02:00</t>
        </is>
      </c>
      <c r="H59" s="920" t="inlineStr">
        <is>
          <t>2021-07-18 07:01:00</t>
        </is>
      </c>
      <c r="I59" s="920" t="inlineStr">
        <is>
          <t>2021-08-08 02:19:00</t>
        </is>
      </c>
      <c r="J59" s="920" t="inlineStr">
        <is>
          <t>2021-09-30 02:00:00</t>
        </is>
      </c>
      <c r="K59" s="920" t="inlineStr">
        <is>
          <t>2021-10-04 19:49:00</t>
        </is>
      </c>
      <c r="L59" s="920" t="inlineStr">
        <is>
          <t>2021-11-16 20:08:00</t>
        </is>
      </c>
      <c r="M59" s="921" t="inlineStr"/>
    </row>
    <row r="60" ht="14.5" customHeight="1">
      <c r="A60" s="924" t="inlineStr">
        <is>
          <t>Longs</t>
        </is>
      </c>
      <c r="B60" s="941" t="n">
        <v>14</v>
      </c>
      <c r="C60" s="941" t="n">
        <v>13</v>
      </c>
      <c r="D60" s="941" t="n">
        <v>22</v>
      </c>
      <c r="E60" s="941" t="n">
        <v>42</v>
      </c>
      <c r="F60" s="941" t="n">
        <v>42</v>
      </c>
      <c r="G60" s="941" t="n">
        <v>8</v>
      </c>
      <c r="H60" s="941" t="n">
        <v>6</v>
      </c>
      <c r="I60" s="941" t="n">
        <v>6</v>
      </c>
      <c r="J60" s="941" t="n">
        <v>25</v>
      </c>
      <c r="K60" s="941" t="n">
        <v>14</v>
      </c>
      <c r="L60" s="941" t="n">
        <v>10</v>
      </c>
      <c r="M60" s="942" t="n">
        <v>0</v>
      </c>
    </row>
    <row r="61" ht="14.5" customHeight="1">
      <c r="A61" s="889" t="inlineStr">
        <is>
          <t>Long wins</t>
        </is>
      </c>
      <c r="B61" s="890" t="n">
        <v>4</v>
      </c>
      <c r="C61" s="890" t="n">
        <v>4</v>
      </c>
      <c r="D61" s="890" t="n">
        <v>5</v>
      </c>
      <c r="E61" s="890" t="n">
        <v>12</v>
      </c>
      <c r="F61" s="890" t="n">
        <v>11</v>
      </c>
      <c r="G61" s="890" t="n">
        <v>1</v>
      </c>
      <c r="H61" s="890" t="n">
        <v>2</v>
      </c>
      <c r="I61" s="890" t="n">
        <v>0</v>
      </c>
      <c r="J61" s="890" t="n">
        <v>3</v>
      </c>
      <c r="K61" s="890" t="n">
        <v>2</v>
      </c>
      <c r="L61" s="890" t="n">
        <v>1</v>
      </c>
      <c r="M61" s="891" t="n">
        <v>0</v>
      </c>
    </row>
    <row r="62" ht="14.5" customHeight="1">
      <c r="A62" s="889" t="inlineStr">
        <is>
          <t>Long losses</t>
        </is>
      </c>
      <c r="B62" s="943" t="n">
        <v>10</v>
      </c>
      <c r="C62" s="943" t="n">
        <v>9</v>
      </c>
      <c r="D62" s="943" t="n">
        <v>17</v>
      </c>
      <c r="E62" s="943" t="n">
        <v>30</v>
      </c>
      <c r="F62" s="943" t="n">
        <v>31</v>
      </c>
      <c r="G62" s="943" t="n">
        <v>7</v>
      </c>
      <c r="H62" s="943" t="n">
        <v>4</v>
      </c>
      <c r="I62" s="943" t="n">
        <v>6</v>
      </c>
      <c r="J62" s="943" t="n">
        <v>22</v>
      </c>
      <c r="K62" s="943" t="n">
        <v>12</v>
      </c>
      <c r="L62" s="943" t="n">
        <v>9</v>
      </c>
      <c r="M62" s="944" t="n">
        <v>0</v>
      </c>
    </row>
    <row r="63" ht="14.5" customHeight="1">
      <c r="A63" s="886" t="inlineStr">
        <is>
          <t>Long break-even</t>
        </is>
      </c>
      <c r="B63" s="945" t="n">
        <v>0</v>
      </c>
      <c r="C63" s="945" t="n">
        <v>0</v>
      </c>
      <c r="D63" s="945" t="n">
        <v>0</v>
      </c>
      <c r="E63" s="945" t="n">
        <v>0</v>
      </c>
      <c r="F63" s="945" t="n">
        <v>0</v>
      </c>
      <c r="G63" s="945" t="n">
        <v>0</v>
      </c>
      <c r="H63" s="945" t="n">
        <v>0</v>
      </c>
      <c r="I63" s="945" t="n">
        <v>0</v>
      </c>
      <c r="J63" s="945" t="n">
        <v>0</v>
      </c>
      <c r="K63" s="945" t="n">
        <v>0</v>
      </c>
      <c r="L63" s="945" t="n">
        <v>0</v>
      </c>
      <c r="M63" s="946" t="n">
        <v>0</v>
      </c>
    </row>
    <row r="64" ht="14.5" customHeight="1">
      <c r="A64" s="886" t="inlineStr">
        <is>
          <t>Shorts</t>
        </is>
      </c>
      <c r="B64" s="887" t="n">
        <v>3</v>
      </c>
      <c r="C64" s="887" t="n">
        <v>2</v>
      </c>
      <c r="D64" s="887" t="n">
        <v>5</v>
      </c>
      <c r="E64" s="887" t="n">
        <v>6</v>
      </c>
      <c r="F64" s="887" t="n">
        <v>6</v>
      </c>
      <c r="G64" s="887" t="n">
        <v>10</v>
      </c>
      <c r="H64" s="887" t="n">
        <v>14</v>
      </c>
      <c r="I64" s="887" t="n">
        <v>4</v>
      </c>
      <c r="J64" s="887" t="n">
        <v>10</v>
      </c>
      <c r="K64" s="887" t="n">
        <v>18</v>
      </c>
      <c r="L64" s="887" t="n">
        <v>8</v>
      </c>
      <c r="M64" s="888" t="n">
        <v>0</v>
      </c>
    </row>
    <row r="65" ht="14.5" customHeight="1">
      <c r="A65" s="889" t="inlineStr">
        <is>
          <t>Short wins</t>
        </is>
      </c>
      <c r="B65" s="890" t="n">
        <v>1</v>
      </c>
      <c r="C65" s="890" t="n">
        <v>1</v>
      </c>
      <c r="D65" s="890" t="n">
        <v>1</v>
      </c>
      <c r="E65" s="890" t="n">
        <v>1</v>
      </c>
      <c r="F65" s="890" t="n">
        <v>0</v>
      </c>
      <c r="G65" s="890" t="n">
        <v>4</v>
      </c>
      <c r="H65" s="890" t="n">
        <v>2</v>
      </c>
      <c r="I65" s="890" t="n">
        <v>0</v>
      </c>
      <c r="J65" s="890" t="n">
        <v>3</v>
      </c>
      <c r="K65" s="890" t="n">
        <v>1</v>
      </c>
      <c r="L65" s="890" t="n">
        <v>1</v>
      </c>
      <c r="M65" s="891" t="n">
        <v>0</v>
      </c>
    </row>
    <row r="66" ht="14.5" customHeight="1">
      <c r="A66" s="889" t="inlineStr">
        <is>
          <t>Short losses</t>
        </is>
      </c>
      <c r="B66" s="892" t="n">
        <v>2</v>
      </c>
      <c r="C66" s="892" t="n">
        <v>1</v>
      </c>
      <c r="D66" s="892" t="n">
        <v>4</v>
      </c>
      <c r="E66" s="892" t="n">
        <v>5</v>
      </c>
      <c r="F66" s="892" t="n">
        <v>6</v>
      </c>
      <c r="G66" s="892" t="n">
        <v>6</v>
      </c>
      <c r="H66" s="892" t="n">
        <v>12</v>
      </c>
      <c r="I66" s="892" t="n">
        <v>4</v>
      </c>
      <c r="J66" s="892" t="n">
        <v>7</v>
      </c>
      <c r="K66" s="892" t="n">
        <v>17</v>
      </c>
      <c r="L66" s="892" t="n">
        <v>7</v>
      </c>
      <c r="M66" s="893" t="n">
        <v>0</v>
      </c>
    </row>
    <row r="67" ht="14.5" customHeight="1">
      <c r="A67" s="907" t="inlineStr">
        <is>
          <t>Short break-even</t>
        </is>
      </c>
      <c r="B67" s="947" t="n">
        <v>0</v>
      </c>
      <c r="C67" s="947" t="n">
        <v>0</v>
      </c>
      <c r="D67" s="947" t="n">
        <v>0</v>
      </c>
      <c r="E67" s="947" t="n">
        <v>0</v>
      </c>
      <c r="F67" s="947" t="n">
        <v>0</v>
      </c>
      <c r="G67" s="947" t="n">
        <v>0</v>
      </c>
      <c r="H67" s="947" t="n">
        <v>0</v>
      </c>
      <c r="I67" s="947" t="n">
        <v>0</v>
      </c>
      <c r="J67" s="947" t="n">
        <v>0</v>
      </c>
      <c r="K67" s="947" t="n">
        <v>0</v>
      </c>
      <c r="L67" s="947" t="n">
        <v>0</v>
      </c>
      <c r="M67" s="948" t="n">
        <v>0</v>
      </c>
    </row>
    <row r="68" ht="14.5" customHeight="1">
      <c r="A68" s="913" t="inlineStr">
        <is>
          <t>Min duration</t>
        </is>
      </c>
      <c r="B68" s="922" t="inlineStr">
        <is>
          <t>6M 0S - GBPUSD 2021-01-04</t>
        </is>
      </c>
      <c r="C68" s="922" t="inlineStr">
        <is>
          <t>1S - CADJPY 2021-02-16</t>
        </is>
      </c>
      <c r="D68" s="922" t="inlineStr">
        <is>
          <t>2M 0S - BTCUSDT 2021-03-03</t>
        </is>
      </c>
      <c r="E68" s="922" t="inlineStr">
        <is>
          <t>1S - BTCUSDT 2021-04-14</t>
        </is>
      </c>
      <c r="F68" s="922" t="inlineStr">
        <is>
          <t>1S - ADAUSDT 2021-05-15</t>
        </is>
      </c>
      <c r="G68" s="922" t="inlineStr">
        <is>
          <t>7S - GBPUSD 2021-06-30</t>
        </is>
      </c>
      <c r="H68" s="922" t="inlineStr">
        <is>
          <t>1S - BTCUSDT 2021-07-06</t>
        </is>
      </c>
      <c r="I68" s="922" t="inlineStr">
        <is>
          <t>1S - BTCUSDT 2021-08-21</t>
        </is>
      </c>
      <c r="J68" s="922" t="inlineStr">
        <is>
          <t>1M 0S - AXSUSDT 2021-09-04</t>
        </is>
      </c>
      <c r="K68" s="922" t="inlineStr">
        <is>
          <t>1M 0S - EURGBP 2021-10-23</t>
        </is>
      </c>
      <c r="L68" s="922" t="inlineStr">
        <is>
          <t>1M 0S - GALAUSDT 2021-11-19</t>
        </is>
      </c>
      <c r="M68" s="923" t="inlineStr"/>
    </row>
    <row r="69" ht="14.5" customHeight="1">
      <c r="A69" s="889" t="inlineStr">
        <is>
          <t>Max duration</t>
        </is>
      </c>
      <c r="B69" s="917" t="inlineStr">
        <is>
          <t>2D 2H 29M 0S - ETHUSDT 2021-01-29</t>
        </is>
      </c>
      <c r="C69" s="917" t="inlineStr">
        <is>
          <t>17D 19H 58M 0S - USDCHF 2021-02-01</t>
        </is>
      </c>
      <c r="D69" s="917" t="inlineStr">
        <is>
          <t>8D 0H 15M 0S - BTCUSDT 2021-03-25</t>
        </is>
      </c>
      <c r="E69" s="917" t="inlineStr">
        <is>
          <t>12D 0H 39M 0S - CADJPY 2021-04-20</t>
        </is>
      </c>
      <c r="F69" s="917" t="inlineStr">
        <is>
          <t>13D 10H 58M 0S - XTZUSDT 2021-05-06</t>
        </is>
      </c>
      <c r="G69" s="917" t="inlineStr">
        <is>
          <t>18D 2H 50M 0S - DOTUSDT 2021-06-21</t>
        </is>
      </c>
      <c r="H69" s="917" t="inlineStr">
        <is>
          <t>4D 1H 52M 0S - BTCUSDT 2021-07-31</t>
        </is>
      </c>
      <c r="I69" s="917" t="inlineStr">
        <is>
          <t>20H 55M 0S - BTCUSDT 2021-08-15</t>
        </is>
      </c>
      <c r="J69" s="917" t="inlineStr">
        <is>
          <t>5D 12H 59M 0S - GBPCHF 2021-09-20</t>
        </is>
      </c>
      <c r="K69" s="917" t="inlineStr">
        <is>
          <t>2D 16H 33M 0S - GBPJPY 2021-10-21</t>
        </is>
      </c>
      <c r="L69" s="917" t="inlineStr">
        <is>
          <t>7D 5H 12M 4S - EURJPY 2021-11-27</t>
        </is>
      </c>
      <c r="M69" s="918" t="inlineStr"/>
    </row>
    <row r="70" ht="14.5" customHeight="1">
      <c r="A70" s="889" t="inlineStr">
        <is>
          <t>Min Move to Break Even</t>
        </is>
      </c>
      <c r="B70" s="937" t="inlineStr">
        <is>
          <t>12H 30M 42S - LTCUSDT 2021-01-01</t>
        </is>
      </c>
      <c r="C70" s="937" t="inlineStr">
        <is>
          <t>3H 45M 0S - LINKUSDT 2021-02-10</t>
        </is>
      </c>
      <c r="D70" s="937" t="inlineStr"/>
      <c r="E70" s="937" t="inlineStr">
        <is>
          <t>7D 23H 5M 0S - DOTUSDT 2021-04-17</t>
        </is>
      </c>
      <c r="F70" s="937" t="inlineStr">
        <is>
          <t>1H 23M 57S - ETHUSDT 2021-05-04</t>
        </is>
      </c>
      <c r="G70" s="937" t="inlineStr">
        <is>
          <t>7M 12S - SUSHIUSDT 2021-06-21</t>
        </is>
      </c>
      <c r="H70" s="937" t="inlineStr"/>
      <c r="I70" s="937" t="inlineStr"/>
      <c r="J70" s="937" t="inlineStr">
        <is>
          <t>5M 0S - AUDUSD 2021-09-30</t>
        </is>
      </c>
      <c r="K70" s="937" t="inlineStr">
        <is>
          <t>4H 7M 55S - BTCUSDT 2021-10-21</t>
        </is>
      </c>
      <c r="L70" s="937" t="inlineStr">
        <is>
          <t>9H 54M 0S - SOLUSDT 2021-11-16</t>
        </is>
      </c>
      <c r="M70" s="938" t="inlineStr"/>
    </row>
    <row r="71" ht="14.5" customHeight="1">
      <c r="A71" s="889" t="inlineStr">
        <is>
          <t>Max Move to Break Even</t>
        </is>
      </c>
      <c r="B71" s="661" t="inlineStr">
        <is>
          <t>17H 48M 0S - ETHUSDT 2021-01-02</t>
        </is>
      </c>
      <c r="C71" s="661" t="inlineStr">
        <is>
          <t>3H 45M 0S - LINKUSDT 2021-02-10</t>
        </is>
      </c>
      <c r="D71" s="661" t="inlineStr"/>
      <c r="E71" s="661" t="inlineStr">
        <is>
          <t>7D 23H 5M 0S - DOTUSDT 2021-04-17</t>
        </is>
      </c>
      <c r="F71" s="661" t="inlineStr">
        <is>
          <t>2H 17M 0S - ADAUSDT 2021-05-10</t>
        </is>
      </c>
      <c r="G71" s="661" t="inlineStr">
        <is>
          <t>1D 9H 33M 20S - DOTUSDT 2021-06-21</t>
        </is>
      </c>
      <c r="H71" s="661" t="inlineStr"/>
      <c r="I71" s="661" t="inlineStr"/>
      <c r="J71" s="661" t="inlineStr">
        <is>
          <t>15H 46M 23S - SOLUSDT 2021-09-06</t>
        </is>
      </c>
      <c r="K71" s="661" t="inlineStr">
        <is>
          <t>22H 1M 0S - GBPJPY 2021-10-21</t>
        </is>
      </c>
      <c r="L71" s="661" t="inlineStr">
        <is>
          <t>1D 0H 17M 42S - EURCAD 2021-11-13</t>
        </is>
      </c>
      <c r="M71" s="904" t="inlineStr"/>
    </row>
    <row r="72" ht="14.5" customHeight="1">
      <c r="A72" s="889" t="inlineStr">
        <is>
          <t>Min Move to Profit</t>
        </is>
      </c>
      <c r="B72" s="661" t="inlineStr"/>
      <c r="C72" s="661" t="inlineStr"/>
      <c r="D72" s="661" t="inlineStr"/>
      <c r="E72" s="661" t="inlineStr"/>
      <c r="F72" s="661" t="inlineStr"/>
      <c r="G72" s="661" t="inlineStr"/>
      <c r="H72" s="661" t="inlineStr"/>
      <c r="I72" s="661" t="inlineStr"/>
      <c r="J72" s="661" t="inlineStr">
        <is>
          <t>4H 16M 52S - ETHUSDT 2021-09-26</t>
        </is>
      </c>
      <c r="K72" s="661" t="inlineStr">
        <is>
          <t>2D 12H 6M 0S - GBPJPY 2021-10-21</t>
        </is>
      </c>
      <c r="L72" s="661" t="inlineStr"/>
      <c r="M72" s="904" t="inlineStr"/>
    </row>
    <row r="73" ht="14.5" customHeight="1">
      <c r="A73" s="919" t="inlineStr">
        <is>
          <t>Max Move to Profit</t>
        </is>
      </c>
      <c r="B73" s="920" t="inlineStr"/>
      <c r="C73" s="920" t="inlineStr"/>
      <c r="D73" s="920" t="inlineStr"/>
      <c r="E73" s="920" t="inlineStr"/>
      <c r="F73" s="920" t="inlineStr"/>
      <c r="G73" s="920" t="inlineStr"/>
      <c r="H73" s="920" t="inlineStr"/>
      <c r="I73" s="920" t="inlineStr"/>
      <c r="J73" s="920" t="inlineStr">
        <is>
          <t>4H 16M 52S - ETHUSDT 2021-09-26</t>
        </is>
      </c>
      <c r="K73" s="920" t="inlineStr">
        <is>
          <t>2D 12H 6M 0S - GBPJPY 2021-10-21</t>
        </is>
      </c>
      <c r="L73" s="920" t="inlineStr"/>
      <c r="M73" s="921" t="inlineStr"/>
    </row>
    <row r="74" ht="14.5" customHeight="1">
      <c r="A74" s="913" t="inlineStr">
        <is>
          <t>Winners min stop %</t>
        </is>
      </c>
      <c r="B74" s="949" t="inlineStr">
        <is>
          <t>0.10% - GBPUSD 2021-01-04</t>
        </is>
      </c>
      <c r="C74" s="949" t="inlineStr">
        <is>
          <t>0.10% - AUDCAD 2021-02-18</t>
        </is>
      </c>
      <c r="D74" s="949" t="inlineStr">
        <is>
          <t>0.27% - NZDCHF 2021-03-02</t>
        </is>
      </c>
      <c r="E74" s="949" t="inlineStr">
        <is>
          <t>0.094% - AUDCAD 2021-04-29</t>
        </is>
      </c>
      <c r="F74" s="949" t="inlineStr">
        <is>
          <t>0.31% - ETHUSDT 2021-05-02</t>
        </is>
      </c>
      <c r="G74" s="949" t="inlineStr">
        <is>
          <t>0.038% - EURJPY 2021-06-29</t>
        </is>
      </c>
      <c r="H74" s="949" t="inlineStr">
        <is>
          <t>0.036% - USDJPY 2021-07-02</t>
        </is>
      </c>
      <c r="I74" s="986" t="inlineStr"/>
      <c r="J74" s="949" t="inlineStr">
        <is>
          <t>0.067% - AUDUSD 2021-09-30</t>
        </is>
      </c>
      <c r="K74" s="949" t="inlineStr">
        <is>
          <t>0.056% - EURUSD 2021-10-28</t>
        </is>
      </c>
      <c r="L74" s="949" t="inlineStr">
        <is>
          <t>0.094% - EURCAD 2021-11-13</t>
        </is>
      </c>
      <c r="M74" s="987" t="inlineStr"/>
    </row>
    <row r="75" ht="14.5" customHeight="1">
      <c r="A75" s="889" t="inlineStr">
        <is>
          <t>Winners max stop %</t>
        </is>
      </c>
      <c r="B75" s="661" t="inlineStr">
        <is>
          <t>6.17% - ETHUSDT 2021-01-29</t>
        </is>
      </c>
      <c r="C75" s="661" t="inlineStr">
        <is>
          <t>2.07% - XTZUSDT 2021-02-21</t>
        </is>
      </c>
      <c r="D75" s="661" t="inlineStr">
        <is>
          <t>0.55% - BTCUSDT 2021-03-29</t>
        </is>
      </c>
      <c r="E75" s="661" t="inlineStr">
        <is>
          <t>9.43% - DOTUSDT 2021-04-17</t>
        </is>
      </c>
      <c r="F75" s="661" t="inlineStr">
        <is>
          <t>21.36% - XTZUSDT 2021-05-06</t>
        </is>
      </c>
      <c r="G75" s="661" t="inlineStr">
        <is>
          <t>15.25% - DOTUSDT 2021-06-21</t>
        </is>
      </c>
      <c r="H75" s="661" t="inlineStr">
        <is>
          <t>0.11% - AUDUSD 2021-07-20</t>
        </is>
      </c>
      <c r="I75" s="662" t="inlineStr"/>
      <c r="J75" s="661" t="inlineStr">
        <is>
          <t>4.74% - LINKUSDT 2021-09-08</t>
        </is>
      </c>
      <c r="K75" s="661" t="inlineStr">
        <is>
          <t>0.92% - ETHUSDT 2021-10-16</t>
        </is>
      </c>
      <c r="L75" s="661" t="inlineStr">
        <is>
          <t>0.13% - NZDUSD 2021-11-01</t>
        </is>
      </c>
      <c r="M75" s="663" t="inlineStr"/>
    </row>
    <row r="76" ht="14.5" customHeight="1">
      <c r="A76" s="889" t="inlineStr">
        <is>
          <t>Winners min target %</t>
        </is>
      </c>
      <c r="B76" s="661" t="inlineStr">
        <is>
          <t>0.20% - GBPUSD 2021-01-04</t>
        </is>
      </c>
      <c r="C76" s="661" t="inlineStr">
        <is>
          <t>0.20% - AUDCAD 2021-02-18</t>
        </is>
      </c>
      <c r="D76" s="661" t="inlineStr">
        <is>
          <t>0.54% - NZDCHF 2021-03-02</t>
        </is>
      </c>
      <c r="E76" s="661" t="inlineStr">
        <is>
          <t>0.19% - AUDCAD 2021-04-29</t>
        </is>
      </c>
      <c r="F76" s="661" t="inlineStr">
        <is>
          <t>0.85% - ETHUSDT 2021-05-02</t>
        </is>
      </c>
      <c r="G76" s="661" t="inlineStr">
        <is>
          <t>0.12% - EURCHF 2021-06-09</t>
        </is>
      </c>
      <c r="H76" s="661" t="inlineStr">
        <is>
          <t>0.21% - USDJPY 2021-07-02</t>
        </is>
      </c>
      <c r="I76" s="662" t="inlineStr"/>
      <c r="J76" s="661" t="inlineStr">
        <is>
          <t>0.21% - AUDUSD 2021-09-30</t>
        </is>
      </c>
      <c r="K76" s="661" t="inlineStr">
        <is>
          <t>0.24% - EURUSD 2021-10-28</t>
        </is>
      </c>
      <c r="L76" s="661" t="inlineStr">
        <is>
          <t>0.46% - EURCAD 2021-11-13</t>
        </is>
      </c>
      <c r="M76" s="663" t="inlineStr"/>
    </row>
    <row r="77" ht="14.5" customHeight="1">
      <c r="A77" s="889" t="inlineStr">
        <is>
          <t>Winners max target %</t>
        </is>
      </c>
      <c r="B77" s="917" t="inlineStr">
        <is>
          <t>12.36% - ETHUSDT 2021-01-29</t>
        </is>
      </c>
      <c r="C77" s="917" t="inlineStr">
        <is>
          <t>4.17% - XTZUSDT 2021-02-21</t>
        </is>
      </c>
      <c r="D77" s="917" t="inlineStr">
        <is>
          <t>1.15% - CHFJPY 2021-03-31</t>
        </is>
      </c>
      <c r="E77" s="917" t="inlineStr">
        <is>
          <t>19.26% - DOTUSDT 2021-04-17</t>
        </is>
      </c>
      <c r="F77" s="917" t="inlineStr">
        <is>
          <t>56.93% - XTZUSDT 2021-05-06</t>
        </is>
      </c>
      <c r="G77" s="917" t="inlineStr">
        <is>
          <t>32.19% - DOTUSDT 2021-06-21</t>
        </is>
      </c>
      <c r="H77" s="917" t="inlineStr">
        <is>
          <t>0.37% - AUDUSD 2021-07-20</t>
        </is>
      </c>
      <c r="I77" s="894" t="inlineStr"/>
      <c r="J77" s="917" t="inlineStr">
        <is>
          <t>14.64% - LINKUSDT 2021-09-08</t>
        </is>
      </c>
      <c r="K77" s="917" t="inlineStr">
        <is>
          <t>4.40% - ETHUSDT 2021-10-16</t>
        </is>
      </c>
      <c r="L77" s="917" t="inlineStr">
        <is>
          <t>0.47% - NZDUSD 2021-11-01</t>
        </is>
      </c>
      <c r="M77" s="895" t="inlineStr"/>
    </row>
    <row r="78" ht="14.5" customHeight="1">
      <c r="A78" s="889" t="inlineStr">
        <is>
          <t>Winners min result %</t>
        </is>
      </c>
      <c r="B78" s="951" t="inlineStr">
        <is>
          <t>1.76% - EURNZD 2021-01-14</t>
        </is>
      </c>
      <c r="C78" s="951" t="inlineStr">
        <is>
          <t>1.68% - XTZUSDT 2021-02-21</t>
        </is>
      </c>
      <c r="D78" s="951" t="inlineStr">
        <is>
          <t>2.00% - NZDCHF 2021-03-02</t>
        </is>
      </c>
      <c r="E78" s="951" t="inlineStr">
        <is>
          <t>0.046% - BCHUSDT 2021-04-14</t>
        </is>
      </c>
      <c r="F78" s="951" t="inlineStr">
        <is>
          <t>1.23% - BCHUSDT 2021-05-12</t>
        </is>
      </c>
      <c r="G78" s="951" t="inlineStr">
        <is>
          <t>1.25% - DOTUSDT 2021-06-21</t>
        </is>
      </c>
      <c r="H78" s="951" t="inlineStr">
        <is>
          <t>1.72% - AUDUSD 2021-07-20</t>
        </is>
      </c>
      <c r="I78" s="894" t="inlineStr"/>
      <c r="J78" s="951" t="inlineStr">
        <is>
          <t>1.33% - COMPUSDT 2021-09-07</t>
        </is>
      </c>
      <c r="K78" s="951" t="inlineStr">
        <is>
          <t>0.59% - GBPJPY 2021-10-21</t>
        </is>
      </c>
      <c r="L78" s="951" t="inlineStr">
        <is>
          <t>4.24% - NZDUSD 2021-11-01</t>
        </is>
      </c>
      <c r="M78" s="895" t="inlineStr"/>
    </row>
    <row r="79" ht="14.5" customHeight="1">
      <c r="A79" s="889" t="inlineStr">
        <is>
          <t>Winners max result %</t>
        </is>
      </c>
      <c r="B79" s="951" t="inlineStr">
        <is>
          <t>2.31% - GBPUSD 2021-01-04</t>
        </is>
      </c>
      <c r="C79" s="951" t="inlineStr">
        <is>
          <t>3.62% - EURCAD 2021-02-24</t>
        </is>
      </c>
      <c r="D79" s="951" t="inlineStr">
        <is>
          <t>3.07% - CHFJPY 2021-03-31</t>
        </is>
      </c>
      <c r="E79" s="951" t="inlineStr">
        <is>
          <t>2.35% - AUDJPY 2021-04-27</t>
        </is>
      </c>
      <c r="F79" s="951" t="inlineStr">
        <is>
          <t>2.08% - LTCUSDT 2021-05-11</t>
        </is>
      </c>
      <c r="G79" s="951" t="inlineStr">
        <is>
          <t>2.80% - NZDCHF 2021-06-16</t>
        </is>
      </c>
      <c r="H79" s="951" t="inlineStr">
        <is>
          <t>5.48% - USDJPY 2021-07-02</t>
        </is>
      </c>
      <c r="I79" s="894" t="inlineStr"/>
      <c r="J79" s="951" t="inlineStr">
        <is>
          <t>3.06% - ETHUSDT 2021-09-26</t>
        </is>
      </c>
      <c r="K79" s="951" t="inlineStr">
        <is>
          <t>4.61% - EURUSD 2021-10-28</t>
        </is>
      </c>
      <c r="L79" s="951" t="inlineStr">
        <is>
          <t>5.19% - EURCAD 2021-11-13</t>
        </is>
      </c>
      <c r="M79" s="895" t="inlineStr"/>
    </row>
    <row r="80" ht="14.5" customHeight="1">
      <c r="A80" s="889" t="inlineStr">
        <is>
          <t>Winners min R</t>
        </is>
      </c>
      <c r="B80" s="951" t="inlineStr">
        <is>
          <t>2.00R - ETHUSDT 2021-01-02</t>
        </is>
      </c>
      <c r="C80" s="951" t="inlineStr">
        <is>
          <t>2.01R - LINKUSDT 2021-02-10</t>
        </is>
      </c>
      <c r="D80" s="951" t="inlineStr">
        <is>
          <t>1.97R - BTCUSDT 2021-03-29</t>
        </is>
      </c>
      <c r="E80" s="951" t="inlineStr">
        <is>
          <t>0.025R - BCHUSDT 2021-04-14</t>
        </is>
      </c>
      <c r="F80" s="951" t="inlineStr">
        <is>
          <t>1.99R - ETHUSDT 2021-05-03</t>
        </is>
      </c>
      <c r="G80" s="951" t="inlineStr">
        <is>
          <t>2.11R - DOTUSDT 2021-06-21</t>
        </is>
      </c>
      <c r="H80" s="951" t="inlineStr">
        <is>
          <t>3.37R - AUDUSD 2021-07-20</t>
        </is>
      </c>
      <c r="I80" s="984" t="inlineStr"/>
      <c r="J80" s="951" t="inlineStr">
        <is>
          <t>2.34R - COMPUSDT 2021-09-07</t>
        </is>
      </c>
      <c r="K80" s="951" t="inlineStr">
        <is>
          <t>1.55R - GBPJPY 2021-10-21</t>
        </is>
      </c>
      <c r="L80" s="951" t="inlineStr">
        <is>
          <t>3.50R - NZDUSD 2021-11-01</t>
        </is>
      </c>
      <c r="M80" s="985" t="inlineStr"/>
    </row>
    <row r="81" ht="14.5" customHeight="1">
      <c r="A81" s="919" t="inlineStr">
        <is>
          <t>Winners max R</t>
        </is>
      </c>
      <c r="B81" s="929" t="inlineStr">
        <is>
          <t>2.10R - GBPUSD 2021-01-04</t>
        </is>
      </c>
      <c r="C81" s="929" t="inlineStr">
        <is>
          <t>2.73R - EURCAD 2021-02-24</t>
        </is>
      </c>
      <c r="D81" s="929" t="inlineStr">
        <is>
          <t>3.73R - CHFJPY 2021-03-12</t>
        </is>
      </c>
      <c r="E81" s="929" t="inlineStr">
        <is>
          <t>2.31R - AUDJPY 2021-04-27</t>
        </is>
      </c>
      <c r="F81" s="929" t="inlineStr">
        <is>
          <t>2.97R - ADAUSDT 2021-05-14</t>
        </is>
      </c>
      <c r="G81" s="929" t="inlineStr">
        <is>
          <t>4.06R - EURJPY 2021-06-29</t>
        </is>
      </c>
      <c r="H81" s="929" t="inlineStr">
        <is>
          <t>5.90R - USDJPY 2021-07-02</t>
        </is>
      </c>
      <c r="I81" s="980" t="inlineStr"/>
      <c r="J81" s="929" t="inlineStr">
        <is>
          <t>5.95R - ETHUSDT 2021-09-26</t>
        </is>
      </c>
      <c r="K81" s="929" t="inlineStr">
        <is>
          <t>4.86R - ETHUSDT 2021-10-16</t>
        </is>
      </c>
      <c r="L81" s="929" t="inlineStr">
        <is>
          <t>4.92R - EURCAD 2021-11-13</t>
        </is>
      </c>
      <c r="M81" s="981" t="inlineStr"/>
    </row>
    <row r="82" ht="14.5" customHeight="1">
      <c r="A82" s="913" t="inlineStr">
        <is>
          <t>Losers min stop %</t>
        </is>
      </c>
      <c r="B82" s="922" t="inlineStr">
        <is>
          <t>0.11% - GBPUSD 2021-01-04</t>
        </is>
      </c>
      <c r="C82" s="922" t="inlineStr">
        <is>
          <t>0.059% - CADJPY 2021-02-26</t>
        </is>
      </c>
      <c r="D82" s="922" t="inlineStr">
        <is>
          <t>0.055% - AUDNZD 2021-03-24</t>
        </is>
      </c>
      <c r="E82" s="922" t="inlineStr">
        <is>
          <t>0.065% - AUDNZD 2021-04-30</t>
        </is>
      </c>
      <c r="F82" s="922" t="inlineStr">
        <is>
          <t>0.11% - CADCHF 2021-05-05</t>
        </is>
      </c>
      <c r="G82" s="922" t="inlineStr">
        <is>
          <t>0.014% - GBPUSD 2021-06-30</t>
        </is>
      </c>
      <c r="H82" s="922" t="inlineStr">
        <is>
          <t>0.012% - EURGBP 2021-07-07</t>
        </is>
      </c>
      <c r="I82" s="922" t="inlineStr">
        <is>
          <t>0.14% - GBPAUD 2021-08-03</t>
        </is>
      </c>
      <c r="J82" s="922" t="inlineStr">
        <is>
          <t>0.035% - EURGBP 2021-09-30</t>
        </is>
      </c>
      <c r="K82" s="922" t="inlineStr">
        <is>
          <t>0.015% - GBPUSD 2021-10-13</t>
        </is>
      </c>
      <c r="L82" s="922" t="inlineStr">
        <is>
          <t>0.083% - EURGBP 2021-11-25</t>
        </is>
      </c>
      <c r="M82" s="916" t="inlineStr"/>
    </row>
    <row r="83" ht="14.5" customHeight="1">
      <c r="A83" s="889" t="inlineStr">
        <is>
          <t>Losers max stop %</t>
        </is>
      </c>
      <c r="B83" s="917" t="inlineStr">
        <is>
          <t>6.65% - LTCUSDT 2021-01-20</t>
        </is>
      </c>
      <c r="C83" s="917" t="inlineStr">
        <is>
          <t>6.30% - LTCUSDT 2021-02-26</t>
        </is>
      </c>
      <c r="D83" s="917" t="inlineStr">
        <is>
          <t>6.23% - BTCUSDT 2021-03-25</t>
        </is>
      </c>
      <c r="E83" s="917" t="inlineStr">
        <is>
          <t>10.31% - BCHUSDT 2021-04-18</t>
        </is>
      </c>
      <c r="F83" s="917" t="inlineStr">
        <is>
          <t>13.90% - XTZUSDT 2021-05-19</t>
        </is>
      </c>
      <c r="G83" s="917" t="inlineStr">
        <is>
          <t>4.69% - BTCUSDT 2021-06-16</t>
        </is>
      </c>
      <c r="H83" s="917" t="inlineStr">
        <is>
          <t>7.68% - DOTUSDT 2021-07-26</t>
        </is>
      </c>
      <c r="I83" s="917" t="inlineStr">
        <is>
          <t>5.85% - XTZUSDT 2021-08-24</t>
        </is>
      </c>
      <c r="J83" s="917" t="inlineStr">
        <is>
          <t>10.59% - SUSHIUSDT 2021-09-22</t>
        </is>
      </c>
      <c r="K83" s="917" t="inlineStr">
        <is>
          <t>4.44% - AXSUSDT 2021-10-06</t>
        </is>
      </c>
      <c r="L83" s="917" t="inlineStr">
        <is>
          <t>15.95% - SHIB1000USDT 2021-11-24</t>
        </is>
      </c>
      <c r="M83" s="895" t="inlineStr"/>
    </row>
    <row r="84" ht="14.5" customHeight="1">
      <c r="A84" s="889" t="inlineStr">
        <is>
          <t>Losers min target %</t>
        </is>
      </c>
      <c r="B84" s="917" t="inlineStr">
        <is>
          <t>0.22% - GBPUSD 2021-01-04</t>
        </is>
      </c>
      <c r="C84" s="917" t="inlineStr">
        <is>
          <t>0.12% - CADJPY 2021-02-26</t>
        </is>
      </c>
      <c r="D84" s="917" t="inlineStr">
        <is>
          <t>0.16% - AUDNZD 2021-03-24</t>
        </is>
      </c>
      <c r="E84" s="917" t="inlineStr">
        <is>
          <t>0.13% - AUDNZD 2021-04-30</t>
        </is>
      </c>
      <c r="F84" s="917" t="inlineStr">
        <is>
          <t>0.38% - CADCHF 2021-05-05</t>
        </is>
      </c>
      <c r="G84" s="917" t="inlineStr">
        <is>
          <t>0.058% - GBPUSD 2021-06-30</t>
        </is>
      </c>
      <c r="H84" s="917" t="inlineStr">
        <is>
          <t>0.093% - EURUSD 2021-07-07</t>
        </is>
      </c>
      <c r="I84" s="917" t="inlineStr">
        <is>
          <t>0.79% - GBPAUD 2021-08-03</t>
        </is>
      </c>
      <c r="J84" s="917" t="inlineStr">
        <is>
          <t>0.10% - EURGBP 2021-09-30</t>
        </is>
      </c>
      <c r="K84" s="917" t="inlineStr">
        <is>
          <t>0.052% - EURUSD 2021-10-06</t>
        </is>
      </c>
      <c r="L84" s="917" t="inlineStr">
        <is>
          <t>0.35% - USDCAD 2021-11-02</t>
        </is>
      </c>
      <c r="M84" s="895" t="inlineStr"/>
    </row>
    <row r="85" ht="14.5" customHeight="1">
      <c r="A85" s="889" t="inlineStr">
        <is>
          <t>Losers max target %</t>
        </is>
      </c>
      <c r="B85" s="917" t="inlineStr">
        <is>
          <t>13.30% - LTCUSDT 2021-01-20</t>
        </is>
      </c>
      <c r="C85" s="917" t="inlineStr">
        <is>
          <t>12.62% - LTCUSDT 2021-02-26</t>
        </is>
      </c>
      <c r="D85" s="917" t="inlineStr">
        <is>
          <t>12.51% - BTCUSDT 2021-03-25</t>
        </is>
      </c>
      <c r="E85" s="917" t="inlineStr">
        <is>
          <t>47.75% - ADAUSDT 2021-04-23</t>
        </is>
      </c>
      <c r="F85" s="917" t="inlineStr">
        <is>
          <t>61.38% - XTZUSDT 2021-05-19</t>
        </is>
      </c>
      <c r="G85" s="917" t="inlineStr">
        <is>
          <t>13.78% - AAVEUSDT 2021-06-29</t>
        </is>
      </c>
      <c r="H85" s="917" t="inlineStr">
        <is>
          <t>22.36% - ETHUSDT 2021-07-30</t>
        </is>
      </c>
      <c r="I85" s="917" t="inlineStr">
        <is>
          <t>20.28% - XTZUSDT 2021-08-24</t>
        </is>
      </c>
      <c r="J85" s="917" t="inlineStr">
        <is>
          <t>35.73% - SUSHIUSDT 2021-09-22</t>
        </is>
      </c>
      <c r="K85" s="917" t="inlineStr">
        <is>
          <t>14.22% - AXSUSDT 2021-10-06</t>
        </is>
      </c>
      <c r="L85" s="917" t="inlineStr">
        <is>
          <t>74.66% - SHIB1000USDT 2021-11-24</t>
        </is>
      </c>
      <c r="M85" s="895" t="inlineStr"/>
    </row>
    <row r="86" ht="14.5" customHeight="1">
      <c r="A86" s="889" t="inlineStr">
        <is>
          <t>Losers min result %</t>
        </is>
      </c>
      <c r="B86" s="927" t="inlineStr">
        <is>
          <t>-0.95% - XTZUSDT 2021-01-04</t>
        </is>
      </c>
      <c r="C86" s="927" t="inlineStr">
        <is>
          <t>-0.042% - CADJPY 2021-02-16</t>
        </is>
      </c>
      <c r="D86" s="927" t="inlineStr">
        <is>
          <t>-0.60% - NZDCHF 2021-03-03</t>
        </is>
      </c>
      <c r="E86" s="927" t="inlineStr">
        <is>
          <t>-0.27% - UNIUSDT 2021-04-27</t>
        </is>
      </c>
      <c r="F86" s="927" t="inlineStr">
        <is>
          <t>-0.0031% - ETHUSDT 2021-05-04</t>
        </is>
      </c>
      <c r="G86" s="927" t="inlineStr">
        <is>
          <t>-0.098% - EURGBP 2021-06-24</t>
        </is>
      </c>
      <c r="H86" s="927" t="inlineStr">
        <is>
          <t>-0.071% - BTCUSDT 2021-07-31</t>
        </is>
      </c>
      <c r="I86" s="927" t="inlineStr">
        <is>
          <t>-0.48% - ETHUSDT 2021-08-07</t>
        </is>
      </c>
      <c r="J86" s="927" t="inlineStr">
        <is>
          <t>-0.062% - AUDUSD 2021-09-30</t>
        </is>
      </c>
      <c r="K86" s="927" t="inlineStr">
        <is>
          <t>-0.23% - BTCUSDT 2021-10-21</t>
        </is>
      </c>
      <c r="L86" s="927" t="inlineStr">
        <is>
          <t>-0.16% - SOLUSDT 2021-11-16</t>
        </is>
      </c>
      <c r="M86" s="895" t="inlineStr"/>
    </row>
    <row r="87" ht="14.5" customHeight="1">
      <c r="A87" s="889" t="inlineStr">
        <is>
          <t>Losers max result %</t>
        </is>
      </c>
      <c r="B87" s="927" t="inlineStr">
        <is>
          <t>-1.29% - GBPUSD 2021-01-04</t>
        </is>
      </c>
      <c r="C87" s="927" t="inlineStr">
        <is>
          <t>-1.31% - USDCHF 2021-02-01</t>
        </is>
      </c>
      <c r="D87" s="927" t="inlineStr">
        <is>
          <t>-1.32% - BTCUSDT 2021-03-01</t>
        </is>
      </c>
      <c r="E87" s="927" t="inlineStr">
        <is>
          <t>-1.32% - GBPCHF 2021-04-02</t>
        </is>
      </c>
      <c r="F87" s="927" t="inlineStr">
        <is>
          <t>-1.29% - AUDUSD 2021-05-13</t>
        </is>
      </c>
      <c r="G87" s="927" t="inlineStr">
        <is>
          <t>-1.36% - GBPNZD 2021-06-12</t>
        </is>
      </c>
      <c r="H87" s="927" t="inlineStr">
        <is>
          <t>-1.10% - AUDCAD 2021-07-02</t>
        </is>
      </c>
      <c r="I87" s="927" t="inlineStr">
        <is>
          <t>-1.15% - GBPAUD 2021-08-03</t>
        </is>
      </c>
      <c r="J87" s="927" t="inlineStr">
        <is>
          <t>-1.62% - GBPCHF 2021-09-20</t>
        </is>
      </c>
      <c r="K87" s="927" t="inlineStr">
        <is>
          <t>-1.51% - EURGBP 2021-10-26</t>
        </is>
      </c>
      <c r="L87" s="927" t="inlineStr">
        <is>
          <t>-1.45% - GBPCAD 2021-11-11</t>
        </is>
      </c>
      <c r="M87" s="895" t="inlineStr"/>
    </row>
    <row r="88" ht="14.5" customHeight="1">
      <c r="A88" s="889" t="inlineStr">
        <is>
          <t>Losers min R</t>
        </is>
      </c>
      <c r="B88" s="927" t="inlineStr">
        <is>
          <t>-0.97R - EURJPY 2021-01-01</t>
        </is>
      </c>
      <c r="C88" s="927" t="inlineStr">
        <is>
          <t>-0.071R - CADJPY 2021-02-16</t>
        </is>
      </c>
      <c r="D88" s="927" t="inlineStr">
        <is>
          <t>-0.48R - NZDCHF 2021-03-03</t>
        </is>
      </c>
      <c r="E88" s="927" t="inlineStr">
        <is>
          <t>-0.46R - BTCUSDT 2021-04-13</t>
        </is>
      </c>
      <c r="F88" s="927" t="inlineStr">
        <is>
          <t>-0.034R - ETHUSDT 2021-05-04</t>
        </is>
      </c>
      <c r="G88" s="927" t="inlineStr">
        <is>
          <t>-0.55R - EURCHF 2021-06-24</t>
        </is>
      </c>
      <c r="H88" s="927" t="inlineStr">
        <is>
          <t>-0.16R - BTCUSDT 2021-07-31</t>
        </is>
      </c>
      <c r="I88" s="927" t="inlineStr">
        <is>
          <t>-0.62R - GBPNZD 2021-08-28</t>
        </is>
      </c>
      <c r="J88" s="927" t="inlineStr">
        <is>
          <t>-0.045R - AUDUSD 2021-09-30</t>
        </is>
      </c>
      <c r="K88" s="927" t="inlineStr">
        <is>
          <t>-0.19R - BTCUSDT 2021-10-21</t>
        </is>
      </c>
      <c r="L88" s="927" t="inlineStr">
        <is>
          <t>-0.0031R - SOLUSDT 2021-11-16</t>
        </is>
      </c>
      <c r="M88" s="985" t="inlineStr"/>
    </row>
    <row r="89" ht="14.5" customHeight="1">
      <c r="A89" s="919" t="inlineStr">
        <is>
          <t>Losers max R</t>
        </is>
      </c>
      <c r="B89" s="953" t="inlineStr">
        <is>
          <t>-1.04R - GBPUSD 2021-01-04</t>
        </is>
      </c>
      <c r="C89" s="953" t="inlineStr">
        <is>
          <t>-1.07R - LINKUSDT 2021-02-06</t>
        </is>
      </c>
      <c r="D89" s="953" t="inlineStr">
        <is>
          <t>-1.15R - BTCUSDT 2021-03-11</t>
        </is>
      </c>
      <c r="E89" s="953" t="inlineStr">
        <is>
          <t>-1.24R - UNIUSDT 2021-04-25</t>
        </is>
      </c>
      <c r="F89" s="953" t="inlineStr">
        <is>
          <t>-1.17R - ADAUSDT 2021-05-10</t>
        </is>
      </c>
      <c r="G89" s="953" t="inlineStr">
        <is>
          <t>-1.13R - SUSHIUSDT 2021-06-27</t>
        </is>
      </c>
      <c r="H89" s="953" t="inlineStr">
        <is>
          <t>-1.60R - EURGBP 2021-07-07</t>
        </is>
      </c>
      <c r="I89" s="953" t="inlineStr">
        <is>
          <t>-1.14R - BTCUSDT 2021-08-21</t>
        </is>
      </c>
      <c r="J89" s="953" t="inlineStr">
        <is>
          <t>-1.19R - GBPCHF 2021-09-20</t>
        </is>
      </c>
      <c r="K89" s="953" t="inlineStr">
        <is>
          <t>-1.46R - EURGBP 2021-10-26</t>
        </is>
      </c>
      <c r="L89" s="953" t="inlineStr">
        <is>
          <t>-1.16R - GBPCAD 2021-11-11</t>
        </is>
      </c>
      <c r="M89" s="981" t="inlineStr"/>
    </row>
    <row r="90" ht="14.5" customHeight="1">
      <c r="A90" s="924" t="inlineStr">
        <is>
          <t>Patterns</t>
        </is>
      </c>
      <c r="B90" s="922" t="inlineStr"/>
      <c r="C90" s="922" t="inlineStr"/>
      <c r="D90" s="922" t="inlineStr"/>
      <c r="E90" s="922" t="inlineStr"/>
      <c r="F90" s="922" t="inlineStr"/>
      <c r="G90" s="922" t="inlineStr"/>
      <c r="H90" s="922" t="inlineStr"/>
      <c r="I90" s="922" t="inlineStr"/>
      <c r="J90" s="922" t="inlineStr"/>
      <c r="K90" s="922" t="inlineStr"/>
      <c r="L90" s="922" t="inlineStr"/>
      <c r="M90" s="923" t="inlineStr"/>
    </row>
    <row r="91" ht="14.5" customHeight="1">
      <c r="A91" s="886" t="inlineStr">
        <is>
          <t>Most Traded</t>
        </is>
      </c>
      <c r="B91" s="917" t="inlineStr"/>
      <c r="C91" s="917" t="inlineStr"/>
      <c r="D91" s="917" t="inlineStr"/>
      <c r="E91" s="917" t="inlineStr"/>
      <c r="F91" s="917" t="inlineStr"/>
      <c r="G91" s="917" t="inlineStr"/>
      <c r="H91" s="917" t="inlineStr"/>
      <c r="I91" s="917" t="inlineStr"/>
      <c r="J91" s="917" t="inlineStr"/>
      <c r="K91" s="917" t="inlineStr"/>
      <c r="L91" s="917" t="inlineStr"/>
      <c r="M91" s="918" t="inlineStr"/>
    </row>
    <row r="92" ht="14.5" customHeight="1">
      <c r="A92" s="886" t="inlineStr">
        <is>
          <t>Least Traded</t>
        </is>
      </c>
      <c r="B92" s="661" t="inlineStr"/>
      <c r="C92" s="661" t="inlineStr"/>
      <c r="D92" s="661" t="inlineStr"/>
      <c r="E92" s="661" t="inlineStr"/>
      <c r="F92" s="661" t="inlineStr"/>
      <c r="G92" s="661" t="inlineStr"/>
      <c r="H92" s="661" t="inlineStr"/>
      <c r="I92" s="661" t="inlineStr"/>
      <c r="J92" s="661" t="inlineStr"/>
      <c r="K92" s="661" t="inlineStr"/>
      <c r="L92" s="661" t="inlineStr"/>
      <c r="M92" s="904" t="inlineStr"/>
    </row>
    <row r="93" ht="14.5" customHeight="1">
      <c r="A93" s="886" t="inlineStr">
        <is>
          <t>Most Profitable</t>
        </is>
      </c>
      <c r="B93" s="661" t="inlineStr"/>
      <c r="C93" s="661" t="inlineStr"/>
      <c r="D93" s="661" t="inlineStr"/>
      <c r="E93" s="661" t="inlineStr"/>
      <c r="F93" s="661" t="inlineStr"/>
      <c r="G93" s="661" t="inlineStr"/>
      <c r="H93" s="661" t="inlineStr"/>
      <c r="I93" s="661" t="inlineStr"/>
      <c r="J93" s="661" t="inlineStr"/>
      <c r="K93" s="661" t="inlineStr"/>
      <c r="L93" s="661" t="inlineStr"/>
      <c r="M93" s="904" t="inlineStr"/>
    </row>
    <row r="94" ht="14.5" customHeight="1">
      <c r="A94" s="907" t="inlineStr">
        <is>
          <t>Least Profitable</t>
        </is>
      </c>
      <c r="B94" s="669" t="inlineStr"/>
      <c r="C94" s="669" t="inlineStr"/>
      <c r="D94" s="669" t="inlineStr"/>
      <c r="E94" s="669" t="inlineStr"/>
      <c r="F94" s="669" t="inlineStr"/>
      <c r="G94" s="669" t="inlineStr"/>
      <c r="H94" s="669" t="inlineStr"/>
      <c r="I94" s="669" t="inlineStr"/>
      <c r="J94" s="669" t="inlineStr"/>
      <c r="K94" s="669" t="inlineStr"/>
      <c r="L94" s="669" t="inlineStr"/>
      <c r="M94" s="955" t="inlineStr"/>
    </row>
    <row r="95" ht="14.5" customHeight="1">
      <c r="A95" s="924" t="inlineStr">
        <is>
          <t>Timeframe</t>
        </is>
      </c>
      <c r="B95" s="931" t="inlineStr"/>
      <c r="C95" s="931" t="inlineStr"/>
      <c r="D95" s="931" t="inlineStr"/>
      <c r="E95" s="931" t="inlineStr"/>
      <c r="F95" s="931" t="inlineStr"/>
      <c r="G95" s="931" t="inlineStr"/>
      <c r="H95" s="931" t="inlineStr"/>
      <c r="I95" s="931" t="inlineStr"/>
      <c r="J95" s="931" t="inlineStr"/>
      <c r="K95" s="931" t="inlineStr"/>
      <c r="L95" s="931" t="inlineStr"/>
      <c r="M95" s="932" t="inlineStr"/>
    </row>
    <row r="96" ht="14.5" customHeight="1">
      <c r="A96" s="886" t="inlineStr">
        <is>
          <t>1MIN</t>
        </is>
      </c>
      <c r="B96" s="887" t="n">
        <v>0</v>
      </c>
      <c r="C96" s="887" t="n">
        <v>0</v>
      </c>
      <c r="D96" s="887" t="n">
        <v>0</v>
      </c>
      <c r="E96" s="887" t="n">
        <v>0</v>
      </c>
      <c r="F96" s="887" t="n">
        <v>0</v>
      </c>
      <c r="G96" s="887" t="n">
        <v>0</v>
      </c>
      <c r="H96" s="887" t="n">
        <v>0</v>
      </c>
      <c r="I96" s="887" t="n">
        <v>0</v>
      </c>
      <c r="J96" s="887" t="n">
        <v>0</v>
      </c>
      <c r="K96" s="887" t="n">
        <v>0</v>
      </c>
      <c r="L96" s="887" t="n">
        <v>0</v>
      </c>
      <c r="M96" s="888" t="n">
        <v>0</v>
      </c>
    </row>
    <row r="97" ht="14.5" customHeight="1">
      <c r="A97" s="886" t="inlineStr">
        <is>
          <t>5MIN</t>
        </is>
      </c>
      <c r="B97" s="887" t="n">
        <v>1</v>
      </c>
      <c r="C97" s="887" t="n">
        <v>1</v>
      </c>
      <c r="D97" s="887" t="n">
        <v>3</v>
      </c>
      <c r="E97" s="887" t="n">
        <v>8</v>
      </c>
      <c r="F97" s="887" t="n">
        <v>4</v>
      </c>
      <c r="G97" s="887" t="n">
        <v>5</v>
      </c>
      <c r="H97" s="887" t="n">
        <v>6</v>
      </c>
      <c r="I97" s="887" t="n">
        <v>0</v>
      </c>
      <c r="J97" s="887" t="n">
        <v>8</v>
      </c>
      <c r="K97" s="887" t="n">
        <v>13</v>
      </c>
      <c r="L97" s="887" t="n">
        <v>1</v>
      </c>
      <c r="M97" s="888" t="n">
        <v>0</v>
      </c>
    </row>
    <row r="98" ht="14.5" customHeight="1">
      <c r="A98" s="886" t="inlineStr">
        <is>
          <t>15MIN</t>
        </is>
      </c>
      <c r="B98" s="887" t="n">
        <v>1</v>
      </c>
      <c r="C98" s="887" t="n">
        <v>3</v>
      </c>
      <c r="D98" s="887" t="n">
        <v>3</v>
      </c>
      <c r="E98" s="887" t="n">
        <v>1</v>
      </c>
      <c r="F98" s="887" t="n">
        <v>4</v>
      </c>
      <c r="G98" s="887" t="n">
        <v>0</v>
      </c>
      <c r="H98" s="887" t="n">
        <v>1</v>
      </c>
      <c r="I98" s="887" t="n">
        <v>0</v>
      </c>
      <c r="J98" s="887" t="n">
        <v>1</v>
      </c>
      <c r="K98" s="887" t="n">
        <v>2</v>
      </c>
      <c r="L98" s="887" t="n">
        <v>0</v>
      </c>
      <c r="M98" s="888" t="n">
        <v>0</v>
      </c>
    </row>
    <row r="99" ht="14.5" customHeight="1">
      <c r="A99" s="886" t="inlineStr">
        <is>
          <t>30MIN</t>
        </is>
      </c>
      <c r="B99" s="887" t="n">
        <v>0</v>
      </c>
      <c r="C99" s="887" t="n">
        <v>0</v>
      </c>
      <c r="D99" s="887" t="n">
        <v>0</v>
      </c>
      <c r="E99" s="887" t="n">
        <v>0</v>
      </c>
      <c r="F99" s="887" t="n">
        <v>0</v>
      </c>
      <c r="G99" s="887" t="n">
        <v>0</v>
      </c>
      <c r="H99" s="887" t="n">
        <v>0</v>
      </c>
      <c r="I99" s="887" t="n">
        <v>0</v>
      </c>
      <c r="J99" s="887" t="n">
        <v>0</v>
      </c>
      <c r="K99" s="887" t="n">
        <v>0</v>
      </c>
      <c r="L99" s="887" t="n">
        <v>0</v>
      </c>
      <c r="M99" s="888" t="n">
        <v>0</v>
      </c>
    </row>
    <row r="100" ht="14.5" customHeight="1">
      <c r="A100" s="886" t="inlineStr">
        <is>
          <t>1H</t>
        </is>
      </c>
      <c r="B100" s="887" t="n">
        <v>6</v>
      </c>
      <c r="C100" s="887" t="n">
        <v>2</v>
      </c>
      <c r="D100" s="887" t="n">
        <v>4</v>
      </c>
      <c r="E100" s="887" t="n">
        <v>11</v>
      </c>
      <c r="F100" s="887" t="n">
        <v>9</v>
      </c>
      <c r="G100" s="887" t="n">
        <v>4</v>
      </c>
      <c r="H100" s="887" t="n">
        <v>6</v>
      </c>
      <c r="I100" s="887" t="n">
        <v>1</v>
      </c>
      <c r="J100" s="887" t="n">
        <v>2</v>
      </c>
      <c r="K100" s="887" t="n">
        <v>8</v>
      </c>
      <c r="L100" s="887" t="n">
        <v>1</v>
      </c>
      <c r="M100" s="888" t="n">
        <v>0</v>
      </c>
    </row>
    <row r="101" ht="14.5" customHeight="1">
      <c r="A101" s="886" t="inlineStr">
        <is>
          <t>4H</t>
        </is>
      </c>
      <c r="B101" s="887" t="n">
        <v>4</v>
      </c>
      <c r="C101" s="887" t="n">
        <v>1</v>
      </c>
      <c r="D101" s="887" t="n">
        <v>1</v>
      </c>
      <c r="E101" s="887" t="n">
        <v>8</v>
      </c>
      <c r="F101" s="887" t="n">
        <v>10</v>
      </c>
      <c r="G101" s="887" t="n">
        <v>0</v>
      </c>
      <c r="H101" s="887" t="n">
        <v>2</v>
      </c>
      <c r="I101" s="887" t="n">
        <v>3</v>
      </c>
      <c r="J101" s="887" t="n">
        <v>6</v>
      </c>
      <c r="K101" s="887" t="n">
        <v>8</v>
      </c>
      <c r="L101" s="887" t="n">
        <v>8</v>
      </c>
      <c r="M101" s="888" t="n">
        <v>0</v>
      </c>
    </row>
    <row r="102" ht="14.5" customHeight="1">
      <c r="A102" s="886" t="inlineStr">
        <is>
          <t>DAILY</t>
        </is>
      </c>
      <c r="B102" s="887" t="n">
        <v>0</v>
      </c>
      <c r="C102" s="887" t="n">
        <v>0</v>
      </c>
      <c r="D102" s="887" t="n">
        <v>1</v>
      </c>
      <c r="E102" s="887" t="n">
        <v>5</v>
      </c>
      <c r="F102" s="887" t="n">
        <v>5</v>
      </c>
      <c r="G102" s="887" t="n">
        <v>3</v>
      </c>
      <c r="H102" s="887" t="n">
        <v>4</v>
      </c>
      <c r="I102" s="887" t="n">
        <v>5</v>
      </c>
      <c r="J102" s="887" t="n">
        <v>17</v>
      </c>
      <c r="K102" s="887" t="n">
        <v>1</v>
      </c>
      <c r="L102" s="887" t="n">
        <v>5</v>
      </c>
      <c r="M102" s="888" t="n">
        <v>0</v>
      </c>
    </row>
    <row r="103" ht="14.5" customHeight="1">
      <c r="A103" s="886" t="inlineStr">
        <is>
          <t>WEEKLY</t>
        </is>
      </c>
      <c r="B103" s="887" t="n">
        <v>0</v>
      </c>
      <c r="C103" s="887" t="n">
        <v>0</v>
      </c>
      <c r="D103" s="887" t="n">
        <v>0</v>
      </c>
      <c r="E103" s="887" t="n">
        <v>0</v>
      </c>
      <c r="F103" s="887" t="n">
        <v>2</v>
      </c>
      <c r="G103" s="887" t="n">
        <v>0</v>
      </c>
      <c r="H103" s="887" t="n">
        <v>0</v>
      </c>
      <c r="I103" s="887" t="n">
        <v>1</v>
      </c>
      <c r="J103" s="887" t="n">
        <v>1</v>
      </c>
      <c r="K103" s="887" t="n">
        <v>0</v>
      </c>
      <c r="L103" s="887" t="n">
        <v>2</v>
      </c>
      <c r="M103" s="888" t="n">
        <v>0</v>
      </c>
    </row>
    <row r="104" ht="14.5" customHeight="1">
      <c r="A104" s="907" t="inlineStr">
        <is>
          <t>MONTHLY</t>
        </is>
      </c>
      <c r="B104" s="947" t="n">
        <v>0</v>
      </c>
      <c r="C104" s="947" t="n">
        <v>0</v>
      </c>
      <c r="D104" s="947" t="n">
        <v>0</v>
      </c>
      <c r="E104" s="947" t="n">
        <v>0</v>
      </c>
      <c r="F104" s="947" t="n">
        <v>0</v>
      </c>
      <c r="G104" s="947" t="n">
        <v>0</v>
      </c>
      <c r="H104" s="947" t="n">
        <v>0</v>
      </c>
      <c r="I104" s="947" t="n">
        <v>0</v>
      </c>
      <c r="J104" s="947" t="n">
        <v>0</v>
      </c>
      <c r="K104" s="947" t="n">
        <v>0</v>
      </c>
      <c r="L104" s="947" t="n">
        <v>0</v>
      </c>
      <c r="M104" s="948" t="n">
        <v>0</v>
      </c>
    </row>
    <row r="105" ht="14.5" customHeight="1">
      <c r="A105" s="924" t="inlineStr">
        <is>
          <t>Commission</t>
        </is>
      </c>
      <c r="B105" s="931" t="inlineStr"/>
      <c r="C105" s="931" t="inlineStr"/>
      <c r="D105" s="931" t="inlineStr"/>
      <c r="E105" s="931" t="inlineStr"/>
      <c r="F105" s="931" t="inlineStr"/>
      <c r="G105" s="931" t="inlineStr"/>
      <c r="H105" s="931" t="inlineStr"/>
      <c r="I105" s="931" t="inlineStr"/>
      <c r="J105" s="931" t="inlineStr"/>
      <c r="K105" s="931" t="inlineStr"/>
      <c r="L105" s="931" t="inlineStr"/>
      <c r="M105" s="932" t="inlineStr"/>
    </row>
    <row r="106" ht="14.5" customHeight="1">
      <c r="A106" s="889" t="inlineStr">
        <is>
          <t>Min Commission</t>
        </is>
      </c>
      <c r="B106" s="989" t="n">
        <v>0.01515212</v>
      </c>
      <c r="C106" s="927" t="inlineStr">
        <is>
          <t>AUD 0.16 / USDT 0.0050</t>
        </is>
      </c>
      <c r="D106" s="927" t="inlineStr">
        <is>
          <t>AUD 0.030 / USDT 0.041</t>
        </is>
      </c>
      <c r="E106" s="927" t="inlineStr">
        <is>
          <t>AUD 0.010 / USDT 0.0046</t>
        </is>
      </c>
      <c r="F106" s="927" t="inlineStr">
        <is>
          <t>AUD 0.010 / USDT 0.0019</t>
        </is>
      </c>
      <c r="G106" s="927" t="inlineStr">
        <is>
          <t>AUD 0.39 / USDT 0.018</t>
        </is>
      </c>
      <c r="H106" s="927" t="inlineStr">
        <is>
          <t>AUD 0.21 / USDT 0.011</t>
        </is>
      </c>
      <c r="I106" s="998" t="n">
        <v>0.00964311</v>
      </c>
      <c r="J106" s="927" t="inlineStr">
        <is>
          <t>AUD 0.030 / USDT 0.010</t>
        </is>
      </c>
      <c r="K106" s="927" t="inlineStr">
        <is>
          <t>AUD 0.26 / USDT 0.051</t>
        </is>
      </c>
      <c r="L106" s="927" t="inlineStr">
        <is>
          <t>AUD 0.010 / USDT 0.013</t>
        </is>
      </c>
      <c r="M106" s="904" t="inlineStr"/>
    </row>
    <row r="107" ht="14.5" customHeight="1">
      <c r="A107" s="889" t="inlineStr">
        <is>
          <t>Avg Commission</t>
        </is>
      </c>
      <c r="B107" s="990" t="n">
        <v>0.1081959991666667</v>
      </c>
      <c r="C107" s="927" t="inlineStr">
        <is>
          <t>AUD 0.57 / USDT 0.37</t>
        </is>
      </c>
      <c r="D107" s="927" t="inlineStr">
        <is>
          <t>AUD 0.18 / USDT 0.24</t>
        </is>
      </c>
      <c r="E107" s="927" t="inlineStr">
        <is>
          <t>AUD 0.093 / USDT 0.17</t>
        </is>
      </c>
      <c r="F107" s="927" t="inlineStr">
        <is>
          <t>AUD 0.036 / USDT 0.063</t>
        </is>
      </c>
      <c r="G107" s="927" t="inlineStr">
        <is>
          <t>AUD 0.84 / USDT 0.043</t>
        </is>
      </c>
      <c r="H107" s="927" t="inlineStr">
        <is>
          <t>AUD 0.79 / USDT 0.040</t>
        </is>
      </c>
      <c r="I107" s="989" t="n">
        <v>0.05690611666666667</v>
      </c>
      <c r="J107" s="927" t="inlineStr">
        <is>
          <t>AUD 0.35 / USDT 0.077</t>
        </is>
      </c>
      <c r="K107" s="927" t="inlineStr">
        <is>
          <t>AUD 0.67 / USDT 0.14</t>
        </is>
      </c>
      <c r="L107" s="927" t="inlineStr">
        <is>
          <t>AUD 0.21 / USDT 0.091</t>
        </is>
      </c>
      <c r="M107" s="904" t="inlineStr"/>
    </row>
    <row r="108" ht="14.5" customHeight="1">
      <c r="A108" s="889" t="inlineStr">
        <is>
          <t>Max Commission</t>
        </is>
      </c>
      <c r="B108" s="993" t="n">
        <v>0.25474625</v>
      </c>
      <c r="C108" s="959" t="inlineStr">
        <is>
          <t>AUD 0.97 / USDT 1.21</t>
        </is>
      </c>
      <c r="D108" s="959" t="inlineStr">
        <is>
          <t>AUD 0.40 / USDT 0.73</t>
        </is>
      </c>
      <c r="E108" s="959" t="inlineStr">
        <is>
          <t>AUD 0.15 / USDT 2.40</t>
        </is>
      </c>
      <c r="F108" s="959" t="inlineStr">
        <is>
          <t>AUD 0.080 / USDT 0.20</t>
        </is>
      </c>
      <c r="G108" s="959" t="inlineStr">
        <is>
          <t>AUD 1.26 / USDT 0.13</t>
        </is>
      </c>
      <c r="H108" s="959" t="inlineStr">
        <is>
          <t>AUD 1.40 / USDT 0.14</t>
        </is>
      </c>
      <c r="I108" s="993" t="n">
        <v>0.10038807</v>
      </c>
      <c r="J108" s="959" t="inlineStr">
        <is>
          <t>AUD 0.63 / USDT 0.23</t>
        </is>
      </c>
      <c r="K108" s="959" t="inlineStr">
        <is>
          <t>AUD 1.26 / USDT 0.34</t>
        </is>
      </c>
      <c r="L108" s="959" t="inlineStr">
        <is>
          <t>AUD 0.55 / USDT 0.40</t>
        </is>
      </c>
      <c r="M108" s="938" t="inlineStr"/>
    </row>
    <row r="109" ht="14.5" customHeight="1">
      <c r="A109" s="919" t="inlineStr">
        <is>
          <t>Total Commission</t>
        </is>
      </c>
      <c r="B109" s="996" t="n">
        <v>1.29835199</v>
      </c>
      <c r="C109" s="953" t="inlineStr">
        <is>
          <t>AUD 1.13 / USDT 2.61</t>
        </is>
      </c>
      <c r="D109" s="953" t="inlineStr">
        <is>
          <t>AUD 0.90 / USDT 2.88</t>
        </is>
      </c>
      <c r="E109" s="953" t="inlineStr">
        <is>
          <t>AUD 0.28 / USDT 6.95</t>
        </is>
      </c>
      <c r="F109" s="953" t="inlineStr">
        <is>
          <t>AUD 0.18 / USDT 2.41</t>
        </is>
      </c>
      <c r="G109" s="953" t="inlineStr">
        <is>
          <t>AUD 5.85 / USDT 0.26</t>
        </is>
      </c>
      <c r="H109" s="953" t="inlineStr">
        <is>
          <t>AUD 10.29 / USDT 0.28</t>
        </is>
      </c>
      <c r="I109" s="996" t="n">
        <v>0.3414367</v>
      </c>
      <c r="J109" s="953" t="inlineStr">
        <is>
          <t>AUD 3.17 / USDT 1.78</t>
        </is>
      </c>
      <c r="K109" s="953" t="inlineStr">
        <is>
          <t>AUD 10.71 / USDT 1.67</t>
        </is>
      </c>
      <c r="L109" s="953" t="inlineStr">
        <is>
          <t>AUD 1.27 / USDT 0.64</t>
        </is>
      </c>
      <c r="M109" s="921" t="inlineStr"/>
    </row>
    <row r="110">
      <c r="A110" s="962" t="n"/>
      <c r="B110" s="963" t="n"/>
      <c r="C110" s="963" t="n"/>
      <c r="D110" s="963" t="n"/>
      <c r="E110" s="963" t="n"/>
      <c r="F110" s="963" t="n"/>
      <c r="G110" s="963" t="n"/>
      <c r="H110" s="963" t="n"/>
      <c r="I110" s="963" t="n"/>
      <c r="J110" s="963" t="n"/>
      <c r="K110" s="963" t="n"/>
      <c r="L110" s="963" t="n"/>
      <c r="M110" s="963" t="n"/>
    </row>
    <row r="111">
      <c r="A111" s="962" t="n"/>
      <c r="B111" s="965" t="n"/>
      <c r="C111" s="965" t="n"/>
      <c r="D111" s="965" t="n"/>
      <c r="E111" s="965" t="n"/>
      <c r="F111" s="965" t="n"/>
      <c r="G111" s="965" t="n"/>
      <c r="H111" s="965" t="n"/>
      <c r="I111" s="965" t="n"/>
      <c r="J111" s="965" t="n"/>
      <c r="K111" s="965" t="n"/>
      <c r="L111" s="965" t="n"/>
      <c r="M111" s="965" t="n"/>
    </row>
    <row r="112">
      <c r="A112" s="962" t="n"/>
      <c r="B112" s="965" t="n"/>
      <c r="C112" s="965" t="n"/>
      <c r="D112" s="965" t="n"/>
      <c r="E112" s="965" t="n"/>
      <c r="F112" s="965" t="n"/>
      <c r="G112" s="965" t="n"/>
      <c r="H112" s="965" t="n"/>
      <c r="I112" s="965" t="n"/>
      <c r="J112" s="965" t="n"/>
      <c r="K112" s="965" t="n"/>
      <c r="L112" s="965" t="n"/>
      <c r="M112" s="965" t="n"/>
    </row>
    <row r="113">
      <c r="A113" s="962" t="n"/>
      <c r="B113" s="967" t="n"/>
      <c r="C113" s="967" t="n"/>
      <c r="D113" s="967" t="n"/>
      <c r="E113" s="967" t="n"/>
      <c r="F113" s="967" t="n"/>
      <c r="G113" s="967" t="n"/>
      <c r="H113" s="967" t="n"/>
      <c r="I113" s="967" t="n"/>
      <c r="J113" s="967" t="n"/>
      <c r="K113" s="967" t="n"/>
      <c r="L113" s="967" t="n"/>
      <c r="M113" s="967" t="n"/>
    </row>
    <row r="114">
      <c r="A114" s="962" t="n"/>
      <c r="B114" s="964" t="n"/>
      <c r="C114" s="964" t="n"/>
      <c r="D114" s="964" t="n"/>
      <c r="E114" s="964" t="n"/>
      <c r="F114" s="964" t="n"/>
      <c r="G114" s="964" t="n"/>
      <c r="H114" s="964" t="n"/>
      <c r="I114" s="964" t="n"/>
      <c r="J114" s="964" t="n"/>
      <c r="K114" s="964" t="n"/>
      <c r="L114" s="964" t="n"/>
      <c r="M114" s="963" t="n"/>
    </row>
    <row r="115">
      <c r="A115" s="962" t="n"/>
      <c r="B115" s="964" t="n"/>
      <c r="C115" s="964" t="n"/>
      <c r="D115" s="964" t="n"/>
      <c r="E115" s="964" t="n"/>
      <c r="F115" s="964" t="n"/>
      <c r="G115" s="964" t="n"/>
      <c r="H115" s="964" t="n"/>
      <c r="I115" s="964" t="n"/>
      <c r="J115" s="964" t="n"/>
      <c r="K115" s="964" t="n"/>
      <c r="L115" s="964" t="n"/>
      <c r="M115" s="963" t="n"/>
    </row>
    <row r="116">
      <c r="A116" s="962" t="n"/>
      <c r="B116" s="964" t="n"/>
      <c r="C116" s="964" t="n"/>
      <c r="D116" s="964" t="n"/>
      <c r="E116" s="964" t="n"/>
      <c r="F116" s="964" t="n"/>
      <c r="G116" s="964" t="n"/>
      <c r="H116" s="964" t="n"/>
      <c r="I116" s="964" t="n"/>
      <c r="J116" s="964" t="n"/>
      <c r="K116" s="964" t="n"/>
      <c r="L116" s="964" t="n"/>
      <c r="M116" s="963" t="n"/>
    </row>
    <row r="117">
      <c r="A117" s="962" t="n"/>
      <c r="B117" s="964" t="n"/>
      <c r="C117" s="964" t="n"/>
      <c r="D117" s="964" t="n"/>
      <c r="E117" s="964" t="n"/>
      <c r="F117" s="964" t="n"/>
      <c r="G117" s="964" t="n"/>
      <c r="H117" s="964" t="n"/>
      <c r="I117" s="964" t="n"/>
      <c r="J117" s="964" t="n"/>
      <c r="K117" s="964" t="n"/>
      <c r="L117" s="964" t="n"/>
      <c r="M117" s="963" t="n"/>
    </row>
    <row r="118">
      <c r="A118" s="962" t="n"/>
      <c r="B118" s="964" t="n"/>
      <c r="C118" s="964" t="n"/>
      <c r="D118" s="964" t="n"/>
      <c r="E118" s="964" t="n"/>
      <c r="F118" s="964" t="n"/>
      <c r="G118" s="964" t="n"/>
      <c r="H118" s="964" t="n"/>
      <c r="I118" s="964" t="n"/>
      <c r="J118" s="964" t="n"/>
      <c r="K118" s="964" t="n"/>
      <c r="L118" s="964" t="n"/>
      <c r="M118" s="963" t="n"/>
    </row>
    <row r="119">
      <c r="A119" s="962" t="n"/>
      <c r="B119" s="964" t="n"/>
      <c r="C119" s="964" t="n"/>
      <c r="D119" s="964" t="n"/>
      <c r="E119" s="964" t="n"/>
      <c r="F119" s="964" t="n"/>
      <c r="G119" s="964" t="n"/>
      <c r="H119" s="964" t="n"/>
      <c r="I119" s="964" t="n"/>
      <c r="J119" s="964" t="n"/>
      <c r="K119" s="964" t="n"/>
      <c r="L119" s="964" t="n"/>
      <c r="M119" s="963" t="n"/>
    </row>
    <row r="120">
      <c r="A120" s="962" t="n"/>
      <c r="B120" s="964" t="n"/>
      <c r="C120" s="964" t="n"/>
      <c r="D120" s="964" t="n"/>
      <c r="E120" s="964" t="n"/>
      <c r="F120" s="964" t="n"/>
      <c r="G120" s="964" t="n"/>
      <c r="H120" s="964" t="n"/>
      <c r="I120" s="964" t="n"/>
      <c r="J120" s="964" t="n"/>
      <c r="K120" s="964" t="n"/>
      <c r="L120" s="964" t="n"/>
      <c r="M120" s="963" t="n"/>
    </row>
    <row r="121">
      <c r="A121" s="962" t="n"/>
      <c r="B121" s="964" t="n"/>
      <c r="C121" s="964" t="n"/>
      <c r="D121" s="964" t="n"/>
      <c r="E121" s="964" t="n"/>
      <c r="F121" s="964" t="n"/>
      <c r="G121" s="964" t="n"/>
      <c r="H121" s="964" t="n"/>
      <c r="I121" s="964" t="n"/>
      <c r="J121" s="964" t="n"/>
      <c r="K121" s="964" t="n"/>
      <c r="L121" s="964" t="n"/>
      <c r="M121" s="963" t="n"/>
    </row>
    <row r="122">
      <c r="A122" s="962" t="n"/>
      <c r="B122" s="964" t="n"/>
      <c r="C122" s="964" t="n"/>
      <c r="D122" s="964" t="n"/>
      <c r="E122" s="964" t="n"/>
      <c r="F122" s="964" t="n"/>
      <c r="G122" s="964" t="n"/>
      <c r="H122" s="964" t="n"/>
      <c r="I122" s="964" t="n"/>
      <c r="J122" s="964" t="n"/>
      <c r="K122" s="964" t="n"/>
      <c r="L122" s="964" t="n"/>
      <c r="M122" s="963" t="n"/>
    </row>
    <row r="123">
      <c r="A123" s="962" t="n"/>
      <c r="B123" s="967" t="n"/>
      <c r="C123" s="967" t="n"/>
      <c r="D123" s="967" t="n"/>
      <c r="E123" s="967" t="n"/>
      <c r="F123" s="967" t="n"/>
      <c r="G123" s="967" t="n"/>
      <c r="H123" s="967" t="n"/>
      <c r="I123" s="967" t="n"/>
      <c r="J123" s="967" t="n"/>
      <c r="K123" s="967" t="n"/>
      <c r="L123" s="967" t="n"/>
      <c r="M123" s="967" t="n"/>
    </row>
    <row r="124">
      <c r="A124" s="962" t="n"/>
      <c r="B124" s="964" t="n"/>
      <c r="C124" s="964" t="n"/>
      <c r="D124" s="964" t="n"/>
      <c r="E124" s="964" t="n"/>
      <c r="F124" s="964" t="n"/>
      <c r="G124" s="964" t="n"/>
      <c r="H124" s="964" t="n"/>
      <c r="I124" s="964" t="n"/>
      <c r="J124" s="964" t="n"/>
      <c r="K124" s="964" t="n"/>
      <c r="L124" s="964" t="n"/>
      <c r="M124" s="963" t="n"/>
    </row>
    <row r="125">
      <c r="A125" s="962" t="n"/>
      <c r="B125" s="964" t="n"/>
      <c r="C125" s="964" t="n"/>
      <c r="D125" s="964" t="n"/>
      <c r="E125" s="964" t="n"/>
      <c r="F125" s="964" t="n"/>
      <c r="G125" s="964" t="n"/>
      <c r="H125" s="964" t="n"/>
      <c r="I125" s="964" t="n"/>
      <c r="J125" s="964" t="n"/>
      <c r="K125" s="964" t="n"/>
      <c r="L125" s="964" t="n"/>
      <c r="M125" s="963" t="n"/>
    </row>
    <row r="126">
      <c r="A126" s="962" t="n"/>
      <c r="B126" s="964" t="n"/>
      <c r="C126" s="964" t="n"/>
      <c r="D126" s="964" t="n"/>
      <c r="E126" s="964" t="n"/>
      <c r="F126" s="964" t="n"/>
      <c r="G126" s="964" t="n"/>
      <c r="H126" s="964" t="n"/>
      <c r="I126" s="964" t="n"/>
      <c r="J126" s="964" t="n"/>
      <c r="K126" s="964" t="n"/>
      <c r="L126" s="964" t="n"/>
      <c r="M126" s="963" t="n"/>
    </row>
    <row r="127">
      <c r="A127" s="962" t="n"/>
      <c r="B127" s="964" t="n"/>
      <c r="C127" s="964" t="n"/>
      <c r="D127" s="964" t="n"/>
      <c r="E127" s="964" t="n"/>
      <c r="F127" s="964" t="n"/>
      <c r="G127" s="964" t="n"/>
      <c r="H127" s="964" t="n"/>
      <c r="I127" s="964" t="n"/>
      <c r="J127" s="964" t="n"/>
      <c r="K127" s="964" t="n"/>
      <c r="L127" s="964" t="n"/>
      <c r="M127" s="963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27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34" customWidth="1" min="1" max="1"/>
    <col width="31" customWidth="1" min="2" max="2"/>
    <col width="33" customWidth="1" min="3" max="3"/>
    <col width="35" customWidth="1" min="4" max="4"/>
    <col width="34" customWidth="1" min="5" max="5"/>
    <col width="43" customWidth="1" min="6" max="6"/>
    <col width="36" customWidth="1" min="7" max="7"/>
    <col width="34" customWidth="1" min="8" max="8"/>
    <col width="33" customWidth="1" min="9" max="9"/>
    <col width="43" customWidth="1" min="10" max="10"/>
    <col width="35" customWidth="1" min="11" max="12"/>
    <col width="34" customWidth="1" min="13" max="13"/>
  </cols>
  <sheetData>
    <row r="1">
      <c r="A1" s="883" t="n"/>
      <c r="B1" s="884" t="inlineStr">
        <is>
          <t>January</t>
        </is>
      </c>
      <c r="C1" s="884" t="inlineStr">
        <is>
          <t>February</t>
        </is>
      </c>
      <c r="D1" s="884" t="inlineStr">
        <is>
          <t>March</t>
        </is>
      </c>
      <c r="E1" s="884" t="inlineStr">
        <is>
          <t>April</t>
        </is>
      </c>
      <c r="F1" s="884" t="inlineStr">
        <is>
          <t>May</t>
        </is>
      </c>
      <c r="G1" s="884" t="inlineStr">
        <is>
          <t>June</t>
        </is>
      </c>
      <c r="H1" s="884" t="inlineStr">
        <is>
          <t>July</t>
        </is>
      </c>
      <c r="I1" s="884" t="inlineStr">
        <is>
          <t>August</t>
        </is>
      </c>
      <c r="J1" s="884" t="inlineStr">
        <is>
          <t>September</t>
        </is>
      </c>
      <c r="K1" s="884" t="inlineStr">
        <is>
          <t>October</t>
        </is>
      </c>
      <c r="L1" s="884" t="inlineStr">
        <is>
          <t>November</t>
        </is>
      </c>
      <c r="M1" s="885" t="inlineStr">
        <is>
          <t>December</t>
        </is>
      </c>
    </row>
    <row r="2" ht="14.5" customHeight="1">
      <c r="A2" s="886" t="inlineStr">
        <is>
          <t>Trades</t>
        </is>
      </c>
      <c r="B2" s="887" t="n">
        <v>1</v>
      </c>
      <c r="C2" s="887" t="n">
        <v>1</v>
      </c>
      <c r="D2" s="887" t="n">
        <v>2</v>
      </c>
      <c r="E2" s="887" t="n">
        <v>2</v>
      </c>
      <c r="F2" s="887" t="n">
        <v>15</v>
      </c>
      <c r="G2" s="887" t="n">
        <v>4</v>
      </c>
      <c r="H2" s="887" t="n">
        <v>9</v>
      </c>
      <c r="I2" s="887" t="n">
        <v>1</v>
      </c>
      <c r="J2" s="887" t="n">
        <v>3</v>
      </c>
      <c r="K2" s="887" t="n">
        <v>6</v>
      </c>
      <c r="L2" s="887" t="n">
        <v>10</v>
      </c>
      <c r="M2" s="888" t="n">
        <v>4</v>
      </c>
    </row>
    <row r="3" ht="14.5" customHeight="1">
      <c r="A3" s="889" t="inlineStr">
        <is>
          <t>Wins</t>
        </is>
      </c>
      <c r="B3" s="890" t="n">
        <v>0</v>
      </c>
      <c r="C3" s="890" t="n">
        <v>1</v>
      </c>
      <c r="D3" s="890" t="n">
        <v>0</v>
      </c>
      <c r="E3" s="890" t="n">
        <v>0</v>
      </c>
      <c r="F3" s="890" t="n">
        <v>5</v>
      </c>
      <c r="G3" s="890" t="n">
        <v>2</v>
      </c>
      <c r="H3" s="890" t="n">
        <v>3</v>
      </c>
      <c r="I3" s="890" t="n">
        <v>1</v>
      </c>
      <c r="J3" s="890" t="n">
        <v>0</v>
      </c>
      <c r="K3" s="890" t="n">
        <v>2</v>
      </c>
      <c r="L3" s="890" t="n">
        <v>4</v>
      </c>
      <c r="M3" s="891" t="n">
        <v>1</v>
      </c>
    </row>
    <row r="4" ht="14.5" customHeight="1">
      <c r="A4" s="889" t="inlineStr">
        <is>
          <t>Losses</t>
        </is>
      </c>
      <c r="B4" s="892" t="n">
        <v>1</v>
      </c>
      <c r="C4" s="892" t="n">
        <v>0</v>
      </c>
      <c r="D4" s="892" t="n">
        <v>2</v>
      </c>
      <c r="E4" s="892" t="n">
        <v>2</v>
      </c>
      <c r="F4" s="892" t="n">
        <v>10</v>
      </c>
      <c r="G4" s="892" t="n">
        <v>2</v>
      </c>
      <c r="H4" s="892" t="n">
        <v>6</v>
      </c>
      <c r="I4" s="892" t="n">
        <v>0</v>
      </c>
      <c r="J4" s="892" t="n">
        <v>3</v>
      </c>
      <c r="K4" s="892" t="n">
        <v>4</v>
      </c>
      <c r="L4" s="892" t="n">
        <v>6</v>
      </c>
      <c r="M4" s="893" t="n">
        <v>3</v>
      </c>
    </row>
    <row r="5" ht="14.5" customHeight="1">
      <c r="A5" s="889" t="inlineStr">
        <is>
          <t>Break-even</t>
        </is>
      </c>
      <c r="B5" s="887" t="n">
        <v>0</v>
      </c>
      <c r="C5" s="887" t="n">
        <v>0</v>
      </c>
      <c r="D5" s="887" t="n">
        <v>0</v>
      </c>
      <c r="E5" s="887" t="n">
        <v>0</v>
      </c>
      <c r="F5" s="887" t="n">
        <v>0</v>
      </c>
      <c r="G5" s="887" t="n">
        <v>0</v>
      </c>
      <c r="H5" s="887" t="n">
        <v>0</v>
      </c>
      <c r="I5" s="887" t="n">
        <v>0</v>
      </c>
      <c r="J5" s="887" t="n">
        <v>0</v>
      </c>
      <c r="K5" s="887" t="n">
        <v>0</v>
      </c>
      <c r="L5" s="887" t="n">
        <v>0</v>
      </c>
      <c r="M5" s="888" t="n">
        <v>0</v>
      </c>
    </row>
    <row r="6" ht="14.5" customHeight="1">
      <c r="A6" s="889" t="inlineStr">
        <is>
          <t>Test</t>
        </is>
      </c>
      <c r="B6" s="887" t="n">
        <v>0</v>
      </c>
      <c r="C6" s="887" t="n">
        <v>0</v>
      </c>
      <c r="D6" s="887" t="n">
        <v>0</v>
      </c>
      <c r="E6" s="887" t="n">
        <v>0</v>
      </c>
      <c r="F6" s="887" t="n">
        <v>0</v>
      </c>
      <c r="G6" s="887" t="n">
        <v>0</v>
      </c>
      <c r="H6" s="887" t="n">
        <v>0</v>
      </c>
      <c r="I6" s="887" t="n">
        <v>0</v>
      </c>
      <c r="J6" s="887" t="n">
        <v>0</v>
      </c>
      <c r="K6" s="887" t="n">
        <v>0</v>
      </c>
      <c r="L6" s="887" t="n">
        <v>0</v>
      </c>
      <c r="M6" s="888" t="n">
        <v>0</v>
      </c>
    </row>
    <row r="7" ht="14.5" customHeight="1">
      <c r="A7" s="886" t="inlineStr">
        <is>
          <t>Win rate</t>
        </is>
      </c>
      <c r="B7" s="894" t="n">
        <v>0</v>
      </c>
      <c r="C7" s="894" t="n">
        <v>1</v>
      </c>
      <c r="D7" s="894" t="n">
        <v>0</v>
      </c>
      <c r="E7" s="894" t="n">
        <v>0</v>
      </c>
      <c r="F7" s="894" t="n">
        <v>0.3333333333333333</v>
      </c>
      <c r="G7" s="894" t="n">
        <v>0.5</v>
      </c>
      <c r="H7" s="894" t="n">
        <v>0.3333333333333333</v>
      </c>
      <c r="I7" s="894" t="n">
        <v>1</v>
      </c>
      <c r="J7" s="894" t="n">
        <v>0</v>
      </c>
      <c r="K7" s="894" t="n">
        <v>0.3333333333333333</v>
      </c>
      <c r="L7" s="894" t="n">
        <v>0.4</v>
      </c>
      <c r="M7" s="895" t="n">
        <v>0.25</v>
      </c>
    </row>
    <row r="8" ht="14.5" customHeight="1">
      <c r="A8" s="886" t="inlineStr">
        <is>
          <t>Net P/L</t>
        </is>
      </c>
      <c r="B8" s="896" t="n">
        <v>-0.01055000362958841</v>
      </c>
      <c r="C8" s="897" t="n">
        <v>0.04017999070700155</v>
      </c>
      <c r="D8" s="896" t="n">
        <v>-0.01480968891081644</v>
      </c>
      <c r="E8" s="896" t="n">
        <v>-0.009552800450097454</v>
      </c>
      <c r="F8" s="896" t="n">
        <v>-0.0270303895035212</v>
      </c>
      <c r="G8" s="897" t="n">
        <v>0.01998245112893076</v>
      </c>
      <c r="H8" s="896" t="n">
        <v>-0.002342037686626539</v>
      </c>
      <c r="I8" s="897" t="n">
        <v>0.01939342562871187</v>
      </c>
      <c r="J8" s="896" t="n">
        <v>-0.03051263756406792</v>
      </c>
      <c r="K8" s="896" t="n">
        <v>-0.001526370566956878</v>
      </c>
      <c r="L8" s="897" t="n">
        <v>0.01254451348878212</v>
      </c>
      <c r="M8" s="898" t="n">
        <v>-0.03010197840021749</v>
      </c>
    </row>
    <row r="9" ht="14.5" customHeight="1">
      <c r="A9" s="886" t="inlineStr">
        <is>
          <t>Gross percent gain</t>
        </is>
      </c>
      <c r="B9" s="897" t="n">
        <v>0</v>
      </c>
      <c r="C9" s="897" t="n">
        <v>0.04017999070700155</v>
      </c>
      <c r="D9" s="897" t="n">
        <v>0</v>
      </c>
      <c r="E9" s="897" t="n">
        <v>0</v>
      </c>
      <c r="F9" s="897" t="n">
        <v>0.06597568151367667</v>
      </c>
      <c r="G9" s="897" t="n">
        <v>0.03919426650334716</v>
      </c>
      <c r="H9" s="897" t="n">
        <v>0.0495505632446046</v>
      </c>
      <c r="I9" s="897" t="n">
        <v>0.01939342562871187</v>
      </c>
      <c r="J9" s="897" t="n">
        <v>0</v>
      </c>
      <c r="K9" s="897" t="n">
        <v>0.03952412065661876</v>
      </c>
      <c r="L9" s="897" t="n">
        <v>0.07075338578464639</v>
      </c>
      <c r="M9" s="968" t="n">
        <v>0</v>
      </c>
    </row>
    <row r="10" ht="14.5" customHeight="1">
      <c r="A10" s="886" t="inlineStr">
        <is>
          <t>Gross percent loss</t>
        </is>
      </c>
      <c r="B10" s="896" t="n">
        <v>0.01055000362958841</v>
      </c>
      <c r="C10" s="896" t="n">
        <v>0</v>
      </c>
      <c r="D10" s="896" t="n">
        <v>0.01480968891081644</v>
      </c>
      <c r="E10" s="896" t="n">
        <v>0.009552800450097454</v>
      </c>
      <c r="F10" s="896" t="n">
        <v>0.09300607101719786</v>
      </c>
      <c r="G10" s="896" t="n">
        <v>0.01921181537441641</v>
      </c>
      <c r="H10" s="896" t="n">
        <v>0.05189260093123114</v>
      </c>
      <c r="I10" s="896" t="n">
        <v>0</v>
      </c>
      <c r="J10" s="896" t="n">
        <v>0.03051263756406792</v>
      </c>
      <c r="K10" s="896" t="n">
        <v>0.04105049122357563</v>
      </c>
      <c r="L10" s="896" t="n">
        <v>0.05820887229586427</v>
      </c>
      <c r="M10" s="898" t="n">
        <v>0.03010197840021749</v>
      </c>
    </row>
    <row r="11" ht="14.5" customHeight="1">
      <c r="A11" s="886" t="inlineStr">
        <is>
          <t>Gross IR gain</t>
        </is>
      </c>
      <c r="B11" s="900" t="n">
        <v>0</v>
      </c>
      <c r="C11" s="900" t="n">
        <v>3.526530612244959</v>
      </c>
      <c r="D11" s="900" t="n">
        <v>0</v>
      </c>
      <c r="E11" s="900" t="n">
        <v>0</v>
      </c>
      <c r="F11" s="900" t="n">
        <v>6.175705755431802</v>
      </c>
      <c r="G11" s="900" t="n">
        <v>4.014234875444764</v>
      </c>
      <c r="H11" s="900" t="n">
        <v>6.042896211017868</v>
      </c>
      <c r="I11" s="900" t="n">
        <v>2</v>
      </c>
      <c r="J11" s="900" t="n">
        <v>0</v>
      </c>
      <c r="K11" s="900" t="n">
        <v>4.361629881154808</v>
      </c>
      <c r="L11" s="900" t="n">
        <v>7.167885238663485</v>
      </c>
      <c r="M11" s="901" t="n">
        <v>2.000000000000185</v>
      </c>
    </row>
    <row r="12" ht="14.5" customHeight="1">
      <c r="A12" s="886" t="inlineStr">
        <is>
          <t>Gross IR loss</t>
        </is>
      </c>
      <c r="B12" s="902" t="n">
        <v>1.012987012987099</v>
      </c>
      <c r="C12" s="902" t="n">
        <v>0</v>
      </c>
      <c r="D12" s="902" t="n">
        <v>2.149329634766528</v>
      </c>
      <c r="E12" s="902" t="n">
        <v>2</v>
      </c>
      <c r="F12" s="902" t="n">
        <v>10.36569657654665</v>
      </c>
      <c r="G12" s="902" t="n">
        <v>2.006896551724171</v>
      </c>
      <c r="H12" s="902" t="n">
        <v>5.70573910008125</v>
      </c>
      <c r="I12" s="902" t="n">
        <v>0</v>
      </c>
      <c r="J12" s="902" t="n">
        <v>3.124250418039249</v>
      </c>
      <c r="K12" s="902" t="n">
        <v>4.073254849599283</v>
      </c>
      <c r="L12" s="902" t="n">
        <v>6.028611965719625</v>
      </c>
      <c r="M12" s="903" t="n">
        <v>3.110516934046142</v>
      </c>
    </row>
    <row r="13" ht="14.5" customHeight="1">
      <c r="A13" s="886" t="inlineStr">
        <is>
          <t>Best Win Streak</t>
        </is>
      </c>
      <c r="B13" s="945" t="inlineStr"/>
      <c r="C13" s="890" t="n">
        <v>1</v>
      </c>
      <c r="D13" s="945" t="inlineStr"/>
      <c r="E13" s="945" t="inlineStr"/>
      <c r="F13" s="890" t="n">
        <v>2</v>
      </c>
      <c r="G13" s="890" t="n">
        <v>2</v>
      </c>
      <c r="H13" s="890" t="n">
        <v>1</v>
      </c>
      <c r="I13" s="890" t="n">
        <v>1</v>
      </c>
      <c r="J13" s="945" t="inlineStr"/>
      <c r="K13" s="890" t="n">
        <v>2</v>
      </c>
      <c r="L13" s="890" t="n">
        <v>2</v>
      </c>
      <c r="M13" s="891" t="n">
        <v>1</v>
      </c>
    </row>
    <row r="14" ht="14.5" customHeight="1">
      <c r="A14" s="889" t="inlineStr">
        <is>
          <t>Start</t>
        </is>
      </c>
      <c r="B14" s="917" t="inlineStr"/>
      <c r="C14" s="661" t="inlineStr">
        <is>
          <t>2022-02-04 00:02:34</t>
        </is>
      </c>
      <c r="D14" s="917" t="inlineStr"/>
      <c r="E14" s="917" t="inlineStr"/>
      <c r="F14" s="661" t="inlineStr">
        <is>
          <t>2022-05-05 16:51:11</t>
        </is>
      </c>
      <c r="G14" s="661" t="inlineStr">
        <is>
          <t>2022-06-01 11:18:13</t>
        </is>
      </c>
      <c r="H14" s="661" t="inlineStr">
        <is>
          <t>2022-07-06 00:35:00</t>
        </is>
      </c>
      <c r="I14" s="661" t="inlineStr">
        <is>
          <t>2022-08-01 21:23:00</t>
        </is>
      </c>
      <c r="J14" s="917" t="inlineStr"/>
      <c r="K14" s="661" t="inlineStr">
        <is>
          <t>2022-10-11 22:57:00</t>
        </is>
      </c>
      <c r="L14" s="661" t="inlineStr">
        <is>
          <t>2022-11-25 04:21:00</t>
        </is>
      </c>
      <c r="M14" s="904" t="inlineStr">
        <is>
          <t>2022-12-15 00:05:04</t>
        </is>
      </c>
    </row>
    <row r="15" ht="14.5" customHeight="1">
      <c r="A15" s="889" t="inlineStr">
        <is>
          <t>End</t>
        </is>
      </c>
      <c r="B15" s="917" t="inlineStr"/>
      <c r="C15" s="661" t="inlineStr">
        <is>
          <t>2022-02-04 00:02:34</t>
        </is>
      </c>
      <c r="D15" s="917" t="inlineStr"/>
      <c r="E15" s="917" t="inlineStr"/>
      <c r="F15" s="661" t="inlineStr">
        <is>
          <t>2022-05-05 18:02:04</t>
        </is>
      </c>
      <c r="G15" s="661" t="inlineStr">
        <is>
          <t>2022-06-09 22:25:00</t>
        </is>
      </c>
      <c r="H15" s="661" t="inlineStr">
        <is>
          <t>2022-07-06 00:35:00</t>
        </is>
      </c>
      <c r="I15" s="661" t="inlineStr">
        <is>
          <t>2022-08-01 21:23:00</t>
        </is>
      </c>
      <c r="J15" s="917" t="inlineStr"/>
      <c r="K15" s="661" t="inlineStr">
        <is>
          <t>2022-10-20 02:08:00</t>
        </is>
      </c>
      <c r="L15" s="661" t="inlineStr">
        <is>
          <t>2022-11-29 21:00:00</t>
        </is>
      </c>
      <c r="M15" s="904" t="inlineStr">
        <is>
          <t>2022-12-15 00:05:04</t>
        </is>
      </c>
    </row>
    <row r="16" ht="14.5" customHeight="1">
      <c r="A16" s="886" t="inlineStr">
        <is>
          <t>Worst Losing Streak</t>
        </is>
      </c>
      <c r="B16" s="892" t="n">
        <v>1</v>
      </c>
      <c r="C16" s="945" t="inlineStr"/>
      <c r="D16" s="892" t="n">
        <v>2</v>
      </c>
      <c r="E16" s="892" t="n">
        <v>2</v>
      </c>
      <c r="F16" s="892" t="n">
        <v>7</v>
      </c>
      <c r="G16" s="892" t="n">
        <v>2</v>
      </c>
      <c r="H16" s="892" t="n">
        <v>2</v>
      </c>
      <c r="I16" s="945" t="inlineStr"/>
      <c r="J16" s="892" t="n">
        <v>3</v>
      </c>
      <c r="K16" s="892" t="n">
        <v>2</v>
      </c>
      <c r="L16" s="892" t="n">
        <v>2</v>
      </c>
      <c r="M16" s="893" t="n">
        <v>2</v>
      </c>
    </row>
    <row r="17" ht="14.5" customHeight="1">
      <c r="A17" s="889" t="inlineStr">
        <is>
          <t>Start</t>
        </is>
      </c>
      <c r="B17" s="661" t="inlineStr">
        <is>
          <t>2022-01-26 02:54:36</t>
        </is>
      </c>
      <c r="C17" s="917" t="inlineStr"/>
      <c r="D17" s="661" t="inlineStr">
        <is>
          <t>2022-03-15 04:54:39</t>
        </is>
      </c>
      <c r="E17" s="661" t="inlineStr">
        <is>
          <t>2022-04-28 17:10:16</t>
        </is>
      </c>
      <c r="F17" s="661" t="inlineStr">
        <is>
          <t>2022-05-05 23:50:00</t>
        </is>
      </c>
      <c r="G17" s="661" t="inlineStr">
        <is>
          <t>2022-06-22 23:03:00</t>
        </is>
      </c>
      <c r="H17" s="661" t="inlineStr">
        <is>
          <t>2022-07-02 00:00:00</t>
        </is>
      </c>
      <c r="I17" s="917" t="inlineStr"/>
      <c r="J17" s="661" t="inlineStr">
        <is>
          <t>2022-09-07 19:05:00</t>
        </is>
      </c>
      <c r="K17" s="661" t="inlineStr">
        <is>
          <t>2022-10-05 02:04:00</t>
        </is>
      </c>
      <c r="L17" s="661" t="inlineStr">
        <is>
          <t>2022-11-09 01:14:00</t>
        </is>
      </c>
      <c r="M17" s="904" t="inlineStr">
        <is>
          <t>2022-12-02 18:40:00</t>
        </is>
      </c>
    </row>
    <row r="18" ht="14.5" customHeight="1">
      <c r="A18" s="889" t="inlineStr">
        <is>
          <t>End</t>
        </is>
      </c>
      <c r="B18" s="661" t="inlineStr">
        <is>
          <t>2022-01-26 02:54:36</t>
        </is>
      </c>
      <c r="C18" s="917" t="inlineStr"/>
      <c r="D18" s="661" t="inlineStr">
        <is>
          <t>2022-03-28 06:37:00</t>
        </is>
      </c>
      <c r="E18" s="661" t="inlineStr">
        <is>
          <t>2022-04-28 17:17:56</t>
        </is>
      </c>
      <c r="F18" s="661" t="inlineStr">
        <is>
          <t>2022-05-12 22:36:56</t>
        </is>
      </c>
      <c r="G18" s="661" t="inlineStr">
        <is>
          <t>2022-06-29 21:45:00</t>
        </is>
      </c>
      <c r="H18" s="661" t="inlineStr">
        <is>
          <t>2022-07-05 12:04:00</t>
        </is>
      </c>
      <c r="I18" s="917" t="inlineStr"/>
      <c r="J18" s="661" t="inlineStr">
        <is>
          <t>2022-09-22 18:42:00</t>
        </is>
      </c>
      <c r="K18" s="661" t="inlineStr">
        <is>
          <t>2022-10-11 14:31:00</t>
        </is>
      </c>
      <c r="L18" s="661" t="inlineStr">
        <is>
          <t>2022-11-10 01:10:00</t>
        </is>
      </c>
      <c r="M18" s="904" t="inlineStr">
        <is>
          <t>2022-12-13 05:54:00</t>
        </is>
      </c>
    </row>
    <row r="19" ht="14.5" customHeight="1">
      <c r="A19" s="886" t="inlineStr">
        <is>
          <t>Percentage expectancy</t>
        </is>
      </c>
      <c r="B19" s="896" t="n">
        <v>-0.01055000362958841</v>
      </c>
      <c r="C19" s="897" t="n">
        <v>0.04017999070700155</v>
      </c>
      <c r="D19" s="896" t="n">
        <v>-0.007404844455408221</v>
      </c>
      <c r="E19" s="896" t="n">
        <v>-0.004776400225048727</v>
      </c>
      <c r="F19" s="896" t="n">
        <v>-0.001802025966901413</v>
      </c>
      <c r="G19" s="897" t="n">
        <v>0.004995612782232689</v>
      </c>
      <c r="H19" s="905" t="n">
        <v>-0.0002602264096251709</v>
      </c>
      <c r="I19" s="897" t="n">
        <v>0.01939342562871187</v>
      </c>
      <c r="J19" s="896" t="n">
        <v>-0.01017087918802264</v>
      </c>
      <c r="K19" s="905" t="n">
        <v>-0.0002543950944928131</v>
      </c>
      <c r="L19" s="897" t="n">
        <v>0.001254451348878212</v>
      </c>
      <c r="M19" s="898" t="n">
        <v>-0.01003399280007249</v>
      </c>
    </row>
    <row r="20" ht="14.5" customHeight="1">
      <c r="A20" s="907" t="inlineStr">
        <is>
          <t>R expectancy</t>
        </is>
      </c>
      <c r="B20" s="909" t="n">
        <v>-1.012987012987099</v>
      </c>
      <c r="C20" s="970" t="n">
        <v>3.526530612244959</v>
      </c>
      <c r="D20" s="909" t="n">
        <v>-1.074664817383264</v>
      </c>
      <c r="E20" s="909" t="n">
        <v>-1</v>
      </c>
      <c r="F20" s="909" t="n">
        <v>-0.2992850586510606</v>
      </c>
      <c r="G20" s="970" t="n">
        <v>0.5018345809301481</v>
      </c>
      <c r="H20" s="908" t="n">
        <v>0.03746190121517975</v>
      </c>
      <c r="I20" s="970" t="n">
        <v>2</v>
      </c>
      <c r="J20" s="909" t="n">
        <v>-1.041416806013083</v>
      </c>
      <c r="K20" s="908" t="n">
        <v>0.04806250525925437</v>
      </c>
      <c r="L20" s="970" t="n">
        <v>0.1139273272943861</v>
      </c>
      <c r="M20" s="988" t="n">
        <v>-0.2776292335114893</v>
      </c>
    </row>
    <row r="21" ht="14.5" customHeight="1">
      <c r="A21" s="913" t="inlineStr">
        <is>
          <t>Avg stop %</t>
        </is>
      </c>
      <c r="B21" s="914" t="n">
        <v>0.0005706874189363997</v>
      </c>
      <c r="C21" s="915" t="n">
        <v>0.002955118385660985</v>
      </c>
      <c r="D21" s="915" t="n">
        <v>0.01270309272765092</v>
      </c>
      <c r="E21" s="914" t="n">
        <v>0.0006289485496931682</v>
      </c>
      <c r="F21" s="915" t="n">
        <v>0.01351479982826197</v>
      </c>
      <c r="G21" s="915" t="n">
        <v>0.004751607004583115</v>
      </c>
      <c r="H21" s="915" t="n">
        <v>0.005254791971694828</v>
      </c>
      <c r="I21" s="915" t="n">
        <v>0.001616484244147543</v>
      </c>
      <c r="J21" s="915" t="n">
        <v>0.00549187851133157</v>
      </c>
      <c r="K21" s="915" t="n">
        <v>0.007870218848288504</v>
      </c>
      <c r="L21" s="915" t="n">
        <v>0.00459961002708191</v>
      </c>
      <c r="M21" s="999" t="n">
        <v>0.0009383769884489222</v>
      </c>
    </row>
    <row r="22" ht="14.5" customHeight="1">
      <c r="A22" s="889" t="inlineStr">
        <is>
          <t>Avg target %</t>
        </is>
      </c>
      <c r="B22" s="894" t="n">
        <v>0.003527885862516285</v>
      </c>
      <c r="C22" s="894" t="n">
        <v>0.01042131544984137</v>
      </c>
      <c r="D22" s="894" t="n">
        <v>0.02870584587859801</v>
      </c>
      <c r="E22" s="894" t="n">
        <v>0.00169890042323515</v>
      </c>
      <c r="F22" s="894" t="n">
        <v>0.02662396549837274</v>
      </c>
      <c r="G22" s="894" t="n">
        <v>0.009649294001537667</v>
      </c>
      <c r="H22" s="894" t="n">
        <v>0.01058258322480054</v>
      </c>
      <c r="I22" s="894" t="n">
        <v>0.003232968488295086</v>
      </c>
      <c r="J22" s="894" t="n">
        <v>0.01314301230126046</v>
      </c>
      <c r="K22" s="894" t="n">
        <v>0.01586680645400678</v>
      </c>
      <c r="L22" s="894" t="n">
        <v>0.009908265471149452</v>
      </c>
      <c r="M22" s="895" t="n">
        <v>0.001989819443036965</v>
      </c>
    </row>
    <row r="23" ht="14.5" customHeight="1">
      <c r="A23" s="889" t="inlineStr">
        <is>
          <t>Min stop %</t>
        </is>
      </c>
      <c r="B23" s="917" t="inlineStr">
        <is>
          <t>0.057% - GBPUSD 2022-01-26</t>
        </is>
      </c>
      <c r="C23" s="917" t="inlineStr">
        <is>
          <t>0.30% - EURGBP 2022-02-04</t>
        </is>
      </c>
      <c r="D23" s="917" t="inlineStr">
        <is>
          <t>0.15% - USDCHF 2022-03-15</t>
        </is>
      </c>
      <c r="E23" s="917" t="inlineStr">
        <is>
          <t>0.061% - USDJPY 2022-04-28</t>
        </is>
      </c>
      <c r="F23" s="917" t="inlineStr">
        <is>
          <t>0.036% - GBPUSD 2022-05-03</t>
        </is>
      </c>
      <c r="G23" s="917" t="inlineStr">
        <is>
          <t>0.21% - USDJPY 2022-06-22</t>
        </is>
      </c>
      <c r="H23" s="917" t="inlineStr">
        <is>
          <t>0.041% - EURCHF 2022-07-13</t>
        </is>
      </c>
      <c r="I23" s="917" t="inlineStr">
        <is>
          <t>0.16% - EURUSD 2022-08-01</t>
        </is>
      </c>
      <c r="J23" s="917" t="inlineStr">
        <is>
          <t>0.35% - USDJPY 2022-09-22</t>
        </is>
      </c>
      <c r="K23" s="917" t="inlineStr">
        <is>
          <t>0.084% - GBPUSD 2022-10-11</t>
        </is>
      </c>
      <c r="L23" s="917" t="inlineStr">
        <is>
          <t>0.080% - AUDCHF 2022-11-29</t>
        </is>
      </c>
      <c r="M23" s="918" t="inlineStr">
        <is>
          <t>0.055% - AUDJPY 2022-12-13</t>
        </is>
      </c>
    </row>
    <row r="24" ht="14.5" customHeight="1">
      <c r="A24" s="889" t="inlineStr">
        <is>
          <t>Max stop %</t>
        </is>
      </c>
      <c r="B24" s="917" t="inlineStr">
        <is>
          <t>0.057% - GBPUSD 2022-01-26</t>
        </is>
      </c>
      <c r="C24" s="917" t="inlineStr">
        <is>
          <t>0.30% - EURGBP 2022-02-04</t>
        </is>
      </c>
      <c r="D24" s="917" t="inlineStr">
        <is>
          <t>2.39% - BTCUSDT 2022-03-28</t>
        </is>
      </c>
      <c r="E24" s="917" t="inlineStr">
        <is>
          <t>0.064% - USDJPY 2022-04-28</t>
        </is>
      </c>
      <c r="F24" s="917" t="inlineStr">
        <is>
          <t>12.58% - BATUSDT 2022-05-11</t>
        </is>
      </c>
      <c r="G24" s="917" t="inlineStr">
        <is>
          <t>1.03% - USDJPY 2022-06-01</t>
        </is>
      </c>
      <c r="H24" s="917" t="inlineStr">
        <is>
          <t>1.41% - GBPCHF 2022-07-02</t>
        </is>
      </c>
      <c r="I24" s="917" t="inlineStr">
        <is>
          <t>0.16% - EURUSD 2022-08-01</t>
        </is>
      </c>
      <c r="J24" s="917" t="inlineStr">
        <is>
          <t>0.70% - EURJPY 2022-09-12</t>
        </is>
      </c>
      <c r="K24" s="917" t="inlineStr">
        <is>
          <t>1.75% - GBPUSD 2022-10-05</t>
        </is>
      </c>
      <c r="L24" s="917" t="inlineStr">
        <is>
          <t>2.30% - NZDUSD 2022-11-09</t>
        </is>
      </c>
      <c r="M24" s="918" t="inlineStr">
        <is>
          <t>0.14% - CHFJPY 2022-12-02</t>
        </is>
      </c>
    </row>
    <row r="25" ht="14.5" customHeight="1">
      <c r="A25" s="889" t="inlineStr">
        <is>
          <t>Min target %</t>
        </is>
      </c>
      <c r="B25" s="917" t="inlineStr">
        <is>
          <t>0.35% - GBPUSD 2022-01-26</t>
        </is>
      </c>
      <c r="C25" s="917" t="inlineStr">
        <is>
          <t>1.04% - EURGBP 2022-02-04</t>
        </is>
      </c>
      <c r="D25" s="917" t="inlineStr">
        <is>
          <t>0.95% - USDCHF 2022-03-15</t>
        </is>
      </c>
      <c r="E25" s="917" t="inlineStr">
        <is>
          <t>0.17% - USDJPY 2022-04-28</t>
        </is>
      </c>
      <c r="F25" s="917" t="inlineStr">
        <is>
          <t>0.076% - USDJPY 2022-05-09</t>
        </is>
      </c>
      <c r="G25" s="917" t="inlineStr">
        <is>
          <t>0.47% - GBPUSD 2022-06-29</t>
        </is>
      </c>
      <c r="H25" s="917" t="inlineStr">
        <is>
          <t>0.081% - EURCHF 2022-07-13</t>
        </is>
      </c>
      <c r="I25" s="917" t="inlineStr">
        <is>
          <t>0.32% - EURUSD 2022-08-01</t>
        </is>
      </c>
      <c r="J25" s="917" t="inlineStr">
        <is>
          <t>0.73% - USDJPY 2022-09-22</t>
        </is>
      </c>
      <c r="K25" s="917" t="inlineStr">
        <is>
          <t>0.19% - GBPUSD 2022-10-11</t>
        </is>
      </c>
      <c r="L25" s="917" t="inlineStr">
        <is>
          <t>0.20% - AUDCHF 2022-11-29</t>
        </is>
      </c>
      <c r="M25" s="918" t="inlineStr">
        <is>
          <t>0.14% - AUDJPY 2022-12-13</t>
        </is>
      </c>
    </row>
    <row r="26" ht="14.5" customHeight="1">
      <c r="A26" s="919" t="inlineStr">
        <is>
          <t>Max target %</t>
        </is>
      </c>
      <c r="B26" s="920" t="inlineStr">
        <is>
          <t>0.35% - GBPUSD 2022-01-26</t>
        </is>
      </c>
      <c r="C26" s="920" t="inlineStr">
        <is>
          <t>1.04% - EURGBP 2022-02-04</t>
        </is>
      </c>
      <c r="D26" s="920" t="inlineStr">
        <is>
          <t>4.79% - BTCUSDT 2022-03-28</t>
        </is>
      </c>
      <c r="E26" s="920" t="inlineStr">
        <is>
          <t>0.17% - USDJPY 2022-04-28</t>
        </is>
      </c>
      <c r="F26" s="920" t="inlineStr">
        <is>
          <t>25.22% - BATUSDT 2022-05-11</t>
        </is>
      </c>
      <c r="G26" s="920" t="inlineStr">
        <is>
          <t>2.07% - USDJPY 2022-06-01</t>
        </is>
      </c>
      <c r="H26" s="920" t="inlineStr">
        <is>
          <t>2.82% - GBPCHF 2022-07-02</t>
        </is>
      </c>
      <c r="I26" s="920" t="inlineStr">
        <is>
          <t>0.32% - EURUSD 2022-08-01</t>
        </is>
      </c>
      <c r="J26" s="920" t="inlineStr">
        <is>
          <t>1.80% - NZDJPY 2022-09-07</t>
        </is>
      </c>
      <c r="K26" s="920" t="inlineStr">
        <is>
          <t>3.53% - GBPUSD 2022-10-05</t>
        </is>
      </c>
      <c r="L26" s="920" t="inlineStr">
        <is>
          <t>4.60% - NZDUSD 2022-11-09</t>
        </is>
      </c>
      <c r="M26" s="921" t="inlineStr">
        <is>
          <t>0.29% - CHFJPY 2022-12-02</t>
        </is>
      </c>
    </row>
    <row r="27" ht="14.5" customHeight="1">
      <c r="A27" s="913" t="inlineStr">
        <is>
          <t>Avg duration (DD:HH:MM:SS)</t>
        </is>
      </c>
      <c r="B27" s="922" t="inlineStr">
        <is>
          <t>1H 0M 31S</t>
        </is>
      </c>
      <c r="C27" s="922" t="inlineStr">
        <is>
          <t>2H 2M 2S</t>
        </is>
      </c>
      <c r="D27" s="922" t="inlineStr">
        <is>
          <t>1H 15M 59S</t>
        </is>
      </c>
      <c r="E27" s="922" t="inlineStr">
        <is>
          <t>4M 8S</t>
        </is>
      </c>
      <c r="F27" s="922" t="inlineStr">
        <is>
          <t>1D 18H 28M 10S</t>
        </is>
      </c>
      <c r="G27" s="922" t="inlineStr">
        <is>
          <t>2D 9H 53M 33S</t>
        </is>
      </c>
      <c r="H27" s="922" t="inlineStr">
        <is>
          <t>2D 0H 45M 30S</t>
        </is>
      </c>
      <c r="I27" s="922" t="inlineStr">
        <is>
          <t>1H 43M 0S</t>
        </is>
      </c>
      <c r="J27" s="922" t="inlineStr">
        <is>
          <t>1D 19H 23M 0S</t>
        </is>
      </c>
      <c r="K27" s="922" t="inlineStr">
        <is>
          <t>2D 20H 41M 30S</t>
        </is>
      </c>
      <c r="L27" s="922" t="inlineStr">
        <is>
          <t>1D 6H 6M 18S</t>
        </is>
      </c>
      <c r="M27" s="923" t="inlineStr">
        <is>
          <t>12M 34S</t>
        </is>
      </c>
    </row>
    <row r="28" ht="14.5" customHeight="1">
      <c r="A28" s="889" t="inlineStr">
        <is>
          <t>Move to Break Even (DD:HH:MM:SS)</t>
        </is>
      </c>
      <c r="B28" s="917" t="inlineStr"/>
      <c r="C28" s="917" t="inlineStr"/>
      <c r="D28" s="917" t="inlineStr"/>
      <c r="E28" s="917" t="inlineStr"/>
      <c r="F28" s="917" t="inlineStr"/>
      <c r="G28" s="917" t="inlineStr"/>
      <c r="H28" s="917" t="inlineStr"/>
      <c r="I28" s="917" t="inlineStr"/>
      <c r="J28" s="917" t="inlineStr"/>
      <c r="K28" s="917" t="inlineStr"/>
      <c r="L28" s="917" t="inlineStr"/>
      <c r="M28" s="918" t="inlineStr"/>
    </row>
    <row r="29" ht="14.5" customHeight="1">
      <c r="A29" s="919" t="inlineStr">
        <is>
          <t>Move to Profit (DD:HH:MM:SS)</t>
        </is>
      </c>
      <c r="B29" s="920" t="inlineStr"/>
      <c r="C29" s="920" t="inlineStr"/>
      <c r="D29" s="920" t="inlineStr"/>
      <c r="E29" s="920" t="inlineStr"/>
      <c r="F29" s="920" t="inlineStr"/>
      <c r="G29" s="920" t="inlineStr"/>
      <c r="H29" s="920" t="inlineStr"/>
      <c r="I29" s="920" t="inlineStr"/>
      <c r="J29" s="920" t="inlineStr"/>
      <c r="K29" s="920" t="inlineStr"/>
      <c r="L29" s="920" t="inlineStr"/>
      <c r="M29" s="921" t="inlineStr"/>
    </row>
    <row r="30" ht="14.5" customHeight="1">
      <c r="A30" s="924" t="inlineStr">
        <is>
          <t>Max win %</t>
        </is>
      </c>
      <c r="B30" s="925" t="inlineStr">
        <is>
          <t>-1.06% - GBPUSD 2022-01-26</t>
        </is>
      </c>
      <c r="C30" s="925" t="inlineStr">
        <is>
          <t>4.02% - EURGBP 2022-02-04</t>
        </is>
      </c>
      <c r="D30" s="925" t="inlineStr">
        <is>
          <t>-0.52% - BTCUSDT 2022-03-28</t>
        </is>
      </c>
      <c r="E30" s="925" t="inlineStr">
        <is>
          <t>-0.47% - USDJPY 2022-04-28</t>
        </is>
      </c>
      <c r="F30" s="925" t="inlineStr">
        <is>
          <t>2.00% - GBPCHF 2022-05-19</t>
        </is>
      </c>
      <c r="G30" s="925" t="inlineStr">
        <is>
          <t>1.97% - EURCAD 2022-06-09</t>
        </is>
      </c>
      <c r="H30" s="925" t="inlineStr">
        <is>
          <t>2.08% - USDCHF 2022-07-06</t>
        </is>
      </c>
      <c r="I30" s="925" t="inlineStr">
        <is>
          <t>1.94% - EURUSD 2022-08-01</t>
        </is>
      </c>
      <c r="J30" s="925" t="inlineStr">
        <is>
          <t>-0.97% - EURJPY 2022-09-12</t>
        </is>
      </c>
      <c r="K30" s="925" t="inlineStr">
        <is>
          <t>2.07% - GBPUSD 2022-10-11</t>
        </is>
      </c>
      <c r="L30" s="925" t="inlineStr">
        <is>
          <t>2.49% - AUDCHF 2022-11-29</t>
        </is>
      </c>
      <c r="M30" s="926" t="inlineStr">
        <is>
          <t>-0.99% - AUDJPY 2022-12-13</t>
        </is>
      </c>
    </row>
    <row r="31" ht="14.5" customHeight="1">
      <c r="A31" s="886" t="inlineStr">
        <is>
          <t>Max loss %</t>
        </is>
      </c>
      <c r="B31" s="927" t="inlineStr">
        <is>
          <t>-1.06% - GBPUSD 2022-01-26</t>
        </is>
      </c>
      <c r="C31" s="662" t="inlineStr"/>
      <c r="D31" s="927" t="inlineStr">
        <is>
          <t>-0.96% - USDCHF 2022-03-15</t>
        </is>
      </c>
      <c r="E31" s="927" t="inlineStr">
        <is>
          <t>-0.49% - USDJPY 2022-04-28</t>
        </is>
      </c>
      <c r="F31" s="927" t="inlineStr">
        <is>
          <t>-2.14% - EURCHF 2022-05-06</t>
        </is>
      </c>
      <c r="G31" s="927" t="inlineStr">
        <is>
          <t>-0.99% - GBPUSD 2022-06-29</t>
        </is>
      </c>
      <c r="H31" s="927" t="inlineStr">
        <is>
          <t>-1.06% - GBPCHF 2022-07-02</t>
        </is>
      </c>
      <c r="I31" s="662" t="inlineStr"/>
      <c r="J31" s="927" t="inlineStr">
        <is>
          <t>-1.10% - USDJPY 2022-09-22</t>
        </is>
      </c>
      <c r="K31" s="927" t="inlineStr">
        <is>
          <t>-1.15% - USDCHF 2022-10-21</t>
        </is>
      </c>
      <c r="L31" s="927" t="inlineStr">
        <is>
          <t>-0.98% - CADJPY 2022-11-24</t>
        </is>
      </c>
      <c r="M31" s="928" t="inlineStr">
        <is>
          <t>-1.03% - GBPUSD 2022-12-19</t>
        </is>
      </c>
    </row>
    <row r="32" ht="14.5" customHeight="1">
      <c r="A32" s="886" t="inlineStr">
        <is>
          <t>Max R loss</t>
        </is>
      </c>
      <c r="B32" s="927" t="inlineStr">
        <is>
          <t>-1.01R - GBPUSD 2022-01-26</t>
        </is>
      </c>
      <c r="C32" s="977" t="inlineStr"/>
      <c r="D32" s="927" t="inlineStr">
        <is>
          <t>-1.15R - BTCUSDT 2022-03-28</t>
        </is>
      </c>
      <c r="E32" s="927" t="inlineStr">
        <is>
          <t>-1.00R - USDJPY 2022-04-28</t>
        </is>
      </c>
      <c r="F32" s="927" t="inlineStr">
        <is>
          <t>-1.36R - NZDCAD 2022-05-05</t>
        </is>
      </c>
      <c r="G32" s="927" t="inlineStr">
        <is>
          <t>-1.01R - USDJPY 2022-06-22</t>
        </is>
      </c>
      <c r="H32" s="927" t="inlineStr">
        <is>
          <t>-1.03R - EURCHF 2022-07-12</t>
        </is>
      </c>
      <c r="I32" s="977" t="inlineStr"/>
      <c r="J32" s="927" t="inlineStr">
        <is>
          <t>-1.12R - USDJPY 2022-09-22</t>
        </is>
      </c>
      <c r="K32" s="927" t="inlineStr">
        <is>
          <t>-1.07R - USDCHF 2022-10-21</t>
        </is>
      </c>
      <c r="L32" s="927" t="inlineStr">
        <is>
          <t>-1.01R - AUDUSD 2022-11-10</t>
        </is>
      </c>
      <c r="M32" s="928" t="inlineStr">
        <is>
          <t>-1.09R - GBPUSD 2022-12-19</t>
        </is>
      </c>
    </row>
    <row r="33" ht="14.5" customHeight="1">
      <c r="A33" s="907" t="inlineStr">
        <is>
          <t>Max R win</t>
        </is>
      </c>
      <c r="B33" s="929" t="inlineStr">
        <is>
          <t>-1.01R - GBPUSD 2022-01-26</t>
        </is>
      </c>
      <c r="C33" s="929" t="inlineStr">
        <is>
          <t>3.53R - EURGBP 2022-02-04</t>
        </is>
      </c>
      <c r="D33" s="929" t="inlineStr">
        <is>
          <t>-1.00R - USDCHF 2022-03-15</t>
        </is>
      </c>
      <c r="E33" s="929" t="inlineStr">
        <is>
          <t>-1.00R - USDJPY 2022-04-28</t>
        </is>
      </c>
      <c r="F33" s="929" t="inlineStr">
        <is>
          <t>2.01R - GBPCHF 2022-05-19</t>
        </is>
      </c>
      <c r="G33" s="929" t="inlineStr">
        <is>
          <t>2.01R - EURCAD 2022-06-09</t>
        </is>
      </c>
      <c r="H33" s="929" t="inlineStr">
        <is>
          <t>2.04R - USDCHF 2022-07-06</t>
        </is>
      </c>
      <c r="I33" s="929" t="inlineStr">
        <is>
          <t>2.00R - EURUSD 2022-08-01</t>
        </is>
      </c>
      <c r="J33" s="929" t="inlineStr">
        <is>
          <t>-1.00R - NZDJPY 2022-09-07</t>
        </is>
      </c>
      <c r="K33" s="929" t="inlineStr">
        <is>
          <t>2.34R - GBPUSD 2022-10-11</t>
        </is>
      </c>
      <c r="L33" s="929" t="inlineStr">
        <is>
          <t>2.53R - AUDCHF 2022-11-29</t>
        </is>
      </c>
      <c r="M33" s="930" t="inlineStr">
        <is>
          <t>2.00R - NZDJPY 2022-12-15</t>
        </is>
      </c>
    </row>
    <row r="34" ht="14.5" customHeight="1">
      <c r="A34" s="913" t="inlineStr">
        <is>
          <t>Shortest (DD:HH:MM:SS)</t>
        </is>
      </c>
      <c r="B34" s="931" t="inlineStr">
        <is>
          <t>1H 0M 31S - GBPUSD 2022-01-26</t>
        </is>
      </c>
      <c r="C34" s="931" t="inlineStr">
        <is>
          <t>2H 2M 2S - EURGBP 2022-02-04</t>
        </is>
      </c>
      <c r="D34" s="931" t="inlineStr">
        <is>
          <t>2M 0S - BTCUSDT 2022-03-28</t>
        </is>
      </c>
      <c r="E34" s="931" t="inlineStr">
        <is>
          <t>1M 42S - USDJPY 2022-04-28</t>
        </is>
      </c>
      <c r="F34" s="931" t="inlineStr">
        <is>
          <t>3M 5S - USDJPY 2022-05-09</t>
        </is>
      </c>
      <c r="G34" s="931" t="inlineStr">
        <is>
          <t>3H 19M 0S - USDJPY 2022-06-22</t>
        </is>
      </c>
      <c r="H34" s="931" t="inlineStr">
        <is>
          <t>4M 52S - EURCHF 2022-07-13</t>
        </is>
      </c>
      <c r="I34" s="931" t="inlineStr">
        <is>
          <t>1H 43M 0S - EURUSD 2022-08-01</t>
        </is>
      </c>
      <c r="J34" s="931" t="inlineStr">
        <is>
          <t>1M 0S - USDJPY 2022-09-22</t>
        </is>
      </c>
      <c r="K34" s="931" t="inlineStr">
        <is>
          <t>31M 0S - GBPUSD 2022-10-11</t>
        </is>
      </c>
      <c r="L34" s="931" t="inlineStr">
        <is>
          <t>1M 0S - AUDUSD 2022-11-10</t>
        </is>
      </c>
      <c r="M34" s="932" t="inlineStr">
        <is>
          <t>2M 0S - CHFJPY 2022-12-02</t>
        </is>
      </c>
    </row>
    <row r="35" ht="14.5" customHeight="1">
      <c r="A35" s="919" t="inlineStr">
        <is>
          <t>Longest (DD:HH:MM:SS)</t>
        </is>
      </c>
      <c r="B35" s="920" t="inlineStr">
        <is>
          <t>1H 0M 31S - GBPUSD 2022-01-26</t>
        </is>
      </c>
      <c r="C35" s="920" t="inlineStr">
        <is>
          <t>2H 2M 2S - EURGBP 2022-02-04</t>
        </is>
      </c>
      <c r="D35" s="920" t="inlineStr">
        <is>
          <t>2H 29M 58S - USDCHF 2022-03-15</t>
        </is>
      </c>
      <c r="E35" s="920" t="inlineStr">
        <is>
          <t>6M 34S - USDJPY 2022-04-28</t>
        </is>
      </c>
      <c r="F35" s="920" t="inlineStr">
        <is>
          <t>6D 14H 10M 9S - GBPCAD 2022-05-05</t>
        </is>
      </c>
      <c r="G35" s="920" t="inlineStr">
        <is>
          <t>7D 11H 15M 15S - USDJPY 2022-06-01</t>
        </is>
      </c>
      <c r="H35" s="920" t="inlineStr">
        <is>
          <t>11D 2H 3M 0S - USDCHF 2022-07-06</t>
        </is>
      </c>
      <c r="I35" s="920" t="inlineStr">
        <is>
          <t>1H 43M 0S - EURUSD 2022-08-01</t>
        </is>
      </c>
      <c r="J35" s="920" t="inlineStr">
        <is>
          <t>4D 13H 44M 0S - EURJPY 2022-09-12</t>
        </is>
      </c>
      <c r="K35" s="920" t="inlineStr">
        <is>
          <t>7D 20H 11M 0S - USDCHF 2022-10-21</t>
        </is>
      </c>
      <c r="L35" s="920" t="inlineStr">
        <is>
          <t>7D 13H 45M 0S - NZDUSD 2022-11-09</t>
        </is>
      </c>
      <c r="M35" s="921" t="inlineStr">
        <is>
          <t>41M 18S - NZDJPY 2022-12-15</t>
        </is>
      </c>
    </row>
    <row r="36" ht="14.5" customHeight="1">
      <c r="A36" s="924" t="inlineStr">
        <is>
          <t>Winners</t>
        </is>
      </c>
      <c r="B36" s="931" t="inlineStr"/>
      <c r="C36" s="931" t="inlineStr"/>
      <c r="D36" s="931" t="inlineStr"/>
      <c r="E36" s="931" t="inlineStr"/>
      <c r="F36" s="931" t="inlineStr"/>
      <c r="G36" s="931" t="inlineStr"/>
      <c r="H36" s="931" t="inlineStr"/>
      <c r="I36" s="931" t="inlineStr"/>
      <c r="J36" s="931" t="inlineStr"/>
      <c r="K36" s="931" t="inlineStr"/>
      <c r="L36" s="931" t="inlineStr"/>
      <c r="M36" s="932" t="inlineStr"/>
    </row>
    <row r="37" ht="14.5" customHeight="1">
      <c r="A37" s="889" t="inlineStr">
        <is>
          <t>Avg stop %</t>
        </is>
      </c>
      <c r="B37" s="894" t="inlineStr"/>
      <c r="C37" s="894" t="n">
        <v>0.002955118385660985</v>
      </c>
      <c r="D37" s="894" t="inlineStr"/>
      <c r="E37" s="894" t="inlineStr"/>
      <c r="F37" s="894" t="n">
        <v>0.008646540681863282</v>
      </c>
      <c r="G37" s="894" t="n">
        <v>0.007262905751733716</v>
      </c>
      <c r="H37" s="894" t="n">
        <v>0.004823004676699111</v>
      </c>
      <c r="I37" s="894" t="n">
        <v>0.001616484244147543</v>
      </c>
      <c r="J37" s="894" t="inlineStr"/>
      <c r="K37" s="894" t="n">
        <v>0.003119106808688442</v>
      </c>
      <c r="L37" s="894" t="n">
        <v>0.001923272800798173</v>
      </c>
      <c r="M37" s="934" t="n">
        <v>0.0008839905860742572</v>
      </c>
    </row>
    <row r="38" ht="14.5" customHeight="1">
      <c r="A38" s="889" t="inlineStr">
        <is>
          <t>Avg target %</t>
        </is>
      </c>
      <c r="B38" s="662" t="inlineStr"/>
      <c r="C38" s="662" t="n">
        <v>0.01042131544984137</v>
      </c>
      <c r="D38" s="662" t="inlineStr"/>
      <c r="E38" s="662" t="inlineStr"/>
      <c r="F38" s="662" t="n">
        <v>0.01768681220390213</v>
      </c>
      <c r="G38" s="662" t="n">
        <v>0.01455564488403676</v>
      </c>
      <c r="H38" s="662" t="n">
        <v>0.009701829473062397</v>
      </c>
      <c r="I38" s="662" t="n">
        <v>0.003232968488295086</v>
      </c>
      <c r="J38" s="662" t="inlineStr"/>
      <c r="K38" s="662" t="n">
        <v>0.006420643384508084</v>
      </c>
      <c r="L38" s="662" t="n">
        <v>0.004260903267443716</v>
      </c>
      <c r="M38" s="663" t="n">
        <v>0.001767981172148678</v>
      </c>
    </row>
    <row r="39" ht="14.5" customHeight="1">
      <c r="A39" s="889" t="inlineStr">
        <is>
          <t>Percentage expectancy</t>
        </is>
      </c>
      <c r="B39" s="894" t="inlineStr"/>
      <c r="C39" s="897" t="n">
        <v>0.04017999070700155</v>
      </c>
      <c r="D39" s="894" t="inlineStr"/>
      <c r="E39" s="894" t="inlineStr"/>
      <c r="F39" s="897" t="n">
        <v>0.01319513630273533</v>
      </c>
      <c r="G39" s="897" t="n">
        <v>0.01959713325167358</v>
      </c>
      <c r="H39" s="897" t="n">
        <v>0.0165168544148682</v>
      </c>
      <c r="I39" s="897" t="n">
        <v>0.01939342562871187</v>
      </c>
      <c r="J39" s="894" t="inlineStr"/>
      <c r="K39" s="897" t="n">
        <v>0.01976206032830938</v>
      </c>
      <c r="L39" s="897" t="n">
        <v>0.0176883464461616</v>
      </c>
      <c r="M39" s="895" t="inlineStr"/>
    </row>
    <row r="40" ht="14.5" customHeight="1">
      <c r="A40" s="889" t="inlineStr">
        <is>
          <t>R expectancy</t>
        </is>
      </c>
      <c r="B40" s="977" t="inlineStr"/>
      <c r="C40" s="900" t="n">
        <v>3.526530612244959</v>
      </c>
      <c r="D40" s="977" t="inlineStr"/>
      <c r="E40" s="977" t="inlineStr"/>
      <c r="F40" s="900" t="n">
        <v>1.543926438857951</v>
      </c>
      <c r="G40" s="900" t="n">
        <v>2.007117437722382</v>
      </c>
      <c r="H40" s="900" t="n">
        <v>2.014298737005956</v>
      </c>
      <c r="I40" s="900" t="n">
        <v>2</v>
      </c>
      <c r="J40" s="977" t="inlineStr"/>
      <c r="K40" s="900" t="n">
        <v>2.180814940577404</v>
      </c>
      <c r="L40" s="900" t="n">
        <v>1.791971309665871</v>
      </c>
      <c r="M40" s="901" t="n">
        <v>2.000000000000185</v>
      </c>
    </row>
    <row r="41" ht="14.5" customHeight="1">
      <c r="A41" s="889" t="inlineStr">
        <is>
          <t>Winners min duration</t>
        </is>
      </c>
      <c r="B41" s="917" t="inlineStr"/>
      <c r="C41" s="917" t="inlineStr">
        <is>
          <t>2H 2M 2S - EURGBP 2022-02-04</t>
        </is>
      </c>
      <c r="D41" s="917" t="inlineStr"/>
      <c r="E41" s="917" t="inlineStr"/>
      <c r="F41" s="917" t="inlineStr">
        <is>
          <t>1D 5H 52M 0S - GBPCHF 2022-05-19</t>
        </is>
      </c>
      <c r="G41" s="917" t="inlineStr">
        <is>
          <t>1D 11H 35M 0S - EURCAD 2022-06-09</t>
        </is>
      </c>
      <c r="H41" s="917" t="inlineStr">
        <is>
          <t>4M 52S - EURCHF 2022-07-13</t>
        </is>
      </c>
      <c r="I41" s="917" t="inlineStr">
        <is>
          <t>1H 43M 0S - EURUSD 2022-08-01</t>
        </is>
      </c>
      <c r="J41" s="917" t="inlineStr"/>
      <c r="K41" s="917" t="inlineStr">
        <is>
          <t>31M 0S - GBPUSD 2022-10-11</t>
        </is>
      </c>
      <c r="L41" s="917" t="inlineStr">
        <is>
          <t>34M 0S - AUDCHF 2022-11-29</t>
        </is>
      </c>
      <c r="M41" s="918" t="inlineStr">
        <is>
          <t>41M 18S - NZDJPY 2022-12-15</t>
        </is>
      </c>
    </row>
    <row r="42" ht="14.5" customHeight="1">
      <c r="A42" s="889" t="inlineStr">
        <is>
          <t>Winners avg duration</t>
        </is>
      </c>
      <c r="B42" s="917" t="inlineStr"/>
      <c r="C42" s="917" t="inlineStr">
        <is>
          <t>2H 2M 2S</t>
        </is>
      </c>
      <c r="D42" s="917" t="inlineStr"/>
      <c r="E42" s="917" t="inlineStr"/>
      <c r="F42" s="917" t="inlineStr">
        <is>
          <t>4D 6H 32M 43S</t>
        </is>
      </c>
      <c r="G42" s="917" t="inlineStr">
        <is>
          <t>4D 11H 25M 7S</t>
        </is>
      </c>
      <c r="H42" s="917" t="inlineStr">
        <is>
          <t>4D 13H 20M 57S</t>
        </is>
      </c>
      <c r="I42" s="917" t="inlineStr">
        <is>
          <t>1H 43M 0S</t>
        </is>
      </c>
      <c r="J42" s="917" t="inlineStr"/>
      <c r="K42" s="917" t="inlineStr">
        <is>
          <t>14H 4M 0S</t>
        </is>
      </c>
      <c r="L42" s="917" t="inlineStr">
        <is>
          <t>2H 13M 0S</t>
        </is>
      </c>
      <c r="M42" s="918" t="inlineStr">
        <is>
          <t>41M 18S</t>
        </is>
      </c>
    </row>
    <row r="43" ht="14.5" customHeight="1">
      <c r="A43" s="919" t="inlineStr">
        <is>
          <t>Winners max duration</t>
        </is>
      </c>
      <c r="B43" s="920" t="inlineStr"/>
      <c r="C43" s="920" t="inlineStr">
        <is>
          <t>2H 2M 2S - EURGBP 2022-02-04</t>
        </is>
      </c>
      <c r="D43" s="920" t="inlineStr"/>
      <c r="E43" s="920" t="inlineStr"/>
      <c r="F43" s="920" t="inlineStr">
        <is>
          <t>6D 14H 10M 9S - GBPCAD 2022-05-05</t>
        </is>
      </c>
      <c r="G43" s="920" t="inlineStr">
        <is>
          <t>7D 11H 15M 15S - USDJPY 2022-06-01</t>
        </is>
      </c>
      <c r="H43" s="920" t="inlineStr">
        <is>
          <t>11D 2H 3M 0S - USDCHF 2022-07-06</t>
        </is>
      </c>
      <c r="I43" s="920" t="inlineStr">
        <is>
          <t>1H 43M 0S - EURUSD 2022-08-01</t>
        </is>
      </c>
      <c r="J43" s="920" t="inlineStr"/>
      <c r="K43" s="920" t="inlineStr">
        <is>
          <t>1D 3H 37M 0S - AUDUSD 2022-10-20</t>
        </is>
      </c>
      <c r="L43" s="920" t="inlineStr">
        <is>
          <t>6H 22M 0S - EURGBP 2022-11-25</t>
        </is>
      </c>
      <c r="M43" s="921" t="inlineStr">
        <is>
          <t>41M 18S - NZDJPY 2022-12-15</t>
        </is>
      </c>
    </row>
    <row r="44" ht="14.5" customHeight="1">
      <c r="A44" s="924" t="inlineStr">
        <is>
          <t>Losers</t>
        </is>
      </c>
      <c r="B44" s="922" t="inlineStr"/>
      <c r="C44" s="922" t="inlineStr"/>
      <c r="D44" s="922" t="inlineStr"/>
      <c r="E44" s="922" t="inlineStr"/>
      <c r="F44" s="922" t="inlineStr"/>
      <c r="G44" s="922" t="inlineStr"/>
      <c r="H44" s="922" t="inlineStr"/>
      <c r="I44" s="922" t="inlineStr"/>
      <c r="J44" s="922" t="inlineStr"/>
      <c r="K44" s="922" t="inlineStr"/>
      <c r="L44" s="922" t="inlineStr"/>
      <c r="M44" s="923" t="inlineStr"/>
    </row>
    <row r="45" ht="14.5" customHeight="1">
      <c r="A45" s="889" t="inlineStr">
        <is>
          <t>Avg stop %</t>
        </is>
      </c>
      <c r="B45" s="933" t="n">
        <v>0.0005706874189363997</v>
      </c>
      <c r="C45" s="894" t="inlineStr"/>
      <c r="D45" s="894" t="n">
        <v>0.01270309272765092</v>
      </c>
      <c r="E45" s="933" t="n">
        <v>0.0006289485496931682</v>
      </c>
      <c r="F45" s="894" t="n">
        <v>0.01546210348682145</v>
      </c>
      <c r="G45" s="894" t="n">
        <v>0.002240308257432514</v>
      </c>
      <c r="H45" s="894" t="n">
        <v>0.005470685619192687</v>
      </c>
      <c r="I45" s="894" t="inlineStr"/>
      <c r="J45" s="894" t="n">
        <v>0.00549187851133157</v>
      </c>
      <c r="K45" s="894" t="n">
        <v>0.01024577486808854</v>
      </c>
      <c r="L45" s="894" t="n">
        <v>0.006383834844604403</v>
      </c>
      <c r="M45" s="934" t="n">
        <v>0.0009565057892404773</v>
      </c>
    </row>
    <row r="46" ht="14.5" customHeight="1">
      <c r="A46" s="889" t="inlineStr">
        <is>
          <t>Avg target %</t>
        </is>
      </c>
      <c r="B46" s="935" t="n">
        <v>0.003527885862516285</v>
      </c>
      <c r="C46" s="935" t="inlineStr"/>
      <c r="D46" s="935" t="n">
        <v>0.02870584587859801</v>
      </c>
      <c r="E46" s="935" t="n">
        <v>0.00169890042323515</v>
      </c>
      <c r="F46" s="935" t="n">
        <v>0.03109254214560804</v>
      </c>
      <c r="G46" s="935" t="n">
        <v>0.004742943119038576</v>
      </c>
      <c r="H46" s="935" t="n">
        <v>0.01102296010066961</v>
      </c>
      <c r="I46" s="935" t="inlineStr"/>
      <c r="J46" s="935" t="n">
        <v>0.01314301230126046</v>
      </c>
      <c r="K46" s="935" t="n">
        <v>0.02058988798875613</v>
      </c>
      <c r="L46" s="935" t="n">
        <v>0.01367317360695328</v>
      </c>
      <c r="M46" s="936" t="n">
        <v>0.002063765533333061</v>
      </c>
    </row>
    <row r="47" ht="14.5" customHeight="1">
      <c r="A47" s="889" t="inlineStr">
        <is>
          <t>Percentage expectancy</t>
        </is>
      </c>
      <c r="B47" s="896" t="n">
        <v>-0.01055000362958841</v>
      </c>
      <c r="C47" s="894" t="inlineStr"/>
      <c r="D47" s="896" t="n">
        <v>-0.007404844455408221</v>
      </c>
      <c r="E47" s="896" t="n">
        <v>-0.004776400225048727</v>
      </c>
      <c r="F47" s="896" t="n">
        <v>-0.009300607101719786</v>
      </c>
      <c r="G47" s="896" t="n">
        <v>-0.009605907687208204</v>
      </c>
      <c r="H47" s="896" t="n">
        <v>-0.008648766821871857</v>
      </c>
      <c r="I47" s="894" t="inlineStr"/>
      <c r="J47" s="896" t="n">
        <v>-0.01017087918802264</v>
      </c>
      <c r="K47" s="896" t="n">
        <v>-0.01026262280589391</v>
      </c>
      <c r="L47" s="896" t="n">
        <v>-0.009701478715977379</v>
      </c>
      <c r="M47" s="898" t="n">
        <v>-0.01003399280007249</v>
      </c>
    </row>
    <row r="48" ht="14.5" customHeight="1">
      <c r="A48" s="889" t="inlineStr">
        <is>
          <t>R expectancy</t>
        </is>
      </c>
      <c r="B48" s="902" t="n">
        <v>-1.012987012987099</v>
      </c>
      <c r="C48" s="984" t="inlineStr"/>
      <c r="D48" s="902" t="n">
        <v>-1.074664817383264</v>
      </c>
      <c r="E48" s="902" t="n">
        <v>-1</v>
      </c>
      <c r="F48" s="902" t="n">
        <v>-1.036569657654665</v>
      </c>
      <c r="G48" s="902" t="n">
        <v>-1.003448275862086</v>
      </c>
      <c r="H48" s="902" t="n">
        <v>-0.9509565166802084</v>
      </c>
      <c r="I48" s="984" t="inlineStr"/>
      <c r="J48" s="902" t="n">
        <v>-1.041416806013083</v>
      </c>
      <c r="K48" s="902" t="n">
        <v>-1.018313712399821</v>
      </c>
      <c r="L48" s="902" t="n">
        <v>-1.004768660953271</v>
      </c>
      <c r="M48" s="903" t="n">
        <v>-1.036838978015381</v>
      </c>
    </row>
    <row r="49" ht="14.5" customHeight="1">
      <c r="A49" s="889" t="inlineStr">
        <is>
          <t>Losers min duration</t>
        </is>
      </c>
      <c r="B49" s="661" t="inlineStr">
        <is>
          <t>1H 0M 31S - GBPUSD 2022-01-26</t>
        </is>
      </c>
      <c r="C49" s="661" t="inlineStr"/>
      <c r="D49" s="661" t="inlineStr">
        <is>
          <t>2M 0S - BTCUSDT 2022-03-28</t>
        </is>
      </c>
      <c r="E49" s="661" t="inlineStr">
        <is>
          <t>1M 42S - USDJPY 2022-04-28</t>
        </is>
      </c>
      <c r="F49" s="661" t="inlineStr">
        <is>
          <t>3M 5S - USDJPY 2022-05-09</t>
        </is>
      </c>
      <c r="G49" s="661" t="inlineStr">
        <is>
          <t>3H 19M 0S - USDJPY 2022-06-22</t>
        </is>
      </c>
      <c r="H49" s="661" t="inlineStr">
        <is>
          <t>5M 41S - EURUSD 2022-07-08</t>
        </is>
      </c>
      <c r="I49" s="661" t="inlineStr"/>
      <c r="J49" s="661" t="inlineStr">
        <is>
          <t>1M 0S - USDJPY 2022-09-22</t>
        </is>
      </c>
      <c r="K49" s="661" t="inlineStr">
        <is>
          <t>1H 28M 0S - GBPAUD 2022-10-21</t>
        </is>
      </c>
      <c r="L49" s="661" t="inlineStr">
        <is>
          <t>1M 0S - AUDUSD 2022-11-10</t>
        </is>
      </c>
      <c r="M49" s="904" t="inlineStr">
        <is>
          <t>2M 0S - CHFJPY 2022-12-02</t>
        </is>
      </c>
    </row>
    <row r="50" ht="14.5" customHeight="1">
      <c r="A50" s="889" t="inlineStr">
        <is>
          <t>Losers avg duration</t>
        </is>
      </c>
      <c r="B50" s="661" t="inlineStr">
        <is>
          <t>1H 0M 31S</t>
        </is>
      </c>
      <c r="C50" s="661" t="inlineStr"/>
      <c r="D50" s="661" t="inlineStr">
        <is>
          <t>1H 15M 59S</t>
        </is>
      </c>
      <c r="E50" s="661" t="inlineStr">
        <is>
          <t>4M 8S</t>
        </is>
      </c>
      <c r="F50" s="661" t="inlineStr">
        <is>
          <t>12H 25M 54S</t>
        </is>
      </c>
      <c r="G50" s="661" t="inlineStr">
        <is>
          <t>8H 22M 0S</t>
        </is>
      </c>
      <c r="H50" s="661" t="inlineStr">
        <is>
          <t>18H 27M 46S</t>
        </is>
      </c>
      <c r="I50" s="661" t="inlineStr"/>
      <c r="J50" s="661" t="inlineStr">
        <is>
          <t>1D 19H 23M 0S</t>
        </is>
      </c>
      <c r="K50" s="661" t="inlineStr">
        <is>
          <t>4D 0H 0M 15S</t>
        </is>
      </c>
      <c r="L50" s="661" t="inlineStr">
        <is>
          <t>2D 0H 41M 50S</t>
        </is>
      </c>
      <c r="M50" s="904" t="inlineStr">
        <is>
          <t>3M 0S</t>
        </is>
      </c>
    </row>
    <row r="51" ht="14.5" customHeight="1">
      <c r="A51" s="919" t="inlineStr">
        <is>
          <t>Losers max duration</t>
        </is>
      </c>
      <c r="B51" s="920" t="inlineStr">
        <is>
          <t>1H 0M 31S - GBPUSD 2022-01-26</t>
        </is>
      </c>
      <c r="C51" s="920" t="inlineStr"/>
      <c r="D51" s="920" t="inlineStr">
        <is>
          <t>2H 29M 58S - USDCHF 2022-03-15</t>
        </is>
      </c>
      <c r="E51" s="920" t="inlineStr">
        <is>
          <t>6M 34S - USDJPY 2022-04-28</t>
        </is>
      </c>
      <c r="F51" s="920" t="inlineStr">
        <is>
          <t>1D 19H 51M 0S - BATUSDT 2022-05-11</t>
        </is>
      </c>
      <c r="G51" s="920" t="inlineStr">
        <is>
          <t>13H 25M 0S - GBPUSD 2022-06-29</t>
        </is>
      </c>
      <c r="H51" s="920" t="inlineStr">
        <is>
          <t>3D 4H 21M 0S - GBPCHF 2022-07-02</t>
        </is>
      </c>
      <c r="I51" s="920" t="inlineStr"/>
      <c r="J51" s="920" t="inlineStr">
        <is>
          <t>4D 13H 44M 0S - EURJPY 2022-09-12</t>
        </is>
      </c>
      <c r="K51" s="920" t="inlineStr">
        <is>
          <t>7D 20H 11M 0S - USDCHF 2022-10-21</t>
        </is>
      </c>
      <c r="L51" s="920" t="inlineStr">
        <is>
          <t>7D 13H 45M 0S - NZDUSD 2022-11-09</t>
        </is>
      </c>
      <c r="M51" s="921" t="inlineStr">
        <is>
          <t>4M 0S - AUDJPY 2022-12-13</t>
        </is>
      </c>
    </row>
    <row r="52" ht="14.5" customHeight="1">
      <c r="A52" s="924" t="inlineStr">
        <is>
          <t>Drawdown</t>
        </is>
      </c>
      <c r="B52" s="922" t="inlineStr"/>
      <c r="C52" s="922" t="inlineStr"/>
      <c r="D52" s="922" t="inlineStr"/>
      <c r="E52" s="922" t="inlineStr"/>
      <c r="F52" s="922" t="inlineStr"/>
      <c r="G52" s="922" t="inlineStr"/>
      <c r="H52" s="922" t="inlineStr"/>
      <c r="I52" s="922" t="inlineStr"/>
      <c r="J52" s="922" t="inlineStr"/>
      <c r="K52" s="922" t="inlineStr"/>
      <c r="L52" s="922" t="inlineStr"/>
      <c r="M52" s="923" t="inlineStr"/>
    </row>
    <row r="53" ht="14.5" customHeight="1">
      <c r="A53" s="886" t="inlineStr">
        <is>
          <t>Max drawdown</t>
        </is>
      </c>
      <c r="B53" s="894" t="inlineStr"/>
      <c r="C53" s="894" t="inlineStr"/>
      <c r="D53" s="894" t="inlineStr"/>
      <c r="E53" s="896" t="n">
        <v>0.004892800450097459</v>
      </c>
      <c r="F53" s="896" t="n">
        <v>0.03130034430378743</v>
      </c>
      <c r="G53" s="896" t="n">
        <v>0.01911964029777992</v>
      </c>
      <c r="H53" s="896" t="n">
        <v>0.0201218384735484</v>
      </c>
      <c r="I53" s="894" t="inlineStr"/>
      <c r="J53" s="896" t="n">
        <v>0.02055088249946273</v>
      </c>
      <c r="K53" s="896" t="n">
        <v>0.02127366261062067</v>
      </c>
      <c r="L53" s="896" t="n">
        <v>0.01948106491090825</v>
      </c>
      <c r="M53" s="898" t="n">
        <v>0.02003361194893659</v>
      </c>
    </row>
    <row r="54" ht="14.5" customHeight="1">
      <c r="A54" s="889" t="inlineStr">
        <is>
          <t>Start</t>
        </is>
      </c>
      <c r="B54" s="937" t="inlineStr"/>
      <c r="C54" s="937" t="inlineStr"/>
      <c r="D54" s="937" t="inlineStr"/>
      <c r="E54" s="937" t="inlineStr">
        <is>
          <t>2022-04-28 17:10:16</t>
        </is>
      </c>
      <c r="F54" s="937" t="inlineStr">
        <is>
          <t>2022-05-05 16:51:11</t>
        </is>
      </c>
      <c r="G54" s="937" t="inlineStr">
        <is>
          <t>2022-06-09 22:25:00</t>
        </is>
      </c>
      <c r="H54" s="937" t="inlineStr">
        <is>
          <t>2022-07-06 00:35:00</t>
        </is>
      </c>
      <c r="I54" s="937" t="inlineStr"/>
      <c r="J54" s="937" t="inlineStr">
        <is>
          <t>2022-09-07 19:05:00</t>
        </is>
      </c>
      <c r="K54" s="937" t="inlineStr">
        <is>
          <t>2022-10-20 02:08:00</t>
        </is>
      </c>
      <c r="L54" s="937" t="inlineStr">
        <is>
          <t>2022-11-16 00:21:00</t>
        </is>
      </c>
      <c r="M54" s="938" t="inlineStr">
        <is>
          <t>2022-12-02 18:40:00</t>
        </is>
      </c>
    </row>
    <row r="55" ht="14.5" customHeight="1">
      <c r="A55" s="889" t="inlineStr">
        <is>
          <t>End</t>
        </is>
      </c>
      <c r="B55" s="917" t="inlineStr"/>
      <c r="C55" s="917" t="inlineStr"/>
      <c r="D55" s="917" t="inlineStr"/>
      <c r="E55" s="917" t="inlineStr">
        <is>
          <t>2022-04-28 17:17:56</t>
        </is>
      </c>
      <c r="F55" s="917" t="inlineStr">
        <is>
          <t>2022-05-06 19:48:00</t>
        </is>
      </c>
      <c r="G55" s="917" t="inlineStr">
        <is>
          <t>2022-06-29 21:45:00</t>
        </is>
      </c>
      <c r="H55" s="917" t="inlineStr">
        <is>
          <t>2022-07-16 00:35:00</t>
        </is>
      </c>
      <c r="I55" s="917" t="inlineStr"/>
      <c r="J55" s="917" t="inlineStr">
        <is>
          <t>2022-09-22 18:42:00</t>
        </is>
      </c>
      <c r="K55" s="917" t="inlineStr">
        <is>
          <t>2022-10-21 23:58:00</t>
        </is>
      </c>
      <c r="L55" s="917" t="inlineStr">
        <is>
          <t>2022-11-24 11:54:00</t>
        </is>
      </c>
      <c r="M55" s="918" t="inlineStr">
        <is>
          <t>2022-12-19 19:11:00</t>
        </is>
      </c>
    </row>
    <row r="56" ht="14.5" customHeight="1">
      <c r="A56" s="886" t="inlineStr">
        <is>
          <t>Avg drawdown</t>
        </is>
      </c>
      <c r="B56" s="894" t="inlineStr"/>
      <c r="C56" s="894" t="inlineStr"/>
      <c r="D56" s="894" t="inlineStr"/>
      <c r="E56" s="896" t="n">
        <v>0.004892800450097459</v>
      </c>
      <c r="F56" s="896" t="n">
        <v>0.01448324555482278</v>
      </c>
      <c r="G56" s="896" t="n">
        <v>0.01420594139173468</v>
      </c>
      <c r="H56" s="896" t="n">
        <v>0.009797716868978019</v>
      </c>
      <c r="I56" s="894" t="inlineStr"/>
      <c r="J56" s="896" t="n">
        <v>0.01512842073153222</v>
      </c>
      <c r="K56" s="896" t="n">
        <v>0.01424498343069685</v>
      </c>
      <c r="L56" s="896" t="n">
        <v>0.01363283722101298</v>
      </c>
      <c r="M56" s="898" t="n">
        <v>0.01494932406795643</v>
      </c>
    </row>
    <row r="57" ht="14.5" customHeight="1">
      <c r="A57" s="886" t="inlineStr">
        <is>
          <t>Min drawdown</t>
        </is>
      </c>
      <c r="B57" s="662" t="inlineStr"/>
      <c r="C57" s="662" t="inlineStr"/>
      <c r="D57" s="662" t="inlineStr"/>
      <c r="E57" s="896" t="n">
        <v>0.004892800450097459</v>
      </c>
      <c r="F57" s="896" t="n">
        <v>0.006234578556705204</v>
      </c>
      <c r="G57" s="896" t="n">
        <v>0.009292242485689444</v>
      </c>
      <c r="H57" s="905" t="n">
        <v>0.0009393487248093752</v>
      </c>
      <c r="I57" s="662" t="inlineStr"/>
      <c r="J57" s="896" t="n">
        <v>0.009705958963601703</v>
      </c>
      <c r="K57" s="896" t="n">
        <v>0.01000623858344339</v>
      </c>
      <c r="L57" s="896" t="n">
        <v>0.009520057444431705</v>
      </c>
      <c r="M57" s="898" t="n">
        <v>0.009865036186976274</v>
      </c>
    </row>
    <row r="58" ht="14.5" customHeight="1">
      <c r="A58" s="889" t="inlineStr">
        <is>
          <t>Start</t>
        </is>
      </c>
      <c r="B58" s="661" t="inlineStr"/>
      <c r="C58" s="661" t="inlineStr"/>
      <c r="D58" s="661" t="inlineStr"/>
      <c r="E58" s="661" t="inlineStr">
        <is>
          <t>2022-04-28 17:10:16</t>
        </is>
      </c>
      <c r="F58" s="661" t="inlineStr">
        <is>
          <t>2022-05-03 20:54:32</t>
        </is>
      </c>
      <c r="G58" s="661" t="inlineStr">
        <is>
          <t>2022-06-09 22:25:00</t>
        </is>
      </c>
      <c r="H58" s="661" t="inlineStr">
        <is>
          <t>2022-07-06 00:35:00</t>
        </is>
      </c>
      <c r="I58" s="661" t="inlineStr"/>
      <c r="J58" s="661" t="inlineStr">
        <is>
          <t>2022-09-07 19:05:00</t>
        </is>
      </c>
      <c r="K58" s="661" t="inlineStr">
        <is>
          <t>2022-10-05 02:04:00</t>
        </is>
      </c>
      <c r="L58" s="661" t="inlineStr">
        <is>
          <t>2022-11-10 18:38:00</t>
        </is>
      </c>
      <c r="M58" s="904" t="inlineStr">
        <is>
          <t>2022-12-02 18:40:00</t>
        </is>
      </c>
    </row>
    <row r="59" ht="14.5" customHeight="1">
      <c r="A59" s="919" t="inlineStr">
        <is>
          <t>End</t>
        </is>
      </c>
      <c r="B59" s="920" t="inlineStr"/>
      <c r="C59" s="920" t="inlineStr"/>
      <c r="D59" s="920" t="inlineStr"/>
      <c r="E59" s="920" t="inlineStr">
        <is>
          <t>2022-04-28 17:17:56</t>
        </is>
      </c>
      <c r="F59" s="920" t="inlineStr">
        <is>
          <t>2022-05-09 17:01:14</t>
        </is>
      </c>
      <c r="G59" s="920" t="inlineStr">
        <is>
          <t>2022-06-22 23:03:00</t>
        </is>
      </c>
      <c r="H59" s="920" t="inlineStr">
        <is>
          <t>2022-07-23 03:02:00</t>
        </is>
      </c>
      <c r="I59" s="920" t="inlineStr"/>
      <c r="J59" s="920" t="inlineStr">
        <is>
          <t>2022-09-12 16:49:00</t>
        </is>
      </c>
      <c r="K59" s="920" t="inlineStr">
        <is>
          <t>2022-10-11 14:31:00</t>
        </is>
      </c>
      <c r="L59" s="920" t="inlineStr">
        <is>
          <t>2022-11-15 17:32:00</t>
        </is>
      </c>
      <c r="M59" s="921" t="inlineStr">
        <is>
          <t>2022-12-13 05:54:00</t>
        </is>
      </c>
    </row>
    <row r="60" ht="14.5" customHeight="1">
      <c r="A60" s="924" t="inlineStr">
        <is>
          <t>Longs</t>
        </is>
      </c>
      <c r="B60" s="941" t="n">
        <v>0</v>
      </c>
      <c r="C60" s="941" t="n">
        <v>1</v>
      </c>
      <c r="D60" s="941" t="n">
        <v>0</v>
      </c>
      <c r="E60" s="941" t="n">
        <v>2</v>
      </c>
      <c r="F60" s="941" t="n">
        <v>10</v>
      </c>
      <c r="G60" s="941" t="n">
        <v>4</v>
      </c>
      <c r="H60" s="941" t="n">
        <v>3</v>
      </c>
      <c r="I60" s="941" t="n">
        <v>0</v>
      </c>
      <c r="J60" s="941" t="n">
        <v>1</v>
      </c>
      <c r="K60" s="941" t="n">
        <v>1</v>
      </c>
      <c r="L60" s="941" t="n">
        <v>3</v>
      </c>
      <c r="M60" s="942" t="n">
        <v>1</v>
      </c>
    </row>
    <row r="61" ht="14.5" customHeight="1">
      <c r="A61" s="889" t="inlineStr">
        <is>
          <t>Long wins</t>
        </is>
      </c>
      <c r="B61" s="890" t="n">
        <v>0</v>
      </c>
      <c r="C61" s="890" t="n">
        <v>1</v>
      </c>
      <c r="D61" s="890" t="n">
        <v>0</v>
      </c>
      <c r="E61" s="890" t="n">
        <v>0</v>
      </c>
      <c r="F61" s="890" t="n">
        <v>3</v>
      </c>
      <c r="G61" s="890" t="n">
        <v>2</v>
      </c>
      <c r="H61" s="890" t="n">
        <v>1</v>
      </c>
      <c r="I61" s="890" t="n">
        <v>0</v>
      </c>
      <c r="J61" s="890" t="n">
        <v>0</v>
      </c>
      <c r="K61" s="890" t="n">
        <v>0</v>
      </c>
      <c r="L61" s="890" t="n">
        <v>2</v>
      </c>
      <c r="M61" s="891" t="n">
        <v>0</v>
      </c>
    </row>
    <row r="62" ht="14.5" customHeight="1">
      <c r="A62" s="889" t="inlineStr">
        <is>
          <t>Long losses</t>
        </is>
      </c>
      <c r="B62" s="943" t="n">
        <v>0</v>
      </c>
      <c r="C62" s="943" t="n">
        <v>0</v>
      </c>
      <c r="D62" s="943" t="n">
        <v>0</v>
      </c>
      <c r="E62" s="943" t="n">
        <v>2</v>
      </c>
      <c r="F62" s="943" t="n">
        <v>7</v>
      </c>
      <c r="G62" s="943" t="n">
        <v>2</v>
      </c>
      <c r="H62" s="943" t="n">
        <v>2</v>
      </c>
      <c r="I62" s="943" t="n">
        <v>0</v>
      </c>
      <c r="J62" s="943" t="n">
        <v>1</v>
      </c>
      <c r="K62" s="943" t="n">
        <v>1</v>
      </c>
      <c r="L62" s="943" t="n">
        <v>1</v>
      </c>
      <c r="M62" s="944" t="n">
        <v>1</v>
      </c>
    </row>
    <row r="63" ht="14.5" customHeight="1">
      <c r="A63" s="886" t="inlineStr">
        <is>
          <t>Long break-even</t>
        </is>
      </c>
      <c r="B63" s="945" t="n">
        <v>0</v>
      </c>
      <c r="C63" s="945" t="n">
        <v>0</v>
      </c>
      <c r="D63" s="945" t="n">
        <v>0</v>
      </c>
      <c r="E63" s="945" t="n">
        <v>0</v>
      </c>
      <c r="F63" s="945" t="n">
        <v>0</v>
      </c>
      <c r="G63" s="945" t="n">
        <v>0</v>
      </c>
      <c r="H63" s="945" t="n">
        <v>0</v>
      </c>
      <c r="I63" s="945" t="n">
        <v>0</v>
      </c>
      <c r="J63" s="945" t="n">
        <v>0</v>
      </c>
      <c r="K63" s="945" t="n">
        <v>0</v>
      </c>
      <c r="L63" s="945" t="n">
        <v>0</v>
      </c>
      <c r="M63" s="946" t="n">
        <v>0</v>
      </c>
    </row>
    <row r="64" ht="14.5" customHeight="1">
      <c r="A64" s="886" t="inlineStr">
        <is>
          <t>Shorts</t>
        </is>
      </c>
      <c r="B64" s="887" t="n">
        <v>1</v>
      </c>
      <c r="C64" s="887" t="n">
        <v>0</v>
      </c>
      <c r="D64" s="887" t="n">
        <v>2</v>
      </c>
      <c r="E64" s="887" t="n">
        <v>0</v>
      </c>
      <c r="F64" s="887" t="n">
        <v>5</v>
      </c>
      <c r="G64" s="887" t="n">
        <v>0</v>
      </c>
      <c r="H64" s="887" t="n">
        <v>6</v>
      </c>
      <c r="I64" s="887" t="n">
        <v>1</v>
      </c>
      <c r="J64" s="887" t="n">
        <v>2</v>
      </c>
      <c r="K64" s="887" t="n">
        <v>5</v>
      </c>
      <c r="L64" s="887" t="n">
        <v>7</v>
      </c>
      <c r="M64" s="888" t="n">
        <v>3</v>
      </c>
    </row>
    <row r="65" ht="14.5" customHeight="1">
      <c r="A65" s="889" t="inlineStr">
        <is>
          <t>Short wins</t>
        </is>
      </c>
      <c r="B65" s="890" t="n">
        <v>0</v>
      </c>
      <c r="C65" s="890" t="n">
        <v>0</v>
      </c>
      <c r="D65" s="890" t="n">
        <v>0</v>
      </c>
      <c r="E65" s="890" t="n">
        <v>0</v>
      </c>
      <c r="F65" s="890" t="n">
        <v>2</v>
      </c>
      <c r="G65" s="890" t="n">
        <v>0</v>
      </c>
      <c r="H65" s="890" t="n">
        <v>2</v>
      </c>
      <c r="I65" s="890" t="n">
        <v>1</v>
      </c>
      <c r="J65" s="890" t="n">
        <v>0</v>
      </c>
      <c r="K65" s="890" t="n">
        <v>2</v>
      </c>
      <c r="L65" s="890" t="n">
        <v>2</v>
      </c>
      <c r="M65" s="891" t="n">
        <v>1</v>
      </c>
    </row>
    <row r="66" ht="14.5" customHeight="1">
      <c r="A66" s="889" t="inlineStr">
        <is>
          <t>Short losses</t>
        </is>
      </c>
      <c r="B66" s="892" t="n">
        <v>1</v>
      </c>
      <c r="C66" s="892" t="n">
        <v>0</v>
      </c>
      <c r="D66" s="892" t="n">
        <v>2</v>
      </c>
      <c r="E66" s="892" t="n">
        <v>0</v>
      </c>
      <c r="F66" s="892" t="n">
        <v>3</v>
      </c>
      <c r="G66" s="892" t="n">
        <v>0</v>
      </c>
      <c r="H66" s="892" t="n">
        <v>4</v>
      </c>
      <c r="I66" s="892" t="n">
        <v>0</v>
      </c>
      <c r="J66" s="892" t="n">
        <v>2</v>
      </c>
      <c r="K66" s="892" t="n">
        <v>3</v>
      </c>
      <c r="L66" s="892" t="n">
        <v>5</v>
      </c>
      <c r="M66" s="893" t="n">
        <v>2</v>
      </c>
    </row>
    <row r="67" ht="14.5" customHeight="1">
      <c r="A67" s="907" t="inlineStr">
        <is>
          <t>Short break-even</t>
        </is>
      </c>
      <c r="B67" s="947" t="n">
        <v>0</v>
      </c>
      <c r="C67" s="947" t="n">
        <v>0</v>
      </c>
      <c r="D67" s="947" t="n">
        <v>0</v>
      </c>
      <c r="E67" s="947" t="n">
        <v>0</v>
      </c>
      <c r="F67" s="947" t="n">
        <v>0</v>
      </c>
      <c r="G67" s="947" t="n">
        <v>0</v>
      </c>
      <c r="H67" s="947" t="n">
        <v>0</v>
      </c>
      <c r="I67" s="947" t="n">
        <v>0</v>
      </c>
      <c r="J67" s="947" t="n">
        <v>0</v>
      </c>
      <c r="K67" s="947" t="n">
        <v>0</v>
      </c>
      <c r="L67" s="947" t="n">
        <v>0</v>
      </c>
      <c r="M67" s="948" t="n">
        <v>0</v>
      </c>
    </row>
    <row r="68" ht="14.5" customHeight="1">
      <c r="A68" s="913" t="inlineStr">
        <is>
          <t>Min duration</t>
        </is>
      </c>
      <c r="B68" s="922" t="inlineStr">
        <is>
          <t>1H 0M 31S - GBPUSD 2022-01-26</t>
        </is>
      </c>
      <c r="C68" s="922" t="inlineStr">
        <is>
          <t>2H 2M 2S - EURGBP 2022-02-04</t>
        </is>
      </c>
      <c r="D68" s="922" t="inlineStr">
        <is>
          <t>2M 0S - BTCUSDT 2022-03-28</t>
        </is>
      </c>
      <c r="E68" s="922" t="inlineStr">
        <is>
          <t>1M 42S - USDJPY 2022-04-28</t>
        </is>
      </c>
      <c r="F68" s="922" t="inlineStr">
        <is>
          <t>3M 5S - USDJPY 2022-05-09</t>
        </is>
      </c>
      <c r="G68" s="922" t="inlineStr">
        <is>
          <t>3H 19M 0S - USDJPY 2022-06-22</t>
        </is>
      </c>
      <c r="H68" s="922" t="inlineStr">
        <is>
          <t>4M 52S - EURCHF 2022-07-13</t>
        </is>
      </c>
      <c r="I68" s="922" t="inlineStr">
        <is>
          <t>1H 43M 0S - EURUSD 2022-08-01</t>
        </is>
      </c>
      <c r="J68" s="922" t="inlineStr">
        <is>
          <t>1M 0S - USDJPY 2022-09-22</t>
        </is>
      </c>
      <c r="K68" s="922" t="inlineStr">
        <is>
          <t>31M 0S - GBPUSD 2022-10-11</t>
        </is>
      </c>
      <c r="L68" s="922" t="inlineStr">
        <is>
          <t>1M 0S - AUDUSD 2022-11-10</t>
        </is>
      </c>
      <c r="M68" s="923" t="inlineStr">
        <is>
          <t>2M 0S - CHFJPY 2022-12-02</t>
        </is>
      </c>
    </row>
    <row r="69" ht="14.5" customHeight="1">
      <c r="A69" s="889" t="inlineStr">
        <is>
          <t>Max duration</t>
        </is>
      </c>
      <c r="B69" s="917" t="inlineStr">
        <is>
          <t>1H 0M 31S - GBPUSD 2022-01-26</t>
        </is>
      </c>
      <c r="C69" s="917" t="inlineStr">
        <is>
          <t>2H 2M 2S - EURGBP 2022-02-04</t>
        </is>
      </c>
      <c r="D69" s="917" t="inlineStr">
        <is>
          <t>2H 29M 58S - USDCHF 2022-03-15</t>
        </is>
      </c>
      <c r="E69" s="917" t="inlineStr">
        <is>
          <t>6M 34S - USDJPY 2022-04-28</t>
        </is>
      </c>
      <c r="F69" s="917" t="inlineStr">
        <is>
          <t>6D 14H 10M 9S - GBPCAD 2022-05-05</t>
        </is>
      </c>
      <c r="G69" s="917" t="inlineStr">
        <is>
          <t>7D 11H 15M 15S - USDJPY 2022-06-01</t>
        </is>
      </c>
      <c r="H69" s="917" t="inlineStr">
        <is>
          <t>11D 2H 3M 0S - USDCHF 2022-07-06</t>
        </is>
      </c>
      <c r="I69" s="917" t="inlineStr">
        <is>
          <t>1H 43M 0S - EURUSD 2022-08-01</t>
        </is>
      </c>
      <c r="J69" s="917" t="inlineStr">
        <is>
          <t>4D 13H 44M 0S - EURJPY 2022-09-12</t>
        </is>
      </c>
      <c r="K69" s="917" t="inlineStr">
        <is>
          <t>7D 20H 11M 0S - USDCHF 2022-10-21</t>
        </is>
      </c>
      <c r="L69" s="917" t="inlineStr">
        <is>
          <t>7D 13H 45M 0S - NZDUSD 2022-11-09</t>
        </is>
      </c>
      <c r="M69" s="918" t="inlineStr">
        <is>
          <t>41M 18S - NZDJPY 2022-12-15</t>
        </is>
      </c>
    </row>
    <row r="70" ht="14.5" customHeight="1">
      <c r="A70" s="889" t="inlineStr">
        <is>
          <t>Min Move to Break Even</t>
        </is>
      </c>
      <c r="B70" s="937" t="inlineStr"/>
      <c r="C70" s="937" t="inlineStr"/>
      <c r="D70" s="937" t="inlineStr"/>
      <c r="E70" s="937" t="inlineStr"/>
      <c r="F70" s="937" t="inlineStr"/>
      <c r="G70" s="937" t="inlineStr"/>
      <c r="H70" s="937" t="inlineStr"/>
      <c r="I70" s="937" t="inlineStr"/>
      <c r="J70" s="937" t="inlineStr"/>
      <c r="K70" s="937" t="inlineStr"/>
      <c r="L70" s="937" t="inlineStr"/>
      <c r="M70" s="938" t="inlineStr"/>
    </row>
    <row r="71" ht="14.5" customHeight="1">
      <c r="A71" s="889" t="inlineStr">
        <is>
          <t>Max Move to Break Even</t>
        </is>
      </c>
      <c r="B71" s="661" t="inlineStr"/>
      <c r="C71" s="661" t="inlineStr"/>
      <c r="D71" s="661" t="inlineStr"/>
      <c r="E71" s="661" t="inlineStr"/>
      <c r="F71" s="661" t="inlineStr"/>
      <c r="G71" s="661" t="inlineStr"/>
      <c r="H71" s="661" t="inlineStr"/>
      <c r="I71" s="661" t="inlineStr"/>
      <c r="J71" s="661" t="inlineStr"/>
      <c r="K71" s="661" t="inlineStr"/>
      <c r="L71" s="661" t="inlineStr"/>
      <c r="M71" s="904" t="inlineStr"/>
    </row>
    <row r="72" ht="14.5" customHeight="1">
      <c r="A72" s="889" t="inlineStr">
        <is>
          <t>Min Move to Profit</t>
        </is>
      </c>
      <c r="B72" s="661" t="inlineStr"/>
      <c r="C72" s="661" t="inlineStr"/>
      <c r="D72" s="661" t="inlineStr"/>
      <c r="E72" s="661" t="inlineStr"/>
      <c r="F72" s="661" t="inlineStr"/>
      <c r="G72" s="661" t="inlineStr"/>
      <c r="H72" s="661" t="inlineStr"/>
      <c r="I72" s="661" t="inlineStr"/>
      <c r="J72" s="661" t="inlineStr"/>
      <c r="K72" s="661" t="inlineStr"/>
      <c r="L72" s="661" t="inlineStr"/>
      <c r="M72" s="904" t="inlineStr"/>
    </row>
    <row r="73" ht="14.5" customHeight="1">
      <c r="A73" s="919" t="inlineStr">
        <is>
          <t>Max Move to Profit</t>
        </is>
      </c>
      <c r="B73" s="920" t="inlineStr"/>
      <c r="C73" s="920" t="inlineStr"/>
      <c r="D73" s="920" t="inlineStr"/>
      <c r="E73" s="920" t="inlineStr"/>
      <c r="F73" s="920" t="inlineStr"/>
      <c r="G73" s="920" t="inlineStr"/>
      <c r="H73" s="920" t="inlineStr"/>
      <c r="I73" s="920" t="inlineStr"/>
      <c r="J73" s="920" t="inlineStr"/>
      <c r="K73" s="920" t="inlineStr"/>
      <c r="L73" s="920" t="inlineStr"/>
      <c r="M73" s="921" t="inlineStr"/>
    </row>
    <row r="74" ht="14.5" customHeight="1">
      <c r="A74" s="913" t="inlineStr">
        <is>
          <t>Winners min stop %</t>
        </is>
      </c>
      <c r="B74" s="986" t="inlineStr"/>
      <c r="C74" s="949" t="inlineStr">
        <is>
          <t>0.30% - EURGBP 2022-02-04</t>
        </is>
      </c>
      <c r="D74" s="986" t="inlineStr"/>
      <c r="E74" s="986" t="inlineStr"/>
      <c r="F74" s="949" t="inlineStr">
        <is>
          <t>0.63% - USDCAD 2022-05-05</t>
        </is>
      </c>
      <c r="G74" s="949" t="inlineStr">
        <is>
          <t>0.42% - EURCAD 2022-06-09</t>
        </is>
      </c>
      <c r="H74" s="949" t="inlineStr">
        <is>
          <t>0.041% - EURCHF 2022-07-13</t>
        </is>
      </c>
      <c r="I74" s="949" t="inlineStr">
        <is>
          <t>0.16% - EURUSD 2022-08-01</t>
        </is>
      </c>
      <c r="J74" s="986" t="inlineStr"/>
      <c r="K74" s="949" t="inlineStr">
        <is>
          <t>0.084% - GBPUSD 2022-10-11</t>
        </is>
      </c>
      <c r="L74" s="949" t="inlineStr">
        <is>
          <t>0.080% - AUDCHF 2022-11-29</t>
        </is>
      </c>
      <c r="M74" s="950" t="inlineStr">
        <is>
          <t>0.088% - NZDJPY 2022-12-15</t>
        </is>
      </c>
    </row>
    <row r="75" ht="14.5" customHeight="1">
      <c r="A75" s="889" t="inlineStr">
        <is>
          <t>Winners max stop %</t>
        </is>
      </c>
      <c r="B75" s="662" t="inlineStr"/>
      <c r="C75" s="661" t="inlineStr">
        <is>
          <t>0.30% - EURGBP 2022-02-04</t>
        </is>
      </c>
      <c r="D75" s="662" t="inlineStr"/>
      <c r="E75" s="662" t="inlineStr"/>
      <c r="F75" s="661" t="inlineStr">
        <is>
          <t>1.21% - GBPJPY 2022-05-17</t>
        </is>
      </c>
      <c r="G75" s="661" t="inlineStr">
        <is>
          <t>1.03% - USDJPY 2022-06-01</t>
        </is>
      </c>
      <c r="H75" s="661" t="inlineStr">
        <is>
          <t>0.72% - USDCHF 2022-07-06</t>
        </is>
      </c>
      <c r="I75" s="661" t="inlineStr">
        <is>
          <t>0.16% - EURUSD 2022-08-01</t>
        </is>
      </c>
      <c r="J75" s="662" t="inlineStr"/>
      <c r="K75" s="661" t="inlineStr">
        <is>
          <t>0.54% - AUDUSD 2022-10-20</t>
        </is>
      </c>
      <c r="L75" s="661" t="inlineStr">
        <is>
          <t>0.40% - USDCHF 2022-11-16</t>
        </is>
      </c>
      <c r="M75" s="904" t="inlineStr">
        <is>
          <t>0.088% - NZDJPY 2022-12-15</t>
        </is>
      </c>
    </row>
    <row r="76" ht="14.5" customHeight="1">
      <c r="A76" s="889" t="inlineStr">
        <is>
          <t>Winners min target %</t>
        </is>
      </c>
      <c r="B76" s="662" t="inlineStr"/>
      <c r="C76" s="661" t="inlineStr">
        <is>
          <t>1.04% - EURGBP 2022-02-04</t>
        </is>
      </c>
      <c r="D76" s="662" t="inlineStr"/>
      <c r="E76" s="662" t="inlineStr"/>
      <c r="F76" s="661" t="inlineStr">
        <is>
          <t>1.26% - USDCAD 2022-05-05</t>
        </is>
      </c>
      <c r="G76" s="661" t="inlineStr">
        <is>
          <t>0.84% - EURCAD 2022-06-09</t>
        </is>
      </c>
      <c r="H76" s="661" t="inlineStr">
        <is>
          <t>0.081% - EURCHF 2022-07-13</t>
        </is>
      </c>
      <c r="I76" s="661" t="inlineStr">
        <is>
          <t>0.32% - EURUSD 2022-08-01</t>
        </is>
      </c>
      <c r="J76" s="662" t="inlineStr"/>
      <c r="K76" s="661" t="inlineStr">
        <is>
          <t>0.19% - GBPUSD 2022-10-11</t>
        </is>
      </c>
      <c r="L76" s="661" t="inlineStr">
        <is>
          <t>0.20% - AUDCHF 2022-11-29</t>
        </is>
      </c>
      <c r="M76" s="904" t="inlineStr">
        <is>
          <t>0.18% - NZDJPY 2022-12-15</t>
        </is>
      </c>
    </row>
    <row r="77" ht="14.5" customHeight="1">
      <c r="A77" s="889" t="inlineStr">
        <is>
          <t>Winners max target %</t>
        </is>
      </c>
      <c r="B77" s="894" t="inlineStr"/>
      <c r="C77" s="917" t="inlineStr">
        <is>
          <t>1.04% - EURGBP 2022-02-04</t>
        </is>
      </c>
      <c r="D77" s="894" t="inlineStr"/>
      <c r="E77" s="894" t="inlineStr"/>
      <c r="F77" s="917" t="inlineStr">
        <is>
          <t>2.43% - GBPJPY 2022-05-17</t>
        </is>
      </c>
      <c r="G77" s="917" t="inlineStr">
        <is>
          <t>2.07% - USDJPY 2022-06-01</t>
        </is>
      </c>
      <c r="H77" s="917" t="inlineStr">
        <is>
          <t>1.45% - USDCHF 2022-07-06</t>
        </is>
      </c>
      <c r="I77" s="917" t="inlineStr">
        <is>
          <t>0.32% - EURUSD 2022-08-01</t>
        </is>
      </c>
      <c r="J77" s="894" t="inlineStr"/>
      <c r="K77" s="917" t="inlineStr">
        <is>
          <t>1.09% - AUDUSD 2022-10-20</t>
        </is>
      </c>
      <c r="L77" s="917" t="inlineStr">
        <is>
          <t>0.84% - USDCHF 2022-11-16</t>
        </is>
      </c>
      <c r="M77" s="918" t="inlineStr">
        <is>
          <t>0.18% - NZDJPY 2022-12-15</t>
        </is>
      </c>
    </row>
    <row r="78" ht="14.5" customHeight="1">
      <c r="A78" s="889" t="inlineStr">
        <is>
          <t>Winners min result %</t>
        </is>
      </c>
      <c r="B78" s="894" t="inlineStr"/>
      <c r="C78" s="951" t="inlineStr">
        <is>
          <t>4.02% - EURGBP 2022-02-04</t>
        </is>
      </c>
      <c r="D78" s="894" t="inlineStr"/>
      <c r="E78" s="894" t="inlineStr"/>
      <c r="F78" s="951" t="inlineStr">
        <is>
          <t>0.27% - GBPCAD 2022-05-05</t>
        </is>
      </c>
      <c r="G78" s="951" t="inlineStr">
        <is>
          <t>1.94% - USDJPY 2022-06-01</t>
        </is>
      </c>
      <c r="H78" s="951" t="inlineStr">
        <is>
          <t>0.91% - EURCHF 2022-07-13</t>
        </is>
      </c>
      <c r="I78" s="951" t="inlineStr">
        <is>
          <t>1.94% - EURUSD 2022-08-01</t>
        </is>
      </c>
      <c r="J78" s="894" t="inlineStr"/>
      <c r="K78" s="951" t="inlineStr">
        <is>
          <t>1.88% - AUDUSD 2022-10-20</t>
        </is>
      </c>
      <c r="L78" s="951" t="inlineStr">
        <is>
          <t>0.53% - EURGBP 2022-11-25</t>
        </is>
      </c>
      <c r="M78" s="895" t="inlineStr"/>
    </row>
    <row r="79" ht="14.5" customHeight="1">
      <c r="A79" s="889" t="inlineStr">
        <is>
          <t>Winners max result %</t>
        </is>
      </c>
      <c r="B79" s="894" t="inlineStr"/>
      <c r="C79" s="951" t="inlineStr">
        <is>
          <t>4.02% - EURGBP 2022-02-04</t>
        </is>
      </c>
      <c r="D79" s="894" t="inlineStr"/>
      <c r="E79" s="894" t="inlineStr"/>
      <c r="F79" s="951" t="inlineStr">
        <is>
          <t>2.00% - GBPCHF 2022-05-19</t>
        </is>
      </c>
      <c r="G79" s="951" t="inlineStr">
        <is>
          <t>1.97% - EURCAD 2022-06-09</t>
        </is>
      </c>
      <c r="H79" s="951" t="inlineStr">
        <is>
          <t>2.08% - USDCHF 2022-07-06</t>
        </is>
      </c>
      <c r="I79" s="951" t="inlineStr">
        <is>
          <t>1.94% - EURUSD 2022-08-01</t>
        </is>
      </c>
      <c r="J79" s="894" t="inlineStr"/>
      <c r="K79" s="951" t="inlineStr">
        <is>
          <t>2.07% - GBPUSD 2022-10-11</t>
        </is>
      </c>
      <c r="L79" s="951" t="inlineStr">
        <is>
          <t>2.49% - AUDCHF 2022-11-29</t>
        </is>
      </c>
      <c r="M79" s="895" t="inlineStr"/>
    </row>
    <row r="80" ht="14.5" customHeight="1">
      <c r="A80" s="889" t="inlineStr">
        <is>
          <t>Winners min R</t>
        </is>
      </c>
      <c r="B80" s="984" t="inlineStr"/>
      <c r="C80" s="951" t="inlineStr">
        <is>
          <t>3.53R - EURGBP 2022-02-04</t>
        </is>
      </c>
      <c r="D80" s="984" t="inlineStr"/>
      <c r="E80" s="984" t="inlineStr"/>
      <c r="F80" s="951" t="inlineStr">
        <is>
          <t>0.16R - GBPCAD 2022-05-05</t>
        </is>
      </c>
      <c r="G80" s="951" t="inlineStr">
        <is>
          <t>2.00R - USDJPY 2022-06-01</t>
        </is>
      </c>
      <c r="H80" s="951" t="inlineStr">
        <is>
          <t>2.00R - EURCHF 2022-07-13</t>
        </is>
      </c>
      <c r="I80" s="951" t="inlineStr">
        <is>
          <t>2.00R - EURUSD 2022-08-01</t>
        </is>
      </c>
      <c r="J80" s="984" t="inlineStr"/>
      <c r="K80" s="951" t="inlineStr">
        <is>
          <t>2.02R - AUDUSD 2022-10-20</t>
        </is>
      </c>
      <c r="L80" s="951" t="inlineStr">
        <is>
          <t>0.54R - EURGBP 2022-11-25</t>
        </is>
      </c>
      <c r="M80" s="952" t="inlineStr">
        <is>
          <t>2.00R - NZDJPY 2022-12-15</t>
        </is>
      </c>
    </row>
    <row r="81" ht="14.5" customHeight="1">
      <c r="A81" s="919" t="inlineStr">
        <is>
          <t>Winners max R</t>
        </is>
      </c>
      <c r="B81" s="980" t="inlineStr"/>
      <c r="C81" s="929" t="inlineStr">
        <is>
          <t>3.53R - EURGBP 2022-02-04</t>
        </is>
      </c>
      <c r="D81" s="980" t="inlineStr"/>
      <c r="E81" s="980" t="inlineStr"/>
      <c r="F81" s="929" t="inlineStr">
        <is>
          <t>2.01R - GBPCHF 2022-05-19</t>
        </is>
      </c>
      <c r="G81" s="929" t="inlineStr">
        <is>
          <t>2.01R - EURCAD 2022-06-09</t>
        </is>
      </c>
      <c r="H81" s="929" t="inlineStr">
        <is>
          <t>2.04R - USDCHF 2022-07-06</t>
        </is>
      </c>
      <c r="I81" s="929" t="inlineStr">
        <is>
          <t>2.00R - EURUSD 2022-08-01</t>
        </is>
      </c>
      <c r="J81" s="980" t="inlineStr"/>
      <c r="K81" s="929" t="inlineStr">
        <is>
          <t>2.34R - GBPUSD 2022-10-11</t>
        </is>
      </c>
      <c r="L81" s="929" t="inlineStr">
        <is>
          <t>2.53R - AUDCHF 2022-11-29</t>
        </is>
      </c>
      <c r="M81" s="930" t="inlineStr">
        <is>
          <t>2.00R - NZDJPY 2022-12-15</t>
        </is>
      </c>
    </row>
    <row r="82" ht="14.5" customHeight="1">
      <c r="A82" s="913" t="inlineStr">
        <is>
          <t>Losers min stop %</t>
        </is>
      </c>
      <c r="B82" s="922" t="inlineStr">
        <is>
          <t>0.057% - GBPUSD 2022-01-26</t>
        </is>
      </c>
      <c r="C82" s="915" t="inlineStr"/>
      <c r="D82" s="922" t="inlineStr">
        <is>
          <t>0.15% - USDCHF 2022-03-15</t>
        </is>
      </c>
      <c r="E82" s="922" t="inlineStr">
        <is>
          <t>0.061% - USDJPY 2022-04-28</t>
        </is>
      </c>
      <c r="F82" s="922" t="inlineStr">
        <is>
          <t>0.036% - GBPUSD 2022-05-03</t>
        </is>
      </c>
      <c r="G82" s="922" t="inlineStr">
        <is>
          <t>0.21% - USDJPY 2022-06-22</t>
        </is>
      </c>
      <c r="H82" s="922" t="inlineStr">
        <is>
          <t>0.069% - EURUSD 2022-07-08</t>
        </is>
      </c>
      <c r="I82" s="915" t="inlineStr"/>
      <c r="J82" s="922" t="inlineStr">
        <is>
          <t>0.35% - USDJPY 2022-09-22</t>
        </is>
      </c>
      <c r="K82" s="922" t="inlineStr">
        <is>
          <t>0.64% - GBPAUD 2022-10-21</t>
        </is>
      </c>
      <c r="L82" s="922" t="inlineStr">
        <is>
          <t>0.11% - AUDUSD 2022-11-10</t>
        </is>
      </c>
      <c r="M82" s="923" t="inlineStr">
        <is>
          <t>0.055% - AUDJPY 2022-12-13</t>
        </is>
      </c>
    </row>
    <row r="83" ht="14.5" customHeight="1">
      <c r="A83" s="889" t="inlineStr">
        <is>
          <t>Losers max stop %</t>
        </is>
      </c>
      <c r="B83" s="917" t="inlineStr">
        <is>
          <t>0.057% - GBPUSD 2022-01-26</t>
        </is>
      </c>
      <c r="C83" s="894" t="inlineStr"/>
      <c r="D83" s="917" t="inlineStr">
        <is>
          <t>2.39% - BTCUSDT 2022-03-28</t>
        </is>
      </c>
      <c r="E83" s="917" t="inlineStr">
        <is>
          <t>0.064% - USDJPY 2022-04-28</t>
        </is>
      </c>
      <c r="F83" s="917" t="inlineStr">
        <is>
          <t>12.58% - BATUSDT 2022-05-11</t>
        </is>
      </c>
      <c r="G83" s="917" t="inlineStr">
        <is>
          <t>0.23% - GBPUSD 2022-06-29</t>
        </is>
      </c>
      <c r="H83" s="917" t="inlineStr">
        <is>
          <t>1.41% - GBPCHF 2022-07-02</t>
        </is>
      </c>
      <c r="I83" s="894" t="inlineStr"/>
      <c r="J83" s="917" t="inlineStr">
        <is>
          <t>0.70% - EURJPY 2022-09-12</t>
        </is>
      </c>
      <c r="K83" s="917" t="inlineStr">
        <is>
          <t>1.75% - GBPUSD 2022-10-05</t>
        </is>
      </c>
      <c r="L83" s="917" t="inlineStr">
        <is>
          <t>2.30% - NZDUSD 2022-11-09</t>
        </is>
      </c>
      <c r="M83" s="918" t="inlineStr">
        <is>
          <t>0.14% - CHFJPY 2022-12-02</t>
        </is>
      </c>
    </row>
    <row r="84" ht="14.5" customHeight="1">
      <c r="A84" s="889" t="inlineStr">
        <is>
          <t>Losers min target %</t>
        </is>
      </c>
      <c r="B84" s="917" t="inlineStr">
        <is>
          <t>0.35% - GBPUSD 2022-01-26</t>
        </is>
      </c>
      <c r="C84" s="894" t="inlineStr"/>
      <c r="D84" s="917" t="inlineStr">
        <is>
          <t>0.95% - USDCHF 2022-03-15</t>
        </is>
      </c>
      <c r="E84" s="917" t="inlineStr">
        <is>
          <t>0.17% - USDJPY 2022-04-28</t>
        </is>
      </c>
      <c r="F84" s="917" t="inlineStr">
        <is>
          <t>0.076% - USDJPY 2022-05-09</t>
        </is>
      </c>
      <c r="G84" s="917" t="inlineStr">
        <is>
          <t>0.47% - GBPUSD 2022-06-29</t>
        </is>
      </c>
      <c r="H84" s="917" t="inlineStr">
        <is>
          <t>0.14% - EURUSD 2022-07-08</t>
        </is>
      </c>
      <c r="I84" s="894" t="inlineStr"/>
      <c r="J84" s="917" t="inlineStr">
        <is>
          <t>0.73% - USDJPY 2022-09-22</t>
        </is>
      </c>
      <c r="K84" s="917" t="inlineStr">
        <is>
          <t>1.29% - GBPAUD 2022-10-21</t>
        </is>
      </c>
      <c r="L84" s="917" t="inlineStr">
        <is>
          <t>0.23% - AUDUSD 2022-11-10</t>
        </is>
      </c>
      <c r="M84" s="918" t="inlineStr">
        <is>
          <t>0.14% - AUDJPY 2022-12-13</t>
        </is>
      </c>
    </row>
    <row r="85" ht="14.5" customHeight="1">
      <c r="A85" s="889" t="inlineStr">
        <is>
          <t>Losers max target %</t>
        </is>
      </c>
      <c r="B85" s="917" t="inlineStr">
        <is>
          <t>0.35% - GBPUSD 2022-01-26</t>
        </is>
      </c>
      <c r="C85" s="894" t="inlineStr"/>
      <c r="D85" s="917" t="inlineStr">
        <is>
          <t>4.79% - BTCUSDT 2022-03-28</t>
        </is>
      </c>
      <c r="E85" s="917" t="inlineStr">
        <is>
          <t>0.17% - USDJPY 2022-04-28</t>
        </is>
      </c>
      <c r="F85" s="917" t="inlineStr">
        <is>
          <t>25.22% - BATUSDT 2022-05-11</t>
        </is>
      </c>
      <c r="G85" s="917" t="inlineStr">
        <is>
          <t>0.48% - USDJPY 2022-06-22</t>
        </is>
      </c>
      <c r="H85" s="917" t="inlineStr">
        <is>
          <t>2.82% - GBPCHF 2022-07-02</t>
        </is>
      </c>
      <c r="I85" s="894" t="inlineStr"/>
      <c r="J85" s="917" t="inlineStr">
        <is>
          <t>1.80% - NZDJPY 2022-09-07</t>
        </is>
      </c>
      <c r="K85" s="917" t="inlineStr">
        <is>
          <t>3.53% - GBPUSD 2022-10-05</t>
        </is>
      </c>
      <c r="L85" s="917" t="inlineStr">
        <is>
          <t>4.60% - NZDUSD 2022-11-09</t>
        </is>
      </c>
      <c r="M85" s="918" t="inlineStr">
        <is>
          <t>0.29% - CHFJPY 2022-12-02</t>
        </is>
      </c>
    </row>
    <row r="86" ht="14.5" customHeight="1">
      <c r="A86" s="889" t="inlineStr">
        <is>
          <t>Losers min result %</t>
        </is>
      </c>
      <c r="B86" s="927" t="inlineStr">
        <is>
          <t>-1.06% - GBPUSD 2022-01-26</t>
        </is>
      </c>
      <c r="C86" s="894" t="inlineStr"/>
      <c r="D86" s="927" t="inlineStr">
        <is>
          <t>-0.52% - BTCUSDT 2022-03-28</t>
        </is>
      </c>
      <c r="E86" s="927" t="inlineStr">
        <is>
          <t>-0.47% - USDJPY 2022-04-28</t>
        </is>
      </c>
      <c r="F86" s="927" t="inlineStr">
        <is>
          <t>-0.50% - NZDUSD 2022-05-31</t>
        </is>
      </c>
      <c r="G86" s="927" t="inlineStr">
        <is>
          <t>-0.93% - USDJPY 2022-06-22</t>
        </is>
      </c>
      <c r="H86" s="927" t="inlineStr">
        <is>
          <t>-0.44% - EURUSD 2022-07-08</t>
        </is>
      </c>
      <c r="I86" s="894" t="inlineStr"/>
      <c r="J86" s="927" t="inlineStr">
        <is>
          <t>-0.97% - EURJPY 2022-09-12</t>
        </is>
      </c>
      <c r="K86" s="927" t="inlineStr">
        <is>
          <t>-0.97% - GBPUSD 2022-10-05</t>
        </is>
      </c>
      <c r="L86" s="927" t="inlineStr">
        <is>
          <t>-0.95% - EURUSD 2022-11-15</t>
        </is>
      </c>
      <c r="M86" s="928" t="inlineStr">
        <is>
          <t>-0.99% - AUDJPY 2022-12-13</t>
        </is>
      </c>
    </row>
    <row r="87" ht="14.5" customHeight="1">
      <c r="A87" s="889" t="inlineStr">
        <is>
          <t>Losers max result %</t>
        </is>
      </c>
      <c r="B87" s="927" t="inlineStr">
        <is>
          <t>-1.06% - GBPUSD 2022-01-26</t>
        </is>
      </c>
      <c r="C87" s="894" t="inlineStr"/>
      <c r="D87" s="927" t="inlineStr">
        <is>
          <t>-0.96% - USDCHF 2022-03-15</t>
        </is>
      </c>
      <c r="E87" s="927" t="inlineStr">
        <is>
          <t>-0.49% - USDJPY 2022-04-28</t>
        </is>
      </c>
      <c r="F87" s="927" t="inlineStr">
        <is>
          <t>-2.14% - EURCHF 2022-05-06</t>
        </is>
      </c>
      <c r="G87" s="927" t="inlineStr">
        <is>
          <t>-0.99% - GBPUSD 2022-06-29</t>
        </is>
      </c>
      <c r="H87" s="927" t="inlineStr">
        <is>
          <t>-1.06% - GBPCHF 2022-07-02</t>
        </is>
      </c>
      <c r="I87" s="894" t="inlineStr"/>
      <c r="J87" s="927" t="inlineStr">
        <is>
          <t>-1.10% - USDJPY 2022-09-22</t>
        </is>
      </c>
      <c r="K87" s="927" t="inlineStr">
        <is>
          <t>-1.15% - USDCHF 2022-10-21</t>
        </is>
      </c>
      <c r="L87" s="927" t="inlineStr">
        <is>
          <t>-0.98% - CADJPY 2022-11-24</t>
        </is>
      </c>
      <c r="M87" s="928" t="inlineStr">
        <is>
          <t>-1.03% - GBPUSD 2022-12-19</t>
        </is>
      </c>
    </row>
    <row r="88" ht="14.5" customHeight="1">
      <c r="A88" s="889" t="inlineStr">
        <is>
          <t>Losers min R</t>
        </is>
      </c>
      <c r="B88" s="927" t="inlineStr">
        <is>
          <t>-1.01R - GBPUSD 2022-01-26</t>
        </is>
      </c>
      <c r="C88" s="984" t="inlineStr"/>
      <c r="D88" s="927" t="inlineStr">
        <is>
          <t>-1.00R - USDCHF 2022-03-15</t>
        </is>
      </c>
      <c r="E88" s="927" t="inlineStr">
        <is>
          <t>-1.00R - USDJPY 2022-04-28</t>
        </is>
      </c>
      <c r="F88" s="927" t="inlineStr">
        <is>
          <t>-1.00R - AUDUSD 2022-05-10</t>
        </is>
      </c>
      <c r="G88" s="927" t="inlineStr">
        <is>
          <t>-1.00R - GBPUSD 2022-06-29</t>
        </is>
      </c>
      <c r="H88" s="927" t="inlineStr">
        <is>
          <t>-0.67R - AUDCAD 2022-07-05</t>
        </is>
      </c>
      <c r="I88" s="984" t="inlineStr"/>
      <c r="J88" s="927" t="inlineStr">
        <is>
          <t>-1.00R - NZDJPY 2022-09-07</t>
        </is>
      </c>
      <c r="K88" s="927" t="inlineStr">
        <is>
          <t>-1.00R - GBPUSD 2022-10-05</t>
        </is>
      </c>
      <c r="L88" s="927" t="inlineStr">
        <is>
          <t>-1.00R - NZDCAD 2022-11-18</t>
        </is>
      </c>
      <c r="M88" s="928" t="inlineStr">
        <is>
          <t>-1.00R - CHFJPY 2022-12-02</t>
        </is>
      </c>
    </row>
    <row r="89" ht="14.5" customHeight="1">
      <c r="A89" s="919" t="inlineStr">
        <is>
          <t>Losers max R</t>
        </is>
      </c>
      <c r="B89" s="953" t="inlineStr">
        <is>
          <t>-1.01R - GBPUSD 2022-01-26</t>
        </is>
      </c>
      <c r="C89" s="980" t="inlineStr"/>
      <c r="D89" s="953" t="inlineStr">
        <is>
          <t>-1.15R - BTCUSDT 2022-03-28</t>
        </is>
      </c>
      <c r="E89" s="953" t="inlineStr">
        <is>
          <t>-1.00R - USDJPY 2022-04-28</t>
        </is>
      </c>
      <c r="F89" s="953" t="inlineStr">
        <is>
          <t>-1.36R - NZDCAD 2022-05-05</t>
        </is>
      </c>
      <c r="G89" s="953" t="inlineStr">
        <is>
          <t>-1.01R - USDJPY 2022-06-22</t>
        </is>
      </c>
      <c r="H89" s="953" t="inlineStr">
        <is>
          <t>-1.03R - EURCHF 2022-07-12</t>
        </is>
      </c>
      <c r="I89" s="980" t="inlineStr"/>
      <c r="J89" s="953" t="inlineStr">
        <is>
          <t>-1.12R - USDJPY 2022-09-22</t>
        </is>
      </c>
      <c r="K89" s="953" t="inlineStr">
        <is>
          <t>-1.07R - USDCHF 2022-10-21</t>
        </is>
      </c>
      <c r="L89" s="953" t="inlineStr">
        <is>
          <t>-1.01R - AUDUSD 2022-11-10</t>
        </is>
      </c>
      <c r="M89" s="954" t="inlineStr">
        <is>
          <t>-1.09R - GBPUSD 2022-12-19</t>
        </is>
      </c>
    </row>
    <row r="90" ht="14.5" customHeight="1">
      <c r="A90" s="924" t="inlineStr">
        <is>
          <t>Patterns</t>
        </is>
      </c>
      <c r="B90" s="922" t="inlineStr"/>
      <c r="C90" s="922" t="inlineStr"/>
      <c r="D90" s="922" t="inlineStr"/>
      <c r="E90" s="922" t="inlineStr"/>
      <c r="F90" s="922" t="inlineStr"/>
      <c r="G90" s="922" t="inlineStr"/>
      <c r="H90" s="922" t="inlineStr"/>
      <c r="I90" s="922" t="inlineStr"/>
      <c r="J90" s="922" t="inlineStr"/>
      <c r="K90" s="922" t="inlineStr"/>
      <c r="L90" s="922" t="inlineStr"/>
      <c r="M90" s="923" t="inlineStr"/>
    </row>
    <row r="91" ht="14.5" customHeight="1">
      <c r="A91" s="886" t="inlineStr">
        <is>
          <t>Most Traded</t>
        </is>
      </c>
      <c r="B91" s="917" t="inlineStr"/>
      <c r="C91" s="917" t="inlineStr"/>
      <c r="D91" s="917" t="inlineStr"/>
      <c r="E91" s="917" t="inlineStr"/>
      <c r="F91" s="917" t="inlineStr"/>
      <c r="G91" s="917" t="inlineStr"/>
      <c r="H91" s="917" t="inlineStr"/>
      <c r="I91" s="917" t="inlineStr"/>
      <c r="J91" s="917" t="inlineStr"/>
      <c r="K91" s="917" t="inlineStr"/>
      <c r="L91" s="917" t="inlineStr"/>
      <c r="M91" s="918" t="inlineStr"/>
    </row>
    <row r="92" ht="14.5" customHeight="1">
      <c r="A92" s="886" t="inlineStr">
        <is>
          <t>Least Traded</t>
        </is>
      </c>
      <c r="B92" s="661" t="inlineStr"/>
      <c r="C92" s="661" t="inlineStr"/>
      <c r="D92" s="661" t="inlineStr"/>
      <c r="E92" s="661" t="inlineStr"/>
      <c r="F92" s="661" t="inlineStr"/>
      <c r="G92" s="661" t="inlineStr"/>
      <c r="H92" s="661" t="inlineStr"/>
      <c r="I92" s="661" t="inlineStr"/>
      <c r="J92" s="661" t="inlineStr"/>
      <c r="K92" s="661" t="inlineStr"/>
      <c r="L92" s="661" t="inlineStr"/>
      <c r="M92" s="904" t="inlineStr"/>
    </row>
    <row r="93" ht="14.5" customHeight="1">
      <c r="A93" s="886" t="inlineStr">
        <is>
          <t>Most Profitable</t>
        </is>
      </c>
      <c r="B93" s="661" t="inlineStr"/>
      <c r="C93" s="661" t="inlineStr"/>
      <c r="D93" s="661" t="inlineStr"/>
      <c r="E93" s="661" t="inlineStr"/>
      <c r="F93" s="661" t="inlineStr"/>
      <c r="G93" s="661" t="inlineStr"/>
      <c r="H93" s="661" t="inlineStr"/>
      <c r="I93" s="661" t="inlineStr"/>
      <c r="J93" s="661" t="inlineStr"/>
      <c r="K93" s="661" t="inlineStr"/>
      <c r="L93" s="661" t="inlineStr"/>
      <c r="M93" s="904" t="inlineStr"/>
    </row>
    <row r="94" ht="14.5" customHeight="1">
      <c r="A94" s="907" t="inlineStr">
        <is>
          <t>Least Profitable</t>
        </is>
      </c>
      <c r="B94" s="669" t="inlineStr"/>
      <c r="C94" s="669" t="inlineStr"/>
      <c r="D94" s="669" t="inlineStr"/>
      <c r="E94" s="669" t="inlineStr"/>
      <c r="F94" s="669" t="inlineStr"/>
      <c r="G94" s="669" t="inlineStr"/>
      <c r="H94" s="669" t="inlineStr"/>
      <c r="I94" s="669" t="inlineStr"/>
      <c r="J94" s="669" t="inlineStr"/>
      <c r="K94" s="669" t="inlineStr"/>
      <c r="L94" s="669" t="inlineStr"/>
      <c r="M94" s="955" t="inlineStr"/>
    </row>
    <row r="95" ht="14.5" customHeight="1">
      <c r="A95" s="924" t="inlineStr">
        <is>
          <t>Timeframe</t>
        </is>
      </c>
      <c r="B95" s="931" t="inlineStr"/>
      <c r="C95" s="931" t="inlineStr"/>
      <c r="D95" s="931" t="inlineStr"/>
      <c r="E95" s="931" t="inlineStr"/>
      <c r="F95" s="931" t="inlineStr"/>
      <c r="G95" s="931" t="inlineStr"/>
      <c r="H95" s="931" t="inlineStr"/>
      <c r="I95" s="931" t="inlineStr"/>
      <c r="J95" s="931" t="inlineStr"/>
      <c r="K95" s="931" t="inlineStr"/>
      <c r="L95" s="931" t="inlineStr"/>
      <c r="M95" s="932" t="inlineStr"/>
    </row>
    <row r="96" ht="14.5" customHeight="1">
      <c r="A96" s="886" t="inlineStr">
        <is>
          <t>1MIN</t>
        </is>
      </c>
      <c r="B96" s="887" t="n">
        <v>0</v>
      </c>
      <c r="C96" s="887" t="n">
        <v>0</v>
      </c>
      <c r="D96" s="887" t="n">
        <v>0</v>
      </c>
      <c r="E96" s="887" t="n">
        <v>1</v>
      </c>
      <c r="F96" s="887" t="n">
        <v>1</v>
      </c>
      <c r="G96" s="887" t="n">
        <v>0</v>
      </c>
      <c r="H96" s="887" t="n">
        <v>2</v>
      </c>
      <c r="I96" s="887" t="n">
        <v>0</v>
      </c>
      <c r="J96" s="887" t="n">
        <v>0</v>
      </c>
      <c r="K96" s="887" t="n">
        <v>0</v>
      </c>
      <c r="L96" s="887" t="n">
        <v>0</v>
      </c>
      <c r="M96" s="888" t="n">
        <v>0</v>
      </c>
    </row>
    <row r="97" ht="14.5" customHeight="1">
      <c r="A97" s="886" t="inlineStr">
        <is>
          <t>5MIN</t>
        </is>
      </c>
      <c r="B97" s="887" t="n">
        <v>0</v>
      </c>
      <c r="C97" s="887" t="n">
        <v>0</v>
      </c>
      <c r="D97" s="887" t="n">
        <v>0</v>
      </c>
      <c r="E97" s="887" t="n">
        <v>1</v>
      </c>
      <c r="F97" s="887" t="n">
        <v>1</v>
      </c>
      <c r="G97" s="887" t="n">
        <v>0</v>
      </c>
      <c r="H97" s="887" t="n">
        <v>0</v>
      </c>
      <c r="I97" s="887" t="n">
        <v>0</v>
      </c>
      <c r="J97" s="887" t="n">
        <v>0</v>
      </c>
      <c r="K97" s="887" t="n">
        <v>0</v>
      </c>
      <c r="L97" s="887" t="n">
        <v>0</v>
      </c>
      <c r="M97" s="888" t="n">
        <v>0</v>
      </c>
    </row>
    <row r="98" ht="14.5" customHeight="1">
      <c r="A98" s="886" t="inlineStr">
        <is>
          <t>15MIN</t>
        </is>
      </c>
      <c r="B98" s="887" t="n">
        <v>0</v>
      </c>
      <c r="C98" s="887" t="n">
        <v>0</v>
      </c>
      <c r="D98" s="887" t="n">
        <v>0</v>
      </c>
      <c r="E98" s="887" t="n">
        <v>0</v>
      </c>
      <c r="F98" s="887" t="n">
        <v>0</v>
      </c>
      <c r="G98" s="887" t="n">
        <v>0</v>
      </c>
      <c r="H98" s="887" t="n">
        <v>0</v>
      </c>
      <c r="I98" s="887" t="n">
        <v>0</v>
      </c>
      <c r="J98" s="887" t="n">
        <v>0</v>
      </c>
      <c r="K98" s="887" t="n">
        <v>1</v>
      </c>
      <c r="L98" s="887" t="n">
        <v>1</v>
      </c>
      <c r="M98" s="888" t="n">
        <v>1</v>
      </c>
    </row>
    <row r="99" ht="14.5" customHeight="1">
      <c r="A99" s="886" t="inlineStr">
        <is>
          <t>30MIN</t>
        </is>
      </c>
      <c r="B99" s="887" t="n">
        <v>0</v>
      </c>
      <c r="C99" s="887" t="n">
        <v>0</v>
      </c>
      <c r="D99" s="887" t="n">
        <v>0</v>
      </c>
      <c r="E99" s="887" t="n">
        <v>0</v>
      </c>
      <c r="F99" s="887" t="n">
        <v>1</v>
      </c>
      <c r="G99" s="887" t="n">
        <v>0</v>
      </c>
      <c r="H99" s="887" t="n">
        <v>1</v>
      </c>
      <c r="I99" s="887" t="n">
        <v>0</v>
      </c>
      <c r="J99" s="887" t="n">
        <v>0</v>
      </c>
      <c r="K99" s="887" t="n">
        <v>0</v>
      </c>
      <c r="L99" s="887" t="n">
        <v>0</v>
      </c>
      <c r="M99" s="888" t="n">
        <v>0</v>
      </c>
    </row>
    <row r="100" ht="14.5" customHeight="1">
      <c r="A100" s="886" t="inlineStr">
        <is>
          <t>1H</t>
        </is>
      </c>
      <c r="B100" s="887" t="n">
        <v>1</v>
      </c>
      <c r="C100" s="887" t="n">
        <v>0</v>
      </c>
      <c r="D100" s="887" t="n">
        <v>0</v>
      </c>
      <c r="E100" s="887" t="n">
        <v>0</v>
      </c>
      <c r="F100" s="887" t="n">
        <v>0</v>
      </c>
      <c r="G100" s="887" t="n">
        <v>0</v>
      </c>
      <c r="H100" s="887" t="n">
        <v>0</v>
      </c>
      <c r="I100" s="887" t="n">
        <v>1</v>
      </c>
      <c r="J100" s="887" t="n">
        <v>0</v>
      </c>
      <c r="K100" s="887" t="n">
        <v>0</v>
      </c>
      <c r="L100" s="887" t="n">
        <v>1</v>
      </c>
      <c r="M100" s="888" t="n">
        <v>2</v>
      </c>
    </row>
    <row r="101" ht="14.5" customHeight="1">
      <c r="A101" s="886" t="inlineStr">
        <is>
          <t>4H</t>
        </is>
      </c>
      <c r="B101" s="887" t="n">
        <v>0</v>
      </c>
      <c r="C101" s="887" t="n">
        <v>0</v>
      </c>
      <c r="D101" s="887" t="n">
        <v>0</v>
      </c>
      <c r="E101" s="887" t="n">
        <v>0</v>
      </c>
      <c r="F101" s="887" t="n">
        <v>1</v>
      </c>
      <c r="G101" s="887" t="n">
        <v>2</v>
      </c>
      <c r="H101" s="887" t="n">
        <v>2</v>
      </c>
      <c r="I101" s="887" t="n">
        <v>0</v>
      </c>
      <c r="J101" s="887" t="n">
        <v>1</v>
      </c>
      <c r="K101" s="887" t="n">
        <v>1</v>
      </c>
      <c r="L101" s="887" t="n">
        <v>2</v>
      </c>
      <c r="M101" s="888" t="n">
        <v>0</v>
      </c>
    </row>
    <row r="102" ht="14.5" customHeight="1">
      <c r="A102" s="886" t="inlineStr">
        <is>
          <t>DAILY</t>
        </is>
      </c>
      <c r="B102" s="887" t="n">
        <v>0</v>
      </c>
      <c r="C102" s="887" t="n">
        <v>0</v>
      </c>
      <c r="D102" s="887" t="n">
        <v>1</v>
      </c>
      <c r="E102" s="887" t="n">
        <v>0</v>
      </c>
      <c r="F102" s="887" t="n">
        <v>2</v>
      </c>
      <c r="G102" s="887" t="n">
        <v>1</v>
      </c>
      <c r="H102" s="887" t="n">
        <v>1</v>
      </c>
      <c r="I102" s="887" t="n">
        <v>0</v>
      </c>
      <c r="J102" s="887" t="n">
        <v>1</v>
      </c>
      <c r="K102" s="887" t="n">
        <v>3</v>
      </c>
      <c r="L102" s="887" t="n">
        <v>3</v>
      </c>
      <c r="M102" s="888" t="n">
        <v>1</v>
      </c>
    </row>
    <row r="103" ht="14.5" customHeight="1">
      <c r="A103" s="886" t="inlineStr">
        <is>
          <t>WEEKLY</t>
        </is>
      </c>
      <c r="B103" s="887" t="n">
        <v>0</v>
      </c>
      <c r="C103" s="887" t="n">
        <v>1</v>
      </c>
      <c r="D103" s="887" t="n">
        <v>1</v>
      </c>
      <c r="E103" s="887" t="n">
        <v>0</v>
      </c>
      <c r="F103" s="887" t="n">
        <v>6</v>
      </c>
      <c r="G103" s="887" t="n">
        <v>1</v>
      </c>
      <c r="H103" s="887" t="n">
        <v>2</v>
      </c>
      <c r="I103" s="887" t="n">
        <v>0</v>
      </c>
      <c r="J103" s="887" t="n">
        <v>1</v>
      </c>
      <c r="K103" s="887" t="n">
        <v>1</v>
      </c>
      <c r="L103" s="887" t="n">
        <v>3</v>
      </c>
      <c r="M103" s="888" t="n">
        <v>0</v>
      </c>
    </row>
    <row r="104" ht="14.5" customHeight="1">
      <c r="A104" s="907" t="inlineStr">
        <is>
          <t>MONTHLY</t>
        </is>
      </c>
      <c r="B104" s="947" t="n">
        <v>0</v>
      </c>
      <c r="C104" s="947" t="n">
        <v>0</v>
      </c>
      <c r="D104" s="947" t="n">
        <v>0</v>
      </c>
      <c r="E104" s="947" t="n">
        <v>0</v>
      </c>
      <c r="F104" s="947" t="n">
        <v>2</v>
      </c>
      <c r="G104" s="947" t="n">
        <v>0</v>
      </c>
      <c r="H104" s="947" t="n">
        <v>1</v>
      </c>
      <c r="I104" s="947" t="n">
        <v>0</v>
      </c>
      <c r="J104" s="947" t="n">
        <v>0</v>
      </c>
      <c r="K104" s="947" t="n">
        <v>0</v>
      </c>
      <c r="L104" s="947" t="n">
        <v>0</v>
      </c>
      <c r="M104" s="948" t="n">
        <v>0</v>
      </c>
    </row>
    <row r="105" ht="14.5" customHeight="1">
      <c r="A105" s="924" t="inlineStr">
        <is>
          <t>Commission</t>
        </is>
      </c>
      <c r="B105" s="931" t="inlineStr"/>
      <c r="C105" s="931" t="inlineStr"/>
      <c r="D105" s="931" t="inlineStr"/>
      <c r="E105" s="931" t="inlineStr"/>
      <c r="F105" s="931" t="inlineStr"/>
      <c r="G105" s="931" t="inlineStr"/>
      <c r="H105" s="931" t="inlineStr"/>
      <c r="I105" s="931" t="inlineStr"/>
      <c r="J105" s="931" t="inlineStr"/>
      <c r="K105" s="931" t="inlineStr"/>
      <c r="L105" s="931" t="inlineStr"/>
      <c r="M105" s="932" t="inlineStr"/>
    </row>
    <row r="106" ht="14.5" customHeight="1">
      <c r="A106" s="889" t="inlineStr">
        <is>
          <t>Min Commission</t>
        </is>
      </c>
      <c r="B106" s="661" t="inlineStr"/>
      <c r="C106" s="661" t="inlineStr"/>
      <c r="D106" s="989" t="n">
        <v>0.03237845</v>
      </c>
      <c r="E106" s="957" t="n">
        <v>0.35</v>
      </c>
      <c r="F106" s="927" t="inlineStr">
        <is>
          <t>AUD 0.070 / USDT 0.011</t>
        </is>
      </c>
      <c r="G106" s="661" t="inlineStr"/>
      <c r="H106" s="957" t="n">
        <v>0.28</v>
      </c>
      <c r="I106" s="661" t="inlineStr"/>
      <c r="J106" s="661" t="inlineStr"/>
      <c r="K106" s="661" t="inlineStr"/>
      <c r="L106" s="661" t="inlineStr"/>
      <c r="M106" s="973" t="n">
        <v>0.21</v>
      </c>
    </row>
    <row r="107" ht="14.5" customHeight="1">
      <c r="A107" s="889" t="inlineStr">
        <is>
          <t>Avg Commission</t>
        </is>
      </c>
      <c r="B107" s="661" t="inlineStr"/>
      <c r="C107" s="661" t="inlineStr"/>
      <c r="D107" s="989" t="n">
        <v>0.03237845</v>
      </c>
      <c r="E107" s="957" t="n">
        <v>0.35</v>
      </c>
      <c r="F107" s="927" t="inlineStr">
        <is>
          <t>AUD 0.47 / USDT 0.011</t>
        </is>
      </c>
      <c r="G107" s="661" t="inlineStr"/>
      <c r="H107" s="957" t="n">
        <v>0.42</v>
      </c>
      <c r="I107" s="661" t="inlineStr"/>
      <c r="J107" s="661" t="inlineStr"/>
      <c r="K107" s="661" t="inlineStr"/>
      <c r="L107" s="661" t="inlineStr"/>
      <c r="M107" s="973" t="n">
        <v>0.21</v>
      </c>
    </row>
    <row r="108" ht="14.5" customHeight="1">
      <c r="A108" s="889" t="inlineStr">
        <is>
          <t>Max Commission</t>
        </is>
      </c>
      <c r="B108" s="937" t="inlineStr"/>
      <c r="C108" s="937" t="inlineStr"/>
      <c r="D108" s="1000" t="n">
        <v>0.03237845</v>
      </c>
      <c r="E108" s="958" t="n">
        <v>0.35</v>
      </c>
      <c r="F108" s="959" t="inlineStr">
        <is>
          <t>AUD 0.70 / USDT 0.011</t>
        </is>
      </c>
      <c r="G108" s="937" t="inlineStr"/>
      <c r="H108" s="958" t="n">
        <v>0.5600000000000001</v>
      </c>
      <c r="I108" s="937" t="inlineStr"/>
      <c r="J108" s="937" t="inlineStr"/>
      <c r="K108" s="937" t="inlineStr"/>
      <c r="L108" s="937" t="inlineStr"/>
      <c r="M108" s="975" t="n">
        <v>0.21</v>
      </c>
    </row>
    <row r="109" ht="14.5" customHeight="1">
      <c r="A109" s="919" t="inlineStr">
        <is>
          <t>Total Commission</t>
        </is>
      </c>
      <c r="B109" s="920" t="inlineStr"/>
      <c r="C109" s="920" t="inlineStr"/>
      <c r="D109" s="1001" t="n">
        <v>0.03237845</v>
      </c>
      <c r="E109" s="961" t="n">
        <v>0.7</v>
      </c>
      <c r="F109" s="953" t="inlineStr">
        <is>
          <t>AUD 1.89 / USDT 0.011</t>
        </is>
      </c>
      <c r="G109" s="920" t="inlineStr"/>
      <c r="H109" s="961" t="n">
        <v>0.8400000000000001</v>
      </c>
      <c r="I109" s="920" t="inlineStr"/>
      <c r="J109" s="920" t="inlineStr"/>
      <c r="K109" s="920" t="inlineStr"/>
      <c r="L109" s="920" t="inlineStr"/>
      <c r="M109" s="976" t="n">
        <v>0.21</v>
      </c>
    </row>
    <row r="110">
      <c r="A110" s="962" t="n"/>
      <c r="B110" s="963" t="n"/>
      <c r="C110" s="963" t="n"/>
      <c r="D110" s="963" t="n"/>
      <c r="E110" s="963" t="n"/>
      <c r="F110" s="963" t="n"/>
      <c r="G110" s="963" t="n"/>
      <c r="H110" s="963" t="n"/>
      <c r="I110" s="963" t="n"/>
      <c r="J110" s="963" t="n"/>
      <c r="K110" s="963" t="n"/>
      <c r="L110" s="963" t="n"/>
      <c r="M110" s="963" t="n"/>
    </row>
    <row r="111">
      <c r="A111" s="962" t="n"/>
      <c r="B111" s="965" t="n"/>
      <c r="C111" s="965" t="n"/>
      <c r="D111" s="965" t="n"/>
      <c r="E111" s="965" t="n"/>
      <c r="F111" s="965" t="n"/>
      <c r="G111" s="965" t="n"/>
      <c r="H111" s="965" t="n"/>
      <c r="I111" s="965" t="n"/>
      <c r="J111" s="965" t="n"/>
      <c r="K111" s="965" t="n"/>
      <c r="L111" s="965" t="n"/>
      <c r="M111" s="965" t="n"/>
    </row>
    <row r="112">
      <c r="A112" s="962" t="n"/>
      <c r="B112" s="965" t="n"/>
      <c r="C112" s="965" t="n"/>
      <c r="D112" s="965" t="n"/>
      <c r="E112" s="965" t="n"/>
      <c r="F112" s="965" t="n"/>
      <c r="G112" s="965" t="n"/>
      <c r="H112" s="965" t="n"/>
      <c r="I112" s="965" t="n"/>
      <c r="J112" s="965" t="n"/>
      <c r="K112" s="965" t="n"/>
      <c r="L112" s="965" t="n"/>
      <c r="M112" s="965" t="n"/>
    </row>
    <row r="113">
      <c r="A113" s="962" t="n"/>
      <c r="B113" s="967" t="n"/>
      <c r="C113" s="967" t="n"/>
      <c r="D113" s="967" t="n"/>
      <c r="E113" s="967" t="n"/>
      <c r="F113" s="967" t="n"/>
      <c r="G113" s="967" t="n"/>
      <c r="H113" s="967" t="n"/>
      <c r="I113" s="967" t="n"/>
      <c r="J113" s="967" t="n"/>
      <c r="K113" s="967" t="n"/>
      <c r="L113" s="967" t="n"/>
      <c r="M113" s="967" t="n"/>
    </row>
    <row r="114">
      <c r="A114" s="962" t="n"/>
      <c r="B114" s="964" t="n"/>
      <c r="C114" s="964" t="n"/>
      <c r="D114" s="964" t="n"/>
      <c r="E114" s="964" t="n"/>
      <c r="F114" s="964" t="n"/>
      <c r="G114" s="964" t="n"/>
      <c r="H114" s="964" t="n"/>
      <c r="I114" s="964" t="n"/>
      <c r="J114" s="964" t="n"/>
      <c r="K114" s="964" t="n"/>
      <c r="L114" s="964" t="n"/>
      <c r="M114" s="964" t="n"/>
    </row>
    <row r="115">
      <c r="A115" s="962" t="n"/>
      <c r="B115" s="964" t="n"/>
      <c r="C115" s="964" t="n"/>
      <c r="D115" s="964" t="n"/>
      <c r="E115" s="964" t="n"/>
      <c r="F115" s="964" t="n"/>
      <c r="G115" s="964" t="n"/>
      <c r="H115" s="964" t="n"/>
      <c r="I115" s="964" t="n"/>
      <c r="J115" s="964" t="n"/>
      <c r="K115" s="964" t="n"/>
      <c r="L115" s="964" t="n"/>
      <c r="M115" s="964" t="n"/>
    </row>
    <row r="116">
      <c r="A116" s="962" t="n"/>
      <c r="B116" s="964" t="n"/>
      <c r="C116" s="964" t="n"/>
      <c r="D116" s="964" t="n"/>
      <c r="E116" s="964" t="n"/>
      <c r="F116" s="964" t="n"/>
      <c r="G116" s="964" t="n"/>
      <c r="H116" s="964" t="n"/>
      <c r="I116" s="964" t="n"/>
      <c r="J116" s="964" t="n"/>
      <c r="K116" s="964" t="n"/>
      <c r="L116" s="964" t="n"/>
      <c r="M116" s="964" t="n"/>
    </row>
    <row r="117">
      <c r="A117" s="962" t="n"/>
      <c r="B117" s="964" t="n"/>
      <c r="C117" s="964" t="n"/>
      <c r="D117" s="964" t="n"/>
      <c r="E117" s="964" t="n"/>
      <c r="F117" s="964" t="n"/>
      <c r="G117" s="964" t="n"/>
      <c r="H117" s="964" t="n"/>
      <c r="I117" s="964" t="n"/>
      <c r="J117" s="964" t="n"/>
      <c r="K117" s="964" t="n"/>
      <c r="L117" s="964" t="n"/>
      <c r="M117" s="964" t="n"/>
    </row>
    <row r="118">
      <c r="A118" s="962" t="n"/>
      <c r="B118" s="964" t="n"/>
      <c r="C118" s="964" t="n"/>
      <c r="D118" s="964" t="n"/>
      <c r="E118" s="964" t="n"/>
      <c r="F118" s="964" t="n"/>
      <c r="G118" s="964" t="n"/>
      <c r="H118" s="964" t="n"/>
      <c r="I118" s="964" t="n"/>
      <c r="J118" s="964" t="n"/>
      <c r="K118" s="964" t="n"/>
      <c r="L118" s="964" t="n"/>
      <c r="M118" s="964" t="n"/>
    </row>
    <row r="119">
      <c r="A119" s="962" t="n"/>
      <c r="B119" s="964" t="n"/>
      <c r="C119" s="964" t="n"/>
      <c r="D119" s="964" t="n"/>
      <c r="E119" s="964" t="n"/>
      <c r="F119" s="964" t="n"/>
      <c r="G119" s="964" t="n"/>
      <c r="H119" s="964" t="n"/>
      <c r="I119" s="964" t="n"/>
      <c r="J119" s="964" t="n"/>
      <c r="K119" s="964" t="n"/>
      <c r="L119" s="964" t="n"/>
      <c r="M119" s="964" t="n"/>
    </row>
    <row r="120">
      <c r="A120" s="962" t="n"/>
      <c r="B120" s="964" t="n"/>
      <c r="C120" s="964" t="n"/>
      <c r="D120" s="964" t="n"/>
      <c r="E120" s="964" t="n"/>
      <c r="F120" s="964" t="n"/>
      <c r="G120" s="964" t="n"/>
      <c r="H120" s="964" t="n"/>
      <c r="I120" s="964" t="n"/>
      <c r="J120" s="964" t="n"/>
      <c r="K120" s="964" t="n"/>
      <c r="L120" s="964" t="n"/>
      <c r="M120" s="964" t="n"/>
    </row>
    <row r="121">
      <c r="A121" s="962" t="n"/>
      <c r="B121" s="964" t="n"/>
      <c r="C121" s="964" t="n"/>
      <c r="D121" s="964" t="n"/>
      <c r="E121" s="964" t="n"/>
      <c r="F121" s="964" t="n"/>
      <c r="G121" s="964" t="n"/>
      <c r="H121" s="964" t="n"/>
      <c r="I121" s="964" t="n"/>
      <c r="J121" s="964" t="n"/>
      <c r="K121" s="964" t="n"/>
      <c r="L121" s="964" t="n"/>
      <c r="M121" s="964" t="n"/>
    </row>
    <row r="122">
      <c r="A122" s="962" t="n"/>
      <c r="B122" s="964" t="n"/>
      <c r="C122" s="964" t="n"/>
      <c r="D122" s="964" t="n"/>
      <c r="E122" s="964" t="n"/>
      <c r="F122" s="964" t="n"/>
      <c r="G122" s="964" t="n"/>
      <c r="H122" s="964" t="n"/>
      <c r="I122" s="964" t="n"/>
      <c r="J122" s="964" t="n"/>
      <c r="K122" s="964" t="n"/>
      <c r="L122" s="964" t="n"/>
      <c r="M122" s="964" t="n"/>
    </row>
    <row r="123">
      <c r="A123" s="962" t="n"/>
      <c r="B123" s="967" t="n"/>
      <c r="C123" s="967" t="n"/>
      <c r="D123" s="967" t="n"/>
      <c r="E123" s="967" t="n"/>
      <c r="F123" s="967" t="n"/>
      <c r="G123" s="967" t="n"/>
      <c r="H123" s="967" t="n"/>
      <c r="I123" s="967" t="n"/>
      <c r="J123" s="967" t="n"/>
      <c r="K123" s="967" t="n"/>
      <c r="L123" s="967" t="n"/>
      <c r="M123" s="967" t="n"/>
    </row>
    <row r="124">
      <c r="A124" s="962" t="n"/>
      <c r="B124" s="963" t="n"/>
      <c r="C124" s="963" t="n"/>
      <c r="D124" s="964" t="n"/>
      <c r="E124" s="964" t="n"/>
      <c r="F124" s="964" t="n"/>
      <c r="G124" s="963" t="n"/>
      <c r="H124" s="964" t="n"/>
      <c r="I124" s="963" t="n"/>
      <c r="J124" s="963" t="n"/>
      <c r="K124" s="963" t="n"/>
      <c r="L124" s="963" t="n"/>
      <c r="M124" s="964" t="n"/>
    </row>
    <row r="125">
      <c r="A125" s="962" t="n"/>
      <c r="B125" s="963" t="n"/>
      <c r="C125" s="963" t="n"/>
      <c r="D125" s="964" t="n"/>
      <c r="E125" s="964" t="n"/>
      <c r="F125" s="964" t="n"/>
      <c r="G125" s="963" t="n"/>
      <c r="H125" s="964" t="n"/>
      <c r="I125" s="963" t="n"/>
      <c r="J125" s="963" t="n"/>
      <c r="K125" s="963" t="n"/>
      <c r="L125" s="963" t="n"/>
      <c r="M125" s="964" t="n"/>
    </row>
    <row r="126">
      <c r="A126" s="962" t="n"/>
      <c r="B126" s="963" t="n"/>
      <c r="C126" s="963" t="n"/>
      <c r="D126" s="964" t="n"/>
      <c r="E126" s="964" t="n"/>
      <c r="F126" s="964" t="n"/>
      <c r="G126" s="963" t="n"/>
      <c r="H126" s="964" t="n"/>
      <c r="I126" s="963" t="n"/>
      <c r="J126" s="963" t="n"/>
      <c r="K126" s="963" t="n"/>
      <c r="L126" s="963" t="n"/>
      <c r="M126" s="964" t="n"/>
    </row>
    <row r="127">
      <c r="A127" s="962" t="n"/>
      <c r="B127" s="963" t="n"/>
      <c r="C127" s="963" t="n"/>
      <c r="D127" s="964" t="n"/>
      <c r="E127" s="964" t="n"/>
      <c r="F127" s="964" t="n"/>
      <c r="G127" s="963" t="n"/>
      <c r="H127" s="964" t="n"/>
      <c r="I127" s="963" t="n"/>
      <c r="J127" s="963" t="n"/>
      <c r="K127" s="963" t="n"/>
      <c r="L127" s="963" t="n"/>
      <c r="M127" s="964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27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34" customWidth="1" min="1" max="1"/>
    <col width="14" customWidth="1" min="2" max="2"/>
    <col width="13" customWidth="1" min="3" max="3"/>
    <col width="35" customWidth="1" min="4" max="4"/>
    <col width="43" customWidth="1" min="5" max="5"/>
    <col width="34" customWidth="1" min="6" max="6"/>
    <col width="43" customWidth="1" min="7" max="7"/>
    <col width="35" customWidth="1" min="8" max="8"/>
    <col width="36" customWidth="1" min="9" max="9"/>
    <col width="34" customWidth="1" min="10" max="10"/>
    <col width="33" customWidth="1" min="11" max="11"/>
    <col width="14" customWidth="1" min="12" max="12"/>
    <col width="34" customWidth="1" min="13" max="13"/>
  </cols>
  <sheetData>
    <row r="1">
      <c r="A1" s="883" t="n"/>
      <c r="B1" s="884" t="inlineStr">
        <is>
          <t>January</t>
        </is>
      </c>
      <c r="C1" s="884" t="inlineStr">
        <is>
          <t>February</t>
        </is>
      </c>
      <c r="D1" s="884" t="inlineStr">
        <is>
          <t>March</t>
        </is>
      </c>
      <c r="E1" s="884" t="inlineStr">
        <is>
          <t>April</t>
        </is>
      </c>
      <c r="F1" s="884" t="inlineStr">
        <is>
          <t>May</t>
        </is>
      </c>
      <c r="G1" s="884" t="inlineStr">
        <is>
          <t>June</t>
        </is>
      </c>
      <c r="H1" s="884" t="inlineStr">
        <is>
          <t>July</t>
        </is>
      </c>
      <c r="I1" s="884" t="inlineStr">
        <is>
          <t>August</t>
        </is>
      </c>
      <c r="J1" s="884" t="inlineStr">
        <is>
          <t>September</t>
        </is>
      </c>
      <c r="K1" s="884" t="inlineStr">
        <is>
          <t>October</t>
        </is>
      </c>
      <c r="L1" s="884" t="inlineStr">
        <is>
          <t>November</t>
        </is>
      </c>
      <c r="M1" s="885" t="inlineStr">
        <is>
          <t>December</t>
        </is>
      </c>
    </row>
    <row r="2" ht="14.5" customHeight="1">
      <c r="A2" s="886" t="inlineStr">
        <is>
          <t>Trades</t>
        </is>
      </c>
      <c r="B2" s="887" t="n">
        <v>0</v>
      </c>
      <c r="C2" s="887" t="n">
        <v>0</v>
      </c>
      <c r="D2" s="887" t="n">
        <v>7</v>
      </c>
      <c r="E2" s="887" t="n">
        <v>8</v>
      </c>
      <c r="F2" s="887" t="n">
        <v>2</v>
      </c>
      <c r="G2" s="887" t="n">
        <v>9</v>
      </c>
      <c r="H2" s="887" t="n">
        <v>15</v>
      </c>
      <c r="I2" s="887" t="n">
        <v>8</v>
      </c>
      <c r="J2" s="887" t="n">
        <v>6</v>
      </c>
      <c r="K2" s="887" t="n">
        <v>4</v>
      </c>
      <c r="L2" s="887" t="n">
        <v>0</v>
      </c>
      <c r="M2" s="888" t="n">
        <v>4</v>
      </c>
    </row>
    <row r="3" ht="14.5" customHeight="1">
      <c r="A3" s="889" t="inlineStr">
        <is>
          <t>Wins</t>
        </is>
      </c>
      <c r="B3" s="890" t="n">
        <v>0</v>
      </c>
      <c r="C3" s="890" t="n">
        <v>0</v>
      </c>
      <c r="D3" s="890" t="n">
        <v>3</v>
      </c>
      <c r="E3" s="890" t="n">
        <v>2</v>
      </c>
      <c r="F3" s="890" t="n">
        <v>1</v>
      </c>
      <c r="G3" s="890" t="n">
        <v>2</v>
      </c>
      <c r="H3" s="890" t="n">
        <v>4</v>
      </c>
      <c r="I3" s="890" t="n">
        <v>2</v>
      </c>
      <c r="J3" s="890" t="n">
        <v>5</v>
      </c>
      <c r="K3" s="890" t="n">
        <v>0</v>
      </c>
      <c r="L3" s="890" t="n">
        <v>0</v>
      </c>
      <c r="M3" s="891" t="n">
        <v>2</v>
      </c>
    </row>
    <row r="4" ht="14.5" customHeight="1">
      <c r="A4" s="889" t="inlineStr">
        <is>
          <t>Losses</t>
        </is>
      </c>
      <c r="B4" s="892" t="n">
        <v>0</v>
      </c>
      <c r="C4" s="892" t="n">
        <v>0</v>
      </c>
      <c r="D4" s="892" t="n">
        <v>4</v>
      </c>
      <c r="E4" s="892" t="n">
        <v>6</v>
      </c>
      <c r="F4" s="892" t="n">
        <v>1</v>
      </c>
      <c r="G4" s="892" t="n">
        <v>7</v>
      </c>
      <c r="H4" s="892" t="n">
        <v>11</v>
      </c>
      <c r="I4" s="892" t="n">
        <v>6</v>
      </c>
      <c r="J4" s="892" t="n">
        <v>1</v>
      </c>
      <c r="K4" s="892" t="n">
        <v>4</v>
      </c>
      <c r="L4" s="892" t="n">
        <v>0</v>
      </c>
      <c r="M4" s="893" t="n">
        <v>2</v>
      </c>
    </row>
    <row r="5" ht="14.5" customHeight="1">
      <c r="A5" s="889" t="inlineStr">
        <is>
          <t>Break-even</t>
        </is>
      </c>
      <c r="B5" s="887" t="n">
        <v>0</v>
      </c>
      <c r="C5" s="887" t="n">
        <v>0</v>
      </c>
      <c r="D5" s="887" t="n">
        <v>0</v>
      </c>
      <c r="E5" s="887" t="n">
        <v>0</v>
      </c>
      <c r="F5" s="887" t="n">
        <v>0</v>
      </c>
      <c r="G5" s="887" t="n">
        <v>0</v>
      </c>
      <c r="H5" s="887" t="n">
        <v>0</v>
      </c>
      <c r="I5" s="887" t="n">
        <v>0</v>
      </c>
      <c r="J5" s="887" t="n">
        <v>0</v>
      </c>
      <c r="K5" s="887" t="n">
        <v>0</v>
      </c>
      <c r="L5" s="887" t="n">
        <v>0</v>
      </c>
      <c r="M5" s="888" t="n">
        <v>0</v>
      </c>
    </row>
    <row r="6" ht="14.5" customHeight="1">
      <c r="A6" s="889" t="inlineStr">
        <is>
          <t>Test</t>
        </is>
      </c>
      <c r="B6" s="887" t="n">
        <v>0</v>
      </c>
      <c r="C6" s="887" t="n">
        <v>0</v>
      </c>
      <c r="D6" s="887" t="n">
        <v>0</v>
      </c>
      <c r="E6" s="887" t="n">
        <v>0</v>
      </c>
      <c r="F6" s="887" t="n">
        <v>0</v>
      </c>
      <c r="G6" s="887" t="n">
        <v>0</v>
      </c>
      <c r="H6" s="887" t="n">
        <v>0</v>
      </c>
      <c r="I6" s="887" t="n">
        <v>0</v>
      </c>
      <c r="J6" s="887" t="n">
        <v>0</v>
      </c>
      <c r="K6" s="887" t="n">
        <v>0</v>
      </c>
      <c r="L6" s="887" t="n">
        <v>0</v>
      </c>
      <c r="M6" s="888" t="n">
        <v>0</v>
      </c>
    </row>
    <row r="7" ht="14.5" customHeight="1">
      <c r="A7" s="886" t="inlineStr">
        <is>
          <t>Win rate</t>
        </is>
      </c>
      <c r="B7" s="894" t="inlineStr"/>
      <c r="C7" s="894" t="inlineStr"/>
      <c r="D7" s="894" t="n">
        <v>0.4285714285714285</v>
      </c>
      <c r="E7" s="894" t="n">
        <v>0.25</v>
      </c>
      <c r="F7" s="894" t="n">
        <v>0.5</v>
      </c>
      <c r="G7" s="894" t="n">
        <v>0.2222222222222222</v>
      </c>
      <c r="H7" s="894" t="n">
        <v>0.2666666666666667</v>
      </c>
      <c r="I7" s="894" t="n">
        <v>0.25</v>
      </c>
      <c r="J7" s="894" t="n">
        <v>0.8333333333333335</v>
      </c>
      <c r="K7" s="894" t="n">
        <v>0</v>
      </c>
      <c r="L7" s="894" t="inlineStr"/>
      <c r="M7" s="895" t="n">
        <v>0.5</v>
      </c>
    </row>
    <row r="8" ht="14.5" customHeight="1">
      <c r="A8" s="886" t="inlineStr">
        <is>
          <t>Net P/L</t>
        </is>
      </c>
      <c r="B8" s="894" t="inlineStr"/>
      <c r="C8" s="894" t="inlineStr"/>
      <c r="D8" s="897" t="n">
        <v>0.01572320958037959</v>
      </c>
      <c r="E8" s="896" t="n">
        <v>-0.01810546010025503</v>
      </c>
      <c r="F8" s="897" t="n">
        <v>0.01016380474935197</v>
      </c>
      <c r="G8" s="896" t="n">
        <v>-0.02435641370777626</v>
      </c>
      <c r="H8" s="896" t="n">
        <v>-0.03439803571282354</v>
      </c>
      <c r="I8" s="896" t="n">
        <v>-0.02528586138077923</v>
      </c>
      <c r="J8" s="897" t="n">
        <v>0.05675831416342729</v>
      </c>
      <c r="K8" s="896" t="n">
        <v>-0.01953551139644219</v>
      </c>
      <c r="L8" s="894" t="inlineStr"/>
      <c r="M8" s="968" t="n">
        <v>0.005849247910517432</v>
      </c>
    </row>
    <row r="9" ht="14.5" customHeight="1">
      <c r="A9" s="886" t="inlineStr">
        <is>
          <t>Gross percent gain</t>
        </is>
      </c>
      <c r="B9" s="662" t="inlineStr"/>
      <c r="C9" s="662" t="inlineStr"/>
      <c r="D9" s="897" t="n">
        <v>0.05694289899874071</v>
      </c>
      <c r="E9" s="897" t="n">
        <v>0.03792308329646552</v>
      </c>
      <c r="F9" s="897" t="n">
        <v>0.02005612583053123</v>
      </c>
      <c r="G9" s="897" t="n">
        <v>0.03823225763175821</v>
      </c>
      <c r="H9" s="897" t="n">
        <v>0.07930751761183646</v>
      </c>
      <c r="I9" s="897" t="n">
        <v>0.0381412064049966</v>
      </c>
      <c r="J9" s="897" t="n">
        <v>0.06719096694606765</v>
      </c>
      <c r="K9" s="897" t="n">
        <v>0</v>
      </c>
      <c r="L9" s="662" t="inlineStr"/>
      <c r="M9" s="968" t="n">
        <v>0.02600356281982764</v>
      </c>
    </row>
    <row r="10" ht="14.5" customHeight="1">
      <c r="A10" s="886" t="inlineStr">
        <is>
          <t>Gross percent loss</t>
        </is>
      </c>
      <c r="B10" s="662" t="inlineStr"/>
      <c r="C10" s="662" t="inlineStr"/>
      <c r="D10" s="896" t="n">
        <v>0.04121968941836113</v>
      </c>
      <c r="E10" s="896" t="n">
        <v>0.05602854339672056</v>
      </c>
      <c r="F10" s="896" t="n">
        <v>0.009892321081179259</v>
      </c>
      <c r="G10" s="896" t="n">
        <v>0.06258867133953447</v>
      </c>
      <c r="H10" s="896" t="n">
        <v>0.11370555332466</v>
      </c>
      <c r="I10" s="896" t="n">
        <v>0.06342706778577584</v>
      </c>
      <c r="J10" s="896" t="n">
        <v>0.01043265278264035</v>
      </c>
      <c r="K10" s="896" t="n">
        <v>0.01953551139644219</v>
      </c>
      <c r="L10" s="662" t="inlineStr"/>
      <c r="M10" s="898" t="n">
        <v>0.02015431490931021</v>
      </c>
    </row>
    <row r="11" ht="14.5" customHeight="1">
      <c r="A11" s="886" t="inlineStr">
        <is>
          <t>Gross IR gain</t>
        </is>
      </c>
      <c r="B11" s="977" t="inlineStr"/>
      <c r="C11" s="977" t="inlineStr"/>
      <c r="D11" s="900" t="n">
        <v>6.079705630338633</v>
      </c>
      <c r="E11" s="900" t="n">
        <v>3.998833592535</v>
      </c>
      <c r="F11" s="900" t="n">
        <v>2.066997518610476</v>
      </c>
      <c r="G11" s="900" t="n">
        <v>3.995906432748472</v>
      </c>
      <c r="H11" s="900" t="n">
        <v>8.240791674000599</v>
      </c>
      <c r="I11" s="900" t="n">
        <v>1.997851310700475</v>
      </c>
      <c r="J11" s="900" t="n">
        <v>6.958572271054357</v>
      </c>
      <c r="K11" s="900" t="n">
        <v>0</v>
      </c>
      <c r="L11" s="977" t="inlineStr"/>
      <c r="M11" s="901" t="n">
        <v>4.085091560509514</v>
      </c>
    </row>
    <row r="12" ht="14.5" customHeight="1">
      <c r="A12" s="886" t="inlineStr">
        <is>
          <t>Gross IR loss</t>
        </is>
      </c>
      <c r="B12" s="977" t="inlineStr"/>
      <c r="C12" s="977" t="inlineStr"/>
      <c r="D12" s="902" t="n">
        <v>4.076322947006412</v>
      </c>
      <c r="E12" s="902" t="n">
        <v>5.613104384374792</v>
      </c>
      <c r="F12" s="902" t="n">
        <v>1.004926108374417</v>
      </c>
      <c r="G12" s="902" t="n">
        <v>5.733022384965861</v>
      </c>
      <c r="H12" s="902" t="n">
        <v>10.28139928024678</v>
      </c>
      <c r="I12" s="902" t="n">
        <v>5.027005056615906</v>
      </c>
      <c r="J12" s="902" t="n">
        <v>0</v>
      </c>
      <c r="K12" s="902" t="n">
        <v>3.961722488038287</v>
      </c>
      <c r="L12" s="977" t="inlineStr"/>
      <c r="M12" s="903" t="n">
        <v>1.90234306696977</v>
      </c>
    </row>
    <row r="13" ht="14.5" customHeight="1">
      <c r="A13" s="886" t="inlineStr">
        <is>
          <t>Best Win Streak</t>
        </is>
      </c>
      <c r="B13" s="945" t="inlineStr"/>
      <c r="C13" s="945" t="inlineStr"/>
      <c r="D13" s="890" t="n">
        <v>2</v>
      </c>
      <c r="E13" s="890" t="n">
        <v>1</v>
      </c>
      <c r="F13" s="890" t="n">
        <v>1</v>
      </c>
      <c r="G13" s="890" t="n">
        <v>1</v>
      </c>
      <c r="H13" s="890" t="n">
        <v>2</v>
      </c>
      <c r="I13" s="890" t="n">
        <v>1</v>
      </c>
      <c r="J13" s="890" t="n">
        <v>4</v>
      </c>
      <c r="K13" s="945" t="inlineStr"/>
      <c r="L13" s="945" t="inlineStr"/>
      <c r="M13" s="891" t="n">
        <v>2</v>
      </c>
    </row>
    <row r="14" ht="14.5" customHeight="1">
      <c r="A14" s="889" t="inlineStr">
        <is>
          <t>Start</t>
        </is>
      </c>
      <c r="B14" s="917" t="inlineStr"/>
      <c r="C14" s="917" t="inlineStr"/>
      <c r="D14" s="661" t="inlineStr">
        <is>
          <t>2023-03-23 15:34:00</t>
        </is>
      </c>
      <c r="E14" s="661" t="inlineStr">
        <is>
          <t>2023-04-03 01:16:00</t>
        </is>
      </c>
      <c r="F14" s="661" t="inlineStr">
        <is>
          <t>2023-05-11 16:57:51</t>
        </is>
      </c>
      <c r="G14" s="661" t="inlineStr">
        <is>
          <t>2023-06-13 17:00:58</t>
        </is>
      </c>
      <c r="H14" s="661" t="inlineStr">
        <is>
          <t>2023-07-05 21:27:39</t>
        </is>
      </c>
      <c r="I14" s="661" t="inlineStr">
        <is>
          <t>2023-08-02 09:58:00</t>
        </is>
      </c>
      <c r="J14" s="661" t="inlineStr">
        <is>
          <t>2023-09-15 22:22:00</t>
        </is>
      </c>
      <c r="K14" s="917" t="inlineStr"/>
      <c r="L14" s="917" t="inlineStr"/>
      <c r="M14" s="904" t="inlineStr">
        <is>
          <t>2023-12-12 02:32:04</t>
        </is>
      </c>
    </row>
    <row r="15" ht="14.5" customHeight="1">
      <c r="A15" s="889" t="inlineStr">
        <is>
          <t>End</t>
        </is>
      </c>
      <c r="B15" s="917" t="inlineStr"/>
      <c r="C15" s="917" t="inlineStr"/>
      <c r="D15" s="661" t="inlineStr">
        <is>
          <t>2023-03-28 02:04:00</t>
        </is>
      </c>
      <c r="E15" s="661" t="inlineStr">
        <is>
          <t>2023-04-03 01:16:00</t>
        </is>
      </c>
      <c r="F15" s="661" t="inlineStr">
        <is>
          <t>2023-05-11 16:57:51</t>
        </is>
      </c>
      <c r="G15" s="661" t="inlineStr">
        <is>
          <t>2023-06-13 17:00:58</t>
        </is>
      </c>
      <c r="H15" s="661" t="inlineStr">
        <is>
          <t>2023-07-07 16:27:40</t>
        </is>
      </c>
      <c r="I15" s="661" t="inlineStr">
        <is>
          <t>2023-08-02 09:58:00</t>
        </is>
      </c>
      <c r="J15" s="661" t="inlineStr">
        <is>
          <t>2023-09-15 22:41:45</t>
        </is>
      </c>
      <c r="K15" s="917" t="inlineStr"/>
      <c r="L15" s="917" t="inlineStr"/>
      <c r="M15" s="904" t="inlineStr">
        <is>
          <t>2023-12-12 20:33:09</t>
        </is>
      </c>
    </row>
    <row r="16" ht="14.5" customHeight="1">
      <c r="A16" s="886" t="inlineStr">
        <is>
          <t>Worst Losing Streak</t>
        </is>
      </c>
      <c r="B16" s="945" t="inlineStr"/>
      <c r="C16" s="945" t="inlineStr"/>
      <c r="D16" s="892" t="n">
        <v>2</v>
      </c>
      <c r="E16" s="892" t="n">
        <v>6</v>
      </c>
      <c r="F16" s="892" t="n">
        <v>1</v>
      </c>
      <c r="G16" s="892" t="n">
        <v>3</v>
      </c>
      <c r="H16" s="892" t="n">
        <v>5</v>
      </c>
      <c r="I16" s="892" t="n">
        <v>6</v>
      </c>
      <c r="J16" s="892" t="n">
        <v>1</v>
      </c>
      <c r="K16" s="892" t="n">
        <v>4</v>
      </c>
      <c r="L16" s="945" t="inlineStr"/>
      <c r="M16" s="893" t="n">
        <v>2</v>
      </c>
    </row>
    <row r="17" ht="14.5" customHeight="1">
      <c r="A17" s="889" t="inlineStr">
        <is>
          <t>Start</t>
        </is>
      </c>
      <c r="B17" s="917" t="inlineStr"/>
      <c r="C17" s="917" t="inlineStr"/>
      <c r="D17" s="661" t="inlineStr">
        <is>
          <t>2023-03-13 09:23:16</t>
        </is>
      </c>
      <c r="E17" s="661" t="inlineStr">
        <is>
          <t>2023-04-04 18:16:40</t>
        </is>
      </c>
      <c r="F17" s="661" t="inlineStr">
        <is>
          <t>2023-05-31 11:30:47</t>
        </is>
      </c>
      <c r="G17" s="661" t="inlineStr">
        <is>
          <t>2023-06-13 21:05:00</t>
        </is>
      </c>
      <c r="H17" s="661" t="inlineStr">
        <is>
          <t>2023-07-13 12:10:57</t>
        </is>
      </c>
      <c r="I17" s="661" t="inlineStr">
        <is>
          <t>2023-08-02 09:59:00</t>
        </is>
      </c>
      <c r="J17" s="661" t="inlineStr">
        <is>
          <t>2023-09-14 22:29:59</t>
        </is>
      </c>
      <c r="K17" s="661" t="inlineStr">
        <is>
          <t>2023-10-05 18:59:22</t>
        </is>
      </c>
      <c r="L17" s="917" t="inlineStr"/>
      <c r="M17" s="904" t="inlineStr">
        <is>
          <t>2023-12-07 12:08:18</t>
        </is>
      </c>
    </row>
    <row r="18" ht="14.5" customHeight="1">
      <c r="A18" s="889" t="inlineStr">
        <is>
          <t>End</t>
        </is>
      </c>
      <c r="B18" s="917" t="inlineStr"/>
      <c r="C18" s="917" t="inlineStr"/>
      <c r="D18" s="661" t="inlineStr">
        <is>
          <t>2023-03-21 21:00:58</t>
        </is>
      </c>
      <c r="E18" s="661" t="inlineStr">
        <is>
          <t>2023-04-28 19:59:23</t>
        </is>
      </c>
      <c r="F18" s="661" t="inlineStr">
        <is>
          <t>2023-05-31 11:30:47</t>
        </is>
      </c>
      <c r="G18" s="661" t="inlineStr">
        <is>
          <t>2023-06-14 22:58:44</t>
        </is>
      </c>
      <c r="H18" s="661" t="inlineStr">
        <is>
          <t>2023-07-14 12:03:22</t>
        </is>
      </c>
      <c r="I18" s="661" t="inlineStr">
        <is>
          <t>2023-08-23 17:31:57</t>
        </is>
      </c>
      <c r="J18" s="661" t="inlineStr">
        <is>
          <t>2023-09-14 22:29:59</t>
        </is>
      </c>
      <c r="K18" s="661" t="inlineStr">
        <is>
          <t>2023-10-25 19:26:45</t>
        </is>
      </c>
      <c r="L18" s="917" t="inlineStr"/>
      <c r="M18" s="904" t="inlineStr">
        <is>
          <t>2023-12-08 01:31:14</t>
        </is>
      </c>
    </row>
    <row r="19" ht="14.5" customHeight="1">
      <c r="A19" s="886" t="inlineStr">
        <is>
          <t>Percentage expectancy</t>
        </is>
      </c>
      <c r="B19" s="894" t="inlineStr"/>
      <c r="C19" s="894" t="inlineStr"/>
      <c r="D19" s="897" t="n">
        <v>0.002246172797197084</v>
      </c>
      <c r="E19" s="896" t="n">
        <v>-0.002263182512531879</v>
      </c>
      <c r="F19" s="897" t="n">
        <v>0.005081902374675985</v>
      </c>
      <c r="G19" s="896" t="n">
        <v>-0.002706268189752918</v>
      </c>
      <c r="H19" s="896" t="n">
        <v>-0.002293202380854903</v>
      </c>
      <c r="I19" s="896" t="n">
        <v>-0.003160732672597404</v>
      </c>
      <c r="J19" s="897" t="n">
        <v>0.009459719027237882</v>
      </c>
      <c r="K19" s="896" t="n">
        <v>-0.004883877849110547</v>
      </c>
      <c r="L19" s="894" t="inlineStr"/>
      <c r="M19" s="968" t="n">
        <v>0.001462311977629358</v>
      </c>
    </row>
    <row r="20" ht="14.5" customHeight="1">
      <c r="A20" s="907" t="inlineStr">
        <is>
          <t>R expectancy</t>
        </is>
      </c>
      <c r="B20" s="980" t="inlineStr"/>
      <c r="C20" s="980" t="inlineStr"/>
      <c r="D20" s="970" t="n">
        <v>0.2861975261903172</v>
      </c>
      <c r="E20" s="909" t="n">
        <v>-0.201783848979974</v>
      </c>
      <c r="F20" s="970" t="n">
        <v>0.5310357051180296</v>
      </c>
      <c r="G20" s="909" t="n">
        <v>-0.1930128835797099</v>
      </c>
      <c r="H20" s="909" t="n">
        <v>-0.1457576861604418</v>
      </c>
      <c r="I20" s="909" t="n">
        <v>-0.5048589576525718</v>
      </c>
      <c r="J20" s="970" t="n">
        <v>1.391714454210871</v>
      </c>
      <c r="K20" s="909" t="n">
        <v>-0.9904306220095718</v>
      </c>
      <c r="L20" s="980" t="inlineStr"/>
      <c r="M20" s="1002" t="n">
        <v>0.545687123384936</v>
      </c>
    </row>
    <row r="21" ht="14.5" customHeight="1">
      <c r="A21" s="913" t="inlineStr">
        <is>
          <t>Avg stop %</t>
        </is>
      </c>
      <c r="B21" s="915" t="inlineStr"/>
      <c r="C21" s="915" t="inlineStr"/>
      <c r="D21" s="915" t="n">
        <v>0.006145275989177025</v>
      </c>
      <c r="E21" s="915" t="n">
        <v>0.006256744810246396</v>
      </c>
      <c r="F21" s="915" t="n">
        <v>0.003073635304425599</v>
      </c>
      <c r="G21" s="915" t="n">
        <v>0.007358807650631317</v>
      </c>
      <c r="H21" s="915" t="n">
        <v>0.009930094469053135</v>
      </c>
      <c r="I21" s="915" t="n">
        <v>0.003398772131008889</v>
      </c>
      <c r="J21" s="915" t="n">
        <v>0.001371586221709822</v>
      </c>
      <c r="K21" s="915" t="n">
        <v>0.001310707323731103</v>
      </c>
      <c r="L21" s="915" t="inlineStr"/>
      <c r="M21" s="916" t="n">
        <v>0.004067818073574479</v>
      </c>
    </row>
    <row r="22" ht="14.5" customHeight="1">
      <c r="A22" s="889" t="inlineStr">
        <is>
          <t>Avg target %</t>
        </is>
      </c>
      <c r="B22" s="894" t="inlineStr"/>
      <c r="C22" s="894" t="inlineStr"/>
      <c r="D22" s="894" t="n">
        <v>0.01231475224882993</v>
      </c>
      <c r="E22" s="894" t="n">
        <v>0.012537462502464</v>
      </c>
      <c r="F22" s="894" t="n">
        <v>0.006319570629853471</v>
      </c>
      <c r="G22" s="894" t="n">
        <v>0.01472742168131821</v>
      </c>
      <c r="H22" s="894" t="n">
        <v>0.02028073751311458</v>
      </c>
      <c r="I22" s="894" t="n">
        <v>0.006940778743157457</v>
      </c>
      <c r="J22" s="894" t="n">
        <v>0.003123086884941042</v>
      </c>
      <c r="K22" s="894" t="n">
        <v>0.002627226160013904</v>
      </c>
      <c r="L22" s="894" t="inlineStr"/>
      <c r="M22" s="895" t="n">
        <v>0.00733847399907868</v>
      </c>
    </row>
    <row r="23" ht="14.5" customHeight="1">
      <c r="A23" s="889" t="inlineStr">
        <is>
          <t>Min stop %</t>
        </is>
      </c>
      <c r="B23" s="894" t="inlineStr"/>
      <c r="C23" s="894" t="inlineStr"/>
      <c r="D23" s="917" t="inlineStr">
        <is>
          <t>0.087% - USDCHF 2023-03-10</t>
        </is>
      </c>
      <c r="E23" s="917" t="inlineStr">
        <is>
          <t>0.068% - AUDCHF 2023-04-11</t>
        </is>
      </c>
      <c r="F23" s="917" t="inlineStr">
        <is>
          <t>0.30% - GBPNZD 2023-05-31</t>
        </is>
      </c>
      <c r="G23" s="917" t="inlineStr">
        <is>
          <t>0.22% - CADCHF 2023-06-08</t>
        </is>
      </c>
      <c r="H23" s="917" t="inlineStr">
        <is>
          <t>0.035% - EURUSD 2023-07-07</t>
        </is>
      </c>
      <c r="I23" s="917" t="inlineStr">
        <is>
          <t>0.048% - CHFJPY 2023-08-18</t>
        </is>
      </c>
      <c r="J23" s="917" t="inlineStr">
        <is>
          <t>0.11% - USDCAD 2023-09-15</t>
        </is>
      </c>
      <c r="K23" s="917" t="inlineStr">
        <is>
          <t>0.057% - NZDUSD 2023-10-24</t>
        </is>
      </c>
      <c r="L23" s="894" t="inlineStr"/>
      <c r="M23" s="918" t="inlineStr">
        <is>
          <t>0.15% - EURUSD 2023-12-12</t>
        </is>
      </c>
    </row>
    <row r="24" ht="14.5" customHeight="1">
      <c r="A24" s="889" t="inlineStr">
        <is>
          <t>Max stop %</t>
        </is>
      </c>
      <c r="B24" s="894" t="inlineStr"/>
      <c r="C24" s="894" t="inlineStr"/>
      <c r="D24" s="917" t="inlineStr">
        <is>
          <t>1.63% - BTCUSDT 2023-03-10</t>
        </is>
      </c>
      <c r="E24" s="917" t="inlineStr">
        <is>
          <t>1.62% - XRPUSDT 2023-04-28</t>
        </is>
      </c>
      <c r="F24" s="917" t="inlineStr">
        <is>
          <t>0.32% - GBPUSD 2023-05-11</t>
        </is>
      </c>
      <c r="G24" s="917" t="inlineStr">
        <is>
          <t>2.21% - XRPUSDT 2023-06-13</t>
        </is>
      </c>
      <c r="H24" s="917" t="inlineStr">
        <is>
          <t>7.81% - SOLUSDT 2023-07-14</t>
        </is>
      </c>
      <c r="I24" s="917" t="inlineStr">
        <is>
          <t>1.27% - ETHUSDT 2023-08-02</t>
        </is>
      </c>
      <c r="J24" s="917" t="inlineStr">
        <is>
          <t>0.17% - CADJPY 2023-09-15</t>
        </is>
      </c>
      <c r="K24" s="917" t="inlineStr">
        <is>
          <t>0.35% - USDCAD 2023-10-05</t>
        </is>
      </c>
      <c r="L24" s="894" t="inlineStr"/>
      <c r="M24" s="918" t="inlineStr">
        <is>
          <t>1.12% - USDJPY 2023-12-08</t>
        </is>
      </c>
    </row>
    <row r="25" ht="14.5" customHeight="1">
      <c r="A25" s="889" t="inlineStr">
        <is>
          <t>Min target %</t>
        </is>
      </c>
      <c r="B25" s="894" t="inlineStr"/>
      <c r="C25" s="894" t="inlineStr"/>
      <c r="D25" s="917" t="inlineStr">
        <is>
          <t>0.18% - USDCHF 2023-03-10</t>
        </is>
      </c>
      <c r="E25" s="917" t="inlineStr">
        <is>
          <t>0.13% - AUDCHF 2023-04-11</t>
        </is>
      </c>
      <c r="F25" s="917" t="inlineStr">
        <is>
          <t>0.61% - GBPNZD 2023-05-31</t>
        </is>
      </c>
      <c r="G25" s="917" t="inlineStr">
        <is>
          <t>0.44% - CADCHF 2023-06-08</t>
        </is>
      </c>
      <c r="H25" s="917" t="inlineStr">
        <is>
          <t>0.078% - EURUSD 2023-07-07</t>
        </is>
      </c>
      <c r="I25" s="917" t="inlineStr">
        <is>
          <t>0.097% - CHFJPY 2023-08-18</t>
        </is>
      </c>
      <c r="J25" s="917" t="inlineStr">
        <is>
          <t>0.23% - USDCAD 2023-09-15</t>
        </is>
      </c>
      <c r="K25" s="917" t="inlineStr">
        <is>
          <t>0.11% - USDCAD 2023-10-24</t>
        </is>
      </c>
      <c r="L25" s="894" t="inlineStr"/>
      <c r="M25" s="918" t="inlineStr">
        <is>
          <t>0.30% - EURUSD 2023-12-12</t>
        </is>
      </c>
    </row>
    <row r="26" ht="14.5" customHeight="1">
      <c r="A26" s="919" t="inlineStr">
        <is>
          <t>Max target %</t>
        </is>
      </c>
      <c r="B26" s="982" t="inlineStr"/>
      <c r="C26" s="982" t="inlineStr"/>
      <c r="D26" s="920" t="inlineStr">
        <is>
          <t>3.26% - BTCUSDT 2023-03-10</t>
        </is>
      </c>
      <c r="E26" s="920" t="inlineStr">
        <is>
          <t>3.24% - XRPUSDT 2023-04-28</t>
        </is>
      </c>
      <c r="F26" s="920" t="inlineStr">
        <is>
          <t>0.66% - GBPUSD 2023-05-11</t>
        </is>
      </c>
      <c r="G26" s="920" t="inlineStr">
        <is>
          <t>4.43% - XRPUSDT 2023-06-13</t>
        </is>
      </c>
      <c r="H26" s="920" t="inlineStr">
        <is>
          <t>15.63% - SOLUSDT 2023-07-14</t>
        </is>
      </c>
      <c r="I26" s="920" t="inlineStr">
        <is>
          <t>2.54% - ETHUSDT 2023-08-02</t>
        </is>
      </c>
      <c r="J26" s="920" t="inlineStr">
        <is>
          <t>0.43% - CADJPY 2023-09-15</t>
        </is>
      </c>
      <c r="K26" s="920" t="inlineStr">
        <is>
          <t>0.70% - USDCAD 2023-10-05</t>
        </is>
      </c>
      <c r="L26" s="982" t="inlineStr"/>
      <c r="M26" s="921" t="inlineStr">
        <is>
          <t>1.89% - USDJPY 2023-12-08</t>
        </is>
      </c>
    </row>
    <row r="27" ht="14.5" customHeight="1">
      <c r="A27" s="913" t="inlineStr">
        <is>
          <t>Avg duration (DD:HH:MM:SS)</t>
        </is>
      </c>
      <c r="B27" s="922" t="inlineStr"/>
      <c r="C27" s="922" t="inlineStr"/>
      <c r="D27" s="922" t="inlineStr">
        <is>
          <t>4H 51M 7S</t>
        </is>
      </c>
      <c r="E27" s="922" t="inlineStr">
        <is>
          <t>11H 14M 2S</t>
        </is>
      </c>
      <c r="F27" s="922" t="inlineStr">
        <is>
          <t>16H 37M 42S</t>
        </is>
      </c>
      <c r="G27" s="922" t="inlineStr">
        <is>
          <t>6H 22M 2S</t>
        </is>
      </c>
      <c r="H27" s="922" t="inlineStr">
        <is>
          <t>8H 7M 33S</t>
        </is>
      </c>
      <c r="I27" s="922" t="inlineStr">
        <is>
          <t>21H 30M 56S</t>
        </is>
      </c>
      <c r="J27" s="922" t="inlineStr">
        <is>
          <t>11H 32M 18S</t>
        </is>
      </c>
      <c r="K27" s="922" t="inlineStr">
        <is>
          <t>4H 58M 59S</t>
        </is>
      </c>
      <c r="L27" s="922" t="inlineStr"/>
      <c r="M27" s="923" t="inlineStr">
        <is>
          <t>9H 20M 22S</t>
        </is>
      </c>
    </row>
    <row r="28" ht="14.5" customHeight="1">
      <c r="A28" s="889" t="inlineStr">
        <is>
          <t>Move to Break Even (DD:HH:MM:SS)</t>
        </is>
      </c>
      <c r="B28" s="917" t="inlineStr"/>
      <c r="C28" s="917" t="inlineStr"/>
      <c r="D28" s="917" t="inlineStr"/>
      <c r="E28" s="917" t="inlineStr"/>
      <c r="F28" s="917" t="inlineStr"/>
      <c r="G28" s="917" t="inlineStr"/>
      <c r="H28" s="917" t="inlineStr"/>
      <c r="I28" s="917" t="inlineStr"/>
      <c r="J28" s="917" t="inlineStr"/>
      <c r="K28" s="917" t="inlineStr"/>
      <c r="L28" s="917" t="inlineStr"/>
      <c r="M28" s="918" t="inlineStr"/>
    </row>
    <row r="29" ht="14.5" customHeight="1">
      <c r="A29" s="919" t="inlineStr">
        <is>
          <t>Move to Profit (DD:HH:MM:SS)</t>
        </is>
      </c>
      <c r="B29" s="920" t="inlineStr"/>
      <c r="C29" s="920" t="inlineStr"/>
      <c r="D29" s="920" t="inlineStr"/>
      <c r="E29" s="920" t="inlineStr"/>
      <c r="F29" s="920" t="inlineStr"/>
      <c r="G29" s="920" t="inlineStr"/>
      <c r="H29" s="920" t="inlineStr"/>
      <c r="I29" s="920" t="inlineStr"/>
      <c r="J29" s="920" t="inlineStr"/>
      <c r="K29" s="920" t="inlineStr"/>
      <c r="L29" s="920" t="inlineStr"/>
      <c r="M29" s="921" t="inlineStr"/>
    </row>
    <row r="30" ht="14.5" customHeight="1">
      <c r="A30" s="924" t="inlineStr">
        <is>
          <t>Max win %</t>
        </is>
      </c>
      <c r="B30" s="915" t="inlineStr"/>
      <c r="C30" s="915" t="inlineStr"/>
      <c r="D30" s="925" t="inlineStr">
        <is>
          <t>1.95% - USDCHF 2023-03-10</t>
        </is>
      </c>
      <c r="E30" s="925" t="inlineStr">
        <is>
          <t>1.96% - XRPUSDT 2023-04-28</t>
        </is>
      </c>
      <c r="F30" s="925" t="inlineStr">
        <is>
          <t>2.01% - GBPUSD 2023-05-11</t>
        </is>
      </c>
      <c r="G30" s="925" t="inlineStr">
        <is>
          <t>1.94% - CADCHF 2023-06-13</t>
        </is>
      </c>
      <c r="H30" s="925" t="inlineStr">
        <is>
          <t>2.07% - EURUSD 2023-07-07</t>
        </is>
      </c>
      <c r="I30" s="925" t="inlineStr">
        <is>
          <t>1.93% - USDCAD 2023-08-30</t>
        </is>
      </c>
      <c r="J30" s="925" t="inlineStr">
        <is>
          <t>2.00% - USDCAD 2023-09-15</t>
        </is>
      </c>
      <c r="K30" s="925" t="inlineStr">
        <is>
          <t>-0.31% - USDCHF 2023-10-25</t>
        </is>
      </c>
      <c r="L30" s="915" t="inlineStr"/>
      <c r="M30" s="926" t="inlineStr">
        <is>
          <t>1.95% - CADCHF 2023-12-12</t>
        </is>
      </c>
    </row>
    <row r="31" ht="14.5" customHeight="1">
      <c r="A31" s="886" t="inlineStr">
        <is>
          <t>Max loss %</t>
        </is>
      </c>
      <c r="B31" s="894" t="inlineStr"/>
      <c r="C31" s="894" t="inlineStr"/>
      <c r="D31" s="927" t="inlineStr">
        <is>
          <t>-1.08% - BTCUSDT 2023-03-10</t>
        </is>
      </c>
      <c r="E31" s="927" t="inlineStr">
        <is>
          <t>-1.07% - BTCUSDT 2023-04-26</t>
        </is>
      </c>
      <c r="F31" s="927" t="inlineStr">
        <is>
          <t>-0.99% - GBPNZD 2023-05-31</t>
        </is>
      </c>
      <c r="G31" s="927" t="inlineStr">
        <is>
          <t>-1.23% - XRPUSDT 2023-06-21</t>
        </is>
      </c>
      <c r="H31" s="927" t="inlineStr">
        <is>
          <t>-1.12% - BTCUSDT 2023-07-14</t>
        </is>
      </c>
      <c r="I31" s="927" t="inlineStr">
        <is>
          <t>-1.24% - BTCUSDT 2023-08-02</t>
        </is>
      </c>
      <c r="J31" s="927" t="inlineStr">
        <is>
          <t>-1.04% - GBPNZD 2023-09-14</t>
        </is>
      </c>
      <c r="K31" s="927" t="inlineStr">
        <is>
          <t>-1.00% - USDCAD 2023-10-05</t>
        </is>
      </c>
      <c r="L31" s="894" t="inlineStr"/>
      <c r="M31" s="928" t="inlineStr">
        <is>
          <t>-1.03% - USDJPY 2023-12-08</t>
        </is>
      </c>
    </row>
    <row r="32" ht="14.5" customHeight="1">
      <c r="A32" s="886" t="inlineStr">
        <is>
          <t>Max R loss</t>
        </is>
      </c>
      <c r="B32" s="984" t="inlineStr"/>
      <c r="C32" s="984" t="inlineStr"/>
      <c r="D32" s="927" t="inlineStr">
        <is>
          <t>-1.06R - AUDUSD 2023-03-13</t>
        </is>
      </c>
      <c r="E32" s="927" t="inlineStr">
        <is>
          <t>-1.14R - AUDCHF 2023-04-11</t>
        </is>
      </c>
      <c r="F32" s="927" t="inlineStr">
        <is>
          <t>-1.00R - GBPNZD 2023-05-31</t>
        </is>
      </c>
      <c r="G32" s="927" t="inlineStr">
        <is>
          <t>-1.13R - XRPUSDT 2023-06-21</t>
        </is>
      </c>
      <c r="H32" s="927" t="inlineStr">
        <is>
          <t>-1.17R - BTCUSDT 2023-07-14</t>
        </is>
      </c>
      <c r="I32" s="927" t="inlineStr">
        <is>
          <t>-1.01R - CHFJPY 2023-08-18</t>
        </is>
      </c>
      <c r="J32" s="977" t="inlineStr"/>
      <c r="K32" s="927" t="inlineStr">
        <is>
          <t>-1.05R - USDCHF 2023-10-25</t>
        </is>
      </c>
      <c r="L32" s="984" t="inlineStr"/>
      <c r="M32" s="928" t="inlineStr">
        <is>
          <t>-1.00R - GBPJPY 2023-12-07</t>
        </is>
      </c>
    </row>
    <row r="33" ht="14.5" customHeight="1">
      <c r="A33" s="907" t="inlineStr">
        <is>
          <t>Max R win</t>
        </is>
      </c>
      <c r="B33" s="980" t="inlineStr"/>
      <c r="C33" s="980" t="inlineStr"/>
      <c r="D33" s="929" t="inlineStr">
        <is>
          <t>2.07R - USDCHF 2023-03-10</t>
        </is>
      </c>
      <c r="E33" s="929" t="inlineStr">
        <is>
          <t>2.00R - XRPUSDT 2023-04-28</t>
        </is>
      </c>
      <c r="F33" s="929" t="inlineStr">
        <is>
          <t>2.07R - GBPUSD 2023-05-11</t>
        </is>
      </c>
      <c r="G33" s="929" t="inlineStr">
        <is>
          <t>2.02R - CADCHF 2023-06-13</t>
        </is>
      </c>
      <c r="H33" s="929" t="inlineStr">
        <is>
          <t>2.26R - EURUSD 2023-07-07</t>
        </is>
      </c>
      <c r="I33" s="929" t="inlineStr">
        <is>
          <t>2.00R - ETHUSDT 2023-08-02</t>
        </is>
      </c>
      <c r="J33" s="929" t="inlineStr">
        <is>
          <t>2.08R - USDCAD 2023-09-15</t>
        </is>
      </c>
      <c r="K33" s="929" t="inlineStr">
        <is>
          <t>-0.91R - NZDUSD 2023-10-24</t>
        </is>
      </c>
      <c r="L33" s="980" t="inlineStr"/>
      <c r="M33" s="930" t="inlineStr">
        <is>
          <t>2.05R - CADCHF 2023-12-12</t>
        </is>
      </c>
    </row>
    <row r="34" ht="14.5" customHeight="1">
      <c r="A34" s="913" t="inlineStr">
        <is>
          <t>Shortest (DD:HH:MM:SS)</t>
        </is>
      </c>
      <c r="B34" s="931" t="inlineStr"/>
      <c r="C34" s="931" t="inlineStr"/>
      <c r="D34" s="931" t="inlineStr">
        <is>
          <t>13M 34S - AUDUSD 2023-03-13</t>
        </is>
      </c>
      <c r="E34" s="931" t="inlineStr">
        <is>
          <t>1M 26S - AUDCHF 2023-04-11</t>
        </is>
      </c>
      <c r="F34" s="931" t="inlineStr">
        <is>
          <t>15H 7M 47S - GBPNZD 2023-05-31</t>
        </is>
      </c>
      <c r="G34" s="931" t="inlineStr">
        <is>
          <t>2M 0S - BTCUSDT 2023-06-06</t>
        </is>
      </c>
      <c r="H34" s="931" t="inlineStr">
        <is>
          <t>1M 0S - BTCUSDT 2023-07-14</t>
        </is>
      </c>
      <c r="I34" s="931" t="inlineStr">
        <is>
          <t>8M 0S - BTCUSDT 2023-08-02</t>
        </is>
      </c>
      <c r="J34" s="931" t="inlineStr">
        <is>
          <t>2H 16M 43S - CHFJPY 2023-09-11</t>
        </is>
      </c>
      <c r="K34" s="931" t="inlineStr">
        <is>
          <t>2M 36S - USDCAD 2023-10-24</t>
        </is>
      </c>
      <c r="L34" s="931" t="inlineStr"/>
      <c r="M34" s="932" t="inlineStr">
        <is>
          <t>1H 13M 46S - GBPJPY 2023-12-07</t>
        </is>
      </c>
    </row>
    <row r="35" ht="14.5" customHeight="1">
      <c r="A35" s="919" t="inlineStr">
        <is>
          <t>Longest (DD:HH:MM:SS)</t>
        </is>
      </c>
      <c r="B35" s="920" t="inlineStr"/>
      <c r="C35" s="920" t="inlineStr"/>
      <c r="D35" s="920" t="inlineStr">
        <is>
          <t>19H 21M 0S - BTCUSDT 2023-03-10</t>
        </is>
      </c>
      <c r="E35" s="920" t="inlineStr">
        <is>
          <t>2D 0H 53M 0S - ETHUSDT 2023-04-03</t>
        </is>
      </c>
      <c r="F35" s="920" t="inlineStr">
        <is>
          <t>18H 7M 37S - GBPUSD 2023-05-11</t>
        </is>
      </c>
      <c r="G35" s="920" t="inlineStr">
        <is>
          <t>1D 0H 23M 51S - AUDUSD 2023-06-14</t>
        </is>
      </c>
      <c r="H35" s="920" t="inlineStr">
        <is>
          <t>3D 13H 4M 24S - USDJPY 2023-07-17</t>
        </is>
      </c>
      <c r="I35" s="920" t="inlineStr">
        <is>
          <t>4D 21H 17M 12S - USDCAD 2023-08-30</t>
        </is>
      </c>
      <c r="J35" s="920" t="inlineStr">
        <is>
          <t>20H 1M 0S - USDCAD 2023-09-15</t>
        </is>
      </c>
      <c r="K35" s="920" t="inlineStr">
        <is>
          <t>19H 24M 17S - USDCAD 2023-10-05</t>
        </is>
      </c>
      <c r="L35" s="920" t="inlineStr"/>
      <c r="M35" s="921" t="inlineStr">
        <is>
          <t>21H 53M 34S - CADCHF 2023-12-12</t>
        </is>
      </c>
    </row>
    <row r="36" ht="14.5" customHeight="1">
      <c r="A36" s="924" t="inlineStr">
        <is>
          <t>Winners</t>
        </is>
      </c>
      <c r="B36" s="931" t="inlineStr"/>
      <c r="C36" s="931" t="inlineStr"/>
      <c r="D36" s="931" t="inlineStr"/>
      <c r="E36" s="931" t="inlineStr"/>
      <c r="F36" s="931" t="inlineStr"/>
      <c r="G36" s="931" t="inlineStr"/>
      <c r="H36" s="931" t="inlineStr"/>
      <c r="I36" s="931" t="inlineStr"/>
      <c r="J36" s="931" t="inlineStr"/>
      <c r="K36" s="931" t="inlineStr"/>
      <c r="L36" s="931" t="inlineStr"/>
      <c r="M36" s="932" t="inlineStr"/>
    </row>
    <row r="37" ht="14.5" customHeight="1">
      <c r="A37" s="889" t="inlineStr">
        <is>
          <t>Avg stop %</t>
        </is>
      </c>
      <c r="B37" s="894" t="inlineStr"/>
      <c r="C37" s="894" t="inlineStr"/>
      <c r="D37" s="894" t="n">
        <v>0.007100255634888445</v>
      </c>
      <c r="E37" s="894" t="n">
        <v>0.01508294987680548</v>
      </c>
      <c r="F37" s="894" t="n">
        <v>0.003179738046394175</v>
      </c>
      <c r="G37" s="894" t="n">
        <v>0.005267253969202959</v>
      </c>
      <c r="H37" s="894" t="n">
        <v>0.003171201716298921</v>
      </c>
      <c r="I37" s="894" t="n">
        <v>0.01272405157423912</v>
      </c>
      <c r="J37" s="894" t="n">
        <v>0.001371586221709822</v>
      </c>
      <c r="K37" s="894" t="inlineStr"/>
      <c r="L37" s="894" t="inlineStr"/>
      <c r="M37" s="895" t="n">
        <v>0.001715331362158651</v>
      </c>
    </row>
    <row r="38" ht="14.5" customHeight="1">
      <c r="A38" s="889" t="inlineStr">
        <is>
          <t>Avg target %</t>
        </is>
      </c>
      <c r="B38" s="662" t="inlineStr"/>
      <c r="C38" s="662" t="inlineStr"/>
      <c r="D38" s="662" t="n">
        <v>0.01422329565069227</v>
      </c>
      <c r="E38" s="662" t="n">
        <v>0.03016589975361102</v>
      </c>
      <c r="F38" s="662" t="n">
        <v>0.006572510651728081</v>
      </c>
      <c r="G38" s="662" t="n">
        <v>0.01053450793840578</v>
      </c>
      <c r="H38" s="662" t="n">
        <v>0.006379379026026996</v>
      </c>
      <c r="I38" s="662" t="n">
        <v>0.02544810314847824</v>
      </c>
      <c r="J38" s="662" t="n">
        <v>0.003123086884941042</v>
      </c>
      <c r="K38" s="662" t="inlineStr"/>
      <c r="L38" s="662" t="inlineStr"/>
      <c r="M38" s="663" t="n">
        <v>0.00351868269758583</v>
      </c>
    </row>
    <row r="39" ht="14.5" customHeight="1">
      <c r="A39" s="889" t="inlineStr">
        <is>
          <t>Percentage expectancy</t>
        </is>
      </c>
      <c r="B39" s="894" t="inlineStr"/>
      <c r="C39" s="894" t="inlineStr"/>
      <c r="D39" s="897" t="n">
        <v>0.01898096633291357</v>
      </c>
      <c r="E39" s="897" t="n">
        <v>0.01896154164823276</v>
      </c>
      <c r="F39" s="897" t="n">
        <v>0.02005612583053123</v>
      </c>
      <c r="G39" s="897" t="n">
        <v>0.01911612881587911</v>
      </c>
      <c r="H39" s="897" t="n">
        <v>0.01982687940295912</v>
      </c>
      <c r="I39" s="897" t="n">
        <v>0.0190706032024983</v>
      </c>
      <c r="J39" s="897" t="n">
        <v>0.01343819338921353</v>
      </c>
      <c r="K39" s="894" t="inlineStr"/>
      <c r="L39" s="894" t="inlineStr"/>
      <c r="M39" s="968" t="n">
        <v>0.01300178140991382</v>
      </c>
    </row>
    <row r="40" ht="14.5" customHeight="1">
      <c r="A40" s="889" t="inlineStr">
        <is>
          <t>R expectancy</t>
        </is>
      </c>
      <c r="B40" s="977" t="inlineStr"/>
      <c r="C40" s="977" t="inlineStr"/>
      <c r="D40" s="900" t="n">
        <v>2.026568543446211</v>
      </c>
      <c r="E40" s="900" t="n">
        <v>1.9994167962675</v>
      </c>
      <c r="F40" s="900" t="n">
        <v>2.066997518610476</v>
      </c>
      <c r="G40" s="900" t="n">
        <v>1.997953216374236</v>
      </c>
      <c r="H40" s="900" t="n">
        <v>2.06019791850015</v>
      </c>
      <c r="I40" s="900" t="n">
        <v>1.997851310700475</v>
      </c>
      <c r="J40" s="900" t="n">
        <v>1.391714454210871</v>
      </c>
      <c r="K40" s="977" t="inlineStr"/>
      <c r="L40" s="977" t="inlineStr"/>
      <c r="M40" s="901" t="n">
        <v>2.042545780254757</v>
      </c>
    </row>
    <row r="41" ht="14.5" customHeight="1">
      <c r="A41" s="889" t="inlineStr">
        <is>
          <t>Winners min duration</t>
        </is>
      </c>
      <c r="B41" s="917" t="inlineStr"/>
      <c r="C41" s="917" t="inlineStr"/>
      <c r="D41" s="917" t="inlineStr">
        <is>
          <t>55M 0S - BTCUSDT 2023-03-28</t>
        </is>
      </c>
      <c r="E41" s="917" t="inlineStr">
        <is>
          <t>8H 18M 0S - XRPUSDT 2023-04-28</t>
        </is>
      </c>
      <c r="F41" s="917" t="inlineStr">
        <is>
          <t>18H 7M 37S - GBPUSD 2023-05-11</t>
        </is>
      </c>
      <c r="G41" s="917" t="inlineStr">
        <is>
          <t>2H 25M 0S - XRPUSDT 2023-06-16</t>
        </is>
      </c>
      <c r="H41" s="917" t="inlineStr">
        <is>
          <t>15M 56S - EURUSD 2023-07-07</t>
        </is>
      </c>
      <c r="I41" s="917" t="inlineStr">
        <is>
          <t>21H 49M 0S - ETHUSDT 2023-08-02</t>
        </is>
      </c>
      <c r="J41" s="917" t="inlineStr">
        <is>
          <t>2H 16M 43S - CHFJPY 2023-09-11</t>
        </is>
      </c>
      <c r="K41" s="917" t="inlineStr"/>
      <c r="L41" s="917" t="inlineStr"/>
      <c r="M41" s="918" t="inlineStr">
        <is>
          <t>6H 16M 31S - EURUSD 2023-12-12</t>
        </is>
      </c>
    </row>
    <row r="42" ht="14.5" customHeight="1">
      <c r="A42" s="889" t="inlineStr">
        <is>
          <t>Winners avg duration</t>
        </is>
      </c>
      <c r="B42" s="917" t="inlineStr"/>
      <c r="C42" s="917" t="inlineStr"/>
      <c r="D42" s="917" t="inlineStr">
        <is>
          <t>4H 18M 14S</t>
        </is>
      </c>
      <c r="E42" s="917" t="inlineStr">
        <is>
          <t>1D 4H 35M 30S</t>
        </is>
      </c>
      <c r="F42" s="917" t="inlineStr">
        <is>
          <t>18H 7M 37S</t>
        </is>
      </c>
      <c r="G42" s="917" t="inlineStr">
        <is>
          <t>8H 25M 31S</t>
        </is>
      </c>
      <c r="H42" s="917" t="inlineStr">
        <is>
          <t>22H 7M 35S</t>
        </is>
      </c>
      <c r="I42" s="917" t="inlineStr">
        <is>
          <t>2D 21H 33M 6S</t>
        </is>
      </c>
      <c r="J42" s="917" t="inlineStr">
        <is>
          <t>11H 24M 10S</t>
        </is>
      </c>
      <c r="K42" s="917" t="inlineStr"/>
      <c r="L42" s="917" t="inlineStr"/>
      <c r="M42" s="918" t="inlineStr">
        <is>
          <t>14H 5M 2S</t>
        </is>
      </c>
    </row>
    <row r="43" ht="14.5" customHeight="1">
      <c r="A43" s="919" t="inlineStr">
        <is>
          <t>Winners max duration</t>
        </is>
      </c>
      <c r="B43" s="920" t="inlineStr"/>
      <c r="C43" s="920" t="inlineStr"/>
      <c r="D43" s="920" t="inlineStr">
        <is>
          <t>9H 47M 0S - BTCUSDT 2023-03-23</t>
        </is>
      </c>
      <c r="E43" s="920" t="inlineStr">
        <is>
          <t>2D 0H 53M 0S - ETHUSDT 2023-04-03</t>
        </is>
      </c>
      <c r="F43" s="920" t="inlineStr">
        <is>
          <t>18H 7M 37S - GBPUSD 2023-05-11</t>
        </is>
      </c>
      <c r="G43" s="920" t="inlineStr">
        <is>
          <t>14H 26M 2S - CADCHF 2023-06-13</t>
        </is>
      </c>
      <c r="H43" s="920" t="inlineStr">
        <is>
          <t>3D 13H 4M 24S - USDJPY 2023-07-17</t>
        </is>
      </c>
      <c r="I43" s="920" t="inlineStr">
        <is>
          <t>4D 21H 17M 12S - USDCAD 2023-08-30</t>
        </is>
      </c>
      <c r="J43" s="920" t="inlineStr">
        <is>
          <t>20H 1M 0S - USDCAD 2023-09-15</t>
        </is>
      </c>
      <c r="K43" s="920" t="inlineStr"/>
      <c r="L43" s="920" t="inlineStr"/>
      <c r="M43" s="921" t="inlineStr">
        <is>
          <t>21H 53M 34S - CADCHF 2023-12-12</t>
        </is>
      </c>
    </row>
    <row r="44" ht="14.5" customHeight="1">
      <c r="A44" s="924" t="inlineStr">
        <is>
          <t>Losers</t>
        </is>
      </c>
      <c r="B44" s="922" t="inlineStr"/>
      <c r="C44" s="922" t="inlineStr"/>
      <c r="D44" s="922" t="inlineStr"/>
      <c r="E44" s="922" t="inlineStr"/>
      <c r="F44" s="922" t="inlineStr"/>
      <c r="G44" s="922" t="inlineStr"/>
      <c r="H44" s="922" t="inlineStr"/>
      <c r="I44" s="922" t="inlineStr"/>
      <c r="J44" s="922" t="inlineStr"/>
      <c r="K44" s="922" t="inlineStr"/>
      <c r="L44" s="922" t="inlineStr"/>
      <c r="M44" s="923" t="inlineStr"/>
    </row>
    <row r="45" ht="14.5" customHeight="1">
      <c r="A45" s="889" t="inlineStr">
        <is>
          <t>Avg stop %</t>
        </is>
      </c>
      <c r="B45" s="894" t="inlineStr"/>
      <c r="C45" s="894" t="inlineStr"/>
      <c r="D45" s="894" t="n">
        <v>0.005429041254893459</v>
      </c>
      <c r="E45" s="894" t="n">
        <v>0.003314676454726701</v>
      </c>
      <c r="F45" s="894" t="n">
        <v>0.002967532562457024</v>
      </c>
      <c r="G45" s="894" t="n">
        <v>0.007956394416753705</v>
      </c>
      <c r="H45" s="894" t="n">
        <v>0.01263365157015482</v>
      </c>
      <c r="I45" s="894" t="n">
        <v>0.001533716242362843</v>
      </c>
      <c r="J45" s="894" t="inlineStr"/>
      <c r="K45" s="894" t="n">
        <v>0.001310707323731103</v>
      </c>
      <c r="L45" s="894" t="inlineStr"/>
      <c r="M45" s="895" t="n">
        <v>0.006420304784990307</v>
      </c>
    </row>
    <row r="46" ht="14.5" customHeight="1">
      <c r="A46" s="889" t="inlineStr">
        <is>
          <t>Avg target %</t>
        </is>
      </c>
      <c r="B46" s="935" t="inlineStr"/>
      <c r="C46" s="935" t="inlineStr"/>
      <c r="D46" s="935" t="n">
        <v>0.01088334469743318</v>
      </c>
      <c r="E46" s="935" t="n">
        <v>0.00666131675208166</v>
      </c>
      <c r="F46" s="935" t="n">
        <v>0.006066630607978859</v>
      </c>
      <c r="G46" s="935" t="n">
        <v>0.01592539703643605</v>
      </c>
      <c r="H46" s="935" t="n">
        <v>0.02584128090794962</v>
      </c>
      <c r="I46" s="935" t="n">
        <v>0.003239313862093301</v>
      </c>
      <c r="J46" s="935" t="inlineStr"/>
      <c r="K46" s="935" t="n">
        <v>0.002627226160013904</v>
      </c>
      <c r="L46" s="935" t="inlineStr"/>
      <c r="M46" s="936" t="n">
        <v>0.01115826530057153</v>
      </c>
    </row>
    <row r="47" ht="14.5" customHeight="1">
      <c r="A47" s="889" t="inlineStr">
        <is>
          <t>Percentage expectancy</t>
        </is>
      </c>
      <c r="B47" s="894" t="inlineStr"/>
      <c r="C47" s="894" t="inlineStr"/>
      <c r="D47" s="896" t="n">
        <v>-0.01030492235459028</v>
      </c>
      <c r="E47" s="896" t="n">
        <v>-0.009338090566120094</v>
      </c>
      <c r="F47" s="896" t="n">
        <v>-0.009892321081179259</v>
      </c>
      <c r="G47" s="896" t="n">
        <v>-0.008941238762790639</v>
      </c>
      <c r="H47" s="896" t="n">
        <v>-0.01033686848406</v>
      </c>
      <c r="I47" s="896" t="n">
        <v>-0.01057117796429597</v>
      </c>
      <c r="J47" s="896" t="n">
        <v>-0.01043265278264035</v>
      </c>
      <c r="K47" s="896" t="n">
        <v>-0.004883877849110547</v>
      </c>
      <c r="L47" s="894" t="inlineStr"/>
      <c r="M47" s="898" t="n">
        <v>-0.0100771574546551</v>
      </c>
    </row>
    <row r="48" ht="14.5" customHeight="1">
      <c r="A48" s="889" t="inlineStr">
        <is>
          <t>R expectancy</t>
        </is>
      </c>
      <c r="B48" s="984" t="inlineStr"/>
      <c r="C48" s="984" t="inlineStr"/>
      <c r="D48" s="902" t="n">
        <v>-1.019080736751603</v>
      </c>
      <c r="E48" s="902" t="n">
        <v>-0.9355173973957988</v>
      </c>
      <c r="F48" s="902" t="n">
        <v>-1.004926108374417</v>
      </c>
      <c r="G48" s="902" t="n">
        <v>-0.8190031978522658</v>
      </c>
      <c r="H48" s="902" t="n">
        <v>-1.028139928024678</v>
      </c>
      <c r="I48" s="902" t="n">
        <v>-1.005401011323181</v>
      </c>
      <c r="J48" s="984" t="inlineStr"/>
      <c r="K48" s="902" t="n">
        <v>-0.9904306220095718</v>
      </c>
      <c r="L48" s="984" t="inlineStr"/>
      <c r="M48" s="903" t="n">
        <v>-0.9511715334848849</v>
      </c>
    </row>
    <row r="49" ht="14.5" customHeight="1">
      <c r="A49" s="889" t="inlineStr">
        <is>
          <t>Losers min duration</t>
        </is>
      </c>
      <c r="B49" s="661" t="inlineStr"/>
      <c r="C49" s="661" t="inlineStr"/>
      <c r="D49" s="661" t="inlineStr">
        <is>
          <t>13M 34S - AUDUSD 2023-03-13</t>
        </is>
      </c>
      <c r="E49" s="661" t="inlineStr">
        <is>
          <t>1M 26S - AUDCHF 2023-04-11</t>
        </is>
      </c>
      <c r="F49" s="661" t="inlineStr">
        <is>
          <t>15H 7M 47S - GBPNZD 2023-05-31</t>
        </is>
      </c>
      <c r="G49" s="661" t="inlineStr">
        <is>
          <t>2M 0S - BTCUSDT 2023-06-06</t>
        </is>
      </c>
      <c r="H49" s="661" t="inlineStr">
        <is>
          <t>1M 0S - BTCUSDT 2023-07-14</t>
        </is>
      </c>
      <c r="I49" s="661" t="inlineStr">
        <is>
          <t>8M 0S - BTCUSDT 2023-08-02</t>
        </is>
      </c>
      <c r="J49" s="661" t="inlineStr">
        <is>
          <t>12H 12M 56S - GBPNZD 2023-09-14</t>
        </is>
      </c>
      <c r="K49" s="661" t="inlineStr">
        <is>
          <t>2M 36S - USDCAD 2023-10-24</t>
        </is>
      </c>
      <c r="L49" s="661" t="inlineStr"/>
      <c r="M49" s="904" t="inlineStr">
        <is>
          <t>1H 13M 46S - GBPJPY 2023-12-07</t>
        </is>
      </c>
    </row>
    <row r="50" ht="14.5" customHeight="1">
      <c r="A50" s="889" t="inlineStr">
        <is>
          <t>Losers avg duration</t>
        </is>
      </c>
      <c r="B50" s="661" t="inlineStr"/>
      <c r="C50" s="661" t="inlineStr"/>
      <c r="D50" s="661" t="inlineStr">
        <is>
          <t>5H 15M 46S</t>
        </is>
      </c>
      <c r="E50" s="661" t="inlineStr">
        <is>
          <t>5H 26M 53S</t>
        </is>
      </c>
      <c r="F50" s="661" t="inlineStr">
        <is>
          <t>15H 7M 47S</t>
        </is>
      </c>
      <c r="G50" s="661" t="inlineStr">
        <is>
          <t>5H 46M 45S</t>
        </is>
      </c>
      <c r="H50" s="661" t="inlineStr">
        <is>
          <t>3H 2M 6S</t>
        </is>
      </c>
      <c r="I50" s="661" t="inlineStr">
        <is>
          <t>5H 30M 13S</t>
        </is>
      </c>
      <c r="J50" s="661" t="inlineStr">
        <is>
          <t>12H 12M 56S</t>
        </is>
      </c>
      <c r="K50" s="661" t="inlineStr">
        <is>
          <t>4H 58M 59S</t>
        </is>
      </c>
      <c r="L50" s="661" t="inlineStr"/>
      <c r="M50" s="904" t="inlineStr">
        <is>
          <t>4H 35M 43S</t>
        </is>
      </c>
    </row>
    <row r="51" ht="14.5" customHeight="1">
      <c r="A51" s="919" t="inlineStr">
        <is>
          <t>Losers max duration</t>
        </is>
      </c>
      <c r="B51" s="920" t="inlineStr"/>
      <c r="C51" s="920" t="inlineStr"/>
      <c r="D51" s="920" t="inlineStr">
        <is>
          <t>19H 21M 0S - BTCUSDT 2023-03-10</t>
        </is>
      </c>
      <c r="E51" s="920" t="inlineStr">
        <is>
          <t>1D 3H 18M 4S - USDJPY 2023-04-12</t>
        </is>
      </c>
      <c r="F51" s="920" t="inlineStr">
        <is>
          <t>15H 7M 47S - GBPNZD 2023-05-31</t>
        </is>
      </c>
      <c r="G51" s="920" t="inlineStr">
        <is>
          <t>1D 0H 23M 51S - AUDUSD 2023-06-14</t>
        </is>
      </c>
      <c r="H51" s="920" t="inlineStr">
        <is>
          <t>12H 28M 39S - NZDUSD 2023-07-14</t>
        </is>
      </c>
      <c r="I51" s="920" t="inlineStr">
        <is>
          <t>16H 55M 4S - EURUSD 2023-08-23</t>
        </is>
      </c>
      <c r="J51" s="920" t="inlineStr">
        <is>
          <t>12H 12M 56S - GBPNZD 2023-09-14</t>
        </is>
      </c>
      <c r="K51" s="920" t="inlineStr">
        <is>
          <t>19H 24M 17S - USDCAD 2023-10-05</t>
        </is>
      </c>
      <c r="L51" s="920" t="inlineStr"/>
      <c r="M51" s="921" t="inlineStr">
        <is>
          <t>7H 57M 40S - USDJPY 2023-12-08</t>
        </is>
      </c>
    </row>
    <row r="52" ht="14.5" customHeight="1">
      <c r="A52" s="924" t="inlineStr">
        <is>
          <t>Drawdown</t>
        </is>
      </c>
      <c r="B52" s="922" t="inlineStr"/>
      <c r="C52" s="922" t="inlineStr"/>
      <c r="D52" s="922" t="inlineStr"/>
      <c r="E52" s="922" t="inlineStr"/>
      <c r="F52" s="922" t="inlineStr"/>
      <c r="G52" s="922" t="inlineStr"/>
      <c r="H52" s="922" t="inlineStr"/>
      <c r="I52" s="922" t="inlineStr"/>
      <c r="J52" s="922" t="inlineStr"/>
      <c r="K52" s="922" t="inlineStr"/>
      <c r="L52" s="922" t="inlineStr"/>
      <c r="M52" s="923" t="inlineStr"/>
    </row>
    <row r="53" ht="14.5" customHeight="1">
      <c r="A53" s="886" t="inlineStr">
        <is>
          <t>Max drawdown</t>
        </is>
      </c>
      <c r="B53" s="894" t="inlineStr"/>
      <c r="C53" s="894" t="inlineStr"/>
      <c r="D53" s="896" t="n">
        <v>0.03009259259259264</v>
      </c>
      <c r="E53" s="896" t="n">
        <v>0.0250491059676407</v>
      </c>
      <c r="F53" s="896" t="n">
        <v>0.009895949990837111</v>
      </c>
      <c r="G53" s="896" t="n">
        <v>0.02384967463626436</v>
      </c>
      <c r="H53" s="896" t="n">
        <v>0.04230636268146869</v>
      </c>
      <c r="I53" s="896" t="n">
        <v>0.0399573350836888</v>
      </c>
      <c r="J53" s="896" t="n">
        <v>0.01042309115579127</v>
      </c>
      <c r="K53" s="896" t="n">
        <v>0.006214213089313402</v>
      </c>
      <c r="L53" s="894" t="inlineStr"/>
      <c r="M53" s="898" t="n">
        <v>0.01026681294115219</v>
      </c>
    </row>
    <row r="54" ht="14.5" customHeight="1">
      <c r="A54" s="889" t="inlineStr">
        <is>
          <t>Start</t>
        </is>
      </c>
      <c r="B54" s="937" t="inlineStr"/>
      <c r="C54" s="937" t="inlineStr"/>
      <c r="D54" s="937" t="inlineStr">
        <is>
          <t>2023-03-10 15:57:08</t>
        </is>
      </c>
      <c r="E54" s="937" t="inlineStr">
        <is>
          <t>2023-04-04 18:16:40</t>
        </is>
      </c>
      <c r="F54" s="937" t="inlineStr">
        <is>
          <t>2023-05-11 16:57:51</t>
        </is>
      </c>
      <c r="G54" s="937" t="inlineStr">
        <is>
          <t>2023-06-16 01:47:00</t>
        </is>
      </c>
      <c r="H54" s="937" t="inlineStr">
        <is>
          <t>2023-07-01 03:41:00</t>
        </is>
      </c>
      <c r="I54" s="937" t="inlineStr">
        <is>
          <t>2023-08-02 13:16:22</t>
        </is>
      </c>
      <c r="J54" s="937" t="inlineStr">
        <is>
          <t>2023-09-11 18:31:56</t>
        </is>
      </c>
      <c r="K54" s="937" t="inlineStr">
        <is>
          <t>2023-10-24 00:18:13</t>
        </is>
      </c>
      <c r="L54" s="937" t="inlineStr"/>
      <c r="M54" s="938" t="inlineStr">
        <is>
          <t>2023-12-07 12:08:18</t>
        </is>
      </c>
    </row>
    <row r="55" ht="14.5" customHeight="1">
      <c r="A55" s="889" t="inlineStr">
        <is>
          <t>End</t>
        </is>
      </c>
      <c r="B55" s="917" t="inlineStr"/>
      <c r="C55" s="917" t="inlineStr"/>
      <c r="D55" s="917" t="inlineStr">
        <is>
          <t>2023-03-30 23:00:03</t>
        </is>
      </c>
      <c r="E55" s="917" t="inlineStr">
        <is>
          <t>2023-04-28 19:59:23</t>
        </is>
      </c>
      <c r="F55" s="917" t="inlineStr">
        <is>
          <t>2023-05-31 11:30:47</t>
        </is>
      </c>
      <c r="G55" s="917" t="inlineStr">
        <is>
          <t>2023-06-30 14:40:00</t>
        </is>
      </c>
      <c r="H55" s="917" t="inlineStr">
        <is>
          <t>2023-07-14 05:26:00</t>
        </is>
      </c>
      <c r="I55" s="917" t="inlineStr">
        <is>
          <t>2023-08-23 17:31:57</t>
        </is>
      </c>
      <c r="J55" s="917" t="inlineStr">
        <is>
          <t>2023-09-14 22:29:59</t>
        </is>
      </c>
      <c r="K55" s="917" t="inlineStr">
        <is>
          <t>2023-10-25 19:26:45</t>
        </is>
      </c>
      <c r="L55" s="917" t="inlineStr"/>
      <c r="M55" s="918" t="inlineStr">
        <is>
          <t>2023-12-08 01:31:14</t>
        </is>
      </c>
    </row>
    <row r="56" ht="14.5" customHeight="1">
      <c r="A56" s="886" t="inlineStr">
        <is>
          <t>Avg drawdown</t>
        </is>
      </c>
      <c r="B56" s="894" t="inlineStr"/>
      <c r="C56" s="894" t="inlineStr"/>
      <c r="D56" s="896" t="n">
        <v>0.02028218694885367</v>
      </c>
      <c r="E56" s="896" t="n">
        <v>0.01447710095684531</v>
      </c>
      <c r="F56" s="896" t="n">
        <v>0.009895949990837111</v>
      </c>
      <c r="G56" s="896" t="n">
        <v>0.0108921421807285</v>
      </c>
      <c r="H56" s="896" t="n">
        <v>0.02059284894859134</v>
      </c>
      <c r="I56" s="896" t="n">
        <v>0.02221797646380456</v>
      </c>
      <c r="J56" s="896" t="n">
        <v>0.007942381755136146</v>
      </c>
      <c r="K56" s="896" t="n">
        <v>0.00468239952908439</v>
      </c>
      <c r="L56" s="894" t="inlineStr"/>
      <c r="M56" s="898" t="n">
        <v>0.01026681294115219</v>
      </c>
    </row>
    <row r="57" ht="14.5" customHeight="1">
      <c r="A57" s="886" t="inlineStr">
        <is>
          <t>Min drawdown</t>
        </is>
      </c>
      <c r="B57" s="662" t="inlineStr"/>
      <c r="C57" s="662" t="inlineStr"/>
      <c r="D57" s="896" t="n">
        <v>0.01042639277933398</v>
      </c>
      <c r="E57" s="896" t="n">
        <v>0.0104489399185954</v>
      </c>
      <c r="F57" s="896" t="n">
        <v>0.009895949990837111</v>
      </c>
      <c r="G57" s="896" t="n">
        <v>0.002408015835765055</v>
      </c>
      <c r="H57" s="905" t="n">
        <v>0.0001592071484009315</v>
      </c>
      <c r="I57" s="896" t="n">
        <v>0.009886773875943538</v>
      </c>
      <c r="J57" s="896" t="n">
        <v>0.006702027054808582</v>
      </c>
      <c r="K57" s="896" t="n">
        <v>0.003150585968855378</v>
      </c>
      <c r="L57" s="662" t="inlineStr"/>
      <c r="M57" s="898" t="n">
        <v>0.01026681294115219</v>
      </c>
    </row>
    <row r="58" ht="14.5" customHeight="1">
      <c r="A58" s="889" t="inlineStr">
        <is>
          <t>Start</t>
        </is>
      </c>
      <c r="B58" s="661" t="inlineStr"/>
      <c r="C58" s="661" t="inlineStr"/>
      <c r="D58" s="661" t="inlineStr">
        <is>
          <t>2023-03-10 15:57:08</t>
        </is>
      </c>
      <c r="E58" s="661" t="inlineStr">
        <is>
          <t>2023-04-04 18:16:40</t>
        </is>
      </c>
      <c r="F58" s="661" t="inlineStr">
        <is>
          <t>2023-05-11 16:57:51</t>
        </is>
      </c>
      <c r="G58" s="661" t="inlineStr">
        <is>
          <t>2023-06-13 17:00:58</t>
        </is>
      </c>
      <c r="H58" s="661" t="inlineStr">
        <is>
          <t>2023-07-07 16:27:40</t>
        </is>
      </c>
      <c r="I58" s="661" t="inlineStr">
        <is>
          <t>2023-08-02 13:16:22</t>
        </is>
      </c>
      <c r="J58" s="661" t="inlineStr">
        <is>
          <t>2023-09-11 18:31:56</t>
        </is>
      </c>
      <c r="K58" s="661" t="inlineStr">
        <is>
          <t>2023-10-24 00:18:13</t>
        </is>
      </c>
      <c r="L58" s="661" t="inlineStr"/>
      <c r="M58" s="904" t="inlineStr">
        <is>
          <t>2023-12-07 12:08:18</t>
        </is>
      </c>
    </row>
    <row r="59" ht="14.5" customHeight="1">
      <c r="A59" s="919" t="inlineStr">
        <is>
          <t>End</t>
        </is>
      </c>
      <c r="B59" s="920" t="inlineStr"/>
      <c r="C59" s="920" t="inlineStr"/>
      <c r="D59" s="920" t="inlineStr">
        <is>
          <t>2023-03-13 09:23:16</t>
        </is>
      </c>
      <c r="E59" s="920" t="inlineStr">
        <is>
          <t>2023-04-11 12:10:00</t>
        </is>
      </c>
      <c r="F59" s="920" t="inlineStr">
        <is>
          <t>2023-05-31 11:30:47</t>
        </is>
      </c>
      <c r="G59" s="920" t="inlineStr">
        <is>
          <t>2023-06-14 22:54:16</t>
        </is>
      </c>
      <c r="H59" s="920" t="inlineStr">
        <is>
          <t>2023-07-17 23:33:04</t>
        </is>
      </c>
      <c r="I59" s="920" t="inlineStr">
        <is>
          <t>2023-08-08 15:58:52</t>
        </is>
      </c>
      <c r="J59" s="920" t="inlineStr">
        <is>
          <t>2023-09-15 22:22:00</t>
        </is>
      </c>
      <c r="K59" s="920" t="inlineStr">
        <is>
          <t>2023-10-24 23:46:27</t>
        </is>
      </c>
      <c r="L59" s="920" t="inlineStr"/>
      <c r="M59" s="921" t="inlineStr">
        <is>
          <t>2023-12-08 01:31:14</t>
        </is>
      </c>
    </row>
    <row r="60" ht="14.5" customHeight="1">
      <c r="A60" s="924" t="inlineStr">
        <is>
          <t>Longs</t>
        </is>
      </c>
      <c r="B60" s="941" t="n">
        <v>0</v>
      </c>
      <c r="C60" s="941" t="n">
        <v>0</v>
      </c>
      <c r="D60" s="941" t="n">
        <v>4</v>
      </c>
      <c r="E60" s="941" t="n">
        <v>0</v>
      </c>
      <c r="F60" s="941" t="n">
        <v>0</v>
      </c>
      <c r="G60" s="941" t="n">
        <v>1</v>
      </c>
      <c r="H60" s="941" t="n">
        <v>5</v>
      </c>
      <c r="I60" s="941" t="n">
        <v>5</v>
      </c>
      <c r="J60" s="941" t="n">
        <v>4</v>
      </c>
      <c r="K60" s="941" t="n">
        <v>0</v>
      </c>
      <c r="L60" s="941" t="n">
        <v>0</v>
      </c>
      <c r="M60" s="942" t="n">
        <v>2</v>
      </c>
    </row>
    <row r="61" ht="14.5" customHeight="1">
      <c r="A61" s="889" t="inlineStr">
        <is>
          <t>Long wins</t>
        </is>
      </c>
      <c r="B61" s="890" t="n">
        <v>0</v>
      </c>
      <c r="C61" s="890" t="n">
        <v>0</v>
      </c>
      <c r="D61" s="890" t="n">
        <v>3</v>
      </c>
      <c r="E61" s="890" t="n">
        <v>0</v>
      </c>
      <c r="F61" s="890" t="n">
        <v>0</v>
      </c>
      <c r="G61" s="890" t="n">
        <v>0</v>
      </c>
      <c r="H61" s="890" t="n">
        <v>3</v>
      </c>
      <c r="I61" s="890" t="n">
        <v>1</v>
      </c>
      <c r="J61" s="890" t="n">
        <v>3</v>
      </c>
      <c r="K61" s="890" t="n">
        <v>0</v>
      </c>
      <c r="L61" s="890" t="n">
        <v>0</v>
      </c>
      <c r="M61" s="891" t="n">
        <v>0</v>
      </c>
    </row>
    <row r="62" ht="14.5" customHeight="1">
      <c r="A62" s="889" t="inlineStr">
        <is>
          <t>Long losses</t>
        </is>
      </c>
      <c r="B62" s="943" t="n">
        <v>0</v>
      </c>
      <c r="C62" s="943" t="n">
        <v>0</v>
      </c>
      <c r="D62" s="943" t="n">
        <v>1</v>
      </c>
      <c r="E62" s="943" t="n">
        <v>0</v>
      </c>
      <c r="F62" s="943" t="n">
        <v>0</v>
      </c>
      <c r="G62" s="943" t="n">
        <v>1</v>
      </c>
      <c r="H62" s="943" t="n">
        <v>2</v>
      </c>
      <c r="I62" s="943" t="n">
        <v>4</v>
      </c>
      <c r="J62" s="943" t="n">
        <v>1</v>
      </c>
      <c r="K62" s="943" t="n">
        <v>0</v>
      </c>
      <c r="L62" s="943" t="n">
        <v>0</v>
      </c>
      <c r="M62" s="944" t="n">
        <v>2</v>
      </c>
    </row>
    <row r="63" ht="14.5" customHeight="1">
      <c r="A63" s="886" t="inlineStr">
        <is>
          <t>Long break-even</t>
        </is>
      </c>
      <c r="B63" s="945" t="n">
        <v>0</v>
      </c>
      <c r="C63" s="945" t="n">
        <v>0</v>
      </c>
      <c r="D63" s="945" t="n">
        <v>0</v>
      </c>
      <c r="E63" s="945" t="n">
        <v>0</v>
      </c>
      <c r="F63" s="945" t="n">
        <v>0</v>
      </c>
      <c r="G63" s="945" t="n">
        <v>0</v>
      </c>
      <c r="H63" s="945" t="n">
        <v>0</v>
      </c>
      <c r="I63" s="945" t="n">
        <v>0</v>
      </c>
      <c r="J63" s="945" t="n">
        <v>0</v>
      </c>
      <c r="K63" s="945" t="n">
        <v>0</v>
      </c>
      <c r="L63" s="945" t="n">
        <v>0</v>
      </c>
      <c r="M63" s="946" t="n">
        <v>0</v>
      </c>
    </row>
    <row r="64" ht="14.5" customHeight="1">
      <c r="A64" s="886" t="inlineStr">
        <is>
          <t>Shorts</t>
        </is>
      </c>
      <c r="B64" s="887" t="n">
        <v>0</v>
      </c>
      <c r="C64" s="887" t="n">
        <v>0</v>
      </c>
      <c r="D64" s="887" t="n">
        <v>3</v>
      </c>
      <c r="E64" s="887" t="n">
        <v>8</v>
      </c>
      <c r="F64" s="887" t="n">
        <v>2</v>
      </c>
      <c r="G64" s="887" t="n">
        <v>8</v>
      </c>
      <c r="H64" s="887" t="n">
        <v>10</v>
      </c>
      <c r="I64" s="887" t="n">
        <v>3</v>
      </c>
      <c r="J64" s="887" t="n">
        <v>2</v>
      </c>
      <c r="K64" s="887" t="n">
        <v>4</v>
      </c>
      <c r="L64" s="887" t="n">
        <v>0</v>
      </c>
      <c r="M64" s="888" t="n">
        <v>2</v>
      </c>
    </row>
    <row r="65" ht="14.5" customHeight="1">
      <c r="A65" s="889" t="inlineStr">
        <is>
          <t>Short wins</t>
        </is>
      </c>
      <c r="B65" s="890" t="n">
        <v>0</v>
      </c>
      <c r="C65" s="890" t="n">
        <v>0</v>
      </c>
      <c r="D65" s="890" t="n">
        <v>0</v>
      </c>
      <c r="E65" s="890" t="n">
        <v>2</v>
      </c>
      <c r="F65" s="890" t="n">
        <v>1</v>
      </c>
      <c r="G65" s="890" t="n">
        <v>2</v>
      </c>
      <c r="H65" s="890" t="n">
        <v>1</v>
      </c>
      <c r="I65" s="890" t="n">
        <v>1</v>
      </c>
      <c r="J65" s="890" t="n">
        <v>2</v>
      </c>
      <c r="K65" s="890" t="n">
        <v>0</v>
      </c>
      <c r="L65" s="890" t="n">
        <v>0</v>
      </c>
      <c r="M65" s="891" t="n">
        <v>2</v>
      </c>
    </row>
    <row r="66" ht="14.5" customHeight="1">
      <c r="A66" s="889" t="inlineStr">
        <is>
          <t>Short losses</t>
        </is>
      </c>
      <c r="B66" s="892" t="n">
        <v>0</v>
      </c>
      <c r="C66" s="892" t="n">
        <v>0</v>
      </c>
      <c r="D66" s="892" t="n">
        <v>3</v>
      </c>
      <c r="E66" s="892" t="n">
        <v>6</v>
      </c>
      <c r="F66" s="892" t="n">
        <v>1</v>
      </c>
      <c r="G66" s="892" t="n">
        <v>6</v>
      </c>
      <c r="H66" s="892" t="n">
        <v>9</v>
      </c>
      <c r="I66" s="892" t="n">
        <v>2</v>
      </c>
      <c r="J66" s="892" t="n">
        <v>0</v>
      </c>
      <c r="K66" s="892" t="n">
        <v>4</v>
      </c>
      <c r="L66" s="892" t="n">
        <v>0</v>
      </c>
      <c r="M66" s="893" t="n">
        <v>0</v>
      </c>
    </row>
    <row r="67" ht="14.5" customHeight="1">
      <c r="A67" s="907" t="inlineStr">
        <is>
          <t>Short break-even</t>
        </is>
      </c>
      <c r="B67" s="947" t="n">
        <v>0</v>
      </c>
      <c r="C67" s="947" t="n">
        <v>0</v>
      </c>
      <c r="D67" s="947" t="n">
        <v>0</v>
      </c>
      <c r="E67" s="947" t="n">
        <v>0</v>
      </c>
      <c r="F67" s="947" t="n">
        <v>0</v>
      </c>
      <c r="G67" s="947" t="n">
        <v>0</v>
      </c>
      <c r="H67" s="947" t="n">
        <v>0</v>
      </c>
      <c r="I67" s="947" t="n">
        <v>0</v>
      </c>
      <c r="J67" s="947" t="n">
        <v>0</v>
      </c>
      <c r="K67" s="947" t="n">
        <v>0</v>
      </c>
      <c r="L67" s="947" t="n">
        <v>0</v>
      </c>
      <c r="M67" s="948" t="n">
        <v>0</v>
      </c>
    </row>
    <row r="68" ht="14.5" customHeight="1">
      <c r="A68" s="913" t="inlineStr">
        <is>
          <t>Min duration</t>
        </is>
      </c>
      <c r="B68" s="922" t="inlineStr"/>
      <c r="C68" s="922" t="inlineStr"/>
      <c r="D68" s="922" t="inlineStr">
        <is>
          <t>13M 34S - AUDUSD 2023-03-13</t>
        </is>
      </c>
      <c r="E68" s="922" t="inlineStr">
        <is>
          <t>1M 26S - AUDCHF 2023-04-11</t>
        </is>
      </c>
      <c r="F68" s="922" t="inlineStr">
        <is>
          <t>15H 7M 47S - GBPNZD 2023-05-31</t>
        </is>
      </c>
      <c r="G68" s="922" t="inlineStr">
        <is>
          <t>2M 0S - BTCUSDT 2023-06-06</t>
        </is>
      </c>
      <c r="H68" s="922" t="inlineStr">
        <is>
          <t>1M 0S - BTCUSDT 2023-07-14</t>
        </is>
      </c>
      <c r="I68" s="922" t="inlineStr">
        <is>
          <t>8M 0S - BTCUSDT 2023-08-02</t>
        </is>
      </c>
      <c r="J68" s="922" t="inlineStr">
        <is>
          <t>2H 16M 43S - CHFJPY 2023-09-11</t>
        </is>
      </c>
      <c r="K68" s="922" t="inlineStr">
        <is>
          <t>2M 36S - USDCAD 2023-10-24</t>
        </is>
      </c>
      <c r="L68" s="922" t="inlineStr"/>
      <c r="M68" s="923" t="inlineStr">
        <is>
          <t>1H 13M 46S - GBPJPY 2023-12-07</t>
        </is>
      </c>
    </row>
    <row r="69" ht="14.5" customHeight="1">
      <c r="A69" s="889" t="inlineStr">
        <is>
          <t>Max duration</t>
        </is>
      </c>
      <c r="B69" s="917" t="inlineStr"/>
      <c r="C69" s="917" t="inlineStr"/>
      <c r="D69" s="917" t="inlineStr">
        <is>
          <t>19H 21M 0S - BTCUSDT 2023-03-10</t>
        </is>
      </c>
      <c r="E69" s="917" t="inlineStr">
        <is>
          <t>2D 0H 53M 0S - ETHUSDT 2023-04-03</t>
        </is>
      </c>
      <c r="F69" s="917" t="inlineStr">
        <is>
          <t>18H 7M 37S - GBPUSD 2023-05-11</t>
        </is>
      </c>
      <c r="G69" s="917" t="inlineStr">
        <is>
          <t>1D 0H 23M 51S - AUDUSD 2023-06-14</t>
        </is>
      </c>
      <c r="H69" s="917" t="inlineStr">
        <is>
          <t>3D 13H 4M 24S - USDJPY 2023-07-17</t>
        </is>
      </c>
      <c r="I69" s="917" t="inlineStr">
        <is>
          <t>4D 21H 17M 12S - USDCAD 2023-08-30</t>
        </is>
      </c>
      <c r="J69" s="917" t="inlineStr">
        <is>
          <t>20H 1M 0S - USDCAD 2023-09-15</t>
        </is>
      </c>
      <c r="K69" s="917" t="inlineStr">
        <is>
          <t>19H 24M 17S - USDCAD 2023-10-05</t>
        </is>
      </c>
      <c r="L69" s="917" t="inlineStr"/>
      <c r="M69" s="918" t="inlineStr">
        <is>
          <t>21H 53M 34S - CADCHF 2023-12-12</t>
        </is>
      </c>
    </row>
    <row r="70" ht="14.5" customHeight="1">
      <c r="A70" s="889" t="inlineStr">
        <is>
          <t>Min Move to Break Even</t>
        </is>
      </c>
      <c r="B70" s="937" t="inlineStr"/>
      <c r="C70" s="937" t="inlineStr"/>
      <c r="D70" s="937" t="inlineStr"/>
      <c r="E70" s="937" t="inlineStr"/>
      <c r="F70" s="937" t="inlineStr"/>
      <c r="G70" s="937" t="inlineStr"/>
      <c r="H70" s="937" t="inlineStr"/>
      <c r="I70" s="937" t="inlineStr"/>
      <c r="J70" s="937" t="inlineStr"/>
      <c r="K70" s="937" t="inlineStr"/>
      <c r="L70" s="937" t="inlineStr"/>
      <c r="M70" s="938" t="inlineStr"/>
    </row>
    <row r="71" ht="14.5" customHeight="1">
      <c r="A71" s="889" t="inlineStr">
        <is>
          <t>Max Move to Break Even</t>
        </is>
      </c>
      <c r="B71" s="661" t="inlineStr"/>
      <c r="C71" s="661" t="inlineStr"/>
      <c r="D71" s="661" t="inlineStr"/>
      <c r="E71" s="661" t="inlineStr"/>
      <c r="F71" s="661" t="inlineStr"/>
      <c r="G71" s="661" t="inlineStr"/>
      <c r="H71" s="661" t="inlineStr"/>
      <c r="I71" s="661" t="inlineStr"/>
      <c r="J71" s="661" t="inlineStr"/>
      <c r="K71" s="661" t="inlineStr"/>
      <c r="L71" s="661" t="inlineStr"/>
      <c r="M71" s="904" t="inlineStr"/>
    </row>
    <row r="72" ht="14.5" customHeight="1">
      <c r="A72" s="889" t="inlineStr">
        <is>
          <t>Min Move to Profit</t>
        </is>
      </c>
      <c r="B72" s="661" t="inlineStr"/>
      <c r="C72" s="661" t="inlineStr"/>
      <c r="D72" s="661" t="inlineStr"/>
      <c r="E72" s="661" t="inlineStr"/>
      <c r="F72" s="661" t="inlineStr"/>
      <c r="G72" s="661" t="inlineStr"/>
      <c r="H72" s="661" t="inlineStr"/>
      <c r="I72" s="661" t="inlineStr"/>
      <c r="J72" s="661" t="inlineStr"/>
      <c r="K72" s="661" t="inlineStr"/>
      <c r="L72" s="661" t="inlineStr"/>
      <c r="M72" s="904" t="inlineStr"/>
    </row>
    <row r="73" ht="14.5" customHeight="1">
      <c r="A73" s="919" t="inlineStr">
        <is>
          <t>Max Move to Profit</t>
        </is>
      </c>
      <c r="B73" s="920" t="inlineStr"/>
      <c r="C73" s="920" t="inlineStr"/>
      <c r="D73" s="920" t="inlineStr"/>
      <c r="E73" s="920" t="inlineStr"/>
      <c r="F73" s="920" t="inlineStr"/>
      <c r="G73" s="920" t="inlineStr"/>
      <c r="H73" s="920" t="inlineStr"/>
      <c r="I73" s="920" t="inlineStr"/>
      <c r="J73" s="920" t="inlineStr"/>
      <c r="K73" s="920" t="inlineStr"/>
      <c r="L73" s="920" t="inlineStr"/>
      <c r="M73" s="921" t="inlineStr"/>
    </row>
    <row r="74" ht="14.5" customHeight="1">
      <c r="A74" s="913" t="inlineStr">
        <is>
          <t>Winners min stop %</t>
        </is>
      </c>
      <c r="B74" s="986" t="inlineStr"/>
      <c r="C74" s="986" t="inlineStr"/>
      <c r="D74" s="949" t="inlineStr">
        <is>
          <t>0.087% - USDCHF 2023-03-10</t>
        </is>
      </c>
      <c r="E74" s="949" t="inlineStr">
        <is>
          <t>1.40% - ETHUSDT 2023-04-03</t>
        </is>
      </c>
      <c r="F74" s="949" t="inlineStr">
        <is>
          <t>0.32% - GBPUSD 2023-05-11</t>
        </is>
      </c>
      <c r="G74" s="949" t="inlineStr">
        <is>
          <t>0.26% - CADCHF 2023-06-13</t>
        </is>
      </c>
      <c r="H74" s="949" t="inlineStr">
        <is>
          <t>0.035% - EURUSD 2023-07-07</t>
        </is>
      </c>
      <c r="I74" s="949" t="inlineStr">
        <is>
          <t>1.27% - ETHUSDT 2023-08-02</t>
        </is>
      </c>
      <c r="J74" s="949" t="inlineStr">
        <is>
          <t>0.11% - USDCAD 2023-09-15</t>
        </is>
      </c>
      <c r="K74" s="986" t="inlineStr"/>
      <c r="L74" s="986" t="inlineStr"/>
      <c r="M74" s="950" t="inlineStr">
        <is>
          <t>0.15% - EURUSD 2023-12-12</t>
        </is>
      </c>
    </row>
    <row r="75" ht="14.5" customHeight="1">
      <c r="A75" s="889" t="inlineStr">
        <is>
          <t>Winners max stop %</t>
        </is>
      </c>
      <c r="B75" s="662" t="inlineStr"/>
      <c r="C75" s="662" t="inlineStr"/>
      <c r="D75" s="661" t="inlineStr">
        <is>
          <t>1.21% - BTCUSDT 2023-03-23</t>
        </is>
      </c>
      <c r="E75" s="661" t="inlineStr">
        <is>
          <t>1.62% - XRPUSDT 2023-04-28</t>
        </is>
      </c>
      <c r="F75" s="661" t="inlineStr">
        <is>
          <t>0.32% - GBPUSD 2023-05-11</t>
        </is>
      </c>
      <c r="G75" s="661" t="inlineStr">
        <is>
          <t>0.79% - XRPUSDT 2023-06-16</t>
        </is>
      </c>
      <c r="H75" s="661" t="inlineStr">
        <is>
          <t>0.61% - XLMUSDT 2023-07-17</t>
        </is>
      </c>
      <c r="I75" s="661" t="inlineStr">
        <is>
          <t>1.27% - ETHUSDT 2023-08-02</t>
        </is>
      </c>
      <c r="J75" s="661" t="inlineStr">
        <is>
          <t>0.17% - CADJPY 2023-09-15</t>
        </is>
      </c>
      <c r="K75" s="662" t="inlineStr"/>
      <c r="L75" s="662" t="inlineStr"/>
      <c r="M75" s="904" t="inlineStr">
        <is>
          <t>0.20% - CADCHF 2023-12-12</t>
        </is>
      </c>
    </row>
    <row r="76" ht="14.5" customHeight="1">
      <c r="A76" s="889" t="inlineStr">
        <is>
          <t>Winners min target %</t>
        </is>
      </c>
      <c r="B76" s="662" t="inlineStr"/>
      <c r="C76" s="662" t="inlineStr"/>
      <c r="D76" s="661" t="inlineStr">
        <is>
          <t>0.18% - USDCHF 2023-03-10</t>
        </is>
      </c>
      <c r="E76" s="661" t="inlineStr">
        <is>
          <t>2.79% - ETHUSDT 2023-04-03</t>
        </is>
      </c>
      <c r="F76" s="661" t="inlineStr">
        <is>
          <t>0.66% - GBPUSD 2023-05-11</t>
        </is>
      </c>
      <c r="G76" s="661" t="inlineStr">
        <is>
          <t>0.53% - CADCHF 2023-06-13</t>
        </is>
      </c>
      <c r="H76" s="661" t="inlineStr">
        <is>
          <t>0.078% - EURUSD 2023-07-07</t>
        </is>
      </c>
      <c r="I76" s="661" t="inlineStr">
        <is>
          <t>2.54% - ETHUSDT 2023-08-02</t>
        </is>
      </c>
      <c r="J76" s="661" t="inlineStr">
        <is>
          <t>0.23% - USDCAD 2023-09-15</t>
        </is>
      </c>
      <c r="K76" s="662" t="inlineStr"/>
      <c r="L76" s="662" t="inlineStr"/>
      <c r="M76" s="904" t="inlineStr">
        <is>
          <t>0.30% - EURUSD 2023-12-12</t>
        </is>
      </c>
    </row>
    <row r="77" ht="14.5" customHeight="1">
      <c r="A77" s="889" t="inlineStr">
        <is>
          <t>Winners max target %</t>
        </is>
      </c>
      <c r="B77" s="894" t="inlineStr"/>
      <c r="C77" s="894" t="inlineStr"/>
      <c r="D77" s="917" t="inlineStr">
        <is>
          <t>2.42% - BTCUSDT 2023-03-23</t>
        </is>
      </c>
      <c r="E77" s="917" t="inlineStr">
        <is>
          <t>3.24% - XRPUSDT 2023-04-28</t>
        </is>
      </c>
      <c r="F77" s="917" t="inlineStr">
        <is>
          <t>0.66% - GBPUSD 2023-05-11</t>
        </is>
      </c>
      <c r="G77" s="917" t="inlineStr">
        <is>
          <t>1.58% - XRPUSDT 2023-06-16</t>
        </is>
      </c>
      <c r="H77" s="917" t="inlineStr">
        <is>
          <t>1.22% - XLMUSDT 2023-07-17</t>
        </is>
      </c>
      <c r="I77" s="917" t="inlineStr">
        <is>
          <t>2.54% - ETHUSDT 2023-08-02</t>
        </is>
      </c>
      <c r="J77" s="917" t="inlineStr">
        <is>
          <t>0.43% - CADJPY 2023-09-15</t>
        </is>
      </c>
      <c r="K77" s="894" t="inlineStr"/>
      <c r="L77" s="894" t="inlineStr"/>
      <c r="M77" s="918" t="inlineStr">
        <is>
          <t>0.40% - CADCHF 2023-12-12</t>
        </is>
      </c>
    </row>
    <row r="78" ht="14.5" customHeight="1">
      <c r="A78" s="889" t="inlineStr">
        <is>
          <t>Winners min result %</t>
        </is>
      </c>
      <c r="B78" s="894" t="inlineStr"/>
      <c r="C78" s="894" t="inlineStr"/>
      <c r="D78" s="951" t="inlineStr">
        <is>
          <t>1.85% - BTCUSDT 2023-03-23</t>
        </is>
      </c>
      <c r="E78" s="951" t="inlineStr">
        <is>
          <t>1.83% - ETHUSDT 2023-04-03</t>
        </is>
      </c>
      <c r="F78" s="951" t="inlineStr">
        <is>
          <t>2.01% - GBPUSD 2023-05-11</t>
        </is>
      </c>
      <c r="G78" s="951" t="inlineStr">
        <is>
          <t>1.88% - XRPUSDT 2023-06-16</t>
        </is>
      </c>
      <c r="H78" s="951" t="inlineStr">
        <is>
          <t>1.82% - XLMUSDT 2023-07-17</t>
        </is>
      </c>
      <c r="I78" s="951" t="inlineStr">
        <is>
          <t>1.88% - ETHUSDT 2023-08-02</t>
        </is>
      </c>
      <c r="J78" s="951" t="inlineStr">
        <is>
          <t>0.38% - CADJPY 2023-09-15</t>
        </is>
      </c>
      <c r="K78" s="894" t="inlineStr"/>
      <c r="L78" s="894" t="inlineStr"/>
      <c r="M78" s="952" t="inlineStr">
        <is>
          <t>0.65% - EURUSD 2023-12-12</t>
        </is>
      </c>
    </row>
    <row r="79" ht="14.5" customHeight="1">
      <c r="A79" s="889" t="inlineStr">
        <is>
          <t>Winners max result %</t>
        </is>
      </c>
      <c r="B79" s="894" t="inlineStr"/>
      <c r="C79" s="894" t="inlineStr"/>
      <c r="D79" s="951" t="inlineStr">
        <is>
          <t>1.95% - USDCHF 2023-03-10</t>
        </is>
      </c>
      <c r="E79" s="951" t="inlineStr">
        <is>
          <t>1.96% - XRPUSDT 2023-04-28</t>
        </is>
      </c>
      <c r="F79" s="951" t="inlineStr">
        <is>
          <t>2.01% - GBPUSD 2023-05-11</t>
        </is>
      </c>
      <c r="G79" s="951" t="inlineStr">
        <is>
          <t>1.94% - CADCHF 2023-06-13</t>
        </is>
      </c>
      <c r="H79" s="951" t="inlineStr">
        <is>
          <t>2.07% - EURUSD 2023-07-07</t>
        </is>
      </c>
      <c r="I79" s="951" t="inlineStr">
        <is>
          <t>1.93% - USDCAD 2023-08-30</t>
        </is>
      </c>
      <c r="J79" s="951" t="inlineStr">
        <is>
          <t>2.00% - USDCAD 2023-09-15</t>
        </is>
      </c>
      <c r="K79" s="894" t="inlineStr"/>
      <c r="L79" s="894" t="inlineStr"/>
      <c r="M79" s="952" t="inlineStr">
        <is>
          <t>1.95% - CADCHF 2023-12-12</t>
        </is>
      </c>
    </row>
    <row r="80" ht="14.5" customHeight="1">
      <c r="A80" s="889" t="inlineStr">
        <is>
          <t>Winners min R</t>
        </is>
      </c>
      <c r="B80" s="984" t="inlineStr"/>
      <c r="C80" s="984" t="inlineStr"/>
      <c r="D80" s="951" t="inlineStr">
        <is>
          <t>1.99R - BTCUSDT 2023-03-28</t>
        </is>
      </c>
      <c r="E80" s="951" t="inlineStr">
        <is>
          <t>2.00R - ETHUSDT 2023-04-03</t>
        </is>
      </c>
      <c r="F80" s="951" t="inlineStr">
        <is>
          <t>2.07R - GBPUSD 2023-05-11</t>
        </is>
      </c>
      <c r="G80" s="951" t="inlineStr">
        <is>
          <t>1.97R - XRPUSDT 2023-06-16</t>
        </is>
      </c>
      <c r="H80" s="951" t="inlineStr">
        <is>
          <t>1.94R - XLMUSDT 2023-07-17</t>
        </is>
      </c>
      <c r="I80" s="951" t="inlineStr">
        <is>
          <t>2.00R - ETHUSDT 2023-08-02</t>
        </is>
      </c>
      <c r="J80" s="951" t="inlineStr">
        <is>
          <t>0.43R - CADJPY 2023-09-15</t>
        </is>
      </c>
      <c r="K80" s="984" t="inlineStr"/>
      <c r="L80" s="984" t="inlineStr"/>
      <c r="M80" s="952" t="inlineStr">
        <is>
          <t>2.04R - EURUSD 2023-12-12</t>
        </is>
      </c>
    </row>
    <row r="81" ht="14.5" customHeight="1">
      <c r="A81" s="919" t="inlineStr">
        <is>
          <t>Winners max R</t>
        </is>
      </c>
      <c r="B81" s="980" t="inlineStr"/>
      <c r="C81" s="980" t="inlineStr"/>
      <c r="D81" s="929" t="inlineStr">
        <is>
          <t>2.07R - USDCHF 2023-03-10</t>
        </is>
      </c>
      <c r="E81" s="929" t="inlineStr">
        <is>
          <t>2.00R - XRPUSDT 2023-04-28</t>
        </is>
      </c>
      <c r="F81" s="929" t="inlineStr">
        <is>
          <t>2.07R - GBPUSD 2023-05-11</t>
        </is>
      </c>
      <c r="G81" s="929" t="inlineStr">
        <is>
          <t>2.02R - CADCHF 2023-06-13</t>
        </is>
      </c>
      <c r="H81" s="929" t="inlineStr">
        <is>
          <t>2.26R - EURUSD 2023-07-07</t>
        </is>
      </c>
      <c r="I81" s="929" t="inlineStr">
        <is>
          <t>2.00R - ETHUSDT 2023-08-02</t>
        </is>
      </c>
      <c r="J81" s="929" t="inlineStr">
        <is>
          <t>2.08R - USDCAD 2023-09-15</t>
        </is>
      </c>
      <c r="K81" s="980" t="inlineStr"/>
      <c r="L81" s="980" t="inlineStr"/>
      <c r="M81" s="930" t="inlineStr">
        <is>
          <t>2.05R - CADCHF 2023-12-12</t>
        </is>
      </c>
    </row>
    <row r="82" ht="14.5" customHeight="1">
      <c r="A82" s="913" t="inlineStr">
        <is>
          <t>Losers min stop %</t>
        </is>
      </c>
      <c r="B82" s="915" t="inlineStr"/>
      <c r="C82" s="915" t="inlineStr"/>
      <c r="D82" s="922" t="inlineStr">
        <is>
          <t>0.17% - EURUSD 2023-03-21</t>
        </is>
      </c>
      <c r="E82" s="922" t="inlineStr">
        <is>
          <t>0.068% - AUDCHF 2023-04-11</t>
        </is>
      </c>
      <c r="F82" s="922" t="inlineStr">
        <is>
          <t>0.30% - GBPNZD 2023-05-31</t>
        </is>
      </c>
      <c r="G82" s="922" t="inlineStr">
        <is>
          <t>0.22% - CADCHF 2023-06-08</t>
        </is>
      </c>
      <c r="H82" s="922" t="inlineStr">
        <is>
          <t>0.057% - USDCAD 2023-07-05</t>
        </is>
      </c>
      <c r="I82" s="922" t="inlineStr">
        <is>
          <t>0.048% - CHFJPY 2023-08-18</t>
        </is>
      </c>
      <c r="J82" s="915" t="inlineStr"/>
      <c r="K82" s="922" t="inlineStr">
        <is>
          <t>0.057% - NZDUSD 2023-10-24</t>
        </is>
      </c>
      <c r="L82" s="915" t="inlineStr"/>
      <c r="M82" s="923" t="inlineStr">
        <is>
          <t>0.16% - GBPJPY 2023-12-07</t>
        </is>
      </c>
    </row>
    <row r="83" ht="14.5" customHeight="1">
      <c r="A83" s="889" t="inlineStr">
        <is>
          <t>Losers max stop %</t>
        </is>
      </c>
      <c r="B83" s="894" t="inlineStr"/>
      <c r="C83" s="894" t="inlineStr"/>
      <c r="D83" s="917" t="inlineStr">
        <is>
          <t>1.63% - BTCUSDT 2023-03-10</t>
        </is>
      </c>
      <c r="E83" s="917" t="inlineStr">
        <is>
          <t>0.74% - BTCUSDT 2023-04-26</t>
        </is>
      </c>
      <c r="F83" s="917" t="inlineStr">
        <is>
          <t>0.30% - GBPNZD 2023-05-31</t>
        </is>
      </c>
      <c r="G83" s="917" t="inlineStr">
        <is>
          <t>2.21% - XRPUSDT 2023-06-13</t>
        </is>
      </c>
      <c r="H83" s="917" t="inlineStr">
        <is>
          <t>7.81% - SOLUSDT 2023-07-14</t>
        </is>
      </c>
      <c r="I83" s="917" t="inlineStr">
        <is>
          <t>0.26% - BTCUSDT 2023-08-02</t>
        </is>
      </c>
      <c r="J83" s="894" t="inlineStr"/>
      <c r="K83" s="917" t="inlineStr">
        <is>
          <t>0.35% - USDCAD 2023-10-05</t>
        </is>
      </c>
      <c r="L83" s="894" t="inlineStr"/>
      <c r="M83" s="918" t="inlineStr">
        <is>
          <t>1.12% - USDJPY 2023-12-08</t>
        </is>
      </c>
    </row>
    <row r="84" ht="14.5" customHeight="1">
      <c r="A84" s="889" t="inlineStr">
        <is>
          <t>Losers min target %</t>
        </is>
      </c>
      <c r="B84" s="894" t="inlineStr"/>
      <c r="C84" s="894" t="inlineStr"/>
      <c r="D84" s="917" t="inlineStr">
        <is>
          <t>0.35% - EURUSD 2023-03-21</t>
        </is>
      </c>
      <c r="E84" s="917" t="inlineStr">
        <is>
          <t>0.13% - AUDCHF 2023-04-11</t>
        </is>
      </c>
      <c r="F84" s="917" t="inlineStr">
        <is>
          <t>0.61% - GBPNZD 2023-05-31</t>
        </is>
      </c>
      <c r="G84" s="917" t="inlineStr">
        <is>
          <t>0.44% - CADCHF 2023-06-08</t>
        </is>
      </c>
      <c r="H84" s="917" t="inlineStr">
        <is>
          <t>0.12% - USDCAD 2023-07-05</t>
        </is>
      </c>
      <c r="I84" s="917" t="inlineStr">
        <is>
          <t>0.097% - CHFJPY 2023-08-18</t>
        </is>
      </c>
      <c r="J84" s="894" t="inlineStr"/>
      <c r="K84" s="917" t="inlineStr">
        <is>
          <t>0.11% - USDCAD 2023-10-24</t>
        </is>
      </c>
      <c r="L84" s="894" t="inlineStr"/>
      <c r="M84" s="918" t="inlineStr">
        <is>
          <t>0.34% - GBPJPY 2023-12-07</t>
        </is>
      </c>
    </row>
    <row r="85" ht="14.5" customHeight="1">
      <c r="A85" s="889" t="inlineStr">
        <is>
          <t>Losers max target %</t>
        </is>
      </c>
      <c r="B85" s="894" t="inlineStr"/>
      <c r="C85" s="894" t="inlineStr"/>
      <c r="D85" s="917" t="inlineStr">
        <is>
          <t>3.26% - BTCUSDT 2023-03-10</t>
        </is>
      </c>
      <c r="E85" s="917" t="inlineStr">
        <is>
          <t>1.49% - BTCUSDT 2023-04-26</t>
        </is>
      </c>
      <c r="F85" s="917" t="inlineStr">
        <is>
          <t>0.61% - GBPNZD 2023-05-31</t>
        </is>
      </c>
      <c r="G85" s="917" t="inlineStr">
        <is>
          <t>4.43% - XRPUSDT 2023-06-13</t>
        </is>
      </c>
      <c r="H85" s="917" t="inlineStr">
        <is>
          <t>15.63% - SOLUSDT 2023-07-14</t>
        </is>
      </c>
      <c r="I85" s="917" t="inlineStr">
        <is>
          <t>0.53% - BTCUSDT 2023-08-02</t>
        </is>
      </c>
      <c r="J85" s="894" t="inlineStr"/>
      <c r="K85" s="917" t="inlineStr">
        <is>
          <t>0.70% - USDCAD 2023-10-05</t>
        </is>
      </c>
      <c r="L85" s="894" t="inlineStr"/>
      <c r="M85" s="918" t="inlineStr">
        <is>
          <t>1.89% - USDJPY 2023-12-08</t>
        </is>
      </c>
    </row>
    <row r="86" ht="14.5" customHeight="1">
      <c r="A86" s="889" t="inlineStr">
        <is>
          <t>Losers min result %</t>
        </is>
      </c>
      <c r="B86" s="894" t="inlineStr"/>
      <c r="C86" s="894" t="inlineStr"/>
      <c r="D86" s="927" t="inlineStr">
        <is>
          <t>-1.00% - GBPJPY 2023-03-30</t>
        </is>
      </c>
      <c r="E86" s="927" t="inlineStr">
        <is>
          <t>-0.48% - USDJPY 2023-04-12</t>
        </is>
      </c>
      <c r="F86" s="927" t="inlineStr">
        <is>
          <t>-0.99% - GBPNZD 2023-05-31</t>
        </is>
      </c>
      <c r="G86" s="927" t="inlineStr">
        <is>
          <t>-0.24% - AUDUSD 2023-06-14</t>
        </is>
      </c>
      <c r="H86" s="927" t="inlineStr">
        <is>
          <t>-0.94% - USDCHF 2023-07-26</t>
        </is>
      </c>
      <c r="I86" s="927" t="inlineStr">
        <is>
          <t>-0.99% - CHFJPY 2023-08-08</t>
        </is>
      </c>
      <c r="J86" s="927" t="inlineStr">
        <is>
          <t>-1.04% - GBPNZD 2023-09-14</t>
        </is>
      </c>
      <c r="K86" s="927" t="inlineStr">
        <is>
          <t>-0.31% - USDCHF 2023-10-25</t>
        </is>
      </c>
      <c r="L86" s="894" t="inlineStr"/>
      <c r="M86" s="928" t="inlineStr">
        <is>
          <t>-0.99% - GBPJPY 2023-12-07</t>
        </is>
      </c>
    </row>
    <row r="87" ht="14.5" customHeight="1">
      <c r="A87" s="889" t="inlineStr">
        <is>
          <t>Losers max result %</t>
        </is>
      </c>
      <c r="B87" s="894" t="inlineStr"/>
      <c r="C87" s="894" t="inlineStr"/>
      <c r="D87" s="927" t="inlineStr">
        <is>
          <t>-1.08% - BTCUSDT 2023-03-10</t>
        </is>
      </c>
      <c r="E87" s="927" t="inlineStr">
        <is>
          <t>-1.07% - BTCUSDT 2023-04-26</t>
        </is>
      </c>
      <c r="F87" s="927" t="inlineStr">
        <is>
          <t>-0.99% - GBPNZD 2023-05-31</t>
        </is>
      </c>
      <c r="G87" s="927" t="inlineStr">
        <is>
          <t>-1.23% - XRPUSDT 2023-06-21</t>
        </is>
      </c>
      <c r="H87" s="927" t="inlineStr">
        <is>
          <t>-1.12% - BTCUSDT 2023-07-14</t>
        </is>
      </c>
      <c r="I87" s="927" t="inlineStr">
        <is>
          <t>-1.24% - BTCUSDT 2023-08-02</t>
        </is>
      </c>
      <c r="J87" s="927" t="inlineStr">
        <is>
          <t>-1.04% - GBPNZD 2023-09-14</t>
        </is>
      </c>
      <c r="K87" s="927" t="inlineStr">
        <is>
          <t>-1.00% - USDCAD 2023-10-05</t>
        </is>
      </c>
      <c r="L87" s="894" t="inlineStr"/>
      <c r="M87" s="928" t="inlineStr">
        <is>
          <t>-1.03% - USDJPY 2023-12-08</t>
        </is>
      </c>
    </row>
    <row r="88" ht="14.5" customHeight="1">
      <c r="A88" s="889" t="inlineStr">
        <is>
          <t>Losers min R</t>
        </is>
      </c>
      <c r="B88" s="984" t="inlineStr"/>
      <c r="C88" s="984" t="inlineStr"/>
      <c r="D88" s="927" t="inlineStr">
        <is>
          <t>-1.00R - GBPJPY 2023-03-30</t>
        </is>
      </c>
      <c r="E88" s="927" t="inlineStr">
        <is>
          <t>-0.42R - USDJPY 2023-04-12</t>
        </is>
      </c>
      <c r="F88" s="927" t="inlineStr">
        <is>
          <t>-1.00R - GBPNZD 2023-05-31</t>
        </is>
      </c>
      <c r="G88" s="927" t="inlineStr">
        <is>
          <t>-0.25R - AUDUSD 2023-06-14</t>
        </is>
      </c>
      <c r="H88" s="927" t="inlineStr">
        <is>
          <t>-0.98R - SOLUSDT 2023-07-14</t>
        </is>
      </c>
      <c r="I88" s="927" t="inlineStr">
        <is>
          <t>-1.00R - BTCUSDT 2023-08-02</t>
        </is>
      </c>
      <c r="J88" s="984" t="inlineStr"/>
      <c r="K88" s="927" t="inlineStr">
        <is>
          <t>-0.91R - NZDUSD 2023-10-24</t>
        </is>
      </c>
      <c r="L88" s="984" t="inlineStr"/>
      <c r="M88" s="928" t="inlineStr">
        <is>
          <t>-0.90R - USDJPY 2023-12-08</t>
        </is>
      </c>
    </row>
    <row r="89" ht="14.5" customHeight="1">
      <c r="A89" s="919" t="inlineStr">
        <is>
          <t>Losers max R</t>
        </is>
      </c>
      <c r="B89" s="980" t="inlineStr"/>
      <c r="C89" s="980" t="inlineStr"/>
      <c r="D89" s="953" t="inlineStr">
        <is>
          <t>-1.06R - AUDUSD 2023-03-13</t>
        </is>
      </c>
      <c r="E89" s="953" t="inlineStr">
        <is>
          <t>-1.14R - AUDCHF 2023-04-11</t>
        </is>
      </c>
      <c r="F89" s="953" t="inlineStr">
        <is>
          <t>-1.00R - GBPNZD 2023-05-31</t>
        </is>
      </c>
      <c r="G89" s="953" t="inlineStr">
        <is>
          <t>-1.13R - XRPUSDT 2023-06-21</t>
        </is>
      </c>
      <c r="H89" s="953" t="inlineStr">
        <is>
          <t>-1.17R - BTCUSDT 2023-07-14</t>
        </is>
      </c>
      <c r="I89" s="953" t="inlineStr">
        <is>
          <t>-1.01R - CHFJPY 2023-08-18</t>
        </is>
      </c>
      <c r="J89" s="980" t="inlineStr"/>
      <c r="K89" s="953" t="inlineStr">
        <is>
          <t>-1.05R - USDCHF 2023-10-25</t>
        </is>
      </c>
      <c r="L89" s="980" t="inlineStr"/>
      <c r="M89" s="954" t="inlineStr">
        <is>
          <t>-1.00R - GBPJPY 2023-12-07</t>
        </is>
      </c>
    </row>
    <row r="90" ht="14.5" customHeight="1">
      <c r="A90" s="924" t="inlineStr">
        <is>
          <t>Patterns</t>
        </is>
      </c>
      <c r="B90" s="922" t="inlineStr"/>
      <c r="C90" s="922" t="inlineStr"/>
      <c r="D90" s="922" t="inlineStr"/>
      <c r="E90" s="922" t="inlineStr"/>
      <c r="F90" s="922" t="inlineStr"/>
      <c r="G90" s="922" t="inlineStr"/>
      <c r="H90" s="922" t="inlineStr"/>
      <c r="I90" s="922" t="inlineStr"/>
      <c r="J90" s="922" t="inlineStr"/>
      <c r="K90" s="922" t="inlineStr"/>
      <c r="L90" s="922" t="inlineStr"/>
      <c r="M90" s="923" t="inlineStr"/>
    </row>
    <row r="91" ht="14.5" customHeight="1">
      <c r="A91" s="886" t="inlineStr">
        <is>
          <t>Most Traded</t>
        </is>
      </c>
      <c r="B91" s="917" t="inlineStr"/>
      <c r="C91" s="917" t="inlineStr"/>
      <c r="D91" s="917" t="inlineStr"/>
      <c r="E91" s="917" t="inlineStr"/>
      <c r="F91" s="917" t="inlineStr"/>
      <c r="G91" s="917" t="inlineStr"/>
      <c r="H91" s="917" t="inlineStr"/>
      <c r="I91" s="917" t="inlineStr"/>
      <c r="J91" s="917" t="inlineStr"/>
      <c r="K91" s="917" t="inlineStr"/>
      <c r="L91" s="917" t="inlineStr"/>
      <c r="M91" s="918" t="inlineStr">
        <is>
          <t>range</t>
        </is>
      </c>
    </row>
    <row r="92" ht="14.5" customHeight="1">
      <c r="A92" s="886" t="inlineStr">
        <is>
          <t>Least Traded</t>
        </is>
      </c>
      <c r="B92" s="661" t="inlineStr"/>
      <c r="C92" s="661" t="inlineStr"/>
      <c r="D92" s="661" t="inlineStr"/>
      <c r="E92" s="661" t="inlineStr"/>
      <c r="F92" s="661" t="inlineStr"/>
      <c r="G92" s="661" t="inlineStr"/>
      <c r="H92" s="661" t="inlineStr"/>
      <c r="I92" s="661" t="inlineStr"/>
      <c r="J92" s="661" t="inlineStr"/>
      <c r="K92" s="661" t="inlineStr"/>
      <c r="L92" s="661" t="inlineStr"/>
      <c r="M92" s="904" t="inlineStr">
        <is>
          <t>channel</t>
        </is>
      </c>
    </row>
    <row r="93" ht="14.5" customHeight="1">
      <c r="A93" s="886" t="inlineStr">
        <is>
          <t>Most Profitable</t>
        </is>
      </c>
      <c r="B93" s="661" t="inlineStr"/>
      <c r="C93" s="661" t="inlineStr"/>
      <c r="D93" s="661" t="inlineStr"/>
      <c r="E93" s="661" t="inlineStr"/>
      <c r="F93" s="661" t="inlineStr"/>
      <c r="G93" s="661" t="inlineStr"/>
      <c r="H93" s="661" t="inlineStr"/>
      <c r="I93" s="661" t="inlineStr"/>
      <c r="J93" s="661" t="inlineStr"/>
      <c r="K93" s="661" t="inlineStr"/>
      <c r="L93" s="661" t="inlineStr"/>
      <c r="M93" s="904" t="inlineStr">
        <is>
          <t>range</t>
        </is>
      </c>
    </row>
    <row r="94" ht="14.5" customHeight="1">
      <c r="A94" s="907" t="inlineStr">
        <is>
          <t>Least Profitable</t>
        </is>
      </c>
      <c r="B94" s="669" t="inlineStr"/>
      <c r="C94" s="669" t="inlineStr"/>
      <c r="D94" s="669" t="inlineStr"/>
      <c r="E94" s="669" t="inlineStr"/>
      <c r="F94" s="669" t="inlineStr"/>
      <c r="G94" s="669" t="inlineStr"/>
      <c r="H94" s="669" t="inlineStr"/>
      <c r="I94" s="669" t="inlineStr"/>
      <c r="J94" s="669" t="inlineStr"/>
      <c r="K94" s="669" t="inlineStr"/>
      <c r="L94" s="669" t="inlineStr"/>
      <c r="M94" s="955" t="inlineStr">
        <is>
          <t>channel</t>
        </is>
      </c>
    </row>
    <row r="95" ht="14.5" customHeight="1">
      <c r="A95" s="924" t="inlineStr">
        <is>
          <t>Timeframe</t>
        </is>
      </c>
      <c r="B95" s="931" t="inlineStr"/>
      <c r="C95" s="931" t="inlineStr"/>
      <c r="D95" s="931" t="inlineStr"/>
      <c r="E95" s="931" t="inlineStr"/>
      <c r="F95" s="931" t="inlineStr"/>
      <c r="G95" s="931" t="inlineStr"/>
      <c r="H95" s="931" t="inlineStr"/>
      <c r="I95" s="931" t="inlineStr"/>
      <c r="J95" s="931" t="inlineStr"/>
      <c r="K95" s="931" t="inlineStr"/>
      <c r="L95" s="931" t="inlineStr"/>
      <c r="M95" s="932" t="inlineStr"/>
    </row>
    <row r="96" ht="14.5" customHeight="1">
      <c r="A96" s="886" t="inlineStr">
        <is>
          <t>1MIN</t>
        </is>
      </c>
      <c r="B96" s="887" t="n">
        <v>0</v>
      </c>
      <c r="C96" s="887" t="n">
        <v>0</v>
      </c>
      <c r="D96" s="887" t="n">
        <v>0</v>
      </c>
      <c r="E96" s="887" t="n">
        <v>0</v>
      </c>
      <c r="F96" s="887" t="n">
        <v>0</v>
      </c>
      <c r="G96" s="887" t="n">
        <v>0</v>
      </c>
      <c r="H96" s="887" t="n">
        <v>0</v>
      </c>
      <c r="I96" s="887" t="n">
        <v>0</v>
      </c>
      <c r="J96" s="887" t="n">
        <v>0</v>
      </c>
      <c r="K96" s="887" t="n">
        <v>0</v>
      </c>
      <c r="L96" s="887" t="n">
        <v>0</v>
      </c>
      <c r="M96" s="888" t="n">
        <v>0</v>
      </c>
    </row>
    <row r="97" ht="14.5" customHeight="1">
      <c r="A97" s="886" t="inlineStr">
        <is>
          <t>5MIN</t>
        </is>
      </c>
      <c r="B97" s="887" t="n">
        <v>0</v>
      </c>
      <c r="C97" s="887" t="n">
        <v>0</v>
      </c>
      <c r="D97" s="887" t="n">
        <v>0</v>
      </c>
      <c r="E97" s="887" t="n">
        <v>0</v>
      </c>
      <c r="F97" s="887" t="n">
        <v>0</v>
      </c>
      <c r="G97" s="887" t="n">
        <v>0</v>
      </c>
      <c r="H97" s="887" t="n">
        <v>0</v>
      </c>
      <c r="I97" s="887" t="n">
        <v>0</v>
      </c>
      <c r="J97" s="887" t="n">
        <v>0</v>
      </c>
      <c r="K97" s="887" t="n">
        <v>0</v>
      </c>
      <c r="L97" s="887" t="n">
        <v>0</v>
      </c>
      <c r="M97" s="888" t="n">
        <v>0</v>
      </c>
    </row>
    <row r="98" ht="14.5" customHeight="1">
      <c r="A98" s="886" t="inlineStr">
        <is>
          <t>15MIN</t>
        </is>
      </c>
      <c r="B98" s="887" t="n">
        <v>0</v>
      </c>
      <c r="C98" s="887" t="n">
        <v>0</v>
      </c>
      <c r="D98" s="887" t="n">
        <v>0</v>
      </c>
      <c r="E98" s="887" t="n">
        <v>0</v>
      </c>
      <c r="F98" s="887" t="n">
        <v>0</v>
      </c>
      <c r="G98" s="887" t="n">
        <v>0</v>
      </c>
      <c r="H98" s="887" t="n">
        <v>3</v>
      </c>
      <c r="I98" s="887" t="n">
        <v>0</v>
      </c>
      <c r="J98" s="887" t="n">
        <v>0</v>
      </c>
      <c r="K98" s="887" t="n">
        <v>1</v>
      </c>
      <c r="L98" s="887" t="n">
        <v>0</v>
      </c>
      <c r="M98" s="888" t="n">
        <v>0</v>
      </c>
    </row>
    <row r="99" ht="14.5" customHeight="1">
      <c r="A99" s="886" t="inlineStr">
        <is>
          <t>30MIN</t>
        </is>
      </c>
      <c r="B99" s="887" t="n">
        <v>0</v>
      </c>
      <c r="C99" s="887" t="n">
        <v>0</v>
      </c>
      <c r="D99" s="887" t="n">
        <v>0</v>
      </c>
      <c r="E99" s="887" t="n">
        <v>0</v>
      </c>
      <c r="F99" s="887" t="n">
        <v>0</v>
      </c>
      <c r="G99" s="887" t="n">
        <v>0</v>
      </c>
      <c r="H99" s="887" t="n">
        <v>0</v>
      </c>
      <c r="I99" s="887" t="n">
        <v>0</v>
      </c>
      <c r="J99" s="887" t="n">
        <v>0</v>
      </c>
      <c r="K99" s="887" t="n">
        <v>0</v>
      </c>
      <c r="L99" s="887" t="n">
        <v>0</v>
      </c>
      <c r="M99" s="888" t="n">
        <v>0</v>
      </c>
    </row>
    <row r="100" ht="14.5" customHeight="1">
      <c r="A100" s="886" t="inlineStr">
        <is>
          <t>1H</t>
        </is>
      </c>
      <c r="B100" s="887" t="n">
        <v>0</v>
      </c>
      <c r="C100" s="887" t="n">
        <v>0</v>
      </c>
      <c r="D100" s="887" t="n">
        <v>1</v>
      </c>
      <c r="E100" s="887" t="n">
        <v>2</v>
      </c>
      <c r="F100" s="887" t="n">
        <v>0</v>
      </c>
      <c r="G100" s="887" t="n">
        <v>3</v>
      </c>
      <c r="H100" s="887" t="n">
        <v>6</v>
      </c>
      <c r="I100" s="887" t="n">
        <v>3</v>
      </c>
      <c r="J100" s="887" t="n">
        <v>0</v>
      </c>
      <c r="K100" s="887" t="n">
        <v>2</v>
      </c>
      <c r="L100" s="887" t="n">
        <v>0</v>
      </c>
      <c r="M100" s="888" t="n">
        <v>0</v>
      </c>
    </row>
    <row r="101" ht="14.5" customHeight="1">
      <c r="A101" s="886" t="inlineStr">
        <is>
          <t>4H</t>
        </is>
      </c>
      <c r="B101" s="887" t="n">
        <v>0</v>
      </c>
      <c r="C101" s="887" t="n">
        <v>0</v>
      </c>
      <c r="D101" s="887" t="n">
        <v>5</v>
      </c>
      <c r="E101" s="887" t="n">
        <v>3</v>
      </c>
      <c r="F101" s="887" t="n">
        <v>0</v>
      </c>
      <c r="G101" s="887" t="n">
        <v>1</v>
      </c>
      <c r="H101" s="887" t="n">
        <v>2</v>
      </c>
      <c r="I101" s="887" t="n">
        <v>4</v>
      </c>
      <c r="J101" s="887" t="n">
        <v>2</v>
      </c>
      <c r="K101" s="887" t="n">
        <v>0</v>
      </c>
      <c r="L101" s="887" t="n">
        <v>0</v>
      </c>
      <c r="M101" s="888" t="n">
        <v>3</v>
      </c>
    </row>
    <row r="102" ht="14.5" customHeight="1">
      <c r="A102" s="886" t="inlineStr">
        <is>
          <t>DAILY</t>
        </is>
      </c>
      <c r="B102" s="887" t="n">
        <v>0</v>
      </c>
      <c r="C102" s="887" t="n">
        <v>0</v>
      </c>
      <c r="D102" s="887" t="n">
        <v>1</v>
      </c>
      <c r="E102" s="887" t="n">
        <v>2</v>
      </c>
      <c r="F102" s="887" t="n">
        <v>0</v>
      </c>
      <c r="G102" s="887" t="n">
        <v>4</v>
      </c>
      <c r="H102" s="887" t="n">
        <v>3</v>
      </c>
      <c r="I102" s="887" t="n">
        <v>1</v>
      </c>
      <c r="J102" s="887" t="n">
        <v>1</v>
      </c>
      <c r="K102" s="887" t="n">
        <v>0</v>
      </c>
      <c r="L102" s="887" t="n">
        <v>0</v>
      </c>
      <c r="M102" s="888" t="n">
        <v>0</v>
      </c>
    </row>
    <row r="103" ht="14.5" customHeight="1">
      <c r="A103" s="886" t="inlineStr">
        <is>
          <t>WEEKLY</t>
        </is>
      </c>
      <c r="B103" s="887" t="n">
        <v>0</v>
      </c>
      <c r="C103" s="887" t="n">
        <v>0</v>
      </c>
      <c r="D103" s="887" t="n">
        <v>0</v>
      </c>
      <c r="E103" s="887" t="n">
        <v>0</v>
      </c>
      <c r="F103" s="887" t="n">
        <v>2</v>
      </c>
      <c r="G103" s="887" t="n">
        <v>1</v>
      </c>
      <c r="H103" s="887" t="n">
        <v>1</v>
      </c>
      <c r="I103" s="887" t="n">
        <v>0</v>
      </c>
      <c r="J103" s="887" t="n">
        <v>1</v>
      </c>
      <c r="K103" s="887" t="n">
        <v>1</v>
      </c>
      <c r="L103" s="887" t="n">
        <v>0</v>
      </c>
      <c r="M103" s="888" t="n">
        <v>1</v>
      </c>
    </row>
    <row r="104" ht="14.5" customHeight="1">
      <c r="A104" s="907" t="inlineStr">
        <is>
          <t>MONTHLY</t>
        </is>
      </c>
      <c r="B104" s="947" t="n">
        <v>0</v>
      </c>
      <c r="C104" s="947" t="n">
        <v>0</v>
      </c>
      <c r="D104" s="947" t="n">
        <v>0</v>
      </c>
      <c r="E104" s="947" t="n">
        <v>0</v>
      </c>
      <c r="F104" s="947" t="n">
        <v>0</v>
      </c>
      <c r="G104" s="947" t="n">
        <v>0</v>
      </c>
      <c r="H104" s="947" t="n">
        <v>0</v>
      </c>
      <c r="I104" s="947" t="n">
        <v>0</v>
      </c>
      <c r="J104" s="947" t="n">
        <v>0</v>
      </c>
      <c r="K104" s="947" t="n">
        <v>0</v>
      </c>
      <c r="L104" s="947" t="n">
        <v>0</v>
      </c>
      <c r="M104" s="948" t="n">
        <v>0</v>
      </c>
    </row>
    <row r="105" ht="14.5" customHeight="1">
      <c r="A105" s="924" t="inlineStr">
        <is>
          <t>Commission</t>
        </is>
      </c>
      <c r="B105" s="931" t="inlineStr"/>
      <c r="C105" s="931" t="inlineStr"/>
      <c r="D105" s="931" t="inlineStr"/>
      <c r="E105" s="931" t="inlineStr"/>
      <c r="F105" s="931" t="inlineStr"/>
      <c r="G105" s="931" t="inlineStr"/>
      <c r="H105" s="931" t="inlineStr"/>
      <c r="I105" s="931" t="inlineStr"/>
      <c r="J105" s="931" t="inlineStr"/>
      <c r="K105" s="931" t="inlineStr"/>
      <c r="L105" s="931" t="inlineStr"/>
      <c r="M105" s="932" t="inlineStr"/>
    </row>
    <row r="106" ht="14.5" customHeight="1">
      <c r="A106" s="889" t="inlineStr">
        <is>
          <t>Min Commission</t>
        </is>
      </c>
      <c r="B106" s="661" t="inlineStr"/>
      <c r="C106" s="661" t="inlineStr"/>
      <c r="D106" s="990" t="n">
        <v>0.13265347</v>
      </c>
      <c r="E106" s="989" t="n">
        <v>0.04504793</v>
      </c>
      <c r="F106" s="661" t="inlineStr"/>
      <c r="G106" s="989" t="n">
        <v>0.08165142</v>
      </c>
      <c r="H106" s="989" t="n">
        <v>0.02020317</v>
      </c>
      <c r="I106" s="990" t="n">
        <v>0.16374949</v>
      </c>
      <c r="J106" s="661" t="inlineStr"/>
      <c r="K106" s="957" t="n">
        <v>0.28</v>
      </c>
      <c r="L106" s="661" t="inlineStr"/>
      <c r="M106" s="973" t="n">
        <v>0.14</v>
      </c>
    </row>
    <row r="107" ht="14.5" customHeight="1">
      <c r="A107" s="889" t="inlineStr">
        <is>
          <t>Avg Commission</t>
        </is>
      </c>
      <c r="B107" s="661" t="inlineStr"/>
      <c r="C107" s="661" t="inlineStr"/>
      <c r="D107" s="990" t="n">
        <v>0.1678639733333333</v>
      </c>
      <c r="E107" s="990" t="n">
        <v>0.12678347</v>
      </c>
      <c r="F107" s="661" t="inlineStr"/>
      <c r="G107" s="990" t="n">
        <v>0.225793356</v>
      </c>
      <c r="H107" s="990" t="n">
        <v>0.1907785642857143</v>
      </c>
      <c r="I107" s="990" t="n">
        <v>0.41599442</v>
      </c>
      <c r="J107" s="661" t="inlineStr"/>
      <c r="K107" s="957" t="n">
        <v>0.42</v>
      </c>
      <c r="L107" s="661" t="inlineStr"/>
      <c r="M107" s="973" t="n">
        <v>0.14</v>
      </c>
    </row>
    <row r="108" ht="14.5" customHeight="1">
      <c r="A108" s="889" t="inlineStr">
        <is>
          <t>Max Commission</t>
        </is>
      </c>
      <c r="B108" s="937" t="inlineStr"/>
      <c r="C108" s="937" t="inlineStr"/>
      <c r="D108" s="993" t="n">
        <v>0.22117308</v>
      </c>
      <c r="E108" s="993" t="n">
        <v>0.2356146</v>
      </c>
      <c r="F108" s="937" t="inlineStr"/>
      <c r="G108" s="993" t="n">
        <v>0.36983211</v>
      </c>
      <c r="H108" s="993" t="n">
        <v>0.39137778</v>
      </c>
      <c r="I108" s="993" t="n">
        <v>0.66823935</v>
      </c>
      <c r="J108" s="937" t="inlineStr"/>
      <c r="K108" s="958" t="n">
        <v>0.63</v>
      </c>
      <c r="L108" s="937" t="inlineStr"/>
      <c r="M108" s="975" t="n">
        <v>0.14</v>
      </c>
    </row>
    <row r="109" ht="14.5" customHeight="1">
      <c r="A109" s="919" t="inlineStr">
        <is>
          <t>Total Commission</t>
        </is>
      </c>
      <c r="B109" s="920" t="inlineStr"/>
      <c r="C109" s="920" t="inlineStr"/>
      <c r="D109" s="996" t="n">
        <v>0.50359192</v>
      </c>
      <c r="E109" s="996" t="n">
        <v>0.38035041</v>
      </c>
      <c r="F109" s="920" t="inlineStr"/>
      <c r="G109" s="996" t="n">
        <v>1.12896678</v>
      </c>
      <c r="H109" s="996" t="n">
        <v>1.33544995</v>
      </c>
      <c r="I109" s="996" t="n">
        <v>0.83198884</v>
      </c>
      <c r="J109" s="920" t="inlineStr"/>
      <c r="K109" s="961" t="n">
        <v>1.26</v>
      </c>
      <c r="L109" s="920" t="inlineStr"/>
      <c r="M109" s="976" t="n">
        <v>0.14</v>
      </c>
    </row>
    <row r="110">
      <c r="A110" s="962" t="n"/>
      <c r="B110" s="963" t="n"/>
      <c r="C110" s="963" t="n"/>
      <c r="D110" s="963" t="n"/>
      <c r="E110" s="963" t="n"/>
      <c r="F110" s="963" t="n"/>
      <c r="G110" s="963" t="n"/>
      <c r="H110" s="963" t="n"/>
      <c r="I110" s="963" t="n"/>
      <c r="J110" s="963" t="n"/>
      <c r="K110" s="963" t="n"/>
      <c r="L110" s="963" t="n"/>
      <c r="M110" s="964" t="n"/>
    </row>
    <row r="111">
      <c r="A111" s="962" t="n"/>
      <c r="B111" s="965" t="n"/>
      <c r="C111" s="965" t="n"/>
      <c r="D111" s="965" t="n"/>
      <c r="E111" s="965" t="n"/>
      <c r="F111" s="965" t="n"/>
      <c r="G111" s="965" t="n"/>
      <c r="H111" s="965" t="n"/>
      <c r="I111" s="965" t="n"/>
      <c r="J111" s="965" t="n"/>
      <c r="K111" s="965" t="n"/>
      <c r="L111" s="965" t="n"/>
      <c r="M111" s="966" t="n"/>
    </row>
    <row r="112">
      <c r="A112" s="962" t="n"/>
      <c r="B112" s="965" t="n"/>
      <c r="C112" s="965" t="n"/>
      <c r="D112" s="965" t="n"/>
      <c r="E112" s="965" t="n"/>
      <c r="F112" s="965" t="n"/>
      <c r="G112" s="965" t="n"/>
      <c r="H112" s="965" t="n"/>
      <c r="I112" s="965" t="n"/>
      <c r="J112" s="965" t="n"/>
      <c r="K112" s="965" t="n"/>
      <c r="L112" s="965" t="n"/>
      <c r="M112" s="966" t="n"/>
    </row>
    <row r="113">
      <c r="A113" s="962" t="n"/>
      <c r="B113" s="967" t="n"/>
      <c r="C113" s="967" t="n"/>
      <c r="D113" s="967" t="n"/>
      <c r="E113" s="967" t="n"/>
      <c r="F113" s="967" t="n"/>
      <c r="G113" s="967" t="n"/>
      <c r="H113" s="967" t="n"/>
      <c r="I113" s="967" t="n"/>
      <c r="J113" s="967" t="n"/>
      <c r="K113" s="967" t="n"/>
      <c r="L113" s="967" t="n"/>
      <c r="M113" s="967" t="n"/>
    </row>
    <row r="114">
      <c r="A114" s="962" t="n"/>
      <c r="B114" s="963" t="n"/>
      <c r="C114" s="963" t="n"/>
      <c r="D114" s="964" t="n"/>
      <c r="E114" s="964" t="n"/>
      <c r="F114" s="964" t="n"/>
      <c r="G114" s="964" t="n"/>
      <c r="H114" s="964" t="n"/>
      <c r="I114" s="964" t="n"/>
      <c r="J114" s="964" t="n"/>
      <c r="K114" s="964" t="n"/>
      <c r="L114" s="963" t="n"/>
      <c r="M114" s="964" t="n"/>
    </row>
    <row r="115">
      <c r="A115" s="962" t="n"/>
      <c r="B115" s="963" t="n"/>
      <c r="C115" s="963" t="n"/>
      <c r="D115" s="964" t="n"/>
      <c r="E115" s="964" t="n"/>
      <c r="F115" s="964" t="n"/>
      <c r="G115" s="964" t="n"/>
      <c r="H115" s="964" t="n"/>
      <c r="I115" s="964" t="n"/>
      <c r="J115" s="964" t="n"/>
      <c r="K115" s="964" t="n"/>
      <c r="L115" s="963" t="n"/>
      <c r="M115" s="964" t="n"/>
    </row>
    <row r="116">
      <c r="A116" s="962" t="n"/>
      <c r="B116" s="963" t="n"/>
      <c r="C116" s="963" t="n"/>
      <c r="D116" s="964" t="n"/>
      <c r="E116" s="964" t="n"/>
      <c r="F116" s="964" t="n"/>
      <c r="G116" s="964" t="n"/>
      <c r="H116" s="964" t="n"/>
      <c r="I116" s="964" t="n"/>
      <c r="J116" s="964" t="n"/>
      <c r="K116" s="964" t="n"/>
      <c r="L116" s="963" t="n"/>
      <c r="M116" s="964" t="n"/>
    </row>
    <row r="117">
      <c r="A117" s="962" t="n"/>
      <c r="B117" s="963" t="n"/>
      <c r="C117" s="963" t="n"/>
      <c r="D117" s="964" t="n"/>
      <c r="E117" s="964" t="n"/>
      <c r="F117" s="964" t="n"/>
      <c r="G117" s="964" t="n"/>
      <c r="H117" s="964" t="n"/>
      <c r="I117" s="964" t="n"/>
      <c r="J117" s="964" t="n"/>
      <c r="K117" s="964" t="n"/>
      <c r="L117" s="963" t="n"/>
      <c r="M117" s="964" t="n"/>
    </row>
    <row r="118">
      <c r="A118" s="962" t="n"/>
      <c r="B118" s="963" t="n"/>
      <c r="C118" s="963" t="n"/>
      <c r="D118" s="964" t="n"/>
      <c r="E118" s="964" t="n"/>
      <c r="F118" s="964" t="n"/>
      <c r="G118" s="964" t="n"/>
      <c r="H118" s="964" t="n"/>
      <c r="I118" s="964" t="n"/>
      <c r="J118" s="964" t="n"/>
      <c r="K118" s="964" t="n"/>
      <c r="L118" s="963" t="n"/>
      <c r="M118" s="964" t="n"/>
    </row>
    <row r="119">
      <c r="A119" s="962" t="n"/>
      <c r="B119" s="963" t="n"/>
      <c r="C119" s="963" t="n"/>
      <c r="D119" s="964" t="n"/>
      <c r="E119" s="964" t="n"/>
      <c r="F119" s="964" t="n"/>
      <c r="G119" s="964" t="n"/>
      <c r="H119" s="964" t="n"/>
      <c r="I119" s="964" t="n"/>
      <c r="J119" s="964" t="n"/>
      <c r="K119" s="964" t="n"/>
      <c r="L119" s="963" t="n"/>
      <c r="M119" s="964" t="n"/>
    </row>
    <row r="120">
      <c r="A120" s="962" t="n"/>
      <c r="B120" s="963" t="n"/>
      <c r="C120" s="963" t="n"/>
      <c r="D120" s="964" t="n"/>
      <c r="E120" s="964" t="n"/>
      <c r="F120" s="964" t="n"/>
      <c r="G120" s="964" t="n"/>
      <c r="H120" s="964" t="n"/>
      <c r="I120" s="964" t="n"/>
      <c r="J120" s="964" t="n"/>
      <c r="K120" s="964" t="n"/>
      <c r="L120" s="963" t="n"/>
      <c r="M120" s="964" t="n"/>
    </row>
    <row r="121">
      <c r="A121" s="962" t="n"/>
      <c r="B121" s="963" t="n"/>
      <c r="C121" s="963" t="n"/>
      <c r="D121" s="964" t="n"/>
      <c r="E121" s="964" t="n"/>
      <c r="F121" s="964" t="n"/>
      <c r="G121" s="964" t="n"/>
      <c r="H121" s="964" t="n"/>
      <c r="I121" s="964" t="n"/>
      <c r="J121" s="964" t="n"/>
      <c r="K121" s="964" t="n"/>
      <c r="L121" s="963" t="n"/>
      <c r="M121" s="964" t="n"/>
    </row>
    <row r="122">
      <c r="A122" s="962" t="n"/>
      <c r="B122" s="963" t="n"/>
      <c r="C122" s="963" t="n"/>
      <c r="D122" s="964" t="n"/>
      <c r="E122" s="964" t="n"/>
      <c r="F122" s="964" t="n"/>
      <c r="G122" s="964" t="n"/>
      <c r="H122" s="964" t="n"/>
      <c r="I122" s="964" t="n"/>
      <c r="J122" s="964" t="n"/>
      <c r="K122" s="964" t="n"/>
      <c r="L122" s="963" t="n"/>
      <c r="M122" s="964" t="n"/>
    </row>
    <row r="123">
      <c r="A123" s="962" t="n"/>
      <c r="B123" s="967" t="n"/>
      <c r="C123" s="967" t="n"/>
      <c r="D123" s="967" t="n"/>
      <c r="E123" s="967" t="n"/>
      <c r="F123" s="967" t="n"/>
      <c r="G123" s="967" t="n"/>
      <c r="H123" s="967" t="n"/>
      <c r="I123" s="967" t="n"/>
      <c r="J123" s="967" t="n"/>
      <c r="K123" s="967" t="n"/>
      <c r="L123" s="967" t="n"/>
      <c r="M123" s="967" t="n"/>
    </row>
    <row r="124">
      <c r="A124" s="962" t="n"/>
      <c r="B124" s="963" t="n"/>
      <c r="C124" s="963" t="n"/>
      <c r="D124" s="964" t="n"/>
      <c r="E124" s="964" t="n"/>
      <c r="F124" s="963" t="n"/>
      <c r="G124" s="964" t="n"/>
      <c r="H124" s="964" t="n"/>
      <c r="I124" s="964" t="n"/>
      <c r="J124" s="963" t="n"/>
      <c r="K124" s="964" t="n"/>
      <c r="L124" s="963" t="n"/>
      <c r="M124" s="964" t="n"/>
    </row>
    <row r="125">
      <c r="A125" s="962" t="n"/>
      <c r="B125" s="963" t="n"/>
      <c r="C125" s="963" t="n"/>
      <c r="D125" s="964" t="n"/>
      <c r="E125" s="964" t="n"/>
      <c r="F125" s="963" t="n"/>
      <c r="G125" s="964" t="n"/>
      <c r="H125" s="964" t="n"/>
      <c r="I125" s="964" t="n"/>
      <c r="J125" s="963" t="n"/>
      <c r="K125" s="964" t="n"/>
      <c r="L125" s="963" t="n"/>
      <c r="M125" s="964" t="n"/>
    </row>
    <row r="126">
      <c r="A126" s="962" t="n"/>
      <c r="B126" s="963" t="n"/>
      <c r="C126" s="963" t="n"/>
      <c r="D126" s="964" t="n"/>
      <c r="E126" s="964" t="n"/>
      <c r="F126" s="963" t="n"/>
      <c r="G126" s="964" t="n"/>
      <c r="H126" s="964" t="n"/>
      <c r="I126" s="964" t="n"/>
      <c r="J126" s="963" t="n"/>
      <c r="K126" s="964" t="n"/>
      <c r="L126" s="963" t="n"/>
      <c r="M126" s="964" t="n"/>
    </row>
    <row r="127">
      <c r="A127" s="962" t="n"/>
      <c r="B127" s="963" t="n"/>
      <c r="C127" s="963" t="n"/>
      <c r="D127" s="964" t="n"/>
      <c r="E127" s="964" t="n"/>
      <c r="F127" s="963" t="n"/>
      <c r="G127" s="964" t="n"/>
      <c r="H127" s="964" t="n"/>
      <c r="I127" s="964" t="n"/>
      <c r="J127" s="963" t="n"/>
      <c r="K127" s="964" t="n"/>
      <c r="L127" s="963" t="n"/>
      <c r="M127" s="964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27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34" customWidth="1" min="1" max="1"/>
    <col width="35" customWidth="1" min="2" max="2"/>
    <col width="14" customWidth="1" min="3" max="3"/>
    <col width="35" customWidth="1" min="4" max="4"/>
    <col width="43" customWidth="1" min="5" max="5"/>
    <col width="14" customWidth="1" min="6" max="6"/>
    <col width="34" customWidth="1" min="7" max="7"/>
    <col width="14" customWidth="1" min="8" max="8"/>
    <col width="35" customWidth="1" min="9" max="9"/>
    <col width="37" customWidth="1" min="10" max="10"/>
    <col width="39" customWidth="1" min="11" max="11"/>
    <col width="43" customWidth="1" min="12" max="12"/>
    <col width="38" customWidth="1" min="13" max="13"/>
  </cols>
  <sheetData>
    <row r="1">
      <c r="A1" s="883" t="n"/>
      <c r="B1" s="884" t="inlineStr">
        <is>
          <t>January</t>
        </is>
      </c>
      <c r="C1" s="884" t="inlineStr">
        <is>
          <t>February</t>
        </is>
      </c>
      <c r="D1" s="884" t="inlineStr">
        <is>
          <t>March</t>
        </is>
      </c>
      <c r="E1" s="884" t="inlineStr">
        <is>
          <t>April</t>
        </is>
      </c>
      <c r="F1" s="884" t="inlineStr">
        <is>
          <t>May</t>
        </is>
      </c>
      <c r="G1" s="884" t="inlineStr">
        <is>
          <t>June</t>
        </is>
      </c>
      <c r="H1" s="884" t="inlineStr">
        <is>
          <t>July</t>
        </is>
      </c>
      <c r="I1" s="884" t="inlineStr">
        <is>
          <t>August</t>
        </is>
      </c>
      <c r="J1" s="884" t="inlineStr">
        <is>
          <t>September</t>
        </is>
      </c>
      <c r="K1" s="884" t="inlineStr">
        <is>
          <t>October</t>
        </is>
      </c>
      <c r="L1" s="884" t="inlineStr">
        <is>
          <t>November</t>
        </is>
      </c>
      <c r="M1" s="885" t="inlineStr">
        <is>
          <t>December</t>
        </is>
      </c>
    </row>
    <row r="2" ht="14.5" customHeight="1">
      <c r="A2" s="886" t="inlineStr">
        <is>
          <t>Trades</t>
        </is>
      </c>
      <c r="B2" s="887" t="n">
        <v>5</v>
      </c>
      <c r="C2" s="887" t="n">
        <v>0</v>
      </c>
      <c r="D2" s="887" t="n">
        <v>8</v>
      </c>
      <c r="E2" s="887" t="n">
        <v>1</v>
      </c>
      <c r="F2" s="887" t="n">
        <v>0</v>
      </c>
      <c r="G2" s="887" t="n">
        <v>2</v>
      </c>
      <c r="H2" s="887" t="n">
        <v>0</v>
      </c>
      <c r="I2" s="887" t="n">
        <v>1</v>
      </c>
      <c r="J2" s="887" t="n">
        <v>5</v>
      </c>
      <c r="K2" s="887" t="n">
        <v>4</v>
      </c>
      <c r="L2" s="887" t="n">
        <v>13</v>
      </c>
      <c r="M2" s="888" t="n">
        <v>2</v>
      </c>
    </row>
    <row r="3" ht="14.5" customHeight="1">
      <c r="A3" s="889" t="inlineStr">
        <is>
          <t>Wins</t>
        </is>
      </c>
      <c r="B3" s="890" t="n">
        <v>1</v>
      </c>
      <c r="C3" s="890" t="n">
        <v>0</v>
      </c>
      <c r="D3" s="890" t="n">
        <v>1</v>
      </c>
      <c r="E3" s="890" t="n">
        <v>0</v>
      </c>
      <c r="F3" s="890" t="n">
        <v>0</v>
      </c>
      <c r="G3" s="890" t="n">
        <v>2</v>
      </c>
      <c r="H3" s="890" t="n">
        <v>0</v>
      </c>
      <c r="I3" s="890" t="n">
        <v>0</v>
      </c>
      <c r="J3" s="890" t="n">
        <v>1</v>
      </c>
      <c r="K3" s="890" t="n">
        <v>1</v>
      </c>
      <c r="L3" s="890" t="n">
        <v>6</v>
      </c>
      <c r="M3" s="891" t="n">
        <v>0</v>
      </c>
    </row>
    <row r="4" ht="14.5" customHeight="1">
      <c r="A4" s="889" t="inlineStr">
        <is>
          <t>Losses</t>
        </is>
      </c>
      <c r="B4" s="892" t="n">
        <v>4</v>
      </c>
      <c r="C4" s="892" t="n">
        <v>0</v>
      </c>
      <c r="D4" s="892" t="n">
        <v>7</v>
      </c>
      <c r="E4" s="892" t="n">
        <v>1</v>
      </c>
      <c r="F4" s="892" t="n">
        <v>0</v>
      </c>
      <c r="G4" s="892" t="n">
        <v>0</v>
      </c>
      <c r="H4" s="892" t="n">
        <v>0</v>
      </c>
      <c r="I4" s="892" t="n">
        <v>1</v>
      </c>
      <c r="J4" s="892" t="n">
        <v>4</v>
      </c>
      <c r="K4" s="892" t="n">
        <v>3</v>
      </c>
      <c r="L4" s="892" t="n">
        <v>7</v>
      </c>
      <c r="M4" s="893" t="n">
        <v>2</v>
      </c>
    </row>
    <row r="5" ht="14.5" customHeight="1">
      <c r="A5" s="889" t="inlineStr">
        <is>
          <t>Break-even</t>
        </is>
      </c>
      <c r="B5" s="887" t="n">
        <v>0</v>
      </c>
      <c r="C5" s="887" t="n">
        <v>0</v>
      </c>
      <c r="D5" s="887" t="n">
        <v>0</v>
      </c>
      <c r="E5" s="887" t="n">
        <v>0</v>
      </c>
      <c r="F5" s="887" t="n">
        <v>0</v>
      </c>
      <c r="G5" s="887" t="n">
        <v>0</v>
      </c>
      <c r="H5" s="887" t="n">
        <v>0</v>
      </c>
      <c r="I5" s="887" t="n">
        <v>0</v>
      </c>
      <c r="J5" s="887" t="n">
        <v>0</v>
      </c>
      <c r="K5" s="887" t="n">
        <v>0</v>
      </c>
      <c r="L5" s="887" t="n">
        <v>0</v>
      </c>
      <c r="M5" s="888" t="n">
        <v>0</v>
      </c>
    </row>
    <row r="6" ht="14.5" customHeight="1">
      <c r="A6" s="889" t="inlineStr">
        <is>
          <t>Test</t>
        </is>
      </c>
      <c r="B6" s="887" t="n">
        <v>0</v>
      </c>
      <c r="C6" s="887" t="n">
        <v>0</v>
      </c>
      <c r="D6" s="887" t="n">
        <v>0</v>
      </c>
      <c r="E6" s="887" t="n">
        <v>0</v>
      </c>
      <c r="F6" s="887" t="n">
        <v>0</v>
      </c>
      <c r="G6" s="887" t="n">
        <v>0</v>
      </c>
      <c r="H6" s="887" t="n">
        <v>0</v>
      </c>
      <c r="I6" s="887" t="n">
        <v>0</v>
      </c>
      <c r="J6" s="887" t="n">
        <v>0</v>
      </c>
      <c r="K6" s="887" t="n">
        <v>20</v>
      </c>
      <c r="L6" s="887" t="n">
        <v>0</v>
      </c>
      <c r="M6" s="888" t="n">
        <v>0</v>
      </c>
    </row>
    <row r="7" ht="14.5" customHeight="1">
      <c r="A7" s="886" t="inlineStr">
        <is>
          <t>Win rate</t>
        </is>
      </c>
      <c r="B7" s="894" t="n">
        <v>0.2</v>
      </c>
      <c r="C7" s="894" t="inlineStr"/>
      <c r="D7" s="894" t="n">
        <v>0.125</v>
      </c>
      <c r="E7" s="894" t="n">
        <v>0</v>
      </c>
      <c r="F7" s="894" t="inlineStr"/>
      <c r="G7" s="894" t="n">
        <v>1</v>
      </c>
      <c r="H7" s="894" t="inlineStr"/>
      <c r="I7" s="894" t="n">
        <v>0</v>
      </c>
      <c r="J7" s="894" t="n">
        <v>0.2</v>
      </c>
      <c r="K7" s="894" t="n">
        <v>0.25</v>
      </c>
      <c r="L7" s="894" t="n">
        <v>0.4615384615384615</v>
      </c>
      <c r="M7" s="895" t="n">
        <v>0</v>
      </c>
    </row>
    <row r="8" ht="14.5" customHeight="1">
      <c r="A8" s="886" t="inlineStr">
        <is>
          <t>Net P/L</t>
        </is>
      </c>
      <c r="B8" s="896" t="n">
        <v>-0.01611601006415986</v>
      </c>
      <c r="C8" s="894" t="inlineStr"/>
      <c r="D8" s="896" t="n">
        <v>-0.05212423201915884</v>
      </c>
      <c r="E8" s="896" t="n">
        <v>-0.00428596263656909</v>
      </c>
      <c r="F8" s="894" t="inlineStr"/>
      <c r="G8" s="897" t="n">
        <v>0.01984563503208468</v>
      </c>
      <c r="H8" s="894" t="inlineStr"/>
      <c r="I8" s="896" t="n">
        <v>-0.0215133642172683</v>
      </c>
      <c r="J8" s="896" t="n">
        <v>-0.01690606777847876</v>
      </c>
      <c r="K8" s="896" t="n">
        <v>-0.01524514589422591</v>
      </c>
      <c r="L8" s="897" t="n">
        <v>0.01334405941186819</v>
      </c>
      <c r="M8" s="898" t="n">
        <v>-0.01755560701444367</v>
      </c>
    </row>
    <row r="9" ht="14.5" customHeight="1">
      <c r="A9" s="886" t="inlineStr">
        <is>
          <t>Gross percent gain</t>
        </is>
      </c>
      <c r="B9" s="897" t="n">
        <v>0.01719188618363628</v>
      </c>
      <c r="C9" s="662" t="inlineStr"/>
      <c r="D9" s="897" t="n">
        <v>0.01343112072461809</v>
      </c>
      <c r="E9" s="897" t="n">
        <v>0</v>
      </c>
      <c r="F9" s="662" t="inlineStr"/>
      <c r="G9" s="897" t="n">
        <v>0.01984563503208468</v>
      </c>
      <c r="H9" s="662" t="inlineStr"/>
      <c r="I9" s="897" t="n">
        <v>0</v>
      </c>
      <c r="J9" s="897" t="n">
        <v>0.01967861784857673</v>
      </c>
      <c r="K9" s="897" t="n">
        <v>0.008163844789813975</v>
      </c>
      <c r="L9" s="897" t="n">
        <v>0.07584729302043514</v>
      </c>
      <c r="M9" s="968" t="n">
        <v>0</v>
      </c>
    </row>
    <row r="10" ht="14.5" customHeight="1">
      <c r="A10" s="886" t="inlineStr">
        <is>
          <t>Gross percent loss</t>
        </is>
      </c>
      <c r="B10" s="896" t="n">
        <v>0.03330789624779614</v>
      </c>
      <c r="C10" s="662" t="inlineStr"/>
      <c r="D10" s="896" t="n">
        <v>0.06555535274377694</v>
      </c>
      <c r="E10" s="896" t="n">
        <v>0.00428596263656909</v>
      </c>
      <c r="F10" s="662" t="inlineStr"/>
      <c r="G10" s="896" t="n">
        <v>0</v>
      </c>
      <c r="H10" s="662" t="inlineStr"/>
      <c r="I10" s="896" t="n">
        <v>0.0215133642172683</v>
      </c>
      <c r="J10" s="896" t="n">
        <v>0.03658468562705549</v>
      </c>
      <c r="K10" s="896" t="n">
        <v>0.02340899068403988</v>
      </c>
      <c r="L10" s="896" t="n">
        <v>0.06250323360856695</v>
      </c>
      <c r="M10" s="898" t="n">
        <v>0.01755560701444367</v>
      </c>
    </row>
    <row r="11" ht="14.5" customHeight="1">
      <c r="A11" s="886" t="inlineStr">
        <is>
          <t>Gross IR gain</t>
        </is>
      </c>
      <c r="B11" s="900" t="n">
        <v>1.999709513435008</v>
      </c>
      <c r="C11" s="977" t="inlineStr"/>
      <c r="D11" s="900" t="n">
        <v>2.036363636363879</v>
      </c>
      <c r="E11" s="900" t="n">
        <v>0</v>
      </c>
      <c r="F11" s="977" t="inlineStr"/>
      <c r="G11" s="900" t="n">
        <v>3.7833333333338</v>
      </c>
      <c r="H11" s="977" t="inlineStr"/>
      <c r="I11" s="900" t="n">
        <v>0</v>
      </c>
      <c r="J11" s="900" t="n">
        <v>2</v>
      </c>
      <c r="K11" s="900" t="n">
        <v>1.019832985386207</v>
      </c>
      <c r="L11" s="900" t="n">
        <v>8.262169934640212</v>
      </c>
      <c r="M11" s="901" t="n">
        <v>0</v>
      </c>
    </row>
    <row r="12" ht="14.5" customHeight="1">
      <c r="A12" s="886" t="inlineStr">
        <is>
          <t>Gross IR loss</t>
        </is>
      </c>
      <c r="B12" s="902" t="n">
        <v>3.811680739515048</v>
      </c>
      <c r="C12" s="977" t="inlineStr"/>
      <c r="D12" s="902" t="n">
        <v>6.523543689790229</v>
      </c>
      <c r="E12" s="902" t="n">
        <v>0.728846153846133</v>
      </c>
      <c r="F12" s="977" t="inlineStr"/>
      <c r="G12" s="902" t="n">
        <v>0</v>
      </c>
      <c r="H12" s="977" t="inlineStr"/>
      <c r="I12" s="902" t="n">
        <v>1.937500000000011</v>
      </c>
      <c r="J12" s="902" t="n">
        <v>3.796031746031812</v>
      </c>
      <c r="K12" s="902" t="n">
        <v>3.339215686274499</v>
      </c>
      <c r="L12" s="902" t="n">
        <v>5.352723541590379</v>
      </c>
      <c r="M12" s="903" t="n">
        <v>2.016393442623027</v>
      </c>
    </row>
    <row r="13" ht="14.5" customHeight="1">
      <c r="A13" s="886" t="inlineStr">
        <is>
          <t>Best Win Streak</t>
        </is>
      </c>
      <c r="B13" s="890" t="n">
        <v>1</v>
      </c>
      <c r="C13" s="945" t="inlineStr"/>
      <c r="D13" s="890" t="n">
        <v>1</v>
      </c>
      <c r="E13" s="945" t="inlineStr"/>
      <c r="F13" s="945" t="inlineStr"/>
      <c r="G13" s="890" t="n">
        <v>2</v>
      </c>
      <c r="H13" s="945" t="inlineStr"/>
      <c r="I13" s="945" t="inlineStr"/>
      <c r="J13" s="890" t="n">
        <v>1</v>
      </c>
      <c r="K13" s="890" t="n">
        <v>1</v>
      </c>
      <c r="L13" s="890" t="n">
        <v>2</v>
      </c>
      <c r="M13" s="946" t="inlineStr"/>
    </row>
    <row r="14" ht="14.5" customHeight="1">
      <c r="A14" s="889" t="inlineStr">
        <is>
          <t>Start</t>
        </is>
      </c>
      <c r="B14" s="661" t="inlineStr">
        <is>
          <t>2024-01-20 04:50:00</t>
        </is>
      </c>
      <c r="C14" s="917" t="inlineStr"/>
      <c r="D14" s="661" t="inlineStr">
        <is>
          <t>2024-03-12 22:51:59</t>
        </is>
      </c>
      <c r="E14" s="917" t="inlineStr"/>
      <c r="F14" s="917" t="inlineStr"/>
      <c r="G14" s="661" t="inlineStr">
        <is>
          <t>2024-06-02 00:23:00</t>
        </is>
      </c>
      <c r="H14" s="917" t="inlineStr"/>
      <c r="I14" s="917" t="inlineStr"/>
      <c r="J14" s="661" t="inlineStr">
        <is>
          <t>2024-09-15 16:10:00</t>
        </is>
      </c>
      <c r="K14" s="661" t="inlineStr">
        <is>
          <t>2024-10-27 22:46:00</t>
        </is>
      </c>
      <c r="L14" s="661" t="inlineStr">
        <is>
          <t>2024-11-02 23:02:00</t>
        </is>
      </c>
      <c r="M14" s="918" t="inlineStr"/>
    </row>
    <row r="15" ht="14.5" customHeight="1">
      <c r="A15" s="889" t="inlineStr">
        <is>
          <t>End</t>
        </is>
      </c>
      <c r="B15" s="661" t="inlineStr">
        <is>
          <t>2024-01-20 04:50:00</t>
        </is>
      </c>
      <c r="C15" s="917" t="inlineStr"/>
      <c r="D15" s="661" t="inlineStr">
        <is>
          <t>2024-03-12 22:51:59</t>
        </is>
      </c>
      <c r="E15" s="917" t="inlineStr"/>
      <c r="F15" s="917" t="inlineStr"/>
      <c r="G15" s="661" t="inlineStr">
        <is>
          <t>2024-06-10 22:56:42</t>
        </is>
      </c>
      <c r="H15" s="917" t="inlineStr"/>
      <c r="I15" s="917" t="inlineStr"/>
      <c r="J15" s="661" t="inlineStr">
        <is>
          <t>2024-09-15 16:10:00</t>
        </is>
      </c>
      <c r="K15" s="661" t="inlineStr">
        <is>
          <t>2024-10-27 22:46:00</t>
        </is>
      </c>
      <c r="L15" s="661" t="inlineStr">
        <is>
          <t>2024-11-10 23:27:00</t>
        </is>
      </c>
      <c r="M15" s="918" t="inlineStr"/>
    </row>
    <row r="16" ht="14.5" customHeight="1">
      <c r="A16" s="886" t="inlineStr">
        <is>
          <t>Worst Losing Streak</t>
        </is>
      </c>
      <c r="B16" s="892" t="n">
        <v>4</v>
      </c>
      <c r="C16" s="945" t="inlineStr"/>
      <c r="D16" s="892" t="n">
        <v>4</v>
      </c>
      <c r="E16" s="892" t="n">
        <v>1</v>
      </c>
      <c r="F16" s="945" t="inlineStr"/>
      <c r="G16" s="945" t="inlineStr"/>
      <c r="H16" s="945" t="inlineStr"/>
      <c r="I16" s="892" t="n">
        <v>1</v>
      </c>
      <c r="J16" s="892" t="n">
        <v>4</v>
      </c>
      <c r="K16" s="892" t="n">
        <v>3</v>
      </c>
      <c r="L16" s="892" t="n">
        <v>2</v>
      </c>
      <c r="M16" s="893" t="n">
        <v>2</v>
      </c>
    </row>
    <row r="17" ht="14.5" customHeight="1">
      <c r="A17" s="889" t="inlineStr">
        <is>
          <t>Start</t>
        </is>
      </c>
      <c r="B17" s="661" t="inlineStr">
        <is>
          <t>2024-01-03 22:09:00</t>
        </is>
      </c>
      <c r="C17" s="917" t="inlineStr"/>
      <c r="D17" s="661" t="inlineStr">
        <is>
          <t>2024-03-13 01:00:00</t>
        </is>
      </c>
      <c r="E17" s="661" t="inlineStr">
        <is>
          <t>2024-04-02 08:49:23</t>
        </is>
      </c>
      <c r="F17" s="917" t="inlineStr"/>
      <c r="G17" s="917" t="inlineStr"/>
      <c r="H17" s="917" t="inlineStr"/>
      <c r="I17" s="661" t="inlineStr">
        <is>
          <t>2024-08-12 05:19:00</t>
        </is>
      </c>
      <c r="J17" s="661" t="inlineStr">
        <is>
          <t>2024-09-15 17:02:00</t>
        </is>
      </c>
      <c r="K17" s="661" t="inlineStr">
        <is>
          <t>2024-10-02 00:52:00</t>
        </is>
      </c>
      <c r="L17" s="661" t="inlineStr">
        <is>
          <t>2024-11-15 18:33:00</t>
        </is>
      </c>
      <c r="M17" s="904" t="inlineStr">
        <is>
          <t>2024-12-05 04:59:48</t>
        </is>
      </c>
    </row>
    <row r="18" ht="14.5" customHeight="1">
      <c r="A18" s="889" t="inlineStr">
        <is>
          <t>End</t>
        </is>
      </c>
      <c r="B18" s="661" t="inlineStr">
        <is>
          <t>2024-01-19 23:05:12</t>
        </is>
      </c>
      <c r="C18" s="917" t="inlineStr"/>
      <c r="D18" s="661" t="inlineStr">
        <is>
          <t>2024-03-26 00:10:00</t>
        </is>
      </c>
      <c r="E18" s="661" t="inlineStr">
        <is>
          <t>2024-04-02 08:49:23</t>
        </is>
      </c>
      <c r="F18" s="917" t="inlineStr"/>
      <c r="G18" s="917" t="inlineStr"/>
      <c r="H18" s="917" t="inlineStr"/>
      <c r="I18" s="661" t="inlineStr">
        <is>
          <t>2024-08-12 05:19:00</t>
        </is>
      </c>
      <c r="J18" s="661" t="inlineStr">
        <is>
          <t>2024-09-27 11:59:11</t>
        </is>
      </c>
      <c r="K18" s="661" t="inlineStr">
        <is>
          <t>2024-10-27 20:47:00</t>
        </is>
      </c>
      <c r="L18" s="661" t="inlineStr">
        <is>
          <t>2024-11-21 00:56:10</t>
        </is>
      </c>
      <c r="M18" s="904" t="inlineStr">
        <is>
          <t>2024-12-08 02:42:00</t>
        </is>
      </c>
    </row>
    <row r="19" ht="14.5" customHeight="1">
      <c r="A19" s="886" t="inlineStr">
        <is>
          <t>Percentage expectancy</t>
        </is>
      </c>
      <c r="B19" s="896" t="n">
        <v>-0.003223202012831972</v>
      </c>
      <c r="C19" s="894" t="inlineStr"/>
      <c r="D19" s="896" t="n">
        <v>-0.006515529002394855</v>
      </c>
      <c r="E19" s="896" t="n">
        <v>-0.00428596263656909</v>
      </c>
      <c r="F19" s="894" t="inlineStr"/>
      <c r="G19" s="897" t="n">
        <v>0.00992281751604234</v>
      </c>
      <c r="H19" s="894" t="inlineStr"/>
      <c r="I19" s="896" t="n">
        <v>-0.0215133642172683</v>
      </c>
      <c r="J19" s="896" t="n">
        <v>-0.003381213555695752</v>
      </c>
      <c r="K19" s="896" t="n">
        <v>-0.003811286473556477</v>
      </c>
      <c r="L19" s="897" t="n">
        <v>0.001026466108605246</v>
      </c>
      <c r="M19" s="898" t="n">
        <v>-0.008777803507221835</v>
      </c>
    </row>
    <row r="20" ht="14.5" customHeight="1">
      <c r="A20" s="907" t="inlineStr">
        <is>
          <t>R expectancy</t>
        </is>
      </c>
      <c r="B20" s="909" t="n">
        <v>-0.3623942452160082</v>
      </c>
      <c r="C20" s="980" t="inlineStr"/>
      <c r="D20" s="909" t="n">
        <v>-0.5608975066782937</v>
      </c>
      <c r="E20" s="909" t="n">
        <v>-0.728846153846133</v>
      </c>
      <c r="F20" s="980" t="inlineStr"/>
      <c r="G20" s="970" t="n">
        <v>1.8916666666669</v>
      </c>
      <c r="H20" s="980" t="inlineStr"/>
      <c r="I20" s="909" t="n">
        <v>-1.937500000000011</v>
      </c>
      <c r="J20" s="909" t="n">
        <v>-0.3592063492063624</v>
      </c>
      <c r="K20" s="909" t="n">
        <v>-0.579845675222073</v>
      </c>
      <c r="L20" s="970" t="n">
        <v>0.2424538660874861</v>
      </c>
      <c r="M20" s="988" t="n">
        <v>-1.008196721311513</v>
      </c>
    </row>
    <row r="21" ht="14.5" customHeight="1">
      <c r="A21" s="913" t="inlineStr">
        <is>
          <t>Avg stop %</t>
        </is>
      </c>
      <c r="B21" s="915" t="n">
        <v>0.008844434629965418</v>
      </c>
      <c r="C21" s="915" t="inlineStr"/>
      <c r="D21" s="915" t="n">
        <v>0.00289576543085065</v>
      </c>
      <c r="E21" s="915" t="n">
        <v>0.004130294918943036</v>
      </c>
      <c r="F21" s="915" t="inlineStr"/>
      <c r="G21" s="914" t="n">
        <v>0.0008663937079354341</v>
      </c>
      <c r="H21" s="915" t="inlineStr"/>
      <c r="I21" s="915" t="n">
        <v>0.003935071323167649</v>
      </c>
      <c r="J21" s="915" t="n">
        <v>0.01209690872405718</v>
      </c>
      <c r="K21" s="915" t="n">
        <v>0.01265034289769975</v>
      </c>
      <c r="L21" s="915" t="n">
        <v>0.02025026094832894</v>
      </c>
      <c r="M21" s="916" t="n">
        <v>0.007403851607374208</v>
      </c>
    </row>
    <row r="22" ht="14.5" customHeight="1">
      <c r="A22" s="889" t="inlineStr">
        <is>
          <t>Avg target %</t>
        </is>
      </c>
      <c r="B22" s="894" t="n">
        <v>0.01768886925993083</v>
      </c>
      <c r="C22" s="894" t="inlineStr"/>
      <c r="D22" s="894" t="n">
        <v>0.005908073350858083</v>
      </c>
      <c r="E22" s="894" t="n">
        <v>0.008260589837885897</v>
      </c>
      <c r="F22" s="894" t="inlineStr"/>
      <c r="G22" s="894" t="n">
        <v>0.001704898599286549</v>
      </c>
      <c r="H22" s="894" t="inlineStr"/>
      <c r="I22" s="894" t="n">
        <v>0.007870142646335473</v>
      </c>
      <c r="J22" s="894" t="n">
        <v>0.03015095453700015</v>
      </c>
      <c r="K22" s="894" t="n">
        <v>0.02609394984937785</v>
      </c>
      <c r="L22" s="894" t="n">
        <v>0.03997688705864485</v>
      </c>
      <c r="M22" s="895" t="n">
        <v>0.01472781293073836</v>
      </c>
    </row>
    <row r="23" ht="14.5" customHeight="1">
      <c r="A23" s="889" t="inlineStr">
        <is>
          <t>Min stop %</t>
        </is>
      </c>
      <c r="B23" s="917" t="inlineStr">
        <is>
          <t>0.037% - EURUSD 2024-01-03</t>
        </is>
      </c>
      <c r="C23" s="894" t="inlineStr"/>
      <c r="D23" s="917" t="inlineStr">
        <is>
          <t>0.086% - GBPUSD 2024-03-12</t>
        </is>
      </c>
      <c r="E23" s="917" t="inlineStr">
        <is>
          <t>0.41% - GBPUSD 2024-04-02</t>
        </is>
      </c>
      <c r="F23" s="894" t="inlineStr"/>
      <c r="G23" s="917" t="inlineStr">
        <is>
          <t>0.067% - EURUSD 2024-06-10</t>
        </is>
      </c>
      <c r="H23" s="894" t="inlineStr"/>
      <c r="I23" s="917" t="inlineStr">
        <is>
          <t>0.39% - ZECUSDT 2024-08-12</t>
        </is>
      </c>
      <c r="J23" s="917" t="inlineStr">
        <is>
          <t>0.069% - USDJPY 2024-09-27</t>
        </is>
      </c>
      <c r="K23" s="917" t="inlineStr">
        <is>
          <t>0.11% - USDCHF 2024-10-03</t>
        </is>
      </c>
      <c r="L23" s="917" t="inlineStr">
        <is>
          <t>0.032% - EURUSD 2024-11-21</t>
        </is>
      </c>
      <c r="M23" s="918" t="inlineStr">
        <is>
          <t>0.081% - USDJPY 2024-12-05</t>
        </is>
      </c>
    </row>
    <row r="24" ht="14.5" customHeight="1">
      <c r="A24" s="889" t="inlineStr">
        <is>
          <t>Max stop %</t>
        </is>
      </c>
      <c r="B24" s="917" t="inlineStr">
        <is>
          <t>1.71% - BTCUSDT 2024-01-20</t>
        </is>
      </c>
      <c r="C24" s="894" t="inlineStr"/>
      <c r="D24" s="917" t="inlineStr">
        <is>
          <t>0.64% - BTCUSDT 2024-03-13</t>
        </is>
      </c>
      <c r="E24" s="917" t="inlineStr">
        <is>
          <t>0.41% - GBPUSD 2024-04-02</t>
        </is>
      </c>
      <c r="F24" s="894" t="inlineStr"/>
      <c r="G24" s="917" t="inlineStr">
        <is>
          <t>0.11% - BTCUSDT 2024-06-02</t>
        </is>
      </c>
      <c r="H24" s="894" t="inlineStr"/>
      <c r="I24" s="917" t="inlineStr">
        <is>
          <t>0.39% - ZECUSDT 2024-08-12</t>
        </is>
      </c>
      <c r="J24" s="917" t="inlineStr">
        <is>
          <t>4.22% - VGXUSDT 2024-09-22</t>
        </is>
      </c>
      <c r="K24" s="917" t="inlineStr">
        <is>
          <t>3.95% - BIGTIMEUSDT 2024-10-02</t>
        </is>
      </c>
      <c r="L24" s="917" t="inlineStr">
        <is>
          <t>7.21% - LTCUSDT 2024-11-26</t>
        </is>
      </c>
      <c r="M24" s="918" t="inlineStr">
        <is>
          <t>1.40% - UXLINKUSDT 2024-12-08</t>
        </is>
      </c>
    </row>
    <row r="25" ht="14.5" customHeight="1">
      <c r="A25" s="889" t="inlineStr">
        <is>
          <t>Min target %</t>
        </is>
      </c>
      <c r="B25" s="917" t="inlineStr">
        <is>
          <t>0.073% - EURUSD 2024-01-03</t>
        </is>
      </c>
      <c r="C25" s="894" t="inlineStr"/>
      <c r="D25" s="917" t="inlineStr">
        <is>
          <t>0.17% - GBPUSD 2024-03-12</t>
        </is>
      </c>
      <c r="E25" s="917" t="inlineStr">
        <is>
          <t>0.83% - GBPUSD 2024-04-02</t>
        </is>
      </c>
      <c r="F25" s="894" t="inlineStr"/>
      <c r="G25" s="917" t="inlineStr">
        <is>
          <t>0.13% - EURUSD 2024-06-10</t>
        </is>
      </c>
      <c r="H25" s="894" t="inlineStr"/>
      <c r="I25" s="917" t="inlineStr">
        <is>
          <t>0.79% - ZECUSDT 2024-08-12</t>
        </is>
      </c>
      <c r="J25" s="917" t="inlineStr">
        <is>
          <t>0.14% - USDJPY 2024-09-27</t>
        </is>
      </c>
      <c r="K25" s="917" t="inlineStr">
        <is>
          <t>0.21% - USDCHF 2024-10-03</t>
        </is>
      </c>
      <c r="L25" s="917" t="inlineStr">
        <is>
          <t>0.015% - EURUSD 2024-11-21</t>
        </is>
      </c>
      <c r="M25" s="918" t="inlineStr">
        <is>
          <t>0.15% - USDJPY 2024-12-05</t>
        </is>
      </c>
    </row>
    <row r="26" ht="14.5" customHeight="1">
      <c r="A26" s="919" t="inlineStr">
        <is>
          <t>Max target %</t>
        </is>
      </c>
      <c r="B26" s="920" t="inlineStr">
        <is>
          <t>3.41% - BTCUSDT 2024-01-20</t>
        </is>
      </c>
      <c r="C26" s="982" t="inlineStr"/>
      <c r="D26" s="920" t="inlineStr">
        <is>
          <t>1.28% - BTCUSDT 2024-03-13</t>
        </is>
      </c>
      <c r="E26" s="920" t="inlineStr">
        <is>
          <t>0.83% - GBPUSD 2024-04-02</t>
        </is>
      </c>
      <c r="F26" s="982" t="inlineStr"/>
      <c r="G26" s="920" t="inlineStr">
        <is>
          <t>0.21% - BTCUSDT 2024-06-02</t>
        </is>
      </c>
      <c r="H26" s="982" t="inlineStr"/>
      <c r="I26" s="920" t="inlineStr">
        <is>
          <t>0.79% - ZECUSDT 2024-08-12</t>
        </is>
      </c>
      <c r="J26" s="920" t="inlineStr">
        <is>
          <t>10.61% - VGXUSDT 2024-09-22</t>
        </is>
      </c>
      <c r="K26" s="920" t="inlineStr">
        <is>
          <t>8.20% - BIGTIMEUSDT 2024-10-02</t>
        </is>
      </c>
      <c r="L26" s="920" t="inlineStr">
        <is>
          <t>14.41% - LTCUSDT 2024-11-26</t>
        </is>
      </c>
      <c r="M26" s="921" t="inlineStr">
        <is>
          <t>2.80% - UXLINKUSDT 2024-12-08</t>
        </is>
      </c>
    </row>
    <row r="27" ht="14.5" customHeight="1">
      <c r="A27" s="913" t="inlineStr">
        <is>
          <t>Avg duration (DD:HH:MM:SS)</t>
        </is>
      </c>
      <c r="B27" s="922" t="inlineStr">
        <is>
          <t>5H 1M 36S</t>
        </is>
      </c>
      <c r="C27" s="922" t="inlineStr"/>
      <c r="D27" s="922" t="inlineStr">
        <is>
          <t>1H 5M 30S</t>
        </is>
      </c>
      <c r="E27" s="922" t="inlineStr">
        <is>
          <t>10D 14H 31M 18S</t>
        </is>
      </c>
      <c r="F27" s="922" t="inlineStr"/>
      <c r="G27" s="922" t="inlineStr">
        <is>
          <t>30M 33S</t>
        </is>
      </c>
      <c r="H27" s="922" t="inlineStr"/>
      <c r="I27" s="922" t="inlineStr">
        <is>
          <t>1S</t>
        </is>
      </c>
      <c r="J27" s="922" t="inlineStr">
        <is>
          <t>35M 58S</t>
        </is>
      </c>
      <c r="K27" s="922" t="inlineStr">
        <is>
          <t>3H 50M 45S</t>
        </is>
      </c>
      <c r="L27" s="922" t="inlineStr">
        <is>
          <t>11H 13M 29S</t>
        </is>
      </c>
      <c r="M27" s="923" t="inlineStr">
        <is>
          <t>1H 19M 50S</t>
        </is>
      </c>
    </row>
    <row r="28" ht="14.5" customHeight="1">
      <c r="A28" s="889" t="inlineStr">
        <is>
          <t>Move to Break Even (DD:HH:MM:SS)</t>
        </is>
      </c>
      <c r="B28" s="917" t="inlineStr"/>
      <c r="C28" s="917" t="inlineStr"/>
      <c r="D28" s="917" t="inlineStr"/>
      <c r="E28" s="917" t="inlineStr"/>
      <c r="F28" s="917" t="inlineStr"/>
      <c r="G28" s="917" t="inlineStr"/>
      <c r="H28" s="917" t="inlineStr"/>
      <c r="I28" s="917" t="inlineStr"/>
      <c r="J28" s="917" t="inlineStr"/>
      <c r="K28" s="917" t="inlineStr"/>
      <c r="L28" s="917" t="inlineStr"/>
      <c r="M28" s="918" t="inlineStr"/>
    </row>
    <row r="29" ht="14.5" customHeight="1">
      <c r="A29" s="919" t="inlineStr">
        <is>
          <t>Move to Profit (DD:HH:MM:SS)</t>
        </is>
      </c>
      <c r="B29" s="920" t="inlineStr"/>
      <c r="C29" s="920" t="inlineStr"/>
      <c r="D29" s="920" t="inlineStr"/>
      <c r="E29" s="920" t="inlineStr"/>
      <c r="F29" s="920" t="inlineStr"/>
      <c r="G29" s="920" t="inlineStr"/>
      <c r="H29" s="920" t="inlineStr"/>
      <c r="I29" s="920" t="inlineStr"/>
      <c r="J29" s="920" t="inlineStr"/>
      <c r="K29" s="920" t="inlineStr"/>
      <c r="L29" s="920" t="inlineStr"/>
      <c r="M29" s="921" t="inlineStr"/>
    </row>
    <row r="30" ht="14.5" customHeight="1">
      <c r="A30" s="924" t="inlineStr">
        <is>
          <t>Max win %</t>
        </is>
      </c>
      <c r="B30" s="925" t="inlineStr">
        <is>
          <t>1.72% - BTCUSDT 2024-01-20</t>
        </is>
      </c>
      <c r="C30" s="915" t="inlineStr"/>
      <c r="D30" s="925" t="inlineStr">
        <is>
          <t>1.34% - GBPUSD 2024-03-12</t>
        </is>
      </c>
      <c r="E30" s="925" t="inlineStr">
        <is>
          <t>-0.43% - GBPUSD 2024-04-02</t>
        </is>
      </c>
      <c r="F30" s="915" t="inlineStr"/>
      <c r="G30" s="925" t="inlineStr">
        <is>
          <t>1.23% - EURUSD 2024-06-10</t>
        </is>
      </c>
      <c r="H30" s="915" t="inlineStr"/>
      <c r="I30" s="925" t="inlineStr">
        <is>
          <t>-2.15% - ZECUSDT 2024-08-12</t>
        </is>
      </c>
      <c r="J30" s="925" t="inlineStr">
        <is>
          <t>1.97% - UXLINKUSDT 2024-09-15</t>
        </is>
      </c>
      <c r="K30" s="925" t="inlineStr">
        <is>
          <t>0.82% - UXLINKUSDT 2024-10-27</t>
        </is>
      </c>
      <c r="L30" s="925" t="inlineStr">
        <is>
          <t>2.04% - BTCUSDT 2024-11-14</t>
        </is>
      </c>
      <c r="M30" s="926" t="inlineStr">
        <is>
          <t>-0.76% - USDJPY 2024-12-05</t>
        </is>
      </c>
    </row>
    <row r="31" ht="14.5" customHeight="1">
      <c r="A31" s="886" t="inlineStr">
        <is>
          <t>Max loss %</t>
        </is>
      </c>
      <c r="B31" s="927" t="inlineStr">
        <is>
          <t>-1.09% - ETHUSDT 2024-01-13</t>
        </is>
      </c>
      <c r="C31" s="894" t="inlineStr"/>
      <c r="D31" s="927" t="inlineStr">
        <is>
          <t>-1.25% - BTCUSDT 2024-03-05</t>
        </is>
      </c>
      <c r="E31" s="927" t="inlineStr">
        <is>
          <t>-0.43% - GBPUSD 2024-04-02</t>
        </is>
      </c>
      <c r="F31" s="894" t="inlineStr"/>
      <c r="G31" s="662" t="inlineStr"/>
      <c r="H31" s="894" t="inlineStr"/>
      <c r="I31" s="927" t="inlineStr">
        <is>
          <t>-2.15% - ZECUSDT 2024-08-12</t>
        </is>
      </c>
      <c r="J31" s="927" t="inlineStr">
        <is>
          <t>-1.60% - QUICKUSDT 2024-09-15</t>
        </is>
      </c>
      <c r="K31" s="927" t="inlineStr">
        <is>
          <t>-1.09% - BIGTIMEUSDT 2024-10-02</t>
        </is>
      </c>
      <c r="L31" s="927" t="inlineStr">
        <is>
          <t>-2.63% - NZDUSD 2024-11-11</t>
        </is>
      </c>
      <c r="M31" s="928" t="inlineStr">
        <is>
          <t>-0.99% - UXLINKUSDT 2024-12-08</t>
        </is>
      </c>
    </row>
    <row r="32" ht="14.5" customHeight="1">
      <c r="A32" s="886" t="inlineStr">
        <is>
          <t>Max R loss</t>
        </is>
      </c>
      <c r="B32" s="927" t="inlineStr">
        <is>
          <t>-1.01R - ETHUSDT 2024-01-13</t>
        </is>
      </c>
      <c r="C32" s="984" t="inlineStr"/>
      <c r="D32" s="927" t="inlineStr">
        <is>
          <t>-1.13R - BTCUSDT 2024-03-13</t>
        </is>
      </c>
      <c r="E32" s="927" t="inlineStr">
        <is>
          <t>-0.73R - GBPUSD 2024-04-02</t>
        </is>
      </c>
      <c r="F32" s="984" t="inlineStr"/>
      <c r="G32" s="977" t="inlineStr"/>
      <c r="H32" s="984" t="inlineStr"/>
      <c r="I32" s="927" t="inlineStr">
        <is>
          <t>-1.94R - ZECUSDT 2024-08-12</t>
        </is>
      </c>
      <c r="J32" s="927" t="inlineStr">
        <is>
          <t>-1.49R - QUICKUSDT 2024-09-15</t>
        </is>
      </c>
      <c r="K32" s="927" t="inlineStr">
        <is>
          <t>-2.30R - USDCHF 2024-10-03</t>
        </is>
      </c>
      <c r="L32" s="927" t="inlineStr">
        <is>
          <t>-1.00R - USDJPY 2024-11-15</t>
        </is>
      </c>
      <c r="M32" s="928" t="inlineStr">
        <is>
          <t>-1.02R - USDJPY 2024-12-05</t>
        </is>
      </c>
    </row>
    <row r="33" ht="14.5" customHeight="1">
      <c r="A33" s="907" t="inlineStr">
        <is>
          <t>Max R win</t>
        </is>
      </c>
      <c r="B33" s="929" t="inlineStr">
        <is>
          <t>2.00R - BTCUSDT 2024-01-20</t>
        </is>
      </c>
      <c r="C33" s="980" t="inlineStr"/>
      <c r="D33" s="929" t="inlineStr">
        <is>
          <t>2.04R - GBPUSD 2024-03-12</t>
        </is>
      </c>
      <c r="E33" s="929" t="inlineStr">
        <is>
          <t>-0.73R - GBPUSD 2024-04-02</t>
        </is>
      </c>
      <c r="F33" s="980" t="inlineStr"/>
      <c r="G33" s="929" t="inlineStr">
        <is>
          <t>1.94R - EURUSD 2024-06-10</t>
        </is>
      </c>
      <c r="H33" s="980" t="inlineStr"/>
      <c r="I33" s="929" t="inlineStr">
        <is>
          <t>-1.94R - ZECUSDT 2024-08-12</t>
        </is>
      </c>
      <c r="J33" s="929" t="inlineStr">
        <is>
          <t>2.00R - UXLINKUSDT 2024-09-15</t>
        </is>
      </c>
      <c r="K33" s="929" t="inlineStr">
        <is>
          <t>1.00R - UXLINKUSDT 2024-10-27</t>
        </is>
      </c>
      <c r="L33" s="929" t="inlineStr">
        <is>
          <t>2.00R - BTCUSDT 2024-11-14</t>
        </is>
      </c>
      <c r="M33" s="930" t="inlineStr">
        <is>
          <t>-1.00R - UXLINKUSDT 2024-12-08</t>
        </is>
      </c>
    </row>
    <row r="34" ht="14.5" customHeight="1">
      <c r="A34" s="913" t="inlineStr">
        <is>
          <t>Shortest (DD:HH:MM:SS)</t>
        </is>
      </c>
      <c r="B34" s="931" t="inlineStr">
        <is>
          <t>1S - ETHUSDT 2024-01-03</t>
        </is>
      </c>
      <c r="C34" s="931" t="inlineStr"/>
      <c r="D34" s="931" t="inlineStr">
        <is>
          <t>1S - BTCUSDT 2024-03-13</t>
        </is>
      </c>
      <c r="E34" s="931" t="inlineStr">
        <is>
          <t>10D 14H 31M 18S - GBPUSD 2024-04-02</t>
        </is>
      </c>
      <c r="F34" s="931" t="inlineStr"/>
      <c r="G34" s="931" t="inlineStr">
        <is>
          <t>21M 0S - BTCUSDT 2024-06-02</t>
        </is>
      </c>
      <c r="H34" s="931" t="inlineStr"/>
      <c r="I34" s="931" t="inlineStr">
        <is>
          <t>1S - ZECUSDT 2024-08-12</t>
        </is>
      </c>
      <c r="J34" s="931" t="inlineStr">
        <is>
          <t>37S - NZDUSD 2024-09-19</t>
        </is>
      </c>
      <c r="K34" s="931" t="inlineStr">
        <is>
          <t>1S - ETHUSDT 2024-10-27</t>
        </is>
      </c>
      <c r="L34" s="931" t="inlineStr">
        <is>
          <t>1M 20S - EURUSD 2024-11-21</t>
        </is>
      </c>
      <c r="M34" s="932" t="inlineStr">
        <is>
          <t>1H 19M 41S - USDJPY 2024-12-05</t>
        </is>
      </c>
    </row>
    <row r="35" ht="14.5" customHeight="1">
      <c r="A35" s="919" t="inlineStr">
        <is>
          <t>Longest (DD:HH:MM:SS)</t>
        </is>
      </c>
      <c r="B35" s="920" t="inlineStr">
        <is>
          <t>22H 54M 8S - CADCHF 2024-01-19</t>
        </is>
      </c>
      <c r="C35" s="920" t="inlineStr"/>
      <c r="D35" s="920" t="inlineStr">
        <is>
          <t>6H 57M 43S - GBPUSD 2024-03-05</t>
        </is>
      </c>
      <c r="E35" s="920" t="inlineStr">
        <is>
          <t>10D 14H 31M 18S - GBPUSD 2024-04-02</t>
        </is>
      </c>
      <c r="F35" s="920" t="inlineStr"/>
      <c r="G35" s="920" t="inlineStr">
        <is>
          <t>40M 7S - EURUSD 2024-06-10</t>
        </is>
      </c>
      <c r="H35" s="920" t="inlineStr"/>
      <c r="I35" s="920" t="inlineStr">
        <is>
          <t>1S - ZECUSDT 2024-08-12</t>
        </is>
      </c>
      <c r="J35" s="920" t="inlineStr">
        <is>
          <t>1H 29M 0S - VGXUSDT 2024-09-22</t>
        </is>
      </c>
      <c r="K35" s="920" t="inlineStr">
        <is>
          <t>15H 9M 0S - BIGTIMEUSDT 2024-10-02</t>
        </is>
      </c>
      <c r="L35" s="920" t="inlineStr">
        <is>
          <t>2D 22H 55M 0S - LTCUSDT 2024-11-26</t>
        </is>
      </c>
      <c r="M35" s="921" t="inlineStr">
        <is>
          <t>1H 20M 0S - UXLINKUSDT 2024-12-08</t>
        </is>
      </c>
    </row>
    <row r="36" ht="14.5" customHeight="1">
      <c r="A36" s="924" t="inlineStr">
        <is>
          <t>Winners</t>
        </is>
      </c>
      <c r="B36" s="931" t="inlineStr"/>
      <c r="C36" s="931" t="inlineStr"/>
      <c r="D36" s="931" t="inlineStr"/>
      <c r="E36" s="931" t="inlineStr"/>
      <c r="F36" s="931" t="inlineStr"/>
      <c r="G36" s="931" t="inlineStr"/>
      <c r="H36" s="931" t="inlineStr"/>
      <c r="I36" s="931" t="inlineStr"/>
      <c r="J36" s="931" t="inlineStr"/>
      <c r="K36" s="931" t="inlineStr"/>
      <c r="L36" s="931" t="inlineStr"/>
      <c r="M36" s="932" t="inlineStr"/>
    </row>
    <row r="37" ht="14.5" customHeight="1">
      <c r="A37" s="889" t="inlineStr">
        <is>
          <t>Avg stop %</t>
        </is>
      </c>
      <c r="B37" s="894" t="n">
        <v>0.01706104061196726</v>
      </c>
      <c r="C37" s="894" t="inlineStr"/>
      <c r="D37" s="933" t="n">
        <v>0.0008588449316436564</v>
      </c>
      <c r="E37" s="894" t="inlineStr"/>
      <c r="F37" s="894" t="inlineStr"/>
      <c r="G37" s="933" t="n">
        <v>0.0008663937079354341</v>
      </c>
      <c r="H37" s="894" t="inlineStr"/>
      <c r="I37" s="894" t="inlineStr"/>
      <c r="J37" s="894" t="n">
        <v>0.007720020586721572</v>
      </c>
      <c r="K37" s="894" t="n">
        <v>0.006184150251946945</v>
      </c>
      <c r="L37" s="894" t="n">
        <v>0.01844489869323952</v>
      </c>
      <c r="M37" s="895" t="inlineStr"/>
    </row>
    <row r="38" ht="14.5" customHeight="1">
      <c r="A38" s="889" t="inlineStr">
        <is>
          <t>Avg target %</t>
        </is>
      </c>
      <c r="B38" s="662" t="n">
        <v>0.03412208122393452</v>
      </c>
      <c r="C38" s="662" t="inlineStr"/>
      <c r="D38" s="662" t="n">
        <v>0.001717689863287659</v>
      </c>
      <c r="E38" s="662" t="inlineStr"/>
      <c r="F38" s="662" t="inlineStr"/>
      <c r="G38" s="662" t="n">
        <v>0.001704898599286549</v>
      </c>
      <c r="H38" s="662" t="inlineStr"/>
      <c r="I38" s="662" t="inlineStr"/>
      <c r="J38" s="662" t="n">
        <v>0.01544004117344314</v>
      </c>
      <c r="K38" s="662" t="n">
        <v>0.01236830050389363</v>
      </c>
      <c r="L38" s="662" t="n">
        <v>0.03603877676206797</v>
      </c>
      <c r="M38" s="663" t="inlineStr"/>
    </row>
    <row r="39" ht="14.5" customHeight="1">
      <c r="A39" s="889" t="inlineStr">
        <is>
          <t>Percentage expectancy</t>
        </is>
      </c>
      <c r="B39" s="897" t="n">
        <v>0.01719188618363628</v>
      </c>
      <c r="C39" s="894" t="inlineStr"/>
      <c r="D39" s="897" t="n">
        <v>0.01343112072461809</v>
      </c>
      <c r="E39" s="894" t="inlineStr"/>
      <c r="F39" s="894" t="inlineStr"/>
      <c r="G39" s="897" t="n">
        <v>0.00992281751604234</v>
      </c>
      <c r="H39" s="894" t="inlineStr"/>
      <c r="I39" s="894" t="inlineStr"/>
      <c r="J39" s="897" t="n">
        <v>0.01967861784857673</v>
      </c>
      <c r="K39" s="897" t="n">
        <v>0.008163844789813975</v>
      </c>
      <c r="L39" s="897" t="n">
        <v>0.01264121550340586</v>
      </c>
      <c r="M39" s="895" t="inlineStr"/>
    </row>
    <row r="40" ht="14.5" customHeight="1">
      <c r="A40" s="889" t="inlineStr">
        <is>
          <t>R expectancy</t>
        </is>
      </c>
      <c r="B40" s="900" t="n">
        <v>1.999709513435008</v>
      </c>
      <c r="C40" s="977" t="inlineStr"/>
      <c r="D40" s="900" t="n">
        <v>2.036363636363879</v>
      </c>
      <c r="E40" s="977" t="inlineStr"/>
      <c r="F40" s="977" t="inlineStr"/>
      <c r="G40" s="900" t="n">
        <v>1.8916666666669</v>
      </c>
      <c r="H40" s="977" t="inlineStr"/>
      <c r="I40" s="977" t="inlineStr"/>
      <c r="J40" s="900" t="n">
        <v>2</v>
      </c>
      <c r="K40" s="900" t="n">
        <v>0.9999999999999795</v>
      </c>
      <c r="L40" s="900" t="n">
        <v>1.377028322440035</v>
      </c>
      <c r="M40" s="978" t="inlineStr"/>
    </row>
    <row r="41" ht="14.5" customHeight="1">
      <c r="A41" s="889" t="inlineStr">
        <is>
          <t>Winners min duration</t>
        </is>
      </c>
      <c r="B41" s="917" t="inlineStr">
        <is>
          <t>2H 8M 0S - BTCUSDT 2024-01-20</t>
        </is>
      </c>
      <c r="C41" s="917" t="inlineStr"/>
      <c r="D41" s="917" t="inlineStr">
        <is>
          <t>10M 47S - GBPUSD 2024-03-12</t>
        </is>
      </c>
      <c r="E41" s="917" t="inlineStr"/>
      <c r="F41" s="917" t="inlineStr"/>
      <c r="G41" s="917" t="inlineStr">
        <is>
          <t>21M 0S - BTCUSDT 2024-06-02</t>
        </is>
      </c>
      <c r="H41" s="917" t="inlineStr"/>
      <c r="I41" s="917" t="inlineStr"/>
      <c r="J41" s="917" t="inlineStr">
        <is>
          <t>22M 0S - UXLINKUSDT 2024-09-15</t>
        </is>
      </c>
      <c r="K41" s="917" t="inlineStr">
        <is>
          <t>14M 0S - UXLINKUSDT 2024-10-27</t>
        </is>
      </c>
      <c r="L41" s="917" t="inlineStr">
        <is>
          <t>1M 29S - EURUSD 2024-11-21</t>
        </is>
      </c>
      <c r="M41" s="918" t="inlineStr"/>
    </row>
    <row r="42" ht="14.5" customHeight="1">
      <c r="A42" s="889" t="inlineStr">
        <is>
          <t>Winners avg duration</t>
        </is>
      </c>
      <c r="B42" s="917" t="inlineStr">
        <is>
          <t>2H 8M 0S</t>
        </is>
      </c>
      <c r="C42" s="917" t="inlineStr"/>
      <c r="D42" s="917" t="inlineStr">
        <is>
          <t>10M 47S</t>
        </is>
      </c>
      <c r="E42" s="917" t="inlineStr"/>
      <c r="F42" s="917" t="inlineStr"/>
      <c r="G42" s="917" t="inlineStr">
        <is>
          <t>30M 33S</t>
        </is>
      </c>
      <c r="H42" s="917" t="inlineStr"/>
      <c r="I42" s="917" t="inlineStr"/>
      <c r="J42" s="917" t="inlineStr">
        <is>
          <t>22M 0S</t>
        </is>
      </c>
      <c r="K42" s="917" t="inlineStr">
        <is>
          <t>14M 0S</t>
        </is>
      </c>
      <c r="L42" s="917" t="inlineStr">
        <is>
          <t>12H 4M 20S</t>
        </is>
      </c>
      <c r="M42" s="918" t="inlineStr"/>
    </row>
    <row r="43" ht="14.5" customHeight="1">
      <c r="A43" s="919" t="inlineStr">
        <is>
          <t>Winners max duration</t>
        </is>
      </c>
      <c r="B43" s="920" t="inlineStr">
        <is>
          <t>2H 8M 0S - BTCUSDT 2024-01-20</t>
        </is>
      </c>
      <c r="C43" s="920" t="inlineStr"/>
      <c r="D43" s="920" t="inlineStr">
        <is>
          <t>10M 47S - GBPUSD 2024-03-12</t>
        </is>
      </c>
      <c r="E43" s="920" t="inlineStr"/>
      <c r="F43" s="920" t="inlineStr"/>
      <c r="G43" s="920" t="inlineStr">
        <is>
          <t>40M 7S - EURUSD 2024-06-10</t>
        </is>
      </c>
      <c r="H43" s="920" t="inlineStr"/>
      <c r="I43" s="920" t="inlineStr"/>
      <c r="J43" s="920" t="inlineStr">
        <is>
          <t>22M 0S - UXLINKUSDT 2024-09-15</t>
        </is>
      </c>
      <c r="K43" s="920" t="inlineStr">
        <is>
          <t>14M 0S - UXLINKUSDT 2024-10-27</t>
        </is>
      </c>
      <c r="L43" s="920" t="inlineStr">
        <is>
          <t>2D 22H 55M 0S - LTCUSDT 2024-11-26</t>
        </is>
      </c>
      <c r="M43" s="921" t="inlineStr"/>
    </row>
    <row r="44" ht="14.5" customHeight="1">
      <c r="A44" s="924" t="inlineStr">
        <is>
          <t>Losers</t>
        </is>
      </c>
      <c r="B44" s="922" t="inlineStr"/>
      <c r="C44" s="922" t="inlineStr"/>
      <c r="D44" s="922" t="inlineStr"/>
      <c r="E44" s="922" t="inlineStr"/>
      <c r="F44" s="922" t="inlineStr"/>
      <c r="G44" s="922" t="inlineStr"/>
      <c r="H44" s="922" t="inlineStr"/>
      <c r="I44" s="922" t="inlineStr"/>
      <c r="J44" s="922" t="inlineStr"/>
      <c r="K44" s="922" t="inlineStr"/>
      <c r="L44" s="922" t="inlineStr"/>
      <c r="M44" s="923" t="inlineStr"/>
    </row>
    <row r="45" ht="14.5" customHeight="1">
      <c r="A45" s="889" t="inlineStr">
        <is>
          <t>Avg stop %</t>
        </is>
      </c>
      <c r="B45" s="894" t="n">
        <v>0.006790283134464958</v>
      </c>
      <c r="C45" s="894" t="inlineStr"/>
      <c r="D45" s="894" t="n">
        <v>0.003186754073594507</v>
      </c>
      <c r="E45" s="894" t="n">
        <v>0.004130294918943036</v>
      </c>
      <c r="F45" s="894" t="inlineStr"/>
      <c r="G45" s="894" t="inlineStr"/>
      <c r="H45" s="894" t="inlineStr"/>
      <c r="I45" s="894" t="n">
        <v>0.003935071323167649</v>
      </c>
      <c r="J45" s="894" t="n">
        <v>0.01319113075839108</v>
      </c>
      <c r="K45" s="894" t="n">
        <v>0.01480574044628402</v>
      </c>
      <c r="L45" s="894" t="n">
        <v>0.02205562320341836</v>
      </c>
      <c r="M45" s="895" t="n">
        <v>0.007403851607374208</v>
      </c>
    </row>
    <row r="46" ht="14.5" customHeight="1">
      <c r="A46" s="889" t="inlineStr">
        <is>
          <t>Avg target %</t>
        </is>
      </c>
      <c r="B46" s="935" t="n">
        <v>0.01358056626892991</v>
      </c>
      <c r="C46" s="935" t="inlineStr"/>
      <c r="D46" s="935" t="n">
        <v>0.006506699563368142</v>
      </c>
      <c r="E46" s="935" t="n">
        <v>0.008260589837885897</v>
      </c>
      <c r="F46" s="935" t="inlineStr"/>
      <c r="G46" s="935" t="inlineStr"/>
      <c r="H46" s="935" t="inlineStr"/>
      <c r="I46" s="935" t="n">
        <v>0.007870142646335473</v>
      </c>
      <c r="J46" s="935" t="n">
        <v>0.03382868287788941</v>
      </c>
      <c r="K46" s="935" t="n">
        <v>0.0306691662978726</v>
      </c>
      <c r="L46" s="935" t="n">
        <v>0.04391499735522172</v>
      </c>
      <c r="M46" s="936" t="n">
        <v>0.01472781293073836</v>
      </c>
    </row>
    <row r="47" ht="14.5" customHeight="1">
      <c r="A47" s="889" t="inlineStr">
        <is>
          <t>Percentage expectancy</t>
        </is>
      </c>
      <c r="B47" s="896" t="n">
        <v>-0.008326974061949035</v>
      </c>
      <c r="C47" s="894" t="inlineStr"/>
      <c r="D47" s="896" t="n">
        <v>-0.009365050391968133</v>
      </c>
      <c r="E47" s="896" t="n">
        <v>-0.00428596263656909</v>
      </c>
      <c r="F47" s="894" t="inlineStr"/>
      <c r="G47" s="894" t="inlineStr"/>
      <c r="H47" s="894" t="inlineStr"/>
      <c r="I47" s="896" t="n">
        <v>-0.0215133642172683</v>
      </c>
      <c r="J47" s="896" t="n">
        <v>-0.009146171406763872</v>
      </c>
      <c r="K47" s="896" t="n">
        <v>-0.00780299689467996</v>
      </c>
      <c r="L47" s="896" t="n">
        <v>-0.00892903337265242</v>
      </c>
      <c r="M47" s="898" t="n">
        <v>-0.008777803507221835</v>
      </c>
    </row>
    <row r="48" ht="14.5" customHeight="1">
      <c r="A48" s="889" t="inlineStr">
        <is>
          <t>R expectancy</t>
        </is>
      </c>
      <c r="B48" s="902" t="n">
        <v>-0.9529201848787621</v>
      </c>
      <c r="C48" s="984" t="inlineStr"/>
      <c r="D48" s="902" t="n">
        <v>-0.9319348128271755</v>
      </c>
      <c r="E48" s="902" t="n">
        <v>-0.728846153846133</v>
      </c>
      <c r="F48" s="984" t="inlineStr"/>
      <c r="G48" s="984" t="inlineStr"/>
      <c r="H48" s="984" t="inlineStr"/>
      <c r="I48" s="902" t="n">
        <v>-1.937500000000011</v>
      </c>
      <c r="J48" s="902" t="n">
        <v>-0.9490079365079529</v>
      </c>
      <c r="K48" s="902" t="n">
        <v>-1.669607843137249</v>
      </c>
      <c r="L48" s="902" t="n">
        <v>-0.8921205902650632</v>
      </c>
      <c r="M48" s="903" t="n">
        <v>-1.008196721311513</v>
      </c>
    </row>
    <row r="49" ht="14.5" customHeight="1">
      <c r="A49" s="889" t="inlineStr">
        <is>
          <t>Losers min duration</t>
        </is>
      </c>
      <c r="B49" s="661" t="inlineStr">
        <is>
          <t>1S - ETHUSDT 2024-01-03</t>
        </is>
      </c>
      <c r="C49" s="661" t="inlineStr"/>
      <c r="D49" s="661" t="inlineStr">
        <is>
          <t>1S - BTCUSDT 2024-03-13</t>
        </is>
      </c>
      <c r="E49" s="661" t="inlineStr">
        <is>
          <t>10D 14H 31M 18S - GBPUSD 2024-04-02</t>
        </is>
      </c>
      <c r="F49" s="661" t="inlineStr"/>
      <c r="G49" s="661" t="inlineStr"/>
      <c r="H49" s="661" t="inlineStr"/>
      <c r="I49" s="661" t="inlineStr">
        <is>
          <t>1S - ZECUSDT 2024-08-12</t>
        </is>
      </c>
      <c r="J49" s="661" t="inlineStr">
        <is>
          <t>37S - NZDUSD 2024-09-19</t>
        </is>
      </c>
      <c r="K49" s="661" t="inlineStr">
        <is>
          <t>1S - ETHUSDT 2024-10-27</t>
        </is>
      </c>
      <c r="L49" s="661" t="inlineStr">
        <is>
          <t>1M 20S - EURUSD 2024-11-21</t>
        </is>
      </c>
      <c r="M49" s="904" t="inlineStr">
        <is>
          <t>1H 19M 41S - USDJPY 2024-12-05</t>
        </is>
      </c>
    </row>
    <row r="50" ht="14.5" customHeight="1">
      <c r="A50" s="889" t="inlineStr">
        <is>
          <t>Losers avg duration</t>
        </is>
      </c>
      <c r="B50" s="661" t="inlineStr">
        <is>
          <t>5H 45M 0S</t>
        </is>
      </c>
      <c r="C50" s="661" t="inlineStr"/>
      <c r="D50" s="661" t="inlineStr">
        <is>
          <t>1H 13M 19S</t>
        </is>
      </c>
      <c r="E50" s="661" t="inlineStr">
        <is>
          <t>10D 14H 31M 18S</t>
        </is>
      </c>
      <c r="F50" s="661" t="inlineStr"/>
      <c r="G50" s="661" t="inlineStr"/>
      <c r="H50" s="661" t="inlineStr"/>
      <c r="I50" s="661" t="inlineStr">
        <is>
          <t>1S</t>
        </is>
      </c>
      <c r="J50" s="661" t="inlineStr">
        <is>
          <t>39M 27S</t>
        </is>
      </c>
      <c r="K50" s="661" t="inlineStr">
        <is>
          <t>5H 3M 0S</t>
        </is>
      </c>
      <c r="L50" s="661" t="inlineStr">
        <is>
          <t>10H 29M 53S</t>
        </is>
      </c>
      <c r="M50" s="904" t="inlineStr">
        <is>
          <t>1H 19M 50S</t>
        </is>
      </c>
    </row>
    <row r="51" ht="14.5" customHeight="1">
      <c r="A51" s="919" t="inlineStr">
        <is>
          <t>Losers max duration</t>
        </is>
      </c>
      <c r="B51" s="920" t="inlineStr">
        <is>
          <t>22H 54M 8S - CADCHF 2024-01-19</t>
        </is>
      </c>
      <c r="C51" s="920" t="inlineStr"/>
      <c r="D51" s="920" t="inlineStr">
        <is>
          <t>6H 57M 43S - GBPUSD 2024-03-05</t>
        </is>
      </c>
      <c r="E51" s="920" t="inlineStr">
        <is>
          <t>10D 14H 31M 18S - GBPUSD 2024-04-02</t>
        </is>
      </c>
      <c r="F51" s="920" t="inlineStr"/>
      <c r="G51" s="920" t="inlineStr"/>
      <c r="H51" s="920" t="inlineStr"/>
      <c r="I51" s="920" t="inlineStr">
        <is>
          <t>1S - ZECUSDT 2024-08-12</t>
        </is>
      </c>
      <c r="J51" s="920" t="inlineStr">
        <is>
          <t>1H 29M 0S - VGXUSDT 2024-09-22</t>
        </is>
      </c>
      <c r="K51" s="920" t="inlineStr">
        <is>
          <t>15H 9M 0S - BIGTIMEUSDT 2024-10-02</t>
        </is>
      </c>
      <c r="L51" s="920" t="inlineStr">
        <is>
          <t>2D 8H 30M 21S - NZDUSD 2024-11-11</t>
        </is>
      </c>
      <c r="M51" s="921" t="inlineStr">
        <is>
          <t>1H 20M 0S - UXLINKUSDT 2024-12-08</t>
        </is>
      </c>
    </row>
    <row r="52" ht="14.5" customHeight="1">
      <c r="A52" s="924" t="inlineStr">
        <is>
          <t>Drawdown</t>
        </is>
      </c>
      <c r="B52" s="922" t="inlineStr"/>
      <c r="C52" s="922" t="inlineStr"/>
      <c r="D52" s="922" t="inlineStr"/>
      <c r="E52" s="922" t="inlineStr"/>
      <c r="F52" s="922" t="inlineStr"/>
      <c r="G52" s="922" t="inlineStr"/>
      <c r="H52" s="922" t="inlineStr"/>
      <c r="I52" s="922" t="inlineStr"/>
      <c r="J52" s="922" t="inlineStr"/>
      <c r="K52" s="922" t="inlineStr"/>
      <c r="L52" s="922" t="inlineStr"/>
      <c r="M52" s="923" t="inlineStr"/>
    </row>
    <row r="53" ht="14.5" customHeight="1">
      <c r="A53" s="886" t="inlineStr">
        <is>
          <t>Max drawdown</t>
        </is>
      </c>
      <c r="B53" s="896" t="n">
        <v>0.01089289470120526</v>
      </c>
      <c r="C53" s="894" t="inlineStr"/>
      <c r="D53" s="896" t="n">
        <v>0.02322194357798745</v>
      </c>
      <c r="E53" s="894" t="inlineStr"/>
      <c r="F53" s="894" t="inlineStr"/>
      <c r="G53" s="894" t="inlineStr"/>
      <c r="H53" s="894" t="inlineStr"/>
      <c r="I53" s="894" t="inlineStr"/>
      <c r="J53" s="896" t="n">
        <v>0.02873480687460321</v>
      </c>
      <c r="K53" s="896" t="n">
        <v>0.002723933944284932</v>
      </c>
      <c r="L53" s="896" t="n">
        <v>0.01781132153809849</v>
      </c>
      <c r="M53" s="895" t="inlineStr"/>
    </row>
    <row r="54" ht="14.5" customHeight="1">
      <c r="A54" s="889" t="inlineStr">
        <is>
          <t>Start</t>
        </is>
      </c>
      <c r="B54" s="937" t="inlineStr">
        <is>
          <t>2024-01-03 22:09:00</t>
        </is>
      </c>
      <c r="C54" s="937" t="inlineStr"/>
      <c r="D54" s="937" t="inlineStr">
        <is>
          <t>2024-03-05 00:35:00</t>
        </is>
      </c>
      <c r="E54" s="937" t="inlineStr"/>
      <c r="F54" s="937" t="inlineStr"/>
      <c r="G54" s="937" t="inlineStr"/>
      <c r="H54" s="937" t="inlineStr"/>
      <c r="I54" s="937" t="inlineStr"/>
      <c r="J54" s="937" t="inlineStr">
        <is>
          <t>2024-09-15 16:10:00</t>
        </is>
      </c>
      <c r="K54" s="937" t="inlineStr">
        <is>
          <t>2024-10-02 00:52:00</t>
        </is>
      </c>
      <c r="L54" s="937" t="inlineStr">
        <is>
          <t>2024-11-14 06:36:00</t>
        </is>
      </c>
      <c r="M54" s="938" t="inlineStr"/>
    </row>
    <row r="55" ht="14.5" customHeight="1">
      <c r="A55" s="889" t="inlineStr">
        <is>
          <t>End</t>
        </is>
      </c>
      <c r="B55" s="917" t="inlineStr">
        <is>
          <t>2024-01-13 03:25:00</t>
        </is>
      </c>
      <c r="C55" s="917" t="inlineStr"/>
      <c r="D55" s="917" t="inlineStr">
        <is>
          <t>2024-03-26 00:10:00</t>
        </is>
      </c>
      <c r="E55" s="917" t="inlineStr"/>
      <c r="F55" s="917" t="inlineStr"/>
      <c r="G55" s="917" t="inlineStr"/>
      <c r="H55" s="917" t="inlineStr"/>
      <c r="I55" s="917" t="inlineStr"/>
      <c r="J55" s="917" t="inlineStr">
        <is>
          <t>2024-09-22 20:45:00</t>
        </is>
      </c>
      <c r="K55" s="917" t="inlineStr">
        <is>
          <t>2024-10-27 20:47:00</t>
        </is>
      </c>
      <c r="L55" s="917" t="inlineStr">
        <is>
          <t>2024-11-25 12:26:00</t>
        </is>
      </c>
      <c r="M55" s="918" t="inlineStr"/>
    </row>
    <row r="56" ht="14.5" customHeight="1">
      <c r="A56" s="886" t="inlineStr">
        <is>
          <t>Avg drawdown</t>
        </is>
      </c>
      <c r="B56" s="896" t="n">
        <v>0.01089289470120526</v>
      </c>
      <c r="C56" s="894" t="inlineStr"/>
      <c r="D56" s="896" t="n">
        <v>0.01200048751077335</v>
      </c>
      <c r="E56" s="894" t="inlineStr"/>
      <c r="F56" s="894" t="inlineStr"/>
      <c r="G56" s="894" t="inlineStr"/>
      <c r="H56" s="894" t="inlineStr"/>
      <c r="I56" s="894" t="inlineStr"/>
      <c r="J56" s="896" t="n">
        <v>0.01741027809985383</v>
      </c>
      <c r="K56" s="896" t="n">
        <v>0.002723933944284932</v>
      </c>
      <c r="L56" s="896" t="n">
        <v>0.007829603998588669</v>
      </c>
      <c r="M56" s="895" t="inlineStr"/>
    </row>
    <row r="57" ht="14.5" customHeight="1">
      <c r="A57" s="886" t="inlineStr">
        <is>
          <t>Min drawdown</t>
        </is>
      </c>
      <c r="B57" s="896" t="n">
        <v>0.01089289470120526</v>
      </c>
      <c r="C57" s="662" t="inlineStr"/>
      <c r="D57" s="896" t="n">
        <v>0.002461197782921058</v>
      </c>
      <c r="E57" s="662" t="inlineStr"/>
      <c r="F57" s="662" t="inlineStr"/>
      <c r="G57" s="662" t="inlineStr"/>
      <c r="H57" s="662" t="inlineStr"/>
      <c r="I57" s="662" t="inlineStr"/>
      <c r="J57" s="896" t="n">
        <v>0.007503483049160715</v>
      </c>
      <c r="K57" s="896" t="n">
        <v>0.002723933944284932</v>
      </c>
      <c r="L57" s="905" t="n">
        <v>0.0002274795268426815</v>
      </c>
      <c r="M57" s="663" t="inlineStr"/>
    </row>
    <row r="58" ht="14.5" customHeight="1">
      <c r="A58" s="889" t="inlineStr">
        <is>
          <t>Start</t>
        </is>
      </c>
      <c r="B58" s="661" t="inlineStr">
        <is>
          <t>2024-01-03 22:09:00</t>
        </is>
      </c>
      <c r="C58" s="661" t="inlineStr"/>
      <c r="D58" s="661" t="inlineStr">
        <is>
          <t>2024-03-12 22:51:59</t>
        </is>
      </c>
      <c r="E58" s="661" t="inlineStr"/>
      <c r="F58" s="661" t="inlineStr"/>
      <c r="G58" s="661" t="inlineStr"/>
      <c r="H58" s="661" t="inlineStr"/>
      <c r="I58" s="661" t="inlineStr"/>
      <c r="J58" s="661" t="inlineStr">
        <is>
          <t>2024-09-19 13:26:31</t>
        </is>
      </c>
      <c r="K58" s="661" t="inlineStr">
        <is>
          <t>2024-10-02 00:52:00</t>
        </is>
      </c>
      <c r="L58" s="661" t="inlineStr">
        <is>
          <t>2024-11-21 01:05:48</t>
        </is>
      </c>
      <c r="M58" s="904" t="inlineStr"/>
    </row>
    <row r="59" ht="14.5" customHeight="1">
      <c r="A59" s="919" t="inlineStr">
        <is>
          <t>End</t>
        </is>
      </c>
      <c r="B59" s="920" t="inlineStr">
        <is>
          <t>2024-01-13 03:25:00</t>
        </is>
      </c>
      <c r="C59" s="920" t="inlineStr"/>
      <c r="D59" s="920" t="inlineStr">
        <is>
          <t>2024-03-25 08:02:57</t>
        </is>
      </c>
      <c r="E59" s="920" t="inlineStr"/>
      <c r="F59" s="920" t="inlineStr"/>
      <c r="G59" s="920" t="inlineStr"/>
      <c r="H59" s="920" t="inlineStr"/>
      <c r="I59" s="920" t="inlineStr"/>
      <c r="J59" s="920" t="inlineStr">
        <is>
          <t>2024-09-27 11:59:11</t>
        </is>
      </c>
      <c r="K59" s="920" t="inlineStr">
        <is>
          <t>2024-10-27 20:47:00</t>
        </is>
      </c>
      <c r="L59" s="920" t="inlineStr">
        <is>
          <t>2024-11-21 01:23:09</t>
        </is>
      </c>
      <c r="M59" s="921" t="inlineStr"/>
    </row>
    <row r="60" ht="14.5" customHeight="1">
      <c r="A60" s="924" t="inlineStr">
        <is>
          <t>Longs</t>
        </is>
      </c>
      <c r="B60" s="941" t="n">
        <v>3</v>
      </c>
      <c r="C60" s="941" t="n">
        <v>0</v>
      </c>
      <c r="D60" s="941" t="n">
        <v>4</v>
      </c>
      <c r="E60" s="941" t="n">
        <v>1</v>
      </c>
      <c r="F60" s="941" t="n">
        <v>0</v>
      </c>
      <c r="G60" s="941" t="n">
        <v>1</v>
      </c>
      <c r="H60" s="941" t="n">
        <v>0</v>
      </c>
      <c r="I60" s="941" t="n">
        <v>1</v>
      </c>
      <c r="J60" s="941" t="n">
        <v>4</v>
      </c>
      <c r="K60" s="941" t="n">
        <v>2</v>
      </c>
      <c r="L60" s="941" t="n">
        <v>11</v>
      </c>
      <c r="M60" s="942" t="n">
        <v>0</v>
      </c>
    </row>
    <row r="61" ht="14.5" customHeight="1">
      <c r="A61" s="889" t="inlineStr">
        <is>
          <t>Long wins</t>
        </is>
      </c>
      <c r="B61" s="890" t="n">
        <v>1</v>
      </c>
      <c r="C61" s="890" t="n">
        <v>0</v>
      </c>
      <c r="D61" s="890" t="n">
        <v>0</v>
      </c>
      <c r="E61" s="890" t="n">
        <v>0</v>
      </c>
      <c r="F61" s="890" t="n">
        <v>0</v>
      </c>
      <c r="G61" s="890" t="n">
        <v>1</v>
      </c>
      <c r="H61" s="890" t="n">
        <v>0</v>
      </c>
      <c r="I61" s="890" t="n">
        <v>0</v>
      </c>
      <c r="J61" s="890" t="n">
        <v>1</v>
      </c>
      <c r="K61" s="890" t="n">
        <v>0</v>
      </c>
      <c r="L61" s="890" t="n">
        <v>5</v>
      </c>
      <c r="M61" s="891" t="n">
        <v>0</v>
      </c>
    </row>
    <row r="62" ht="14.5" customHeight="1">
      <c r="A62" s="889" t="inlineStr">
        <is>
          <t>Long losses</t>
        </is>
      </c>
      <c r="B62" s="943" t="n">
        <v>2</v>
      </c>
      <c r="C62" s="943" t="n">
        <v>0</v>
      </c>
      <c r="D62" s="943" t="n">
        <v>4</v>
      </c>
      <c r="E62" s="943" t="n">
        <v>1</v>
      </c>
      <c r="F62" s="943" t="n">
        <v>0</v>
      </c>
      <c r="G62" s="943" t="n">
        <v>0</v>
      </c>
      <c r="H62" s="943" t="n">
        <v>0</v>
      </c>
      <c r="I62" s="943" t="n">
        <v>1</v>
      </c>
      <c r="J62" s="943" t="n">
        <v>3</v>
      </c>
      <c r="K62" s="943" t="n">
        <v>2</v>
      </c>
      <c r="L62" s="943" t="n">
        <v>6</v>
      </c>
      <c r="M62" s="944" t="n">
        <v>0</v>
      </c>
    </row>
    <row r="63" ht="14.5" customHeight="1">
      <c r="A63" s="886" t="inlineStr">
        <is>
          <t>Long break-even</t>
        </is>
      </c>
      <c r="B63" s="945" t="n">
        <v>0</v>
      </c>
      <c r="C63" s="945" t="n">
        <v>0</v>
      </c>
      <c r="D63" s="945" t="n">
        <v>0</v>
      </c>
      <c r="E63" s="945" t="n">
        <v>0</v>
      </c>
      <c r="F63" s="945" t="n">
        <v>0</v>
      </c>
      <c r="G63" s="945" t="n">
        <v>0</v>
      </c>
      <c r="H63" s="945" t="n">
        <v>0</v>
      </c>
      <c r="I63" s="945" t="n">
        <v>0</v>
      </c>
      <c r="J63" s="945" t="n">
        <v>0</v>
      </c>
      <c r="K63" s="945" t="n">
        <v>0</v>
      </c>
      <c r="L63" s="945" t="n">
        <v>0</v>
      </c>
      <c r="M63" s="946" t="n">
        <v>0</v>
      </c>
    </row>
    <row r="64" ht="14.5" customHeight="1">
      <c r="A64" s="886" t="inlineStr">
        <is>
          <t>Shorts</t>
        </is>
      </c>
      <c r="B64" s="887" t="n">
        <v>2</v>
      </c>
      <c r="C64" s="887" t="n">
        <v>0</v>
      </c>
      <c r="D64" s="887" t="n">
        <v>4</v>
      </c>
      <c r="E64" s="887" t="n">
        <v>0</v>
      </c>
      <c r="F64" s="887" t="n">
        <v>0</v>
      </c>
      <c r="G64" s="887" t="n">
        <v>1</v>
      </c>
      <c r="H64" s="887" t="n">
        <v>0</v>
      </c>
      <c r="I64" s="887" t="n">
        <v>0</v>
      </c>
      <c r="J64" s="887" t="n">
        <v>1</v>
      </c>
      <c r="K64" s="887" t="n">
        <v>2</v>
      </c>
      <c r="L64" s="887" t="n">
        <v>2</v>
      </c>
      <c r="M64" s="888" t="n">
        <v>2</v>
      </c>
    </row>
    <row r="65" ht="14.5" customHeight="1">
      <c r="A65" s="889" t="inlineStr">
        <is>
          <t>Short wins</t>
        </is>
      </c>
      <c r="B65" s="890" t="n">
        <v>0</v>
      </c>
      <c r="C65" s="890" t="n">
        <v>0</v>
      </c>
      <c r="D65" s="890" t="n">
        <v>1</v>
      </c>
      <c r="E65" s="890" t="n">
        <v>0</v>
      </c>
      <c r="F65" s="890" t="n">
        <v>0</v>
      </c>
      <c r="G65" s="890" t="n">
        <v>1</v>
      </c>
      <c r="H65" s="890" t="n">
        <v>0</v>
      </c>
      <c r="I65" s="890" t="n">
        <v>0</v>
      </c>
      <c r="J65" s="890" t="n">
        <v>0</v>
      </c>
      <c r="K65" s="890" t="n">
        <v>1</v>
      </c>
      <c r="L65" s="890" t="n">
        <v>1</v>
      </c>
      <c r="M65" s="891" t="n">
        <v>0</v>
      </c>
    </row>
    <row r="66" ht="14.5" customHeight="1">
      <c r="A66" s="889" t="inlineStr">
        <is>
          <t>Short losses</t>
        </is>
      </c>
      <c r="B66" s="892" t="n">
        <v>2</v>
      </c>
      <c r="C66" s="892" t="n">
        <v>0</v>
      </c>
      <c r="D66" s="892" t="n">
        <v>3</v>
      </c>
      <c r="E66" s="892" t="n">
        <v>0</v>
      </c>
      <c r="F66" s="892" t="n">
        <v>0</v>
      </c>
      <c r="G66" s="892" t="n">
        <v>0</v>
      </c>
      <c r="H66" s="892" t="n">
        <v>0</v>
      </c>
      <c r="I66" s="892" t="n">
        <v>0</v>
      </c>
      <c r="J66" s="892" t="n">
        <v>1</v>
      </c>
      <c r="K66" s="892" t="n">
        <v>1</v>
      </c>
      <c r="L66" s="892" t="n">
        <v>1</v>
      </c>
      <c r="M66" s="893" t="n">
        <v>2</v>
      </c>
    </row>
    <row r="67" ht="14.5" customHeight="1">
      <c r="A67" s="907" t="inlineStr">
        <is>
          <t>Short break-even</t>
        </is>
      </c>
      <c r="B67" s="947" t="n">
        <v>0</v>
      </c>
      <c r="C67" s="947" t="n">
        <v>0</v>
      </c>
      <c r="D67" s="947" t="n">
        <v>0</v>
      </c>
      <c r="E67" s="947" t="n">
        <v>0</v>
      </c>
      <c r="F67" s="947" t="n">
        <v>0</v>
      </c>
      <c r="G67" s="947" t="n">
        <v>0</v>
      </c>
      <c r="H67" s="947" t="n">
        <v>0</v>
      </c>
      <c r="I67" s="947" t="n">
        <v>0</v>
      </c>
      <c r="J67" s="947" t="n">
        <v>0</v>
      </c>
      <c r="K67" s="947" t="n">
        <v>0</v>
      </c>
      <c r="L67" s="947" t="n">
        <v>0</v>
      </c>
      <c r="M67" s="948" t="n">
        <v>0</v>
      </c>
    </row>
    <row r="68" ht="14.5" customHeight="1">
      <c r="A68" s="913" t="inlineStr">
        <is>
          <t>Min duration</t>
        </is>
      </c>
      <c r="B68" s="922" t="inlineStr">
        <is>
          <t>1S - ETHUSDT 2024-01-03</t>
        </is>
      </c>
      <c r="C68" s="922" t="inlineStr"/>
      <c r="D68" s="922" t="inlineStr">
        <is>
          <t>1S - BTCUSDT 2024-03-13</t>
        </is>
      </c>
      <c r="E68" s="922" t="inlineStr">
        <is>
          <t>10D 14H 31M 18S - GBPUSD 2024-04-02</t>
        </is>
      </c>
      <c r="F68" s="922" t="inlineStr"/>
      <c r="G68" s="922" t="inlineStr">
        <is>
          <t>21M 0S - BTCUSDT 2024-06-02</t>
        </is>
      </c>
      <c r="H68" s="922" t="inlineStr"/>
      <c r="I68" s="922" t="inlineStr">
        <is>
          <t>1S - ZECUSDT 2024-08-12</t>
        </is>
      </c>
      <c r="J68" s="922" t="inlineStr">
        <is>
          <t>37S - NZDUSD 2024-09-19</t>
        </is>
      </c>
      <c r="K68" s="922" t="inlineStr">
        <is>
          <t>1S - ETHUSDT 2024-10-27</t>
        </is>
      </c>
      <c r="L68" s="922" t="inlineStr">
        <is>
          <t>1M 20S - EURUSD 2024-11-21</t>
        </is>
      </c>
      <c r="M68" s="923" t="inlineStr">
        <is>
          <t>1H 19M 41S - USDJPY 2024-12-05</t>
        </is>
      </c>
    </row>
    <row r="69" ht="14.5" customHeight="1">
      <c r="A69" s="889" t="inlineStr">
        <is>
          <t>Max duration</t>
        </is>
      </c>
      <c r="B69" s="917" t="inlineStr">
        <is>
          <t>22H 54M 8S - CADCHF 2024-01-19</t>
        </is>
      </c>
      <c r="C69" s="917" t="inlineStr"/>
      <c r="D69" s="917" t="inlineStr">
        <is>
          <t>6H 57M 43S - GBPUSD 2024-03-05</t>
        </is>
      </c>
      <c r="E69" s="917" t="inlineStr">
        <is>
          <t>10D 14H 31M 18S - GBPUSD 2024-04-02</t>
        </is>
      </c>
      <c r="F69" s="917" t="inlineStr"/>
      <c r="G69" s="917" t="inlineStr">
        <is>
          <t>40M 7S - EURUSD 2024-06-10</t>
        </is>
      </c>
      <c r="H69" s="917" t="inlineStr"/>
      <c r="I69" s="917" t="inlineStr">
        <is>
          <t>1S - ZECUSDT 2024-08-12</t>
        </is>
      </c>
      <c r="J69" s="917" t="inlineStr">
        <is>
          <t>1H 29M 0S - VGXUSDT 2024-09-22</t>
        </is>
      </c>
      <c r="K69" s="917" t="inlineStr">
        <is>
          <t>15H 9M 0S - BIGTIMEUSDT 2024-10-02</t>
        </is>
      </c>
      <c r="L69" s="917" t="inlineStr">
        <is>
          <t>2D 22H 55M 0S - LTCUSDT 2024-11-26</t>
        </is>
      </c>
      <c r="M69" s="918" t="inlineStr">
        <is>
          <t>1H 20M 0S - UXLINKUSDT 2024-12-08</t>
        </is>
      </c>
    </row>
    <row r="70" ht="14.5" customHeight="1">
      <c r="A70" s="889" t="inlineStr">
        <is>
          <t>Min Move to Break Even</t>
        </is>
      </c>
      <c r="B70" s="937" t="inlineStr"/>
      <c r="C70" s="937" t="inlineStr"/>
      <c r="D70" s="937" t="inlineStr"/>
      <c r="E70" s="937" t="inlineStr"/>
      <c r="F70" s="937" t="inlineStr"/>
      <c r="G70" s="937" t="inlineStr"/>
      <c r="H70" s="937" t="inlineStr"/>
      <c r="I70" s="937" t="inlineStr"/>
      <c r="J70" s="937" t="inlineStr"/>
      <c r="K70" s="937" t="inlineStr"/>
      <c r="L70" s="937" t="inlineStr"/>
      <c r="M70" s="938" t="inlineStr"/>
    </row>
    <row r="71" ht="14.5" customHeight="1">
      <c r="A71" s="889" t="inlineStr">
        <is>
          <t>Max Move to Break Even</t>
        </is>
      </c>
      <c r="B71" s="661" t="inlineStr"/>
      <c r="C71" s="661" t="inlineStr"/>
      <c r="D71" s="661" t="inlineStr"/>
      <c r="E71" s="661" t="inlineStr"/>
      <c r="F71" s="661" t="inlineStr"/>
      <c r="G71" s="661" t="inlineStr"/>
      <c r="H71" s="661" t="inlineStr"/>
      <c r="I71" s="661" t="inlineStr"/>
      <c r="J71" s="661" t="inlineStr"/>
      <c r="K71" s="661" t="inlineStr"/>
      <c r="L71" s="661" t="inlineStr"/>
      <c r="M71" s="904" t="inlineStr"/>
    </row>
    <row r="72" ht="14.5" customHeight="1">
      <c r="A72" s="889" t="inlineStr">
        <is>
          <t>Min Move to Profit</t>
        </is>
      </c>
      <c r="B72" s="661" t="inlineStr"/>
      <c r="C72" s="661" t="inlineStr"/>
      <c r="D72" s="661" t="inlineStr"/>
      <c r="E72" s="661" t="inlineStr"/>
      <c r="F72" s="661" t="inlineStr"/>
      <c r="G72" s="661" t="inlineStr"/>
      <c r="H72" s="661" t="inlineStr"/>
      <c r="I72" s="661" t="inlineStr"/>
      <c r="J72" s="661" t="inlineStr"/>
      <c r="K72" s="661" t="inlineStr"/>
      <c r="L72" s="661" t="inlineStr"/>
      <c r="M72" s="904" t="inlineStr"/>
    </row>
    <row r="73" ht="14.5" customHeight="1">
      <c r="A73" s="919" t="inlineStr">
        <is>
          <t>Max Move to Profit</t>
        </is>
      </c>
      <c r="B73" s="920" t="inlineStr"/>
      <c r="C73" s="920" t="inlineStr"/>
      <c r="D73" s="920" t="inlineStr"/>
      <c r="E73" s="920" t="inlineStr"/>
      <c r="F73" s="920" t="inlineStr"/>
      <c r="G73" s="920" t="inlineStr"/>
      <c r="H73" s="920" t="inlineStr"/>
      <c r="I73" s="920" t="inlineStr"/>
      <c r="J73" s="920" t="inlineStr"/>
      <c r="K73" s="920" t="inlineStr"/>
      <c r="L73" s="920" t="inlineStr"/>
      <c r="M73" s="921" t="inlineStr"/>
    </row>
    <row r="74" ht="14.5" customHeight="1">
      <c r="A74" s="913" t="inlineStr">
        <is>
          <t>Winners min stop %</t>
        </is>
      </c>
      <c r="B74" s="949" t="inlineStr">
        <is>
          <t>1.71% - BTCUSDT 2024-01-20</t>
        </is>
      </c>
      <c r="C74" s="986" t="inlineStr"/>
      <c r="D74" s="949" t="inlineStr">
        <is>
          <t>0.086% - GBPUSD 2024-03-12</t>
        </is>
      </c>
      <c r="E74" s="986" t="inlineStr"/>
      <c r="F74" s="986" t="inlineStr"/>
      <c r="G74" s="949" t="inlineStr">
        <is>
          <t>0.067% - EURUSD 2024-06-10</t>
        </is>
      </c>
      <c r="H74" s="986" t="inlineStr"/>
      <c r="I74" s="986" t="inlineStr"/>
      <c r="J74" s="949" t="inlineStr">
        <is>
          <t>0.77% - UXLINKUSDT 2024-09-15</t>
        </is>
      </c>
      <c r="K74" s="949" t="inlineStr">
        <is>
          <t>0.62% - UXLINKUSDT 2024-10-27</t>
        </is>
      </c>
      <c r="L74" s="949" t="inlineStr">
        <is>
          <t>0.032% - EURUSD 2024-11-21</t>
        </is>
      </c>
      <c r="M74" s="987" t="inlineStr"/>
    </row>
    <row r="75" ht="14.5" customHeight="1">
      <c r="A75" s="889" t="inlineStr">
        <is>
          <t>Winners max stop %</t>
        </is>
      </c>
      <c r="B75" s="661" t="inlineStr">
        <is>
          <t>1.71% - BTCUSDT 2024-01-20</t>
        </is>
      </c>
      <c r="C75" s="662" t="inlineStr"/>
      <c r="D75" s="661" t="inlineStr">
        <is>
          <t>0.086% - GBPUSD 2024-03-12</t>
        </is>
      </c>
      <c r="E75" s="662" t="inlineStr"/>
      <c r="F75" s="662" t="inlineStr"/>
      <c r="G75" s="661" t="inlineStr">
        <is>
          <t>0.11% - BTCUSDT 2024-06-02</t>
        </is>
      </c>
      <c r="H75" s="662" t="inlineStr"/>
      <c r="I75" s="662" t="inlineStr"/>
      <c r="J75" s="661" t="inlineStr">
        <is>
          <t>0.77% - UXLINKUSDT 2024-09-15</t>
        </is>
      </c>
      <c r="K75" s="661" t="inlineStr">
        <is>
          <t>0.62% - UXLINKUSDT 2024-10-27</t>
        </is>
      </c>
      <c r="L75" s="661" t="inlineStr">
        <is>
          <t>7.21% - LTCUSDT 2024-11-26</t>
        </is>
      </c>
      <c r="M75" s="663" t="inlineStr"/>
    </row>
    <row r="76" ht="14.5" customHeight="1">
      <c r="A76" s="889" t="inlineStr">
        <is>
          <t>Winners min target %</t>
        </is>
      </c>
      <c r="B76" s="661" t="inlineStr">
        <is>
          <t>3.41% - BTCUSDT 2024-01-20</t>
        </is>
      </c>
      <c r="C76" s="662" t="inlineStr"/>
      <c r="D76" s="661" t="inlineStr">
        <is>
          <t>0.17% - GBPUSD 2024-03-12</t>
        </is>
      </c>
      <c r="E76" s="662" t="inlineStr"/>
      <c r="F76" s="662" t="inlineStr"/>
      <c r="G76" s="661" t="inlineStr">
        <is>
          <t>0.13% - EURUSD 2024-06-10</t>
        </is>
      </c>
      <c r="H76" s="662" t="inlineStr"/>
      <c r="I76" s="662" t="inlineStr"/>
      <c r="J76" s="661" t="inlineStr">
        <is>
          <t>1.54% - UXLINKUSDT 2024-09-15</t>
        </is>
      </c>
      <c r="K76" s="661" t="inlineStr">
        <is>
          <t>1.24% - UXLINKUSDT 2024-10-27</t>
        </is>
      </c>
      <c r="L76" s="661" t="inlineStr">
        <is>
          <t>0.025% - EURUSD 2024-11-21</t>
        </is>
      </c>
      <c r="M76" s="663" t="inlineStr"/>
    </row>
    <row r="77" ht="14.5" customHeight="1">
      <c r="A77" s="889" t="inlineStr">
        <is>
          <t>Winners max target %</t>
        </is>
      </c>
      <c r="B77" s="917" t="inlineStr">
        <is>
          <t>3.41% - BTCUSDT 2024-01-20</t>
        </is>
      </c>
      <c r="C77" s="894" t="inlineStr"/>
      <c r="D77" s="917" t="inlineStr">
        <is>
          <t>0.17% - GBPUSD 2024-03-12</t>
        </is>
      </c>
      <c r="E77" s="894" t="inlineStr"/>
      <c r="F77" s="894" t="inlineStr"/>
      <c r="G77" s="917" t="inlineStr">
        <is>
          <t>0.21% - BTCUSDT 2024-06-02</t>
        </is>
      </c>
      <c r="H77" s="894" t="inlineStr"/>
      <c r="I77" s="894" t="inlineStr"/>
      <c r="J77" s="917" t="inlineStr">
        <is>
          <t>1.54% - UXLINKUSDT 2024-09-15</t>
        </is>
      </c>
      <c r="K77" s="917" t="inlineStr">
        <is>
          <t>1.24% - UXLINKUSDT 2024-10-27</t>
        </is>
      </c>
      <c r="L77" s="917" t="inlineStr">
        <is>
          <t>14.41% - LTCUSDT 2024-11-26</t>
        </is>
      </c>
      <c r="M77" s="895" t="inlineStr"/>
    </row>
    <row r="78" ht="14.5" customHeight="1">
      <c r="A78" s="889" t="inlineStr">
        <is>
          <t>Winners min result %</t>
        </is>
      </c>
      <c r="B78" s="951" t="inlineStr">
        <is>
          <t>1.72% - BTCUSDT 2024-01-20</t>
        </is>
      </c>
      <c r="C78" s="894" t="inlineStr"/>
      <c r="D78" s="951" t="inlineStr">
        <is>
          <t>1.34% - GBPUSD 2024-03-12</t>
        </is>
      </c>
      <c r="E78" s="894" t="inlineStr"/>
      <c r="F78" s="894" t="inlineStr"/>
      <c r="G78" s="951" t="inlineStr">
        <is>
          <t>0.75% - BTCUSDT 2024-06-02</t>
        </is>
      </c>
      <c r="H78" s="894" t="inlineStr"/>
      <c r="I78" s="894" t="inlineStr"/>
      <c r="J78" s="951" t="inlineStr">
        <is>
          <t>1.97% - UXLINKUSDT 2024-09-15</t>
        </is>
      </c>
      <c r="K78" s="951" t="inlineStr">
        <is>
          <t>0.82% - UXLINKUSDT 2024-10-27</t>
        </is>
      </c>
      <c r="L78" s="951" t="inlineStr">
        <is>
          <t>0.0051% - EURUSD 2024-11-21</t>
        </is>
      </c>
      <c r="M78" s="895" t="inlineStr"/>
    </row>
    <row r="79" ht="14.5" customHeight="1">
      <c r="A79" s="889" t="inlineStr">
        <is>
          <t>Winners max result %</t>
        </is>
      </c>
      <c r="B79" s="951" t="inlineStr">
        <is>
          <t>1.72% - BTCUSDT 2024-01-20</t>
        </is>
      </c>
      <c r="C79" s="894" t="inlineStr"/>
      <c r="D79" s="951" t="inlineStr">
        <is>
          <t>1.34% - GBPUSD 2024-03-12</t>
        </is>
      </c>
      <c r="E79" s="894" t="inlineStr"/>
      <c r="F79" s="894" t="inlineStr"/>
      <c r="G79" s="951" t="inlineStr">
        <is>
          <t>1.23% - EURUSD 2024-06-10</t>
        </is>
      </c>
      <c r="H79" s="894" t="inlineStr"/>
      <c r="I79" s="894" t="inlineStr"/>
      <c r="J79" s="951" t="inlineStr">
        <is>
          <t>1.97% - UXLINKUSDT 2024-09-15</t>
        </is>
      </c>
      <c r="K79" s="951" t="inlineStr">
        <is>
          <t>0.82% - UXLINKUSDT 2024-10-27</t>
        </is>
      </c>
      <c r="L79" s="951" t="inlineStr">
        <is>
          <t>2.04% - BTCUSDT 2024-11-14</t>
        </is>
      </c>
      <c r="M79" s="895" t="inlineStr"/>
    </row>
    <row r="80" ht="14.5" customHeight="1">
      <c r="A80" s="889" t="inlineStr">
        <is>
          <t>Winners min R</t>
        </is>
      </c>
      <c r="B80" s="951" t="inlineStr">
        <is>
          <t>2.00R - BTCUSDT 2024-01-20</t>
        </is>
      </c>
      <c r="C80" s="984" t="inlineStr"/>
      <c r="D80" s="951" t="inlineStr">
        <is>
          <t>2.04R - GBPUSD 2024-03-12</t>
        </is>
      </c>
      <c r="E80" s="984" t="inlineStr"/>
      <c r="F80" s="984" t="inlineStr"/>
      <c r="G80" s="951" t="inlineStr">
        <is>
          <t>1.84R - BTCUSDT 2024-06-02</t>
        </is>
      </c>
      <c r="H80" s="984" t="inlineStr"/>
      <c r="I80" s="984" t="inlineStr"/>
      <c r="J80" s="951" t="inlineStr">
        <is>
          <t>2.00R - UXLINKUSDT 2024-09-15</t>
        </is>
      </c>
      <c r="K80" s="951" t="inlineStr">
        <is>
          <t>1.00R - UXLINKUSDT 2024-10-27</t>
        </is>
      </c>
      <c r="L80" s="951" t="inlineStr">
        <is>
          <t>0.15R - EURUSD 2024-11-21</t>
        </is>
      </c>
      <c r="M80" s="985" t="inlineStr"/>
    </row>
    <row r="81" ht="14.5" customHeight="1">
      <c r="A81" s="919" t="inlineStr">
        <is>
          <t>Winners max R</t>
        </is>
      </c>
      <c r="B81" s="929" t="inlineStr">
        <is>
          <t>2.00R - BTCUSDT 2024-01-20</t>
        </is>
      </c>
      <c r="C81" s="980" t="inlineStr"/>
      <c r="D81" s="929" t="inlineStr">
        <is>
          <t>2.04R - GBPUSD 2024-03-12</t>
        </is>
      </c>
      <c r="E81" s="980" t="inlineStr"/>
      <c r="F81" s="980" t="inlineStr"/>
      <c r="G81" s="929" t="inlineStr">
        <is>
          <t>1.94R - EURUSD 2024-06-10</t>
        </is>
      </c>
      <c r="H81" s="980" t="inlineStr"/>
      <c r="I81" s="980" t="inlineStr"/>
      <c r="J81" s="929" t="inlineStr">
        <is>
          <t>2.00R - UXLINKUSDT 2024-09-15</t>
        </is>
      </c>
      <c r="K81" s="929" t="inlineStr">
        <is>
          <t>1.00R - UXLINKUSDT 2024-10-27</t>
        </is>
      </c>
      <c r="L81" s="929" t="inlineStr">
        <is>
          <t>2.00R - BTCUSDT 2024-11-14</t>
        </is>
      </c>
      <c r="M81" s="981" t="inlineStr"/>
    </row>
    <row r="82" ht="14.5" customHeight="1">
      <c r="A82" s="913" t="inlineStr">
        <is>
          <t>Losers min stop %</t>
        </is>
      </c>
      <c r="B82" s="922" t="inlineStr">
        <is>
          <t>0.037% - EURUSD 2024-01-03</t>
        </is>
      </c>
      <c r="C82" s="915" t="inlineStr"/>
      <c r="D82" s="922" t="inlineStr">
        <is>
          <t>0.087% - GBPUSD 2024-03-05</t>
        </is>
      </c>
      <c r="E82" s="922" t="inlineStr">
        <is>
          <t>0.41% - GBPUSD 2024-04-02</t>
        </is>
      </c>
      <c r="F82" s="915" t="inlineStr"/>
      <c r="G82" s="915" t="inlineStr"/>
      <c r="H82" s="915" t="inlineStr"/>
      <c r="I82" s="922" t="inlineStr">
        <is>
          <t>0.39% - ZECUSDT 2024-08-12</t>
        </is>
      </c>
      <c r="J82" s="922" t="inlineStr">
        <is>
          <t>0.069% - USDJPY 2024-09-27</t>
        </is>
      </c>
      <c r="K82" s="922" t="inlineStr">
        <is>
          <t>0.11% - USDCHF 2024-10-03</t>
        </is>
      </c>
      <c r="L82" s="922" t="inlineStr">
        <is>
          <t>0.032% - EURUSD 2024-11-21</t>
        </is>
      </c>
      <c r="M82" s="923" t="inlineStr">
        <is>
          <t>0.081% - USDJPY 2024-12-05</t>
        </is>
      </c>
    </row>
    <row r="83" ht="14.5" customHeight="1">
      <c r="A83" s="889" t="inlineStr">
        <is>
          <t>Losers max stop %</t>
        </is>
      </c>
      <c r="B83" s="917" t="inlineStr">
        <is>
          <t>1.60% - ETHUSDT 2024-01-03</t>
        </is>
      </c>
      <c r="C83" s="894" t="inlineStr"/>
      <c r="D83" s="917" t="inlineStr">
        <is>
          <t>0.64% - BTCUSDT 2024-03-13</t>
        </is>
      </c>
      <c r="E83" s="917" t="inlineStr">
        <is>
          <t>0.41% - GBPUSD 2024-04-02</t>
        </is>
      </c>
      <c r="F83" s="894" t="inlineStr"/>
      <c r="G83" s="894" t="inlineStr"/>
      <c r="H83" s="894" t="inlineStr"/>
      <c r="I83" s="917" t="inlineStr">
        <is>
          <t>0.39% - ZECUSDT 2024-08-12</t>
        </is>
      </c>
      <c r="J83" s="917" t="inlineStr">
        <is>
          <t>4.22% - VGXUSDT 2024-09-22</t>
        </is>
      </c>
      <c r="K83" s="917" t="inlineStr">
        <is>
          <t>3.95% - BIGTIMEUSDT 2024-10-02</t>
        </is>
      </c>
      <c r="L83" s="917" t="inlineStr">
        <is>
          <t>7.12% - PRCLUSDT 2024-11-28</t>
        </is>
      </c>
      <c r="M83" s="918" t="inlineStr">
        <is>
          <t>1.40% - UXLINKUSDT 2024-12-08</t>
        </is>
      </c>
    </row>
    <row r="84" ht="14.5" customHeight="1">
      <c r="A84" s="889" t="inlineStr">
        <is>
          <t>Losers min target %</t>
        </is>
      </c>
      <c r="B84" s="917" t="inlineStr">
        <is>
          <t>0.073% - EURUSD 2024-01-03</t>
        </is>
      </c>
      <c r="C84" s="894" t="inlineStr"/>
      <c r="D84" s="917" t="inlineStr">
        <is>
          <t>0.17% - GBPUSD 2024-03-05</t>
        </is>
      </c>
      <c r="E84" s="917" t="inlineStr">
        <is>
          <t>0.83% - GBPUSD 2024-04-02</t>
        </is>
      </c>
      <c r="F84" s="894" t="inlineStr"/>
      <c r="G84" s="894" t="inlineStr"/>
      <c r="H84" s="894" t="inlineStr"/>
      <c r="I84" s="917" t="inlineStr">
        <is>
          <t>0.79% - ZECUSDT 2024-08-12</t>
        </is>
      </c>
      <c r="J84" s="917" t="inlineStr">
        <is>
          <t>0.14% - USDJPY 2024-09-27</t>
        </is>
      </c>
      <c r="K84" s="917" t="inlineStr">
        <is>
          <t>0.21% - USDCHF 2024-10-03</t>
        </is>
      </c>
      <c r="L84" s="917" t="inlineStr">
        <is>
          <t>0.015% - EURUSD 2024-11-21</t>
        </is>
      </c>
      <c r="M84" s="918" t="inlineStr">
        <is>
          <t>0.15% - USDJPY 2024-12-05</t>
        </is>
      </c>
    </row>
    <row r="85" ht="14.5" customHeight="1">
      <c r="A85" s="889" t="inlineStr">
        <is>
          <t>Losers max target %</t>
        </is>
      </c>
      <c r="B85" s="917" t="inlineStr">
        <is>
          <t>3.20% - ETHUSDT 2024-01-03</t>
        </is>
      </c>
      <c r="C85" s="894" t="inlineStr"/>
      <c r="D85" s="917" t="inlineStr">
        <is>
          <t>1.28% - BTCUSDT 2024-03-13</t>
        </is>
      </c>
      <c r="E85" s="917" t="inlineStr">
        <is>
          <t>0.83% - GBPUSD 2024-04-02</t>
        </is>
      </c>
      <c r="F85" s="894" t="inlineStr"/>
      <c r="G85" s="894" t="inlineStr"/>
      <c r="H85" s="894" t="inlineStr"/>
      <c r="I85" s="917" t="inlineStr">
        <is>
          <t>0.79% - ZECUSDT 2024-08-12</t>
        </is>
      </c>
      <c r="J85" s="917" t="inlineStr">
        <is>
          <t>10.61% - VGXUSDT 2024-09-22</t>
        </is>
      </c>
      <c r="K85" s="917" t="inlineStr">
        <is>
          <t>8.20% - BIGTIMEUSDT 2024-10-02</t>
        </is>
      </c>
      <c r="L85" s="917" t="inlineStr">
        <is>
          <t>14.25% - PRCLUSDT 2024-11-28</t>
        </is>
      </c>
      <c r="M85" s="918" t="inlineStr">
        <is>
          <t>2.80% - UXLINKUSDT 2024-12-08</t>
        </is>
      </c>
    </row>
    <row r="86" ht="14.5" customHeight="1">
      <c r="A86" s="889" t="inlineStr">
        <is>
          <t>Losers min result %</t>
        </is>
      </c>
      <c r="B86" s="927" t="inlineStr">
        <is>
          <t>-0.36% - EURUSD 2024-01-03</t>
        </is>
      </c>
      <c r="C86" s="894" t="inlineStr"/>
      <c r="D86" s="927" t="inlineStr">
        <is>
          <t>-0.25% - GBPUSD 2024-03-25</t>
        </is>
      </c>
      <c r="E86" s="927" t="inlineStr">
        <is>
          <t>-0.43% - GBPUSD 2024-04-02</t>
        </is>
      </c>
      <c r="F86" s="894" t="inlineStr"/>
      <c r="G86" s="894" t="inlineStr"/>
      <c r="H86" s="894" t="inlineStr"/>
      <c r="I86" s="927" t="inlineStr">
        <is>
          <t>-2.15% - ZECUSDT 2024-08-12</t>
        </is>
      </c>
      <c r="J86" s="927" t="inlineStr">
        <is>
          <t>-0.014% - NZDUSD 2024-09-19</t>
        </is>
      </c>
      <c r="K86" s="927" t="inlineStr">
        <is>
          <t>-0.27% - ETHUSDT 2024-10-27</t>
        </is>
      </c>
      <c r="L86" s="927" t="inlineStr">
        <is>
          <t>-0.035% - EURUSD 2024-11-21</t>
        </is>
      </c>
      <c r="M86" s="928" t="inlineStr">
        <is>
          <t>-0.76% - USDJPY 2024-12-05</t>
        </is>
      </c>
    </row>
    <row r="87" ht="14.5" customHeight="1">
      <c r="A87" s="889" t="inlineStr">
        <is>
          <t>Losers max result %</t>
        </is>
      </c>
      <c r="B87" s="927" t="inlineStr">
        <is>
          <t>-1.09% - ETHUSDT 2024-01-13</t>
        </is>
      </c>
      <c r="C87" s="894" t="inlineStr"/>
      <c r="D87" s="927" t="inlineStr">
        <is>
          <t>-1.25% - BTCUSDT 2024-03-05</t>
        </is>
      </c>
      <c r="E87" s="927" t="inlineStr">
        <is>
          <t>-0.43% - GBPUSD 2024-04-02</t>
        </is>
      </c>
      <c r="F87" s="894" t="inlineStr"/>
      <c r="G87" s="894" t="inlineStr"/>
      <c r="H87" s="894" t="inlineStr"/>
      <c r="I87" s="927" t="inlineStr">
        <is>
          <t>-2.15% - ZECUSDT 2024-08-12</t>
        </is>
      </c>
      <c r="J87" s="927" t="inlineStr">
        <is>
          <t>-1.60% - QUICKUSDT 2024-09-15</t>
        </is>
      </c>
      <c r="K87" s="927" t="inlineStr">
        <is>
          <t>-1.09% - BIGTIMEUSDT 2024-10-02</t>
        </is>
      </c>
      <c r="L87" s="927" t="inlineStr">
        <is>
          <t>-2.63% - NZDUSD 2024-11-11</t>
        </is>
      </c>
      <c r="M87" s="928" t="inlineStr">
        <is>
          <t>-0.99% - UXLINKUSDT 2024-12-08</t>
        </is>
      </c>
    </row>
    <row r="88" ht="14.5" customHeight="1">
      <c r="A88" s="889" t="inlineStr">
        <is>
          <t>Losers min R</t>
        </is>
      </c>
      <c r="B88" s="927" t="inlineStr">
        <is>
          <t>-0.89R - ETHUSDT 2024-01-03</t>
        </is>
      </c>
      <c r="C88" s="984" t="inlineStr"/>
      <c r="D88" s="927" t="inlineStr">
        <is>
          <t>-0.45R - GBPUSD 2024-03-25</t>
        </is>
      </c>
      <c r="E88" s="927" t="inlineStr">
        <is>
          <t>-0.73R - GBPUSD 2024-04-02</t>
        </is>
      </c>
      <c r="F88" s="984" t="inlineStr"/>
      <c r="G88" s="984" t="inlineStr"/>
      <c r="H88" s="984" t="inlineStr"/>
      <c r="I88" s="927" t="inlineStr">
        <is>
          <t>-1.94R - ZECUSDT 2024-08-12</t>
        </is>
      </c>
      <c r="J88" s="927" t="inlineStr">
        <is>
          <t>-0.020R - NZDUSD 2024-09-19</t>
        </is>
      </c>
      <c r="K88" s="927" t="inlineStr">
        <is>
          <t>-1.04R - BIGTIMEUSDT 2024-10-02</t>
        </is>
      </c>
      <c r="L88" s="927" t="inlineStr">
        <is>
          <t>-0.64R - XLMUSDT 2024-11-25</t>
        </is>
      </c>
      <c r="M88" s="928" t="inlineStr">
        <is>
          <t>-1.00R - UXLINKUSDT 2024-12-08</t>
        </is>
      </c>
    </row>
    <row r="89" ht="14.5" customHeight="1">
      <c r="A89" s="919" t="inlineStr">
        <is>
          <t>Losers max R</t>
        </is>
      </c>
      <c r="B89" s="953" t="inlineStr">
        <is>
          <t>-1.01R - ETHUSDT 2024-01-13</t>
        </is>
      </c>
      <c r="C89" s="980" t="inlineStr"/>
      <c r="D89" s="953" t="inlineStr">
        <is>
          <t>-1.13R - BTCUSDT 2024-03-13</t>
        </is>
      </c>
      <c r="E89" s="953" t="inlineStr">
        <is>
          <t>-0.73R - GBPUSD 2024-04-02</t>
        </is>
      </c>
      <c r="F89" s="980" t="inlineStr"/>
      <c r="G89" s="980" t="inlineStr"/>
      <c r="H89" s="980" t="inlineStr"/>
      <c r="I89" s="953" t="inlineStr">
        <is>
          <t>-1.94R - ZECUSDT 2024-08-12</t>
        </is>
      </c>
      <c r="J89" s="953" t="inlineStr">
        <is>
          <t>-1.49R - QUICKUSDT 2024-09-15</t>
        </is>
      </c>
      <c r="K89" s="953" t="inlineStr">
        <is>
          <t>-2.30R - USDCHF 2024-10-03</t>
        </is>
      </c>
      <c r="L89" s="953" t="inlineStr">
        <is>
          <t>-1.00R - USDJPY 2024-11-15</t>
        </is>
      </c>
      <c r="M89" s="954" t="inlineStr">
        <is>
          <t>-1.02R - USDJPY 2024-12-05</t>
        </is>
      </c>
    </row>
    <row r="90" ht="14.5" customHeight="1">
      <c r="A90" s="924" t="inlineStr">
        <is>
          <t>Patterns</t>
        </is>
      </c>
      <c r="B90" s="922" t="inlineStr"/>
      <c r="C90" s="922" t="inlineStr"/>
      <c r="D90" s="922" t="inlineStr"/>
      <c r="E90" s="922" t="inlineStr"/>
      <c r="F90" s="922" t="inlineStr"/>
      <c r="G90" s="922" t="inlineStr"/>
      <c r="H90" s="922" t="inlineStr"/>
      <c r="I90" s="922" t="inlineStr"/>
      <c r="J90" s="922" t="inlineStr"/>
      <c r="K90" s="922" t="inlineStr"/>
      <c r="L90" s="922" t="inlineStr"/>
      <c r="M90" s="923" t="inlineStr"/>
    </row>
    <row r="91" ht="14.5" customHeight="1">
      <c r="A91" s="886" t="inlineStr">
        <is>
          <t>Most Traded</t>
        </is>
      </c>
      <c r="B91" s="917" t="inlineStr">
        <is>
          <t>channel</t>
        </is>
      </c>
      <c r="C91" s="917" t="inlineStr"/>
      <c r="D91" s="917" t="inlineStr">
        <is>
          <t>channel</t>
        </is>
      </c>
      <c r="E91" s="917" t="inlineStr">
        <is>
          <t>channel</t>
        </is>
      </c>
      <c r="F91" s="917" t="inlineStr"/>
      <c r="G91" s="917" t="inlineStr">
        <is>
          <t>channel</t>
        </is>
      </c>
      <c r="H91" s="917" t="inlineStr"/>
      <c r="I91" s="917" t="inlineStr"/>
      <c r="J91" s="917" t="inlineStr">
        <is>
          <t>channel</t>
        </is>
      </c>
      <c r="K91" s="917" t="inlineStr">
        <is>
          <t>channel</t>
        </is>
      </c>
      <c r="L91" s="917" t="inlineStr">
        <is>
          <t>channel</t>
        </is>
      </c>
      <c r="M91" s="918" t="inlineStr">
        <is>
          <t>channel</t>
        </is>
      </c>
    </row>
    <row r="92" ht="14.5" customHeight="1">
      <c r="A92" s="886" t="inlineStr">
        <is>
          <t>Least Traded</t>
        </is>
      </c>
      <c r="B92" s="661" t="inlineStr">
        <is>
          <t>channel</t>
        </is>
      </c>
      <c r="C92" s="661" t="inlineStr"/>
      <c r="D92" s="661" t="inlineStr">
        <is>
          <t>range</t>
        </is>
      </c>
      <c r="E92" s="661" t="inlineStr">
        <is>
          <t>channel</t>
        </is>
      </c>
      <c r="F92" s="661" t="inlineStr"/>
      <c r="G92" s="661" t="inlineStr">
        <is>
          <t>channel</t>
        </is>
      </c>
      <c r="H92" s="661" t="inlineStr"/>
      <c r="I92" s="661" t="inlineStr"/>
      <c r="J92" s="661" t="inlineStr">
        <is>
          <t>channel</t>
        </is>
      </c>
      <c r="K92" s="661" t="inlineStr">
        <is>
          <t>range</t>
        </is>
      </c>
      <c r="L92" s="661" t="inlineStr">
        <is>
          <t>channel</t>
        </is>
      </c>
      <c r="M92" s="904" t="inlineStr">
        <is>
          <t>channel</t>
        </is>
      </c>
    </row>
    <row r="93" ht="14.5" customHeight="1">
      <c r="A93" s="886" t="inlineStr">
        <is>
          <t>Most Profitable</t>
        </is>
      </c>
      <c r="B93" s="661" t="inlineStr">
        <is>
          <t>channel</t>
        </is>
      </c>
      <c r="C93" s="661" t="inlineStr"/>
      <c r="D93" s="661" t="inlineStr">
        <is>
          <t>channel</t>
        </is>
      </c>
      <c r="E93" s="661" t="inlineStr">
        <is>
          <t>channel</t>
        </is>
      </c>
      <c r="F93" s="661" t="inlineStr"/>
      <c r="G93" s="661" t="inlineStr">
        <is>
          <t>channel</t>
        </is>
      </c>
      <c r="H93" s="661" t="inlineStr"/>
      <c r="I93" s="661" t="inlineStr"/>
      <c r="J93" s="661" t="inlineStr">
        <is>
          <t>channel</t>
        </is>
      </c>
      <c r="K93" s="661" t="inlineStr">
        <is>
          <t>channel</t>
        </is>
      </c>
      <c r="L93" s="661" t="inlineStr">
        <is>
          <t>channel</t>
        </is>
      </c>
      <c r="M93" s="904" t="inlineStr">
        <is>
          <t>channel</t>
        </is>
      </c>
    </row>
    <row r="94" ht="14.5" customHeight="1">
      <c r="A94" s="907" t="inlineStr">
        <is>
          <t>Least Profitable</t>
        </is>
      </c>
      <c r="B94" s="669" t="inlineStr">
        <is>
          <t>channel</t>
        </is>
      </c>
      <c r="C94" s="669" t="inlineStr"/>
      <c r="D94" s="669" t="inlineStr">
        <is>
          <t>range</t>
        </is>
      </c>
      <c r="E94" s="669" t="inlineStr">
        <is>
          <t>channel</t>
        </is>
      </c>
      <c r="F94" s="669" t="inlineStr"/>
      <c r="G94" s="669" t="inlineStr">
        <is>
          <t>channel</t>
        </is>
      </c>
      <c r="H94" s="669" t="inlineStr"/>
      <c r="I94" s="669" t="inlineStr"/>
      <c r="J94" s="669" t="inlineStr">
        <is>
          <t>channel</t>
        </is>
      </c>
      <c r="K94" s="669" t="inlineStr">
        <is>
          <t>range</t>
        </is>
      </c>
      <c r="L94" s="669" t="inlineStr">
        <is>
          <t>channel</t>
        </is>
      </c>
      <c r="M94" s="955" t="inlineStr">
        <is>
          <t>channel</t>
        </is>
      </c>
    </row>
    <row r="95" ht="14.5" customHeight="1">
      <c r="A95" s="924" t="inlineStr">
        <is>
          <t>Timeframe</t>
        </is>
      </c>
      <c r="B95" s="931" t="inlineStr"/>
      <c r="C95" s="931" t="inlineStr"/>
      <c r="D95" s="931" t="inlineStr"/>
      <c r="E95" s="931" t="inlineStr"/>
      <c r="F95" s="931" t="inlineStr"/>
      <c r="G95" s="931" t="inlineStr"/>
      <c r="H95" s="931" t="inlineStr"/>
      <c r="I95" s="931" t="inlineStr"/>
      <c r="J95" s="931" t="inlineStr"/>
      <c r="K95" s="931" t="inlineStr"/>
      <c r="L95" s="931" t="inlineStr"/>
      <c r="M95" s="932" t="inlineStr"/>
    </row>
    <row r="96" ht="14.5" customHeight="1">
      <c r="A96" s="886" t="inlineStr">
        <is>
          <t>1MIN</t>
        </is>
      </c>
      <c r="B96" s="887" t="n">
        <v>0</v>
      </c>
      <c r="C96" s="887" t="n">
        <v>0</v>
      </c>
      <c r="D96" s="887" t="n">
        <v>0</v>
      </c>
      <c r="E96" s="887" t="n">
        <v>0</v>
      </c>
      <c r="F96" s="887" t="n">
        <v>0</v>
      </c>
      <c r="G96" s="887" t="n">
        <v>0</v>
      </c>
      <c r="H96" s="887" t="n">
        <v>0</v>
      </c>
      <c r="I96" s="887" t="n">
        <v>0</v>
      </c>
      <c r="J96" s="887" t="n">
        <v>2</v>
      </c>
      <c r="K96" s="887" t="n">
        <v>0</v>
      </c>
      <c r="L96" s="887" t="n">
        <v>0</v>
      </c>
      <c r="M96" s="888" t="n">
        <v>1</v>
      </c>
    </row>
    <row r="97" ht="14.5" customHeight="1">
      <c r="A97" s="886" t="inlineStr">
        <is>
          <t>5MIN</t>
        </is>
      </c>
      <c r="B97" s="887" t="n">
        <v>1</v>
      </c>
      <c r="C97" s="887" t="n">
        <v>0</v>
      </c>
      <c r="D97" s="887" t="n">
        <v>2</v>
      </c>
      <c r="E97" s="887" t="n">
        <v>0</v>
      </c>
      <c r="F97" s="887" t="n">
        <v>0</v>
      </c>
      <c r="G97" s="887" t="n">
        <v>1</v>
      </c>
      <c r="H97" s="887" t="n">
        <v>0</v>
      </c>
      <c r="I97" s="887" t="n">
        <v>0</v>
      </c>
      <c r="J97" s="887" t="n">
        <v>1</v>
      </c>
      <c r="K97" s="887" t="n">
        <v>1</v>
      </c>
      <c r="L97" s="887" t="n">
        <v>3</v>
      </c>
      <c r="M97" s="888" t="n">
        <v>0</v>
      </c>
    </row>
    <row r="98" ht="14.5" customHeight="1">
      <c r="A98" s="886" t="inlineStr">
        <is>
          <t>15MIN</t>
        </is>
      </c>
      <c r="B98" s="887" t="n">
        <v>1</v>
      </c>
      <c r="C98" s="887" t="n">
        <v>0</v>
      </c>
      <c r="D98" s="887" t="n">
        <v>2</v>
      </c>
      <c r="E98" s="887" t="n">
        <v>0</v>
      </c>
      <c r="F98" s="887" t="n">
        <v>0</v>
      </c>
      <c r="G98" s="887" t="n">
        <v>1</v>
      </c>
      <c r="H98" s="887" t="n">
        <v>0</v>
      </c>
      <c r="I98" s="887" t="n">
        <v>0</v>
      </c>
      <c r="J98" s="887" t="n">
        <v>2</v>
      </c>
      <c r="K98" s="887" t="n">
        <v>1</v>
      </c>
      <c r="L98" s="887" t="n">
        <v>1</v>
      </c>
      <c r="M98" s="888" t="n">
        <v>1</v>
      </c>
    </row>
    <row r="99" ht="14.5" customHeight="1">
      <c r="A99" s="886" t="inlineStr">
        <is>
          <t>30MIN</t>
        </is>
      </c>
      <c r="B99" s="887" t="n">
        <v>0</v>
      </c>
      <c r="C99" s="887" t="n">
        <v>0</v>
      </c>
      <c r="D99" s="887" t="n">
        <v>0</v>
      </c>
      <c r="E99" s="887" t="n">
        <v>0</v>
      </c>
      <c r="F99" s="887" t="n">
        <v>0</v>
      </c>
      <c r="G99" s="887" t="n">
        <v>0</v>
      </c>
      <c r="H99" s="887" t="n">
        <v>0</v>
      </c>
      <c r="I99" s="887" t="n">
        <v>1</v>
      </c>
      <c r="J99" s="887" t="n">
        <v>0</v>
      </c>
      <c r="K99" s="887" t="n">
        <v>0</v>
      </c>
      <c r="L99" s="887" t="n">
        <v>0</v>
      </c>
      <c r="M99" s="888" t="n">
        <v>0</v>
      </c>
    </row>
    <row r="100" ht="14.5" customHeight="1">
      <c r="A100" s="886" t="inlineStr">
        <is>
          <t>1H</t>
        </is>
      </c>
      <c r="B100" s="887" t="n">
        <v>0</v>
      </c>
      <c r="C100" s="887" t="n">
        <v>0</v>
      </c>
      <c r="D100" s="887" t="n">
        <v>3</v>
      </c>
      <c r="E100" s="887" t="n">
        <v>0</v>
      </c>
      <c r="F100" s="887" t="n">
        <v>0</v>
      </c>
      <c r="G100" s="887" t="n">
        <v>0</v>
      </c>
      <c r="H100" s="887" t="n">
        <v>0</v>
      </c>
      <c r="I100" s="887" t="n">
        <v>0</v>
      </c>
      <c r="J100" s="887" t="n">
        <v>0</v>
      </c>
      <c r="K100" s="887" t="n">
        <v>0</v>
      </c>
      <c r="L100" s="887" t="n">
        <v>4</v>
      </c>
      <c r="M100" s="888" t="n">
        <v>0</v>
      </c>
    </row>
    <row r="101" ht="14.5" customHeight="1">
      <c r="A101" s="886" t="inlineStr">
        <is>
          <t>4H</t>
        </is>
      </c>
      <c r="B101" s="887" t="n">
        <v>2</v>
      </c>
      <c r="C101" s="887" t="n">
        <v>0</v>
      </c>
      <c r="D101" s="887" t="n">
        <v>0</v>
      </c>
      <c r="E101" s="887" t="n">
        <v>0</v>
      </c>
      <c r="F101" s="887" t="n">
        <v>0</v>
      </c>
      <c r="G101" s="887" t="n">
        <v>0</v>
      </c>
      <c r="H101" s="887" t="n">
        <v>0</v>
      </c>
      <c r="I101" s="887" t="n">
        <v>0</v>
      </c>
      <c r="J101" s="887" t="n">
        <v>0</v>
      </c>
      <c r="K101" s="887" t="n">
        <v>2</v>
      </c>
      <c r="L101" s="887" t="n">
        <v>0</v>
      </c>
      <c r="M101" s="888" t="n">
        <v>0</v>
      </c>
    </row>
    <row r="102" ht="14.5" customHeight="1">
      <c r="A102" s="886" t="inlineStr">
        <is>
          <t>DAILY</t>
        </is>
      </c>
      <c r="B102" s="887" t="n">
        <v>1</v>
      </c>
      <c r="C102" s="887" t="n">
        <v>0</v>
      </c>
      <c r="D102" s="887" t="n">
        <v>0</v>
      </c>
      <c r="E102" s="887" t="n">
        <v>1</v>
      </c>
      <c r="F102" s="887" t="n">
        <v>0</v>
      </c>
      <c r="G102" s="887" t="n">
        <v>0</v>
      </c>
      <c r="H102" s="887" t="n">
        <v>0</v>
      </c>
      <c r="I102" s="887" t="n">
        <v>0</v>
      </c>
      <c r="J102" s="887" t="n">
        <v>0</v>
      </c>
      <c r="K102" s="887" t="n">
        <v>0</v>
      </c>
      <c r="L102" s="887" t="n">
        <v>0</v>
      </c>
      <c r="M102" s="888" t="n">
        <v>0</v>
      </c>
    </row>
    <row r="103" ht="14.5" customHeight="1">
      <c r="A103" s="886" t="inlineStr">
        <is>
          <t>WEEKLY</t>
        </is>
      </c>
      <c r="B103" s="887" t="n">
        <v>0</v>
      </c>
      <c r="C103" s="887" t="n">
        <v>0</v>
      </c>
      <c r="D103" s="887" t="n">
        <v>0</v>
      </c>
      <c r="E103" s="887" t="n">
        <v>0</v>
      </c>
      <c r="F103" s="887" t="n">
        <v>0</v>
      </c>
      <c r="G103" s="887" t="n">
        <v>0</v>
      </c>
      <c r="H103" s="887" t="n">
        <v>0</v>
      </c>
      <c r="I103" s="887" t="n">
        <v>0</v>
      </c>
      <c r="J103" s="887" t="n">
        <v>0</v>
      </c>
      <c r="K103" s="887" t="n">
        <v>0</v>
      </c>
      <c r="L103" s="887" t="n">
        <v>1</v>
      </c>
      <c r="M103" s="888" t="n">
        <v>0</v>
      </c>
    </row>
    <row r="104" ht="14.5" customHeight="1">
      <c r="A104" s="907" t="inlineStr">
        <is>
          <t>MONTHLY</t>
        </is>
      </c>
      <c r="B104" s="947" t="n">
        <v>0</v>
      </c>
      <c r="C104" s="947" t="n">
        <v>0</v>
      </c>
      <c r="D104" s="947" t="n">
        <v>0</v>
      </c>
      <c r="E104" s="947" t="n">
        <v>0</v>
      </c>
      <c r="F104" s="947" t="n">
        <v>0</v>
      </c>
      <c r="G104" s="947" t="n">
        <v>0</v>
      </c>
      <c r="H104" s="947" t="n">
        <v>0</v>
      </c>
      <c r="I104" s="947" t="n">
        <v>0</v>
      </c>
      <c r="J104" s="947" t="n">
        <v>0</v>
      </c>
      <c r="K104" s="947" t="n">
        <v>0</v>
      </c>
      <c r="L104" s="947" t="n">
        <v>0</v>
      </c>
      <c r="M104" s="948" t="n">
        <v>0</v>
      </c>
    </row>
    <row r="105" ht="14.5" customHeight="1">
      <c r="A105" s="924" t="inlineStr">
        <is>
          <t>Commission</t>
        </is>
      </c>
      <c r="B105" s="931" t="inlineStr"/>
      <c r="C105" s="931" t="inlineStr"/>
      <c r="D105" s="931" t="inlineStr"/>
      <c r="E105" s="931" t="inlineStr"/>
      <c r="F105" s="931" t="inlineStr"/>
      <c r="G105" s="931" t="inlineStr"/>
      <c r="H105" s="931" t="inlineStr"/>
      <c r="I105" s="931" t="inlineStr"/>
      <c r="J105" s="931" t="inlineStr"/>
      <c r="K105" s="931" t="inlineStr"/>
      <c r="L105" s="931" t="inlineStr"/>
      <c r="M105" s="932" t="inlineStr"/>
    </row>
    <row r="106" ht="14.5" customHeight="1">
      <c r="A106" s="889" t="inlineStr">
        <is>
          <t>Min Commission</t>
        </is>
      </c>
      <c r="B106" s="927" t="inlineStr">
        <is>
          <t>AUD 0.56 / USDT 0.093</t>
        </is>
      </c>
      <c r="C106" s="661" t="inlineStr"/>
      <c r="D106" s="927" t="inlineStr">
        <is>
          <t>AUD 0.070 / USDT 0.27</t>
        </is>
      </c>
      <c r="E106" s="957" t="n">
        <v>0.54</v>
      </c>
      <c r="F106" s="661" t="inlineStr"/>
      <c r="G106" s="927" t="inlineStr">
        <is>
          <t>AUD 0.63 / USDT 2.24</t>
        </is>
      </c>
      <c r="H106" s="661" t="inlineStr"/>
      <c r="I106" s="990" t="n">
        <v>0.44486042</v>
      </c>
      <c r="J106" s="989" t="n">
        <v>0.05835775</v>
      </c>
      <c r="K106" s="989" t="n">
        <v>0.07399862</v>
      </c>
      <c r="L106" s="989" t="n">
        <v>0.03928403</v>
      </c>
      <c r="M106" s="1003" t="n">
        <v>0.03864609</v>
      </c>
    </row>
    <row r="107" ht="14.5" customHeight="1">
      <c r="A107" s="889" t="inlineStr">
        <is>
          <t>Avg Commission</t>
        </is>
      </c>
      <c r="B107" s="927" t="inlineStr">
        <is>
          <t>AUD 0.56 / USDT 0.15</t>
        </is>
      </c>
      <c r="C107" s="661" t="inlineStr"/>
      <c r="D107" s="927" t="inlineStr">
        <is>
          <t>AUD 0.30 / USDT 0.45</t>
        </is>
      </c>
      <c r="E107" s="957" t="n">
        <v>0.54</v>
      </c>
      <c r="F107" s="661" t="inlineStr"/>
      <c r="G107" s="927" t="inlineStr">
        <is>
          <t>AUD 0.63 / USDT 2.24</t>
        </is>
      </c>
      <c r="H107" s="661" t="inlineStr"/>
      <c r="I107" s="990" t="n">
        <v>0.44486042</v>
      </c>
      <c r="J107" s="990" t="n">
        <v>0.1606128166666667</v>
      </c>
      <c r="K107" s="990" t="n">
        <v>0.37420381</v>
      </c>
      <c r="L107" s="990" t="n">
        <v>0.1894185214285714</v>
      </c>
      <c r="M107" s="1003" t="n">
        <v>0.03864609</v>
      </c>
    </row>
    <row r="108" ht="14.5" customHeight="1">
      <c r="A108" s="889" t="inlineStr">
        <is>
          <t>Max Commission</t>
        </is>
      </c>
      <c r="B108" s="959" t="inlineStr">
        <is>
          <t>AUD 0.56 / USDT 0.25</t>
        </is>
      </c>
      <c r="C108" s="937" t="inlineStr"/>
      <c r="D108" s="959" t="inlineStr">
        <is>
          <t>AUD 0.42 / USDT 0.54</t>
        </is>
      </c>
      <c r="E108" s="958" t="n">
        <v>0.54</v>
      </c>
      <c r="F108" s="937" t="inlineStr"/>
      <c r="G108" s="959" t="inlineStr">
        <is>
          <t>AUD 0.63 / USDT 2.24</t>
        </is>
      </c>
      <c r="H108" s="937" t="inlineStr"/>
      <c r="I108" s="993" t="n">
        <v>0.44486042</v>
      </c>
      <c r="J108" s="993" t="n">
        <v>0.3036511</v>
      </c>
      <c r="K108" s="993" t="n">
        <v>0.65076925</v>
      </c>
      <c r="L108" s="993" t="n">
        <v>0.6679128</v>
      </c>
      <c r="M108" s="1004" t="n">
        <v>0.03864609</v>
      </c>
    </row>
    <row r="109" ht="14.5" customHeight="1">
      <c r="A109" s="919" t="inlineStr">
        <is>
          <t>Total Commission</t>
        </is>
      </c>
      <c r="B109" s="953" t="inlineStr">
        <is>
          <t>AUD 0.56 / USDT 0.45</t>
        </is>
      </c>
      <c r="C109" s="920" t="inlineStr"/>
      <c r="D109" s="953" t="inlineStr">
        <is>
          <t>AUD 0.91 / USDT 1.34</t>
        </is>
      </c>
      <c r="E109" s="961" t="n">
        <v>0.54</v>
      </c>
      <c r="F109" s="920" t="inlineStr"/>
      <c r="G109" s="953" t="inlineStr">
        <is>
          <t>AUD 0.63 / USDT 2.24</t>
        </is>
      </c>
      <c r="H109" s="920" t="inlineStr"/>
      <c r="I109" s="996" t="n">
        <v>0.44486042</v>
      </c>
      <c r="J109" s="996" t="n">
        <v>0.48183845</v>
      </c>
      <c r="K109" s="996" t="n">
        <v>1.12261143</v>
      </c>
      <c r="L109" s="996" t="n">
        <v>1.32592965</v>
      </c>
      <c r="M109" s="1005" t="n">
        <v>0.03864609</v>
      </c>
    </row>
    <row r="110">
      <c r="A110" s="962" t="n"/>
      <c r="B110" s="964" t="n"/>
      <c r="C110" s="963" t="n"/>
      <c r="D110" s="964" t="n"/>
      <c r="E110" s="964" t="n"/>
      <c r="F110" s="963" t="n"/>
      <c r="G110" s="964" t="n"/>
      <c r="H110" s="963" t="n"/>
      <c r="I110" s="963" t="n"/>
      <c r="J110" s="964" t="n"/>
      <c r="K110" s="964" t="n"/>
      <c r="L110" s="964" t="n"/>
      <c r="M110" s="964" t="n"/>
    </row>
    <row r="111">
      <c r="A111" s="962" t="n"/>
      <c r="B111" s="966" t="n"/>
      <c r="C111" s="965" t="n"/>
      <c r="D111" s="966" t="n"/>
      <c r="E111" s="966" t="n"/>
      <c r="F111" s="965" t="n"/>
      <c r="G111" s="966" t="n"/>
      <c r="H111" s="965" t="n"/>
      <c r="I111" s="965" t="n"/>
      <c r="J111" s="966" t="n"/>
      <c r="K111" s="966" t="n"/>
      <c r="L111" s="966" t="n"/>
      <c r="M111" s="966" t="n"/>
    </row>
    <row r="112">
      <c r="A112" s="962" t="n"/>
      <c r="B112" s="966" t="n"/>
      <c r="C112" s="965" t="n"/>
      <c r="D112" s="966" t="n"/>
      <c r="E112" s="966" t="n"/>
      <c r="F112" s="965" t="n"/>
      <c r="G112" s="966" t="n"/>
      <c r="H112" s="965" t="n"/>
      <c r="I112" s="965" t="n"/>
      <c r="J112" s="966" t="n"/>
      <c r="K112" s="966" t="n"/>
      <c r="L112" s="966" t="n"/>
      <c r="M112" s="966" t="n"/>
    </row>
    <row r="113">
      <c r="A113" s="962" t="n"/>
      <c r="B113" s="967" t="n"/>
      <c r="C113" s="967" t="n"/>
      <c r="D113" s="967" t="n"/>
      <c r="E113" s="967" t="n"/>
      <c r="F113" s="967" t="n"/>
      <c r="G113" s="967" t="n"/>
      <c r="H113" s="967" t="n"/>
      <c r="I113" s="967" t="n"/>
      <c r="J113" s="967" t="n"/>
      <c r="K113" s="967" t="n"/>
      <c r="L113" s="967" t="n"/>
      <c r="M113" s="967" t="n"/>
    </row>
    <row r="114">
      <c r="A114" s="962" t="n"/>
      <c r="B114" s="964" t="n"/>
      <c r="C114" s="963" t="n"/>
      <c r="D114" s="964" t="n"/>
      <c r="E114" s="964" t="n"/>
      <c r="F114" s="963" t="n"/>
      <c r="G114" s="964" t="n"/>
      <c r="H114" s="964" t="n"/>
      <c r="I114" s="964" t="n"/>
      <c r="J114" s="964" t="n"/>
      <c r="K114" s="964" t="n"/>
      <c r="L114" s="964" t="n"/>
      <c r="M114" s="964" t="n"/>
    </row>
    <row r="115">
      <c r="A115" s="962" t="n"/>
      <c r="B115" s="964" t="n"/>
      <c r="C115" s="963" t="n"/>
      <c r="D115" s="964" t="n"/>
      <c r="E115" s="964" t="n"/>
      <c r="F115" s="963" t="n"/>
      <c r="G115" s="964" t="n"/>
      <c r="H115" s="964" t="n"/>
      <c r="I115" s="964" t="n"/>
      <c r="J115" s="964" t="n"/>
      <c r="K115" s="964" t="n"/>
      <c r="L115" s="964" t="n"/>
      <c r="M115" s="964" t="n"/>
    </row>
    <row r="116">
      <c r="A116" s="962" t="n"/>
      <c r="B116" s="964" t="n"/>
      <c r="C116" s="963" t="n"/>
      <c r="D116" s="964" t="n"/>
      <c r="E116" s="964" t="n"/>
      <c r="F116" s="963" t="n"/>
      <c r="G116" s="964" t="n"/>
      <c r="H116" s="964" t="n"/>
      <c r="I116" s="964" t="n"/>
      <c r="J116" s="964" t="n"/>
      <c r="K116" s="964" t="n"/>
      <c r="L116" s="964" t="n"/>
      <c r="M116" s="964" t="n"/>
    </row>
    <row r="117">
      <c r="A117" s="962" t="n"/>
      <c r="B117" s="964" t="n"/>
      <c r="C117" s="963" t="n"/>
      <c r="D117" s="964" t="n"/>
      <c r="E117" s="964" t="n"/>
      <c r="F117" s="963" t="n"/>
      <c r="G117" s="964" t="n"/>
      <c r="H117" s="964" t="n"/>
      <c r="I117" s="964" t="n"/>
      <c r="J117" s="964" t="n"/>
      <c r="K117" s="964" t="n"/>
      <c r="L117" s="964" t="n"/>
      <c r="M117" s="964" t="n"/>
    </row>
    <row r="118">
      <c r="A118" s="962" t="n"/>
      <c r="B118" s="964" t="n"/>
      <c r="C118" s="963" t="n"/>
      <c r="D118" s="964" t="n"/>
      <c r="E118" s="964" t="n"/>
      <c r="F118" s="963" t="n"/>
      <c r="G118" s="964" t="n"/>
      <c r="H118" s="964" t="n"/>
      <c r="I118" s="964" t="n"/>
      <c r="J118" s="964" t="n"/>
      <c r="K118" s="964" t="n"/>
      <c r="L118" s="964" t="n"/>
      <c r="M118" s="964" t="n"/>
    </row>
    <row r="119">
      <c r="A119" s="962" t="n"/>
      <c r="B119" s="964" t="n"/>
      <c r="C119" s="963" t="n"/>
      <c r="D119" s="964" t="n"/>
      <c r="E119" s="964" t="n"/>
      <c r="F119" s="963" t="n"/>
      <c r="G119" s="964" t="n"/>
      <c r="H119" s="964" t="n"/>
      <c r="I119" s="964" t="n"/>
      <c r="J119" s="964" t="n"/>
      <c r="K119" s="964" t="n"/>
      <c r="L119" s="964" t="n"/>
      <c r="M119" s="964" t="n"/>
    </row>
    <row r="120">
      <c r="A120" s="962" t="n"/>
      <c r="B120" s="964" t="n"/>
      <c r="C120" s="963" t="n"/>
      <c r="D120" s="964" t="n"/>
      <c r="E120" s="964" t="n"/>
      <c r="F120" s="963" t="n"/>
      <c r="G120" s="964" t="n"/>
      <c r="H120" s="964" t="n"/>
      <c r="I120" s="964" t="n"/>
      <c r="J120" s="964" t="n"/>
      <c r="K120" s="964" t="n"/>
      <c r="L120" s="964" t="n"/>
      <c r="M120" s="964" t="n"/>
    </row>
    <row r="121">
      <c r="A121" s="962" t="n"/>
      <c r="B121" s="964" t="n"/>
      <c r="C121" s="963" t="n"/>
      <c r="D121" s="964" t="n"/>
      <c r="E121" s="964" t="n"/>
      <c r="F121" s="963" t="n"/>
      <c r="G121" s="964" t="n"/>
      <c r="H121" s="964" t="n"/>
      <c r="I121" s="964" t="n"/>
      <c r="J121" s="964" t="n"/>
      <c r="K121" s="964" t="n"/>
      <c r="L121" s="964" t="n"/>
      <c r="M121" s="964" t="n"/>
    </row>
    <row r="122">
      <c r="A122" s="962" t="n"/>
      <c r="B122" s="964" t="n"/>
      <c r="C122" s="963" t="n"/>
      <c r="D122" s="964" t="n"/>
      <c r="E122" s="964" t="n"/>
      <c r="F122" s="963" t="n"/>
      <c r="G122" s="964" t="n"/>
      <c r="H122" s="964" t="n"/>
      <c r="I122" s="964" t="n"/>
      <c r="J122" s="964" t="n"/>
      <c r="K122" s="964" t="n"/>
      <c r="L122" s="964" t="n"/>
      <c r="M122" s="964" t="n"/>
    </row>
    <row r="123">
      <c r="A123" s="962" t="n"/>
      <c r="B123" s="967" t="n"/>
      <c r="C123" s="967" t="n"/>
      <c r="D123" s="967" t="n"/>
      <c r="E123" s="967" t="n"/>
      <c r="F123" s="967" t="n"/>
      <c r="G123" s="967" t="n"/>
      <c r="H123" s="967" t="n"/>
      <c r="I123" s="967" t="n"/>
      <c r="J123" s="967" t="n"/>
      <c r="K123" s="967" t="n"/>
      <c r="L123" s="967" t="n"/>
      <c r="M123" s="967" t="n"/>
    </row>
    <row r="124">
      <c r="A124" s="962" t="n"/>
      <c r="B124" s="964" t="n"/>
      <c r="C124" s="963" t="n"/>
      <c r="D124" s="964" t="n"/>
      <c r="E124" s="964" t="n"/>
      <c r="F124" s="963" t="n"/>
      <c r="G124" s="964" t="n"/>
      <c r="H124" s="963" t="n"/>
      <c r="I124" s="964" t="n"/>
      <c r="J124" s="964" t="n"/>
      <c r="K124" s="964" t="n"/>
      <c r="L124" s="964" t="n"/>
      <c r="M124" s="964" t="n"/>
    </row>
    <row r="125">
      <c r="A125" s="962" t="n"/>
      <c r="B125" s="964" t="n"/>
      <c r="C125" s="963" t="n"/>
      <c r="D125" s="964" t="n"/>
      <c r="E125" s="964" t="n"/>
      <c r="F125" s="963" t="n"/>
      <c r="G125" s="964" t="n"/>
      <c r="H125" s="963" t="n"/>
      <c r="I125" s="964" t="n"/>
      <c r="J125" s="964" t="n"/>
      <c r="K125" s="964" t="n"/>
      <c r="L125" s="964" t="n"/>
      <c r="M125" s="964" t="n"/>
    </row>
    <row r="126">
      <c r="A126" s="962" t="n"/>
      <c r="B126" s="964" t="n"/>
      <c r="C126" s="963" t="n"/>
      <c r="D126" s="964" t="n"/>
      <c r="E126" s="964" t="n"/>
      <c r="F126" s="963" t="n"/>
      <c r="G126" s="964" t="n"/>
      <c r="H126" s="963" t="n"/>
      <c r="I126" s="964" t="n"/>
      <c r="J126" s="964" t="n"/>
      <c r="K126" s="964" t="n"/>
      <c r="L126" s="964" t="n"/>
      <c r="M126" s="964" t="n"/>
    </row>
    <row r="127">
      <c r="A127" s="962" t="n"/>
      <c r="B127" s="964" t="n"/>
      <c r="C127" s="963" t="n"/>
      <c r="D127" s="964" t="n"/>
      <c r="E127" s="964" t="n"/>
      <c r="F127" s="963" t="n"/>
      <c r="G127" s="964" t="n"/>
      <c r="H127" s="963" t="n"/>
      <c r="I127" s="964" t="n"/>
      <c r="J127" s="964" t="n"/>
      <c r="K127" s="964" t="n"/>
      <c r="L127" s="964" t="n"/>
      <c r="M127" s="964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27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34" customWidth="1" min="1" max="1"/>
    <col width="36" customWidth="1" min="2" max="2"/>
    <col width="14" customWidth="1" min="3" max="3"/>
    <col width="13" customWidth="1" min="4" max="4"/>
    <col width="34" customWidth="1" min="5" max="5"/>
    <col width="39" customWidth="1" min="6" max="6"/>
    <col width="40" customWidth="1" min="7" max="7"/>
    <col width="37" customWidth="1" min="8" max="8"/>
    <col width="43" customWidth="1" min="9" max="9"/>
    <col width="36" customWidth="1" min="10" max="10"/>
    <col width="43" customWidth="1" min="11" max="11"/>
    <col width="34" customWidth="1" min="12" max="12"/>
    <col width="24" customWidth="1" min="13" max="13"/>
  </cols>
  <sheetData>
    <row r="1">
      <c r="A1" s="883" t="n"/>
      <c r="B1" s="884" t="inlineStr">
        <is>
          <t>January</t>
        </is>
      </c>
      <c r="C1" s="884" t="inlineStr">
        <is>
          <t>February</t>
        </is>
      </c>
      <c r="D1" s="884" t="inlineStr">
        <is>
          <t>March</t>
        </is>
      </c>
      <c r="E1" s="884" t="inlineStr">
        <is>
          <t>April</t>
        </is>
      </c>
      <c r="F1" s="884" t="inlineStr">
        <is>
          <t>May</t>
        </is>
      </c>
      <c r="G1" s="884" t="inlineStr">
        <is>
          <t>June</t>
        </is>
      </c>
      <c r="H1" s="884" t="inlineStr">
        <is>
          <t>July</t>
        </is>
      </c>
      <c r="I1" s="884" t="inlineStr">
        <is>
          <t>August</t>
        </is>
      </c>
      <c r="J1" s="884" t="inlineStr">
        <is>
          <t>September</t>
        </is>
      </c>
      <c r="K1" s="884" t="inlineStr">
        <is>
          <t>October</t>
        </is>
      </c>
      <c r="L1" s="884" t="inlineStr">
        <is>
          <t>November</t>
        </is>
      </c>
      <c r="M1" s="885" t="inlineStr">
        <is>
          <t>December</t>
        </is>
      </c>
    </row>
    <row r="2" ht="14.5" customHeight="1">
      <c r="A2" s="886" t="inlineStr">
        <is>
          <t>Trades</t>
        </is>
      </c>
      <c r="B2" s="887" t="n">
        <v>4</v>
      </c>
      <c r="C2" s="887" t="n">
        <v>0</v>
      </c>
      <c r="D2" s="887" t="n">
        <v>0</v>
      </c>
      <c r="E2" s="887" t="n">
        <v>1</v>
      </c>
      <c r="F2" s="887" t="n">
        <v>3</v>
      </c>
      <c r="G2" s="887" t="n">
        <v>6</v>
      </c>
      <c r="H2" s="887" t="n">
        <v>3</v>
      </c>
      <c r="I2" s="887" t="n">
        <v>7</v>
      </c>
      <c r="J2" s="887" t="n">
        <v>7</v>
      </c>
      <c r="K2" s="887" t="n">
        <v>4</v>
      </c>
      <c r="L2" s="887" t="n">
        <v>1</v>
      </c>
      <c r="M2" s="888" t="n">
        <v>0</v>
      </c>
    </row>
    <row r="3" ht="14.5" customHeight="1">
      <c r="A3" s="889" t="inlineStr">
        <is>
          <t>Wins</t>
        </is>
      </c>
      <c r="B3" s="890" t="n">
        <v>1</v>
      </c>
      <c r="C3" s="890" t="n">
        <v>0</v>
      </c>
      <c r="D3" s="890" t="n">
        <v>0</v>
      </c>
      <c r="E3" s="890" t="n">
        <v>1</v>
      </c>
      <c r="F3" s="890" t="n">
        <v>2</v>
      </c>
      <c r="G3" s="890" t="n">
        <v>3</v>
      </c>
      <c r="H3" s="890" t="n">
        <v>1</v>
      </c>
      <c r="I3" s="890" t="n">
        <v>1</v>
      </c>
      <c r="J3" s="890" t="n">
        <v>4</v>
      </c>
      <c r="K3" s="890" t="n">
        <v>0</v>
      </c>
      <c r="L3" s="890" t="n">
        <v>0</v>
      </c>
      <c r="M3" s="891" t="n">
        <v>0</v>
      </c>
    </row>
    <row r="4" ht="14.5" customHeight="1">
      <c r="A4" s="889" t="inlineStr">
        <is>
          <t>Losses</t>
        </is>
      </c>
      <c r="B4" s="892" t="n">
        <v>3</v>
      </c>
      <c r="C4" s="892" t="n">
        <v>0</v>
      </c>
      <c r="D4" s="892" t="n">
        <v>0</v>
      </c>
      <c r="E4" s="892" t="n">
        <v>0</v>
      </c>
      <c r="F4" s="892" t="n">
        <v>1</v>
      </c>
      <c r="G4" s="892" t="n">
        <v>3</v>
      </c>
      <c r="H4" s="892" t="n">
        <v>2</v>
      </c>
      <c r="I4" s="892" t="n">
        <v>6</v>
      </c>
      <c r="J4" s="892" t="n">
        <v>3</v>
      </c>
      <c r="K4" s="892" t="n">
        <v>4</v>
      </c>
      <c r="L4" s="892" t="n">
        <v>1</v>
      </c>
      <c r="M4" s="893" t="n">
        <v>0</v>
      </c>
    </row>
    <row r="5" ht="14.5" customHeight="1">
      <c r="A5" s="889" t="inlineStr">
        <is>
          <t>Break-even</t>
        </is>
      </c>
      <c r="B5" s="887" t="n">
        <v>0</v>
      </c>
      <c r="C5" s="887" t="n">
        <v>0</v>
      </c>
      <c r="D5" s="887" t="n">
        <v>0</v>
      </c>
      <c r="E5" s="887" t="n">
        <v>0</v>
      </c>
      <c r="F5" s="887" t="n">
        <v>0</v>
      </c>
      <c r="G5" s="887" t="n">
        <v>0</v>
      </c>
      <c r="H5" s="887" t="n">
        <v>0</v>
      </c>
      <c r="I5" s="887" t="n">
        <v>0</v>
      </c>
      <c r="J5" s="887" t="n">
        <v>0</v>
      </c>
      <c r="K5" s="887" t="n">
        <v>0</v>
      </c>
      <c r="L5" s="887" t="n">
        <v>0</v>
      </c>
      <c r="M5" s="888" t="n">
        <v>0</v>
      </c>
    </row>
    <row r="6" ht="14.5" customHeight="1">
      <c r="A6" s="889" t="inlineStr">
        <is>
          <t>Test</t>
        </is>
      </c>
      <c r="B6" s="887" t="n">
        <v>0</v>
      </c>
      <c r="C6" s="887" t="n">
        <v>0</v>
      </c>
      <c r="D6" s="887" t="n">
        <v>0</v>
      </c>
      <c r="E6" s="887" t="n">
        <v>0</v>
      </c>
      <c r="F6" s="887" t="n">
        <v>1</v>
      </c>
      <c r="G6" s="887" t="n">
        <v>0</v>
      </c>
      <c r="H6" s="887" t="n">
        <v>0</v>
      </c>
      <c r="I6" s="887" t="n">
        <v>0</v>
      </c>
      <c r="J6" s="887" t="n">
        <v>0</v>
      </c>
      <c r="K6" s="887" t="n">
        <v>0</v>
      </c>
      <c r="L6" s="887" t="n">
        <v>0</v>
      </c>
      <c r="M6" s="888" t="n">
        <v>1</v>
      </c>
    </row>
    <row r="7" ht="14.5" customHeight="1">
      <c r="A7" s="886" t="inlineStr">
        <is>
          <t>Win rate</t>
        </is>
      </c>
      <c r="B7" s="894" t="n">
        <v>0.25</v>
      </c>
      <c r="C7" s="894" t="inlineStr"/>
      <c r="D7" s="894" t="inlineStr"/>
      <c r="E7" s="894" t="n">
        <v>1</v>
      </c>
      <c r="F7" s="894" t="n">
        <v>0.6666666666666665</v>
      </c>
      <c r="G7" s="894" t="n">
        <v>0.5</v>
      </c>
      <c r="H7" s="894" t="n">
        <v>0.3333333333333333</v>
      </c>
      <c r="I7" s="894" t="n">
        <v>0.1428571428571428</v>
      </c>
      <c r="J7" s="894" t="n">
        <v>0.5714285714285714</v>
      </c>
      <c r="K7" s="894" t="n">
        <v>0</v>
      </c>
      <c r="L7" s="894" t="n">
        <v>0</v>
      </c>
      <c r="M7" s="895" t="inlineStr"/>
    </row>
    <row r="8" ht="14.5" customHeight="1">
      <c r="A8" s="886" t="inlineStr">
        <is>
          <t>Net P/L</t>
        </is>
      </c>
      <c r="B8" s="896" t="n">
        <v>-0.01323574210375897</v>
      </c>
      <c r="C8" s="894" t="inlineStr"/>
      <c r="D8" s="894" t="inlineStr"/>
      <c r="E8" s="897" t="n">
        <v>0.01988722132029</v>
      </c>
      <c r="F8" s="897" t="n">
        <v>0.01884447682039625</v>
      </c>
      <c r="G8" s="897" t="n">
        <v>0.03117364038516869</v>
      </c>
      <c r="H8" s="896" t="n">
        <v>-0.01374093985655996</v>
      </c>
      <c r="I8" s="896" t="n">
        <v>-0.03628974569366368</v>
      </c>
      <c r="J8" s="897" t="n">
        <v>0.06172349362590194</v>
      </c>
      <c r="K8" s="896" t="n">
        <v>-0.0374528667166133</v>
      </c>
      <c r="L8" s="896" t="n">
        <v>-0.01156117488253139</v>
      </c>
      <c r="M8" s="663" t="inlineStr"/>
    </row>
    <row r="9" ht="14.5" customHeight="1">
      <c r="A9" s="886" t="inlineStr">
        <is>
          <t>Gross percent gain</t>
        </is>
      </c>
      <c r="B9" s="897" t="n">
        <v>0.01906331271477426</v>
      </c>
      <c r="C9" s="662" t="inlineStr"/>
      <c r="D9" s="662" t="inlineStr"/>
      <c r="E9" s="897" t="n">
        <v>0.01988722132029</v>
      </c>
      <c r="F9" s="897" t="n">
        <v>0.03193474096342665</v>
      </c>
      <c r="G9" s="897" t="n">
        <v>0.05243650368370169</v>
      </c>
      <c r="H9" s="897" t="n">
        <v>0.006907430002568713</v>
      </c>
      <c r="I9" s="897" t="n">
        <v>0.01954117732823579</v>
      </c>
      <c r="J9" s="897" t="n">
        <v>0.08838576438865116</v>
      </c>
      <c r="K9" s="897" t="n">
        <v>0</v>
      </c>
      <c r="L9" s="897" t="n">
        <v>0</v>
      </c>
      <c r="M9" s="663" t="inlineStr"/>
    </row>
    <row r="10" ht="14.5" customHeight="1">
      <c r="A10" s="886" t="inlineStr">
        <is>
          <t>Gross percent loss</t>
        </is>
      </c>
      <c r="B10" s="896" t="n">
        <v>0.03229905481853323</v>
      </c>
      <c r="C10" s="662" t="inlineStr"/>
      <c r="D10" s="662" t="inlineStr"/>
      <c r="E10" s="896" t="n">
        <v>0</v>
      </c>
      <c r="F10" s="896" t="n">
        <v>0.0130902641430304</v>
      </c>
      <c r="G10" s="896" t="n">
        <v>0.021262863298533</v>
      </c>
      <c r="H10" s="896" t="n">
        <v>0.02064836985912867</v>
      </c>
      <c r="I10" s="896" t="n">
        <v>0.05583092302189947</v>
      </c>
      <c r="J10" s="896" t="n">
        <v>0.02666227076274923</v>
      </c>
      <c r="K10" s="896" t="n">
        <v>0.0374528667166133</v>
      </c>
      <c r="L10" s="896" t="n">
        <v>0.01156117488253139</v>
      </c>
      <c r="M10" s="663" t="inlineStr"/>
    </row>
    <row r="11" ht="14.5" customHeight="1">
      <c r="A11" s="886" t="inlineStr">
        <is>
          <t>Gross IR gain</t>
        </is>
      </c>
      <c r="B11" s="900" t="n">
        <v>1.981595092024505</v>
      </c>
      <c r="C11" s="977" t="inlineStr"/>
      <c r="D11" s="977" t="inlineStr"/>
      <c r="E11" s="900" t="n">
        <v>2.000000000000006</v>
      </c>
      <c r="F11" s="900" t="n">
        <v>3.94117647058806</v>
      </c>
      <c r="G11" s="900" t="n">
        <v>5.875150541951044</v>
      </c>
      <c r="H11" s="900" t="n">
        <v>1.558139534884369</v>
      </c>
      <c r="I11" s="900" t="n">
        <v>2.409748427672969</v>
      </c>
      <c r="J11" s="900" t="n">
        <v>7.021741499972522</v>
      </c>
      <c r="K11" s="900" t="n">
        <v>0</v>
      </c>
      <c r="L11" s="900" t="n">
        <v>0</v>
      </c>
      <c r="M11" s="978" t="inlineStr"/>
    </row>
    <row r="12" ht="14.5" customHeight="1">
      <c r="A12" s="886" t="inlineStr">
        <is>
          <t>Gross IR loss</t>
        </is>
      </c>
      <c r="B12" s="902" t="n">
        <v>3.205990119964327</v>
      </c>
      <c r="C12" s="977" t="inlineStr"/>
      <c r="D12" s="977" t="inlineStr"/>
      <c r="E12" s="902" t="n">
        <v>0</v>
      </c>
      <c r="F12" s="902" t="n">
        <v>1.112698412698411</v>
      </c>
      <c r="G12" s="902" t="n">
        <v>2.059799051122599</v>
      </c>
      <c r="H12" s="902" t="n">
        <v>2.004003579671235</v>
      </c>
      <c r="I12" s="902" t="n">
        <v>5.569014648574539</v>
      </c>
      <c r="J12" s="902" t="n">
        <v>3.020095489514437</v>
      </c>
      <c r="K12" s="902" t="n">
        <v>3.984215678997647</v>
      </c>
      <c r="L12" s="902" t="n">
        <v>1</v>
      </c>
      <c r="M12" s="978" t="inlineStr"/>
    </row>
    <row r="13" ht="14.5" customHeight="1">
      <c r="A13" s="886" t="inlineStr">
        <is>
          <t>Best Win Streak</t>
        </is>
      </c>
      <c r="B13" s="890" t="n">
        <v>1</v>
      </c>
      <c r="C13" s="945" t="inlineStr"/>
      <c r="D13" s="945" t="inlineStr"/>
      <c r="E13" s="890" t="n">
        <v>1</v>
      </c>
      <c r="F13" s="890" t="n">
        <v>1</v>
      </c>
      <c r="G13" s="890" t="n">
        <v>2</v>
      </c>
      <c r="H13" s="890" t="n">
        <v>1</v>
      </c>
      <c r="I13" s="890" t="n">
        <v>1</v>
      </c>
      <c r="J13" s="890" t="n">
        <v>2</v>
      </c>
      <c r="K13" s="945" t="inlineStr"/>
      <c r="L13" s="945" t="inlineStr"/>
      <c r="M13" s="946" t="inlineStr"/>
    </row>
    <row r="14" ht="14.5" customHeight="1">
      <c r="A14" s="889" t="inlineStr">
        <is>
          <t>Start</t>
        </is>
      </c>
      <c r="B14" s="661" t="inlineStr">
        <is>
          <t>2025-01-22 06:10:00</t>
        </is>
      </c>
      <c r="C14" s="917" t="inlineStr"/>
      <c r="D14" s="917" t="inlineStr"/>
      <c r="E14" s="661" t="inlineStr">
        <is>
          <t>2025-04-30 04:50:00</t>
        </is>
      </c>
      <c r="F14" s="661" t="inlineStr">
        <is>
          <t>2025-05-06 02:37:53</t>
        </is>
      </c>
      <c r="G14" s="661" t="inlineStr">
        <is>
          <t>2025-06-27 12:23:00</t>
        </is>
      </c>
      <c r="H14" s="661" t="inlineStr">
        <is>
          <t>2025-07-28 22:08:00</t>
        </is>
      </c>
      <c r="I14" s="661" t="inlineStr">
        <is>
          <t>2025-08-21 19:18:00</t>
        </is>
      </c>
      <c r="J14" s="661" t="inlineStr">
        <is>
          <t>2025-09-05 18:05:54</t>
        </is>
      </c>
      <c r="K14" s="917" t="inlineStr"/>
      <c r="L14" s="917" t="inlineStr"/>
      <c r="M14" s="918" t="inlineStr"/>
    </row>
    <row r="15" ht="14.5" customHeight="1">
      <c r="A15" s="889" t="inlineStr">
        <is>
          <t>End</t>
        </is>
      </c>
      <c r="B15" s="661" t="inlineStr">
        <is>
          <t>2025-01-22 06:10:00</t>
        </is>
      </c>
      <c r="C15" s="917" t="inlineStr"/>
      <c r="D15" s="917" t="inlineStr"/>
      <c r="E15" s="661" t="inlineStr">
        <is>
          <t>2025-04-30 04:50:00</t>
        </is>
      </c>
      <c r="F15" s="661" t="inlineStr">
        <is>
          <t>2025-05-06 02:37:53</t>
        </is>
      </c>
      <c r="G15" s="661" t="inlineStr">
        <is>
          <t>2025-06-27 18:36:55</t>
        </is>
      </c>
      <c r="H15" s="661" t="inlineStr">
        <is>
          <t>2025-07-28 22:08:00</t>
        </is>
      </c>
      <c r="I15" s="661" t="inlineStr">
        <is>
          <t>2025-08-21 19:18:00</t>
        </is>
      </c>
      <c r="J15" s="661" t="inlineStr">
        <is>
          <t>2025-09-08 16:49:45</t>
        </is>
      </c>
      <c r="K15" s="917" t="inlineStr"/>
      <c r="L15" s="917" t="inlineStr"/>
      <c r="M15" s="918" t="inlineStr"/>
    </row>
    <row r="16" ht="14.5" customHeight="1">
      <c r="A16" s="886" t="inlineStr">
        <is>
          <t>Worst Losing Streak</t>
        </is>
      </c>
      <c r="B16" s="892" t="n">
        <v>2</v>
      </c>
      <c r="C16" s="945" t="inlineStr"/>
      <c r="D16" s="945" t="inlineStr"/>
      <c r="E16" s="945" t="inlineStr"/>
      <c r="F16" s="892" t="n">
        <v>1</v>
      </c>
      <c r="G16" s="892" t="n">
        <v>2</v>
      </c>
      <c r="H16" s="892" t="n">
        <v>2</v>
      </c>
      <c r="I16" s="892" t="n">
        <v>5</v>
      </c>
      <c r="J16" s="892" t="n">
        <v>2</v>
      </c>
      <c r="K16" s="892" t="n">
        <v>4</v>
      </c>
      <c r="L16" s="892" t="n">
        <v>1</v>
      </c>
      <c r="M16" s="946" t="inlineStr"/>
    </row>
    <row r="17" ht="14.5" customHeight="1">
      <c r="A17" s="889" t="inlineStr">
        <is>
          <t>Start</t>
        </is>
      </c>
      <c r="B17" s="661" t="inlineStr">
        <is>
          <t>2025-01-12 16:59:00</t>
        </is>
      </c>
      <c r="C17" s="917" t="inlineStr"/>
      <c r="D17" s="917" t="inlineStr"/>
      <c r="E17" s="917" t="inlineStr"/>
      <c r="F17" s="661" t="inlineStr">
        <is>
          <t>2025-05-23 19:12:00</t>
        </is>
      </c>
      <c r="G17" s="661" t="inlineStr">
        <is>
          <t>2025-06-10 20:27:00</t>
        </is>
      </c>
      <c r="H17" s="661" t="inlineStr">
        <is>
          <t>2025-07-11 05:49:00</t>
        </is>
      </c>
      <c r="I17" s="661" t="inlineStr">
        <is>
          <t>2025-08-04 09:19:00</t>
        </is>
      </c>
      <c r="J17" s="661" t="inlineStr">
        <is>
          <t>2025-09-28 15:11:00</t>
        </is>
      </c>
      <c r="K17" s="661" t="inlineStr">
        <is>
          <t>2025-10-01 02:20:00</t>
        </is>
      </c>
      <c r="L17" s="661" t="inlineStr">
        <is>
          <t>2025-11-06 11:28:13</t>
        </is>
      </c>
      <c r="M17" s="904" t="inlineStr"/>
    </row>
    <row r="18" ht="14.5" customHeight="1">
      <c r="A18" s="889" t="inlineStr">
        <is>
          <t>End</t>
        </is>
      </c>
      <c r="B18" s="661" t="inlineStr">
        <is>
          <t>2025-01-19 19:26:00</t>
        </is>
      </c>
      <c r="C18" s="917" t="inlineStr"/>
      <c r="D18" s="917" t="inlineStr"/>
      <c r="E18" s="917" t="inlineStr"/>
      <c r="F18" s="661" t="inlineStr">
        <is>
          <t>2025-05-23 19:12:00</t>
        </is>
      </c>
      <c r="G18" s="661" t="inlineStr">
        <is>
          <t>2025-06-15 20:20:00</t>
        </is>
      </c>
      <c r="H18" s="661" t="inlineStr">
        <is>
          <t>2025-07-24 16:43:00</t>
        </is>
      </c>
      <c r="I18" s="661" t="inlineStr">
        <is>
          <t>2025-08-19 22:18:00</t>
        </is>
      </c>
      <c r="J18" s="661" t="inlineStr">
        <is>
          <t>2025-09-30 23:50:16</t>
        </is>
      </c>
      <c r="K18" s="661" t="inlineStr">
        <is>
          <t>2025-10-29 11:45:37</t>
        </is>
      </c>
      <c r="L18" s="661" t="inlineStr">
        <is>
          <t>2025-11-06 11:28:13</t>
        </is>
      </c>
      <c r="M18" s="904" t="inlineStr"/>
    </row>
    <row r="19" ht="14.5" customHeight="1">
      <c r="A19" s="886" t="inlineStr">
        <is>
          <t>Percentage expectancy</t>
        </is>
      </c>
      <c r="B19" s="896" t="n">
        <v>-0.003308935525939743</v>
      </c>
      <c r="C19" s="894" t="inlineStr"/>
      <c r="D19" s="894" t="inlineStr"/>
      <c r="E19" s="897" t="n">
        <v>0.01988722132029</v>
      </c>
      <c r="F19" s="897" t="n">
        <v>0.006281492273465417</v>
      </c>
      <c r="G19" s="897" t="n">
        <v>0.005195606730861447</v>
      </c>
      <c r="H19" s="896" t="n">
        <v>-0.004580313285519988</v>
      </c>
      <c r="I19" s="896" t="n">
        <v>-0.005184249384809096</v>
      </c>
      <c r="J19" s="897" t="n">
        <v>0.00881764194655742</v>
      </c>
      <c r="K19" s="896" t="n">
        <v>-0.009363216679153324</v>
      </c>
      <c r="L19" s="896" t="n">
        <v>-0.01156117488253139</v>
      </c>
      <c r="M19" s="663" t="inlineStr"/>
    </row>
    <row r="20" ht="14.5" customHeight="1">
      <c r="A20" s="907" t="inlineStr">
        <is>
          <t>R expectancy</t>
        </is>
      </c>
      <c r="B20" s="909" t="n">
        <v>-0.3060987569849557</v>
      </c>
      <c r="C20" s="980" t="inlineStr"/>
      <c r="D20" s="980" t="inlineStr"/>
      <c r="E20" s="970" t="n">
        <v>2.000000000000006</v>
      </c>
      <c r="F20" s="970" t="n">
        <v>0.9428260192965494</v>
      </c>
      <c r="G20" s="970" t="n">
        <v>0.6358919151380741</v>
      </c>
      <c r="H20" s="909" t="n">
        <v>-0.1486213482622883</v>
      </c>
      <c r="I20" s="909" t="n">
        <v>-0.4513237458430815</v>
      </c>
      <c r="J20" s="970" t="n">
        <v>0.5716637157797264</v>
      </c>
      <c r="K20" s="909" t="n">
        <v>-0.9960539197494118</v>
      </c>
      <c r="L20" s="909" t="n">
        <v>-1</v>
      </c>
      <c r="M20" s="1006" t="inlineStr"/>
    </row>
    <row r="21" ht="14.5" customHeight="1">
      <c r="A21" s="913" t="inlineStr">
        <is>
          <t>Avg stop %</t>
        </is>
      </c>
      <c r="B21" s="915" t="n">
        <v>0.01433899940180621</v>
      </c>
      <c r="C21" s="915" t="inlineStr"/>
      <c r="D21" s="915" t="inlineStr"/>
      <c r="E21" s="915" t="n">
        <v>0.04317367861781247</v>
      </c>
      <c r="F21" s="915" t="n">
        <v>0.01501318410982717</v>
      </c>
      <c r="G21" s="915" t="n">
        <v>0.02267968746072701</v>
      </c>
      <c r="H21" s="915" t="n">
        <v>0.02464350028642876</v>
      </c>
      <c r="I21" s="915" t="n">
        <v>0.0157668574509174</v>
      </c>
      <c r="J21" s="915" t="n">
        <v>0.02760103671231423</v>
      </c>
      <c r="K21" s="915" t="n">
        <v>0.02633831912481348</v>
      </c>
      <c r="L21" s="915" t="n">
        <v>0.001514228526673114</v>
      </c>
      <c r="M21" s="916" t="inlineStr"/>
    </row>
    <row r="22" ht="14.5" customHeight="1">
      <c r="A22" s="889" t="inlineStr">
        <is>
          <t>Avg target %</t>
        </is>
      </c>
      <c r="B22" s="894" t="n">
        <v>0.02975481881518644</v>
      </c>
      <c r="C22" s="894" t="inlineStr"/>
      <c r="D22" s="894" t="inlineStr"/>
      <c r="E22" s="894" t="n">
        <v>0.08634735723562523</v>
      </c>
      <c r="F22" s="894" t="n">
        <v>0.03019722729330971</v>
      </c>
      <c r="G22" s="894" t="n">
        <v>0.04574444486744287</v>
      </c>
      <c r="H22" s="894" t="n">
        <v>0.05107417030942234</v>
      </c>
      <c r="I22" s="894" t="n">
        <v>0.03547490720904938</v>
      </c>
      <c r="J22" s="894" t="n">
        <v>0.05620198966524433</v>
      </c>
      <c r="K22" s="894" t="n">
        <v>0.05534993309766167</v>
      </c>
      <c r="L22" s="894" t="n">
        <v>0.002897920111391572</v>
      </c>
      <c r="M22" s="895" t="inlineStr"/>
    </row>
    <row r="23" ht="14.5" customHeight="1">
      <c r="A23" s="889" t="inlineStr">
        <is>
          <t>Min stop %</t>
        </is>
      </c>
      <c r="B23" s="917" t="inlineStr">
        <is>
          <t>0.54% - DOGEUSDT 2025-01-19</t>
        </is>
      </c>
      <c r="C23" s="894" t="inlineStr"/>
      <c r="D23" s="894" t="inlineStr"/>
      <c r="E23" s="917" t="inlineStr">
        <is>
          <t>4.32% - TAIUSDT 2025-04-30</t>
        </is>
      </c>
      <c r="F23" s="917" t="inlineStr">
        <is>
          <t>0.20% - USDJPY 2025-05-06</t>
        </is>
      </c>
      <c r="G23" s="917" t="inlineStr">
        <is>
          <t>0.097% - NZDUSD 2025-06-10</t>
        </is>
      </c>
      <c r="H23" s="917" t="inlineStr">
        <is>
          <t>0.037% - EURUSD 2025-07-28</t>
        </is>
      </c>
      <c r="I23" s="917" t="inlineStr">
        <is>
          <t>0.40% - TRXUSDT 2025-08-14</t>
        </is>
      </c>
      <c r="J23" s="917" t="inlineStr">
        <is>
          <t>0.074% - XAUUSD 2025-09-18</t>
        </is>
      </c>
      <c r="K23" s="917" t="inlineStr">
        <is>
          <t>0.79% - XAGUSD 2025-10-29</t>
        </is>
      </c>
      <c r="L23" s="917" t="inlineStr">
        <is>
          <t>0.15% - EURUSD 2025-11-06</t>
        </is>
      </c>
      <c r="M23" s="895" t="inlineStr"/>
    </row>
    <row r="24" ht="14.5" customHeight="1">
      <c r="A24" s="889" t="inlineStr">
        <is>
          <t>Max stop %</t>
        </is>
      </c>
      <c r="B24" s="917" t="inlineStr">
        <is>
          <t>3.08% - XRPUSDT 2025-01-29</t>
        </is>
      </c>
      <c r="C24" s="894" t="inlineStr"/>
      <c r="D24" s="894" t="inlineStr"/>
      <c r="E24" s="917" t="inlineStr">
        <is>
          <t>4.32% - TAIUSDT 2025-04-30</t>
        </is>
      </c>
      <c r="F24" s="917" t="inlineStr">
        <is>
          <t>3.73% - ZBCNUSDT 2025-05-25</t>
        </is>
      </c>
      <c r="G24" s="917" t="inlineStr">
        <is>
          <t>5.26% - 1000CATSUSDT 2025-06-15</t>
        </is>
      </c>
      <c r="H24" s="917" t="inlineStr">
        <is>
          <t>5.55% - ENAUSDT 2025-07-24</t>
        </is>
      </c>
      <c r="I24" s="917" t="inlineStr">
        <is>
          <t>4.44% - ENAUSDT 2025-08-19</t>
        </is>
      </c>
      <c r="J24" s="917" t="inlineStr">
        <is>
          <t>9.29% - AVNTUSDT 2025-09-28</t>
        </is>
      </c>
      <c r="K24" s="917" t="inlineStr">
        <is>
          <t>5.69% - ORDERUSDT 2025-10-01</t>
        </is>
      </c>
      <c r="L24" s="917" t="inlineStr">
        <is>
          <t>0.15% - EURUSD 2025-11-06</t>
        </is>
      </c>
      <c r="M24" s="895" t="inlineStr"/>
    </row>
    <row r="25" ht="14.5" customHeight="1">
      <c r="A25" s="889" t="inlineStr">
        <is>
          <t>Min target %</t>
        </is>
      </c>
      <c r="B25" s="917" t="inlineStr">
        <is>
          <t>1.40% - DOGEUSDT 2025-01-19</t>
        </is>
      </c>
      <c r="C25" s="894" t="inlineStr"/>
      <c r="D25" s="894" t="inlineStr"/>
      <c r="E25" s="917" t="inlineStr">
        <is>
          <t>8.63% - TAIUSDT 2025-04-30</t>
        </is>
      </c>
      <c r="F25" s="917" t="inlineStr">
        <is>
          <t>0.39% - USDJPY 2025-05-06</t>
        </is>
      </c>
      <c r="G25" s="917" t="inlineStr">
        <is>
          <t>0.0068% - NZDUSD 2025-06-10</t>
        </is>
      </c>
      <c r="H25" s="917" t="inlineStr">
        <is>
          <t>0.057% - EURUSD 2025-07-28</t>
        </is>
      </c>
      <c r="I25" s="917" t="inlineStr">
        <is>
          <t>1.15% - TRXUSDT 2025-08-14</t>
        </is>
      </c>
      <c r="J25" s="917" t="inlineStr">
        <is>
          <t>0.11% - XAUUSD 2025-09-18</t>
        </is>
      </c>
      <c r="K25" s="917" t="inlineStr">
        <is>
          <t>1.49% - XAGUSD 2025-10-29</t>
        </is>
      </c>
      <c r="L25" s="917" t="inlineStr">
        <is>
          <t>0.29% - EURUSD 2025-11-06</t>
        </is>
      </c>
      <c r="M25" s="895" t="inlineStr"/>
    </row>
    <row r="26" ht="14.5" customHeight="1">
      <c r="A26" s="919" t="inlineStr">
        <is>
          <t>Max target %</t>
        </is>
      </c>
      <c r="B26" s="920" t="inlineStr">
        <is>
          <t>6.16% - XRPUSDT 2025-01-29</t>
        </is>
      </c>
      <c r="C26" s="982" t="inlineStr"/>
      <c r="D26" s="982" t="inlineStr"/>
      <c r="E26" s="920" t="inlineStr">
        <is>
          <t>8.63% - TAIUSDT 2025-04-30</t>
        </is>
      </c>
      <c r="F26" s="920" t="inlineStr">
        <is>
          <t>7.46% - ZBCNUSDT 2025-05-25</t>
        </is>
      </c>
      <c r="G26" s="920" t="inlineStr">
        <is>
          <t>10.59% - 1000CATSUSDT 2025-06-15</t>
        </is>
      </c>
      <c r="H26" s="920" t="inlineStr">
        <is>
          <t>11.52% - ENAUSDT 2025-07-24</t>
        </is>
      </c>
      <c r="I26" s="920" t="inlineStr">
        <is>
          <t>9.28% - ENAUSDT 2025-08-19</t>
        </is>
      </c>
      <c r="J26" s="920" t="inlineStr">
        <is>
          <t>19.05% - AVNTUSDT 2025-09-28</t>
        </is>
      </c>
      <c r="K26" s="920" t="inlineStr">
        <is>
          <t>11.77% - ORDERUSDT 2025-10-01</t>
        </is>
      </c>
      <c r="L26" s="920" t="inlineStr">
        <is>
          <t>0.29% - EURUSD 2025-11-06</t>
        </is>
      </c>
      <c r="M26" s="983" t="inlineStr"/>
    </row>
    <row r="27" ht="14.5" customHeight="1">
      <c r="A27" s="913" t="inlineStr">
        <is>
          <t>Avg duration (DD:HH:MM:SS)</t>
        </is>
      </c>
      <c r="B27" s="922" t="inlineStr">
        <is>
          <t>4H 1M 30S</t>
        </is>
      </c>
      <c r="C27" s="922" t="inlineStr"/>
      <c r="D27" s="922" t="inlineStr"/>
      <c r="E27" s="922" t="inlineStr">
        <is>
          <t>2H 41M 0S</t>
        </is>
      </c>
      <c r="F27" s="922" t="inlineStr">
        <is>
          <t>1H 27M 35S</t>
        </is>
      </c>
      <c r="G27" s="922" t="inlineStr">
        <is>
          <t>5H 46M 39S</t>
        </is>
      </c>
      <c r="H27" s="922" t="inlineStr">
        <is>
          <t>5H 47M 0S</t>
        </is>
      </c>
      <c r="I27" s="922" t="inlineStr">
        <is>
          <t>11H 36M 42S</t>
        </is>
      </c>
      <c r="J27" s="922" t="inlineStr">
        <is>
          <t>6H 4M 50S</t>
        </is>
      </c>
      <c r="K27" s="922" t="inlineStr">
        <is>
          <t>9H 11M 0S</t>
        </is>
      </c>
      <c r="L27" s="922" t="inlineStr">
        <is>
          <t>4H 11M 38S</t>
        </is>
      </c>
      <c r="M27" s="923" t="inlineStr"/>
    </row>
    <row r="28" ht="14.5" customHeight="1">
      <c r="A28" s="889" t="inlineStr">
        <is>
          <t>Move to Break Even (DD:HH:MM:SS)</t>
        </is>
      </c>
      <c r="B28" s="917" t="inlineStr"/>
      <c r="C28" s="917" t="inlineStr"/>
      <c r="D28" s="917" t="inlineStr"/>
      <c r="E28" s="917" t="inlineStr"/>
      <c r="F28" s="917" t="inlineStr"/>
      <c r="G28" s="917" t="inlineStr"/>
      <c r="H28" s="917" t="inlineStr"/>
      <c r="I28" s="917" t="inlineStr"/>
      <c r="J28" s="917" t="inlineStr"/>
      <c r="K28" s="917" t="inlineStr"/>
      <c r="L28" s="917" t="inlineStr"/>
      <c r="M28" s="918" t="inlineStr"/>
    </row>
    <row r="29" ht="14.5" customHeight="1">
      <c r="A29" s="919" t="inlineStr">
        <is>
          <t>Move to Profit (DD:HH:MM:SS)</t>
        </is>
      </c>
      <c r="B29" s="920" t="inlineStr"/>
      <c r="C29" s="920" t="inlineStr"/>
      <c r="D29" s="920" t="inlineStr"/>
      <c r="E29" s="920" t="inlineStr"/>
      <c r="F29" s="920" t="inlineStr"/>
      <c r="G29" s="920" t="inlineStr"/>
      <c r="H29" s="920" t="inlineStr"/>
      <c r="I29" s="920" t="inlineStr"/>
      <c r="J29" s="920" t="inlineStr"/>
      <c r="K29" s="920" t="inlineStr"/>
      <c r="L29" s="920" t="inlineStr"/>
      <c r="M29" s="921" t="inlineStr"/>
    </row>
    <row r="30" ht="14.5" customHeight="1">
      <c r="A30" s="924" t="inlineStr">
        <is>
          <t>Max win %</t>
        </is>
      </c>
      <c r="B30" s="925" t="inlineStr">
        <is>
          <t>1.91% - SOLUSDT 2025-01-22</t>
        </is>
      </c>
      <c r="C30" s="915" t="inlineStr"/>
      <c r="D30" s="915" t="inlineStr"/>
      <c r="E30" s="925" t="inlineStr">
        <is>
          <t>1.99% - TAIUSDT 2025-04-30</t>
        </is>
      </c>
      <c r="F30" s="925" t="inlineStr">
        <is>
          <t>1.80% - ZBCNUSDT 2025-05-25</t>
        </is>
      </c>
      <c r="G30" s="925" t="inlineStr">
        <is>
          <t>2.00% - GPSUSDT 2025-06-27</t>
        </is>
      </c>
      <c r="H30" s="925" t="inlineStr">
        <is>
          <t>0.69% - EURUSD 2025-07-28</t>
        </is>
      </c>
      <c r="I30" s="925" t="inlineStr">
        <is>
          <t>1.95% - ETHUSDT 2025-08-21</t>
        </is>
      </c>
      <c r="J30" s="925" t="inlineStr">
        <is>
          <t>3.98% - STBLUSDT 2025-09-22</t>
        </is>
      </c>
      <c r="K30" s="925" t="inlineStr">
        <is>
          <t>-0.67% - XAGUSD 2025-10-29</t>
        </is>
      </c>
      <c r="L30" s="925" t="inlineStr">
        <is>
          <t>-1.16% - EURUSD 2025-11-06</t>
        </is>
      </c>
      <c r="M30" s="916" t="inlineStr"/>
    </row>
    <row r="31" ht="14.5" customHeight="1">
      <c r="A31" s="886" t="inlineStr">
        <is>
          <t>Max loss %</t>
        </is>
      </c>
      <c r="B31" s="927" t="inlineStr">
        <is>
          <t>-1.20% - DOGEUSDT 2025-01-19</t>
        </is>
      </c>
      <c r="C31" s="894" t="inlineStr"/>
      <c r="D31" s="894" t="inlineStr"/>
      <c r="E31" s="662" t="inlineStr"/>
      <c r="F31" s="927" t="inlineStr">
        <is>
          <t>-1.31% - SOLAYERUSDT 2025-05-23</t>
        </is>
      </c>
      <c r="G31" s="927" t="inlineStr">
        <is>
          <t>-1.08% - TLMUSDT 2025-06-24</t>
        </is>
      </c>
      <c r="H31" s="927" t="inlineStr">
        <is>
          <t>-1.05% - PENGUUSDT 2025-07-11</t>
        </is>
      </c>
      <c r="I31" s="927" t="inlineStr">
        <is>
          <t>-1.10% - SOLUSDT 2025-08-05</t>
        </is>
      </c>
      <c r="J31" s="927" t="inlineStr">
        <is>
          <t>-1.06% - XAUUSD 2025-09-11</t>
        </is>
      </c>
      <c r="K31" s="927" t="inlineStr">
        <is>
          <t>-1.09% - BNBUSDT 2025-10-11</t>
        </is>
      </c>
      <c r="L31" s="927" t="inlineStr">
        <is>
          <t>-1.16% - EURUSD 2025-11-06</t>
        </is>
      </c>
      <c r="M31" s="895" t="inlineStr"/>
    </row>
    <row r="32" ht="14.5" customHeight="1">
      <c r="A32" s="886" t="inlineStr">
        <is>
          <t>Max R loss</t>
        </is>
      </c>
      <c r="B32" s="927" t="inlineStr">
        <is>
          <t>-1.22R - DOGEUSDT 2025-01-19</t>
        </is>
      </c>
      <c r="C32" s="984" t="inlineStr"/>
      <c r="D32" s="984" t="inlineStr"/>
      <c r="E32" s="977" t="inlineStr"/>
      <c r="F32" s="927" t="inlineStr">
        <is>
          <t>-1.11R - SOLAYERUSDT 2025-05-23</t>
        </is>
      </c>
      <c r="G32" s="927" t="inlineStr">
        <is>
          <t>-1.05R - TLMUSDT 2025-06-24</t>
        </is>
      </c>
      <c r="H32" s="927" t="inlineStr">
        <is>
          <t>-1.02R - ENAUSDT 2025-07-24</t>
        </is>
      </c>
      <c r="I32" s="927" t="inlineStr">
        <is>
          <t>-1.08R - TRXUSDT 2025-08-14</t>
        </is>
      </c>
      <c r="J32" s="927" t="inlineStr">
        <is>
          <t>-1.01R - AVNTUSDT 2025-09-28</t>
        </is>
      </c>
      <c r="K32" s="927" t="inlineStr">
        <is>
          <t>-1.04R - ORDERUSDT 2025-10-01</t>
        </is>
      </c>
      <c r="L32" s="927" t="inlineStr">
        <is>
          <t>-1.00R - EURUSD 2025-11-06</t>
        </is>
      </c>
      <c r="M32" s="985" t="inlineStr"/>
    </row>
    <row r="33" ht="14.5" customHeight="1">
      <c r="A33" s="907" t="inlineStr">
        <is>
          <t>Max R win</t>
        </is>
      </c>
      <c r="B33" s="929" t="inlineStr">
        <is>
          <t>1.98R - SOLUSDT 2025-01-22</t>
        </is>
      </c>
      <c r="C33" s="980" t="inlineStr"/>
      <c r="D33" s="980" t="inlineStr"/>
      <c r="E33" s="929" t="inlineStr">
        <is>
          <t>2.00R - TAIUSDT 2025-04-30</t>
        </is>
      </c>
      <c r="F33" s="929" t="inlineStr">
        <is>
          <t>2.00R - ZBCNUSDT 2025-05-25</t>
        </is>
      </c>
      <c r="G33" s="929" t="inlineStr">
        <is>
          <t>2.06R - GPSUSDT 2025-06-27</t>
        </is>
      </c>
      <c r="H33" s="929" t="inlineStr">
        <is>
          <t>1.56R - EURUSD 2025-07-28</t>
        </is>
      </c>
      <c r="I33" s="929" t="inlineStr">
        <is>
          <t>2.41R - ETHUSDT 2025-08-21</t>
        </is>
      </c>
      <c r="J33" s="929" t="inlineStr">
        <is>
          <t>2.04R - STBLUSDT 2025-09-22</t>
        </is>
      </c>
      <c r="K33" s="929" t="inlineStr">
        <is>
          <t>-0.94R - BNBUSDT 2025-10-08</t>
        </is>
      </c>
      <c r="L33" s="929" t="inlineStr">
        <is>
          <t>-1.00R - EURUSD 2025-11-06</t>
        </is>
      </c>
      <c r="M33" s="981" t="inlineStr"/>
    </row>
    <row r="34" ht="14.5" customHeight="1">
      <c r="A34" s="913" t="inlineStr">
        <is>
          <t>Shortest (DD:HH:MM:SS)</t>
        </is>
      </c>
      <c r="B34" s="931" t="inlineStr">
        <is>
          <t>8M 0S - DOGEUSDT 2025-01-19</t>
        </is>
      </c>
      <c r="C34" s="931" t="inlineStr"/>
      <c r="D34" s="931" t="inlineStr"/>
      <c r="E34" s="931" t="inlineStr">
        <is>
          <t>2H 41M 0S - TAIUSDT 2025-04-30</t>
        </is>
      </c>
      <c r="F34" s="931" t="inlineStr">
        <is>
          <t>2M 0S - SOLAYERUSDT 2025-05-23</t>
        </is>
      </c>
      <c r="G34" s="931" t="inlineStr">
        <is>
          <t>1S - NZDUSD 2025-06-10</t>
        </is>
      </c>
      <c r="H34" s="931" t="inlineStr">
        <is>
          <t>6M 0S - EURUSD 2025-07-28</t>
        </is>
      </c>
      <c r="I34" s="931" t="inlineStr">
        <is>
          <t>1M 0S - TRXUSDT 2025-08-14</t>
        </is>
      </c>
      <c r="J34" s="931" t="inlineStr">
        <is>
          <t>9M 28S - XAUUSD 2025-09-18</t>
        </is>
      </c>
      <c r="K34" s="931" t="inlineStr">
        <is>
          <t>14M 0S - BNBUSDT 2025-10-08</t>
        </is>
      </c>
      <c r="L34" s="931" t="inlineStr">
        <is>
          <t>4H 11M 38S - EURUSD 2025-11-06</t>
        </is>
      </c>
      <c r="M34" s="932" t="inlineStr"/>
    </row>
    <row r="35" ht="14.5" customHeight="1">
      <c r="A35" s="919" t="inlineStr">
        <is>
          <t>Longest (DD:HH:MM:SS)</t>
        </is>
      </c>
      <c r="B35" s="920" t="inlineStr">
        <is>
          <t>11H 2M 0S - XRPUSDT 2025-01-29</t>
        </is>
      </c>
      <c r="C35" s="920" t="inlineStr"/>
      <c r="D35" s="920" t="inlineStr"/>
      <c r="E35" s="920" t="inlineStr">
        <is>
          <t>2H 41M 0S - TAIUSDT 2025-04-30</t>
        </is>
      </c>
      <c r="F35" s="920" t="inlineStr">
        <is>
          <t>3H 40M 45S - USDJPY 2025-05-06</t>
        </is>
      </c>
      <c r="G35" s="920" t="inlineStr">
        <is>
          <t>13H 3M 0S - GPSUSDT 2025-06-27</t>
        </is>
      </c>
      <c r="H35" s="920" t="inlineStr">
        <is>
          <t>17H 4M 0S - ENAUSDT 2025-07-24</t>
        </is>
      </c>
      <c r="I35" s="920" t="inlineStr">
        <is>
          <t>1D 5H 32M 0S - ENAUSDT 2025-08-19</t>
        </is>
      </c>
      <c r="J35" s="920" t="inlineStr">
        <is>
          <t>15H 0M 49S - USDCHF 2025-09-05</t>
        </is>
      </c>
      <c r="K35" s="920" t="inlineStr">
        <is>
          <t>1D 1H 1M 0S - BNBUSDT 2025-10-11</t>
        </is>
      </c>
      <c r="L35" s="920" t="inlineStr">
        <is>
          <t>4H 11M 38S - EURUSD 2025-11-06</t>
        </is>
      </c>
      <c r="M35" s="921" t="inlineStr"/>
    </row>
    <row r="36" ht="14.5" customHeight="1">
      <c r="A36" s="924" t="inlineStr">
        <is>
          <t>Winners</t>
        </is>
      </c>
      <c r="B36" s="931" t="inlineStr"/>
      <c r="C36" s="931" t="inlineStr"/>
      <c r="D36" s="931" t="inlineStr"/>
      <c r="E36" s="931" t="inlineStr"/>
      <c r="F36" s="931" t="inlineStr"/>
      <c r="G36" s="931" t="inlineStr"/>
      <c r="H36" s="931" t="inlineStr"/>
      <c r="I36" s="931" t="inlineStr"/>
      <c r="J36" s="931" t="inlineStr"/>
      <c r="K36" s="931" t="inlineStr"/>
      <c r="L36" s="931" t="inlineStr"/>
      <c r="M36" s="932" t="inlineStr"/>
    </row>
    <row r="37" ht="14.5" customHeight="1">
      <c r="A37" s="889" t="inlineStr">
        <is>
          <t>Avg stop %</t>
        </is>
      </c>
      <c r="B37" s="894" t="n">
        <v>0.01262196066284671</v>
      </c>
      <c r="C37" s="894" t="inlineStr"/>
      <c r="D37" s="894" t="inlineStr"/>
      <c r="E37" s="894" t="n">
        <v>0.04317367861781247</v>
      </c>
      <c r="F37" s="894" t="n">
        <v>0.0196491982217149</v>
      </c>
      <c r="G37" s="894" t="n">
        <v>0.01571044264922318</v>
      </c>
      <c r="H37" s="933" t="n">
        <v>0.000368709431244206</v>
      </c>
      <c r="I37" s="894" t="n">
        <v>0.008778912206276798</v>
      </c>
      <c r="J37" s="894" t="n">
        <v>0.02375238685674583</v>
      </c>
      <c r="K37" s="894" t="inlineStr"/>
      <c r="L37" s="894" t="inlineStr"/>
      <c r="M37" s="895" t="inlineStr"/>
    </row>
    <row r="38" ht="14.5" customHeight="1">
      <c r="A38" s="889" t="inlineStr">
        <is>
          <t>Avg target %</t>
        </is>
      </c>
      <c r="B38" s="662" t="n">
        <v>0.02632801610655097</v>
      </c>
      <c r="C38" s="662" t="inlineStr"/>
      <c r="D38" s="662" t="inlineStr"/>
      <c r="E38" s="662" t="n">
        <v>0.08634735723562523</v>
      </c>
      <c r="F38" s="662" t="n">
        <v>0.03923573194913214</v>
      </c>
      <c r="G38" s="662" t="n">
        <v>0.03215835029231494</v>
      </c>
      <c r="H38" s="1007" t="n">
        <v>0.0005745007417063276</v>
      </c>
      <c r="I38" s="662" t="n">
        <v>0.02110987903689612</v>
      </c>
      <c r="J38" s="662" t="n">
        <v>0.04824516719885775</v>
      </c>
      <c r="K38" s="662" t="inlineStr"/>
      <c r="L38" s="662" t="inlineStr"/>
      <c r="M38" s="663" t="inlineStr"/>
    </row>
    <row r="39" ht="14.5" customHeight="1">
      <c r="A39" s="889" t="inlineStr">
        <is>
          <t>Percentage expectancy</t>
        </is>
      </c>
      <c r="B39" s="897" t="n">
        <v>0.01906331271477426</v>
      </c>
      <c r="C39" s="894" t="inlineStr"/>
      <c r="D39" s="894" t="inlineStr"/>
      <c r="E39" s="897" t="n">
        <v>0.01988722132029</v>
      </c>
      <c r="F39" s="897" t="n">
        <v>0.01596737048171333</v>
      </c>
      <c r="G39" s="897" t="n">
        <v>0.01747883456123389</v>
      </c>
      <c r="H39" s="897" t="n">
        <v>0.006907430002568713</v>
      </c>
      <c r="I39" s="897" t="n">
        <v>0.01954117732823579</v>
      </c>
      <c r="J39" s="897" t="n">
        <v>0.02209644109716279</v>
      </c>
      <c r="K39" s="894" t="inlineStr"/>
      <c r="L39" s="894" t="inlineStr"/>
      <c r="M39" s="895" t="inlineStr"/>
    </row>
    <row r="40" ht="14.5" customHeight="1">
      <c r="A40" s="889" t="inlineStr">
        <is>
          <t>R expectancy</t>
        </is>
      </c>
      <c r="B40" s="900" t="n">
        <v>1.981595092024505</v>
      </c>
      <c r="C40" s="977" t="inlineStr"/>
      <c r="D40" s="977" t="inlineStr"/>
      <c r="E40" s="900" t="n">
        <v>2.000000000000006</v>
      </c>
      <c r="F40" s="900" t="n">
        <v>1.97058823529403</v>
      </c>
      <c r="G40" s="900" t="n">
        <v>1.958383513983681</v>
      </c>
      <c r="H40" s="900" t="n">
        <v>1.558139534884369</v>
      </c>
      <c r="I40" s="900" t="n">
        <v>2.409748427672969</v>
      </c>
      <c r="J40" s="900" t="n">
        <v>1.75543537499313</v>
      </c>
      <c r="K40" s="977" t="inlineStr"/>
      <c r="L40" s="977" t="inlineStr"/>
      <c r="M40" s="978" t="inlineStr"/>
    </row>
    <row r="41" ht="14.5" customHeight="1">
      <c r="A41" s="889" t="inlineStr">
        <is>
          <t>Winners min duration</t>
        </is>
      </c>
      <c r="B41" s="917" t="inlineStr">
        <is>
          <t>1H 24M 0S - SOLUSDT 2025-01-22</t>
        </is>
      </c>
      <c r="C41" s="917" t="inlineStr"/>
      <c r="D41" s="917" t="inlineStr"/>
      <c r="E41" s="917" t="inlineStr">
        <is>
          <t>2H 41M 0S - TAIUSDT 2025-04-30</t>
        </is>
      </c>
      <c r="F41" s="917" t="inlineStr">
        <is>
          <t>40M 0S - ZBCNUSDT 2025-05-25</t>
        </is>
      </c>
      <c r="G41" s="917" t="inlineStr">
        <is>
          <t>1H 48M 0S - HOOKUSDT 2025-06-22</t>
        </is>
      </c>
      <c r="H41" s="917" t="inlineStr">
        <is>
          <t>6M 0S - EURUSD 2025-07-28</t>
        </is>
      </c>
      <c r="I41" s="917" t="inlineStr">
        <is>
          <t>15H 34M 0S - ETHUSDT 2025-08-21</t>
        </is>
      </c>
      <c r="J41" s="917" t="inlineStr">
        <is>
          <t>9M 28S - XAUUSD 2025-09-18</t>
        </is>
      </c>
      <c r="K41" s="917" t="inlineStr"/>
      <c r="L41" s="917" t="inlineStr"/>
      <c r="M41" s="918" t="inlineStr"/>
    </row>
    <row r="42" ht="14.5" customHeight="1">
      <c r="A42" s="889" t="inlineStr">
        <is>
          <t>Winners avg duration</t>
        </is>
      </c>
      <c r="B42" s="917" t="inlineStr">
        <is>
          <t>1H 24M 0S</t>
        </is>
      </c>
      <c r="C42" s="917" t="inlineStr"/>
      <c r="D42" s="917" t="inlineStr"/>
      <c r="E42" s="917" t="inlineStr">
        <is>
          <t>2H 41M 0S</t>
        </is>
      </c>
      <c r="F42" s="917" t="inlineStr">
        <is>
          <t>2H 10M 22S</t>
        </is>
      </c>
      <c r="G42" s="917" t="inlineStr">
        <is>
          <t>6H 9M 17S</t>
        </is>
      </c>
      <c r="H42" s="917" t="inlineStr">
        <is>
          <t>6M 0S</t>
        </is>
      </c>
      <c r="I42" s="917" t="inlineStr">
        <is>
          <t>15H 34M 0S</t>
        </is>
      </c>
      <c r="J42" s="917" t="inlineStr">
        <is>
          <t>5H 44M 9S</t>
        </is>
      </c>
      <c r="K42" s="917" t="inlineStr"/>
      <c r="L42" s="917" t="inlineStr"/>
      <c r="M42" s="918" t="inlineStr"/>
    </row>
    <row r="43" ht="14.5" customHeight="1">
      <c r="A43" s="919" t="inlineStr">
        <is>
          <t>Winners max duration</t>
        </is>
      </c>
      <c r="B43" s="920" t="inlineStr">
        <is>
          <t>1H 24M 0S - SOLUSDT 2025-01-22</t>
        </is>
      </c>
      <c r="C43" s="920" t="inlineStr"/>
      <c r="D43" s="920" t="inlineStr"/>
      <c r="E43" s="920" t="inlineStr">
        <is>
          <t>2H 41M 0S - TAIUSDT 2025-04-30</t>
        </is>
      </c>
      <c r="F43" s="920" t="inlineStr">
        <is>
          <t>3H 40M 45S - USDJPY 2025-05-06</t>
        </is>
      </c>
      <c r="G43" s="920" t="inlineStr">
        <is>
          <t>13H 3M 0S - GPSUSDT 2025-06-27</t>
        </is>
      </c>
      <c r="H43" s="920" t="inlineStr">
        <is>
          <t>6M 0S - EURUSD 2025-07-28</t>
        </is>
      </c>
      <c r="I43" s="920" t="inlineStr">
        <is>
          <t>15H 34M 0S - ETHUSDT 2025-08-21</t>
        </is>
      </c>
      <c r="J43" s="920" t="inlineStr">
        <is>
          <t>15H 0M 49S - USDCHF 2025-09-05</t>
        </is>
      </c>
      <c r="K43" s="920" t="inlineStr"/>
      <c r="L43" s="920" t="inlineStr"/>
      <c r="M43" s="921" t="inlineStr"/>
    </row>
    <row r="44" ht="14.5" customHeight="1">
      <c r="A44" s="924" t="inlineStr">
        <is>
          <t>Losers</t>
        </is>
      </c>
      <c r="B44" s="922" t="inlineStr"/>
      <c r="C44" s="922" t="inlineStr"/>
      <c r="D44" s="922" t="inlineStr"/>
      <c r="E44" s="922" t="inlineStr"/>
      <c r="F44" s="922" t="inlineStr"/>
      <c r="G44" s="922" t="inlineStr"/>
      <c r="H44" s="922" t="inlineStr"/>
      <c r="I44" s="922" t="inlineStr"/>
      <c r="J44" s="922" t="inlineStr"/>
      <c r="K44" s="922" t="inlineStr"/>
      <c r="L44" s="922" t="inlineStr"/>
      <c r="M44" s="923" t="inlineStr"/>
    </row>
    <row r="45" ht="14.5" customHeight="1">
      <c r="A45" s="889" t="inlineStr">
        <is>
          <t>Avg stop %</t>
        </is>
      </c>
      <c r="B45" s="894" t="n">
        <v>0.01491134564812604</v>
      </c>
      <c r="C45" s="894" t="inlineStr"/>
      <c r="D45" s="894" t="inlineStr"/>
      <c r="E45" s="894" t="inlineStr"/>
      <c r="F45" s="894" t="n">
        <v>0.005741155886051699</v>
      </c>
      <c r="G45" s="894" t="n">
        <v>0.02964893227223083</v>
      </c>
      <c r="H45" s="894" t="n">
        <v>0.03678089571402104</v>
      </c>
      <c r="I45" s="894" t="n">
        <v>0.01693151499169084</v>
      </c>
      <c r="J45" s="894" t="n">
        <v>0.0327325698530721</v>
      </c>
      <c r="K45" s="894" t="n">
        <v>0.02633831912481348</v>
      </c>
      <c r="L45" s="894" t="n">
        <v>0.001514228526673114</v>
      </c>
      <c r="M45" s="895" t="inlineStr"/>
    </row>
    <row r="46" ht="14.5" customHeight="1">
      <c r="A46" s="889" t="inlineStr">
        <is>
          <t>Avg target %</t>
        </is>
      </c>
      <c r="B46" s="935" t="n">
        <v>0.0308970863847316</v>
      </c>
      <c r="C46" s="935" t="inlineStr"/>
      <c r="D46" s="935" t="inlineStr"/>
      <c r="E46" s="935" t="inlineStr"/>
      <c r="F46" s="935" t="n">
        <v>0.01212021798166484</v>
      </c>
      <c r="G46" s="935" t="n">
        <v>0.05933053944257081</v>
      </c>
      <c r="H46" s="935" t="n">
        <v>0.07632400509328034</v>
      </c>
      <c r="I46" s="935" t="n">
        <v>0.03786907857107492</v>
      </c>
      <c r="J46" s="935" t="n">
        <v>0.06681108628709309</v>
      </c>
      <c r="K46" s="935" t="n">
        <v>0.05534993309766167</v>
      </c>
      <c r="L46" s="935" t="n">
        <v>0.002897920111391572</v>
      </c>
      <c r="M46" s="936" t="inlineStr"/>
    </row>
    <row r="47" ht="14.5" customHeight="1">
      <c r="A47" s="889" t="inlineStr">
        <is>
          <t>Percentage expectancy</t>
        </is>
      </c>
      <c r="B47" s="896" t="n">
        <v>-0.01076635160617774</v>
      </c>
      <c r="C47" s="894" t="inlineStr"/>
      <c r="D47" s="894" t="inlineStr"/>
      <c r="E47" s="894" t="inlineStr"/>
      <c r="F47" s="896" t="n">
        <v>-0.0130902641430304</v>
      </c>
      <c r="G47" s="896" t="n">
        <v>-0.007087621099510999</v>
      </c>
      <c r="H47" s="896" t="n">
        <v>-0.01032418492956434</v>
      </c>
      <c r="I47" s="896" t="n">
        <v>-0.009305153836983245</v>
      </c>
      <c r="J47" s="896" t="n">
        <v>-0.008887423587583076</v>
      </c>
      <c r="K47" s="896" t="n">
        <v>-0.009363216679153324</v>
      </c>
      <c r="L47" s="896" t="n">
        <v>-0.01156117488253139</v>
      </c>
      <c r="M47" s="895" t="inlineStr"/>
    </row>
    <row r="48" ht="14.5" customHeight="1">
      <c r="A48" s="889" t="inlineStr">
        <is>
          <t>R expectancy</t>
        </is>
      </c>
      <c r="B48" s="902" t="n">
        <v>-1.068663373321442</v>
      </c>
      <c r="C48" s="984" t="inlineStr"/>
      <c r="D48" s="984" t="inlineStr"/>
      <c r="E48" s="984" t="inlineStr"/>
      <c r="F48" s="902" t="n">
        <v>-1.112698412698411</v>
      </c>
      <c r="G48" s="902" t="n">
        <v>-0.686599683707533</v>
      </c>
      <c r="H48" s="902" t="n">
        <v>-1.002001789835617</v>
      </c>
      <c r="I48" s="902" t="n">
        <v>-0.9281691080957565</v>
      </c>
      <c r="J48" s="902" t="n">
        <v>-1.006698496504812</v>
      </c>
      <c r="K48" s="902" t="n">
        <v>-0.9960539197494118</v>
      </c>
      <c r="L48" s="902" t="n">
        <v>-1</v>
      </c>
      <c r="M48" s="985" t="inlineStr"/>
    </row>
    <row r="49" ht="14.5" customHeight="1">
      <c r="A49" s="889" t="inlineStr">
        <is>
          <t>Losers min duration</t>
        </is>
      </c>
      <c r="B49" s="661" t="inlineStr">
        <is>
          <t>8M 0S - DOGEUSDT 2025-01-19</t>
        </is>
      </c>
      <c r="C49" s="661" t="inlineStr"/>
      <c r="D49" s="661" t="inlineStr"/>
      <c r="E49" s="661" t="inlineStr"/>
      <c r="F49" s="661" t="inlineStr">
        <is>
          <t>2M 0S - SOLAYERUSDT 2025-05-23</t>
        </is>
      </c>
      <c r="G49" s="661" t="inlineStr">
        <is>
          <t>1S - NZDUSD 2025-06-10</t>
        </is>
      </c>
      <c r="H49" s="661" t="inlineStr">
        <is>
          <t>11M 0S - PENGUUSDT 2025-07-11</t>
        </is>
      </c>
      <c r="I49" s="661" t="inlineStr">
        <is>
          <t>1M 0S - TRXUSDT 2025-08-14</t>
        </is>
      </c>
      <c r="J49" s="661" t="inlineStr">
        <is>
          <t>1H 45M 28S - XAUUSD 2025-09-11</t>
        </is>
      </c>
      <c r="K49" s="661" t="inlineStr">
        <is>
          <t>14M 0S - BNBUSDT 2025-10-08</t>
        </is>
      </c>
      <c r="L49" s="661" t="inlineStr">
        <is>
          <t>4H 11M 38S - EURUSD 2025-11-06</t>
        </is>
      </c>
      <c r="M49" s="904" t="inlineStr"/>
    </row>
    <row r="50" ht="14.5" customHeight="1">
      <c r="A50" s="889" t="inlineStr">
        <is>
          <t>Losers avg duration</t>
        </is>
      </c>
      <c r="B50" s="661" t="inlineStr">
        <is>
          <t>4H 54M 0S</t>
        </is>
      </c>
      <c r="C50" s="661" t="inlineStr"/>
      <c r="D50" s="661" t="inlineStr"/>
      <c r="E50" s="661" t="inlineStr"/>
      <c r="F50" s="661" t="inlineStr">
        <is>
          <t>2M 0S</t>
        </is>
      </c>
      <c r="G50" s="661" t="inlineStr">
        <is>
          <t>5H 24M 0S</t>
        </is>
      </c>
      <c r="H50" s="661" t="inlineStr">
        <is>
          <t>8H 37M 30S</t>
        </is>
      </c>
      <c r="I50" s="661" t="inlineStr">
        <is>
          <t>10H 57M 10S</t>
        </is>
      </c>
      <c r="J50" s="661" t="inlineStr">
        <is>
          <t>6H 32M 24S</t>
        </is>
      </c>
      <c r="K50" s="661" t="inlineStr">
        <is>
          <t>9H 11M 0S</t>
        </is>
      </c>
      <c r="L50" s="661" t="inlineStr">
        <is>
          <t>4H 11M 38S</t>
        </is>
      </c>
      <c r="M50" s="904" t="inlineStr"/>
    </row>
    <row r="51" ht="14.5" customHeight="1">
      <c r="A51" s="919" t="inlineStr">
        <is>
          <t>Losers max duration</t>
        </is>
      </c>
      <c r="B51" s="920" t="inlineStr">
        <is>
          <t>11H 2M 0S - XRPUSDT 2025-01-29</t>
        </is>
      </c>
      <c r="C51" s="920" t="inlineStr"/>
      <c r="D51" s="920" t="inlineStr"/>
      <c r="E51" s="920" t="inlineStr"/>
      <c r="F51" s="920" t="inlineStr">
        <is>
          <t>2M 0S - SOLAYERUSDT 2025-05-23</t>
        </is>
      </c>
      <c r="G51" s="920" t="inlineStr">
        <is>
          <t>9H 42M 0S - 1000CATSUSDT 2025-06-15</t>
        </is>
      </c>
      <c r="H51" s="920" t="inlineStr">
        <is>
          <t>17H 4M 0S - ENAUSDT 2025-07-24</t>
        </is>
      </c>
      <c r="I51" s="920" t="inlineStr">
        <is>
          <t>1D 5H 32M 0S - ENAUSDT 2025-08-19</t>
        </is>
      </c>
      <c r="J51" s="920" t="inlineStr">
        <is>
          <t>12H 46M 46S - NZDCHF 2025-09-30</t>
        </is>
      </c>
      <c r="K51" s="920" t="inlineStr">
        <is>
          <t>1D 1H 1M 0S - BNBUSDT 2025-10-11</t>
        </is>
      </c>
      <c r="L51" s="920" t="inlineStr">
        <is>
          <t>4H 11M 38S - EURUSD 2025-11-06</t>
        </is>
      </c>
      <c r="M51" s="921" t="inlineStr"/>
    </row>
    <row r="52" ht="14.5" customHeight="1">
      <c r="A52" s="924" t="inlineStr">
        <is>
          <t>Drawdown</t>
        </is>
      </c>
      <c r="B52" s="922" t="inlineStr"/>
      <c r="C52" s="922" t="inlineStr"/>
      <c r="D52" s="922" t="inlineStr"/>
      <c r="E52" s="922" t="inlineStr"/>
      <c r="F52" s="922" t="inlineStr"/>
      <c r="G52" s="922" t="inlineStr"/>
      <c r="H52" s="922" t="inlineStr"/>
      <c r="I52" s="922" t="inlineStr"/>
      <c r="J52" s="922" t="inlineStr"/>
      <c r="K52" s="922" t="inlineStr"/>
      <c r="L52" s="922" t="inlineStr"/>
      <c r="M52" s="923" t="inlineStr"/>
    </row>
    <row r="53" ht="14.5" customHeight="1">
      <c r="A53" s="886" t="inlineStr">
        <is>
          <t>Max drawdown</t>
        </is>
      </c>
      <c r="B53" s="896" t="n">
        <v>0.01198438211714376</v>
      </c>
      <c r="C53" s="894" t="inlineStr"/>
      <c r="D53" s="894" t="inlineStr"/>
      <c r="E53" s="894" t="inlineStr"/>
      <c r="F53" s="896" t="n">
        <v>0</v>
      </c>
      <c r="G53" s="896" t="n">
        <v>0.01084160826315294</v>
      </c>
      <c r="H53" s="896" t="n">
        <v>0.01016403178441939</v>
      </c>
      <c r="I53" s="896" t="n">
        <v>0.03500340395546026</v>
      </c>
      <c r="J53" s="896" t="n">
        <v>0.01057219268993297</v>
      </c>
      <c r="K53" s="896" t="n">
        <v>0.02019155811127094</v>
      </c>
      <c r="L53" s="894" t="inlineStr"/>
      <c r="M53" s="895" t="inlineStr"/>
    </row>
    <row r="54" ht="14.5" customHeight="1">
      <c r="A54" s="889" t="inlineStr">
        <is>
          <t>Start</t>
        </is>
      </c>
      <c r="B54" s="937" t="inlineStr">
        <is>
          <t>2025-01-12 16:59:00</t>
        </is>
      </c>
      <c r="C54" s="937" t="inlineStr"/>
      <c r="D54" s="937" t="inlineStr"/>
      <c r="E54" s="937" t="inlineStr"/>
      <c r="F54" s="937" t="inlineStr"/>
      <c r="G54" s="937" t="inlineStr">
        <is>
          <t>2025-06-22 12:21:00</t>
        </is>
      </c>
      <c r="H54" s="937" t="inlineStr">
        <is>
          <t>2025-07-11 05:49:00</t>
        </is>
      </c>
      <c r="I54" s="937" t="inlineStr">
        <is>
          <t>2025-08-04 09:19:00</t>
        </is>
      </c>
      <c r="J54" s="937" t="inlineStr">
        <is>
          <t>2025-09-08 16:49:45</t>
        </is>
      </c>
      <c r="K54" s="937" t="inlineStr">
        <is>
          <t>2025-10-01 02:20:00</t>
        </is>
      </c>
      <c r="L54" s="937" t="inlineStr"/>
      <c r="M54" s="938" t="inlineStr"/>
    </row>
    <row r="55" ht="14.5" customHeight="1">
      <c r="A55" s="889" t="inlineStr">
        <is>
          <t>End</t>
        </is>
      </c>
      <c r="B55" s="917" t="inlineStr">
        <is>
          <t>2025-01-19 19:26:00</t>
        </is>
      </c>
      <c r="C55" s="917" t="inlineStr"/>
      <c r="D55" s="917" t="inlineStr"/>
      <c r="E55" s="917" t="inlineStr"/>
      <c r="F55" s="917" t="inlineStr"/>
      <c r="G55" s="917" t="inlineStr">
        <is>
          <t>2025-06-24 06:14:00</t>
        </is>
      </c>
      <c r="H55" s="917" t="inlineStr">
        <is>
          <t>2025-07-24 16:43:00</t>
        </is>
      </c>
      <c r="I55" s="917" t="inlineStr">
        <is>
          <t>2025-08-19 22:18:00</t>
        </is>
      </c>
      <c r="J55" s="917" t="inlineStr">
        <is>
          <t>2025-09-11 13:44:48</t>
        </is>
      </c>
      <c r="K55" s="917" t="inlineStr">
        <is>
          <t>2025-10-11 01:31:00</t>
        </is>
      </c>
      <c r="L55" s="917" t="inlineStr"/>
      <c r="M55" s="918" t="inlineStr"/>
    </row>
    <row r="56" ht="14.5" customHeight="1">
      <c r="A56" s="886" t="inlineStr">
        <is>
          <t>Avg drawdown</t>
        </is>
      </c>
      <c r="B56" s="896" t="n">
        <v>0.01114026465055849</v>
      </c>
      <c r="C56" s="894" t="inlineStr"/>
      <c r="D56" s="894" t="inlineStr"/>
      <c r="E56" s="894" t="inlineStr"/>
      <c r="F56" s="896" t="n">
        <v>0</v>
      </c>
      <c r="G56" s="896" t="n">
        <v>0.01084160826315294</v>
      </c>
      <c r="H56" s="896" t="n">
        <v>0.01016403178441939</v>
      </c>
      <c r="I56" s="896" t="n">
        <v>0.02304863587499529</v>
      </c>
      <c r="J56" s="896" t="n">
        <v>0.008886903664124493</v>
      </c>
      <c r="K56" s="896" t="n">
        <v>0.0147806918733558</v>
      </c>
      <c r="L56" s="894" t="inlineStr"/>
      <c r="M56" s="895" t="inlineStr"/>
    </row>
    <row r="57" ht="14.5" customHeight="1">
      <c r="A57" s="886" t="inlineStr">
        <is>
          <t>Min drawdown</t>
        </is>
      </c>
      <c r="B57" s="896" t="n">
        <v>0.01029614718397322</v>
      </c>
      <c r="C57" s="662" t="inlineStr"/>
      <c r="D57" s="662" t="inlineStr"/>
      <c r="E57" s="662" t="inlineStr"/>
      <c r="F57" s="896" t="n">
        <v>0</v>
      </c>
      <c r="G57" s="896" t="n">
        <v>0.01084160826315294</v>
      </c>
      <c r="H57" s="896" t="n">
        <v>0.01016403178441939</v>
      </c>
      <c r="I57" s="896" t="n">
        <v>0.01098099616126884</v>
      </c>
      <c r="J57" s="896" t="n">
        <v>0.006186804561614181</v>
      </c>
      <c r="K57" s="896" t="n">
        <v>0.00936982563544066</v>
      </c>
      <c r="L57" s="662" t="inlineStr"/>
      <c r="M57" s="663" t="inlineStr"/>
    </row>
    <row r="58" ht="14.5" customHeight="1">
      <c r="A58" s="889" t="inlineStr">
        <is>
          <t>Start</t>
        </is>
      </c>
      <c r="B58" s="661" t="inlineStr">
        <is>
          <t>2025-01-22 06:10:00</t>
        </is>
      </c>
      <c r="C58" s="661" t="inlineStr"/>
      <c r="D58" s="661" t="inlineStr"/>
      <c r="E58" s="661" t="inlineStr"/>
      <c r="F58" s="661" t="inlineStr"/>
      <c r="G58" s="661" t="inlineStr">
        <is>
          <t>2025-06-22 12:21:00</t>
        </is>
      </c>
      <c r="H58" s="661" t="inlineStr">
        <is>
          <t>2025-07-11 05:49:00</t>
        </is>
      </c>
      <c r="I58" s="661" t="inlineStr">
        <is>
          <t>2025-08-04 09:19:00</t>
        </is>
      </c>
      <c r="J58" s="661" t="inlineStr">
        <is>
          <t>2025-09-18 17:42:32</t>
        </is>
      </c>
      <c r="K58" s="661" t="inlineStr">
        <is>
          <t>2025-10-01 02:20:00</t>
        </is>
      </c>
      <c r="L58" s="661" t="inlineStr"/>
      <c r="M58" s="904" t="inlineStr"/>
    </row>
    <row r="59" ht="14.5" customHeight="1">
      <c r="A59" s="919" t="inlineStr">
        <is>
          <t>End</t>
        </is>
      </c>
      <c r="B59" s="920" t="inlineStr">
        <is>
          <t>2025-01-29 01:34:00</t>
        </is>
      </c>
      <c r="C59" s="920" t="inlineStr"/>
      <c r="D59" s="920" t="inlineStr"/>
      <c r="E59" s="920" t="inlineStr"/>
      <c r="F59" s="920" t="inlineStr"/>
      <c r="G59" s="920" t="inlineStr">
        <is>
          <t>2025-06-24 06:14:00</t>
        </is>
      </c>
      <c r="H59" s="920" t="inlineStr">
        <is>
          <t>2025-07-24 16:43:00</t>
        </is>
      </c>
      <c r="I59" s="920" t="inlineStr">
        <is>
          <t>2025-08-05 02:21:00</t>
        </is>
      </c>
      <c r="J59" s="920" t="inlineStr">
        <is>
          <t>2025-09-30 23:50:16</t>
        </is>
      </c>
      <c r="K59" s="920" t="inlineStr">
        <is>
          <t>2025-10-08 01:21:00</t>
        </is>
      </c>
      <c r="L59" s="920" t="inlineStr"/>
      <c r="M59" s="921" t="inlineStr"/>
    </row>
    <row r="60" ht="14.5" customHeight="1">
      <c r="A60" s="924" t="inlineStr">
        <is>
          <t>Longs</t>
        </is>
      </c>
      <c r="B60" s="941" t="n">
        <v>1</v>
      </c>
      <c r="C60" s="941" t="n">
        <v>0</v>
      </c>
      <c r="D60" s="941" t="n">
        <v>0</v>
      </c>
      <c r="E60" s="941" t="n">
        <v>0</v>
      </c>
      <c r="F60" s="941" t="n">
        <v>3</v>
      </c>
      <c r="G60" s="941" t="n">
        <v>1</v>
      </c>
      <c r="H60" s="941" t="n">
        <v>2</v>
      </c>
      <c r="I60" s="941" t="n">
        <v>3</v>
      </c>
      <c r="J60" s="941" t="n">
        <v>5</v>
      </c>
      <c r="K60" s="941" t="n">
        <v>3</v>
      </c>
      <c r="L60" s="941" t="n">
        <v>0</v>
      </c>
      <c r="M60" s="942" t="n">
        <v>0</v>
      </c>
    </row>
    <row r="61" ht="14.5" customHeight="1">
      <c r="A61" s="889" t="inlineStr">
        <is>
          <t>Long wins</t>
        </is>
      </c>
      <c r="B61" s="890" t="n">
        <v>0</v>
      </c>
      <c r="C61" s="890" t="n">
        <v>0</v>
      </c>
      <c r="D61" s="890" t="n">
        <v>0</v>
      </c>
      <c r="E61" s="890" t="n">
        <v>0</v>
      </c>
      <c r="F61" s="890" t="n">
        <v>2</v>
      </c>
      <c r="G61" s="890" t="n">
        <v>1</v>
      </c>
      <c r="H61" s="890" t="n">
        <v>0</v>
      </c>
      <c r="I61" s="890" t="n">
        <v>0</v>
      </c>
      <c r="J61" s="890" t="n">
        <v>3</v>
      </c>
      <c r="K61" s="890" t="n">
        <v>0</v>
      </c>
      <c r="L61" s="890" t="n">
        <v>0</v>
      </c>
      <c r="M61" s="891" t="n">
        <v>0</v>
      </c>
    </row>
    <row r="62" ht="14.5" customHeight="1">
      <c r="A62" s="889" t="inlineStr">
        <is>
          <t>Long losses</t>
        </is>
      </c>
      <c r="B62" s="943" t="n">
        <v>1</v>
      </c>
      <c r="C62" s="943" t="n">
        <v>0</v>
      </c>
      <c r="D62" s="943" t="n">
        <v>0</v>
      </c>
      <c r="E62" s="943" t="n">
        <v>0</v>
      </c>
      <c r="F62" s="943" t="n">
        <v>1</v>
      </c>
      <c r="G62" s="943" t="n">
        <v>0</v>
      </c>
      <c r="H62" s="943" t="n">
        <v>2</v>
      </c>
      <c r="I62" s="943" t="n">
        <v>3</v>
      </c>
      <c r="J62" s="943" t="n">
        <v>2</v>
      </c>
      <c r="K62" s="943" t="n">
        <v>3</v>
      </c>
      <c r="L62" s="943" t="n">
        <v>0</v>
      </c>
      <c r="M62" s="944" t="n">
        <v>0</v>
      </c>
    </row>
    <row r="63" ht="14.5" customHeight="1">
      <c r="A63" s="886" t="inlineStr">
        <is>
          <t>Long break-even</t>
        </is>
      </c>
      <c r="B63" s="945" t="n">
        <v>0</v>
      </c>
      <c r="C63" s="945" t="n">
        <v>0</v>
      </c>
      <c r="D63" s="945" t="n">
        <v>0</v>
      </c>
      <c r="E63" s="945" t="n">
        <v>0</v>
      </c>
      <c r="F63" s="945" t="n">
        <v>0</v>
      </c>
      <c r="G63" s="945" t="n">
        <v>0</v>
      </c>
      <c r="H63" s="945" t="n">
        <v>0</v>
      </c>
      <c r="I63" s="945" t="n">
        <v>0</v>
      </c>
      <c r="J63" s="945" t="n">
        <v>0</v>
      </c>
      <c r="K63" s="945" t="n">
        <v>0</v>
      </c>
      <c r="L63" s="945" t="n">
        <v>0</v>
      </c>
      <c r="M63" s="946" t="n">
        <v>0</v>
      </c>
    </row>
    <row r="64" ht="14.5" customHeight="1">
      <c r="A64" s="886" t="inlineStr">
        <is>
          <t>Shorts</t>
        </is>
      </c>
      <c r="B64" s="887" t="n">
        <v>3</v>
      </c>
      <c r="C64" s="887" t="n">
        <v>0</v>
      </c>
      <c r="D64" s="887" t="n">
        <v>0</v>
      </c>
      <c r="E64" s="887" t="n">
        <v>1</v>
      </c>
      <c r="F64" s="887" t="n">
        <v>0</v>
      </c>
      <c r="G64" s="887" t="n">
        <v>5</v>
      </c>
      <c r="H64" s="887" t="n">
        <v>1</v>
      </c>
      <c r="I64" s="887" t="n">
        <v>4</v>
      </c>
      <c r="J64" s="887" t="n">
        <v>2</v>
      </c>
      <c r="K64" s="887" t="n">
        <v>1</v>
      </c>
      <c r="L64" s="887" t="n">
        <v>1</v>
      </c>
      <c r="M64" s="888" t="n">
        <v>0</v>
      </c>
    </row>
    <row r="65" ht="14.5" customHeight="1">
      <c r="A65" s="889" t="inlineStr">
        <is>
          <t>Short wins</t>
        </is>
      </c>
      <c r="B65" s="890" t="n">
        <v>1</v>
      </c>
      <c r="C65" s="890" t="n">
        <v>0</v>
      </c>
      <c r="D65" s="890" t="n">
        <v>0</v>
      </c>
      <c r="E65" s="890" t="n">
        <v>1</v>
      </c>
      <c r="F65" s="890" t="n">
        <v>0</v>
      </c>
      <c r="G65" s="890" t="n">
        <v>2</v>
      </c>
      <c r="H65" s="890" t="n">
        <v>1</v>
      </c>
      <c r="I65" s="890" t="n">
        <v>1</v>
      </c>
      <c r="J65" s="890" t="n">
        <v>1</v>
      </c>
      <c r="K65" s="890" t="n">
        <v>0</v>
      </c>
      <c r="L65" s="890" t="n">
        <v>0</v>
      </c>
      <c r="M65" s="891" t="n">
        <v>0</v>
      </c>
    </row>
    <row r="66" ht="14.5" customHeight="1">
      <c r="A66" s="889" t="inlineStr">
        <is>
          <t>Short losses</t>
        </is>
      </c>
      <c r="B66" s="892" t="n">
        <v>2</v>
      </c>
      <c r="C66" s="892" t="n">
        <v>0</v>
      </c>
      <c r="D66" s="892" t="n">
        <v>0</v>
      </c>
      <c r="E66" s="892" t="n">
        <v>0</v>
      </c>
      <c r="F66" s="892" t="n">
        <v>0</v>
      </c>
      <c r="G66" s="892" t="n">
        <v>3</v>
      </c>
      <c r="H66" s="892" t="n">
        <v>0</v>
      </c>
      <c r="I66" s="892" t="n">
        <v>3</v>
      </c>
      <c r="J66" s="892" t="n">
        <v>1</v>
      </c>
      <c r="K66" s="892" t="n">
        <v>1</v>
      </c>
      <c r="L66" s="892" t="n">
        <v>1</v>
      </c>
      <c r="M66" s="893" t="n">
        <v>0</v>
      </c>
    </row>
    <row r="67" ht="14.5" customHeight="1">
      <c r="A67" s="907" t="inlineStr">
        <is>
          <t>Short break-even</t>
        </is>
      </c>
      <c r="B67" s="947" t="n">
        <v>0</v>
      </c>
      <c r="C67" s="947" t="n">
        <v>0</v>
      </c>
      <c r="D67" s="947" t="n">
        <v>0</v>
      </c>
      <c r="E67" s="947" t="n">
        <v>0</v>
      </c>
      <c r="F67" s="947" t="n">
        <v>0</v>
      </c>
      <c r="G67" s="947" t="n">
        <v>0</v>
      </c>
      <c r="H67" s="947" t="n">
        <v>0</v>
      </c>
      <c r="I67" s="947" t="n">
        <v>0</v>
      </c>
      <c r="J67" s="947" t="n">
        <v>0</v>
      </c>
      <c r="K67" s="947" t="n">
        <v>0</v>
      </c>
      <c r="L67" s="947" t="n">
        <v>0</v>
      </c>
      <c r="M67" s="948" t="n">
        <v>0</v>
      </c>
    </row>
    <row r="68" ht="14.5" customHeight="1">
      <c r="A68" s="913" t="inlineStr">
        <is>
          <t>Min duration</t>
        </is>
      </c>
      <c r="B68" s="922" t="inlineStr">
        <is>
          <t>8M 0S - DOGEUSDT 2025-01-19</t>
        </is>
      </c>
      <c r="C68" s="922" t="inlineStr"/>
      <c r="D68" s="922" t="inlineStr"/>
      <c r="E68" s="922" t="inlineStr">
        <is>
          <t>2H 41M 0S - TAIUSDT 2025-04-30</t>
        </is>
      </c>
      <c r="F68" s="922" t="inlineStr">
        <is>
          <t>2M 0S - SOLAYERUSDT 2025-05-23</t>
        </is>
      </c>
      <c r="G68" s="922" t="inlineStr">
        <is>
          <t>1S - NZDUSD 2025-06-10</t>
        </is>
      </c>
      <c r="H68" s="922" t="inlineStr">
        <is>
          <t>6M 0S - EURUSD 2025-07-28</t>
        </is>
      </c>
      <c r="I68" s="922" t="inlineStr">
        <is>
          <t>1M 0S - TRXUSDT 2025-08-14</t>
        </is>
      </c>
      <c r="J68" s="922" t="inlineStr">
        <is>
          <t>9M 28S - XAUUSD 2025-09-18</t>
        </is>
      </c>
      <c r="K68" s="922" t="inlineStr">
        <is>
          <t>14M 0S - BNBUSDT 2025-10-08</t>
        </is>
      </c>
      <c r="L68" s="922" t="inlineStr">
        <is>
          <t>4H 11M 38S - EURUSD 2025-11-06</t>
        </is>
      </c>
      <c r="M68" s="923" t="inlineStr"/>
    </row>
    <row r="69" ht="14.5" customHeight="1">
      <c r="A69" s="889" t="inlineStr">
        <is>
          <t>Max duration</t>
        </is>
      </c>
      <c r="B69" s="917" t="inlineStr">
        <is>
          <t>11H 2M 0S - XRPUSDT 2025-01-29</t>
        </is>
      </c>
      <c r="C69" s="917" t="inlineStr"/>
      <c r="D69" s="917" t="inlineStr"/>
      <c r="E69" s="917" t="inlineStr">
        <is>
          <t>2H 41M 0S - TAIUSDT 2025-04-30</t>
        </is>
      </c>
      <c r="F69" s="917" t="inlineStr">
        <is>
          <t>3H 40M 45S - USDJPY 2025-05-06</t>
        </is>
      </c>
      <c r="G69" s="917" t="inlineStr">
        <is>
          <t>13H 3M 0S - GPSUSDT 2025-06-27</t>
        </is>
      </c>
      <c r="H69" s="917" t="inlineStr">
        <is>
          <t>17H 4M 0S - ENAUSDT 2025-07-24</t>
        </is>
      </c>
      <c r="I69" s="917" t="inlineStr">
        <is>
          <t>1D 5H 32M 0S - ENAUSDT 2025-08-19</t>
        </is>
      </c>
      <c r="J69" s="917" t="inlineStr">
        <is>
          <t>15H 0M 49S - USDCHF 2025-09-05</t>
        </is>
      </c>
      <c r="K69" s="917" t="inlineStr">
        <is>
          <t>1D 1H 1M 0S - BNBUSDT 2025-10-11</t>
        </is>
      </c>
      <c r="L69" s="917" t="inlineStr">
        <is>
          <t>4H 11M 38S - EURUSD 2025-11-06</t>
        </is>
      </c>
      <c r="M69" s="918" t="inlineStr"/>
    </row>
    <row r="70" ht="14.5" customHeight="1">
      <c r="A70" s="889" t="inlineStr">
        <is>
          <t>Min Move to Break Even</t>
        </is>
      </c>
      <c r="B70" s="937" t="inlineStr"/>
      <c r="C70" s="937" t="inlineStr"/>
      <c r="D70" s="937" t="inlineStr"/>
      <c r="E70" s="937" t="inlineStr"/>
      <c r="F70" s="937" t="inlineStr"/>
      <c r="G70" s="937" t="inlineStr"/>
      <c r="H70" s="937" t="inlineStr"/>
      <c r="I70" s="937" t="inlineStr"/>
      <c r="J70" s="937" t="inlineStr"/>
      <c r="K70" s="937" t="inlineStr"/>
      <c r="L70" s="937" t="inlineStr"/>
      <c r="M70" s="938" t="inlineStr"/>
    </row>
    <row r="71" ht="14.5" customHeight="1">
      <c r="A71" s="889" t="inlineStr">
        <is>
          <t>Max Move to Break Even</t>
        </is>
      </c>
      <c r="B71" s="661" t="inlineStr"/>
      <c r="C71" s="661" t="inlineStr"/>
      <c r="D71" s="661" t="inlineStr"/>
      <c r="E71" s="661" t="inlineStr"/>
      <c r="F71" s="661" t="inlineStr"/>
      <c r="G71" s="661" t="inlineStr"/>
      <c r="H71" s="661" t="inlineStr"/>
      <c r="I71" s="661" t="inlineStr"/>
      <c r="J71" s="661" t="inlineStr"/>
      <c r="K71" s="661" t="inlineStr"/>
      <c r="L71" s="661" t="inlineStr"/>
      <c r="M71" s="904" t="inlineStr"/>
    </row>
    <row r="72" ht="14.5" customHeight="1">
      <c r="A72" s="889" t="inlineStr">
        <is>
          <t>Min Move to Profit</t>
        </is>
      </c>
      <c r="B72" s="661" t="inlineStr"/>
      <c r="C72" s="661" t="inlineStr"/>
      <c r="D72" s="661" t="inlineStr"/>
      <c r="E72" s="661" t="inlineStr"/>
      <c r="F72" s="661" t="inlineStr"/>
      <c r="G72" s="661" t="inlineStr"/>
      <c r="H72" s="661" t="inlineStr"/>
      <c r="I72" s="661" t="inlineStr"/>
      <c r="J72" s="661" t="inlineStr"/>
      <c r="K72" s="661" t="inlineStr"/>
      <c r="L72" s="661" t="inlineStr"/>
      <c r="M72" s="904" t="inlineStr"/>
    </row>
    <row r="73" ht="14.5" customHeight="1">
      <c r="A73" s="919" t="inlineStr">
        <is>
          <t>Max Move to Profit</t>
        </is>
      </c>
      <c r="B73" s="920" t="inlineStr"/>
      <c r="C73" s="920" t="inlineStr"/>
      <c r="D73" s="920" t="inlineStr"/>
      <c r="E73" s="920" t="inlineStr"/>
      <c r="F73" s="920" t="inlineStr"/>
      <c r="G73" s="920" t="inlineStr"/>
      <c r="H73" s="920" t="inlineStr"/>
      <c r="I73" s="920" t="inlineStr"/>
      <c r="J73" s="920" t="inlineStr"/>
      <c r="K73" s="920" t="inlineStr"/>
      <c r="L73" s="920" t="inlineStr"/>
      <c r="M73" s="921" t="inlineStr"/>
    </row>
    <row r="74" ht="14.5" customHeight="1">
      <c r="A74" s="913" t="inlineStr">
        <is>
          <t>Winners min stop %</t>
        </is>
      </c>
      <c r="B74" s="949" t="inlineStr">
        <is>
          <t>1.26% - SOLUSDT 2025-01-22</t>
        </is>
      </c>
      <c r="C74" s="986" t="inlineStr"/>
      <c r="D74" s="986" t="inlineStr"/>
      <c r="E74" s="949" t="inlineStr">
        <is>
          <t>4.32% - TAIUSDT 2025-04-30</t>
        </is>
      </c>
      <c r="F74" s="949" t="inlineStr">
        <is>
          <t>0.20% - USDJPY 2025-05-06</t>
        </is>
      </c>
      <c r="G74" s="949" t="inlineStr">
        <is>
          <t>0.20% - USDCHF 2025-06-27</t>
        </is>
      </c>
      <c r="H74" s="949" t="inlineStr">
        <is>
          <t>0.037% - EURUSD 2025-07-28</t>
        </is>
      </c>
      <c r="I74" s="949" t="inlineStr">
        <is>
          <t>0.88% - ETHUSDT 2025-08-21</t>
        </is>
      </c>
      <c r="J74" s="949" t="inlineStr">
        <is>
          <t>0.074% - XAUUSD 2025-09-18</t>
        </is>
      </c>
      <c r="K74" s="986" t="inlineStr"/>
      <c r="L74" s="986" t="inlineStr"/>
      <c r="M74" s="987" t="inlineStr"/>
    </row>
    <row r="75" ht="14.5" customHeight="1">
      <c r="A75" s="889" t="inlineStr">
        <is>
          <t>Winners max stop %</t>
        </is>
      </c>
      <c r="B75" s="661" t="inlineStr">
        <is>
          <t>1.26% - SOLUSDT 2025-01-22</t>
        </is>
      </c>
      <c r="C75" s="662" t="inlineStr"/>
      <c r="D75" s="662" t="inlineStr"/>
      <c r="E75" s="661" t="inlineStr">
        <is>
          <t>4.32% - TAIUSDT 2025-04-30</t>
        </is>
      </c>
      <c r="F75" s="661" t="inlineStr">
        <is>
          <t>3.73% - ZBCNUSDT 2025-05-25</t>
        </is>
      </c>
      <c r="G75" s="661" t="inlineStr">
        <is>
          <t>3.36% - GPSUSDT 2025-06-27</t>
        </is>
      </c>
      <c r="H75" s="661" t="inlineStr">
        <is>
          <t>0.037% - EURUSD 2025-07-28</t>
        </is>
      </c>
      <c r="I75" s="661" t="inlineStr">
        <is>
          <t>0.88% - ETHUSDT 2025-08-21</t>
        </is>
      </c>
      <c r="J75" s="661" t="inlineStr">
        <is>
          <t>8.79% - STBLUSDT 2025-09-22</t>
        </is>
      </c>
      <c r="K75" s="662" t="inlineStr"/>
      <c r="L75" s="662" t="inlineStr"/>
      <c r="M75" s="663" t="inlineStr"/>
    </row>
    <row r="76" ht="14.5" customHeight="1">
      <c r="A76" s="889" t="inlineStr">
        <is>
          <t>Winners min target %</t>
        </is>
      </c>
      <c r="B76" s="661" t="inlineStr">
        <is>
          <t>2.63% - SOLUSDT 2025-01-22</t>
        </is>
      </c>
      <c r="C76" s="662" t="inlineStr"/>
      <c r="D76" s="662" t="inlineStr"/>
      <c r="E76" s="661" t="inlineStr">
        <is>
          <t>8.63% - TAIUSDT 2025-04-30</t>
        </is>
      </c>
      <c r="F76" s="661" t="inlineStr">
        <is>
          <t>0.39% - USDJPY 2025-05-06</t>
        </is>
      </c>
      <c r="G76" s="661" t="inlineStr">
        <is>
          <t>0.36% - USDCHF 2025-06-27</t>
        </is>
      </c>
      <c r="H76" s="661" t="inlineStr">
        <is>
          <t>0.057% - EURUSD 2025-07-28</t>
        </is>
      </c>
      <c r="I76" s="661" t="inlineStr">
        <is>
          <t>2.11% - ETHUSDT 2025-08-21</t>
        </is>
      </c>
      <c r="J76" s="661" t="inlineStr">
        <is>
          <t>0.11% - XAUUSD 2025-09-18</t>
        </is>
      </c>
      <c r="K76" s="662" t="inlineStr"/>
      <c r="L76" s="662" t="inlineStr"/>
      <c r="M76" s="663" t="inlineStr"/>
    </row>
    <row r="77" ht="14.5" customHeight="1">
      <c r="A77" s="889" t="inlineStr">
        <is>
          <t>Winners max target %</t>
        </is>
      </c>
      <c r="B77" s="917" t="inlineStr">
        <is>
          <t>2.63% - SOLUSDT 2025-01-22</t>
        </is>
      </c>
      <c r="C77" s="894" t="inlineStr"/>
      <c r="D77" s="894" t="inlineStr"/>
      <c r="E77" s="917" t="inlineStr">
        <is>
          <t>8.63% - TAIUSDT 2025-04-30</t>
        </is>
      </c>
      <c r="F77" s="917" t="inlineStr">
        <is>
          <t>7.46% - ZBCNUSDT 2025-05-25</t>
        </is>
      </c>
      <c r="G77" s="917" t="inlineStr">
        <is>
          <t>6.85% - GPSUSDT 2025-06-27</t>
        </is>
      </c>
      <c r="H77" s="917" t="inlineStr">
        <is>
          <t>0.057% - EURUSD 2025-07-28</t>
        </is>
      </c>
      <c r="I77" s="917" t="inlineStr">
        <is>
          <t>2.11% - ETHUSDT 2025-08-21</t>
        </is>
      </c>
      <c r="J77" s="917" t="inlineStr">
        <is>
          <t>17.96% - STBLUSDT 2025-09-22</t>
        </is>
      </c>
      <c r="K77" s="894" t="inlineStr"/>
      <c r="L77" s="894" t="inlineStr"/>
      <c r="M77" s="895" t="inlineStr"/>
    </row>
    <row r="78" ht="14.5" customHeight="1">
      <c r="A78" s="889" t="inlineStr">
        <is>
          <t>Winners min result %</t>
        </is>
      </c>
      <c r="B78" s="951" t="inlineStr">
        <is>
          <t>1.91% - SOLUSDT 2025-01-22</t>
        </is>
      </c>
      <c r="C78" s="894" t="inlineStr"/>
      <c r="D78" s="894" t="inlineStr"/>
      <c r="E78" s="951" t="inlineStr">
        <is>
          <t>1.99% - TAIUSDT 2025-04-30</t>
        </is>
      </c>
      <c r="F78" s="951" t="inlineStr">
        <is>
          <t>1.39% - USDJPY 2025-05-06</t>
        </is>
      </c>
      <c r="G78" s="951" t="inlineStr">
        <is>
          <t>1.34% - USDCHF 2025-06-27</t>
        </is>
      </c>
      <c r="H78" s="951" t="inlineStr">
        <is>
          <t>0.69% - EURUSD 2025-07-28</t>
        </is>
      </c>
      <c r="I78" s="951" t="inlineStr">
        <is>
          <t>1.95% - ETHUSDT 2025-08-21</t>
        </is>
      </c>
      <c r="J78" s="951" t="inlineStr">
        <is>
          <t>1.19% - XAUUSD 2025-09-18</t>
        </is>
      </c>
      <c r="K78" s="894" t="inlineStr"/>
      <c r="L78" s="894" t="inlineStr"/>
      <c r="M78" s="895" t="inlineStr"/>
    </row>
    <row r="79" ht="14.5" customHeight="1">
      <c r="A79" s="889" t="inlineStr">
        <is>
          <t>Winners max result %</t>
        </is>
      </c>
      <c r="B79" s="951" t="inlineStr">
        <is>
          <t>1.91% - SOLUSDT 2025-01-22</t>
        </is>
      </c>
      <c r="C79" s="894" t="inlineStr"/>
      <c r="D79" s="894" t="inlineStr"/>
      <c r="E79" s="951" t="inlineStr">
        <is>
          <t>1.99% - TAIUSDT 2025-04-30</t>
        </is>
      </c>
      <c r="F79" s="951" t="inlineStr">
        <is>
          <t>1.80% - ZBCNUSDT 2025-05-25</t>
        </is>
      </c>
      <c r="G79" s="951" t="inlineStr">
        <is>
          <t>2.00% - GPSUSDT 2025-06-27</t>
        </is>
      </c>
      <c r="H79" s="951" t="inlineStr">
        <is>
          <t>0.69% - EURUSD 2025-07-28</t>
        </is>
      </c>
      <c r="I79" s="951" t="inlineStr">
        <is>
          <t>1.95% - ETHUSDT 2025-08-21</t>
        </is>
      </c>
      <c r="J79" s="951" t="inlineStr">
        <is>
          <t>3.98% - STBLUSDT 2025-09-22</t>
        </is>
      </c>
      <c r="K79" s="894" t="inlineStr"/>
      <c r="L79" s="894" t="inlineStr"/>
      <c r="M79" s="895" t="inlineStr"/>
    </row>
    <row r="80" ht="14.5" customHeight="1">
      <c r="A80" s="889" t="inlineStr">
        <is>
          <t>Winners min R</t>
        </is>
      </c>
      <c r="B80" s="951" t="inlineStr">
        <is>
          <t>1.98R - SOLUSDT 2025-01-22</t>
        </is>
      </c>
      <c r="C80" s="984" t="inlineStr"/>
      <c r="D80" s="984" t="inlineStr"/>
      <c r="E80" s="951" t="inlineStr">
        <is>
          <t>2.00R - TAIUSDT 2025-04-30</t>
        </is>
      </c>
      <c r="F80" s="951" t="inlineStr">
        <is>
          <t>1.94R - USDJPY 2025-05-06</t>
        </is>
      </c>
      <c r="G80" s="951" t="inlineStr">
        <is>
          <t>1.81R - USDCHF 2025-06-27</t>
        </is>
      </c>
      <c r="H80" s="951" t="inlineStr">
        <is>
          <t>1.56R - EURUSD 2025-07-28</t>
        </is>
      </c>
      <c r="I80" s="951" t="inlineStr">
        <is>
          <t>2.41R - ETHUSDT 2025-08-21</t>
        </is>
      </c>
      <c r="J80" s="951" t="inlineStr">
        <is>
          <t>1.47R - XAUUSD 2025-09-18</t>
        </is>
      </c>
      <c r="K80" s="984" t="inlineStr"/>
      <c r="L80" s="984" t="inlineStr"/>
      <c r="M80" s="985" t="inlineStr"/>
    </row>
    <row r="81" ht="14.5" customHeight="1">
      <c r="A81" s="919" t="inlineStr">
        <is>
          <t>Winners max R</t>
        </is>
      </c>
      <c r="B81" s="929" t="inlineStr">
        <is>
          <t>1.98R - SOLUSDT 2025-01-22</t>
        </is>
      </c>
      <c r="C81" s="980" t="inlineStr"/>
      <c r="D81" s="980" t="inlineStr"/>
      <c r="E81" s="929" t="inlineStr">
        <is>
          <t>2.00R - TAIUSDT 2025-04-30</t>
        </is>
      </c>
      <c r="F81" s="929" t="inlineStr">
        <is>
          <t>2.00R - ZBCNUSDT 2025-05-25</t>
        </is>
      </c>
      <c r="G81" s="929" t="inlineStr">
        <is>
          <t>2.06R - GPSUSDT 2025-06-27</t>
        </is>
      </c>
      <c r="H81" s="929" t="inlineStr">
        <is>
          <t>1.56R - EURUSD 2025-07-28</t>
        </is>
      </c>
      <c r="I81" s="929" t="inlineStr">
        <is>
          <t>2.41R - ETHUSDT 2025-08-21</t>
        </is>
      </c>
      <c r="J81" s="929" t="inlineStr">
        <is>
          <t>2.04R - STBLUSDT 2025-09-22</t>
        </is>
      </c>
      <c r="K81" s="980" t="inlineStr"/>
      <c r="L81" s="980" t="inlineStr"/>
      <c r="M81" s="981" t="inlineStr"/>
    </row>
    <row r="82" ht="14.5" customHeight="1">
      <c r="A82" s="913" t="inlineStr">
        <is>
          <t>Losers min stop %</t>
        </is>
      </c>
      <c r="B82" s="922" t="inlineStr">
        <is>
          <t>0.54% - DOGEUSDT 2025-01-19</t>
        </is>
      </c>
      <c r="C82" s="915" t="inlineStr"/>
      <c r="D82" s="915" t="inlineStr"/>
      <c r="E82" s="915" t="inlineStr"/>
      <c r="F82" s="922" t="inlineStr">
        <is>
          <t>0.57% - SOLAYERUSDT 2025-05-23</t>
        </is>
      </c>
      <c r="G82" s="922" t="inlineStr">
        <is>
          <t>0.097% - NZDUSD 2025-06-10</t>
        </is>
      </c>
      <c r="H82" s="922" t="inlineStr">
        <is>
          <t>1.81% - PENGUUSDT 2025-07-11</t>
        </is>
      </c>
      <c r="I82" s="922" t="inlineStr">
        <is>
          <t>0.40% - TRXUSDT 2025-08-14</t>
        </is>
      </c>
      <c r="J82" s="922" t="inlineStr">
        <is>
          <t>0.24% - NZDCHF 2025-09-30</t>
        </is>
      </c>
      <c r="K82" s="922" t="inlineStr">
        <is>
          <t>0.79% - XAGUSD 2025-10-29</t>
        </is>
      </c>
      <c r="L82" s="922" t="inlineStr">
        <is>
          <t>0.15% - EURUSD 2025-11-06</t>
        </is>
      </c>
      <c r="M82" s="916" t="inlineStr"/>
    </row>
    <row r="83" ht="14.5" customHeight="1">
      <c r="A83" s="889" t="inlineStr">
        <is>
          <t>Losers max stop %</t>
        </is>
      </c>
      <c r="B83" s="917" t="inlineStr">
        <is>
          <t>3.08% - XRPUSDT 2025-01-29</t>
        </is>
      </c>
      <c r="C83" s="894" t="inlineStr"/>
      <c r="D83" s="894" t="inlineStr"/>
      <c r="E83" s="894" t="inlineStr"/>
      <c r="F83" s="917" t="inlineStr">
        <is>
          <t>0.57% - SOLAYERUSDT 2025-05-23</t>
        </is>
      </c>
      <c r="G83" s="917" t="inlineStr">
        <is>
          <t>5.26% - 1000CATSUSDT 2025-06-15</t>
        </is>
      </c>
      <c r="H83" s="917" t="inlineStr">
        <is>
          <t>5.55% - ENAUSDT 2025-07-24</t>
        </is>
      </c>
      <c r="I83" s="917" t="inlineStr">
        <is>
          <t>4.44% - ENAUSDT 2025-08-19</t>
        </is>
      </c>
      <c r="J83" s="917" t="inlineStr">
        <is>
          <t>9.29% - AVNTUSDT 2025-09-28</t>
        </is>
      </c>
      <c r="K83" s="917" t="inlineStr">
        <is>
          <t>5.69% - ORDERUSDT 2025-10-01</t>
        </is>
      </c>
      <c r="L83" s="917" t="inlineStr">
        <is>
          <t>0.15% - EURUSD 2025-11-06</t>
        </is>
      </c>
      <c r="M83" s="895" t="inlineStr"/>
    </row>
    <row r="84" ht="14.5" customHeight="1">
      <c r="A84" s="889" t="inlineStr">
        <is>
          <t>Losers min target %</t>
        </is>
      </c>
      <c r="B84" s="917" t="inlineStr">
        <is>
          <t>1.40% - DOGEUSDT 2025-01-19</t>
        </is>
      </c>
      <c r="C84" s="894" t="inlineStr"/>
      <c r="D84" s="894" t="inlineStr"/>
      <c r="E84" s="894" t="inlineStr"/>
      <c r="F84" s="917" t="inlineStr">
        <is>
          <t>1.21% - SOLAYERUSDT 2025-05-23</t>
        </is>
      </c>
      <c r="G84" s="917" t="inlineStr">
        <is>
          <t>0.0068% - NZDUSD 2025-06-10</t>
        </is>
      </c>
      <c r="H84" s="917" t="inlineStr">
        <is>
          <t>3.74% - PENGUUSDT 2025-07-11</t>
        </is>
      </c>
      <c r="I84" s="917" t="inlineStr">
        <is>
          <t>1.15% - TRXUSDT 2025-08-14</t>
        </is>
      </c>
      <c r="J84" s="917" t="inlineStr">
        <is>
          <t>0.43% - NZDCHF 2025-09-30</t>
        </is>
      </c>
      <c r="K84" s="917" t="inlineStr">
        <is>
          <t>1.49% - XAGUSD 2025-10-29</t>
        </is>
      </c>
      <c r="L84" s="917" t="inlineStr">
        <is>
          <t>0.29% - EURUSD 2025-11-06</t>
        </is>
      </c>
      <c r="M84" s="895" t="inlineStr"/>
    </row>
    <row r="85" ht="14.5" customHeight="1">
      <c r="A85" s="889" t="inlineStr">
        <is>
          <t>Losers max target %</t>
        </is>
      </c>
      <c r="B85" s="917" t="inlineStr">
        <is>
          <t>6.16% - XRPUSDT 2025-01-29</t>
        </is>
      </c>
      <c r="C85" s="894" t="inlineStr"/>
      <c r="D85" s="894" t="inlineStr"/>
      <c r="E85" s="894" t="inlineStr"/>
      <c r="F85" s="917" t="inlineStr">
        <is>
          <t>1.21% - SOLAYERUSDT 2025-05-23</t>
        </is>
      </c>
      <c r="G85" s="917" t="inlineStr">
        <is>
          <t>10.59% - 1000CATSUSDT 2025-06-15</t>
        </is>
      </c>
      <c r="H85" s="917" t="inlineStr">
        <is>
          <t>11.52% - ENAUSDT 2025-07-24</t>
        </is>
      </c>
      <c r="I85" s="917" t="inlineStr">
        <is>
          <t>9.28% - ENAUSDT 2025-08-19</t>
        </is>
      </c>
      <c r="J85" s="917" t="inlineStr">
        <is>
          <t>19.05% - AVNTUSDT 2025-09-28</t>
        </is>
      </c>
      <c r="K85" s="917" t="inlineStr">
        <is>
          <t>11.77% - ORDERUSDT 2025-10-01</t>
        </is>
      </c>
      <c r="L85" s="917" t="inlineStr">
        <is>
          <t>0.29% - EURUSD 2025-11-06</t>
        </is>
      </c>
      <c r="M85" s="895" t="inlineStr"/>
    </row>
    <row r="86" ht="14.5" customHeight="1">
      <c r="A86" s="889" t="inlineStr">
        <is>
          <t>Losers min result %</t>
        </is>
      </c>
      <c r="B86" s="927" t="inlineStr">
        <is>
          <t>-1.00% - SUIUSDT 2025-01-12</t>
        </is>
      </c>
      <c r="C86" s="894" t="inlineStr"/>
      <c r="D86" s="894" t="inlineStr"/>
      <c r="E86" s="894" t="inlineStr"/>
      <c r="F86" s="927" t="inlineStr">
        <is>
          <t>-1.31% - SOLAYERUSDT 2025-05-23</t>
        </is>
      </c>
      <c r="G86" s="927" t="inlineStr">
        <is>
          <t>-0.0076% - NZDUSD 2025-06-10</t>
        </is>
      </c>
      <c r="H86" s="927" t="inlineStr">
        <is>
          <t>-1.02% - ENAUSDT 2025-07-24</t>
        </is>
      </c>
      <c r="I86" s="927" t="inlineStr">
        <is>
          <t>-0.49% - ENAUSDT 2025-08-19</t>
        </is>
      </c>
      <c r="J86" s="927" t="inlineStr">
        <is>
          <t>-0.62% - NZDCHF 2025-09-30</t>
        </is>
      </c>
      <c r="K86" s="927" t="inlineStr">
        <is>
          <t>-0.67% - XAGUSD 2025-10-29</t>
        </is>
      </c>
      <c r="L86" s="927" t="inlineStr">
        <is>
          <t>-1.16% - EURUSD 2025-11-06</t>
        </is>
      </c>
      <c r="M86" s="895" t="inlineStr"/>
    </row>
    <row r="87" ht="14.5" customHeight="1">
      <c r="A87" s="889" t="inlineStr">
        <is>
          <t>Losers max result %</t>
        </is>
      </c>
      <c r="B87" s="927" t="inlineStr">
        <is>
          <t>-1.20% - DOGEUSDT 2025-01-19</t>
        </is>
      </c>
      <c r="C87" s="894" t="inlineStr"/>
      <c r="D87" s="894" t="inlineStr"/>
      <c r="E87" s="894" t="inlineStr"/>
      <c r="F87" s="927" t="inlineStr">
        <is>
          <t>-1.31% - SOLAYERUSDT 2025-05-23</t>
        </is>
      </c>
      <c r="G87" s="927" t="inlineStr">
        <is>
          <t>-1.08% - TLMUSDT 2025-06-24</t>
        </is>
      </c>
      <c r="H87" s="927" t="inlineStr">
        <is>
          <t>-1.05% - PENGUUSDT 2025-07-11</t>
        </is>
      </c>
      <c r="I87" s="927" t="inlineStr">
        <is>
          <t>-1.10% - SOLUSDT 2025-08-05</t>
        </is>
      </c>
      <c r="J87" s="927" t="inlineStr">
        <is>
          <t>-1.06% - XAUUSD 2025-09-11</t>
        </is>
      </c>
      <c r="K87" s="927" t="inlineStr">
        <is>
          <t>-1.09% - BNBUSDT 2025-10-11</t>
        </is>
      </c>
      <c r="L87" s="927" t="inlineStr">
        <is>
          <t>-1.16% - EURUSD 2025-11-06</t>
        </is>
      </c>
      <c r="M87" s="895" t="inlineStr"/>
    </row>
    <row r="88" ht="14.5" customHeight="1">
      <c r="A88" s="889" t="inlineStr">
        <is>
          <t>Losers min R</t>
        </is>
      </c>
      <c r="B88" s="927" t="inlineStr">
        <is>
          <t>-0.99R - SUIUSDT 2025-01-12</t>
        </is>
      </c>
      <c r="C88" s="984" t="inlineStr"/>
      <c r="D88" s="984" t="inlineStr"/>
      <c r="E88" s="984" t="inlineStr"/>
      <c r="F88" s="927" t="inlineStr">
        <is>
          <t>-1.11R - SOLAYERUSDT 2025-05-23</t>
        </is>
      </c>
      <c r="G88" s="927" t="inlineStr">
        <is>
          <t>-0.017R - NZDUSD 2025-06-10</t>
        </is>
      </c>
      <c r="H88" s="927" t="inlineStr">
        <is>
          <t>-0.99R - PENGUUSDT 2025-07-11</t>
        </is>
      </c>
      <c r="I88" s="927" t="inlineStr">
        <is>
          <t>-0.48R - ENAUSDT 2025-08-19</t>
        </is>
      </c>
      <c r="J88" s="927" t="inlineStr">
        <is>
          <t>-1.00R - XAUUSD 2025-09-11</t>
        </is>
      </c>
      <c r="K88" s="927" t="inlineStr">
        <is>
          <t>-0.94R - BNBUSDT 2025-10-08</t>
        </is>
      </c>
      <c r="L88" s="927" t="inlineStr">
        <is>
          <t>-1.00R - EURUSD 2025-11-06</t>
        </is>
      </c>
      <c r="M88" s="985" t="inlineStr"/>
    </row>
    <row r="89" ht="14.5" customHeight="1">
      <c r="A89" s="919" t="inlineStr">
        <is>
          <t>Losers max R</t>
        </is>
      </c>
      <c r="B89" s="953" t="inlineStr">
        <is>
          <t>-1.22R - DOGEUSDT 2025-01-19</t>
        </is>
      </c>
      <c r="C89" s="980" t="inlineStr"/>
      <c r="D89" s="980" t="inlineStr"/>
      <c r="E89" s="980" t="inlineStr"/>
      <c r="F89" s="953" t="inlineStr">
        <is>
          <t>-1.11R - SOLAYERUSDT 2025-05-23</t>
        </is>
      </c>
      <c r="G89" s="953" t="inlineStr">
        <is>
          <t>-1.05R - TLMUSDT 2025-06-24</t>
        </is>
      </c>
      <c r="H89" s="953" t="inlineStr">
        <is>
          <t>-1.02R - ENAUSDT 2025-07-24</t>
        </is>
      </c>
      <c r="I89" s="953" t="inlineStr">
        <is>
          <t>-1.08R - TRXUSDT 2025-08-14</t>
        </is>
      </c>
      <c r="J89" s="953" t="inlineStr">
        <is>
          <t>-1.01R - AVNTUSDT 2025-09-28</t>
        </is>
      </c>
      <c r="K89" s="953" t="inlineStr">
        <is>
          <t>-1.04R - ORDERUSDT 2025-10-01</t>
        </is>
      </c>
      <c r="L89" s="953" t="inlineStr">
        <is>
          <t>-1.00R - EURUSD 2025-11-06</t>
        </is>
      </c>
      <c r="M89" s="981" t="inlineStr"/>
    </row>
    <row r="90" ht="14.5" customHeight="1">
      <c r="A90" s="924" t="inlineStr">
        <is>
          <t>Patterns</t>
        </is>
      </c>
      <c r="B90" s="922" t="inlineStr"/>
      <c r="C90" s="922" t="inlineStr"/>
      <c r="D90" s="922" t="inlineStr"/>
      <c r="E90" s="922" t="inlineStr"/>
      <c r="F90" s="922" t="inlineStr"/>
      <c r="G90" s="922" t="inlineStr"/>
      <c r="H90" s="922" t="inlineStr"/>
      <c r="I90" s="922" t="inlineStr"/>
      <c r="J90" s="922" t="inlineStr"/>
      <c r="K90" s="922" t="inlineStr"/>
      <c r="L90" s="922" t="inlineStr"/>
      <c r="M90" s="923" t="inlineStr"/>
    </row>
    <row r="91" ht="14.5" customHeight="1">
      <c r="A91" s="886" t="inlineStr">
        <is>
          <t>Most Traded</t>
        </is>
      </c>
      <c r="B91" s="917" t="inlineStr">
        <is>
          <t>channel</t>
        </is>
      </c>
      <c r="C91" s="917" t="inlineStr"/>
      <c r="D91" s="917" t="inlineStr"/>
      <c r="E91" s="917" t="inlineStr"/>
      <c r="F91" s="917" t="inlineStr"/>
      <c r="G91" s="917" t="inlineStr"/>
      <c r="H91" s="917" t="inlineStr"/>
      <c r="I91" s="917" t="inlineStr"/>
      <c r="J91" s="917" t="inlineStr"/>
      <c r="K91" s="917" t="inlineStr"/>
      <c r="L91" s="917" t="inlineStr"/>
      <c r="M91" s="918" t="inlineStr"/>
    </row>
    <row r="92" ht="14.5" customHeight="1">
      <c r="A92" s="886" t="inlineStr">
        <is>
          <t>Least Traded</t>
        </is>
      </c>
      <c r="B92" s="661" t="inlineStr">
        <is>
          <t>channel</t>
        </is>
      </c>
      <c r="C92" s="661" t="inlineStr"/>
      <c r="D92" s="661" t="inlineStr"/>
      <c r="E92" s="661" t="inlineStr"/>
      <c r="F92" s="661" t="inlineStr"/>
      <c r="G92" s="661" t="inlineStr"/>
      <c r="H92" s="661" t="inlineStr"/>
      <c r="I92" s="661" t="inlineStr"/>
      <c r="J92" s="661" t="inlineStr"/>
      <c r="K92" s="661" t="inlineStr"/>
      <c r="L92" s="661" t="inlineStr"/>
      <c r="M92" s="904" t="inlineStr"/>
    </row>
    <row r="93" ht="14.5" customHeight="1">
      <c r="A93" s="886" t="inlineStr">
        <is>
          <t>Most Profitable</t>
        </is>
      </c>
      <c r="B93" s="661" t="inlineStr">
        <is>
          <t>channel</t>
        </is>
      </c>
      <c r="C93" s="661" t="inlineStr"/>
      <c r="D93" s="661" t="inlineStr"/>
      <c r="E93" s="661" t="inlineStr"/>
      <c r="F93" s="661" t="inlineStr"/>
      <c r="G93" s="661" t="inlineStr"/>
      <c r="H93" s="661" t="inlineStr"/>
      <c r="I93" s="661" t="inlineStr"/>
      <c r="J93" s="661" t="inlineStr"/>
      <c r="K93" s="661" t="inlineStr"/>
      <c r="L93" s="661" t="inlineStr"/>
      <c r="M93" s="904" t="inlineStr"/>
    </row>
    <row r="94" ht="14.5" customHeight="1">
      <c r="A94" s="907" t="inlineStr">
        <is>
          <t>Least Profitable</t>
        </is>
      </c>
      <c r="B94" s="669" t="inlineStr">
        <is>
          <t>channel</t>
        </is>
      </c>
      <c r="C94" s="669" t="inlineStr"/>
      <c r="D94" s="669" t="inlineStr"/>
      <c r="E94" s="669" t="inlineStr"/>
      <c r="F94" s="669" t="inlineStr"/>
      <c r="G94" s="669" t="inlineStr"/>
      <c r="H94" s="669" t="inlineStr"/>
      <c r="I94" s="669" t="inlineStr"/>
      <c r="J94" s="669" t="inlineStr"/>
      <c r="K94" s="669" t="inlineStr"/>
      <c r="L94" s="669" t="inlineStr"/>
      <c r="M94" s="955" t="inlineStr"/>
    </row>
    <row r="95" ht="14.5" customHeight="1">
      <c r="A95" s="924" t="inlineStr">
        <is>
          <t>Timeframe</t>
        </is>
      </c>
      <c r="B95" s="931" t="inlineStr"/>
      <c r="C95" s="931" t="inlineStr"/>
      <c r="D95" s="931" t="inlineStr"/>
      <c r="E95" s="931" t="inlineStr"/>
      <c r="F95" s="931" t="inlineStr"/>
      <c r="G95" s="931" t="inlineStr"/>
      <c r="H95" s="931" t="inlineStr"/>
      <c r="I95" s="931" t="inlineStr"/>
      <c r="J95" s="931" t="inlineStr"/>
      <c r="K95" s="931" t="inlineStr"/>
      <c r="L95" s="931" t="inlineStr"/>
      <c r="M95" s="932" t="inlineStr"/>
    </row>
    <row r="96" ht="14.5" customHeight="1">
      <c r="A96" s="886" t="inlineStr">
        <is>
          <t>1MIN</t>
        </is>
      </c>
      <c r="B96" s="887" t="n">
        <v>1</v>
      </c>
      <c r="C96" s="887" t="n">
        <v>0</v>
      </c>
      <c r="D96" s="887" t="n">
        <v>0</v>
      </c>
      <c r="E96" s="887" t="n">
        <v>0</v>
      </c>
      <c r="F96" s="887" t="n">
        <v>0</v>
      </c>
      <c r="G96" s="887" t="n">
        <v>0</v>
      </c>
      <c r="H96" s="887" t="n">
        <v>1</v>
      </c>
      <c r="I96" s="887" t="n">
        <v>0</v>
      </c>
      <c r="J96" s="887" t="n">
        <v>0</v>
      </c>
      <c r="K96" s="887" t="n">
        <v>0</v>
      </c>
      <c r="L96" s="887" t="n">
        <v>0</v>
      </c>
      <c r="M96" s="888" t="n">
        <v>0</v>
      </c>
    </row>
    <row r="97" ht="14.5" customHeight="1">
      <c r="A97" s="886" t="inlineStr">
        <is>
          <t>5MIN</t>
        </is>
      </c>
      <c r="B97" s="887" t="n">
        <v>0</v>
      </c>
      <c r="C97" s="887" t="n">
        <v>0</v>
      </c>
      <c r="D97" s="887" t="n">
        <v>0</v>
      </c>
      <c r="E97" s="887" t="n">
        <v>0</v>
      </c>
      <c r="F97" s="887" t="n">
        <v>0</v>
      </c>
      <c r="G97" s="887" t="n">
        <v>1</v>
      </c>
      <c r="H97" s="887" t="n">
        <v>0</v>
      </c>
      <c r="I97" s="887" t="n">
        <v>0</v>
      </c>
      <c r="J97" s="887" t="n">
        <v>0</v>
      </c>
      <c r="K97" s="887" t="n">
        <v>0</v>
      </c>
      <c r="L97" s="887" t="n">
        <v>0</v>
      </c>
      <c r="M97" s="888" t="n">
        <v>0</v>
      </c>
    </row>
    <row r="98" ht="14.5" customHeight="1">
      <c r="A98" s="886" t="inlineStr">
        <is>
          <t>15MIN</t>
        </is>
      </c>
      <c r="B98" s="887" t="n">
        <v>1</v>
      </c>
      <c r="C98" s="887" t="n">
        <v>0</v>
      </c>
      <c r="D98" s="887" t="n">
        <v>0</v>
      </c>
      <c r="E98" s="887" t="n">
        <v>0</v>
      </c>
      <c r="F98" s="887" t="n">
        <v>0</v>
      </c>
      <c r="G98" s="887" t="n">
        <v>2</v>
      </c>
      <c r="H98" s="887" t="n">
        <v>1</v>
      </c>
      <c r="I98" s="887" t="n">
        <v>3</v>
      </c>
      <c r="J98" s="887" t="n">
        <v>0</v>
      </c>
      <c r="K98" s="887" t="n">
        <v>2</v>
      </c>
      <c r="L98" s="887" t="n">
        <v>0</v>
      </c>
      <c r="M98" s="888" t="n">
        <v>0</v>
      </c>
    </row>
    <row r="99" ht="14.5" customHeight="1">
      <c r="A99" s="886" t="inlineStr">
        <is>
          <t>30MIN</t>
        </is>
      </c>
      <c r="B99" s="887" t="n">
        <v>1</v>
      </c>
      <c r="C99" s="887" t="n">
        <v>0</v>
      </c>
      <c r="D99" s="887" t="n">
        <v>0</v>
      </c>
      <c r="E99" s="887" t="n">
        <v>0</v>
      </c>
      <c r="F99" s="887" t="n">
        <v>0</v>
      </c>
      <c r="G99" s="887" t="n">
        <v>1</v>
      </c>
      <c r="H99" s="887" t="n">
        <v>0</v>
      </c>
      <c r="I99" s="887" t="n">
        <v>1</v>
      </c>
      <c r="J99" s="887" t="n">
        <v>2</v>
      </c>
      <c r="K99" s="887" t="n">
        <v>0</v>
      </c>
      <c r="L99" s="887" t="n">
        <v>1</v>
      </c>
      <c r="M99" s="888" t="n">
        <v>0</v>
      </c>
    </row>
    <row r="100" ht="14.5" customHeight="1">
      <c r="A100" s="886" t="inlineStr">
        <is>
          <t>1H</t>
        </is>
      </c>
      <c r="B100" s="887" t="n">
        <v>1</v>
      </c>
      <c r="C100" s="887" t="n">
        <v>0</v>
      </c>
      <c r="D100" s="887" t="n">
        <v>0</v>
      </c>
      <c r="E100" s="887" t="n">
        <v>0</v>
      </c>
      <c r="F100" s="887" t="n">
        <v>1</v>
      </c>
      <c r="G100" s="887" t="n">
        <v>1</v>
      </c>
      <c r="H100" s="887" t="n">
        <v>1</v>
      </c>
      <c r="I100" s="887" t="n">
        <v>2</v>
      </c>
      <c r="J100" s="887" t="n">
        <v>3</v>
      </c>
      <c r="K100" s="887" t="n">
        <v>1</v>
      </c>
      <c r="L100" s="887" t="n">
        <v>0</v>
      </c>
      <c r="M100" s="888" t="n">
        <v>0</v>
      </c>
    </row>
    <row r="101" ht="14.5" customHeight="1">
      <c r="A101" s="886" t="inlineStr">
        <is>
          <t>4H</t>
        </is>
      </c>
      <c r="B101" s="887" t="n">
        <v>0</v>
      </c>
      <c r="C101" s="887" t="n">
        <v>0</v>
      </c>
      <c r="D101" s="887" t="n">
        <v>0</v>
      </c>
      <c r="E101" s="887" t="n">
        <v>0</v>
      </c>
      <c r="F101" s="887" t="n">
        <v>0</v>
      </c>
      <c r="G101" s="887" t="n">
        <v>1</v>
      </c>
      <c r="H101" s="887" t="n">
        <v>0</v>
      </c>
      <c r="I101" s="887" t="n">
        <v>1</v>
      </c>
      <c r="J101" s="887" t="n">
        <v>2</v>
      </c>
      <c r="K101" s="887" t="n">
        <v>0</v>
      </c>
      <c r="L101" s="887" t="n">
        <v>0</v>
      </c>
      <c r="M101" s="888" t="n">
        <v>0</v>
      </c>
    </row>
    <row r="102" ht="14.5" customHeight="1">
      <c r="A102" s="886" t="inlineStr">
        <is>
          <t>DAILY</t>
        </is>
      </c>
      <c r="B102" s="887" t="n">
        <v>0</v>
      </c>
      <c r="C102" s="887" t="n">
        <v>0</v>
      </c>
      <c r="D102" s="887" t="n">
        <v>0</v>
      </c>
      <c r="E102" s="887" t="n">
        <v>0</v>
      </c>
      <c r="F102" s="887" t="n">
        <v>0</v>
      </c>
      <c r="G102" s="887" t="n">
        <v>0</v>
      </c>
      <c r="H102" s="887" t="n">
        <v>0</v>
      </c>
      <c r="I102" s="887" t="n">
        <v>0</v>
      </c>
      <c r="J102" s="887" t="n">
        <v>0</v>
      </c>
      <c r="K102" s="887" t="n">
        <v>0</v>
      </c>
      <c r="L102" s="887" t="n">
        <v>0</v>
      </c>
      <c r="M102" s="888" t="n">
        <v>0</v>
      </c>
    </row>
    <row r="103" ht="14.5" customHeight="1">
      <c r="A103" s="886" t="inlineStr">
        <is>
          <t>WEEKLY</t>
        </is>
      </c>
      <c r="B103" s="887" t="n">
        <v>0</v>
      </c>
      <c r="C103" s="887" t="n">
        <v>0</v>
      </c>
      <c r="D103" s="887" t="n">
        <v>0</v>
      </c>
      <c r="E103" s="887" t="n">
        <v>0</v>
      </c>
      <c r="F103" s="887" t="n">
        <v>0</v>
      </c>
      <c r="G103" s="887" t="n">
        <v>0</v>
      </c>
      <c r="H103" s="887" t="n">
        <v>0</v>
      </c>
      <c r="I103" s="887" t="n">
        <v>0</v>
      </c>
      <c r="J103" s="887" t="n">
        <v>0</v>
      </c>
      <c r="K103" s="887" t="n">
        <v>0</v>
      </c>
      <c r="L103" s="887" t="n">
        <v>0</v>
      </c>
      <c r="M103" s="888" t="n">
        <v>0</v>
      </c>
    </row>
    <row r="104" ht="14.5" customHeight="1">
      <c r="A104" s="907" t="inlineStr">
        <is>
          <t>MONTHLY</t>
        </is>
      </c>
      <c r="B104" s="947" t="n">
        <v>0</v>
      </c>
      <c r="C104" s="947" t="n">
        <v>0</v>
      </c>
      <c r="D104" s="947" t="n">
        <v>0</v>
      </c>
      <c r="E104" s="947" t="n">
        <v>0</v>
      </c>
      <c r="F104" s="947" t="n">
        <v>0</v>
      </c>
      <c r="G104" s="947" t="n">
        <v>0</v>
      </c>
      <c r="H104" s="947" t="n">
        <v>0</v>
      </c>
      <c r="I104" s="947" t="n">
        <v>0</v>
      </c>
      <c r="J104" s="947" t="n">
        <v>0</v>
      </c>
      <c r="K104" s="947" t="n">
        <v>0</v>
      </c>
      <c r="L104" s="947" t="n">
        <v>0</v>
      </c>
      <c r="M104" s="948" t="n">
        <v>0</v>
      </c>
    </row>
    <row r="105" ht="14.5" customHeight="1">
      <c r="A105" s="924" t="inlineStr">
        <is>
          <t>Commission</t>
        </is>
      </c>
      <c r="B105" s="931" t="inlineStr"/>
      <c r="C105" s="931" t="inlineStr"/>
      <c r="D105" s="931" t="inlineStr"/>
      <c r="E105" s="931" t="inlineStr"/>
      <c r="F105" s="931" t="inlineStr"/>
      <c r="G105" s="931" t="inlineStr"/>
      <c r="H105" s="931" t="inlineStr"/>
      <c r="I105" s="931" t="inlineStr"/>
      <c r="J105" s="931" t="inlineStr"/>
      <c r="K105" s="931" t="inlineStr"/>
      <c r="L105" s="931" t="inlineStr"/>
      <c r="M105" s="932" t="inlineStr"/>
    </row>
    <row r="106" ht="14.5" customHeight="1">
      <c r="A106" s="889" t="inlineStr">
        <is>
          <t>Min Commission</t>
        </is>
      </c>
      <c r="B106" s="989" t="n">
        <v>0.08401169999999999</v>
      </c>
      <c r="C106" s="661" t="inlineStr"/>
      <c r="D106" s="661" t="inlineStr"/>
      <c r="E106" s="989" t="n">
        <v>0.05616067</v>
      </c>
      <c r="F106" s="989" t="n">
        <v>0.06453991000000001</v>
      </c>
      <c r="G106" s="927" t="inlineStr">
        <is>
          <t>AUD 0.16 / USDT 0.075</t>
        </is>
      </c>
      <c r="H106" s="927" t="inlineStr">
        <is>
          <t>AUD 1.26 / USDT 0.045</t>
        </is>
      </c>
      <c r="I106" s="989" t="n">
        <v>0.05365646</v>
      </c>
      <c r="J106" s="989" t="n">
        <v>0.05067744</v>
      </c>
      <c r="K106" s="927" t="inlineStr">
        <is>
          <t>AUD 0.026 / USDT 0.043</t>
        </is>
      </c>
      <c r="L106" s="957" t="n">
        <v>0.9922</v>
      </c>
      <c r="M106" s="904" t="inlineStr"/>
    </row>
    <row r="107" ht="14.5" customHeight="1">
      <c r="A107" s="889" t="inlineStr">
        <is>
          <t>Avg Commission</t>
        </is>
      </c>
      <c r="B107" s="990" t="n">
        <v>0.2356930125</v>
      </c>
      <c r="C107" s="661" t="inlineStr"/>
      <c r="D107" s="661" t="inlineStr"/>
      <c r="E107" s="989" t="n">
        <v>0.05616067</v>
      </c>
      <c r="F107" s="990" t="n">
        <v>0.25606793</v>
      </c>
      <c r="G107" s="927" t="inlineStr">
        <is>
          <t>AUD 0.16 / USDT 0.14</t>
        </is>
      </c>
      <c r="H107" s="927" t="inlineStr">
        <is>
          <t>AUD 1.26 / USDT 0.094</t>
        </is>
      </c>
      <c r="I107" s="990" t="n">
        <v>0.2240616557142857</v>
      </c>
      <c r="J107" s="989" t="n">
        <v>0.086016615</v>
      </c>
      <c r="K107" s="927" t="inlineStr">
        <is>
          <t>AUD 0.026 / USDT 0.097</t>
        </is>
      </c>
      <c r="L107" s="957" t="n">
        <v>0.9922</v>
      </c>
      <c r="M107" s="904" t="inlineStr"/>
    </row>
    <row r="108" ht="14.5" customHeight="1">
      <c r="A108" s="889" t="inlineStr">
        <is>
          <t>Max Commission</t>
        </is>
      </c>
      <c r="B108" s="993" t="n">
        <v>0.395233</v>
      </c>
      <c r="C108" s="937" t="inlineStr"/>
      <c r="D108" s="937" t="inlineStr"/>
      <c r="E108" s="1000" t="n">
        <v>0.05616067</v>
      </c>
      <c r="F108" s="993" t="n">
        <v>0.44759595</v>
      </c>
      <c r="G108" s="959" t="inlineStr">
        <is>
          <t>AUD 0.16 / USDT 0.22</t>
        </is>
      </c>
      <c r="H108" s="959" t="inlineStr">
        <is>
          <t>AUD 1.26 / USDT 0.14</t>
        </is>
      </c>
      <c r="I108" s="993" t="n">
        <v>0.4827306</v>
      </c>
      <c r="J108" s="993" t="n">
        <v>0.12135579</v>
      </c>
      <c r="K108" s="959" t="inlineStr">
        <is>
          <t>AUD 0.026 / USDT 0.14</t>
        </is>
      </c>
      <c r="L108" s="958" t="n">
        <v>0.9922</v>
      </c>
      <c r="M108" s="938" t="inlineStr"/>
    </row>
    <row r="109" ht="14.5" customHeight="1">
      <c r="A109" s="919" t="inlineStr">
        <is>
          <t>Total Commission</t>
        </is>
      </c>
      <c r="B109" s="996" t="n">
        <v>0.94277205</v>
      </c>
      <c r="C109" s="920" t="inlineStr"/>
      <c r="D109" s="920" t="inlineStr"/>
      <c r="E109" s="1001" t="n">
        <v>0.05616067</v>
      </c>
      <c r="F109" s="996" t="n">
        <v>0.51213586</v>
      </c>
      <c r="G109" s="953" t="inlineStr">
        <is>
          <t>AUD 0.16 / USDT 0.55</t>
        </is>
      </c>
      <c r="H109" s="953" t="inlineStr">
        <is>
          <t>AUD 1.26 / USDT 0.19</t>
        </is>
      </c>
      <c r="I109" s="996" t="n">
        <v>1.56843159</v>
      </c>
      <c r="J109" s="996" t="n">
        <v>0.17203323</v>
      </c>
      <c r="K109" s="953" t="inlineStr">
        <is>
          <t>AUD 0.026 / USDT 0.29</t>
        </is>
      </c>
      <c r="L109" s="961" t="n">
        <v>0.9922</v>
      </c>
      <c r="M109" s="921" t="inlineStr"/>
    </row>
    <row r="110">
      <c r="A110" s="962" t="n"/>
      <c r="B110" s="964" t="n"/>
      <c r="C110" s="963" t="n"/>
      <c r="D110" s="963" t="n"/>
      <c r="E110" s="963" t="n"/>
      <c r="F110" s="963" t="n"/>
      <c r="G110" s="963" t="n"/>
      <c r="H110" s="963" t="n"/>
      <c r="I110" s="963" t="n"/>
      <c r="J110" s="963" t="n"/>
      <c r="K110" s="963" t="n"/>
      <c r="L110" s="963" t="n"/>
      <c r="M110" s="963" t="n"/>
    </row>
    <row r="111">
      <c r="A111" s="962" t="n"/>
      <c r="B111" s="966" t="n"/>
      <c r="C111" s="965" t="n"/>
      <c r="D111" s="965" t="n"/>
      <c r="E111" s="965" t="n"/>
      <c r="F111" s="965" t="n"/>
      <c r="G111" s="965" t="n"/>
      <c r="H111" s="965" t="n"/>
      <c r="I111" s="965" t="n"/>
      <c r="J111" s="965" t="n"/>
      <c r="K111" s="965" t="n"/>
      <c r="L111" s="965" t="n"/>
      <c r="M111" s="965" t="n"/>
    </row>
    <row r="112">
      <c r="A112" s="962" t="n"/>
      <c r="B112" s="966" t="n"/>
      <c r="C112" s="965" t="n"/>
      <c r="D112" s="965" t="n"/>
      <c r="E112" s="965" t="n"/>
      <c r="F112" s="965" t="n"/>
      <c r="G112" s="965" t="n"/>
      <c r="H112" s="965" t="n"/>
      <c r="I112" s="965" t="n"/>
      <c r="J112" s="965" t="n"/>
      <c r="K112" s="965" t="n"/>
      <c r="L112" s="965" t="n"/>
      <c r="M112" s="965" t="n"/>
    </row>
    <row r="113">
      <c r="A113" s="962" t="n"/>
      <c r="B113" s="967" t="n"/>
      <c r="C113" s="967" t="n"/>
      <c r="D113" s="967" t="n"/>
      <c r="E113" s="967" t="n"/>
      <c r="F113" s="967" t="n"/>
      <c r="G113" s="967" t="n"/>
      <c r="H113" s="967" t="n"/>
      <c r="I113" s="967" t="n"/>
      <c r="J113" s="967" t="n"/>
      <c r="K113" s="967" t="n"/>
      <c r="L113" s="967" t="n"/>
      <c r="M113" s="967" t="n"/>
    </row>
    <row r="114">
      <c r="A114" s="962" t="n"/>
      <c r="B114" s="964" t="n"/>
      <c r="C114" s="963" t="n"/>
      <c r="D114" s="964" t="n"/>
      <c r="E114" s="964" t="n"/>
      <c r="F114" s="964" t="n"/>
      <c r="G114" s="964" t="n"/>
      <c r="H114" s="964" t="n"/>
      <c r="I114" s="964" t="n"/>
      <c r="J114" s="964" t="n"/>
      <c r="K114" s="964" t="n"/>
      <c r="L114" s="964" t="n"/>
      <c r="M114" s="964" t="n"/>
    </row>
    <row r="115">
      <c r="A115" s="962" t="n"/>
      <c r="B115" s="964" t="n"/>
      <c r="C115" s="963" t="n"/>
      <c r="D115" s="964" t="n"/>
      <c r="E115" s="964" t="n"/>
      <c r="F115" s="964" t="n"/>
      <c r="G115" s="964" t="n"/>
      <c r="H115" s="964" t="n"/>
      <c r="I115" s="964" t="n"/>
      <c r="J115" s="964" t="n"/>
      <c r="K115" s="964" t="n"/>
      <c r="L115" s="964" t="n"/>
      <c r="M115" s="964" t="n"/>
    </row>
    <row r="116">
      <c r="A116" s="962" t="n"/>
      <c r="B116" s="964" t="n"/>
      <c r="C116" s="963" t="n"/>
      <c r="D116" s="964" t="n"/>
      <c r="E116" s="964" t="n"/>
      <c r="F116" s="964" t="n"/>
      <c r="G116" s="964" t="n"/>
      <c r="H116" s="964" t="n"/>
      <c r="I116" s="964" t="n"/>
      <c r="J116" s="964" t="n"/>
      <c r="K116" s="964" t="n"/>
      <c r="L116" s="964" t="n"/>
      <c r="M116" s="964" t="n"/>
    </row>
    <row r="117">
      <c r="A117" s="962" t="n"/>
      <c r="B117" s="964" t="n"/>
      <c r="C117" s="963" t="n"/>
      <c r="D117" s="964" t="n"/>
      <c r="E117" s="964" t="n"/>
      <c r="F117" s="964" t="n"/>
      <c r="G117" s="964" t="n"/>
      <c r="H117" s="964" t="n"/>
      <c r="I117" s="964" t="n"/>
      <c r="J117" s="964" t="n"/>
      <c r="K117" s="964" t="n"/>
      <c r="L117" s="964" t="n"/>
      <c r="M117" s="964" t="n"/>
    </row>
    <row r="118">
      <c r="A118" s="962" t="n"/>
      <c r="B118" s="964" t="n"/>
      <c r="C118" s="963" t="n"/>
      <c r="D118" s="964" t="n"/>
      <c r="E118" s="964" t="n"/>
      <c r="F118" s="964" t="n"/>
      <c r="G118" s="964" t="n"/>
      <c r="H118" s="964" t="n"/>
      <c r="I118" s="964" t="n"/>
      <c r="J118" s="964" t="n"/>
      <c r="K118" s="964" t="n"/>
      <c r="L118" s="964" t="n"/>
      <c r="M118" s="964" t="n"/>
    </row>
    <row r="119">
      <c r="A119" s="962" t="n"/>
      <c r="B119" s="964" t="n"/>
      <c r="C119" s="963" t="n"/>
      <c r="D119" s="964" t="n"/>
      <c r="E119" s="964" t="n"/>
      <c r="F119" s="964" t="n"/>
      <c r="G119" s="964" t="n"/>
      <c r="H119" s="964" t="n"/>
      <c r="I119" s="964" t="n"/>
      <c r="J119" s="964" t="n"/>
      <c r="K119" s="964" t="n"/>
      <c r="L119" s="964" t="n"/>
      <c r="M119" s="964" t="n"/>
    </row>
    <row r="120">
      <c r="A120" s="962" t="n"/>
      <c r="B120" s="964" t="n"/>
      <c r="C120" s="963" t="n"/>
      <c r="D120" s="964" t="n"/>
      <c r="E120" s="964" t="n"/>
      <c r="F120" s="964" t="n"/>
      <c r="G120" s="964" t="n"/>
      <c r="H120" s="964" t="n"/>
      <c r="I120" s="964" t="n"/>
      <c r="J120" s="964" t="n"/>
      <c r="K120" s="964" t="n"/>
      <c r="L120" s="964" t="n"/>
      <c r="M120" s="964" t="n"/>
    </row>
    <row r="121">
      <c r="A121" s="962" t="n"/>
      <c r="B121" s="964" t="n"/>
      <c r="C121" s="963" t="n"/>
      <c r="D121" s="964" t="n"/>
      <c r="E121" s="964" t="n"/>
      <c r="F121" s="964" t="n"/>
      <c r="G121" s="964" t="n"/>
      <c r="H121" s="964" t="n"/>
      <c r="I121" s="964" t="n"/>
      <c r="J121" s="964" t="n"/>
      <c r="K121" s="964" t="n"/>
      <c r="L121" s="964" t="n"/>
      <c r="M121" s="964" t="n"/>
    </row>
    <row r="122">
      <c r="A122" s="962" t="n"/>
      <c r="B122" s="964" t="n"/>
      <c r="C122" s="963" t="n"/>
      <c r="D122" s="964" t="n"/>
      <c r="E122" s="964" t="n"/>
      <c r="F122" s="964" t="n"/>
      <c r="G122" s="964" t="n"/>
      <c r="H122" s="964" t="n"/>
      <c r="I122" s="964" t="n"/>
      <c r="J122" s="964" t="n"/>
      <c r="K122" s="964" t="n"/>
      <c r="L122" s="964" t="n"/>
      <c r="M122" s="964" t="n"/>
    </row>
    <row r="123">
      <c r="A123" s="962" t="n"/>
      <c r="B123" s="967" t="n"/>
      <c r="C123" s="967" t="n"/>
      <c r="D123" s="967" t="n"/>
      <c r="E123" s="967" t="n"/>
      <c r="F123" s="967" t="n"/>
      <c r="G123" s="967" t="n"/>
      <c r="H123" s="967" t="n"/>
      <c r="I123" s="967" t="n"/>
      <c r="J123" s="967" t="n"/>
      <c r="K123" s="967" t="n"/>
      <c r="L123" s="967" t="n"/>
      <c r="M123" s="967" t="n"/>
    </row>
    <row r="124">
      <c r="A124" s="962" t="n"/>
      <c r="B124" s="964" t="n"/>
      <c r="C124" s="963" t="n"/>
      <c r="D124" s="963" t="n"/>
      <c r="E124" s="964" t="n"/>
      <c r="F124" s="964" t="n"/>
      <c r="G124" s="964" t="n"/>
      <c r="H124" s="964" t="n"/>
      <c r="I124" s="964" t="n"/>
      <c r="J124" s="964" t="n"/>
      <c r="K124" s="964" t="n"/>
      <c r="L124" s="963" t="n"/>
      <c r="M124" s="963" t="n"/>
    </row>
    <row r="125">
      <c r="A125" s="962" t="n"/>
      <c r="B125" s="964" t="n"/>
      <c r="C125" s="963" t="n"/>
      <c r="D125" s="963" t="n"/>
      <c r="E125" s="964" t="n"/>
      <c r="F125" s="964" t="n"/>
      <c r="G125" s="964" t="n"/>
      <c r="H125" s="964" t="n"/>
      <c r="I125" s="964" t="n"/>
      <c r="J125" s="964" t="n"/>
      <c r="K125" s="964" t="n"/>
      <c r="L125" s="963" t="n"/>
      <c r="M125" s="963" t="n"/>
    </row>
    <row r="126">
      <c r="A126" s="962" t="n"/>
      <c r="B126" s="964" t="n"/>
      <c r="C126" s="963" t="n"/>
      <c r="D126" s="963" t="n"/>
      <c r="E126" s="964" t="n"/>
      <c r="F126" s="964" t="n"/>
      <c r="G126" s="964" t="n"/>
      <c r="H126" s="964" t="n"/>
      <c r="I126" s="964" t="n"/>
      <c r="J126" s="964" t="n"/>
      <c r="K126" s="964" t="n"/>
      <c r="L126" s="963" t="n"/>
      <c r="M126" s="963" t="n"/>
    </row>
    <row r="127">
      <c r="A127" s="962" t="n"/>
      <c r="B127" s="964" t="n"/>
      <c r="C127" s="963" t="n"/>
      <c r="D127" s="963" t="n"/>
      <c r="E127" s="964" t="n"/>
      <c r="F127" s="964" t="n"/>
      <c r="G127" s="964" t="n"/>
      <c r="H127" s="964" t="n"/>
      <c r="I127" s="964" t="n"/>
      <c r="J127" s="964" t="n"/>
      <c r="K127" s="964" t="n"/>
      <c r="L127" s="963" t="n"/>
      <c r="M127" s="963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127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34" customWidth="1" min="1" max="1"/>
    <col width="24" customWidth="1" min="2" max="2"/>
    <col width="13" customWidth="1" min="3" max="4"/>
    <col width="34" customWidth="1" min="5" max="5"/>
    <col width="24" customWidth="1" min="6" max="6"/>
    <col width="14" customWidth="1" min="7" max="7"/>
    <col width="43" customWidth="1" min="8" max="8"/>
    <col width="37" customWidth="1" min="9" max="9"/>
    <col width="33" customWidth="1" min="10" max="10"/>
    <col width="37" customWidth="1" min="11" max="11"/>
    <col width="13" customWidth="1" min="12" max="13"/>
  </cols>
  <sheetData>
    <row r="1">
      <c r="A1" s="883" t="n"/>
      <c r="B1" s="884" t="inlineStr">
        <is>
          <t>January</t>
        </is>
      </c>
      <c r="C1" s="884" t="inlineStr">
        <is>
          <t>February</t>
        </is>
      </c>
      <c r="D1" s="884" t="inlineStr">
        <is>
          <t>March</t>
        </is>
      </c>
      <c r="E1" s="884" t="inlineStr">
        <is>
          <t>April</t>
        </is>
      </c>
      <c r="F1" s="884" t="inlineStr">
        <is>
          <t>May</t>
        </is>
      </c>
      <c r="G1" s="884" t="inlineStr">
        <is>
          <t>June</t>
        </is>
      </c>
      <c r="H1" s="884" t="inlineStr">
        <is>
          <t>July</t>
        </is>
      </c>
      <c r="I1" s="884" t="inlineStr">
        <is>
          <t>August</t>
        </is>
      </c>
      <c r="J1" s="884" t="inlineStr">
        <is>
          <t>September</t>
        </is>
      </c>
      <c r="K1" s="884" t="inlineStr">
        <is>
          <t>October</t>
        </is>
      </c>
      <c r="L1" s="884" t="inlineStr">
        <is>
          <t>November</t>
        </is>
      </c>
      <c r="M1" s="885" t="inlineStr">
        <is>
          <t>December</t>
        </is>
      </c>
    </row>
    <row r="2" ht="14.5" customHeight="1">
      <c r="A2" s="886" t="inlineStr">
        <is>
          <t>Trades</t>
        </is>
      </c>
      <c r="B2" s="887" t="n">
        <v>0</v>
      </c>
      <c r="C2" s="887" t="n">
        <v>0</v>
      </c>
      <c r="D2" s="887" t="n">
        <v>0</v>
      </c>
      <c r="E2" s="887" t="n">
        <v>0</v>
      </c>
      <c r="F2" s="887" t="n">
        <v>0</v>
      </c>
      <c r="G2" s="887" t="n">
        <v>0</v>
      </c>
      <c r="H2" s="887" t="n">
        <v>0</v>
      </c>
      <c r="I2" s="887" t="n">
        <v>2</v>
      </c>
      <c r="J2" s="887" t="n">
        <v>3</v>
      </c>
      <c r="K2" s="887" t="n">
        <v>8</v>
      </c>
      <c r="L2" s="887" t="n">
        <v>0</v>
      </c>
      <c r="M2" s="888" t="n">
        <v>0</v>
      </c>
    </row>
    <row r="3" ht="14.5" customHeight="1">
      <c r="A3" s="889" t="inlineStr">
        <is>
          <t>Wins</t>
        </is>
      </c>
      <c r="B3" s="890" t="n">
        <v>0</v>
      </c>
      <c r="C3" s="890" t="n">
        <v>0</v>
      </c>
      <c r="D3" s="890" t="n">
        <v>0</v>
      </c>
      <c r="E3" s="890" t="n">
        <v>0</v>
      </c>
      <c r="F3" s="890" t="n">
        <v>0</v>
      </c>
      <c r="G3" s="890" t="n">
        <v>0</v>
      </c>
      <c r="H3" s="890" t="n">
        <v>0</v>
      </c>
      <c r="I3" s="890" t="n">
        <v>0</v>
      </c>
      <c r="J3" s="890" t="n">
        <v>3</v>
      </c>
      <c r="K3" s="890" t="n">
        <v>1</v>
      </c>
      <c r="L3" s="890" t="n">
        <v>0</v>
      </c>
      <c r="M3" s="891" t="n">
        <v>0</v>
      </c>
    </row>
    <row r="4" ht="14.5" customHeight="1">
      <c r="A4" s="889" t="inlineStr">
        <is>
          <t>Losses</t>
        </is>
      </c>
      <c r="B4" s="892" t="n">
        <v>0</v>
      </c>
      <c r="C4" s="892" t="n">
        <v>0</v>
      </c>
      <c r="D4" s="892" t="n">
        <v>0</v>
      </c>
      <c r="E4" s="892" t="n">
        <v>0</v>
      </c>
      <c r="F4" s="892" t="n">
        <v>0</v>
      </c>
      <c r="G4" s="892" t="n">
        <v>0</v>
      </c>
      <c r="H4" s="892" t="n">
        <v>0</v>
      </c>
      <c r="I4" s="892" t="n">
        <v>2</v>
      </c>
      <c r="J4" s="892" t="n">
        <v>0</v>
      </c>
      <c r="K4" s="892" t="n">
        <v>7</v>
      </c>
      <c r="L4" s="892" t="n">
        <v>0</v>
      </c>
      <c r="M4" s="893" t="n">
        <v>0</v>
      </c>
    </row>
    <row r="5" ht="14.5" customHeight="1">
      <c r="A5" s="889" t="inlineStr">
        <is>
          <t>Break-even</t>
        </is>
      </c>
      <c r="B5" s="887" t="n">
        <v>0</v>
      </c>
      <c r="C5" s="887" t="n">
        <v>0</v>
      </c>
      <c r="D5" s="887" t="n">
        <v>0</v>
      </c>
      <c r="E5" s="887" t="n">
        <v>0</v>
      </c>
      <c r="F5" s="887" t="n">
        <v>0</v>
      </c>
      <c r="G5" s="887" t="n">
        <v>0</v>
      </c>
      <c r="H5" s="887" t="n">
        <v>0</v>
      </c>
      <c r="I5" s="887" t="n">
        <v>0</v>
      </c>
      <c r="J5" s="887" t="n">
        <v>0</v>
      </c>
      <c r="K5" s="887" t="n">
        <v>0</v>
      </c>
      <c r="L5" s="887" t="n">
        <v>0</v>
      </c>
      <c r="M5" s="888" t="n">
        <v>0</v>
      </c>
    </row>
    <row r="6" ht="14.5" customHeight="1">
      <c r="A6" s="889" t="inlineStr">
        <is>
          <t>Test</t>
        </is>
      </c>
      <c r="B6" s="887" t="n">
        <v>1</v>
      </c>
      <c r="C6" s="887" t="n">
        <v>0</v>
      </c>
      <c r="D6" s="887" t="n">
        <v>0</v>
      </c>
      <c r="E6" s="887" t="n">
        <v>7</v>
      </c>
      <c r="F6" s="887" t="n">
        <v>5</v>
      </c>
      <c r="G6" s="887" t="n">
        <v>0</v>
      </c>
      <c r="H6" s="887" t="n">
        <v>0</v>
      </c>
      <c r="I6" s="887" t="n">
        <v>1</v>
      </c>
      <c r="J6" s="887" t="n">
        <v>0</v>
      </c>
      <c r="K6" s="887" t="n">
        <v>3</v>
      </c>
      <c r="L6" s="887" t="n">
        <v>0</v>
      </c>
      <c r="M6" s="888" t="n">
        <v>0</v>
      </c>
    </row>
    <row r="7" ht="14.5" customHeight="1">
      <c r="A7" s="886" t="inlineStr">
        <is>
          <t>Win rate</t>
        </is>
      </c>
      <c r="B7" s="894" t="inlineStr"/>
      <c r="C7" s="894" t="inlineStr"/>
      <c r="D7" s="894" t="inlineStr"/>
      <c r="E7" s="894" t="inlineStr"/>
      <c r="F7" s="894" t="inlineStr"/>
      <c r="G7" s="894" t="inlineStr"/>
      <c r="H7" s="894" t="inlineStr"/>
      <c r="I7" s="894" t="n">
        <v>0</v>
      </c>
      <c r="J7" s="894" t="n">
        <v>1</v>
      </c>
      <c r="K7" s="894" t="n">
        <v>0.125</v>
      </c>
      <c r="L7" s="894" t="inlineStr"/>
      <c r="M7" s="895" t="inlineStr"/>
    </row>
    <row r="8" ht="14.5" customHeight="1">
      <c r="A8" s="886" t="inlineStr">
        <is>
          <t>Net P/L</t>
        </is>
      </c>
      <c r="B8" s="894" t="inlineStr"/>
      <c r="C8" s="894" t="inlineStr"/>
      <c r="D8" s="894" t="inlineStr"/>
      <c r="E8" s="894" t="inlineStr"/>
      <c r="F8" s="894" t="inlineStr"/>
      <c r="G8" s="894" t="inlineStr"/>
      <c r="H8" s="662" t="inlineStr"/>
      <c r="I8" s="896" t="n">
        <v>-0.009235533008232051</v>
      </c>
      <c r="J8" s="906" t="n">
        <v>0.0007922187020792938</v>
      </c>
      <c r="K8" s="896" t="n">
        <v>-0.03945580667966943</v>
      </c>
      <c r="L8" s="894" t="inlineStr"/>
      <c r="M8" s="895" t="inlineStr"/>
    </row>
    <row r="9" ht="14.5" customHeight="1">
      <c r="A9" s="886" t="inlineStr">
        <is>
          <t>Gross percent gain</t>
        </is>
      </c>
      <c r="B9" s="662" t="inlineStr"/>
      <c r="C9" s="662" t="inlineStr"/>
      <c r="D9" s="662" t="inlineStr"/>
      <c r="E9" s="662" t="inlineStr"/>
      <c r="F9" s="662" t="inlineStr"/>
      <c r="G9" s="662" t="inlineStr"/>
      <c r="H9" s="662" t="inlineStr"/>
      <c r="I9" s="897" t="n">
        <v>0</v>
      </c>
      <c r="J9" s="906" t="n">
        <v>0.0007922187020792938</v>
      </c>
      <c r="K9" s="1008" t="n">
        <v>4.45646869420671e-05</v>
      </c>
      <c r="L9" s="662" t="inlineStr"/>
      <c r="M9" s="663" t="inlineStr"/>
    </row>
    <row r="10" ht="14.5" customHeight="1">
      <c r="A10" s="886" t="inlineStr">
        <is>
          <t>Gross percent loss</t>
        </is>
      </c>
      <c r="B10" s="662" t="inlineStr"/>
      <c r="C10" s="662" t="inlineStr"/>
      <c r="D10" s="662" t="inlineStr"/>
      <c r="E10" s="662" t="inlineStr"/>
      <c r="F10" s="662" t="inlineStr"/>
      <c r="G10" s="662" t="inlineStr"/>
      <c r="H10" s="662" t="inlineStr"/>
      <c r="I10" s="896" t="n">
        <v>0.009235533008232051</v>
      </c>
      <c r="J10" s="896" t="n">
        <v>0</v>
      </c>
      <c r="K10" s="896" t="n">
        <v>0.0395003713666115</v>
      </c>
      <c r="L10" s="662" t="inlineStr"/>
      <c r="M10" s="663" t="inlineStr"/>
    </row>
    <row r="11" ht="14.5" customHeight="1">
      <c r="A11" s="886" t="inlineStr">
        <is>
          <t>Gross IR gain</t>
        </is>
      </c>
      <c r="B11" s="977" t="inlineStr"/>
      <c r="C11" s="977" t="inlineStr"/>
      <c r="D11" s="977" t="inlineStr"/>
      <c r="E11" s="977" t="inlineStr"/>
      <c r="F11" s="977" t="inlineStr"/>
      <c r="G11" s="977" t="inlineStr"/>
      <c r="H11" s="977" t="inlineStr"/>
      <c r="I11" s="900" t="n">
        <v>0</v>
      </c>
      <c r="J11" s="900" t="n">
        <v>5.535848440306481</v>
      </c>
      <c r="K11" s="900" t="n">
        <v>0.3518518518516995</v>
      </c>
      <c r="L11" s="977" t="inlineStr"/>
      <c r="M11" s="978" t="inlineStr"/>
    </row>
    <row r="12" ht="14.5" customHeight="1">
      <c r="A12" s="886" t="inlineStr">
        <is>
          <t>Gross IR loss</t>
        </is>
      </c>
      <c r="B12" s="977" t="inlineStr"/>
      <c r="C12" s="977" t="inlineStr"/>
      <c r="D12" s="977" t="inlineStr"/>
      <c r="E12" s="977" t="inlineStr"/>
      <c r="F12" s="977" t="inlineStr"/>
      <c r="G12" s="977" t="inlineStr"/>
      <c r="H12" s="977" t="inlineStr"/>
      <c r="I12" s="902" t="n">
        <v>1.00437728337988</v>
      </c>
      <c r="J12" s="902" t="n">
        <v>0</v>
      </c>
      <c r="K12" s="902" t="n">
        <v>5.935458018607839</v>
      </c>
      <c r="L12" s="977" t="inlineStr"/>
      <c r="M12" s="978" t="inlineStr"/>
    </row>
    <row r="13" ht="14.5" customHeight="1">
      <c r="A13" s="886" t="inlineStr">
        <is>
          <t>Best Win Streak</t>
        </is>
      </c>
      <c r="B13" s="945" t="inlineStr"/>
      <c r="C13" s="945" t="inlineStr"/>
      <c r="D13" s="945" t="inlineStr"/>
      <c r="E13" s="945" t="inlineStr"/>
      <c r="F13" s="945" t="inlineStr"/>
      <c r="G13" s="945" t="inlineStr"/>
      <c r="H13" s="945" t="inlineStr"/>
      <c r="I13" s="945" t="inlineStr"/>
      <c r="J13" s="890" t="n">
        <v>3</v>
      </c>
      <c r="K13" s="890" t="n">
        <v>1</v>
      </c>
      <c r="L13" s="945" t="inlineStr"/>
      <c r="M13" s="946" t="inlineStr"/>
    </row>
    <row r="14" ht="14.5" customHeight="1">
      <c r="A14" s="889" t="inlineStr">
        <is>
          <t>Start</t>
        </is>
      </c>
      <c r="B14" s="917" t="inlineStr"/>
      <c r="C14" s="917" t="inlineStr"/>
      <c r="D14" s="917" t="inlineStr"/>
      <c r="E14" s="661" t="inlineStr"/>
      <c r="F14" s="661" t="inlineStr"/>
      <c r="G14" s="917" t="inlineStr"/>
      <c r="H14" s="917" t="inlineStr"/>
      <c r="I14" s="917" t="inlineStr"/>
      <c r="J14" s="917" t="inlineStr">
        <is>
          <t>2026-09-07 07:57:41</t>
        </is>
      </c>
      <c r="K14" s="917" t="inlineStr">
        <is>
          <t>2026-10-05 04:38:17</t>
        </is>
      </c>
      <c r="L14" s="917" t="inlineStr"/>
      <c r="M14" s="918" t="inlineStr"/>
    </row>
    <row r="15" ht="14.5" customHeight="1">
      <c r="A15" s="889" t="inlineStr">
        <is>
          <t>End</t>
        </is>
      </c>
      <c r="B15" s="917" t="inlineStr"/>
      <c r="C15" s="917" t="inlineStr"/>
      <c r="D15" s="917" t="inlineStr"/>
      <c r="E15" s="661" t="inlineStr"/>
      <c r="F15" s="661" t="inlineStr"/>
      <c r="G15" s="917" t="inlineStr"/>
      <c r="H15" s="917" t="inlineStr"/>
      <c r="I15" s="917" t="inlineStr"/>
      <c r="J15" s="917" t="inlineStr">
        <is>
          <t>2026-09-11 15:17:29</t>
        </is>
      </c>
      <c r="K15" s="917" t="inlineStr">
        <is>
          <t>2026-10-05 04:38:17</t>
        </is>
      </c>
      <c r="L15" s="917" t="inlineStr"/>
      <c r="M15" s="918" t="inlineStr"/>
    </row>
    <row r="16" ht="14.5" customHeight="1">
      <c r="A16" s="886" t="inlineStr">
        <is>
          <t>Worst Losing Streak</t>
        </is>
      </c>
      <c r="B16" s="945" t="inlineStr"/>
      <c r="C16" s="945" t="inlineStr"/>
      <c r="D16" s="945" t="inlineStr"/>
      <c r="E16" s="945" t="inlineStr"/>
      <c r="F16" s="945" t="inlineStr"/>
      <c r="G16" s="945" t="inlineStr"/>
      <c r="H16" s="945" t="inlineStr"/>
      <c r="I16" s="892" t="n">
        <v>2</v>
      </c>
      <c r="J16" s="945" t="inlineStr"/>
      <c r="K16" s="892" t="n">
        <v>7</v>
      </c>
      <c r="L16" s="945" t="inlineStr"/>
      <c r="M16" s="946" t="inlineStr"/>
    </row>
    <row r="17" ht="14.5" customHeight="1">
      <c r="A17" s="889" t="inlineStr">
        <is>
          <t>Start</t>
        </is>
      </c>
      <c r="B17" s="917" t="inlineStr"/>
      <c r="C17" s="917" t="inlineStr"/>
      <c r="D17" s="917" t="inlineStr"/>
      <c r="E17" s="661" t="inlineStr"/>
      <c r="F17" s="661" t="inlineStr"/>
      <c r="G17" s="917" t="inlineStr"/>
      <c r="H17" s="917" t="inlineStr"/>
      <c r="I17" s="917" t="inlineStr">
        <is>
          <t>2026-08-25 15:24:28</t>
        </is>
      </c>
      <c r="J17" s="917" t="inlineStr"/>
      <c r="K17" s="917" t="inlineStr">
        <is>
          <t>2026-10-07 12:01:07</t>
        </is>
      </c>
      <c r="L17" s="917" t="inlineStr"/>
      <c r="M17" s="918" t="inlineStr"/>
    </row>
    <row r="18" ht="14.5" customHeight="1">
      <c r="A18" s="889" t="inlineStr">
        <is>
          <t>End</t>
        </is>
      </c>
      <c r="B18" s="917" t="inlineStr"/>
      <c r="C18" s="917" t="inlineStr"/>
      <c r="D18" s="917" t="inlineStr"/>
      <c r="E18" s="661" t="inlineStr"/>
      <c r="F18" s="661" t="inlineStr"/>
      <c r="G18" s="917" t="inlineStr"/>
      <c r="H18" s="917" t="inlineStr"/>
      <c r="I18" s="917" t="inlineStr">
        <is>
          <t>2026-08-31 09:46:02</t>
        </is>
      </c>
      <c r="J18" s="917" t="inlineStr"/>
      <c r="K18" s="917" t="inlineStr">
        <is>
          <t>2026-10-19 17:15:01</t>
        </is>
      </c>
      <c r="L18" s="917" t="inlineStr"/>
      <c r="M18" s="918" t="inlineStr"/>
    </row>
    <row r="19" ht="14.5" customHeight="1">
      <c r="A19" s="886" t="inlineStr">
        <is>
          <t>Percentage expectancy</t>
        </is>
      </c>
      <c r="B19" s="894" t="inlineStr"/>
      <c r="C19" s="894" t="inlineStr"/>
      <c r="D19" s="894" t="inlineStr"/>
      <c r="E19" s="894" t="inlineStr"/>
      <c r="F19" s="894" t="inlineStr"/>
      <c r="G19" s="894" t="inlineStr"/>
      <c r="H19" s="662" t="inlineStr"/>
      <c r="I19" s="896" t="n">
        <v>-0.004617766504116026</v>
      </c>
      <c r="J19" s="906" t="n">
        <v>0.0002640729006930979</v>
      </c>
      <c r="K19" s="896" t="n">
        <v>-0.004931975834958679</v>
      </c>
      <c r="L19" s="894" t="inlineStr"/>
      <c r="M19" s="895" t="inlineStr"/>
    </row>
    <row r="20" ht="14.5" customHeight="1">
      <c r="A20" s="907" t="inlineStr">
        <is>
          <t>R expectancy</t>
        </is>
      </c>
      <c r="B20" s="980" t="inlineStr"/>
      <c r="C20" s="980" t="inlineStr"/>
      <c r="D20" s="980" t="inlineStr"/>
      <c r="E20" s="980" t="inlineStr"/>
      <c r="F20" s="980" t="inlineStr"/>
      <c r="G20" s="980" t="inlineStr"/>
      <c r="H20" s="1009" t="inlineStr"/>
      <c r="I20" s="909" t="n">
        <v>-0.5021886416899402</v>
      </c>
      <c r="J20" s="970" t="n">
        <v>1.845282813435493</v>
      </c>
      <c r="K20" s="909" t="n">
        <v>-0.6979507708445174</v>
      </c>
      <c r="L20" s="980" t="inlineStr"/>
      <c r="M20" s="981" t="inlineStr"/>
    </row>
    <row r="21" ht="14.5" customHeight="1">
      <c r="A21" s="913" t="inlineStr">
        <is>
          <t>Avg stop %</t>
        </is>
      </c>
      <c r="B21" s="915" t="inlineStr"/>
      <c r="C21" s="915" t="inlineStr"/>
      <c r="D21" s="915" t="inlineStr"/>
      <c r="E21" s="915" t="inlineStr"/>
      <c r="F21" s="915" t="inlineStr"/>
      <c r="G21" s="915" t="inlineStr"/>
      <c r="H21" s="915" t="inlineStr"/>
      <c r="I21" s="915" t="n">
        <v>0.08585604291109399</v>
      </c>
      <c r="J21" s="914" t="n">
        <v>0.0005062189040825752</v>
      </c>
      <c r="K21" s="915" t="n">
        <v>0.03469037103539986</v>
      </c>
      <c r="L21" s="915" t="inlineStr"/>
      <c r="M21" s="916" t="inlineStr"/>
    </row>
    <row r="22" ht="14.5" customHeight="1">
      <c r="A22" s="889" t="inlineStr">
        <is>
          <t>Avg target %</t>
        </is>
      </c>
      <c r="B22" s="894" t="inlineStr"/>
      <c r="C22" s="894" t="inlineStr"/>
      <c r="D22" s="894" t="inlineStr"/>
      <c r="E22" s="894" t="inlineStr"/>
      <c r="F22" s="894" t="inlineStr"/>
      <c r="G22" s="894" t="inlineStr"/>
      <c r="H22" s="894" t="inlineStr"/>
      <c r="I22" s="894" t="n">
        <v>0.2339730873960538</v>
      </c>
      <c r="J22" s="894" t="n">
        <v>0.001307594710976528</v>
      </c>
      <c r="K22" s="894" t="n">
        <v>0.1155906786837116</v>
      </c>
      <c r="L22" s="894" t="inlineStr"/>
      <c r="M22" s="895" t="inlineStr"/>
    </row>
    <row r="23" ht="14.5" customHeight="1">
      <c r="A23" s="889" t="inlineStr">
        <is>
          <t>Min stop %</t>
        </is>
      </c>
      <c r="B23" s="894" t="inlineStr"/>
      <c r="C23" s="894" t="inlineStr"/>
      <c r="D23" s="894" t="inlineStr"/>
      <c r="E23" s="894" t="inlineStr"/>
      <c r="F23" s="894" t="inlineStr"/>
      <c r="G23" s="894" t="inlineStr"/>
      <c r="H23" s="917" t="inlineStr">
        <is>
          <t>0.78% - BTCUSDT 2026-07-10</t>
        </is>
      </c>
      <c r="I23" s="917" t="inlineStr">
        <is>
          <t>2.81% - ETHUSDT 2026-08-31</t>
        </is>
      </c>
      <c r="J23" s="917" t="inlineStr">
        <is>
          <t>0.025% - USDJPY 2026-09-07</t>
        </is>
      </c>
      <c r="K23" s="917" t="inlineStr">
        <is>
          <t>0.041% - GBPUSD 2026-10-05</t>
        </is>
      </c>
      <c r="L23" s="894" t="inlineStr"/>
      <c r="M23" s="895" t="inlineStr"/>
    </row>
    <row r="24" ht="14.5" customHeight="1">
      <c r="A24" s="889" t="inlineStr">
        <is>
          <t>Max stop %</t>
        </is>
      </c>
      <c r="B24" s="894" t="inlineStr"/>
      <c r="C24" s="894" t="inlineStr"/>
      <c r="D24" s="894" t="inlineStr"/>
      <c r="E24" s="894" t="inlineStr"/>
      <c r="F24" s="894" t="inlineStr"/>
      <c r="G24" s="894" t="inlineStr"/>
      <c r="H24" s="917" t="inlineStr">
        <is>
          <t>0.78% - BTCUSDT 2026-07-10</t>
        </is>
      </c>
      <c r="I24" s="917" t="inlineStr">
        <is>
          <t>14.36% - ENAUSDT 2026-08-25</t>
        </is>
      </c>
      <c r="J24" s="917" t="inlineStr">
        <is>
          <t>0.10% - USDJPY 2026-09-11</t>
        </is>
      </c>
      <c r="K24" s="917" t="inlineStr">
        <is>
          <t>11.46% - QUSDT 2026-10-19</t>
        </is>
      </c>
      <c r="L24" s="894" t="inlineStr"/>
      <c r="M24" s="895" t="inlineStr"/>
    </row>
    <row r="25" ht="14.5" customHeight="1">
      <c r="A25" s="889" t="inlineStr">
        <is>
          <t>Min target %</t>
        </is>
      </c>
      <c r="B25" s="894" t="inlineStr"/>
      <c r="C25" s="894" t="inlineStr"/>
      <c r="D25" s="894" t="inlineStr"/>
      <c r="E25" s="894" t="inlineStr"/>
      <c r="F25" s="894" t="inlineStr"/>
      <c r="G25" s="894" t="inlineStr"/>
      <c r="H25" s="917" t="inlineStr">
        <is>
          <t>3.27% - BTCUSDT 2026-07-10</t>
        </is>
      </c>
      <c r="I25" s="917" t="inlineStr">
        <is>
          <t>8.89% - ETHUSDT 2026-08-31</t>
        </is>
      </c>
      <c r="J25" s="917" t="inlineStr">
        <is>
          <t>0.064% - USDJPY 2026-09-07</t>
        </is>
      </c>
      <c r="K25" s="917" t="inlineStr">
        <is>
          <t>0.12% - GBPUSD 2026-10-05</t>
        </is>
      </c>
      <c r="L25" s="894" t="inlineStr"/>
      <c r="M25" s="895" t="inlineStr"/>
    </row>
    <row r="26" ht="14.5" customHeight="1">
      <c r="A26" s="919" t="inlineStr">
        <is>
          <t>Max target %</t>
        </is>
      </c>
      <c r="B26" s="982" t="inlineStr"/>
      <c r="C26" s="982" t="inlineStr"/>
      <c r="D26" s="982" t="inlineStr"/>
      <c r="E26" s="982" t="inlineStr"/>
      <c r="F26" s="982" t="inlineStr"/>
      <c r="G26" s="982" t="inlineStr"/>
      <c r="H26" s="920" t="inlineStr">
        <is>
          <t>3.27% - BTCUSDT 2026-07-10</t>
        </is>
      </c>
      <c r="I26" s="920" t="inlineStr">
        <is>
          <t>37.91% - ENAUSDT 2026-08-25</t>
        </is>
      </c>
      <c r="J26" s="920" t="inlineStr">
        <is>
          <t>0.26% - USDJPY 2026-09-11</t>
        </is>
      </c>
      <c r="K26" s="920" t="inlineStr">
        <is>
          <t>33.25% - QUSDT 2026-10-18</t>
        </is>
      </c>
      <c r="L26" s="982" t="inlineStr"/>
      <c r="M26" s="983" t="inlineStr"/>
    </row>
    <row r="27" ht="14.5" customHeight="1">
      <c r="A27" s="913" t="inlineStr">
        <is>
          <t>Avg duration (DD:HH:MM:SS)</t>
        </is>
      </c>
      <c r="B27" s="922" t="inlineStr"/>
      <c r="C27" s="922" t="inlineStr"/>
      <c r="D27" s="922" t="inlineStr"/>
      <c r="E27" s="922" t="inlineStr"/>
      <c r="F27" s="922" t="inlineStr"/>
      <c r="G27" s="922" t="inlineStr"/>
      <c r="H27" s="922" t="inlineStr"/>
      <c r="I27" s="922" t="inlineStr">
        <is>
          <t>2D 5H 54M 38S</t>
        </is>
      </c>
      <c r="J27" s="922" t="inlineStr">
        <is>
          <t>24M 8S</t>
        </is>
      </c>
      <c r="K27" s="922" t="inlineStr">
        <is>
          <t>9H 50M 4S</t>
        </is>
      </c>
      <c r="L27" s="922" t="inlineStr"/>
      <c r="M27" s="923" t="inlineStr"/>
    </row>
    <row r="28" ht="14.5" customHeight="1">
      <c r="A28" s="889" t="inlineStr">
        <is>
          <t>Move to Break Even (DD:HH:MM:SS)</t>
        </is>
      </c>
      <c r="B28" s="917" t="inlineStr"/>
      <c r="C28" s="917" t="inlineStr"/>
      <c r="D28" s="917" t="inlineStr"/>
      <c r="E28" s="917" t="inlineStr"/>
      <c r="F28" s="917" t="inlineStr"/>
      <c r="G28" s="917" t="inlineStr"/>
      <c r="H28" s="917" t="inlineStr"/>
      <c r="I28" s="917" t="inlineStr"/>
      <c r="J28" s="917" t="inlineStr"/>
      <c r="K28" s="917" t="inlineStr"/>
      <c r="L28" s="917" t="inlineStr"/>
      <c r="M28" s="918" t="inlineStr"/>
    </row>
    <row r="29" ht="14.5" customHeight="1">
      <c r="A29" s="919" t="inlineStr">
        <is>
          <t>Move to Profit (DD:HH:MM:SS)</t>
        </is>
      </c>
      <c r="B29" s="920" t="inlineStr"/>
      <c r="C29" s="920" t="inlineStr"/>
      <c r="D29" s="920" t="inlineStr"/>
      <c r="E29" s="920" t="inlineStr"/>
      <c r="F29" s="920" t="inlineStr"/>
      <c r="G29" s="920" t="inlineStr"/>
      <c r="H29" s="920" t="inlineStr"/>
      <c r="I29" s="920" t="inlineStr"/>
      <c r="J29" s="920" t="inlineStr"/>
      <c r="K29" s="920" t="inlineStr"/>
      <c r="L29" s="920" t="inlineStr"/>
      <c r="M29" s="921" t="inlineStr"/>
    </row>
    <row r="30" ht="14.5" customHeight="1">
      <c r="A30" s="924" t="inlineStr">
        <is>
          <t>Max win %</t>
        </is>
      </c>
      <c r="B30" s="915" t="inlineStr"/>
      <c r="C30" s="915" t="inlineStr"/>
      <c r="D30" s="915" t="inlineStr"/>
      <c r="E30" s="915" t="inlineStr"/>
      <c r="F30" s="915" t="inlineStr"/>
      <c r="G30" s="915" t="inlineStr"/>
      <c r="H30" s="925" t="inlineStr">
        <is>
          <t>-0.98% - BTCUSDT 2026-07-10</t>
        </is>
      </c>
      <c r="I30" s="925" t="inlineStr">
        <is>
          <t>-0.015% - ENAUSDT 2026-08-25</t>
        </is>
      </c>
      <c r="J30" s="925" t="inlineStr">
        <is>
          <t>0.036% - USDJPY 2026-09-07</t>
        </is>
      </c>
      <c r="K30" s="925" t="inlineStr">
        <is>
          <t>0.0045% - GBPUSD 2026-10-05</t>
        </is>
      </c>
      <c r="L30" s="915" t="inlineStr"/>
      <c r="M30" s="916" t="inlineStr"/>
    </row>
    <row r="31" ht="14.5" customHeight="1">
      <c r="A31" s="886" t="inlineStr">
        <is>
          <t>Max loss %</t>
        </is>
      </c>
      <c r="B31" s="894" t="inlineStr"/>
      <c r="C31" s="894" t="inlineStr"/>
      <c r="D31" s="894" t="inlineStr"/>
      <c r="E31" s="894" t="inlineStr"/>
      <c r="F31" s="894" t="inlineStr"/>
      <c r="G31" s="894" t="inlineStr"/>
      <c r="H31" s="662" t="inlineStr"/>
      <c r="I31" s="927" t="inlineStr">
        <is>
          <t>-0.91% - ETHUSDT 2026-08-31</t>
        </is>
      </c>
      <c r="J31" s="662" t="inlineStr"/>
      <c r="K31" s="927" t="inlineStr">
        <is>
          <t>-0.98% - BTCUSDT 2026-10-07</t>
        </is>
      </c>
      <c r="L31" s="894" t="inlineStr"/>
      <c r="M31" s="895" t="inlineStr"/>
    </row>
    <row r="32" ht="14.5" customHeight="1">
      <c r="A32" s="886" t="inlineStr">
        <is>
          <t>Max R loss</t>
        </is>
      </c>
      <c r="B32" s="984" t="inlineStr"/>
      <c r="C32" s="984" t="inlineStr"/>
      <c r="D32" s="984" t="inlineStr"/>
      <c r="E32" s="984" t="inlineStr"/>
      <c r="F32" s="984" t="inlineStr"/>
      <c r="G32" s="984" t="inlineStr"/>
      <c r="H32" s="977" t="inlineStr"/>
      <c r="I32" s="927" t="inlineStr">
        <is>
          <t>-1.00R - ETHUSDT 2026-08-31</t>
        </is>
      </c>
      <c r="J32" s="977" t="inlineStr"/>
      <c r="K32" s="927" t="inlineStr">
        <is>
          <t>-1.00R - BTCUSDT 2026-10-07</t>
        </is>
      </c>
      <c r="L32" s="984" t="inlineStr"/>
      <c r="M32" s="985" t="inlineStr"/>
    </row>
    <row r="33" ht="14.5" customHeight="1">
      <c r="A33" s="907" t="inlineStr">
        <is>
          <t>Max R win</t>
        </is>
      </c>
      <c r="B33" s="980" t="inlineStr"/>
      <c r="C33" s="980" t="inlineStr"/>
      <c r="D33" s="980" t="inlineStr"/>
      <c r="E33" s="980" t="inlineStr"/>
      <c r="F33" s="980" t="inlineStr"/>
      <c r="G33" s="980" t="inlineStr"/>
      <c r="H33" s="929" t="inlineStr">
        <is>
          <t>-1.00R - BTCUSDT 2026-07-10</t>
        </is>
      </c>
      <c r="I33" s="929" t="inlineStr">
        <is>
          <t>-0.0076R - ENAUSDT 2026-08-25</t>
        </is>
      </c>
      <c r="J33" s="929" t="inlineStr">
        <is>
          <t>2.56R - USDJPY 2026-09-07</t>
        </is>
      </c>
      <c r="K33" s="929" t="inlineStr">
        <is>
          <t>0.35R - GBPUSD 2026-10-05</t>
        </is>
      </c>
      <c r="L33" s="980" t="inlineStr"/>
      <c r="M33" s="981" t="inlineStr"/>
    </row>
    <row r="34" ht="14.5" customHeight="1">
      <c r="A34" s="913" t="inlineStr">
        <is>
          <t>Shortest (DD:HH:MM:SS)</t>
        </is>
      </c>
      <c r="B34" s="931" t="inlineStr"/>
      <c r="C34" s="931" t="inlineStr"/>
      <c r="D34" s="931" t="inlineStr"/>
      <c r="E34" s="931" t="inlineStr"/>
      <c r="F34" s="931" t="inlineStr"/>
      <c r="G34" s="931" t="inlineStr"/>
      <c r="H34" s="931" t="inlineStr">
        <is>
          <t>90D 22H 53M 45S - BTCUSDT 2026-07-10</t>
        </is>
      </c>
      <c r="I34" s="931" t="inlineStr">
        <is>
          <t>5M 55S - ENAUSDT 2026-08-25</t>
        </is>
      </c>
      <c r="J34" s="931" t="inlineStr">
        <is>
          <t>9M 37S - USDJPY 2026-09-11</t>
        </is>
      </c>
      <c r="K34" s="931" t="inlineStr">
        <is>
          <t>21S - QUSDT 2026-10-18</t>
        </is>
      </c>
      <c r="L34" s="931" t="inlineStr"/>
      <c r="M34" s="932" t="inlineStr"/>
    </row>
    <row r="35" ht="14.5" customHeight="1">
      <c r="A35" s="919" t="inlineStr">
        <is>
          <t>Longest (DD:HH:MM:SS)</t>
        </is>
      </c>
      <c r="B35" s="920" t="inlineStr"/>
      <c r="C35" s="920" t="inlineStr"/>
      <c r="D35" s="920" t="inlineStr"/>
      <c r="E35" s="920" t="inlineStr"/>
      <c r="F35" s="920" t="inlineStr"/>
      <c r="G35" s="920" t="inlineStr"/>
      <c r="H35" s="920" t="inlineStr">
        <is>
          <t>90D 22H 53M 45S - BTCUSDT 2026-07-10</t>
        </is>
      </c>
      <c r="I35" s="920" t="inlineStr">
        <is>
          <t>4D 11H 43M 22S - ETHUSDT 2026-08-31</t>
        </is>
      </c>
      <c r="J35" s="920" t="inlineStr">
        <is>
          <t>43M 44S - USDJPY 2026-09-07</t>
        </is>
      </c>
      <c r="K35" s="920" t="inlineStr">
        <is>
          <t>2D 22H 53M 45S - BTCUSDT 2026-10-07</t>
        </is>
      </c>
      <c r="L35" s="920" t="inlineStr"/>
      <c r="M35" s="921" t="inlineStr"/>
    </row>
    <row r="36" ht="14.5" customHeight="1">
      <c r="A36" s="924" t="inlineStr">
        <is>
          <t>Winners</t>
        </is>
      </c>
      <c r="B36" s="931" t="inlineStr"/>
      <c r="C36" s="931" t="inlineStr"/>
      <c r="D36" s="931" t="inlineStr"/>
      <c r="E36" s="931" t="inlineStr"/>
      <c r="F36" s="931" t="inlineStr"/>
      <c r="G36" s="931" t="inlineStr"/>
      <c r="H36" s="931" t="inlineStr"/>
      <c r="I36" s="931" t="inlineStr"/>
      <c r="J36" s="931" t="inlineStr"/>
      <c r="K36" s="931" t="inlineStr"/>
      <c r="L36" s="931" t="inlineStr"/>
      <c r="M36" s="932" t="inlineStr"/>
    </row>
    <row r="37" ht="14.5" customHeight="1">
      <c r="A37" s="889" t="inlineStr">
        <is>
          <t>Avg stop %</t>
        </is>
      </c>
      <c r="B37" s="894" t="inlineStr"/>
      <c r="C37" s="894" t="inlineStr"/>
      <c r="D37" s="894" t="inlineStr"/>
      <c r="E37" s="894" t="inlineStr"/>
      <c r="F37" s="894" t="inlineStr"/>
      <c r="G37" s="894" t="inlineStr"/>
      <c r="H37" s="894" t="inlineStr"/>
      <c r="I37" s="894" t="inlineStr"/>
      <c r="J37" s="933" t="n">
        <v>0.0005062189040825752</v>
      </c>
      <c r="K37" s="933" t="n">
        <v>0.0004080429805272708</v>
      </c>
      <c r="L37" s="894" t="inlineStr"/>
      <c r="M37" s="895" t="inlineStr"/>
    </row>
    <row r="38" ht="14.5" customHeight="1">
      <c r="A38" s="889" t="inlineStr">
        <is>
          <t>Avg target %</t>
        </is>
      </c>
      <c r="B38" s="662" t="inlineStr"/>
      <c r="C38" s="662" t="inlineStr"/>
      <c r="D38" s="662" t="inlineStr"/>
      <c r="E38" s="662" t="inlineStr"/>
      <c r="F38" s="662" t="inlineStr"/>
      <c r="G38" s="662" t="inlineStr"/>
      <c r="H38" s="662" t="inlineStr"/>
      <c r="I38" s="662" t="inlineStr"/>
      <c r="J38" s="662" t="n">
        <v>0.001307594710976528</v>
      </c>
      <c r="K38" s="662" t="n">
        <v>0.001163678129651784</v>
      </c>
      <c r="L38" s="662" t="inlineStr"/>
      <c r="M38" s="663" t="inlineStr"/>
    </row>
    <row r="39" ht="14.5" customHeight="1">
      <c r="A39" s="889" t="inlineStr">
        <is>
          <t>Percentage expectancy</t>
        </is>
      </c>
      <c r="B39" s="894" t="inlineStr"/>
      <c r="C39" s="894" t="inlineStr"/>
      <c r="D39" s="894" t="inlineStr"/>
      <c r="E39" s="894" t="inlineStr"/>
      <c r="F39" s="894" t="inlineStr"/>
      <c r="G39" s="894" t="inlineStr"/>
      <c r="H39" s="894" t="inlineStr"/>
      <c r="I39" s="894" t="inlineStr"/>
      <c r="J39" s="906" t="n">
        <v>0.0002640729006930979</v>
      </c>
      <c r="K39" s="1008" t="n">
        <v>4.45646869420671e-05</v>
      </c>
      <c r="L39" s="894" t="inlineStr"/>
      <c r="M39" s="895" t="inlineStr"/>
    </row>
    <row r="40" ht="14.5" customHeight="1">
      <c r="A40" s="889" t="inlineStr">
        <is>
          <t>R expectancy</t>
        </is>
      </c>
      <c r="B40" s="977" t="inlineStr"/>
      <c r="C40" s="977" t="inlineStr"/>
      <c r="D40" s="977" t="inlineStr"/>
      <c r="E40" s="977" t="inlineStr"/>
      <c r="F40" s="977" t="inlineStr"/>
      <c r="G40" s="977" t="inlineStr"/>
      <c r="H40" s="977" t="inlineStr"/>
      <c r="I40" s="977" t="inlineStr"/>
      <c r="J40" s="900" t="n">
        <v>1.845282813435493</v>
      </c>
      <c r="K40" s="900" t="n">
        <v>0.3518518518516995</v>
      </c>
      <c r="L40" s="977" t="inlineStr"/>
      <c r="M40" s="978" t="inlineStr"/>
    </row>
    <row r="41" ht="14.5" customHeight="1">
      <c r="A41" s="889" t="inlineStr">
        <is>
          <t>Winners min duration</t>
        </is>
      </c>
      <c r="B41" s="917" t="inlineStr"/>
      <c r="C41" s="917" t="inlineStr"/>
      <c r="D41" s="917" t="inlineStr"/>
      <c r="E41" s="917" t="inlineStr"/>
      <c r="F41" s="917" t="inlineStr"/>
      <c r="G41" s="917" t="inlineStr"/>
      <c r="H41" s="917" t="inlineStr"/>
      <c r="I41" s="917" t="inlineStr"/>
      <c r="J41" s="917" t="inlineStr">
        <is>
          <t>9M 37S - USDJPY 2026-09-11</t>
        </is>
      </c>
      <c r="K41" s="917" t="inlineStr">
        <is>
          <t>17M 37S - GBPUSD 2026-10-05</t>
        </is>
      </c>
      <c r="L41" s="917" t="inlineStr"/>
      <c r="M41" s="918" t="inlineStr"/>
    </row>
    <row r="42" ht="14.5" customHeight="1">
      <c r="A42" s="889" t="inlineStr">
        <is>
          <t>Winners avg duration</t>
        </is>
      </c>
      <c r="B42" s="917" t="inlineStr"/>
      <c r="C42" s="917" t="inlineStr"/>
      <c r="D42" s="917" t="inlineStr"/>
      <c r="E42" s="917" t="inlineStr"/>
      <c r="F42" s="917" t="inlineStr"/>
      <c r="G42" s="917" t="inlineStr"/>
      <c r="H42" s="917" t="inlineStr"/>
      <c r="I42" s="917" t="inlineStr"/>
      <c r="J42" s="917" t="inlineStr">
        <is>
          <t>24M 8S</t>
        </is>
      </c>
      <c r="K42" s="917" t="inlineStr">
        <is>
          <t>17M 37S</t>
        </is>
      </c>
      <c r="L42" s="917" t="inlineStr"/>
      <c r="M42" s="918" t="inlineStr"/>
    </row>
    <row r="43" ht="14.5" customHeight="1">
      <c r="A43" s="919" t="inlineStr">
        <is>
          <t>Winners max duration</t>
        </is>
      </c>
      <c r="B43" s="920" t="inlineStr"/>
      <c r="C43" s="920" t="inlineStr"/>
      <c r="D43" s="920" t="inlineStr"/>
      <c r="E43" s="920" t="inlineStr"/>
      <c r="F43" s="920" t="inlineStr"/>
      <c r="G43" s="920" t="inlineStr"/>
      <c r="H43" s="920" t="inlineStr"/>
      <c r="I43" s="920" t="inlineStr"/>
      <c r="J43" s="920" t="inlineStr">
        <is>
          <t>43M 44S - USDJPY 2026-09-07</t>
        </is>
      </c>
      <c r="K43" s="920" t="inlineStr">
        <is>
          <t>17M 37S - GBPUSD 2026-10-05</t>
        </is>
      </c>
      <c r="L43" s="920" t="inlineStr"/>
      <c r="M43" s="921" t="inlineStr"/>
    </row>
    <row r="44" ht="14.5" customHeight="1">
      <c r="A44" s="924" t="inlineStr">
        <is>
          <t>Losers</t>
        </is>
      </c>
      <c r="B44" s="922" t="inlineStr"/>
      <c r="C44" s="922" t="inlineStr"/>
      <c r="D44" s="922" t="inlineStr"/>
      <c r="E44" s="922" t="inlineStr"/>
      <c r="F44" s="922" t="inlineStr"/>
      <c r="G44" s="922" t="inlineStr"/>
      <c r="H44" s="922" t="inlineStr"/>
      <c r="I44" s="922" t="inlineStr"/>
      <c r="J44" s="922" t="inlineStr"/>
      <c r="K44" s="922" t="inlineStr"/>
      <c r="L44" s="922" t="inlineStr"/>
      <c r="M44" s="923" t="inlineStr"/>
    </row>
    <row r="45" ht="14.5" customHeight="1">
      <c r="A45" s="889" t="inlineStr">
        <is>
          <t>Avg stop %</t>
        </is>
      </c>
      <c r="B45" s="894" t="inlineStr"/>
      <c r="C45" s="894" t="inlineStr"/>
      <c r="D45" s="894" t="inlineStr"/>
      <c r="E45" s="894" t="inlineStr"/>
      <c r="F45" s="894" t="inlineStr"/>
      <c r="G45" s="894" t="inlineStr"/>
      <c r="H45" s="894" t="inlineStr"/>
      <c r="I45" s="894" t="n">
        <v>0.08585604291109399</v>
      </c>
      <c r="J45" s="894" t="inlineStr"/>
      <c r="K45" s="894" t="n">
        <v>0.03958784647181023</v>
      </c>
      <c r="L45" s="894" t="inlineStr"/>
      <c r="M45" s="895" t="inlineStr"/>
    </row>
    <row r="46" ht="14.5" customHeight="1">
      <c r="A46" s="889" t="inlineStr">
        <is>
          <t>Avg target %</t>
        </is>
      </c>
      <c r="B46" s="935" t="inlineStr"/>
      <c r="C46" s="935" t="inlineStr"/>
      <c r="D46" s="935" t="inlineStr"/>
      <c r="E46" s="935" t="inlineStr"/>
      <c r="F46" s="935" t="inlineStr"/>
      <c r="G46" s="935" t="inlineStr"/>
      <c r="H46" s="935" t="inlineStr"/>
      <c r="I46" s="935" t="n">
        <v>0.2339730873960538</v>
      </c>
      <c r="J46" s="935" t="inlineStr"/>
      <c r="K46" s="935" t="n">
        <v>0.1319373930485773</v>
      </c>
      <c r="L46" s="935" t="inlineStr"/>
      <c r="M46" s="936" t="inlineStr"/>
    </row>
    <row r="47" ht="14.5" customHeight="1">
      <c r="A47" s="889" t="inlineStr">
        <is>
          <t>Percentage expectancy</t>
        </is>
      </c>
      <c r="B47" s="894" t="inlineStr"/>
      <c r="C47" s="894" t="inlineStr"/>
      <c r="D47" s="894" t="inlineStr"/>
      <c r="E47" s="894" t="inlineStr"/>
      <c r="F47" s="894" t="inlineStr"/>
      <c r="G47" s="894" t="inlineStr"/>
      <c r="H47" s="662" t="inlineStr"/>
      <c r="I47" s="896" t="n">
        <v>-0.004617766504116026</v>
      </c>
      <c r="J47" s="894" t="inlineStr"/>
      <c r="K47" s="896" t="n">
        <v>-0.005642910195230214</v>
      </c>
      <c r="L47" s="894" t="inlineStr"/>
      <c r="M47" s="895" t="inlineStr"/>
    </row>
    <row r="48" ht="14.5" customHeight="1">
      <c r="A48" s="889" t="inlineStr">
        <is>
          <t>R expectancy</t>
        </is>
      </c>
      <c r="B48" s="984" t="inlineStr"/>
      <c r="C48" s="984" t="inlineStr"/>
      <c r="D48" s="984" t="inlineStr"/>
      <c r="E48" s="984" t="inlineStr"/>
      <c r="F48" s="984" t="inlineStr"/>
      <c r="G48" s="984" t="inlineStr"/>
      <c r="H48" s="977" t="inlineStr"/>
      <c r="I48" s="902" t="n">
        <v>-0.5021886416899402</v>
      </c>
      <c r="J48" s="984" t="inlineStr"/>
      <c r="K48" s="902" t="n">
        <v>-0.847922574086834</v>
      </c>
      <c r="L48" s="984" t="inlineStr"/>
      <c r="M48" s="985" t="inlineStr"/>
    </row>
    <row r="49" ht="14.5" customHeight="1">
      <c r="A49" s="889" t="inlineStr">
        <is>
          <t>Losers min duration</t>
        </is>
      </c>
      <c r="B49" s="661" t="inlineStr"/>
      <c r="C49" s="661" t="inlineStr"/>
      <c r="D49" s="661" t="inlineStr"/>
      <c r="E49" s="661" t="inlineStr"/>
      <c r="F49" s="661" t="inlineStr"/>
      <c r="G49" s="661" t="inlineStr"/>
      <c r="H49" s="661" t="inlineStr">
        <is>
          <t>90D 22H 53M 45S - BTCUSDT 2026-07-10</t>
        </is>
      </c>
      <c r="I49" s="661" t="inlineStr">
        <is>
          <t>5M 55S - ENAUSDT 2026-08-25</t>
        </is>
      </c>
      <c r="J49" s="661" t="inlineStr"/>
      <c r="K49" s="661" t="inlineStr">
        <is>
          <t>21S - QUSDT 2026-10-18</t>
        </is>
      </c>
      <c r="L49" s="661" t="inlineStr"/>
      <c r="M49" s="904" t="inlineStr"/>
    </row>
    <row r="50" ht="14.5" customHeight="1">
      <c r="A50" s="889" t="inlineStr">
        <is>
          <t>Losers avg duration</t>
        </is>
      </c>
      <c r="B50" s="661" t="inlineStr"/>
      <c r="C50" s="661" t="inlineStr"/>
      <c r="D50" s="661" t="inlineStr"/>
      <c r="E50" s="661" t="inlineStr"/>
      <c r="F50" s="661" t="inlineStr"/>
      <c r="G50" s="661" t="inlineStr"/>
      <c r="H50" s="661" t="inlineStr"/>
      <c r="I50" s="661" t="inlineStr">
        <is>
          <t>2D 5H 54M 38S</t>
        </is>
      </c>
      <c r="J50" s="661" t="inlineStr"/>
      <c r="K50" s="661" t="inlineStr">
        <is>
          <t>11H 11M 51S</t>
        </is>
      </c>
      <c r="L50" s="661" t="inlineStr"/>
      <c r="M50" s="904" t="inlineStr"/>
    </row>
    <row r="51" ht="14.5" customHeight="1">
      <c r="A51" s="919" t="inlineStr">
        <is>
          <t>Losers max duration</t>
        </is>
      </c>
      <c r="B51" s="920" t="inlineStr"/>
      <c r="C51" s="920" t="inlineStr"/>
      <c r="D51" s="920" t="inlineStr"/>
      <c r="E51" s="920" t="inlineStr"/>
      <c r="F51" s="920" t="inlineStr"/>
      <c r="G51" s="920" t="inlineStr"/>
      <c r="H51" s="920" t="inlineStr">
        <is>
          <t>90D 22H 53M 45S - BTCUSDT 2026-07-10</t>
        </is>
      </c>
      <c r="I51" s="920" t="inlineStr">
        <is>
          <t>4D 11H 43M 22S - ETHUSDT 2026-08-31</t>
        </is>
      </c>
      <c r="J51" s="920" t="inlineStr"/>
      <c r="K51" s="920" t="inlineStr">
        <is>
          <t>2D 22H 53M 45S - BTCUSDT 2026-10-07</t>
        </is>
      </c>
      <c r="L51" s="920" t="inlineStr"/>
      <c r="M51" s="921" t="inlineStr"/>
    </row>
    <row r="52" ht="14.5" customHeight="1">
      <c r="A52" s="924" t="inlineStr">
        <is>
          <t>Drawdown</t>
        </is>
      </c>
      <c r="B52" s="922" t="inlineStr"/>
      <c r="C52" s="922" t="inlineStr"/>
      <c r="D52" s="922" t="inlineStr"/>
      <c r="E52" s="922" t="inlineStr"/>
      <c r="F52" s="922" t="inlineStr"/>
      <c r="G52" s="922" t="inlineStr"/>
      <c r="H52" s="922" t="inlineStr"/>
      <c r="I52" s="922" t="inlineStr"/>
      <c r="J52" s="922" t="inlineStr"/>
      <c r="K52" s="922" t="inlineStr"/>
      <c r="L52" s="922" t="inlineStr"/>
      <c r="M52" s="923" t="inlineStr"/>
    </row>
    <row r="53" ht="14.5" customHeight="1">
      <c r="A53" s="886" t="inlineStr">
        <is>
          <t>Max drawdown</t>
        </is>
      </c>
      <c r="B53" s="894" t="inlineStr"/>
      <c r="C53" s="894" t="inlineStr"/>
      <c r="D53" s="894" t="inlineStr"/>
      <c r="E53" s="894" t="inlineStr"/>
      <c r="F53" s="894" t="inlineStr"/>
      <c r="G53" s="894" t="inlineStr"/>
      <c r="H53" s="894" t="inlineStr"/>
      <c r="I53" s="896" t="n">
        <v>0.009081443445967174</v>
      </c>
      <c r="J53" s="896" t="n">
        <v>0</v>
      </c>
      <c r="K53" s="896" t="n">
        <v>0.02952420199634679</v>
      </c>
      <c r="L53" s="894" t="inlineStr"/>
      <c r="M53" s="895" t="inlineStr"/>
    </row>
    <row r="54" ht="14.5" customHeight="1">
      <c r="A54" s="889" t="inlineStr">
        <is>
          <t>Start</t>
        </is>
      </c>
      <c r="B54" s="937" t="inlineStr"/>
      <c r="C54" s="937" t="inlineStr"/>
      <c r="D54" s="937" t="inlineStr"/>
      <c r="E54" s="937" t="inlineStr"/>
      <c r="F54" s="937" t="inlineStr"/>
      <c r="G54" s="937" t="inlineStr"/>
      <c r="H54" s="937" t="inlineStr"/>
      <c r="I54" s="937" t="inlineStr">
        <is>
          <t>2026-08-25 15:24:28</t>
        </is>
      </c>
      <c r="J54" s="937" t="inlineStr"/>
      <c r="K54" s="937" t="inlineStr">
        <is>
          <t>2026-10-07 12:01:07</t>
        </is>
      </c>
      <c r="L54" s="937" t="inlineStr"/>
      <c r="M54" s="938" t="inlineStr"/>
    </row>
    <row r="55" ht="14.5" customHeight="1">
      <c r="A55" s="889" t="inlineStr">
        <is>
          <t>End</t>
        </is>
      </c>
      <c r="B55" s="917" t="inlineStr"/>
      <c r="C55" s="917" t="inlineStr"/>
      <c r="D55" s="917" t="inlineStr"/>
      <c r="E55" s="917" t="inlineStr"/>
      <c r="F55" s="917" t="inlineStr"/>
      <c r="G55" s="917" t="inlineStr"/>
      <c r="H55" s="917" t="inlineStr"/>
      <c r="I55" s="917" t="inlineStr">
        <is>
          <t>2026-08-31 09:46:02</t>
        </is>
      </c>
      <c r="J55" s="917" t="inlineStr"/>
      <c r="K55" s="917" t="inlineStr">
        <is>
          <t>2026-10-19 17:15:01</t>
        </is>
      </c>
      <c r="L55" s="917" t="inlineStr"/>
      <c r="M55" s="918" t="inlineStr"/>
    </row>
    <row r="56" ht="14.5" customHeight="1">
      <c r="A56" s="886" t="inlineStr">
        <is>
          <t>Avg drawdown</t>
        </is>
      </c>
      <c r="B56" s="894" t="inlineStr"/>
      <c r="C56" s="894" t="inlineStr"/>
      <c r="D56" s="894" t="inlineStr"/>
      <c r="E56" s="894" t="inlineStr"/>
      <c r="F56" s="894" t="inlineStr"/>
      <c r="G56" s="894" t="inlineStr"/>
      <c r="H56" s="894" t="inlineStr"/>
      <c r="I56" s="896" t="n">
        <v>0.009081443445967174</v>
      </c>
      <c r="J56" s="896" t="n">
        <v>0</v>
      </c>
      <c r="K56" s="896" t="n">
        <v>0.01241446872746326</v>
      </c>
      <c r="L56" s="894" t="inlineStr"/>
      <c r="M56" s="895" t="inlineStr"/>
    </row>
    <row r="57" ht="14.5" customHeight="1">
      <c r="A57" s="886" t="inlineStr">
        <is>
          <t>Min drawdown</t>
        </is>
      </c>
      <c r="B57" s="662" t="inlineStr"/>
      <c r="C57" s="662" t="inlineStr"/>
      <c r="D57" s="662" t="inlineStr"/>
      <c r="E57" s="662" t="inlineStr"/>
      <c r="F57" s="662" t="inlineStr"/>
      <c r="G57" s="662" t="inlineStr"/>
      <c r="H57" s="662" t="inlineStr"/>
      <c r="I57" s="896" t="n">
        <v>0.009081443445967174</v>
      </c>
      <c r="J57" s="896" t="n">
        <v>0</v>
      </c>
      <c r="K57" s="905" t="n">
        <v>0.0001946370887566699</v>
      </c>
      <c r="L57" s="662" t="inlineStr"/>
      <c r="M57" s="663" t="inlineStr"/>
    </row>
    <row r="58" ht="14.5" customHeight="1">
      <c r="A58" s="889" t="inlineStr">
        <is>
          <t>Start</t>
        </is>
      </c>
      <c r="B58" s="661" t="inlineStr"/>
      <c r="C58" s="661" t="inlineStr"/>
      <c r="D58" s="661" t="inlineStr"/>
      <c r="E58" s="661" t="inlineStr"/>
      <c r="F58" s="661" t="inlineStr"/>
      <c r="G58" s="661" t="inlineStr"/>
      <c r="H58" s="661" t="inlineStr"/>
      <c r="I58" s="661" t="inlineStr">
        <is>
          <t>2026-08-25 15:24:28</t>
        </is>
      </c>
      <c r="J58" s="661" t="inlineStr"/>
      <c r="K58" s="661" t="inlineStr">
        <is>
          <t>2026-10-05 04:38:17</t>
        </is>
      </c>
      <c r="L58" s="661" t="inlineStr"/>
      <c r="M58" s="904" t="inlineStr"/>
    </row>
    <row r="59" ht="14.5" customHeight="1">
      <c r="A59" s="919" t="inlineStr">
        <is>
          <t>End</t>
        </is>
      </c>
      <c r="B59" s="920" t="inlineStr"/>
      <c r="C59" s="920" t="inlineStr"/>
      <c r="D59" s="920" t="inlineStr"/>
      <c r="E59" s="920" t="inlineStr"/>
      <c r="F59" s="920" t="inlineStr"/>
      <c r="G59" s="920" t="inlineStr"/>
      <c r="H59" s="920" t="inlineStr"/>
      <c r="I59" s="920" t="inlineStr">
        <is>
          <t>2026-08-31 09:46:02</t>
        </is>
      </c>
      <c r="J59" s="920" t="inlineStr"/>
      <c r="K59" s="920" t="inlineStr">
        <is>
          <t>2026-10-13 16:02:36</t>
        </is>
      </c>
      <c r="L59" s="920" t="inlineStr"/>
      <c r="M59" s="921" t="inlineStr"/>
    </row>
    <row r="60" ht="14.5" customHeight="1">
      <c r="A60" s="924" t="inlineStr">
        <is>
          <t>Longs</t>
        </is>
      </c>
      <c r="B60" s="941" t="n">
        <v>0</v>
      </c>
      <c r="C60" s="941" t="n">
        <v>0</v>
      </c>
      <c r="D60" s="941" t="n">
        <v>0</v>
      </c>
      <c r="E60" s="941" t="n">
        <v>0</v>
      </c>
      <c r="F60" s="941" t="n">
        <v>0</v>
      </c>
      <c r="G60" s="941" t="n">
        <v>0</v>
      </c>
      <c r="H60" s="941" t="n">
        <v>0</v>
      </c>
      <c r="I60" s="941" t="n">
        <v>2</v>
      </c>
      <c r="J60" s="941" t="n">
        <v>0</v>
      </c>
      <c r="K60" s="941" t="n">
        <v>6</v>
      </c>
      <c r="L60" s="941" t="n">
        <v>0</v>
      </c>
      <c r="M60" s="942" t="n">
        <v>0</v>
      </c>
    </row>
    <row r="61" ht="14.5" customHeight="1">
      <c r="A61" s="889" t="inlineStr">
        <is>
          <t>Long wins</t>
        </is>
      </c>
      <c r="B61" s="890" t="n">
        <v>0</v>
      </c>
      <c r="C61" s="890" t="n">
        <v>0</v>
      </c>
      <c r="D61" s="890" t="n">
        <v>0</v>
      </c>
      <c r="E61" s="890" t="n">
        <v>0</v>
      </c>
      <c r="F61" s="890" t="n">
        <v>0</v>
      </c>
      <c r="G61" s="890" t="n">
        <v>0</v>
      </c>
      <c r="H61" s="890" t="n">
        <v>0</v>
      </c>
      <c r="I61" s="890" t="n">
        <v>0</v>
      </c>
      <c r="J61" s="890" t="n">
        <v>0</v>
      </c>
      <c r="K61" s="890" t="n">
        <v>1</v>
      </c>
      <c r="L61" s="890" t="n">
        <v>0</v>
      </c>
      <c r="M61" s="891" t="n">
        <v>0</v>
      </c>
    </row>
    <row r="62" ht="14.5" customHeight="1">
      <c r="A62" s="889" t="inlineStr">
        <is>
          <t>Long losses</t>
        </is>
      </c>
      <c r="B62" s="943" t="n">
        <v>0</v>
      </c>
      <c r="C62" s="943" t="n">
        <v>0</v>
      </c>
      <c r="D62" s="943" t="n">
        <v>0</v>
      </c>
      <c r="E62" s="943" t="n">
        <v>0</v>
      </c>
      <c r="F62" s="943" t="n">
        <v>0</v>
      </c>
      <c r="G62" s="943" t="n">
        <v>0</v>
      </c>
      <c r="H62" s="943" t="n">
        <v>0</v>
      </c>
      <c r="I62" s="943" t="n">
        <v>2</v>
      </c>
      <c r="J62" s="943" t="n">
        <v>0</v>
      </c>
      <c r="K62" s="943" t="n">
        <v>5</v>
      </c>
      <c r="L62" s="943" t="n">
        <v>0</v>
      </c>
      <c r="M62" s="944" t="n">
        <v>0</v>
      </c>
    </row>
    <row r="63" ht="14.5" customHeight="1">
      <c r="A63" s="886" t="inlineStr">
        <is>
          <t>Long break-even</t>
        </is>
      </c>
      <c r="B63" s="945" t="n">
        <v>0</v>
      </c>
      <c r="C63" s="945" t="n">
        <v>0</v>
      </c>
      <c r="D63" s="945" t="n">
        <v>0</v>
      </c>
      <c r="E63" s="945" t="n">
        <v>0</v>
      </c>
      <c r="F63" s="945" t="n">
        <v>0</v>
      </c>
      <c r="G63" s="945" t="n">
        <v>0</v>
      </c>
      <c r="H63" s="945" t="n">
        <v>0</v>
      </c>
      <c r="I63" s="945" t="n">
        <v>0</v>
      </c>
      <c r="J63" s="945" t="n">
        <v>0</v>
      </c>
      <c r="K63" s="945" t="n">
        <v>0</v>
      </c>
      <c r="L63" s="945" t="n">
        <v>0</v>
      </c>
      <c r="M63" s="946" t="n">
        <v>0</v>
      </c>
    </row>
    <row r="64" ht="14.5" customHeight="1">
      <c r="A64" s="886" t="inlineStr">
        <is>
          <t>Shorts</t>
        </is>
      </c>
      <c r="B64" s="887" t="n">
        <v>0</v>
      </c>
      <c r="C64" s="887" t="n">
        <v>0</v>
      </c>
      <c r="D64" s="887" t="n">
        <v>0</v>
      </c>
      <c r="E64" s="887" t="n">
        <v>0</v>
      </c>
      <c r="F64" s="887" t="n">
        <v>0</v>
      </c>
      <c r="G64" s="887" t="n">
        <v>0</v>
      </c>
      <c r="H64" s="887" t="n">
        <v>0</v>
      </c>
      <c r="I64" s="887" t="n">
        <v>0</v>
      </c>
      <c r="J64" s="887" t="n">
        <v>3</v>
      </c>
      <c r="K64" s="887" t="n">
        <v>2</v>
      </c>
      <c r="L64" s="887" t="n">
        <v>0</v>
      </c>
      <c r="M64" s="888" t="n">
        <v>0</v>
      </c>
    </row>
    <row r="65" ht="14.5" customHeight="1">
      <c r="A65" s="889" t="inlineStr">
        <is>
          <t>Short wins</t>
        </is>
      </c>
      <c r="B65" s="890" t="n">
        <v>0</v>
      </c>
      <c r="C65" s="890" t="n">
        <v>0</v>
      </c>
      <c r="D65" s="890" t="n">
        <v>0</v>
      </c>
      <c r="E65" s="890" t="n">
        <v>0</v>
      </c>
      <c r="F65" s="890" t="n">
        <v>0</v>
      </c>
      <c r="G65" s="890" t="n">
        <v>0</v>
      </c>
      <c r="H65" s="890" t="n">
        <v>0</v>
      </c>
      <c r="I65" s="890" t="n">
        <v>0</v>
      </c>
      <c r="J65" s="890" t="n">
        <v>3</v>
      </c>
      <c r="K65" s="890" t="n">
        <v>0</v>
      </c>
      <c r="L65" s="890" t="n">
        <v>0</v>
      </c>
      <c r="M65" s="891" t="n">
        <v>0</v>
      </c>
    </row>
    <row r="66" ht="14.5" customHeight="1">
      <c r="A66" s="889" t="inlineStr">
        <is>
          <t>Short losses</t>
        </is>
      </c>
      <c r="B66" s="892" t="n">
        <v>0</v>
      </c>
      <c r="C66" s="892" t="n">
        <v>0</v>
      </c>
      <c r="D66" s="892" t="n">
        <v>0</v>
      </c>
      <c r="E66" s="892" t="n">
        <v>0</v>
      </c>
      <c r="F66" s="892" t="n">
        <v>0</v>
      </c>
      <c r="G66" s="892" t="n">
        <v>0</v>
      </c>
      <c r="H66" s="892" t="n">
        <v>0</v>
      </c>
      <c r="I66" s="892" t="n">
        <v>0</v>
      </c>
      <c r="J66" s="892" t="n">
        <v>0</v>
      </c>
      <c r="K66" s="892" t="n">
        <v>2</v>
      </c>
      <c r="L66" s="892" t="n">
        <v>0</v>
      </c>
      <c r="M66" s="893" t="n">
        <v>0</v>
      </c>
    </row>
    <row r="67" ht="14.5" customHeight="1">
      <c r="A67" s="907" t="inlineStr">
        <is>
          <t>Short break-even</t>
        </is>
      </c>
      <c r="B67" s="947" t="n">
        <v>0</v>
      </c>
      <c r="C67" s="947" t="n">
        <v>0</v>
      </c>
      <c r="D67" s="947" t="n">
        <v>0</v>
      </c>
      <c r="E67" s="947" t="n">
        <v>0</v>
      </c>
      <c r="F67" s="947" t="n">
        <v>0</v>
      </c>
      <c r="G67" s="947" t="n">
        <v>0</v>
      </c>
      <c r="H67" s="947" t="n">
        <v>0</v>
      </c>
      <c r="I67" s="947" t="n">
        <v>0</v>
      </c>
      <c r="J67" s="947" t="n">
        <v>0</v>
      </c>
      <c r="K67" s="947" t="n">
        <v>0</v>
      </c>
      <c r="L67" s="947" t="n">
        <v>0</v>
      </c>
      <c r="M67" s="948" t="n">
        <v>0</v>
      </c>
    </row>
    <row r="68" ht="14.5" customHeight="1">
      <c r="A68" s="913" t="inlineStr">
        <is>
          <t>Min duration</t>
        </is>
      </c>
      <c r="B68" s="922" t="inlineStr"/>
      <c r="C68" s="922" t="inlineStr"/>
      <c r="D68" s="922" t="inlineStr"/>
      <c r="E68" s="922" t="inlineStr"/>
      <c r="F68" s="922" t="inlineStr"/>
      <c r="G68" s="922" t="inlineStr"/>
      <c r="H68" s="922" t="inlineStr">
        <is>
          <t>90D 22H 53M 45S - BTCUSDT 2026-07-10</t>
        </is>
      </c>
      <c r="I68" s="922" t="inlineStr">
        <is>
          <t>5M 55S - ENAUSDT 2026-08-25</t>
        </is>
      </c>
      <c r="J68" s="922" t="inlineStr">
        <is>
          <t>9M 37S - USDJPY 2026-09-11</t>
        </is>
      </c>
      <c r="K68" s="922" t="inlineStr">
        <is>
          <t>21S - QUSDT 2026-10-18</t>
        </is>
      </c>
      <c r="L68" s="922" t="inlineStr"/>
      <c r="M68" s="923" t="inlineStr"/>
    </row>
    <row r="69" ht="14.5" customHeight="1">
      <c r="A69" s="889" t="inlineStr">
        <is>
          <t>Max duration</t>
        </is>
      </c>
      <c r="B69" s="917" t="inlineStr"/>
      <c r="C69" s="917" t="inlineStr"/>
      <c r="D69" s="917" t="inlineStr"/>
      <c r="E69" s="917" t="inlineStr"/>
      <c r="F69" s="917" t="inlineStr"/>
      <c r="G69" s="917" t="inlineStr"/>
      <c r="H69" s="917" t="inlineStr">
        <is>
          <t>90D 22H 53M 45S - BTCUSDT 2026-07-10</t>
        </is>
      </c>
      <c r="I69" s="917" t="inlineStr">
        <is>
          <t>4D 11H 43M 22S - ETHUSDT 2026-08-31</t>
        </is>
      </c>
      <c r="J69" s="917" t="inlineStr">
        <is>
          <t>43M 44S - USDJPY 2026-09-07</t>
        </is>
      </c>
      <c r="K69" s="917" t="inlineStr">
        <is>
          <t>2D 22H 53M 45S - BTCUSDT 2026-10-07</t>
        </is>
      </c>
      <c r="L69" s="917" t="inlineStr"/>
      <c r="M69" s="918" t="inlineStr"/>
    </row>
    <row r="70" ht="14.5" customHeight="1">
      <c r="A70" s="889" t="inlineStr">
        <is>
          <t>Min Move to Break Even</t>
        </is>
      </c>
      <c r="B70" s="937" t="inlineStr"/>
      <c r="C70" s="937" t="inlineStr"/>
      <c r="D70" s="937" t="inlineStr"/>
      <c r="E70" s="937" t="inlineStr"/>
      <c r="F70" s="937" t="inlineStr"/>
      <c r="G70" s="937" t="inlineStr"/>
      <c r="H70" s="937" t="inlineStr"/>
      <c r="I70" s="937" t="inlineStr"/>
      <c r="J70" s="937" t="inlineStr"/>
      <c r="K70" s="937" t="inlineStr"/>
      <c r="L70" s="937" t="inlineStr"/>
      <c r="M70" s="938" t="inlineStr"/>
    </row>
    <row r="71" ht="14.5" customHeight="1">
      <c r="A71" s="889" t="inlineStr">
        <is>
          <t>Max Move to Break Even</t>
        </is>
      </c>
      <c r="B71" s="661" t="inlineStr"/>
      <c r="C71" s="661" t="inlineStr"/>
      <c r="D71" s="661" t="inlineStr"/>
      <c r="E71" s="661" t="inlineStr"/>
      <c r="F71" s="661" t="inlineStr"/>
      <c r="G71" s="661" t="inlineStr"/>
      <c r="H71" s="661" t="inlineStr"/>
      <c r="I71" s="661" t="inlineStr"/>
      <c r="J71" s="661" t="inlineStr"/>
      <c r="K71" s="661" t="inlineStr"/>
      <c r="L71" s="661" t="inlineStr"/>
      <c r="M71" s="904" t="inlineStr"/>
    </row>
    <row r="72" ht="14.5" customHeight="1">
      <c r="A72" s="889" t="inlineStr">
        <is>
          <t>Min Move to Profit</t>
        </is>
      </c>
      <c r="B72" s="661" t="inlineStr"/>
      <c r="C72" s="661" t="inlineStr"/>
      <c r="D72" s="661" t="inlineStr"/>
      <c r="E72" s="661" t="inlineStr"/>
      <c r="F72" s="661" t="inlineStr"/>
      <c r="G72" s="661" t="inlineStr"/>
      <c r="H72" s="661" t="inlineStr"/>
      <c r="I72" s="661" t="inlineStr"/>
      <c r="J72" s="661" t="inlineStr"/>
      <c r="K72" s="661" t="inlineStr"/>
      <c r="L72" s="661" t="inlineStr"/>
      <c r="M72" s="904" t="inlineStr"/>
    </row>
    <row r="73" ht="14.5" customHeight="1">
      <c r="A73" s="919" t="inlineStr">
        <is>
          <t>Max Move to Profit</t>
        </is>
      </c>
      <c r="B73" s="920" t="inlineStr"/>
      <c r="C73" s="920" t="inlineStr"/>
      <c r="D73" s="920" t="inlineStr"/>
      <c r="E73" s="920" t="inlineStr"/>
      <c r="F73" s="920" t="inlineStr"/>
      <c r="G73" s="920" t="inlineStr"/>
      <c r="H73" s="920" t="inlineStr"/>
      <c r="I73" s="920" t="inlineStr"/>
      <c r="J73" s="920" t="inlineStr"/>
      <c r="K73" s="920" t="inlineStr"/>
      <c r="L73" s="920" t="inlineStr"/>
      <c r="M73" s="921" t="inlineStr"/>
    </row>
    <row r="74" ht="14.5" customHeight="1">
      <c r="A74" s="913" t="inlineStr">
        <is>
          <t>Winners min stop %</t>
        </is>
      </c>
      <c r="B74" s="986" t="inlineStr"/>
      <c r="C74" s="986" t="inlineStr"/>
      <c r="D74" s="986" t="inlineStr"/>
      <c r="E74" s="986" t="inlineStr"/>
      <c r="F74" s="986" t="inlineStr"/>
      <c r="G74" s="986" t="inlineStr"/>
      <c r="H74" s="986" t="inlineStr"/>
      <c r="I74" s="986" t="inlineStr"/>
      <c r="J74" s="949" t="inlineStr">
        <is>
          <t>0.025% - USDJPY 2026-09-07</t>
        </is>
      </c>
      <c r="K74" s="949" t="inlineStr">
        <is>
          <t>0.041% - GBPUSD 2026-10-05</t>
        </is>
      </c>
      <c r="L74" s="986" t="inlineStr"/>
      <c r="M74" s="987" t="inlineStr"/>
    </row>
    <row r="75" ht="14.5" customHeight="1">
      <c r="A75" s="889" t="inlineStr">
        <is>
          <t>Winners max stop %</t>
        </is>
      </c>
      <c r="B75" s="662" t="inlineStr"/>
      <c r="C75" s="662" t="inlineStr"/>
      <c r="D75" s="662" t="inlineStr"/>
      <c r="E75" s="662" t="inlineStr"/>
      <c r="F75" s="662" t="inlineStr"/>
      <c r="G75" s="662" t="inlineStr"/>
      <c r="H75" s="662" t="inlineStr"/>
      <c r="I75" s="662" t="inlineStr"/>
      <c r="J75" s="661" t="inlineStr">
        <is>
          <t>0.10% - USDJPY 2026-09-11</t>
        </is>
      </c>
      <c r="K75" s="661" t="inlineStr">
        <is>
          <t>0.041% - GBPUSD 2026-10-05</t>
        </is>
      </c>
      <c r="L75" s="662" t="inlineStr"/>
      <c r="M75" s="663" t="inlineStr"/>
    </row>
    <row r="76" ht="14.5" customHeight="1">
      <c r="A76" s="889" t="inlineStr">
        <is>
          <t>Winners min target %</t>
        </is>
      </c>
      <c r="B76" s="662" t="inlineStr"/>
      <c r="C76" s="662" t="inlineStr"/>
      <c r="D76" s="662" t="inlineStr"/>
      <c r="E76" s="662" t="inlineStr"/>
      <c r="F76" s="662" t="inlineStr"/>
      <c r="G76" s="662" t="inlineStr"/>
      <c r="H76" s="662" t="inlineStr"/>
      <c r="I76" s="662" t="inlineStr"/>
      <c r="J76" s="661" t="inlineStr">
        <is>
          <t>0.064% - USDJPY 2026-09-07</t>
        </is>
      </c>
      <c r="K76" s="661" t="inlineStr">
        <is>
          <t>0.12% - GBPUSD 2026-10-05</t>
        </is>
      </c>
      <c r="L76" s="662" t="inlineStr"/>
      <c r="M76" s="663" t="inlineStr"/>
    </row>
    <row r="77" ht="14.5" customHeight="1">
      <c r="A77" s="889" t="inlineStr">
        <is>
          <t>Winners max target %</t>
        </is>
      </c>
      <c r="B77" s="894" t="inlineStr"/>
      <c r="C77" s="894" t="inlineStr"/>
      <c r="D77" s="894" t="inlineStr"/>
      <c r="E77" s="894" t="inlineStr"/>
      <c r="F77" s="894" t="inlineStr"/>
      <c r="G77" s="894" t="inlineStr"/>
      <c r="H77" s="894" t="inlineStr"/>
      <c r="I77" s="894" t="inlineStr"/>
      <c r="J77" s="917" t="inlineStr">
        <is>
          <t>0.26% - USDJPY 2026-09-11</t>
        </is>
      </c>
      <c r="K77" s="917" t="inlineStr">
        <is>
          <t>0.12% - GBPUSD 2026-10-05</t>
        </is>
      </c>
      <c r="L77" s="894" t="inlineStr"/>
      <c r="M77" s="895" t="inlineStr"/>
    </row>
    <row r="78" ht="14.5" customHeight="1">
      <c r="A78" s="889" t="inlineStr">
        <is>
          <t>Winners min result %</t>
        </is>
      </c>
      <c r="B78" s="894" t="inlineStr"/>
      <c r="C78" s="894" t="inlineStr"/>
      <c r="D78" s="894" t="inlineStr"/>
      <c r="E78" s="894" t="inlineStr"/>
      <c r="F78" s="894" t="inlineStr"/>
      <c r="G78" s="894" t="inlineStr"/>
      <c r="H78" s="894" t="inlineStr"/>
      <c r="I78" s="894" t="inlineStr"/>
      <c r="J78" s="951" t="inlineStr">
        <is>
          <t>0.0071% - USDJPY 2026-09-11</t>
        </is>
      </c>
      <c r="K78" s="951" t="inlineStr">
        <is>
          <t>0.0045% - GBPUSD 2026-10-05</t>
        </is>
      </c>
      <c r="L78" s="894" t="inlineStr"/>
      <c r="M78" s="895" t="inlineStr"/>
    </row>
    <row r="79" ht="14.5" customHeight="1">
      <c r="A79" s="889" t="inlineStr">
        <is>
          <t>Winners max result %</t>
        </is>
      </c>
      <c r="B79" s="894" t="inlineStr"/>
      <c r="C79" s="894" t="inlineStr"/>
      <c r="D79" s="894" t="inlineStr"/>
      <c r="E79" s="894" t="inlineStr"/>
      <c r="F79" s="894" t="inlineStr"/>
      <c r="G79" s="894" t="inlineStr"/>
      <c r="H79" s="894" t="inlineStr"/>
      <c r="I79" s="894" t="inlineStr"/>
      <c r="J79" s="951" t="inlineStr">
        <is>
          <t>0.036% - USDJPY 2026-09-07</t>
        </is>
      </c>
      <c r="K79" s="951" t="inlineStr">
        <is>
          <t>0.0045% - GBPUSD 2026-10-05</t>
        </is>
      </c>
      <c r="L79" s="894" t="inlineStr"/>
      <c r="M79" s="895" t="inlineStr"/>
    </row>
    <row r="80" ht="14.5" customHeight="1">
      <c r="A80" s="889" t="inlineStr">
        <is>
          <t>Winners min R</t>
        </is>
      </c>
      <c r="B80" s="984" t="inlineStr"/>
      <c r="C80" s="984" t="inlineStr"/>
      <c r="D80" s="984" t="inlineStr"/>
      <c r="E80" s="984" t="inlineStr"/>
      <c r="F80" s="984" t="inlineStr"/>
      <c r="G80" s="984" t="inlineStr"/>
      <c r="H80" s="984" t="inlineStr"/>
      <c r="I80" s="984" t="inlineStr"/>
      <c r="J80" s="951" t="inlineStr">
        <is>
          <t>0.41R - USDJPY 2026-09-11</t>
        </is>
      </c>
      <c r="K80" s="951" t="inlineStr">
        <is>
          <t>0.35R - GBPUSD 2026-10-05</t>
        </is>
      </c>
      <c r="L80" s="984" t="inlineStr"/>
      <c r="M80" s="985" t="inlineStr"/>
    </row>
    <row r="81" ht="14.5" customHeight="1">
      <c r="A81" s="919" t="inlineStr">
        <is>
          <t>Winners max R</t>
        </is>
      </c>
      <c r="B81" s="980" t="inlineStr"/>
      <c r="C81" s="980" t="inlineStr"/>
      <c r="D81" s="980" t="inlineStr"/>
      <c r="E81" s="980" t="inlineStr"/>
      <c r="F81" s="980" t="inlineStr"/>
      <c r="G81" s="980" t="inlineStr"/>
      <c r="H81" s="980" t="inlineStr"/>
      <c r="I81" s="980" t="inlineStr"/>
      <c r="J81" s="929" t="inlineStr">
        <is>
          <t>2.56R - USDJPY 2026-09-07</t>
        </is>
      </c>
      <c r="K81" s="929" t="inlineStr">
        <is>
          <t>0.35R - GBPUSD 2026-10-05</t>
        </is>
      </c>
      <c r="L81" s="980" t="inlineStr"/>
      <c r="M81" s="981" t="inlineStr"/>
    </row>
    <row r="82" ht="14.5" customHeight="1">
      <c r="A82" s="913" t="inlineStr">
        <is>
          <t>Losers min stop %</t>
        </is>
      </c>
      <c r="B82" s="915" t="inlineStr"/>
      <c r="C82" s="915" t="inlineStr"/>
      <c r="D82" s="915" t="inlineStr"/>
      <c r="E82" s="915" t="inlineStr"/>
      <c r="F82" s="915" t="inlineStr"/>
      <c r="G82" s="915" t="inlineStr"/>
      <c r="H82" s="922" t="inlineStr">
        <is>
          <t>0.78% - BTCUSDT 2026-07-10</t>
        </is>
      </c>
      <c r="I82" s="922" t="inlineStr">
        <is>
          <t>2.81% - ETHUSDT 2026-08-31</t>
        </is>
      </c>
      <c r="J82" s="915" t="inlineStr"/>
      <c r="K82" s="922" t="inlineStr">
        <is>
          <t>0.047% - EURGBP 2026-10-15</t>
        </is>
      </c>
      <c r="L82" s="915" t="inlineStr"/>
      <c r="M82" s="916" t="inlineStr"/>
    </row>
    <row r="83" ht="14.5" customHeight="1">
      <c r="A83" s="889" t="inlineStr">
        <is>
          <t>Losers max stop %</t>
        </is>
      </c>
      <c r="B83" s="894" t="inlineStr"/>
      <c r="C83" s="894" t="inlineStr"/>
      <c r="D83" s="894" t="inlineStr"/>
      <c r="E83" s="894" t="inlineStr"/>
      <c r="F83" s="894" t="inlineStr"/>
      <c r="G83" s="894" t="inlineStr"/>
      <c r="H83" s="917" t="inlineStr">
        <is>
          <t>0.78% - BTCUSDT 2026-07-10</t>
        </is>
      </c>
      <c r="I83" s="917" t="inlineStr">
        <is>
          <t>14.36% - ENAUSDT 2026-08-25</t>
        </is>
      </c>
      <c r="J83" s="894" t="inlineStr"/>
      <c r="K83" s="917" t="inlineStr">
        <is>
          <t>11.46% - QUSDT 2026-10-19</t>
        </is>
      </c>
      <c r="L83" s="894" t="inlineStr"/>
      <c r="M83" s="895" t="inlineStr"/>
    </row>
    <row r="84" ht="14.5" customHeight="1">
      <c r="A84" s="889" t="inlineStr">
        <is>
          <t>Losers min target %</t>
        </is>
      </c>
      <c r="B84" s="894" t="inlineStr"/>
      <c r="C84" s="894" t="inlineStr"/>
      <c r="D84" s="894" t="inlineStr"/>
      <c r="E84" s="894" t="inlineStr"/>
      <c r="F84" s="894" t="inlineStr"/>
      <c r="G84" s="894" t="inlineStr"/>
      <c r="H84" s="917" t="inlineStr">
        <is>
          <t>3.27% - BTCUSDT 2026-07-10</t>
        </is>
      </c>
      <c r="I84" s="917" t="inlineStr">
        <is>
          <t>8.89% - ETHUSDT 2026-08-31</t>
        </is>
      </c>
      <c r="J84" s="894" t="inlineStr"/>
      <c r="K84" s="917" t="inlineStr">
        <is>
          <t>0.16% - USDJPY 2026-10-13</t>
        </is>
      </c>
      <c r="L84" s="894" t="inlineStr"/>
      <c r="M84" s="895" t="inlineStr"/>
    </row>
    <row r="85" ht="14.5" customHeight="1">
      <c r="A85" s="889" t="inlineStr">
        <is>
          <t>Losers max target %</t>
        </is>
      </c>
      <c r="B85" s="894" t="inlineStr"/>
      <c r="C85" s="894" t="inlineStr"/>
      <c r="D85" s="894" t="inlineStr"/>
      <c r="E85" s="894" t="inlineStr"/>
      <c r="F85" s="894" t="inlineStr"/>
      <c r="G85" s="894" t="inlineStr"/>
      <c r="H85" s="917" t="inlineStr">
        <is>
          <t>3.27% - BTCUSDT 2026-07-10</t>
        </is>
      </c>
      <c r="I85" s="917" t="inlineStr">
        <is>
          <t>37.91% - ENAUSDT 2026-08-25</t>
        </is>
      </c>
      <c r="J85" s="894" t="inlineStr"/>
      <c r="K85" s="917" t="inlineStr">
        <is>
          <t>33.25% - QUSDT 2026-10-18</t>
        </is>
      </c>
      <c r="L85" s="894" t="inlineStr"/>
      <c r="M85" s="895" t="inlineStr"/>
    </row>
    <row r="86" ht="14.5" customHeight="1">
      <c r="A86" s="889" t="inlineStr">
        <is>
          <t>Losers min result %</t>
        </is>
      </c>
      <c r="B86" s="894" t="inlineStr"/>
      <c r="C86" s="894" t="inlineStr"/>
      <c r="D86" s="894" t="inlineStr"/>
      <c r="E86" s="894" t="inlineStr"/>
      <c r="F86" s="894" t="inlineStr"/>
      <c r="G86" s="894" t="inlineStr"/>
      <c r="H86" s="662" t="inlineStr"/>
      <c r="I86" s="927" t="inlineStr">
        <is>
          <t>-0.015% - ENAUSDT 2026-08-25</t>
        </is>
      </c>
      <c r="J86" s="894" t="inlineStr"/>
      <c r="K86" s="927" t="inlineStr">
        <is>
          <t>-0.018% - EURGBP 2026-10-15</t>
        </is>
      </c>
      <c r="L86" s="894" t="inlineStr"/>
      <c r="M86" s="895" t="inlineStr"/>
    </row>
    <row r="87" ht="14.5" customHeight="1">
      <c r="A87" s="889" t="inlineStr">
        <is>
          <t>Losers max result %</t>
        </is>
      </c>
      <c r="B87" s="894" t="inlineStr"/>
      <c r="C87" s="894" t="inlineStr"/>
      <c r="D87" s="894" t="inlineStr"/>
      <c r="E87" s="894" t="inlineStr"/>
      <c r="F87" s="894" t="inlineStr"/>
      <c r="G87" s="894" t="inlineStr"/>
      <c r="H87" s="662" t="inlineStr"/>
      <c r="I87" s="927" t="inlineStr">
        <is>
          <t>-0.91% - ETHUSDT 2026-08-31</t>
        </is>
      </c>
      <c r="J87" s="894" t="inlineStr"/>
      <c r="K87" s="927" t="inlineStr">
        <is>
          <t>-0.98% - BTCUSDT 2026-10-07</t>
        </is>
      </c>
      <c r="L87" s="894" t="inlineStr"/>
      <c r="M87" s="895" t="inlineStr"/>
    </row>
    <row r="88" ht="14.5" customHeight="1">
      <c r="A88" s="889" t="inlineStr">
        <is>
          <t>Losers min R</t>
        </is>
      </c>
      <c r="B88" s="984" t="inlineStr"/>
      <c r="C88" s="984" t="inlineStr"/>
      <c r="D88" s="984" t="inlineStr"/>
      <c r="E88" s="984" t="inlineStr"/>
      <c r="F88" s="984" t="inlineStr"/>
      <c r="G88" s="984" t="inlineStr"/>
      <c r="H88" s="977" t="inlineStr"/>
      <c r="I88" s="927" t="inlineStr">
        <is>
          <t>-0.0076R - ENAUSDT 2026-08-25</t>
        </is>
      </c>
      <c r="J88" s="984" t="inlineStr"/>
      <c r="K88" s="927" t="inlineStr">
        <is>
          <t>-0.0099R - BTCUSDT 2026-10-18</t>
        </is>
      </c>
      <c r="L88" s="984" t="inlineStr"/>
      <c r="M88" s="985" t="inlineStr"/>
    </row>
    <row r="89" ht="14.5" customHeight="1">
      <c r="A89" s="919" t="inlineStr">
        <is>
          <t>Losers max R</t>
        </is>
      </c>
      <c r="B89" s="980" t="inlineStr"/>
      <c r="C89" s="980" t="inlineStr"/>
      <c r="D89" s="980" t="inlineStr"/>
      <c r="E89" s="980" t="inlineStr"/>
      <c r="F89" s="980" t="inlineStr"/>
      <c r="G89" s="980" t="inlineStr"/>
      <c r="H89" s="1009" t="inlineStr"/>
      <c r="I89" s="953" t="inlineStr">
        <is>
          <t>-1.00R - ETHUSDT 2026-08-31</t>
        </is>
      </c>
      <c r="J89" s="980" t="inlineStr"/>
      <c r="K89" s="953" t="inlineStr">
        <is>
          <t>-1.00R - BTCUSDT 2026-10-07</t>
        </is>
      </c>
      <c r="L89" s="980" t="inlineStr"/>
      <c r="M89" s="981" t="inlineStr"/>
    </row>
    <row r="90" ht="14.5" customHeight="1">
      <c r="A90" s="924" t="inlineStr">
        <is>
          <t>Patterns</t>
        </is>
      </c>
      <c r="B90" s="922" t="inlineStr"/>
      <c r="C90" s="922" t="inlineStr"/>
      <c r="D90" s="922" t="inlineStr"/>
      <c r="E90" s="922" t="inlineStr"/>
      <c r="F90" s="922" t="inlineStr"/>
      <c r="G90" s="922" t="inlineStr"/>
      <c r="H90" s="922" t="inlineStr"/>
      <c r="I90" s="922" t="inlineStr"/>
      <c r="J90" s="922" t="inlineStr"/>
      <c r="K90" s="922" t="inlineStr"/>
      <c r="L90" s="922" t="inlineStr"/>
      <c r="M90" s="923" t="inlineStr"/>
    </row>
    <row r="91" ht="14.5" customHeight="1">
      <c r="A91" s="886" t="inlineStr">
        <is>
          <t>Most Traded</t>
        </is>
      </c>
      <c r="B91" s="917" t="inlineStr"/>
      <c r="C91" s="917" t="inlineStr"/>
      <c r="D91" s="917" t="inlineStr"/>
      <c r="E91" s="917" t="inlineStr"/>
      <c r="F91" s="917" t="inlineStr"/>
      <c r="G91" s="917" t="inlineStr"/>
      <c r="H91" s="917" t="inlineStr"/>
      <c r="I91" s="917" t="inlineStr"/>
      <c r="J91" s="917" t="inlineStr"/>
      <c r="K91" s="917" t="inlineStr">
        <is>
          <t>range</t>
        </is>
      </c>
      <c r="L91" s="917" t="inlineStr"/>
      <c r="M91" s="918" t="inlineStr"/>
    </row>
    <row r="92" ht="14.5" customHeight="1">
      <c r="A92" s="886" t="inlineStr">
        <is>
          <t>Least Traded</t>
        </is>
      </c>
      <c r="B92" s="661" t="inlineStr"/>
      <c r="C92" s="661" t="inlineStr"/>
      <c r="D92" s="661" t="inlineStr"/>
      <c r="E92" s="661" t="inlineStr"/>
      <c r="F92" s="661" t="inlineStr"/>
      <c r="G92" s="661" t="inlineStr"/>
      <c r="H92" s="661" t="inlineStr"/>
      <c r="I92" s="661" t="inlineStr"/>
      <c r="J92" s="661" t="inlineStr"/>
      <c r="K92" s="661" t="inlineStr">
        <is>
          <t>channel</t>
        </is>
      </c>
      <c r="L92" s="661" t="inlineStr"/>
      <c r="M92" s="904" t="inlineStr"/>
    </row>
    <row r="93" ht="14.5" customHeight="1">
      <c r="A93" s="886" t="inlineStr">
        <is>
          <t>Most Profitable</t>
        </is>
      </c>
      <c r="B93" s="661" t="inlineStr"/>
      <c r="C93" s="661" t="inlineStr"/>
      <c r="D93" s="661" t="inlineStr"/>
      <c r="E93" s="661" t="inlineStr"/>
      <c r="F93" s="661" t="inlineStr"/>
      <c r="G93" s="661" t="inlineStr"/>
      <c r="H93" s="661" t="inlineStr"/>
      <c r="I93" s="661" t="inlineStr"/>
      <c r="J93" s="661" t="inlineStr"/>
      <c r="K93" s="661" t="inlineStr">
        <is>
          <t>channel</t>
        </is>
      </c>
      <c r="L93" s="661" t="inlineStr"/>
      <c r="M93" s="904" t="inlineStr"/>
    </row>
    <row r="94" ht="14.5" customHeight="1">
      <c r="A94" s="907" t="inlineStr">
        <is>
          <t>Least Profitable</t>
        </is>
      </c>
      <c r="B94" s="669" t="inlineStr"/>
      <c r="C94" s="669" t="inlineStr"/>
      <c r="D94" s="669" t="inlineStr"/>
      <c r="E94" s="669" t="inlineStr"/>
      <c r="F94" s="669" t="inlineStr"/>
      <c r="G94" s="669" t="inlineStr"/>
      <c r="H94" s="669" t="inlineStr"/>
      <c r="I94" s="669" t="inlineStr"/>
      <c r="J94" s="669" t="inlineStr"/>
      <c r="K94" s="669" t="inlineStr">
        <is>
          <t>range</t>
        </is>
      </c>
      <c r="L94" s="669" t="inlineStr"/>
      <c r="M94" s="955" t="inlineStr"/>
    </row>
    <row r="95" ht="14.5" customHeight="1">
      <c r="A95" s="924" t="inlineStr">
        <is>
          <t>Timeframe</t>
        </is>
      </c>
      <c r="B95" s="931" t="inlineStr"/>
      <c r="C95" s="931" t="inlineStr"/>
      <c r="D95" s="931" t="inlineStr"/>
      <c r="E95" s="931" t="inlineStr"/>
      <c r="F95" s="931" t="inlineStr"/>
      <c r="G95" s="931" t="inlineStr"/>
      <c r="H95" s="931" t="inlineStr"/>
      <c r="I95" s="931" t="inlineStr"/>
      <c r="J95" s="931" t="inlineStr"/>
      <c r="K95" s="931" t="inlineStr"/>
      <c r="L95" s="931" t="inlineStr"/>
      <c r="M95" s="932" t="inlineStr"/>
    </row>
    <row r="96" ht="14.5" customHeight="1">
      <c r="A96" s="886" t="inlineStr">
        <is>
          <t>1MIN</t>
        </is>
      </c>
      <c r="B96" s="887" t="n">
        <v>0</v>
      </c>
      <c r="C96" s="887" t="n">
        <v>0</v>
      </c>
      <c r="D96" s="887" t="n">
        <v>0</v>
      </c>
      <c r="E96" s="887" t="n">
        <v>0</v>
      </c>
      <c r="F96" s="887" t="n">
        <v>0</v>
      </c>
      <c r="G96" s="887" t="n">
        <v>0</v>
      </c>
      <c r="H96" s="887" t="n">
        <v>0</v>
      </c>
      <c r="I96" s="887" t="n">
        <v>0</v>
      </c>
      <c r="J96" s="887" t="n">
        <v>0</v>
      </c>
      <c r="K96" s="887" t="n">
        <v>0</v>
      </c>
      <c r="L96" s="887" t="n">
        <v>0</v>
      </c>
      <c r="M96" s="888" t="n">
        <v>0</v>
      </c>
    </row>
    <row r="97" ht="14.5" customHeight="1">
      <c r="A97" s="886" t="inlineStr">
        <is>
          <t>5MIN</t>
        </is>
      </c>
      <c r="B97" s="887" t="n">
        <v>0</v>
      </c>
      <c r="C97" s="887" t="n">
        <v>0</v>
      </c>
      <c r="D97" s="887" t="n">
        <v>0</v>
      </c>
      <c r="E97" s="887" t="n">
        <v>0</v>
      </c>
      <c r="F97" s="887" t="n">
        <v>0</v>
      </c>
      <c r="G97" s="887" t="n">
        <v>0</v>
      </c>
      <c r="H97" s="887" t="n">
        <v>0</v>
      </c>
      <c r="I97" s="887" t="n">
        <v>0</v>
      </c>
      <c r="J97" s="887" t="n">
        <v>0</v>
      </c>
      <c r="K97" s="887" t="n">
        <v>6</v>
      </c>
      <c r="L97" s="887" t="n">
        <v>0</v>
      </c>
      <c r="M97" s="888" t="n">
        <v>0</v>
      </c>
    </row>
    <row r="98" ht="14.5" customHeight="1">
      <c r="A98" s="886" t="inlineStr">
        <is>
          <t>15MIN</t>
        </is>
      </c>
      <c r="B98" s="887" t="n">
        <v>0</v>
      </c>
      <c r="C98" s="887" t="n">
        <v>0</v>
      </c>
      <c r="D98" s="887" t="n">
        <v>0</v>
      </c>
      <c r="E98" s="887" t="n">
        <v>0</v>
      </c>
      <c r="F98" s="887" t="n">
        <v>0</v>
      </c>
      <c r="G98" s="887" t="n">
        <v>0</v>
      </c>
      <c r="H98" s="887" t="n">
        <v>0</v>
      </c>
      <c r="I98" s="887" t="n">
        <v>0</v>
      </c>
      <c r="J98" s="887" t="n">
        <v>0</v>
      </c>
      <c r="K98" s="887" t="n">
        <v>0</v>
      </c>
      <c r="L98" s="887" t="n">
        <v>0</v>
      </c>
      <c r="M98" s="888" t="n">
        <v>0</v>
      </c>
    </row>
    <row r="99" ht="14.5" customHeight="1">
      <c r="A99" s="886" t="inlineStr">
        <is>
          <t>30MIN</t>
        </is>
      </c>
      <c r="B99" s="887" t="n">
        <v>0</v>
      </c>
      <c r="C99" s="887" t="n">
        <v>0</v>
      </c>
      <c r="D99" s="887" t="n">
        <v>0</v>
      </c>
      <c r="E99" s="887" t="n">
        <v>0</v>
      </c>
      <c r="F99" s="887" t="n">
        <v>0</v>
      </c>
      <c r="G99" s="887" t="n">
        <v>0</v>
      </c>
      <c r="H99" s="887" t="n">
        <v>0</v>
      </c>
      <c r="I99" s="887" t="n">
        <v>0</v>
      </c>
      <c r="J99" s="887" t="n">
        <v>0</v>
      </c>
      <c r="K99" s="887" t="n">
        <v>0</v>
      </c>
      <c r="L99" s="887" t="n">
        <v>0</v>
      </c>
      <c r="M99" s="888" t="n">
        <v>0</v>
      </c>
    </row>
    <row r="100" ht="14.5" customHeight="1">
      <c r="A100" s="886" t="inlineStr">
        <is>
          <t>1H</t>
        </is>
      </c>
      <c r="B100" s="887" t="n">
        <v>0</v>
      </c>
      <c r="C100" s="887" t="n">
        <v>0</v>
      </c>
      <c r="D100" s="887" t="n">
        <v>0</v>
      </c>
      <c r="E100" s="887" t="n">
        <v>0</v>
      </c>
      <c r="F100" s="887" t="n">
        <v>0</v>
      </c>
      <c r="G100" s="887" t="n">
        <v>0</v>
      </c>
      <c r="H100" s="887" t="n">
        <v>0</v>
      </c>
      <c r="I100" s="887" t="n">
        <v>0</v>
      </c>
      <c r="J100" s="887" t="n">
        <v>0</v>
      </c>
      <c r="K100" s="887" t="n">
        <v>1</v>
      </c>
      <c r="L100" s="887" t="n">
        <v>0</v>
      </c>
      <c r="M100" s="888" t="n">
        <v>0</v>
      </c>
    </row>
    <row r="101" ht="14.5" customHeight="1">
      <c r="A101" s="886" t="inlineStr">
        <is>
          <t>4H</t>
        </is>
      </c>
      <c r="B101" s="887" t="n">
        <v>0</v>
      </c>
      <c r="C101" s="887" t="n">
        <v>0</v>
      </c>
      <c r="D101" s="887" t="n">
        <v>0</v>
      </c>
      <c r="E101" s="887" t="n">
        <v>0</v>
      </c>
      <c r="F101" s="887" t="n">
        <v>0</v>
      </c>
      <c r="G101" s="887" t="n">
        <v>0</v>
      </c>
      <c r="H101" s="887" t="n">
        <v>0</v>
      </c>
      <c r="I101" s="887" t="n">
        <v>2</v>
      </c>
      <c r="J101" s="887" t="n">
        <v>0</v>
      </c>
      <c r="K101" s="887" t="n">
        <v>0</v>
      </c>
      <c r="L101" s="887" t="n">
        <v>0</v>
      </c>
      <c r="M101" s="888" t="n">
        <v>0</v>
      </c>
    </row>
    <row r="102" ht="14.5" customHeight="1">
      <c r="A102" s="886" t="inlineStr">
        <is>
          <t>DAILY</t>
        </is>
      </c>
      <c r="B102" s="887" t="n">
        <v>0</v>
      </c>
      <c r="C102" s="887" t="n">
        <v>0</v>
      </c>
      <c r="D102" s="887" t="n">
        <v>0</v>
      </c>
      <c r="E102" s="887" t="n">
        <v>0</v>
      </c>
      <c r="F102" s="887" t="n">
        <v>0</v>
      </c>
      <c r="G102" s="887" t="n">
        <v>0</v>
      </c>
      <c r="H102" s="887" t="n">
        <v>0</v>
      </c>
      <c r="I102" s="887" t="n">
        <v>0</v>
      </c>
      <c r="J102" s="887" t="n">
        <v>0</v>
      </c>
      <c r="K102" s="887" t="n">
        <v>0</v>
      </c>
      <c r="L102" s="887" t="n">
        <v>0</v>
      </c>
      <c r="M102" s="888" t="n">
        <v>0</v>
      </c>
    </row>
    <row r="103" ht="14.5" customHeight="1">
      <c r="A103" s="886" t="inlineStr">
        <is>
          <t>WEEKLY</t>
        </is>
      </c>
      <c r="B103" s="887" t="n">
        <v>0</v>
      </c>
      <c r="C103" s="887" t="n">
        <v>0</v>
      </c>
      <c r="D103" s="887" t="n">
        <v>0</v>
      </c>
      <c r="E103" s="887" t="n">
        <v>0</v>
      </c>
      <c r="F103" s="887" t="n">
        <v>0</v>
      </c>
      <c r="G103" s="887" t="n">
        <v>0</v>
      </c>
      <c r="H103" s="887" t="n">
        <v>0</v>
      </c>
      <c r="I103" s="887" t="n">
        <v>0</v>
      </c>
      <c r="J103" s="887" t="n">
        <v>0</v>
      </c>
      <c r="K103" s="887" t="n">
        <v>0</v>
      </c>
      <c r="L103" s="887" t="n">
        <v>0</v>
      </c>
      <c r="M103" s="888" t="n">
        <v>0</v>
      </c>
    </row>
    <row r="104" ht="14.5" customHeight="1">
      <c r="A104" s="907" t="inlineStr">
        <is>
          <t>MONTHLY</t>
        </is>
      </c>
      <c r="B104" s="947" t="n">
        <v>0</v>
      </c>
      <c r="C104" s="947" t="n">
        <v>0</v>
      </c>
      <c r="D104" s="947" t="n">
        <v>0</v>
      </c>
      <c r="E104" s="947" t="n">
        <v>0</v>
      </c>
      <c r="F104" s="947" t="n">
        <v>0</v>
      </c>
      <c r="G104" s="947" t="n">
        <v>0</v>
      </c>
      <c r="H104" s="947" t="n">
        <v>0</v>
      </c>
      <c r="I104" s="947" t="n">
        <v>0</v>
      </c>
      <c r="J104" s="947" t="n">
        <v>0</v>
      </c>
      <c r="K104" s="947" t="n">
        <v>0</v>
      </c>
      <c r="L104" s="947" t="n">
        <v>0</v>
      </c>
      <c r="M104" s="948" t="n">
        <v>0</v>
      </c>
    </row>
    <row r="105" ht="14.5" customHeight="1">
      <c r="A105" s="924" t="inlineStr">
        <is>
          <t>Commission</t>
        </is>
      </c>
      <c r="B105" s="931" t="inlineStr"/>
      <c r="C105" s="931" t="inlineStr"/>
      <c r="D105" s="931" t="inlineStr"/>
      <c r="E105" s="931" t="inlineStr"/>
      <c r="F105" s="931" t="inlineStr"/>
      <c r="G105" s="931" t="inlineStr"/>
      <c r="H105" s="931" t="inlineStr"/>
      <c r="I105" s="931" t="inlineStr"/>
      <c r="J105" s="931" t="inlineStr"/>
      <c r="K105" s="931" t="inlineStr"/>
      <c r="L105" s="931" t="inlineStr"/>
      <c r="M105" s="932" t="inlineStr"/>
    </row>
    <row r="106" ht="14.5" customHeight="1">
      <c r="A106" s="889" t="inlineStr">
        <is>
          <t>Min Commission</t>
        </is>
      </c>
      <c r="B106" s="661" t="inlineStr"/>
      <c r="C106" s="661" t="inlineStr"/>
      <c r="D106" s="661" t="inlineStr"/>
      <c r="E106" s="661" t="inlineStr"/>
      <c r="F106" s="661" t="inlineStr"/>
      <c r="G106" s="661" t="inlineStr"/>
      <c r="H106" s="661" t="inlineStr"/>
      <c r="I106" s="989" t="n">
        <v>0.02480307</v>
      </c>
      <c r="J106" s="957" t="n">
        <v>0.5</v>
      </c>
      <c r="K106" s="927" t="inlineStr">
        <is>
          <t>AUD 0.78 / USDT 0.053</t>
        </is>
      </c>
      <c r="L106" s="661" t="inlineStr"/>
      <c r="M106" s="904" t="inlineStr"/>
    </row>
    <row r="107" ht="14.5" customHeight="1">
      <c r="A107" s="889" t="inlineStr">
        <is>
          <t>Avg Commission</t>
        </is>
      </c>
      <c r="B107" s="661" t="inlineStr"/>
      <c r="C107" s="661" t="inlineStr"/>
      <c r="D107" s="661" t="inlineStr"/>
      <c r="E107" s="661" t="inlineStr"/>
      <c r="F107" s="661" t="inlineStr"/>
      <c r="G107" s="661" t="inlineStr"/>
      <c r="H107" s="661" t="inlineStr"/>
      <c r="I107" s="989" t="n">
        <v>0.065839755</v>
      </c>
      <c r="J107" s="957" t="n">
        <v>1.193333333333333</v>
      </c>
      <c r="K107" s="927" t="inlineStr">
        <is>
          <t>AUD 0.78 / USDT 0.23</t>
        </is>
      </c>
      <c r="L107" s="661" t="inlineStr"/>
      <c r="M107" s="904" t="inlineStr"/>
    </row>
    <row r="108" ht="14.5" customHeight="1">
      <c r="A108" s="889" t="inlineStr">
        <is>
          <t>Max Commission</t>
        </is>
      </c>
      <c r="B108" s="937" t="inlineStr"/>
      <c r="C108" s="937" t="inlineStr"/>
      <c r="D108" s="937" t="inlineStr"/>
      <c r="E108" s="937" t="inlineStr"/>
      <c r="F108" s="937" t="inlineStr"/>
      <c r="G108" s="937" t="inlineStr"/>
      <c r="H108" s="1010" t="inlineStr"/>
      <c r="I108" s="993" t="n">
        <v>0.10687644</v>
      </c>
      <c r="J108" s="958" t="n">
        <v>1.54</v>
      </c>
      <c r="K108" s="959" t="inlineStr">
        <is>
          <t>AUD 0.78 / USDT 0.48</t>
        </is>
      </c>
      <c r="L108" s="937" t="inlineStr"/>
      <c r="M108" s="938" t="inlineStr"/>
    </row>
    <row r="109" ht="14.5" customHeight="1">
      <c r="A109" s="919" t="inlineStr">
        <is>
          <t>Total Commission</t>
        </is>
      </c>
      <c r="B109" s="920" t="inlineStr"/>
      <c r="C109" s="920" t="inlineStr"/>
      <c r="D109" s="920" t="inlineStr"/>
      <c r="E109" s="920" t="inlineStr"/>
      <c r="F109" s="920" t="inlineStr"/>
      <c r="G109" s="920" t="inlineStr"/>
      <c r="H109" s="669" t="inlineStr"/>
      <c r="I109" s="996" t="n">
        <v>0.13167951</v>
      </c>
      <c r="J109" s="961" t="n">
        <v>3.58</v>
      </c>
      <c r="K109" s="953" t="inlineStr">
        <is>
          <t>AUD 2.34 / USDT 1.13</t>
        </is>
      </c>
      <c r="L109" s="920" t="inlineStr"/>
      <c r="M109" s="921" t="inlineStr"/>
    </row>
    <row r="110">
      <c r="A110" s="962" t="n"/>
      <c r="B110" s="963" t="n"/>
      <c r="C110" s="963" t="n"/>
      <c r="D110" s="963" t="n"/>
      <c r="E110" s="963" t="n"/>
      <c r="F110" s="963" t="n"/>
      <c r="G110" s="963" t="n"/>
      <c r="H110" s="963" t="n"/>
      <c r="I110" s="963" t="n"/>
      <c r="J110" s="963" t="n"/>
      <c r="K110" s="963" t="n"/>
      <c r="L110" s="963" t="n"/>
      <c r="M110" s="963" t="n"/>
    </row>
    <row r="111">
      <c r="A111" s="962" t="n"/>
      <c r="B111" s="965" t="n"/>
      <c r="C111" s="965" t="n"/>
      <c r="D111" s="965" t="n"/>
      <c r="E111" s="965" t="n"/>
      <c r="F111" s="965" t="n"/>
      <c r="G111" s="965" t="n"/>
      <c r="H111" s="965" t="n"/>
      <c r="I111" s="965" t="n"/>
      <c r="J111" s="965" t="n"/>
      <c r="K111" s="965" t="n"/>
      <c r="L111" s="965" t="n"/>
      <c r="M111" s="965" t="n"/>
    </row>
    <row r="112">
      <c r="A112" s="962" t="n"/>
      <c r="B112" s="965" t="n"/>
      <c r="C112" s="965" t="n"/>
      <c r="D112" s="965" t="n"/>
      <c r="E112" s="965" t="n"/>
      <c r="F112" s="965" t="n"/>
      <c r="G112" s="965" t="n"/>
      <c r="H112" s="965" t="n"/>
      <c r="I112" s="965" t="n"/>
      <c r="J112" s="965" t="n"/>
      <c r="K112" s="965" t="n"/>
      <c r="L112" s="965" t="n"/>
      <c r="M112" s="965" t="n"/>
    </row>
    <row r="113">
      <c r="A113" s="962" t="n"/>
      <c r="B113" s="967" t="n"/>
      <c r="C113" s="967" t="n"/>
      <c r="D113" s="967" t="n"/>
      <c r="E113" s="967" t="n"/>
      <c r="F113" s="967" t="n"/>
      <c r="G113" s="967" t="n"/>
      <c r="H113" s="967" t="n"/>
      <c r="I113" s="967" t="n"/>
      <c r="J113" s="967" t="n"/>
      <c r="K113" s="967" t="n"/>
      <c r="L113" s="967" t="n"/>
      <c r="M113" s="967" t="n"/>
    </row>
    <row r="114">
      <c r="A114" s="962" t="n"/>
      <c r="B114" s="963" t="n"/>
      <c r="C114" s="963" t="n"/>
      <c r="D114" s="964" t="n"/>
      <c r="E114" s="964" t="n"/>
      <c r="F114" s="964" t="n"/>
      <c r="G114" s="964" t="n"/>
      <c r="H114" s="963" t="n"/>
      <c r="I114" s="963" t="n"/>
      <c r="J114" s="963" t="n"/>
      <c r="K114" s="963" t="n"/>
      <c r="L114" s="963" t="n"/>
      <c r="M114" s="963" t="n"/>
    </row>
    <row r="115">
      <c r="A115" s="962" t="n"/>
      <c r="B115" s="963" t="n"/>
      <c r="C115" s="963" t="n"/>
      <c r="D115" s="964" t="n"/>
      <c r="E115" s="964" t="n"/>
      <c r="F115" s="964" t="n"/>
      <c r="G115" s="964" t="n"/>
      <c r="H115" s="963" t="n"/>
      <c r="I115" s="963" t="n"/>
      <c r="J115" s="963" t="n"/>
      <c r="K115" s="963" t="n"/>
      <c r="L115" s="963" t="n"/>
      <c r="M115" s="963" t="n"/>
    </row>
    <row r="116">
      <c r="A116" s="962" t="n"/>
      <c r="B116" s="963" t="n"/>
      <c r="C116" s="963" t="n"/>
      <c r="D116" s="964" t="n"/>
      <c r="E116" s="964" t="n"/>
      <c r="F116" s="964" t="n"/>
      <c r="G116" s="964" t="n"/>
      <c r="H116" s="963" t="n"/>
      <c r="I116" s="963" t="n"/>
      <c r="J116" s="963" t="n"/>
      <c r="K116" s="963" t="n"/>
      <c r="L116" s="963" t="n"/>
      <c r="M116" s="963" t="n"/>
    </row>
    <row r="117">
      <c r="A117" s="962" t="n"/>
      <c r="B117" s="963" t="n"/>
      <c r="C117" s="963" t="n"/>
      <c r="D117" s="964" t="n"/>
      <c r="E117" s="964" t="n"/>
      <c r="F117" s="964" t="n"/>
      <c r="G117" s="964" t="n"/>
      <c r="H117" s="963" t="n"/>
      <c r="I117" s="963" t="n"/>
      <c r="J117" s="963" t="n"/>
      <c r="K117" s="963" t="n"/>
      <c r="L117" s="963" t="n"/>
      <c r="M117" s="963" t="n"/>
    </row>
    <row r="118">
      <c r="A118" s="962" t="n"/>
      <c r="B118" s="963" t="n"/>
      <c r="C118" s="963" t="n"/>
      <c r="D118" s="964" t="n"/>
      <c r="E118" s="964" t="n"/>
      <c r="F118" s="964" t="n"/>
      <c r="G118" s="964" t="n"/>
      <c r="H118" s="963" t="n"/>
      <c r="I118" s="963" t="n"/>
      <c r="J118" s="963" t="n"/>
      <c r="K118" s="963" t="n"/>
      <c r="L118" s="963" t="n"/>
      <c r="M118" s="963" t="n"/>
    </row>
    <row r="119">
      <c r="A119" s="962" t="n"/>
      <c r="B119" s="963" t="n"/>
      <c r="C119" s="963" t="n"/>
      <c r="D119" s="964" t="n"/>
      <c r="E119" s="964" t="n"/>
      <c r="F119" s="964" t="n"/>
      <c r="G119" s="964" t="n"/>
      <c r="H119" s="963" t="n"/>
      <c r="I119" s="963" t="n"/>
      <c r="J119" s="963" t="n"/>
      <c r="K119" s="963" t="n"/>
      <c r="L119" s="963" t="n"/>
      <c r="M119" s="963" t="n"/>
    </row>
    <row r="120">
      <c r="A120" s="962" t="n"/>
      <c r="B120" s="963" t="n"/>
      <c r="C120" s="963" t="n"/>
      <c r="D120" s="964" t="n"/>
      <c r="E120" s="964" t="n"/>
      <c r="F120" s="964" t="n"/>
      <c r="G120" s="964" t="n"/>
      <c r="H120" s="963" t="n"/>
      <c r="I120" s="963" t="n"/>
      <c r="J120" s="963" t="n"/>
      <c r="K120" s="963" t="n"/>
      <c r="L120" s="963" t="n"/>
      <c r="M120" s="963" t="n"/>
    </row>
    <row r="121">
      <c r="A121" s="962" t="n"/>
      <c r="B121" s="963" t="n"/>
      <c r="C121" s="963" t="n"/>
      <c r="D121" s="964" t="n"/>
      <c r="E121" s="964" t="n"/>
      <c r="F121" s="964" t="n"/>
      <c r="G121" s="964" t="n"/>
      <c r="H121" s="963" t="n"/>
      <c r="I121" s="963" t="n"/>
      <c r="J121" s="963" t="n"/>
      <c r="K121" s="963" t="n"/>
      <c r="L121" s="963" t="n"/>
      <c r="M121" s="963" t="n"/>
    </row>
    <row r="122">
      <c r="A122" s="962" t="n"/>
      <c r="B122" s="963" t="n"/>
      <c r="C122" s="963" t="n"/>
      <c r="D122" s="964" t="n"/>
      <c r="E122" s="964" t="n"/>
      <c r="F122" s="964" t="n"/>
      <c r="G122" s="964" t="n"/>
      <c r="H122" s="963" t="n"/>
      <c r="I122" s="963" t="n"/>
      <c r="J122" s="963" t="n"/>
      <c r="K122" s="963" t="n"/>
      <c r="L122" s="963" t="n"/>
      <c r="M122" s="963" t="n"/>
    </row>
    <row r="123">
      <c r="A123" s="962" t="n"/>
      <c r="B123" s="967" t="n"/>
      <c r="C123" s="967" t="n"/>
      <c r="D123" s="967" t="n"/>
      <c r="E123" s="967" t="n"/>
      <c r="F123" s="967" t="n"/>
      <c r="G123" s="967" t="n"/>
      <c r="H123" s="967" t="n"/>
      <c r="I123" s="967" t="n"/>
      <c r="J123" s="967" t="n"/>
      <c r="K123" s="967" t="n"/>
      <c r="L123" s="967" t="n"/>
      <c r="M123" s="967" t="n"/>
    </row>
    <row r="124">
      <c r="A124" s="962" t="n"/>
      <c r="B124" s="963" t="n"/>
      <c r="C124" s="963" t="n"/>
      <c r="D124" s="963" t="n"/>
      <c r="E124" s="963" t="n"/>
      <c r="F124" s="963" t="n"/>
      <c r="G124" s="963" t="n"/>
      <c r="H124" s="963" t="n"/>
      <c r="I124" s="963" t="n"/>
      <c r="J124" s="963" t="n"/>
      <c r="K124" s="963" t="n"/>
      <c r="L124" s="963" t="n"/>
      <c r="M124" s="963" t="n"/>
    </row>
    <row r="125">
      <c r="A125" s="962" t="n"/>
      <c r="B125" s="963" t="n"/>
      <c r="C125" s="963" t="n"/>
      <c r="D125" s="963" t="n"/>
      <c r="E125" s="963" t="n"/>
      <c r="F125" s="963" t="n"/>
      <c r="G125" s="963" t="n"/>
      <c r="H125" s="963" t="n"/>
      <c r="I125" s="963" t="n"/>
      <c r="J125" s="963" t="n"/>
      <c r="K125" s="963" t="n"/>
      <c r="L125" s="963" t="n"/>
      <c r="M125" s="963" t="n"/>
    </row>
    <row r="126">
      <c r="A126" s="962" t="n"/>
      <c r="B126" s="963" t="n"/>
      <c r="C126" s="963" t="n"/>
      <c r="D126" s="963" t="n"/>
      <c r="E126" s="963" t="n"/>
      <c r="F126" s="963" t="n"/>
      <c r="G126" s="963" t="n"/>
      <c r="H126" s="963" t="n"/>
      <c r="I126" s="963" t="n"/>
      <c r="J126" s="963" t="n"/>
      <c r="K126" s="963" t="n"/>
      <c r="L126" s="963" t="n"/>
      <c r="M126" s="963" t="n"/>
    </row>
    <row r="127">
      <c r="A127" s="962" t="n"/>
      <c r="B127" s="963" t="n"/>
      <c r="C127" s="963" t="n"/>
      <c r="D127" s="963" t="n"/>
      <c r="E127" s="963" t="n"/>
      <c r="F127" s="963" t="n"/>
      <c r="G127" s="963" t="n"/>
      <c r="H127" s="963" t="n"/>
      <c r="I127" s="963" t="n"/>
      <c r="J127" s="963" t="n"/>
      <c r="K127" s="963" t="n"/>
      <c r="L127" s="963" t="n"/>
      <c r="M127" s="96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2026-07-11T07:24:40Z</dcterms:created>
  <dcterms:modified xsi:type="dcterms:W3CDTF">2026-10-19T07:28:48Z</dcterms:modified>
  <cp:lastModifiedBy>A S</cp:lastModifiedBy>
</cp:coreProperties>
</file>