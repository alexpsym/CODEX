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678675D8-BF4D-4B4D-AE61-638A08BB2D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3" r:id="rId2"/>
    <sheet name="SYMBOLS" sheetId="4" r:id="rId3"/>
    <sheet name="Trade Log" sheetId="5" r:id="rId4"/>
    <sheet name="P&amp;L Calendar" sheetId="6" r:id="rId5"/>
    <sheet name=" SIM" sheetId="7" r:id="rId6"/>
    <sheet name="YEARLY REPORT" sheetId="8" r:id="rId7"/>
    <sheet name="2018" sheetId="9" r:id="rId8"/>
    <sheet name="2019" sheetId="10" r:id="rId9"/>
    <sheet name="2020" sheetId="11" r:id="rId10"/>
    <sheet name="2021" sheetId="12" r:id="rId11"/>
    <sheet name="2022" sheetId="13" r:id="rId12"/>
    <sheet name="2023" sheetId="14" r:id="rId13"/>
    <sheet name="2024" sheetId="15" r:id="rId14"/>
    <sheet name="2025" sheetId="16" r:id="rId15"/>
    <sheet name="2026" sheetId="17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C109" i="7" s="1"/>
  <c r="D109" i="7" s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B104" i="7"/>
  <c r="C104" i="7" s="1"/>
  <c r="D104" i="7" s="1"/>
  <c r="B103" i="7"/>
  <c r="C103" i="7" s="1"/>
  <c r="D103" i="7" s="1"/>
  <c r="B102" i="7"/>
  <c r="C102" i="7" s="1"/>
  <c r="D102" i="7" s="1"/>
  <c r="C101" i="7"/>
  <c r="D101" i="7" s="1"/>
  <c r="B101" i="7"/>
  <c r="B100" i="7"/>
  <c r="C100" i="7" s="1"/>
  <c r="D100" i="7" s="1"/>
  <c r="B99" i="7"/>
  <c r="C99" i="7" s="1"/>
  <c r="D99" i="7" s="1"/>
  <c r="B98" i="7"/>
  <c r="B97" i="7"/>
  <c r="C97" i="7" s="1"/>
  <c r="D97" i="7" s="1"/>
  <c r="C96" i="7"/>
  <c r="D96" i="7" s="1"/>
  <c r="B96" i="7"/>
  <c r="B95" i="7"/>
  <c r="C95" i="7" s="1"/>
  <c r="D95" i="7" s="1"/>
  <c r="B94" i="7"/>
  <c r="C94" i="7" s="1"/>
  <c r="D94" i="7" s="1"/>
  <c r="B93" i="7"/>
  <c r="C93" i="7" s="1"/>
  <c r="D93" i="7" s="1"/>
  <c r="B92" i="7"/>
  <c r="C92" i="7" s="1"/>
  <c r="D92" i="7" s="1"/>
  <c r="B91" i="7"/>
  <c r="C91" i="7" s="1"/>
  <c r="D91" i="7" s="1"/>
  <c r="B90" i="7"/>
  <c r="C90" i="7" s="1"/>
  <c r="D90" i="7" s="1"/>
  <c r="B89" i="7"/>
  <c r="C89" i="7" s="1"/>
  <c r="D89" i="7" s="1"/>
  <c r="B88" i="7"/>
  <c r="C88" i="7" s="1"/>
  <c r="D88" i="7" s="1"/>
  <c r="B87" i="7"/>
  <c r="C87" i="7" s="1"/>
  <c r="D87" i="7" s="1"/>
  <c r="C86" i="7"/>
  <c r="D86" i="7" s="1"/>
  <c r="B86" i="7"/>
  <c r="B85" i="7"/>
  <c r="C85" i="7" s="1"/>
  <c r="D85" i="7" s="1"/>
  <c r="C84" i="7"/>
  <c r="D84" i="7" s="1"/>
  <c r="B84" i="7"/>
  <c r="B83" i="7"/>
  <c r="C83" i="7" s="1"/>
  <c r="D83" i="7" s="1"/>
  <c r="B82" i="7"/>
  <c r="C82" i="7" s="1"/>
  <c r="D82" i="7" s="1"/>
  <c r="B81" i="7"/>
  <c r="C81" i="7" s="1"/>
  <c r="D81" i="7" s="1"/>
  <c r="B80" i="7"/>
  <c r="C80" i="7" s="1"/>
  <c r="D80" i="7" s="1"/>
  <c r="B79" i="7"/>
  <c r="C79" i="7" s="1"/>
  <c r="D79" i="7" s="1"/>
  <c r="B78" i="7"/>
  <c r="C78" i="7" s="1"/>
  <c r="D78" i="7" s="1"/>
  <c r="B77" i="7"/>
  <c r="C77" i="7" s="1"/>
  <c r="D77" i="7" s="1"/>
  <c r="B76" i="7"/>
  <c r="C76" i="7" s="1"/>
  <c r="D76" i="7" s="1"/>
  <c r="B75" i="7"/>
  <c r="C75" i="7" s="1"/>
  <c r="D75" i="7" s="1"/>
  <c r="B74" i="7"/>
  <c r="C74" i="7" s="1"/>
  <c r="D74" i="7" s="1"/>
  <c r="B73" i="7"/>
  <c r="C73" i="7" s="1"/>
  <c r="D73" i="7" s="1"/>
  <c r="B72" i="7"/>
  <c r="C72" i="7" s="1"/>
  <c r="D72" i="7" s="1"/>
  <c r="B71" i="7"/>
  <c r="C71" i="7" s="1"/>
  <c r="D71" i="7" s="1"/>
  <c r="B70" i="7"/>
  <c r="C70" i="7" s="1"/>
  <c r="D70" i="7" s="1"/>
  <c r="C69" i="7"/>
  <c r="D69" i="7" s="1"/>
  <c r="B69" i="7"/>
  <c r="C68" i="7"/>
  <c r="D68" i="7" s="1"/>
  <c r="B68" i="7"/>
  <c r="B67" i="7"/>
  <c r="C67" i="7" s="1"/>
  <c r="D67" i="7" s="1"/>
  <c r="B66" i="7"/>
  <c r="C66" i="7" s="1"/>
  <c r="D66" i="7" s="1"/>
  <c r="B65" i="7"/>
  <c r="C65" i="7" s="1"/>
  <c r="D65" i="7" s="1"/>
  <c r="C64" i="7"/>
  <c r="D64" i="7" s="1"/>
  <c r="B64" i="7"/>
  <c r="B63" i="7"/>
  <c r="C63" i="7" s="1"/>
  <c r="D63" i="7" s="1"/>
  <c r="B62" i="7"/>
  <c r="C62" i="7" s="1"/>
  <c r="D62" i="7" s="1"/>
  <c r="B61" i="7"/>
  <c r="C61" i="7" s="1"/>
  <c r="D61" i="7" s="1"/>
  <c r="B60" i="7"/>
  <c r="C60" i="7" s="1"/>
  <c r="D60" i="7" s="1"/>
  <c r="B59" i="7"/>
  <c r="C59" i="7" s="1"/>
  <c r="D59" i="7" s="1"/>
  <c r="B58" i="7"/>
  <c r="C58" i="7" s="1"/>
  <c r="D58" i="7" s="1"/>
  <c r="B57" i="7"/>
  <c r="C57" i="7" s="1"/>
  <c r="D57" i="7" s="1"/>
  <c r="B56" i="7"/>
  <c r="C56" i="7" s="1"/>
  <c r="D56" i="7" s="1"/>
  <c r="B55" i="7"/>
  <c r="C55" i="7" s="1"/>
  <c r="D55" i="7" s="1"/>
  <c r="C54" i="7"/>
  <c r="D54" i="7" s="1"/>
  <c r="B54" i="7"/>
  <c r="C53" i="7"/>
  <c r="D53" i="7" s="1"/>
  <c r="B53" i="7"/>
  <c r="C52" i="7"/>
  <c r="D52" i="7" s="1"/>
  <c r="B52" i="7"/>
  <c r="B51" i="7"/>
  <c r="C51" i="7" s="1"/>
  <c r="D51" i="7" s="1"/>
  <c r="B50" i="7"/>
  <c r="C50" i="7" s="1"/>
  <c r="D50" i="7" s="1"/>
  <c r="B49" i="7"/>
  <c r="C49" i="7" s="1"/>
  <c r="D49" i="7" s="1"/>
  <c r="D48" i="7"/>
  <c r="C48" i="7"/>
  <c r="B48" i="7"/>
  <c r="B47" i="7"/>
  <c r="C47" i="7" s="1"/>
  <c r="D47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B41" i="7"/>
  <c r="C41" i="7" s="1"/>
  <c r="D41" i="7" s="1"/>
  <c r="B40" i="7"/>
  <c r="C40" i="7" s="1"/>
  <c r="D40" i="7" s="1"/>
  <c r="B39" i="7"/>
  <c r="C39" i="7" s="1"/>
  <c r="D39" i="7" s="1"/>
  <c r="C38" i="7"/>
  <c r="D38" i="7" s="1"/>
  <c r="B38" i="7"/>
  <c r="C37" i="7"/>
  <c r="D37" i="7" s="1"/>
  <c r="B37" i="7"/>
  <c r="B36" i="7"/>
  <c r="C36" i="7" s="1"/>
  <c r="D36" i="7" s="1"/>
  <c r="B35" i="7"/>
  <c r="C35" i="7" s="1"/>
  <c r="D35" i="7" s="1"/>
  <c r="B34" i="7"/>
  <c r="C34" i="7" s="1"/>
  <c r="D34" i="7" s="1"/>
  <c r="B33" i="7"/>
  <c r="C33" i="7" s="1"/>
  <c r="D33" i="7" s="1"/>
  <c r="C32" i="7"/>
  <c r="D32" i="7" s="1"/>
  <c r="B32" i="7"/>
  <c r="B31" i="7"/>
  <c r="C31" i="7" s="1"/>
  <c r="D31" i="7" s="1"/>
  <c r="B30" i="7"/>
  <c r="C30" i="7" s="1"/>
  <c r="D30" i="7" s="1"/>
  <c r="B29" i="7"/>
  <c r="C29" i="7" s="1"/>
  <c r="D29" i="7" s="1"/>
  <c r="B28" i="7"/>
  <c r="C28" i="7" s="1"/>
  <c r="D28" i="7" s="1"/>
  <c r="B27" i="7"/>
  <c r="C27" i="7" s="1"/>
  <c r="D27" i="7" s="1"/>
  <c r="B26" i="7"/>
  <c r="C26" i="7" s="1"/>
  <c r="D26" i="7" s="1"/>
  <c r="B25" i="7"/>
  <c r="C25" i="7" s="1"/>
  <c r="D25" i="7" s="1"/>
  <c r="B24" i="7"/>
  <c r="C24" i="7" s="1"/>
  <c r="D24" i="7" s="1"/>
  <c r="B23" i="7"/>
  <c r="C23" i="7" s="1"/>
  <c r="D23" i="7" s="1"/>
  <c r="C22" i="7"/>
  <c r="D22" i="7" s="1"/>
  <c r="B22" i="7"/>
  <c r="B21" i="7"/>
  <c r="C21" i="7" s="1"/>
  <c r="D21" i="7" s="1"/>
  <c r="C20" i="7"/>
  <c r="D20" i="7" s="1"/>
  <c r="B20" i="7"/>
  <c r="B19" i="7"/>
  <c r="C19" i="7" s="1"/>
  <c r="D19" i="7" s="1"/>
  <c r="B18" i="7"/>
  <c r="C18" i="7" s="1"/>
  <c r="D18" i="7" s="1"/>
  <c r="B17" i="7"/>
  <c r="C17" i="7" s="1"/>
  <c r="D17" i="7" s="1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B12" i="7"/>
  <c r="C12" i="7" s="1"/>
  <c r="D12" i="7" s="1"/>
  <c r="B11" i="7"/>
  <c r="C11" i="7" s="1"/>
  <c r="D11" i="7" s="1"/>
  <c r="B10" i="7"/>
  <c r="C10" i="7" s="1"/>
  <c r="F9" i="7"/>
  <c r="D10" i="7" l="1"/>
  <c r="F10" i="7"/>
  <c r="C98" i="7"/>
  <c r="D98" i="7" s="1"/>
  <c r="B4" i="7"/>
  <c r="F5" i="7"/>
  <c r="F4" i="7"/>
  <c r="E10" i="7" l="1"/>
  <c r="F11" i="7"/>
  <c r="F6" i="7"/>
  <c r="L1" i="7"/>
  <c r="M1" i="7" s="1"/>
  <c r="B5" i="7"/>
  <c r="H2" i="7" s="1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E17" i="7" l="1"/>
  <c r="F18" i="7"/>
  <c r="E18" i="7" l="1"/>
  <c r="F19" i="7"/>
  <c r="E19" i="7" l="1"/>
  <c r="F20" i="7"/>
  <c r="E20" i="7" l="1"/>
  <c r="F21" i="7"/>
  <c r="E21" i="7" l="1"/>
  <c r="F22" i="7"/>
  <c r="E22" i="7" l="1"/>
  <c r="F23" i="7"/>
  <c r="F24" i="7" l="1"/>
  <c r="E23" i="7"/>
  <c r="E24" i="7" l="1"/>
  <c r="F25" i="7"/>
  <c r="E25" i="7" l="1"/>
  <c r="F26" i="7"/>
  <c r="E26" i="7" l="1"/>
  <c r="F27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E33" i="7" l="1"/>
  <c r="F34" i="7"/>
  <c r="E34" i="7" l="1"/>
  <c r="F35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E41" i="7" l="1"/>
  <c r="F42" i="7"/>
  <c r="E42" i="7" l="1"/>
  <c r="F43" i="7"/>
  <c r="E43" i="7" l="1"/>
  <c r="F44" i="7"/>
  <c r="F45" i="7" l="1"/>
  <c r="E44" i="7"/>
  <c r="E45" i="7" l="1"/>
  <c r="F46" i="7"/>
  <c r="E46" i="7" l="1"/>
  <c r="F47" i="7"/>
  <c r="F48" i="7" l="1"/>
  <c r="E47" i="7"/>
  <c r="E48" i="7" l="1"/>
  <c r="F49" i="7"/>
  <c r="E49" i="7" l="1"/>
  <c r="F50" i="7"/>
  <c r="E50" i="7" l="1"/>
  <c r="F51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E58" i="7" l="1"/>
  <c r="F59" i="7"/>
  <c r="E59" i="7" l="1"/>
  <c r="F60" i="7"/>
  <c r="F61" i="7" l="1"/>
  <c r="E60" i="7"/>
  <c r="E61" i="7" l="1"/>
  <c r="F62" i="7"/>
  <c r="E62" i="7" l="1"/>
  <c r="F63" i="7"/>
  <c r="F64" i="7" l="1"/>
  <c r="E63" i="7"/>
  <c r="E64" i="7" l="1"/>
  <c r="F65" i="7"/>
  <c r="E65" i="7" l="1"/>
  <c r="F66" i="7"/>
  <c r="E66" i="7" l="1"/>
  <c r="F67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E73" i="7" l="1"/>
  <c r="F74" i="7"/>
  <c r="E74" i="7" l="1"/>
  <c r="F75" i="7"/>
  <c r="E75" i="7" l="1"/>
  <c r="F76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E82" i="7" l="1"/>
  <c r="F83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E89" i="7" l="1"/>
  <c r="F90" i="7"/>
  <c r="E90" i="7" l="1"/>
  <c r="F91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E98" i="7" l="1"/>
  <c r="F99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L2" i="7" s="1"/>
  <c r="M2" i="7" s="1"/>
  <c r="E10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<sst xmlns="http://schemas.openxmlformats.org/spreadsheetml/2006/main" count="24501" uniqueCount="6544">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</sst>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990.5838300246503</c:v>
                </c:pt>
                <c:pt idx="2">
                  <c:v>980.71169772270355</c:v>
                </c:pt>
                <c:pt idx="3">
                  <c:v>971.23867561744828</c:v>
                </c:pt>
                <c:pt idx="4">
                  <c:v>993.26758345838118</c:v>
                </c:pt>
                <c:pt idx="5">
                  <c:v>1014.7193055414507</c:v>
                </c:pt>
                <c:pt idx="6">
                  <c:v>1004.9261403299521</c:v>
                </c:pt>
                <c:pt idx="7">
                  <c:v>995.17539216386797</c:v>
                </c:pt>
                <c:pt idx="8">
                  <c:v>1015.2776482290674</c:v>
                </c:pt>
                <c:pt idx="9">
                  <c:v>1037.3752896970943</c:v>
                </c:pt>
                <c:pt idx="10">
                  <c:v>1028.0982165720759</c:v>
                </c:pt>
                <c:pt idx="11">
                  <c:v>1016.8748118106238</c:v>
                </c:pt>
                <c:pt idx="12">
                  <c:v>1039.8617020725774</c:v>
                </c:pt>
                <c:pt idx="13">
                  <c:v>1030.4988714797885</c:v>
                </c:pt>
                <c:pt idx="14">
                  <c:v>1021.2778972523777</c:v>
                </c:pt>
                <c:pt idx="15">
                  <c:v>1037.476647754728</c:v>
                </c:pt>
                <c:pt idx="16">
                  <c:v>1027.7629665460815</c:v>
                </c:pt>
                <c:pt idx="17">
                  <c:v>1047.5594117712569</c:v>
                </c:pt>
                <c:pt idx="18">
                  <c:v>1038.5774039351177</c:v>
                </c:pt>
                <c:pt idx="19">
                  <c:v>1029.7030520653475</c:v>
                </c:pt>
                <c:pt idx="20">
                  <c:v>1020.9226110016266</c:v>
                </c:pt>
                <c:pt idx="21">
                  <c:v>1044.2772375428372</c:v>
                </c:pt>
                <c:pt idx="22">
                  <c:v>1061.4678066625549</c:v>
                </c:pt>
                <c:pt idx="23">
                  <c:v>1085.6123036668466</c:v>
                </c:pt>
                <c:pt idx="24">
                  <c:v>1076.0234964799129</c:v>
                </c:pt>
                <c:pt idx="25">
                  <c:v>1064.4664366344118</c:v>
                </c:pt>
                <c:pt idx="26">
                  <c:v>1054.9535304172057</c:v>
                </c:pt>
                <c:pt idx="27">
                  <c:v>1044.3697889154002</c:v>
                </c:pt>
                <c:pt idx="28">
                  <c:v>1061.4091093300731</c:v>
                </c:pt>
                <c:pt idx="29">
                  <c:v>1051.6776488857736</c:v>
                </c:pt>
                <c:pt idx="30">
                  <c:v>1041.2393728741536</c:v>
                </c:pt>
                <c:pt idx="31">
                  <c:v>1033.0793022297953</c:v>
                </c:pt>
                <c:pt idx="32">
                  <c:v>1056.2732764387454</c:v>
                </c:pt>
                <c:pt idx="33">
                  <c:v>1046.5744310633836</c:v>
                </c:pt>
                <c:pt idx="34">
                  <c:v>1036.0663871037796</c:v>
                </c:pt>
                <c:pt idx="35">
                  <c:v>1027.0803675981315</c:v>
                </c:pt>
                <c:pt idx="36">
                  <c:v>1018.4034408503767</c:v>
                </c:pt>
                <c:pt idx="37">
                  <c:v>1038.7837146679972</c:v>
                </c:pt>
                <c:pt idx="38">
                  <c:v>1029.2284827855142</c:v>
                </c:pt>
                <c:pt idx="39">
                  <c:v>1020.8110427688518</c:v>
                </c:pt>
                <c:pt idx="40">
                  <c:v>1036.3324838968244</c:v>
                </c:pt>
                <c:pt idx="41">
                  <c:v>1027.6605000243264</c:v>
                </c:pt>
                <c:pt idx="42">
                  <c:v>1018.9409855178319</c:v>
                </c:pt>
                <c:pt idx="43">
                  <c:v>1010.8101964483141</c:v>
                </c:pt>
                <c:pt idx="44">
                  <c:v>1000.3858726906914</c:v>
                </c:pt>
                <c:pt idx="45">
                  <c:v>992.39408857758383</c:v>
                </c:pt>
                <c:pt idx="46">
                  <c:v>984.21307675905575</c:v>
                </c:pt>
                <c:pt idx="47">
                  <c:v>973.8336478462686</c:v>
                </c:pt>
                <c:pt idx="48">
                  <c:v>965.3908424599889</c:v>
                </c:pt>
                <c:pt idx="49">
                  <c:v>957.58799276563764</c:v>
                </c:pt>
                <c:pt idx="50">
                  <c:v>948.98872150554587</c:v>
                </c:pt>
                <c:pt idx="51">
                  <c:v>941.80226584622233</c:v>
                </c:pt>
                <c:pt idx="52">
                  <c:v>934.52300198055002</c:v>
                </c:pt>
                <c:pt idx="53">
                  <c:v>927.05781154267299</c:v>
                </c:pt>
                <c:pt idx="54">
                  <c:v>943.47807472267368</c:v>
                </c:pt>
                <c:pt idx="55">
                  <c:v>933.95373841652122</c:v>
                </c:pt>
                <c:pt idx="56">
                  <c:v>952.66503075875596</c:v>
                </c:pt>
                <c:pt idx="57">
                  <c:v>969.69781549098059</c:v>
                </c:pt>
                <c:pt idx="58">
                  <c:v>986.99388681836365</c:v>
                </c:pt>
                <c:pt idx="59">
                  <c:v>978.1083408979307</c:v>
                </c:pt>
                <c:pt idx="60">
                  <c:v>967.35949576409098</c:v>
                </c:pt>
                <c:pt idx="61">
                  <c:v>959.31054051799742</c:v>
                </c:pt>
                <c:pt idx="62">
                  <c:v>950.29594430027953</c:v>
                </c:pt>
                <c:pt idx="63">
                  <c:v>971.28994498077827</c:v>
                </c:pt>
                <c:pt idx="64">
                  <c:v>961.21847714287628</c:v>
                </c:pt>
                <c:pt idx="65">
                  <c:v>953.62762234023273</c:v>
                </c:pt>
                <c:pt idx="66">
                  <c:v>943.78790677963673</c:v>
                </c:pt>
                <c:pt idx="67">
                  <c:v>933.79779383099969</c:v>
                </c:pt>
                <c:pt idx="68">
                  <c:v>923.77852221591968</c:v>
                </c:pt>
                <c:pt idx="69">
                  <c:v>915.48072377868107</c:v>
                </c:pt>
                <c:pt idx="70">
                  <c:v>906.14124267563272</c:v>
                </c:pt>
                <c:pt idx="71">
                  <c:v>897.94603202854955</c:v>
                </c:pt>
                <c:pt idx="72">
                  <c:v>888.27594336500499</c:v>
                </c:pt>
                <c:pt idx="73">
                  <c:v>880.58815484892284</c:v>
                </c:pt>
                <c:pt idx="74">
                  <c:v>873.34779582865019</c:v>
                </c:pt>
                <c:pt idx="75">
                  <c:v>864.80079844708791</c:v>
                </c:pt>
                <c:pt idx="76">
                  <c:v>856.50508025274382</c:v>
                </c:pt>
                <c:pt idx="77">
                  <c:v>847.7243208254099</c:v>
                </c:pt>
                <c:pt idx="78">
                  <c:v>838.88619156241168</c:v>
                </c:pt>
                <c:pt idx="79">
                  <c:v>829.76671459691113</c:v>
                </c:pt>
                <c:pt idx="80">
                  <c:v>823.35941131237053</c:v>
                </c:pt>
                <c:pt idx="81">
                  <c:v>840.53324478543561</c:v>
                </c:pt>
                <c:pt idx="82">
                  <c:v>833.50480559201367</c:v>
                </c:pt>
                <c:pt idx="83">
                  <c:v>824.92667603950076</c:v>
                </c:pt>
                <c:pt idx="84">
                  <c:v>837.79038175001131</c:v>
                </c:pt>
                <c:pt idx="85">
                  <c:v>830.83622179826091</c:v>
                </c:pt>
                <c:pt idx="86">
                  <c:v>823.05961175210257</c:v>
                </c:pt>
                <c:pt idx="87">
                  <c:v>837.15178240268551</c:v>
                </c:pt>
                <c:pt idx="88">
                  <c:v>830.80376449170615</c:v>
                </c:pt>
                <c:pt idx="89">
                  <c:v>824.56093973941461</c:v>
                </c:pt>
                <c:pt idx="90">
                  <c:v>817.07390362773526</c:v>
                </c:pt>
                <c:pt idx="91">
                  <c:v>808.43066927599716</c:v>
                </c:pt>
                <c:pt idx="92">
                  <c:v>825.21300511011918</c:v>
                </c:pt>
                <c:pt idx="93">
                  <c:v>818.21743952308134</c:v>
                </c:pt>
                <c:pt idx="94">
                  <c:v>810.05186695574207</c:v>
                </c:pt>
                <c:pt idx="95">
                  <c:v>803.42558461371766</c:v>
                </c:pt>
                <c:pt idx="96">
                  <c:v>795.33676712643353</c:v>
                </c:pt>
                <c:pt idx="97">
                  <c:v>787.67096775504479</c:v>
                </c:pt>
                <c:pt idx="98">
                  <c:v>779.72645068720919</c:v>
                </c:pt>
                <c:pt idx="99">
                  <c:v>771.88296311398733</c:v>
                </c:pt>
                <c:pt idx="100">
                  <c:v>763.94707204407212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B0-49CA-8214-AA47A5C5E8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-9.4161699753496642E-3</c:v>
                </c:pt>
                <c:pt idx="2">
                  <c:v>-1.9288302277296498E-2</c:v>
                </c:pt>
                <c:pt idx="3">
                  <c:v>-2.8761324382551745E-2</c:v>
                </c:pt>
                <c:pt idx="4">
                  <c:v>-6.7324165416188242E-3</c:v>
                </c:pt>
                <c:pt idx="5">
                  <c:v>0</c:v>
                </c:pt>
                <c:pt idx="6">
                  <c:v>-9.6511076097768322E-3</c:v>
                </c:pt>
                <c:pt idx="7">
                  <c:v>-1.9260413466908655E-2</c:v>
                </c:pt>
                <c:pt idx="8">
                  <c:v>0</c:v>
                </c:pt>
                <c:pt idx="9">
                  <c:v>0</c:v>
                </c:pt>
                <c:pt idx="10">
                  <c:v>-8.9428321815215872E-3</c:v>
                </c:pt>
                <c:pt idx="11">
                  <c:v>-1.9761872188469587E-2</c:v>
                </c:pt>
                <c:pt idx="12">
                  <c:v>0</c:v>
                </c:pt>
                <c:pt idx="13">
                  <c:v>-9.0039190539737968E-3</c:v>
                </c:pt>
                <c:pt idx="14">
                  <c:v>-1.7871419615858364E-2</c:v>
                </c:pt>
                <c:pt idx="15">
                  <c:v>-2.2936264631110426E-3</c:v>
                </c:pt>
                <c:pt idx="16">
                  <c:v>-1.1634946745688879E-2</c:v>
                </c:pt>
                <c:pt idx="17">
                  <c:v>0</c:v>
                </c:pt>
                <c:pt idx="18">
                  <c:v>-8.5742228414062982E-3</c:v>
                </c:pt>
                <c:pt idx="19">
                  <c:v>-1.7045677319358132E-2</c:v>
                </c:pt>
                <c:pt idx="20">
                  <c:v>-2.5427484561082569E-2</c:v>
                </c:pt>
                <c:pt idx="21">
                  <c:v>-3.1331628464585926E-3</c:v>
                </c:pt>
                <c:pt idx="22">
                  <c:v>0</c:v>
                </c:pt>
                <c:pt idx="23">
                  <c:v>0</c:v>
                </c:pt>
                <c:pt idx="24">
                  <c:v>-8.8326257491241345E-3</c:v>
                </c:pt>
                <c:pt idx="25">
                  <c:v>-1.9478286088883578E-2</c:v>
                </c:pt>
                <c:pt idx="26">
                  <c:v>-2.8240996482893133E-2</c:v>
                </c:pt>
                <c:pt idx="27">
                  <c:v>-3.7990095186046235E-2</c:v>
                </c:pt>
                <c:pt idx="28">
                  <c:v>-2.2294509978399324E-2</c:v>
                </c:pt>
                <c:pt idx="29">
                  <c:v>-3.1258539228463778E-2</c:v>
                </c:pt>
                <c:pt idx="30">
                  <c:v>-4.0873643972913376E-2</c:v>
                </c:pt>
                <c:pt idx="31">
                  <c:v>-4.8390204550567306E-2</c:v>
                </c:pt>
                <c:pt idx="32">
                  <c:v>-2.7025326747867062E-2</c:v>
                </c:pt>
                <c:pt idx="33">
                  <c:v>-3.5959312980891722E-2</c:v>
                </c:pt>
                <c:pt idx="34">
                  <c:v>-4.5638683713989825E-2</c:v>
                </c:pt>
                <c:pt idx="35">
                  <c:v>-5.391605812776179E-2</c:v>
                </c:pt>
                <c:pt idx="36">
                  <c:v>-6.1908715099727729E-2</c:v>
                </c:pt>
                <c:pt idx="37">
                  <c:v>-4.3135646897771607E-2</c:v>
                </c:pt>
                <c:pt idx="38">
                  <c:v>-5.1937345119326794E-2</c:v>
                </c:pt>
                <c:pt idx="39">
                  <c:v>-5.9690978703094255E-2</c:v>
                </c:pt>
                <c:pt idx="40">
                  <c:v>-4.5393571538910327E-2</c:v>
                </c:pt>
                <c:pt idx="41">
                  <c:v>-5.3381675434939102E-2</c:v>
                </c:pt>
                <c:pt idx="42">
                  <c:v>-6.1413561659001692E-2</c:v>
                </c:pt>
                <c:pt idx="43">
                  <c:v>-6.8903149831551547E-2</c:v>
                </c:pt>
                <c:pt idx="44">
                  <c:v>-7.8505402608544439E-2</c:v>
                </c:pt>
                <c:pt idx="45">
                  <c:v>-8.5866947873013078E-2</c:v>
                </c:pt>
                <c:pt idx="46">
                  <c:v>-9.3402798186145386E-2</c:v>
                </c:pt>
                <c:pt idx="47">
                  <c:v>-0.10296369656370508</c:v>
                </c:pt>
                <c:pt idx="48">
                  <c:v>-0.11074069518260665</c:v>
                </c:pt>
                <c:pt idx="49">
                  <c:v>-0.11792820555624173</c:v>
                </c:pt>
                <c:pt idx="50">
                  <c:v>-0.12584933101792473</c:v>
                </c:pt>
                <c:pt idx="51">
                  <c:v>-0.13246905671101972</c:v>
                </c:pt>
                <c:pt idx="52">
                  <c:v>-0.13917427167688312</c:v>
                </c:pt>
                <c:pt idx="53">
                  <c:v>-0.14605075088834929</c:v>
                </c:pt>
                <c:pt idx="54">
                  <c:v>-0.13092540353871229</c:v>
                </c:pt>
                <c:pt idx="55">
                  <c:v>-0.13969864263519483</c:v>
                </c:pt>
                <c:pt idx="56">
                  <c:v>-0.12246293861909807</c:v>
                </c:pt>
                <c:pt idx="57">
                  <c:v>-0.10677337368445849</c:v>
                </c:pt>
                <c:pt idx="58">
                  <c:v>-9.0841285158045793E-2</c:v>
                </c:pt>
                <c:pt idx="59">
                  <c:v>-9.9026109418438257E-2</c:v>
                </c:pt>
                <c:pt idx="60">
                  <c:v>-0.10892729154168201</c:v>
                </c:pt>
                <c:pt idx="61">
                  <c:v>-0.11634149937527671</c:v>
                </c:pt>
                <c:pt idx="62">
                  <c:v>-0.12464519691745601</c:v>
                </c:pt>
                <c:pt idx="63">
                  <c:v>-0.10530680087165967</c:v>
                </c:pt>
                <c:pt idx="64">
                  <c:v>-0.11458402424494296</c:v>
                </c:pt>
                <c:pt idx="65">
                  <c:v>-0.12157625782317716</c:v>
                </c:pt>
                <c:pt idx="66">
                  <c:v>-0.13064000509958573</c:v>
                </c:pt>
                <c:pt idx="67">
                  <c:v>-0.13984228929892073</c:v>
                </c:pt>
                <c:pt idx="68">
                  <c:v>-0.14907143268762235</c:v>
                </c:pt>
                <c:pt idx="69">
                  <c:v>-0.15671485972802279</c:v>
                </c:pt>
                <c:pt idx="70">
                  <c:v>-0.16531782145893037</c:v>
                </c:pt>
                <c:pt idx="71">
                  <c:v>-0.17286675086899916</c:v>
                </c:pt>
                <c:pt idx="72">
                  <c:v>-0.1817742481688015</c:v>
                </c:pt>
                <c:pt idx="73">
                  <c:v>-0.18885577118591845</c:v>
                </c:pt>
                <c:pt idx="74">
                  <c:v>-0.19552514937536702</c:v>
                </c:pt>
                <c:pt idx="75">
                  <c:v>-0.20339812332075546</c:v>
                </c:pt>
                <c:pt idx="76">
                  <c:v>-0.211039634167974</c:v>
                </c:pt>
                <c:pt idx="77">
                  <c:v>-0.21912793548666332</c:v>
                </c:pt>
                <c:pt idx="78">
                  <c:v>-0.22726908240729593</c:v>
                </c:pt>
                <c:pt idx="79">
                  <c:v>-0.23566938971285789</c:v>
                </c:pt>
                <c:pt idx="80">
                  <c:v>-0.24157140764587026</c:v>
                </c:pt>
                <c:pt idx="81">
                  <c:v>-0.22575191719328658</c:v>
                </c:pt>
                <c:pt idx="82">
                  <c:v>-0.2322260877325133</c:v>
                </c:pt>
                <c:pt idx="83">
                  <c:v>-0.24012773873954296</c:v>
                </c:pt>
                <c:pt idx="84">
                  <c:v>-0.22827847573187332</c:v>
                </c:pt>
                <c:pt idx="85">
                  <c:v>-0.23468422475319661</c:v>
                </c:pt>
                <c:pt idx="86">
                  <c:v>-0.241847564759469</c:v>
                </c:pt>
                <c:pt idx="87">
                  <c:v>-0.22886671459501884</c:v>
                </c:pt>
                <c:pt idx="88">
                  <c:v>-0.23471412244912826</c:v>
                </c:pt>
                <c:pt idx="89">
                  <c:v>-0.24046463276593777</c:v>
                </c:pt>
                <c:pt idx="90">
                  <c:v>-0.24736123488290951</c:v>
                </c:pt>
                <c:pt idx="91">
                  <c:v>-0.25532285646968045</c:v>
                </c:pt>
                <c:pt idx="92">
                  <c:v>-0.23986398982139667</c:v>
                </c:pt>
                <c:pt idx="93">
                  <c:v>-0.24630787919461861</c:v>
                </c:pt>
                <c:pt idx="94">
                  <c:v>-0.25382950780895785</c:v>
                </c:pt>
                <c:pt idx="95">
                  <c:v>-0.25993323592593198</c:v>
                </c:pt>
                <c:pt idx="96">
                  <c:v>-0.2673841624306913</c:v>
                </c:pt>
                <c:pt idx="97">
                  <c:v>-0.27444543038564739</c:v>
                </c:pt>
                <c:pt idx="98">
                  <c:v>-0.28176343612397736</c:v>
                </c:pt>
                <c:pt idx="99">
                  <c:v>-0.28898837963901403</c:v>
                </c:pt>
                <c:pt idx="100">
                  <c:v>-0.29629843963290903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9EF-422E-874A-002D6B71F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tabSelected="1" zoomScale="115" zoomScaleNormal="115" workbookViewId="0">
      <pane xSplit="1" ySplit="1" topLeftCell="B17" activePane="bottomRight" state="frozen"/>
      <selection pane="topRight"/>
      <selection pane="bottomLeft"/>
      <selection pane="bottomRight" activeCell="B17" sqref="B17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D13" sqref="D13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6" t="s">
        <v>192</v>
      </c>
      <c r="B1" s="500" t="s">
        <v>193</v>
      </c>
      <c r="C1" s="500" t="s">
        <v>3</v>
      </c>
      <c r="D1" s="512" t="s">
        <v>4</v>
      </c>
      <c r="E1" s="500" t="s">
        <v>5</v>
      </c>
      <c r="F1" s="514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7"/>
      <c r="B2" s="501"/>
      <c r="C2" s="501"/>
      <c r="D2" s="513"/>
      <c r="E2" s="501"/>
      <c r="F2" s="515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8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8" t="s">
        <v>741</v>
      </c>
      <c r="K1" s="530" t="s">
        <v>742</v>
      </c>
      <c r="L1" s="528" t="s">
        <v>743</v>
      </c>
      <c r="M1" s="530" t="s">
        <v>744</v>
      </c>
      <c r="N1" s="518" t="s">
        <v>161</v>
      </c>
      <c r="O1" s="528" t="s">
        <v>745</v>
      </c>
      <c r="P1" s="527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5" t="s">
        <v>768</v>
      </c>
    </row>
    <row r="2" spans="1:50" ht="15" customHeight="1" thickTop="1" x14ac:dyDescent="0.35">
      <c r="A2" s="519"/>
      <c r="B2" s="529"/>
      <c r="C2" s="531"/>
      <c r="D2" s="519"/>
      <c r="E2" s="519"/>
      <c r="F2" s="519"/>
      <c r="G2" s="519"/>
      <c r="H2" s="519"/>
      <c r="I2" s="519"/>
      <c r="J2" s="529"/>
      <c r="K2" s="531"/>
      <c r="L2" s="529"/>
      <c r="M2" s="531"/>
      <c r="N2" s="519"/>
      <c r="O2" s="529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6"/>
    </row>
    <row r="3" spans="1:50" ht="15" customHeight="1" x14ac:dyDescent="0.35">
      <c r="A3" s="519"/>
      <c r="B3" s="529"/>
      <c r="C3" s="531"/>
      <c r="D3" s="519"/>
      <c r="E3" s="519"/>
      <c r="F3" s="519"/>
      <c r="G3" s="519"/>
      <c r="H3" s="519"/>
      <c r="I3" s="519"/>
      <c r="J3" s="529"/>
      <c r="K3" s="531"/>
      <c r="L3" s="529"/>
      <c r="M3" s="531"/>
      <c r="N3" s="519"/>
      <c r="O3" s="529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6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-2.61496027628057E-3</v>
      </c>
      <c r="M1" s="99">
        <f ca="1">L1/E2</f>
        <v>-0.26149602762805702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763.94707204407291</v>
      </c>
      <c r="J2" s="105" t="s">
        <v>4433</v>
      </c>
      <c r="K2" s="106"/>
      <c r="L2" s="107">
        <f ca="1">MIN(E10:E109)</f>
        <v>-0.29629843963290903</v>
      </c>
      <c r="M2" s="108">
        <f ca="1">L2/E2</f>
        <v>-29.629843963290902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0.23</v>
      </c>
      <c r="E4" s="116" t="s">
        <v>4435</v>
      </c>
      <c r="F4" s="117">
        <f ca="1">AVERAGE(B10:B109)</f>
        <v>-0.26149602762805702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-0.23605292795592714</v>
      </c>
      <c r="E5" s="121" t="s">
        <v>4437</v>
      </c>
      <c r="F5" s="122">
        <f ca="1">STDEV(B10:B109)</f>
        <v>1.2273971450176315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-0.21304923894400996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-0.94161699753496952</v>
      </c>
      <c r="C10" s="138">
        <f t="shared" ref="C10:C41" ca="1" si="1">B10*$E$2</f>
        <v>-9.4161699753496954E-3</v>
      </c>
      <c r="D10" s="139">
        <f t="shared" ref="D10:D41" ca="1" si="2">C10+1</f>
        <v>0.99058383002465034</v>
      </c>
      <c r="E10" s="134">
        <f ca="1">F10/MAX($F$9:F10)-1</f>
        <v>-9.4161699753496642E-3</v>
      </c>
      <c r="F10" s="135">
        <f t="shared" ref="F10:F41" ca="1" si="3">F9*D10</f>
        <v>990.5838300246503</v>
      </c>
    </row>
    <row r="11" spans="1:13" x14ac:dyDescent="0.35">
      <c r="A11" s="136">
        <v>2</v>
      </c>
      <c r="B11" s="137">
        <f t="shared" ca="1" si="0"/>
        <v>-0.99659736033659752</v>
      </c>
      <c r="C11" s="138">
        <f t="shared" ca="1" si="1"/>
        <v>-9.9659736033659747E-3</v>
      </c>
      <c r="D11" s="139">
        <f t="shared" ca="1" si="2"/>
        <v>0.99003402639663407</v>
      </c>
      <c r="E11" s="134">
        <f ca="1">F11/MAX($F$9:F11)-1</f>
        <v>-1.9288302277296498E-2</v>
      </c>
      <c r="F11" s="135">
        <f t="shared" ca="1" si="3"/>
        <v>980.71169772270355</v>
      </c>
    </row>
    <row r="12" spans="1:13" x14ac:dyDescent="0.35">
      <c r="A12" s="136">
        <v>3</v>
      </c>
      <c r="B12" s="137">
        <f t="shared" ca="1" si="0"/>
        <v>-0.96593342643433899</v>
      </c>
      <c r="C12" s="138">
        <f t="shared" ca="1" si="1"/>
        <v>-9.6593342643433895E-3</v>
      </c>
      <c r="D12" s="139">
        <f t="shared" ca="1" si="2"/>
        <v>0.9903406657356566</v>
      </c>
      <c r="E12" s="134">
        <f ca="1">F12/MAX($F$9:F12)-1</f>
        <v>-2.8761324382551745E-2</v>
      </c>
      <c r="F12" s="135">
        <f t="shared" ca="1" si="3"/>
        <v>971.23867561744828</v>
      </c>
    </row>
    <row r="13" spans="1:13" x14ac:dyDescent="0.35">
      <c r="A13" s="136">
        <v>4</v>
      </c>
      <c r="B13" s="137">
        <f t="shared" ca="1" si="0"/>
        <v>2.2681250648228648</v>
      </c>
      <c r="C13" s="138">
        <f t="shared" ca="1" si="1"/>
        <v>2.2681250648228648E-2</v>
      </c>
      <c r="D13" s="139">
        <f t="shared" ca="1" si="2"/>
        <v>1.0226812506482286</v>
      </c>
      <c r="E13" s="134">
        <f ca="1">F13/MAX($F$9:F13)-1</f>
        <v>-6.7324165416188242E-3</v>
      </c>
      <c r="F13" s="135">
        <f t="shared" ca="1" si="3"/>
        <v>993.26758345838118</v>
      </c>
    </row>
    <row r="14" spans="1:13" x14ac:dyDescent="0.35">
      <c r="A14" s="136">
        <v>5</v>
      </c>
      <c r="B14" s="137">
        <f t="shared" ca="1" si="0"/>
        <v>2.1597122910604187</v>
      </c>
      <c r="C14" s="138">
        <f t="shared" ca="1" si="1"/>
        <v>2.1597122910604189E-2</v>
      </c>
      <c r="D14" s="139">
        <f t="shared" ca="1" si="2"/>
        <v>1.0215971229106042</v>
      </c>
      <c r="E14" s="134">
        <f ca="1">F14/MAX($F$9:F14)-1</f>
        <v>0</v>
      </c>
      <c r="F14" s="135">
        <f t="shared" ca="1" si="3"/>
        <v>1014.7193055414507</v>
      </c>
    </row>
    <row r="15" spans="1:13" x14ac:dyDescent="0.35">
      <c r="A15" s="136">
        <v>6</v>
      </c>
      <c r="B15" s="137">
        <f t="shared" ca="1" si="0"/>
        <v>-0.96511076097768811</v>
      </c>
      <c r="C15" s="138">
        <f t="shared" ca="1" si="1"/>
        <v>-9.6511076097768808E-3</v>
      </c>
      <c r="D15" s="139">
        <f t="shared" ca="1" si="2"/>
        <v>0.99034889239022317</v>
      </c>
      <c r="E15" s="134">
        <f ca="1">F15/MAX($F$9:F15)-1</f>
        <v>-9.6511076097768322E-3</v>
      </c>
      <c r="F15" s="135">
        <f t="shared" ca="1" si="3"/>
        <v>1004.9261403299521</v>
      </c>
    </row>
    <row r="16" spans="1:13" x14ac:dyDescent="0.35">
      <c r="A16" s="136">
        <v>7</v>
      </c>
      <c r="B16" s="137">
        <f t="shared" ca="1" si="0"/>
        <v>-0.97029500724129625</v>
      </c>
      <c r="C16" s="138">
        <f t="shared" ca="1" si="1"/>
        <v>-9.7029500724129629E-3</v>
      </c>
      <c r="D16" s="139">
        <f t="shared" ca="1" si="2"/>
        <v>0.99029704992758705</v>
      </c>
      <c r="E16" s="134">
        <f ca="1">F16/MAX($F$9:F16)-1</f>
        <v>-1.9260413466908655E-2</v>
      </c>
      <c r="F16" s="135">
        <f t="shared" ca="1" si="3"/>
        <v>995.17539216386797</v>
      </c>
    </row>
    <row r="17" spans="1:6" x14ac:dyDescent="0.35">
      <c r="A17" s="136">
        <v>8</v>
      </c>
      <c r="B17" s="137">
        <f t="shared" ca="1" si="0"/>
        <v>2.0199711752809644</v>
      </c>
      <c r="C17" s="138">
        <f t="shared" ca="1" si="1"/>
        <v>2.0199711752809643E-2</v>
      </c>
      <c r="D17" s="139">
        <f t="shared" ca="1" si="2"/>
        <v>1.0201997117528097</v>
      </c>
      <c r="E17" s="134">
        <f ca="1">F17/MAX($F$9:F17)-1</f>
        <v>0</v>
      </c>
      <c r="F17" s="135">
        <f t="shared" ca="1" si="3"/>
        <v>1015.2776482290674</v>
      </c>
    </row>
    <row r="18" spans="1:6" x14ac:dyDescent="0.35">
      <c r="A18" s="136">
        <v>9</v>
      </c>
      <c r="B18" s="137">
        <f t="shared" ca="1" si="0"/>
        <v>2.1765121596611041</v>
      </c>
      <c r="C18" s="138">
        <f t="shared" ca="1" si="1"/>
        <v>2.176512159661104E-2</v>
      </c>
      <c r="D18" s="139">
        <f t="shared" ca="1" si="2"/>
        <v>1.021765121596611</v>
      </c>
      <c r="E18" s="134">
        <f ca="1">F18/MAX($F$9:F18)-1</f>
        <v>0</v>
      </c>
      <c r="F18" s="135">
        <f t="shared" ca="1" si="3"/>
        <v>1037.3752896970943</v>
      </c>
    </row>
    <row r="19" spans="1:6" x14ac:dyDescent="0.35">
      <c r="A19" s="136">
        <v>10</v>
      </c>
      <c r="B19" s="137">
        <f t="shared" ca="1" si="0"/>
        <v>-0.89428321815214662</v>
      </c>
      <c r="C19" s="138">
        <f t="shared" ca="1" si="1"/>
        <v>-8.9428321815214658E-3</v>
      </c>
      <c r="D19" s="139">
        <f t="shared" ca="1" si="2"/>
        <v>0.99105716781847852</v>
      </c>
      <c r="E19" s="134">
        <f ca="1">F19/MAX($F$9:F19)-1</f>
        <v>-8.9428321815215872E-3</v>
      </c>
      <c r="F19" s="135">
        <f t="shared" ca="1" si="3"/>
        <v>1028.0982165720759</v>
      </c>
    </row>
    <row r="20" spans="1:6" x14ac:dyDescent="0.35">
      <c r="A20" s="136">
        <v>11</v>
      </c>
      <c r="B20" s="137">
        <f t="shared" ca="1" si="0"/>
        <v>-1.0916665918236452</v>
      </c>
      <c r="C20" s="138">
        <f t="shared" ca="1" si="1"/>
        <v>-1.0916665918236453E-2</v>
      </c>
      <c r="D20" s="139">
        <f t="shared" ca="1" si="2"/>
        <v>0.98908333408176352</v>
      </c>
      <c r="E20" s="134">
        <f ca="1">F20/MAX($F$9:F20)-1</f>
        <v>-1.9761872188469587E-2</v>
      </c>
      <c r="F20" s="135">
        <f t="shared" ca="1" si="3"/>
        <v>1016.8748118106238</v>
      </c>
    </row>
    <row r="21" spans="1:6" x14ac:dyDescent="0.35">
      <c r="A21" s="136">
        <v>12</v>
      </c>
      <c r="B21" s="137">
        <f t="shared" ca="1" si="0"/>
        <v>2.2605427919906611</v>
      </c>
      <c r="C21" s="138">
        <f t="shared" ca="1" si="1"/>
        <v>2.260542791990661E-2</v>
      </c>
      <c r="D21" s="139">
        <f t="shared" ca="1" si="2"/>
        <v>1.0226054279199066</v>
      </c>
      <c r="E21" s="134">
        <f ca="1">F21/MAX($F$9:F21)-1</f>
        <v>0</v>
      </c>
      <c r="F21" s="135">
        <f t="shared" ca="1" si="3"/>
        <v>1039.8617020725774</v>
      </c>
    </row>
    <row r="22" spans="1:6" x14ac:dyDescent="0.35">
      <c r="A22" s="136">
        <v>13</v>
      </c>
      <c r="B22" s="137">
        <f t="shared" ca="1" si="0"/>
        <v>-0.90039190539737357</v>
      </c>
      <c r="C22" s="138">
        <f t="shared" ca="1" si="1"/>
        <v>-9.0039190539737361E-3</v>
      </c>
      <c r="D22" s="139">
        <f t="shared" ca="1" si="2"/>
        <v>0.99099608094602631</v>
      </c>
      <c r="E22" s="134">
        <f ca="1">F22/MAX($F$9:F22)-1</f>
        <v>-9.0039190539737968E-3</v>
      </c>
      <c r="F22" s="135">
        <f t="shared" ca="1" si="3"/>
        <v>1030.4988714797885</v>
      </c>
    </row>
    <row r="23" spans="1:6" x14ac:dyDescent="0.35">
      <c r="A23" s="136">
        <v>14</v>
      </c>
      <c r="B23" s="137">
        <f t="shared" ca="1" si="0"/>
        <v>-0.89480682440434001</v>
      </c>
      <c r="C23" s="138">
        <f t="shared" ca="1" si="1"/>
        <v>-8.9480682440434001E-3</v>
      </c>
      <c r="D23" s="139">
        <f t="shared" ca="1" si="2"/>
        <v>0.99105193175595663</v>
      </c>
      <c r="E23" s="134">
        <f ca="1">F23/MAX($F$9:F23)-1</f>
        <v>-1.7871419615858364E-2</v>
      </c>
      <c r="F23" s="135">
        <f t="shared" ca="1" si="3"/>
        <v>1021.2778972523777</v>
      </c>
    </row>
    <row r="24" spans="1:6" x14ac:dyDescent="0.35">
      <c r="A24" s="136">
        <v>15</v>
      </c>
      <c r="B24" s="137">
        <f t="shared" ca="1" si="0"/>
        <v>1.5861256320078223</v>
      </c>
      <c r="C24" s="138">
        <f t="shared" ca="1" si="1"/>
        <v>1.5861256320078225E-2</v>
      </c>
      <c r="D24" s="139">
        <f t="shared" ca="1" si="2"/>
        <v>1.0158612563200782</v>
      </c>
      <c r="E24" s="134">
        <f ca="1">F24/MAX($F$9:F24)-1</f>
        <v>-2.2936264631110426E-3</v>
      </c>
      <c r="F24" s="135">
        <f t="shared" ca="1" si="3"/>
        <v>1037.476647754728</v>
      </c>
    </row>
    <row r="25" spans="1:6" x14ac:dyDescent="0.35">
      <c r="A25" s="136">
        <v>16</v>
      </c>
      <c r="B25" s="137">
        <f t="shared" ca="1" si="0"/>
        <v>-0.93627950370435642</v>
      </c>
      <c r="C25" s="138">
        <f t="shared" ca="1" si="1"/>
        <v>-9.3627950370435645E-3</v>
      </c>
      <c r="D25" s="139">
        <f t="shared" ca="1" si="2"/>
        <v>0.99063720496295649</v>
      </c>
      <c r="E25" s="134">
        <f ca="1">F25/MAX($F$9:F25)-1</f>
        <v>-1.1634946745688879E-2</v>
      </c>
      <c r="F25" s="135">
        <f t="shared" ca="1" si="3"/>
        <v>1027.7629665460815</v>
      </c>
    </row>
    <row r="26" spans="1:6" x14ac:dyDescent="0.35">
      <c r="A26" s="136">
        <v>17</v>
      </c>
      <c r="B26" s="137">
        <f t="shared" ca="1" si="0"/>
        <v>1.9261683743775824</v>
      </c>
      <c r="C26" s="138">
        <f t="shared" ca="1" si="1"/>
        <v>1.9261683743775824E-2</v>
      </c>
      <c r="D26" s="139">
        <f t="shared" ca="1" si="2"/>
        <v>1.0192616837437758</v>
      </c>
      <c r="E26" s="134">
        <f ca="1">F26/MAX($F$9:F26)-1</f>
        <v>0</v>
      </c>
      <c r="F26" s="135">
        <f t="shared" ca="1" si="3"/>
        <v>1047.5594117712569</v>
      </c>
    </row>
    <row r="27" spans="1:6" x14ac:dyDescent="0.35">
      <c r="A27" s="136">
        <v>18</v>
      </c>
      <c r="B27" s="137">
        <f t="shared" ca="1" si="0"/>
        <v>-0.85742228414062815</v>
      </c>
      <c r="C27" s="138">
        <f t="shared" ca="1" si="1"/>
        <v>-8.5742228414062826E-3</v>
      </c>
      <c r="D27" s="139">
        <f t="shared" ca="1" si="2"/>
        <v>0.9914257771585937</v>
      </c>
      <c r="E27" s="134">
        <f ca="1">F27/MAX($F$9:F27)-1</f>
        <v>-8.5742228414062982E-3</v>
      </c>
      <c r="F27" s="135">
        <f t="shared" ca="1" si="3"/>
        <v>1038.5774039351177</v>
      </c>
    </row>
    <row r="28" spans="1:6" x14ac:dyDescent="0.35">
      <c r="A28" s="136">
        <v>19</v>
      </c>
      <c r="B28" s="137">
        <f t="shared" ca="1" si="0"/>
        <v>-0.85447188010693753</v>
      </c>
      <c r="C28" s="138">
        <f t="shared" ca="1" si="1"/>
        <v>-8.5447188010693755E-3</v>
      </c>
      <c r="D28" s="139">
        <f t="shared" ca="1" si="2"/>
        <v>0.99145528119893067</v>
      </c>
      <c r="E28" s="134">
        <f ca="1">F28/MAX($F$9:F28)-1</f>
        <v>-1.7045677319358132E-2</v>
      </c>
      <c r="F28" s="135">
        <f t="shared" ca="1" si="3"/>
        <v>1029.7030520653475</v>
      </c>
    </row>
    <row r="29" spans="1:6" x14ac:dyDescent="0.35">
      <c r="A29" s="136">
        <v>20</v>
      </c>
      <c r="B29" s="137">
        <f t="shared" ca="1" si="0"/>
        <v>-0.85271584328213312</v>
      </c>
      <c r="C29" s="138">
        <f t="shared" ca="1" si="1"/>
        <v>-8.5271584328213308E-3</v>
      </c>
      <c r="D29" s="139">
        <f t="shared" ca="1" si="2"/>
        <v>0.99147284156717863</v>
      </c>
      <c r="E29" s="134">
        <f ca="1">F29/MAX($F$9:F29)-1</f>
        <v>-2.5427484561082569E-2</v>
      </c>
      <c r="F29" s="135">
        <f t="shared" ca="1" si="3"/>
        <v>1020.9226110016266</v>
      </c>
    </row>
    <row r="30" spans="1:6" x14ac:dyDescent="0.35">
      <c r="A30" s="136">
        <v>21</v>
      </c>
      <c r="B30" s="137">
        <f t="shared" ca="1" si="0"/>
        <v>2.2876000873658131</v>
      </c>
      <c r="C30" s="138">
        <f t="shared" ca="1" si="1"/>
        <v>2.2876000873658132E-2</v>
      </c>
      <c r="D30" s="139">
        <f t="shared" ca="1" si="2"/>
        <v>1.0228760008736582</v>
      </c>
      <c r="E30" s="134">
        <f ca="1">F30/MAX($F$9:F30)-1</f>
        <v>-3.1331628464585926E-3</v>
      </c>
      <c r="F30" s="135">
        <f t="shared" ca="1" si="3"/>
        <v>1044.2772375428372</v>
      </c>
    </row>
    <row r="31" spans="1:6" x14ac:dyDescent="0.35">
      <c r="A31" s="136">
        <v>22</v>
      </c>
      <c r="B31" s="137">
        <f t="shared" ca="1" si="0"/>
        <v>1.6461690920475021</v>
      </c>
      <c r="C31" s="138">
        <f t="shared" ca="1" si="1"/>
        <v>1.646169092047502E-2</v>
      </c>
      <c r="D31" s="139">
        <f t="shared" ca="1" si="2"/>
        <v>1.0164616909204751</v>
      </c>
      <c r="E31" s="134">
        <f ca="1">F31/MAX($F$9:F31)-1</f>
        <v>0</v>
      </c>
      <c r="F31" s="135">
        <f t="shared" ca="1" si="3"/>
        <v>1061.4678066625549</v>
      </c>
    </row>
    <row r="32" spans="1:6" x14ac:dyDescent="0.35">
      <c r="A32" s="136">
        <v>23</v>
      </c>
      <c r="B32" s="137">
        <f t="shared" ca="1" si="0"/>
        <v>2.27463299901732</v>
      </c>
      <c r="C32" s="138">
        <f t="shared" ca="1" si="1"/>
        <v>2.27463299901732E-2</v>
      </c>
      <c r="D32" s="139">
        <f t="shared" ca="1" si="2"/>
        <v>1.0227463299901731</v>
      </c>
      <c r="E32" s="134">
        <f ca="1">F32/MAX($F$9:F32)-1</f>
        <v>0</v>
      </c>
      <c r="F32" s="135">
        <f t="shared" ca="1" si="3"/>
        <v>1085.6123036668466</v>
      </c>
    </row>
    <row r="33" spans="1:6" x14ac:dyDescent="0.35">
      <c r="A33" s="136">
        <v>24</v>
      </c>
      <c r="B33" s="137">
        <f t="shared" ca="1" si="0"/>
        <v>-0.88326257491241289</v>
      </c>
      <c r="C33" s="138">
        <f t="shared" ca="1" si="1"/>
        <v>-8.8326257491241292E-3</v>
      </c>
      <c r="D33" s="139">
        <f t="shared" ca="1" si="2"/>
        <v>0.99116737425087587</v>
      </c>
      <c r="E33" s="134">
        <f ca="1">F33/MAX($F$9:F33)-1</f>
        <v>-8.8326257491241345E-3</v>
      </c>
      <c r="F33" s="135">
        <f t="shared" ca="1" si="3"/>
        <v>1076.0234964799129</v>
      </c>
    </row>
    <row r="34" spans="1:6" x14ac:dyDescent="0.35">
      <c r="A34" s="136">
        <v>25</v>
      </c>
      <c r="B34" s="137">
        <f t="shared" ca="1" si="0"/>
        <v>-1.0740527398619619</v>
      </c>
      <c r="C34" s="138">
        <f t="shared" ca="1" si="1"/>
        <v>-1.074052739861962E-2</v>
      </c>
      <c r="D34" s="139">
        <f t="shared" ca="1" si="2"/>
        <v>0.98925947260138036</v>
      </c>
      <c r="E34" s="134">
        <f ca="1">F34/MAX($F$9:F34)-1</f>
        <v>-1.9478286088883578E-2</v>
      </c>
      <c r="F34" s="135">
        <f t="shared" ca="1" si="3"/>
        <v>1064.4664366344118</v>
      </c>
    </row>
    <row r="35" spans="1:6" x14ac:dyDescent="0.35">
      <c r="A35" s="136">
        <v>26</v>
      </c>
      <c r="B35" s="137">
        <f t="shared" ca="1" si="0"/>
        <v>-0.89367836221154806</v>
      </c>
      <c r="C35" s="138">
        <f t="shared" ca="1" si="1"/>
        <v>-8.9367836221154809E-3</v>
      </c>
      <c r="D35" s="139">
        <f t="shared" ca="1" si="2"/>
        <v>0.99106321637788453</v>
      </c>
      <c r="E35" s="134">
        <f ca="1">F35/MAX($F$9:F35)-1</f>
        <v>-2.8240996482893133E-2</v>
      </c>
      <c r="F35" s="135">
        <f t="shared" ca="1" si="3"/>
        <v>1054.9535304172057</v>
      </c>
    </row>
    <row r="36" spans="1:6" x14ac:dyDescent="0.35">
      <c r="A36" s="136">
        <v>27</v>
      </c>
      <c r="B36" s="137">
        <f t="shared" ca="1" si="0"/>
        <v>-1.0032424364341292</v>
      </c>
      <c r="C36" s="138">
        <f t="shared" ca="1" si="1"/>
        <v>-1.0032424364341293E-2</v>
      </c>
      <c r="D36" s="139">
        <f t="shared" ca="1" si="2"/>
        <v>0.98996757563565874</v>
      </c>
      <c r="E36" s="134">
        <f ca="1">F36/MAX($F$9:F36)-1</f>
        <v>-3.7990095186046235E-2</v>
      </c>
      <c r="F36" s="135">
        <f t="shared" ca="1" si="3"/>
        <v>1044.3697889154002</v>
      </c>
    </row>
    <row r="37" spans="1:6" x14ac:dyDescent="0.35">
      <c r="A37" s="136">
        <v>28</v>
      </c>
      <c r="B37" s="137">
        <f t="shared" ca="1" si="0"/>
        <v>1.631540915442264</v>
      </c>
      <c r="C37" s="138">
        <f t="shared" ca="1" si="1"/>
        <v>1.6315409154422641E-2</v>
      </c>
      <c r="D37" s="139">
        <f t="shared" ca="1" si="2"/>
        <v>1.0163154091544226</v>
      </c>
      <c r="E37" s="134">
        <f ca="1">F37/MAX($F$9:F37)-1</f>
        <v>-2.2294509978399324E-2</v>
      </c>
      <c r="F37" s="135">
        <f t="shared" ca="1" si="3"/>
        <v>1061.4091093300731</v>
      </c>
    </row>
    <row r="38" spans="1:6" x14ac:dyDescent="0.35">
      <c r="A38" s="136">
        <v>29</v>
      </c>
      <c r="B38" s="137">
        <f t="shared" ca="1" si="0"/>
        <v>-0.91684350160152361</v>
      </c>
      <c r="C38" s="138">
        <f t="shared" ca="1" si="1"/>
        <v>-9.1684350160152368E-3</v>
      </c>
      <c r="D38" s="139">
        <f t="shared" ca="1" si="2"/>
        <v>0.99083156498398473</v>
      </c>
      <c r="E38" s="134">
        <f ca="1">F38/MAX($F$9:F38)-1</f>
        <v>-3.1258539228463778E-2</v>
      </c>
      <c r="F38" s="135">
        <f t="shared" ca="1" si="3"/>
        <v>1051.6776488857736</v>
      </c>
    </row>
    <row r="39" spans="1:6" x14ac:dyDescent="0.35">
      <c r="A39" s="136">
        <v>30</v>
      </c>
      <c r="B39" s="137">
        <f t="shared" ca="1" si="0"/>
        <v>-0.99253569025442401</v>
      </c>
      <c r="C39" s="138">
        <f t="shared" ca="1" si="1"/>
        <v>-9.9253569025442405E-3</v>
      </c>
      <c r="D39" s="139">
        <f t="shared" ca="1" si="2"/>
        <v>0.99007464309745574</v>
      </c>
      <c r="E39" s="134">
        <f ca="1">F39/MAX($F$9:F39)-1</f>
        <v>-4.0873643972913376E-2</v>
      </c>
      <c r="F39" s="135">
        <f t="shared" ca="1" si="3"/>
        <v>1041.2393728741536</v>
      </c>
    </row>
    <row r="40" spans="1:6" x14ac:dyDescent="0.35">
      <c r="A40" s="136">
        <v>31</v>
      </c>
      <c r="B40" s="137">
        <f t="shared" ca="1" si="0"/>
        <v>-0.78368825237889084</v>
      </c>
      <c r="C40" s="138">
        <f t="shared" ca="1" si="1"/>
        <v>-7.836882523788908E-3</v>
      </c>
      <c r="D40" s="139">
        <f t="shared" ca="1" si="2"/>
        <v>0.99216311747621111</v>
      </c>
      <c r="E40" s="134">
        <f ca="1">F40/MAX($F$9:F40)-1</f>
        <v>-4.8390204550567306E-2</v>
      </c>
      <c r="F40" s="135">
        <f t="shared" ca="1" si="3"/>
        <v>1033.0793022297953</v>
      </c>
    </row>
    <row r="41" spans="1:6" x14ac:dyDescent="0.35">
      <c r="A41" s="136">
        <v>32</v>
      </c>
      <c r="B41" s="137">
        <f t="shared" ca="1" si="0"/>
        <v>2.2451300842915201</v>
      </c>
      <c r="C41" s="138">
        <f t="shared" ca="1" si="1"/>
        <v>2.24513008429152E-2</v>
      </c>
      <c r="D41" s="139">
        <f t="shared" ca="1" si="2"/>
        <v>1.0224513008429152</v>
      </c>
      <c r="E41" s="134">
        <f ca="1">F41/MAX($F$9:F41)-1</f>
        <v>-2.7025326747867062E-2</v>
      </c>
      <c r="F41" s="135">
        <f t="shared" ca="1" si="3"/>
        <v>1056.2732764387454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-0.91821364714078313</v>
      </c>
      <c r="C42" s="138">
        <f t="shared" ref="C42:C73" ca="1" si="5">B42*$E$2</f>
        <v>-9.1821364714078316E-3</v>
      </c>
      <c r="D42" s="139">
        <f t="shared" ref="D42:D73" ca="1" si="6">C42+1</f>
        <v>0.99081786352859214</v>
      </c>
      <c r="E42" s="134">
        <f ca="1">F42/MAX($F$9:F42)-1</f>
        <v>-3.5959312980891722E-2</v>
      </c>
      <c r="F42" s="135">
        <f t="shared" ref="F42:F73" ca="1" si="7">F41*D42</f>
        <v>1046.5744310633836</v>
      </c>
    </row>
    <row r="43" spans="1:6" x14ac:dyDescent="0.35">
      <c r="A43" s="136">
        <v>34</v>
      </c>
      <c r="B43" s="137">
        <f t="shared" ca="1" si="4"/>
        <v>-1.0040417239056056</v>
      </c>
      <c r="C43" s="138">
        <f t="shared" ca="1" si="5"/>
        <v>-1.0040417239056057E-2</v>
      </c>
      <c r="D43" s="139">
        <f t="shared" ca="1" si="6"/>
        <v>0.98995958276094398</v>
      </c>
      <c r="E43" s="134">
        <f ca="1">F43/MAX($F$9:F43)-1</f>
        <v>-4.5638683713989825E-2</v>
      </c>
      <c r="F43" s="135">
        <f t="shared" ca="1" si="7"/>
        <v>1036.0663871037796</v>
      </c>
    </row>
    <row r="44" spans="1:6" x14ac:dyDescent="0.35">
      <c r="A44" s="136">
        <v>35</v>
      </c>
      <c r="B44" s="137">
        <f t="shared" ca="1" si="4"/>
        <v>-0.86732082205345407</v>
      </c>
      <c r="C44" s="138">
        <f t="shared" ca="1" si="5"/>
        <v>-8.6732082205345402E-3</v>
      </c>
      <c r="D44" s="139">
        <f t="shared" ca="1" si="6"/>
        <v>0.99132679177946548</v>
      </c>
      <c r="E44" s="134">
        <f ca="1">F44/MAX($F$9:F44)-1</f>
        <v>-5.391605812776179E-2</v>
      </c>
      <c r="F44" s="135">
        <f t="shared" ca="1" si="7"/>
        <v>1027.0803675981315</v>
      </c>
    </row>
    <row r="45" spans="1:6" x14ac:dyDescent="0.35">
      <c r="A45" s="136">
        <v>36</v>
      </c>
      <c r="B45" s="137">
        <f t="shared" ca="1" si="4"/>
        <v>-0.84481477998125287</v>
      </c>
      <c r="C45" s="138">
        <f t="shared" ca="1" si="5"/>
        <v>-8.4481477998125283E-3</v>
      </c>
      <c r="D45" s="139">
        <f t="shared" ca="1" si="6"/>
        <v>0.99155185220018749</v>
      </c>
      <c r="E45" s="134">
        <f ca="1">F45/MAX($F$9:F45)-1</f>
        <v>-6.1908715099727729E-2</v>
      </c>
      <c r="F45" s="135">
        <f t="shared" ca="1" si="7"/>
        <v>1018.4034408503767</v>
      </c>
    </row>
    <row r="46" spans="1:6" x14ac:dyDescent="0.35">
      <c r="A46" s="136">
        <v>37</v>
      </c>
      <c r="B46" s="137">
        <f t="shared" ca="1" si="4"/>
        <v>2.0011984445577826</v>
      </c>
      <c r="C46" s="138">
        <f t="shared" ca="1" si="5"/>
        <v>2.0011984445577828E-2</v>
      </c>
      <c r="D46" s="139">
        <f t="shared" ca="1" si="6"/>
        <v>1.0200119844455777</v>
      </c>
      <c r="E46" s="134">
        <f ca="1">F46/MAX($F$9:F46)-1</f>
        <v>-4.3135646897771607E-2</v>
      </c>
      <c r="F46" s="135">
        <f t="shared" ca="1" si="7"/>
        <v>1038.7837146679972</v>
      </c>
    </row>
    <row r="47" spans="1:6" x14ac:dyDescent="0.35">
      <c r="A47" s="136">
        <v>38</v>
      </c>
      <c r="B47" s="137">
        <f t="shared" ca="1" si="4"/>
        <v>-0.91984806341876224</v>
      </c>
      <c r="C47" s="138">
        <f t="shared" ca="1" si="5"/>
        <v>-9.1984806341876228E-3</v>
      </c>
      <c r="D47" s="139">
        <f t="shared" ca="1" si="6"/>
        <v>0.9908015193658124</v>
      </c>
      <c r="E47" s="134">
        <f ca="1">F47/MAX($F$9:F47)-1</f>
        <v>-5.1937345119326794E-2</v>
      </c>
      <c r="F47" s="135">
        <f t="shared" ca="1" si="7"/>
        <v>1029.2284827855142</v>
      </c>
    </row>
    <row r="48" spans="1:6" x14ac:dyDescent="0.35">
      <c r="A48" s="136">
        <v>39</v>
      </c>
      <c r="B48" s="137">
        <f t="shared" ca="1" si="4"/>
        <v>-0.8178397855723325</v>
      </c>
      <c r="C48" s="138">
        <f t="shared" ca="1" si="5"/>
        <v>-8.178397855723326E-3</v>
      </c>
      <c r="D48" s="139">
        <f t="shared" ca="1" si="6"/>
        <v>0.99182160214427673</v>
      </c>
      <c r="E48" s="134">
        <f ca="1">F48/MAX($F$9:F48)-1</f>
        <v>-5.9690978703094255E-2</v>
      </c>
      <c r="F48" s="135">
        <f t="shared" ca="1" si="7"/>
        <v>1020.8110427688518</v>
      </c>
    </row>
    <row r="49" spans="1:6" x14ac:dyDescent="0.35">
      <c r="A49" s="136">
        <v>40</v>
      </c>
      <c r="B49" s="137">
        <f t="shared" ca="1" si="4"/>
        <v>1.5205009034651673</v>
      </c>
      <c r="C49" s="138">
        <f t="shared" ca="1" si="5"/>
        <v>1.5205009034651674E-2</v>
      </c>
      <c r="D49" s="139">
        <f t="shared" ca="1" si="6"/>
        <v>1.0152050090346516</v>
      </c>
      <c r="E49" s="134">
        <f ca="1">F49/MAX($F$9:F49)-1</f>
        <v>-4.5393571538910327E-2</v>
      </c>
      <c r="F49" s="135">
        <f t="shared" ca="1" si="7"/>
        <v>1036.3324838968244</v>
      </c>
    </row>
    <row r="50" spans="1:6" x14ac:dyDescent="0.35">
      <c r="A50" s="136">
        <v>41</v>
      </c>
      <c r="B50" s="137">
        <f t="shared" ca="1" si="4"/>
        <v>-0.83679552723172812</v>
      </c>
      <c r="C50" s="138">
        <f t="shared" ca="1" si="5"/>
        <v>-8.3679552723172814E-3</v>
      </c>
      <c r="D50" s="139">
        <f t="shared" ca="1" si="6"/>
        <v>0.99163204472768274</v>
      </c>
      <c r="E50" s="134">
        <f ca="1">F50/MAX($F$9:F50)-1</f>
        <v>-5.3381675434939102E-2</v>
      </c>
      <c r="F50" s="135">
        <f t="shared" ca="1" si="7"/>
        <v>1027.6605000243264</v>
      </c>
    </row>
    <row r="51" spans="1:6" x14ac:dyDescent="0.35">
      <c r="A51" s="136">
        <v>42</v>
      </c>
      <c r="B51" s="137">
        <f t="shared" ca="1" si="4"/>
        <v>-0.84848201388378142</v>
      </c>
      <c r="C51" s="138">
        <f t="shared" ca="1" si="5"/>
        <v>-8.4848201388378151E-3</v>
      </c>
      <c r="D51" s="139">
        <f t="shared" ca="1" si="6"/>
        <v>0.99151517986116222</v>
      </c>
      <c r="E51" s="134">
        <f ca="1">F51/MAX($F$9:F51)-1</f>
        <v>-6.1413561659001692E-2</v>
      </c>
      <c r="F51" s="135">
        <f t="shared" ca="1" si="7"/>
        <v>1018.9409855178319</v>
      </c>
    </row>
    <row r="52" spans="1:6" x14ac:dyDescent="0.35">
      <c r="A52" s="136">
        <v>43</v>
      </c>
      <c r="B52" s="137">
        <f t="shared" ca="1" si="4"/>
        <v>-0.79796466969926749</v>
      </c>
      <c r="C52" s="138">
        <f t="shared" ca="1" si="5"/>
        <v>-7.9796466969926753E-3</v>
      </c>
      <c r="D52" s="139">
        <f t="shared" ca="1" si="6"/>
        <v>0.99202035330300731</v>
      </c>
      <c r="E52" s="134">
        <f ca="1">F52/MAX($F$9:F52)-1</f>
        <v>-6.8903149831551547E-2</v>
      </c>
      <c r="F52" s="135">
        <f t="shared" ca="1" si="7"/>
        <v>1010.8101964483141</v>
      </c>
    </row>
    <row r="53" spans="1:6" x14ac:dyDescent="0.35">
      <c r="A53" s="136">
        <v>44</v>
      </c>
      <c r="B53" s="137">
        <f t="shared" ca="1" si="4"/>
        <v>-1.031283993201763</v>
      </c>
      <c r="C53" s="138">
        <f t="shared" ca="1" si="5"/>
        <v>-1.031283993201763E-2</v>
      </c>
      <c r="D53" s="139">
        <f t="shared" ca="1" si="6"/>
        <v>0.98968716006798241</v>
      </c>
      <c r="E53" s="134">
        <f ca="1">F53/MAX($F$9:F53)-1</f>
        <v>-7.8505402608544439E-2</v>
      </c>
      <c r="F53" s="135">
        <f t="shared" ca="1" si="7"/>
        <v>1000.3858726906914</v>
      </c>
    </row>
    <row r="54" spans="1:6" x14ac:dyDescent="0.35">
      <c r="A54" s="136">
        <v>45</v>
      </c>
      <c r="B54" s="137">
        <f t="shared" ca="1" si="4"/>
        <v>-0.79887014913679488</v>
      </c>
      <c r="C54" s="138">
        <f t="shared" ca="1" si="5"/>
        <v>-7.9887014913679489E-3</v>
      </c>
      <c r="D54" s="139">
        <f t="shared" ca="1" si="6"/>
        <v>0.99201129850863201</v>
      </c>
      <c r="E54" s="134">
        <f ca="1">F54/MAX($F$9:F54)-1</f>
        <v>-8.5866947873013078E-2</v>
      </c>
      <c r="F54" s="135">
        <f t="shared" ca="1" si="7"/>
        <v>992.39408857758383</v>
      </c>
    </row>
    <row r="55" spans="1:6" x14ac:dyDescent="0.35">
      <c r="A55" s="136">
        <v>46</v>
      </c>
      <c r="B55" s="137">
        <f t="shared" ca="1" si="4"/>
        <v>-0.82437127676304311</v>
      </c>
      <c r="C55" s="138">
        <f t="shared" ca="1" si="5"/>
        <v>-8.2437127676304317E-3</v>
      </c>
      <c r="D55" s="139">
        <f t="shared" ca="1" si="6"/>
        <v>0.99175628723236953</v>
      </c>
      <c r="E55" s="134">
        <f ca="1">F55/MAX($F$9:F55)-1</f>
        <v>-9.3402798186145386E-2</v>
      </c>
      <c r="F55" s="135">
        <f t="shared" ca="1" si="7"/>
        <v>984.21307675905575</v>
      </c>
    </row>
    <row r="56" spans="1:6" x14ac:dyDescent="0.35">
      <c r="A56" s="136">
        <v>47</v>
      </c>
      <c r="B56" s="137">
        <f t="shared" ca="1" si="4"/>
        <v>-1.0545916486870759</v>
      </c>
      <c r="C56" s="138">
        <f t="shared" ca="1" si="5"/>
        <v>-1.054591648687076E-2</v>
      </c>
      <c r="D56" s="139">
        <f t="shared" ca="1" si="6"/>
        <v>0.98945408351312925</v>
      </c>
      <c r="E56" s="134">
        <f ca="1">F56/MAX($F$9:F56)-1</f>
        <v>-0.10296369656370508</v>
      </c>
      <c r="F56" s="135">
        <f t="shared" ca="1" si="7"/>
        <v>973.8336478462686</v>
      </c>
    </row>
    <row r="57" spans="1:6" x14ac:dyDescent="0.35">
      <c r="A57" s="136">
        <v>48</v>
      </c>
      <c r="B57" s="137">
        <f t="shared" ca="1" si="4"/>
        <v>-0.86696587296523664</v>
      </c>
      <c r="C57" s="138">
        <f t="shared" ca="1" si="5"/>
        <v>-8.6696587296523665E-3</v>
      </c>
      <c r="D57" s="139">
        <f t="shared" ca="1" si="6"/>
        <v>0.99133034127034758</v>
      </c>
      <c r="E57" s="134">
        <f ca="1">F57/MAX($F$9:F57)-1</f>
        <v>-0.11074069518260665</v>
      </c>
      <c r="F57" s="135">
        <f t="shared" ca="1" si="7"/>
        <v>965.3908424599889</v>
      </c>
    </row>
    <row r="58" spans="1:6" x14ac:dyDescent="0.35">
      <c r="A58" s="136">
        <v>49</v>
      </c>
      <c r="B58" s="137">
        <f t="shared" ca="1" si="4"/>
        <v>-0.80825810139945165</v>
      </c>
      <c r="C58" s="138">
        <f t="shared" ca="1" si="5"/>
        <v>-8.0825810139945158E-3</v>
      </c>
      <c r="D58" s="139">
        <f t="shared" ca="1" si="6"/>
        <v>0.99191741898600549</v>
      </c>
      <c r="E58" s="134">
        <f ca="1">F58/MAX($F$9:F58)-1</f>
        <v>-0.11792820555624173</v>
      </c>
      <c r="F58" s="135">
        <f t="shared" ca="1" si="7"/>
        <v>957.58799276563764</v>
      </c>
    </row>
    <row r="59" spans="1:6" x14ac:dyDescent="0.35">
      <c r="A59" s="136">
        <v>50</v>
      </c>
      <c r="B59" s="137">
        <f t="shared" ca="1" si="4"/>
        <v>-0.89801368908730428</v>
      </c>
      <c r="C59" s="138">
        <f t="shared" ca="1" si="5"/>
        <v>-8.9801368908730434E-3</v>
      </c>
      <c r="D59" s="139">
        <f t="shared" ca="1" si="6"/>
        <v>0.99101986310912693</v>
      </c>
      <c r="E59" s="134">
        <f ca="1">F59/MAX($F$9:F59)-1</f>
        <v>-0.12584933101792473</v>
      </c>
      <c r="F59" s="135">
        <f t="shared" ca="1" si="7"/>
        <v>948.98872150554587</v>
      </c>
    </row>
    <row r="60" spans="1:6" x14ac:dyDescent="0.35">
      <c r="A60" s="136">
        <v>51</v>
      </c>
      <c r="B60" s="137">
        <f t="shared" ca="1" si="4"/>
        <v>-0.7572751389418354</v>
      </c>
      <c r="C60" s="138">
        <f t="shared" ca="1" si="5"/>
        <v>-7.5727513894183543E-3</v>
      </c>
      <c r="D60" s="139">
        <f t="shared" ca="1" si="6"/>
        <v>0.99242724861058162</v>
      </c>
      <c r="E60" s="134">
        <f ca="1">F60/MAX($F$9:F60)-1</f>
        <v>-0.13246905671101972</v>
      </c>
      <c r="F60" s="135">
        <f t="shared" ca="1" si="7"/>
        <v>941.80226584622233</v>
      </c>
    </row>
    <row r="61" spans="1:6" x14ac:dyDescent="0.35">
      <c r="A61" s="136">
        <v>52</v>
      </c>
      <c r="B61" s="137">
        <f t="shared" ca="1" si="4"/>
        <v>-0.77290787351545476</v>
      </c>
      <c r="C61" s="138">
        <f t="shared" ca="1" si="5"/>
        <v>-7.7290787351545478E-3</v>
      </c>
      <c r="D61" s="139">
        <f t="shared" ca="1" si="6"/>
        <v>0.99227092126484551</v>
      </c>
      <c r="E61" s="134">
        <f ca="1">F61/MAX($F$9:F61)-1</f>
        <v>-0.13917427167688312</v>
      </c>
      <c r="F61" s="135">
        <f t="shared" ca="1" si="7"/>
        <v>934.52300198055002</v>
      </c>
    </row>
    <row r="62" spans="1:6" x14ac:dyDescent="0.35">
      <c r="A62" s="136">
        <v>53</v>
      </c>
      <c r="B62" s="137">
        <f t="shared" ca="1" si="4"/>
        <v>-0.79882361611816322</v>
      </c>
      <c r="C62" s="138">
        <f t="shared" ca="1" si="5"/>
        <v>-7.9882361611816315E-3</v>
      </c>
      <c r="D62" s="139">
        <f t="shared" ca="1" si="6"/>
        <v>0.99201176383881839</v>
      </c>
      <c r="E62" s="134">
        <f ca="1">F62/MAX($F$9:F62)-1</f>
        <v>-0.14605075088834929</v>
      </c>
      <c r="F62" s="135">
        <f t="shared" ca="1" si="7"/>
        <v>927.05781154267299</v>
      </c>
    </row>
    <row r="63" spans="1:6" x14ac:dyDescent="0.35">
      <c r="A63" s="136">
        <v>54</v>
      </c>
      <c r="B63" s="137">
        <f t="shared" ca="1" si="4"/>
        <v>1.7712232155917542</v>
      </c>
      <c r="C63" s="138">
        <f t="shared" ca="1" si="5"/>
        <v>1.7712232155917544E-2</v>
      </c>
      <c r="D63" s="139">
        <f t="shared" ca="1" si="6"/>
        <v>1.0177122321559176</v>
      </c>
      <c r="E63" s="134">
        <f ca="1">F63/MAX($F$9:F63)-1</f>
        <v>-0.13092540353871229</v>
      </c>
      <c r="F63" s="135">
        <f t="shared" ca="1" si="7"/>
        <v>943.47807472267368</v>
      </c>
    </row>
    <row r="64" spans="1:6" x14ac:dyDescent="0.35">
      <c r="A64" s="136">
        <v>55</v>
      </c>
      <c r="B64" s="137">
        <f t="shared" ca="1" si="4"/>
        <v>-1.0094920657220379</v>
      </c>
      <c r="C64" s="138">
        <f t="shared" ca="1" si="5"/>
        <v>-1.0094920657220379E-2</v>
      </c>
      <c r="D64" s="139">
        <f t="shared" ca="1" si="6"/>
        <v>0.9899050793427796</v>
      </c>
      <c r="E64" s="134">
        <f ca="1">F64/MAX($F$9:F64)-1</f>
        <v>-0.13969864263519483</v>
      </c>
      <c r="F64" s="135">
        <f t="shared" ca="1" si="7"/>
        <v>933.95373841652122</v>
      </c>
    </row>
    <row r="65" spans="1:6" x14ac:dyDescent="0.35">
      <c r="A65" s="136">
        <v>56</v>
      </c>
      <c r="B65" s="137">
        <f t="shared" ca="1" si="4"/>
        <v>2.0034495899078459</v>
      </c>
      <c r="C65" s="138">
        <f t="shared" ca="1" si="5"/>
        <v>2.003449589907846E-2</v>
      </c>
      <c r="D65" s="139">
        <f t="shared" ca="1" si="6"/>
        <v>1.0200344958990784</v>
      </c>
      <c r="E65" s="134">
        <f ca="1">F65/MAX($F$9:F65)-1</f>
        <v>-0.12246293861909807</v>
      </c>
      <c r="F65" s="135">
        <f t="shared" ca="1" si="7"/>
        <v>952.66503075875596</v>
      </c>
    </row>
    <row r="66" spans="1:6" x14ac:dyDescent="0.35">
      <c r="A66" s="136">
        <v>57</v>
      </c>
      <c r="B66" s="137">
        <f t="shared" ca="1" si="4"/>
        <v>1.787909095252374</v>
      </c>
      <c r="C66" s="138">
        <f t="shared" ca="1" si="5"/>
        <v>1.7879090952523741E-2</v>
      </c>
      <c r="D66" s="139">
        <f t="shared" ca="1" si="6"/>
        <v>1.0178790909525237</v>
      </c>
      <c r="E66" s="134">
        <f ca="1">F66/MAX($F$9:F66)-1</f>
        <v>-0.10677337368445849</v>
      </c>
      <c r="F66" s="135">
        <f t="shared" ca="1" si="7"/>
        <v>969.69781549098059</v>
      </c>
    </row>
    <row r="67" spans="1:6" x14ac:dyDescent="0.35">
      <c r="A67" s="136">
        <v>58</v>
      </c>
      <c r="B67" s="137">
        <f t="shared" ca="1" si="4"/>
        <v>1.7836557998870657</v>
      </c>
      <c r="C67" s="138">
        <f t="shared" ca="1" si="5"/>
        <v>1.7836557998870656E-2</v>
      </c>
      <c r="D67" s="139">
        <f t="shared" ca="1" si="6"/>
        <v>1.0178365579988706</v>
      </c>
      <c r="E67" s="134">
        <f ca="1">F67/MAX($F$9:F67)-1</f>
        <v>-9.0841285158045793E-2</v>
      </c>
      <c r="F67" s="135">
        <f t="shared" ca="1" si="7"/>
        <v>986.99388681836365</v>
      </c>
    </row>
    <row r="68" spans="1:6" x14ac:dyDescent="0.35">
      <c r="A68" s="136">
        <v>59</v>
      </c>
      <c r="B68" s="137">
        <f t="shared" ca="1" si="4"/>
        <v>-0.90026352129455067</v>
      </c>
      <c r="C68" s="138">
        <f t="shared" ca="1" si="5"/>
        <v>-9.0026352129455069E-3</v>
      </c>
      <c r="D68" s="139">
        <f t="shared" ca="1" si="6"/>
        <v>0.99099736478705447</v>
      </c>
      <c r="E68" s="134">
        <f ca="1">F68/MAX($F$9:F68)-1</f>
        <v>-9.9026109418438257E-2</v>
      </c>
      <c r="F68" s="135">
        <f t="shared" ca="1" si="7"/>
        <v>978.1083408979307</v>
      </c>
    </row>
    <row r="69" spans="1:6" x14ac:dyDescent="0.35">
      <c r="A69" s="136">
        <v>60</v>
      </c>
      <c r="B69" s="137">
        <f t="shared" ca="1" si="4"/>
        <v>-1.0989421809829287</v>
      </c>
      <c r="C69" s="138">
        <f t="shared" ca="1" si="5"/>
        <v>-1.0989421809829288E-2</v>
      </c>
      <c r="D69" s="139">
        <f t="shared" ca="1" si="6"/>
        <v>0.98901057819017069</v>
      </c>
      <c r="E69" s="134">
        <f ca="1">F69/MAX($F$9:F69)-1</f>
        <v>-0.10892729154168201</v>
      </c>
      <c r="F69" s="135">
        <f t="shared" ca="1" si="7"/>
        <v>967.35949576409098</v>
      </c>
    </row>
    <row r="70" spans="1:6" x14ac:dyDescent="0.35">
      <c r="A70" s="136">
        <v>61</v>
      </c>
      <c r="B70" s="137">
        <f t="shared" ca="1" si="4"/>
        <v>-0.832054193021175</v>
      </c>
      <c r="C70" s="138">
        <f t="shared" ca="1" si="5"/>
        <v>-8.3205419302117504E-3</v>
      </c>
      <c r="D70" s="139">
        <f t="shared" ca="1" si="6"/>
        <v>0.9916794580697883</v>
      </c>
      <c r="E70" s="134">
        <f ca="1">F70/MAX($F$9:F70)-1</f>
        <v>-0.11634149937527671</v>
      </c>
      <c r="F70" s="135">
        <f t="shared" ca="1" si="7"/>
        <v>959.31054051799742</v>
      </c>
    </row>
    <row r="71" spans="1:6" x14ac:dyDescent="0.35">
      <c r="A71" s="136">
        <v>62</v>
      </c>
      <c r="B71" s="137">
        <f t="shared" ca="1" si="4"/>
        <v>-0.93969531626852532</v>
      </c>
      <c r="C71" s="138">
        <f t="shared" ca="1" si="5"/>
        <v>-9.3969531626852537E-3</v>
      </c>
      <c r="D71" s="139">
        <f t="shared" ca="1" si="6"/>
        <v>0.9906030468373147</v>
      </c>
      <c r="E71" s="134">
        <f ca="1">F71/MAX($F$9:F71)-1</f>
        <v>-0.12464519691745601</v>
      </c>
      <c r="F71" s="135">
        <f t="shared" ca="1" si="7"/>
        <v>950.29594430027953</v>
      </c>
    </row>
    <row r="72" spans="1:6" x14ac:dyDescent="0.35">
      <c r="A72" s="136">
        <v>63</v>
      </c>
      <c r="B72" s="137">
        <f t="shared" ca="1" si="4"/>
        <v>2.2092065957365667</v>
      </c>
      <c r="C72" s="138">
        <f t="shared" ca="1" si="5"/>
        <v>2.2092065957365667E-2</v>
      </c>
      <c r="D72" s="139">
        <f t="shared" ca="1" si="6"/>
        <v>1.0220920659573656</v>
      </c>
      <c r="E72" s="134">
        <f ca="1">F72/MAX($F$9:F72)-1</f>
        <v>-0.10530680087165967</v>
      </c>
      <c r="F72" s="135">
        <f t="shared" ca="1" si="7"/>
        <v>971.28994498077827</v>
      </c>
    </row>
    <row r="73" spans="1:6" x14ac:dyDescent="0.35">
      <c r="A73" s="136">
        <v>64</v>
      </c>
      <c r="B73" s="137">
        <f t="shared" ca="1" si="4"/>
        <v>-1.0369167198679619</v>
      </c>
      <c r="C73" s="138">
        <f t="shared" ca="1" si="5"/>
        <v>-1.0369167198679618E-2</v>
      </c>
      <c r="D73" s="139">
        <f t="shared" ca="1" si="6"/>
        <v>0.98963083280132036</v>
      </c>
      <c r="E73" s="134">
        <f ca="1">F73/MAX($F$9:F73)-1</f>
        <v>-0.11458402424494296</v>
      </c>
      <c r="F73" s="135">
        <f t="shared" ca="1" si="7"/>
        <v>961.21847714287628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-0.78971170271368174</v>
      </c>
      <c r="C74" s="138">
        <f t="shared" ref="C74:C105" ca="1" si="9">B74*$E$2</f>
        <v>-7.8971170271368175E-3</v>
      </c>
      <c r="D74" s="139">
        <f t="shared" ref="D74:D105" ca="1" si="10">C74+1</f>
        <v>0.9921028829728632</v>
      </c>
      <c r="E74" s="134">
        <f ca="1">F74/MAX($F$9:F74)-1</f>
        <v>-0.12157625782317716</v>
      </c>
      <c r="F74" s="135">
        <f t="shared" ref="F74:F109" ca="1" si="11">F73*D74</f>
        <v>953.62762234023273</v>
      </c>
    </row>
    <row r="75" spans="1:6" x14ac:dyDescent="0.35">
      <c r="A75" s="136">
        <v>66</v>
      </c>
      <c r="B75" s="137">
        <f t="shared" ca="1" si="8"/>
        <v>-1.031819478597839</v>
      </c>
      <c r="C75" s="138">
        <f t="shared" ca="1" si="9"/>
        <v>-1.0318194785978389E-2</v>
      </c>
      <c r="D75" s="139">
        <f t="shared" ca="1" si="10"/>
        <v>0.9896818052140216</v>
      </c>
      <c r="E75" s="134">
        <f ca="1">F75/MAX($F$9:F75)-1</f>
        <v>-0.13064000509958573</v>
      </c>
      <c r="F75" s="135">
        <f t="shared" ca="1" si="11"/>
        <v>943.78790677963673</v>
      </c>
    </row>
    <row r="76" spans="1:6" x14ac:dyDescent="0.35">
      <c r="A76" s="136">
        <v>67</v>
      </c>
      <c r="B76" s="137">
        <f t="shared" ca="1" si="8"/>
        <v>-1.0585124980807379</v>
      </c>
      <c r="C76" s="138">
        <f t="shared" ca="1" si="9"/>
        <v>-1.0585124980807379E-2</v>
      </c>
      <c r="D76" s="139">
        <f t="shared" ca="1" si="10"/>
        <v>0.98941487501919267</v>
      </c>
      <c r="E76" s="134">
        <f ca="1">F76/MAX($F$9:F76)-1</f>
        <v>-0.13984228929892073</v>
      </c>
      <c r="F76" s="135">
        <f t="shared" ca="1" si="11"/>
        <v>933.79779383099969</v>
      </c>
    </row>
    <row r="77" spans="1:6" x14ac:dyDescent="0.35">
      <c r="A77" s="136">
        <v>68</v>
      </c>
      <c r="B77" s="137">
        <f t="shared" ca="1" si="8"/>
        <v>-1.0729594438186532</v>
      </c>
      <c r="C77" s="138">
        <f t="shared" ca="1" si="9"/>
        <v>-1.0729594438186532E-2</v>
      </c>
      <c r="D77" s="139">
        <f t="shared" ca="1" si="10"/>
        <v>0.98927040556181345</v>
      </c>
      <c r="E77" s="134">
        <f ca="1">F77/MAX($F$9:F77)-1</f>
        <v>-0.14907143268762235</v>
      </c>
      <c r="F77" s="135">
        <f t="shared" ca="1" si="11"/>
        <v>923.77852221591968</v>
      </c>
    </row>
    <row r="78" spans="1:6" x14ac:dyDescent="0.35">
      <c r="A78" s="136">
        <v>69</v>
      </c>
      <c r="B78" s="137">
        <f t="shared" ca="1" si="8"/>
        <v>-0.89824543845577187</v>
      </c>
      <c r="C78" s="138">
        <f t="shared" ca="1" si="9"/>
        <v>-8.9824543845577181E-3</v>
      </c>
      <c r="D78" s="139">
        <f t="shared" ca="1" si="10"/>
        <v>0.99101754561544231</v>
      </c>
      <c r="E78" s="134">
        <f ca="1">F78/MAX($F$9:F78)-1</f>
        <v>-0.15671485972802279</v>
      </c>
      <c r="F78" s="135">
        <f t="shared" ca="1" si="11"/>
        <v>915.48072377868107</v>
      </c>
    </row>
    <row r="79" spans="1:6" x14ac:dyDescent="0.35">
      <c r="A79" s="136">
        <v>70</v>
      </c>
      <c r="B79" s="137">
        <f t="shared" ca="1" si="8"/>
        <v>-1.0201723379274723</v>
      </c>
      <c r="C79" s="138">
        <f t="shared" ca="1" si="9"/>
        <v>-1.0201723379274724E-2</v>
      </c>
      <c r="D79" s="139">
        <f t="shared" ca="1" si="10"/>
        <v>0.98979827662072528</v>
      </c>
      <c r="E79" s="134">
        <f ca="1">F79/MAX($F$9:F79)-1</f>
        <v>-0.16531782145893037</v>
      </c>
      <c r="F79" s="135">
        <f t="shared" ca="1" si="11"/>
        <v>906.14124267563272</v>
      </c>
    </row>
    <row r="80" spans="1:6" x14ac:dyDescent="0.35">
      <c r="A80" s="136">
        <v>71</v>
      </c>
      <c r="B80" s="137">
        <f t="shared" ca="1" si="8"/>
        <v>-0.90440764211157509</v>
      </c>
      <c r="C80" s="138">
        <f t="shared" ca="1" si="9"/>
        <v>-9.0440764211157515E-3</v>
      </c>
      <c r="D80" s="139">
        <f t="shared" ca="1" si="10"/>
        <v>0.99095592357888429</v>
      </c>
      <c r="E80" s="134">
        <f ca="1">F80/MAX($F$9:F80)-1</f>
        <v>-0.17286675086899916</v>
      </c>
      <c r="F80" s="135">
        <f t="shared" ca="1" si="11"/>
        <v>897.94603202854955</v>
      </c>
    </row>
    <row r="81" spans="1:6" x14ac:dyDescent="0.35">
      <c r="A81" s="136">
        <v>72</v>
      </c>
      <c r="B81" s="137">
        <f t="shared" ca="1" si="8"/>
        <v>-1.0769120101459566</v>
      </c>
      <c r="C81" s="138">
        <f t="shared" ca="1" si="9"/>
        <v>-1.0769120101459567E-2</v>
      </c>
      <c r="D81" s="139">
        <f t="shared" ca="1" si="10"/>
        <v>0.98923087989854042</v>
      </c>
      <c r="E81" s="134">
        <f ca="1">F81/MAX($F$9:F81)-1</f>
        <v>-0.1817742481688015</v>
      </c>
      <c r="F81" s="135">
        <f t="shared" ca="1" si="11"/>
        <v>888.27594336500499</v>
      </c>
    </row>
    <row r="82" spans="1:6" x14ac:dyDescent="0.35">
      <c r="A82" s="136">
        <v>73</v>
      </c>
      <c r="B82" s="137">
        <f t="shared" ca="1" si="8"/>
        <v>-0.86547300684052786</v>
      </c>
      <c r="C82" s="138">
        <f t="shared" ca="1" si="9"/>
        <v>-8.6547300684052791E-3</v>
      </c>
      <c r="D82" s="139">
        <f t="shared" ca="1" si="10"/>
        <v>0.99134526993159477</v>
      </c>
      <c r="E82" s="134">
        <f ca="1">F82/MAX($F$9:F82)-1</f>
        <v>-0.18885577118591845</v>
      </c>
      <c r="F82" s="135">
        <f t="shared" ca="1" si="11"/>
        <v>880.58815484892284</v>
      </c>
    </row>
    <row r="83" spans="1:6" x14ac:dyDescent="0.35">
      <c r="A83" s="136">
        <v>74</v>
      </c>
      <c r="B83" s="137">
        <f t="shared" ca="1" si="8"/>
        <v>-0.82221853432889269</v>
      </c>
      <c r="C83" s="138">
        <f t="shared" ca="1" si="9"/>
        <v>-8.2221853432889267E-3</v>
      </c>
      <c r="D83" s="139">
        <f t="shared" ca="1" si="10"/>
        <v>0.99177781465671111</v>
      </c>
      <c r="E83" s="134">
        <f ca="1">F83/MAX($F$9:F83)-1</f>
        <v>-0.19552514937536702</v>
      </c>
      <c r="F83" s="135">
        <f t="shared" ca="1" si="11"/>
        <v>873.34779582865019</v>
      </c>
    </row>
    <row r="84" spans="1:6" x14ac:dyDescent="0.35">
      <c r="A84" s="136">
        <v>75</v>
      </c>
      <c r="B84" s="137">
        <f t="shared" ca="1" si="8"/>
        <v>-0.9786476158049584</v>
      </c>
      <c r="C84" s="138">
        <f t="shared" ca="1" si="9"/>
        <v>-9.7864761580495844E-3</v>
      </c>
      <c r="D84" s="139">
        <f t="shared" ca="1" si="10"/>
        <v>0.99021352384195038</v>
      </c>
      <c r="E84" s="134">
        <f ca="1">F84/MAX($F$9:F84)-1</f>
        <v>-0.20339812332075546</v>
      </c>
      <c r="F84" s="135">
        <f t="shared" ca="1" si="11"/>
        <v>864.80079844708791</v>
      </c>
    </row>
    <row r="85" spans="1:6" x14ac:dyDescent="0.35">
      <c r="A85" s="136">
        <v>76</v>
      </c>
      <c r="B85" s="137">
        <f t="shared" ca="1" si="8"/>
        <v>-0.95926347538538925</v>
      </c>
      <c r="C85" s="138">
        <f t="shared" ca="1" si="9"/>
        <v>-9.5926347538538934E-3</v>
      </c>
      <c r="D85" s="139">
        <f t="shared" ca="1" si="10"/>
        <v>0.99040736524614614</v>
      </c>
      <c r="E85" s="134">
        <f ca="1">F85/MAX($F$9:F85)-1</f>
        <v>-0.211039634167974</v>
      </c>
      <c r="F85" s="135">
        <f t="shared" ca="1" si="11"/>
        <v>856.50508025274382</v>
      </c>
    </row>
    <row r="86" spans="1:6" x14ac:dyDescent="0.35">
      <c r="A86" s="136">
        <v>77</v>
      </c>
      <c r="B86" s="137">
        <f t="shared" ca="1" si="8"/>
        <v>-1.0251847455175391</v>
      </c>
      <c r="C86" s="138">
        <f t="shared" ca="1" si="9"/>
        <v>-1.0251847455175392E-2</v>
      </c>
      <c r="D86" s="139">
        <f t="shared" ca="1" si="10"/>
        <v>0.98974815254482462</v>
      </c>
      <c r="E86" s="134">
        <f ca="1">F86/MAX($F$9:F86)-1</f>
        <v>-0.21912793548666332</v>
      </c>
      <c r="F86" s="135">
        <f t="shared" ca="1" si="11"/>
        <v>847.7243208254099</v>
      </c>
    </row>
    <row r="87" spans="1:6" x14ac:dyDescent="0.35">
      <c r="A87" s="136">
        <v>78</v>
      </c>
      <c r="B87" s="137">
        <f t="shared" ca="1" si="8"/>
        <v>-1.0425711573772951</v>
      </c>
      <c r="C87" s="138">
        <f t="shared" ca="1" si="9"/>
        <v>-1.0425711573772952E-2</v>
      </c>
      <c r="D87" s="139">
        <f t="shared" ca="1" si="10"/>
        <v>0.98957428842622708</v>
      </c>
      <c r="E87" s="134">
        <f ca="1">F87/MAX($F$9:F87)-1</f>
        <v>-0.22726908240729593</v>
      </c>
      <c r="F87" s="135">
        <f t="shared" ca="1" si="11"/>
        <v>838.88619156241168</v>
      </c>
    </row>
    <row r="88" spans="1:6" x14ac:dyDescent="0.35">
      <c r="A88" s="136">
        <v>79</v>
      </c>
      <c r="B88" s="137">
        <f t="shared" ca="1" si="8"/>
        <v>-1.0870934647899786</v>
      </c>
      <c r="C88" s="138">
        <f t="shared" ca="1" si="9"/>
        <v>-1.0870934647899786E-2</v>
      </c>
      <c r="D88" s="139">
        <f t="shared" ca="1" si="10"/>
        <v>0.98912906535210021</v>
      </c>
      <c r="E88" s="134">
        <f ca="1">F88/MAX($F$9:F88)-1</f>
        <v>-0.23566938971285789</v>
      </c>
      <c r="F88" s="135">
        <f t="shared" ca="1" si="11"/>
        <v>829.76671459691113</v>
      </c>
    </row>
    <row r="89" spans="1:6" x14ac:dyDescent="0.35">
      <c r="A89" s="136">
        <v>80</v>
      </c>
      <c r="B89" s="137">
        <f t="shared" ca="1" si="8"/>
        <v>-0.77218128563437838</v>
      </c>
      <c r="C89" s="138">
        <f t="shared" ca="1" si="9"/>
        <v>-7.7218128563437839E-3</v>
      </c>
      <c r="D89" s="139">
        <f t="shared" ca="1" si="10"/>
        <v>0.99227818714365623</v>
      </c>
      <c r="E89" s="134">
        <f ca="1">F89/MAX($F$9:F89)-1</f>
        <v>-0.24157140764587026</v>
      </c>
      <c r="F89" s="135">
        <f t="shared" ca="1" si="11"/>
        <v>823.35941131237053</v>
      </c>
    </row>
    <row r="90" spans="1:6" x14ac:dyDescent="0.35">
      <c r="A90" s="136">
        <v>81</v>
      </c>
      <c r="B90" s="137">
        <f t="shared" ca="1" si="8"/>
        <v>2.0858246395327238</v>
      </c>
      <c r="C90" s="138">
        <f t="shared" ca="1" si="9"/>
        <v>2.0858246395327237E-2</v>
      </c>
      <c r="D90" s="139">
        <f t="shared" ca="1" si="10"/>
        <v>1.0208582463953273</v>
      </c>
      <c r="E90" s="134">
        <f ca="1">F90/MAX($F$9:F90)-1</f>
        <v>-0.22575191719328658</v>
      </c>
      <c r="F90" s="135">
        <f t="shared" ca="1" si="11"/>
        <v>840.53324478543561</v>
      </c>
    </row>
    <row r="91" spans="1:6" x14ac:dyDescent="0.35">
      <c r="A91" s="136">
        <v>82</v>
      </c>
      <c r="B91" s="137">
        <f t="shared" ca="1" si="8"/>
        <v>-0.83618812664763942</v>
      </c>
      <c r="C91" s="138">
        <f t="shared" ca="1" si="9"/>
        <v>-8.3618812664763946E-3</v>
      </c>
      <c r="D91" s="139">
        <f t="shared" ca="1" si="10"/>
        <v>0.99163811873352359</v>
      </c>
      <c r="E91" s="134">
        <f ca="1">F91/MAX($F$9:F91)-1</f>
        <v>-0.2322260877325133</v>
      </c>
      <c r="F91" s="135">
        <f t="shared" ca="1" si="11"/>
        <v>833.50480559201367</v>
      </c>
    </row>
    <row r="92" spans="1:6" x14ac:dyDescent="0.35">
      <c r="A92" s="136">
        <v>83</v>
      </c>
      <c r="B92" s="137">
        <f t="shared" ca="1" si="8"/>
        <v>-1.0291637786563339</v>
      </c>
      <c r="C92" s="138">
        <f t="shared" ca="1" si="9"/>
        <v>-1.029163778656334E-2</v>
      </c>
      <c r="D92" s="139">
        <f t="shared" ca="1" si="10"/>
        <v>0.98970836221343661</v>
      </c>
      <c r="E92" s="134">
        <f ca="1">F92/MAX($F$9:F92)-1</f>
        <v>-0.24012773873954296</v>
      </c>
      <c r="F92" s="135">
        <f t="shared" ca="1" si="11"/>
        <v>824.92667603950076</v>
      </c>
    </row>
    <row r="93" spans="1:6" x14ac:dyDescent="0.35">
      <c r="A93" s="136">
        <v>84</v>
      </c>
      <c r="B93" s="137">
        <f t="shared" ca="1" si="8"/>
        <v>1.5593756492721966</v>
      </c>
      <c r="C93" s="138">
        <f t="shared" ca="1" si="9"/>
        <v>1.5593756492721966E-2</v>
      </c>
      <c r="D93" s="139">
        <f t="shared" ca="1" si="10"/>
        <v>1.015593756492722</v>
      </c>
      <c r="E93" s="134">
        <f ca="1">F93/MAX($F$9:F93)-1</f>
        <v>-0.22827847573187332</v>
      </c>
      <c r="F93" s="135">
        <f t="shared" ca="1" si="11"/>
        <v>837.79038175001131</v>
      </c>
    </row>
    <row r="94" spans="1:6" x14ac:dyDescent="0.35">
      <c r="A94" s="136">
        <v>85</v>
      </c>
      <c r="B94" s="137">
        <f t="shared" ca="1" si="8"/>
        <v>-0.83005965492517475</v>
      </c>
      <c r="C94" s="138">
        <f t="shared" ca="1" si="9"/>
        <v>-8.3005965492517469E-3</v>
      </c>
      <c r="D94" s="139">
        <f t="shared" ca="1" si="10"/>
        <v>0.99169940345074825</v>
      </c>
      <c r="E94" s="134">
        <f ca="1">F94/MAX($F$9:F94)-1</f>
        <v>-0.23468422475319661</v>
      </c>
      <c r="F94" s="135">
        <f t="shared" ca="1" si="11"/>
        <v>830.83622179826091</v>
      </c>
    </row>
    <row r="95" spans="1:6" x14ac:dyDescent="0.35">
      <c r="A95" s="136">
        <v>86</v>
      </c>
      <c r="B95" s="137">
        <f t="shared" ca="1" si="8"/>
        <v>-0.93599795508753691</v>
      </c>
      <c r="C95" s="138">
        <f t="shared" ca="1" si="9"/>
        <v>-9.3599795508753688E-3</v>
      </c>
      <c r="D95" s="139">
        <f t="shared" ca="1" si="10"/>
        <v>0.99064002044912458</v>
      </c>
      <c r="E95" s="134">
        <f ca="1">F95/MAX($F$9:F95)-1</f>
        <v>-0.241847564759469</v>
      </c>
      <c r="F95" s="135">
        <f t="shared" ca="1" si="11"/>
        <v>823.05961175210257</v>
      </c>
    </row>
    <row r="96" spans="1:6" x14ac:dyDescent="0.35">
      <c r="A96" s="136">
        <v>87</v>
      </c>
      <c r="B96" s="137">
        <f t="shared" ca="1" si="8"/>
        <v>1.7121688938889927</v>
      </c>
      <c r="C96" s="138">
        <f t="shared" ca="1" si="9"/>
        <v>1.7121688938889927E-2</v>
      </c>
      <c r="D96" s="139">
        <f t="shared" ca="1" si="10"/>
        <v>1.0171216889388899</v>
      </c>
      <c r="E96" s="134">
        <f ca="1">F96/MAX($F$9:F96)-1</f>
        <v>-0.22886671459501884</v>
      </c>
      <c r="F96" s="135">
        <f t="shared" ca="1" si="11"/>
        <v>837.15178240268551</v>
      </c>
    </row>
    <row r="97" spans="1:6" x14ac:dyDescent="0.35">
      <c r="A97" s="136">
        <v>88</v>
      </c>
      <c r="B97" s="137">
        <f t="shared" ca="1" si="8"/>
        <v>-0.75828757035673344</v>
      </c>
      <c r="C97" s="138">
        <f t="shared" ca="1" si="9"/>
        <v>-7.5828757035673348E-3</v>
      </c>
      <c r="D97" s="139">
        <f t="shared" ca="1" si="10"/>
        <v>0.9924171242964327</v>
      </c>
      <c r="E97" s="134">
        <f ca="1">F97/MAX($F$9:F97)-1</f>
        <v>-0.23471412244912826</v>
      </c>
      <c r="F97" s="135">
        <f t="shared" ca="1" si="11"/>
        <v>830.80376449170615</v>
      </c>
    </row>
    <row r="98" spans="1:6" x14ac:dyDescent="0.35">
      <c r="A98" s="136">
        <v>89</v>
      </c>
      <c r="B98" s="137">
        <f t="shared" ca="1" si="8"/>
        <v>-0.75141989229080142</v>
      </c>
      <c r="C98" s="138">
        <f t="shared" ca="1" si="9"/>
        <v>-7.5141989229080145E-3</v>
      </c>
      <c r="D98" s="139">
        <f t="shared" ca="1" si="10"/>
        <v>0.99248580107709194</v>
      </c>
      <c r="E98" s="134">
        <f ca="1">F98/MAX($F$9:F98)-1</f>
        <v>-0.24046463276593777</v>
      </c>
      <c r="F98" s="135">
        <f t="shared" ca="1" si="11"/>
        <v>824.56093973941461</v>
      </c>
    </row>
    <row r="99" spans="1:6" x14ac:dyDescent="0.35">
      <c r="A99" s="136">
        <v>90</v>
      </c>
      <c r="B99" s="137">
        <f t="shared" ca="1" si="8"/>
        <v>-0.90800276254238887</v>
      </c>
      <c r="C99" s="138">
        <f t="shared" ca="1" si="9"/>
        <v>-9.080027625423889E-3</v>
      </c>
      <c r="D99" s="139">
        <f t="shared" ca="1" si="10"/>
        <v>0.99091997237457607</v>
      </c>
      <c r="E99" s="134">
        <f ca="1">F99/MAX($F$9:F99)-1</f>
        <v>-0.24736123488290951</v>
      </c>
      <c r="F99" s="135">
        <f t="shared" ca="1" si="11"/>
        <v>817.07390362773526</v>
      </c>
    </row>
    <row r="100" spans="1:6" x14ac:dyDescent="0.35">
      <c r="A100" s="136">
        <v>91</v>
      </c>
      <c r="B100" s="137">
        <f t="shared" ca="1" si="8"/>
        <v>-1.0578277330071244</v>
      </c>
      <c r="C100" s="138">
        <f t="shared" ca="1" si="9"/>
        <v>-1.0578277330071243E-2</v>
      </c>
      <c r="D100" s="139">
        <f t="shared" ca="1" si="10"/>
        <v>0.98942172266992878</v>
      </c>
      <c r="E100" s="134">
        <f ca="1">F100/MAX($F$9:F100)-1</f>
        <v>-0.25532285646968045</v>
      </c>
      <c r="F100" s="135">
        <f t="shared" ca="1" si="11"/>
        <v>808.43066927599716</v>
      </c>
    </row>
    <row r="101" spans="1:6" x14ac:dyDescent="0.35">
      <c r="A101" s="136">
        <v>92</v>
      </c>
      <c r="B101" s="137">
        <f t="shared" ca="1" si="8"/>
        <v>2.0759152852466243</v>
      </c>
      <c r="C101" s="138">
        <f t="shared" ca="1" si="9"/>
        <v>2.0759152852466243E-2</v>
      </c>
      <c r="D101" s="139">
        <f t="shared" ca="1" si="10"/>
        <v>1.0207591528524662</v>
      </c>
      <c r="E101" s="134">
        <f ca="1">F101/MAX($F$9:F101)-1</f>
        <v>-0.23986398982139667</v>
      </c>
      <c r="F101" s="135">
        <f t="shared" ca="1" si="11"/>
        <v>825.21300511011918</v>
      </c>
    </row>
    <row r="102" spans="1:6" x14ac:dyDescent="0.35">
      <c r="A102" s="136">
        <v>93</v>
      </c>
      <c r="B102" s="137">
        <f t="shared" ca="1" si="8"/>
        <v>-0.84772847055462441</v>
      </c>
      <c r="C102" s="138">
        <f t="shared" ca="1" si="9"/>
        <v>-8.4772847055462446E-3</v>
      </c>
      <c r="D102" s="139">
        <f t="shared" ca="1" si="10"/>
        <v>0.99152271529445379</v>
      </c>
      <c r="E102" s="134">
        <f ca="1">F102/MAX($F$9:F102)-1</f>
        <v>-0.24630787919461861</v>
      </c>
      <c r="F102" s="135">
        <f t="shared" ca="1" si="11"/>
        <v>818.21743952308134</v>
      </c>
    </row>
    <row r="103" spans="1:6" x14ac:dyDescent="0.35">
      <c r="A103" s="136">
        <v>94</v>
      </c>
      <c r="B103" s="137">
        <f t="shared" ca="1" si="8"/>
        <v>-0.99797097604014695</v>
      </c>
      <c r="C103" s="138">
        <f t="shared" ca="1" si="9"/>
        <v>-9.979709760401469E-3</v>
      </c>
      <c r="D103" s="139">
        <f t="shared" ca="1" si="10"/>
        <v>0.99002029023959848</v>
      </c>
      <c r="E103" s="134">
        <f ca="1">F103/MAX($F$9:F103)-1</f>
        <v>-0.25382950780895785</v>
      </c>
      <c r="F103" s="135">
        <f t="shared" ca="1" si="11"/>
        <v>810.05186695574207</v>
      </c>
    </row>
    <row r="104" spans="1:6" x14ac:dyDescent="0.35">
      <c r="A104" s="136">
        <v>95</v>
      </c>
      <c r="B104" s="137">
        <f t="shared" ca="1" si="8"/>
        <v>-0.81800716871706125</v>
      </c>
      <c r="C104" s="138">
        <f t="shared" ca="1" si="9"/>
        <v>-8.1800716871706126E-3</v>
      </c>
      <c r="D104" s="139">
        <f t="shared" ca="1" si="10"/>
        <v>0.99181992831282939</v>
      </c>
      <c r="E104" s="134">
        <f ca="1">F104/MAX($F$9:F104)-1</f>
        <v>-0.25993323592593198</v>
      </c>
      <c r="F104" s="135">
        <f t="shared" ca="1" si="11"/>
        <v>803.42558461371766</v>
      </c>
    </row>
    <row r="105" spans="1:6" x14ac:dyDescent="0.35">
      <c r="A105" s="136">
        <v>96</v>
      </c>
      <c r="B105" s="137">
        <f t="shared" ca="1" si="8"/>
        <v>-1.0067911256738418</v>
      </c>
      <c r="C105" s="138">
        <f t="shared" ca="1" si="9"/>
        <v>-1.0067911256738418E-2</v>
      </c>
      <c r="D105" s="139">
        <f t="shared" ca="1" si="10"/>
        <v>0.98993208874326155</v>
      </c>
      <c r="E105" s="134">
        <f ca="1">F105/MAX($F$9:F105)-1</f>
        <v>-0.2673841624306913</v>
      </c>
      <c r="F105" s="135">
        <f t="shared" ca="1" si="11"/>
        <v>795.33676712643353</v>
      </c>
    </row>
    <row r="106" spans="1:6" x14ac:dyDescent="0.35">
      <c r="A106" s="136">
        <v>97</v>
      </c>
      <c r="B106" s="137">
        <f t="shared" ca="1" si="8"/>
        <v>-0.9638432030604388</v>
      </c>
      <c r="C106" s="138">
        <f t="shared" ref="C106:C137" ca="1" si="12">B106*$E$2</f>
        <v>-9.6384320306043877E-3</v>
      </c>
      <c r="D106" s="139">
        <f t="shared" ref="D106:D137" ca="1" si="13">C106+1</f>
        <v>0.99036156796939556</v>
      </c>
      <c r="E106" s="134">
        <f ca="1">F106/MAX($F$9:F106)-1</f>
        <v>-0.27444543038564739</v>
      </c>
      <c r="F106" s="135">
        <f t="shared" ca="1" si="11"/>
        <v>787.67096775504479</v>
      </c>
    </row>
    <row r="107" spans="1:6" x14ac:dyDescent="0.35">
      <c r="A107" s="136">
        <v>98</v>
      </c>
      <c r="B107" s="137">
        <f t="shared" ca="1" si="8"/>
        <v>-1.0086085933163704</v>
      </c>
      <c r="C107" s="138">
        <f t="shared" ca="1" si="12"/>
        <v>-1.0086085933163704E-2</v>
      </c>
      <c r="D107" s="139">
        <f t="shared" ca="1" si="13"/>
        <v>0.98991391406683626</v>
      </c>
      <c r="E107" s="134">
        <f ca="1">F107/MAX($F$9:F107)-1</f>
        <v>-0.28176343612397736</v>
      </c>
      <c r="F107" s="135">
        <f t="shared" ca="1" si="11"/>
        <v>779.72645068720919</v>
      </c>
    </row>
    <row r="108" spans="1:6" x14ac:dyDescent="0.35">
      <c r="A108" s="136">
        <v>99</v>
      </c>
      <c r="B108" s="137">
        <f t="shared" ca="1" si="8"/>
        <v>-1.0059281131618636</v>
      </c>
      <c r="C108" s="138">
        <f t="shared" ca="1" si="12"/>
        <v>-1.0059281131618636E-2</v>
      </c>
      <c r="D108" s="139">
        <f t="shared" ca="1" si="13"/>
        <v>0.98994071886838131</v>
      </c>
      <c r="E108" s="134">
        <f ca="1">F108/MAX($F$9:F108)-1</f>
        <v>-0.28898837963901403</v>
      </c>
      <c r="F108" s="135">
        <f t="shared" ca="1" si="11"/>
        <v>771.88296311398733</v>
      </c>
    </row>
    <row r="109" spans="1:6" ht="15" customHeight="1" thickBot="1" x14ac:dyDescent="0.4">
      <c r="A109" s="140">
        <v>100</v>
      </c>
      <c r="B109" s="141">
        <f t="shared" ca="1" si="8"/>
        <v>-1.028121029890295</v>
      </c>
      <c r="C109" s="142">
        <f t="shared" ca="1" si="12"/>
        <v>-1.028121029890295E-2</v>
      </c>
      <c r="D109" s="143">
        <f t="shared" ca="1" si="13"/>
        <v>0.98971878970109706</v>
      </c>
      <c r="E109" s="144">
        <f ca="1">F109/MAX($F$9:F109)-1</f>
        <v>-0.29629843963290903</v>
      </c>
      <c r="F109" s="145">
        <f t="shared" ca="1" si="11"/>
        <v>763.94707204407212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2026-08-25T06:23:42Z</dcterms:modified>
</cp:coreProperties>
</file>