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B36EABFF-6050-4761-8381-21E587B5DEF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3" r:id="rId2"/>
    <sheet name="SYMBOLS" sheetId="4" r:id="rId3"/>
    <sheet name="Sheet1" sheetId="18" r:id="rId4"/>
    <sheet name="Trade Log" sheetId="5" r:id="rId5"/>
    <sheet name="P&amp;L Calendar" sheetId="6" r:id="rId6"/>
    <sheet name=" SIM" sheetId="7" r:id="rId7"/>
    <sheet name="YEARLY REPORT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2024" sheetId="15" r:id="rId15"/>
    <sheet name="2025" sheetId="16" r:id="rId16"/>
    <sheet name="2026" sheetId="17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2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C109" i="7" s="1"/>
  <c r="D109" i="7" s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B103" i="7"/>
  <c r="C103" i="7" s="1"/>
  <c r="D103" i="7" s="1"/>
  <c r="B102" i="7"/>
  <c r="C102" i="7" s="1"/>
  <c r="D102" i="7" s="1"/>
  <c r="B101" i="7"/>
  <c r="C101" i="7" s="1"/>
  <c r="D101" i="7" s="1"/>
  <c r="B100" i="7"/>
  <c r="C100" i="7" s="1"/>
  <c r="D100" i="7" s="1"/>
  <c r="B99" i="7"/>
  <c r="C99" i="7" s="1"/>
  <c r="D99" i="7" s="1"/>
  <c r="B98" i="7"/>
  <c r="C98" i="7" s="1"/>
  <c r="D98" i="7" s="1"/>
  <c r="B97" i="7"/>
  <c r="C97" i="7" s="1"/>
  <c r="D97" i="7" s="1"/>
  <c r="B96" i="7"/>
  <c r="C96" i="7" s="1"/>
  <c r="D96" i="7" s="1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B86" i="7"/>
  <c r="C86" i="7" s="1"/>
  <c r="D86" i="7" s="1"/>
  <c r="B85" i="7"/>
  <c r="C85" i="7" s="1"/>
  <c r="D85" i="7" s="1"/>
  <c r="B84" i="7"/>
  <c r="C84" i="7" s="1"/>
  <c r="D84" i="7" s="1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B79" i="7"/>
  <c r="C79" i="7" s="1"/>
  <c r="D79" i="7" s="1"/>
  <c r="B78" i="7"/>
  <c r="C78" i="7" s="1"/>
  <c r="D78" i="7" s="1"/>
  <c r="B77" i="7"/>
  <c r="C77" i="7" s="1"/>
  <c r="D77" i="7" s="1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B72" i="7"/>
  <c r="C72" i="7" s="1"/>
  <c r="D72" i="7" s="1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B67" i="7"/>
  <c r="C67" i="7" s="1"/>
  <c r="D67" i="7" s="1"/>
  <c r="B66" i="7"/>
  <c r="C66" i="7" s="1"/>
  <c r="D66" i="7" s="1"/>
  <c r="B65" i="7"/>
  <c r="C65" i="7" s="1"/>
  <c r="D65" i="7" s="1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B60" i="7"/>
  <c r="C60" i="7" s="1"/>
  <c r="D60" i="7" s="1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B55" i="7"/>
  <c r="C55" i="7" s="1"/>
  <c r="D55" i="7" s="1"/>
  <c r="B54" i="7"/>
  <c r="C54" i="7" s="1"/>
  <c r="D54" i="7" s="1"/>
  <c r="B53" i="7"/>
  <c r="C53" i="7" s="1"/>
  <c r="D53" i="7" s="1"/>
  <c r="B52" i="7"/>
  <c r="C52" i="7" s="1"/>
  <c r="D52" i="7" s="1"/>
  <c r="B51" i="7"/>
  <c r="C51" i="7" s="1"/>
  <c r="D51" i="7" s="1"/>
  <c r="B50" i="7"/>
  <c r="C50" i="7" s="1"/>
  <c r="D50" i="7" s="1"/>
  <c r="B49" i="7"/>
  <c r="C49" i="7" s="1"/>
  <c r="D49" i="7" s="1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B32" i="7"/>
  <c r="C32" i="7" s="1"/>
  <c r="D32" i="7" s="1"/>
  <c r="B31" i="7"/>
  <c r="C31" i="7" s="1"/>
  <c r="D31" i="7" s="1"/>
  <c r="B30" i="7"/>
  <c r="C30" i="7" s="1"/>
  <c r="D30" i="7" s="1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B22" i="7"/>
  <c r="C22" i="7" s="1"/>
  <c r="D22" i="7" s="1"/>
  <c r="B21" i="7"/>
  <c r="C21" i="7" s="1"/>
  <c r="D21" i="7" s="1"/>
  <c r="B20" i="7"/>
  <c r="C20" i="7" s="1"/>
  <c r="D20" i="7" s="1"/>
  <c r="B19" i="7"/>
  <c r="C19" i="7" s="1"/>
  <c r="D19" i="7" s="1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B12" i="7"/>
  <c r="C12" i="7" s="1"/>
  <c r="D12" i="7" s="1"/>
  <c r="B11" i="7"/>
  <c r="C11" i="7" s="1"/>
  <c r="D11" i="7" s="1"/>
  <c r="B10" i="7"/>
  <c r="C10" i="7" s="1"/>
  <c r="F9" i="7"/>
  <c r="B4" i="7" l="1"/>
  <c r="F4" i="7"/>
  <c r="F5" i="7"/>
  <c r="D10" i="7"/>
  <c r="B5" i="7" s="1"/>
  <c r="H2" i="7" s="1"/>
  <c r="L1" i="7"/>
  <c r="M1" i="7" s="1"/>
  <c r="F10" i="7"/>
  <c r="F6" i="7" l="1"/>
  <c r="F11" i="7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E17" i="7" l="1"/>
  <c r="F18" i="7"/>
  <c r="F19" i="7" l="1"/>
  <c r="E18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F27" i="7" l="1"/>
  <c r="E26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E33" i="7" l="1"/>
  <c r="F34" i="7"/>
  <c r="F35" i="7" l="1"/>
  <c r="E34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E41" i="7" l="1"/>
  <c r="F42" i="7"/>
  <c r="F43" i="7" l="1"/>
  <c r="E42" i="7"/>
  <c r="F44" i="7" l="1"/>
  <c r="E43" i="7"/>
  <c r="F45" i="7" l="1"/>
  <c r="E44" i="7"/>
  <c r="E45" i="7" l="1"/>
  <c r="F46" i="7"/>
  <c r="E46" i="7" l="1"/>
  <c r="F47" i="7"/>
  <c r="F48" i="7" l="1"/>
  <c r="E47" i="7"/>
  <c r="E48" i="7" l="1"/>
  <c r="F49" i="7"/>
  <c r="E49" i="7" l="1"/>
  <c r="F50" i="7"/>
  <c r="F51" i="7" l="1"/>
  <c r="E50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F59" i="7" l="1"/>
  <c r="E58" i="7"/>
  <c r="F60" i="7" l="1"/>
  <c r="E59" i="7"/>
  <c r="F61" i="7" l="1"/>
  <c r="E60" i="7"/>
  <c r="E61" i="7" l="1"/>
  <c r="F62" i="7"/>
  <c r="E62" i="7" l="1"/>
  <c r="F63" i="7"/>
  <c r="F64" i="7" l="1"/>
  <c r="E63" i="7"/>
  <c r="E64" i="7" l="1"/>
  <c r="F65" i="7"/>
  <c r="E65" i="7" l="1"/>
  <c r="F66" i="7"/>
  <c r="F67" i="7" l="1"/>
  <c r="E66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E73" i="7" l="1"/>
  <c r="F74" i="7"/>
  <c r="F75" i="7" l="1"/>
  <c r="E74" i="7"/>
  <c r="F76" i="7" l="1"/>
  <c r="E75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F83" i="7" l="1"/>
  <c r="E82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E89" i="7" l="1"/>
  <c r="F90" i="7"/>
  <c r="F91" i="7" l="1"/>
  <c r="E90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F99" i="7" l="1"/>
  <c r="E98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E108" i="7"/>
  <c r="L2" i="7" l="1"/>
  <c r="M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<sst xmlns="http://schemas.openxmlformats.org/spreadsheetml/2006/main" count="24501" uniqueCount="6544">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</sst>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1016.5100257900566</c:v>
                </c:pt>
                <c:pt idx="2">
                  <c:v>1036.5322438903729</c:v>
                </c:pt>
                <c:pt idx="3">
                  <c:v>1025.6326655003963</c:v>
                </c:pt>
                <c:pt idx="4">
                  <c:v>1017.4185944842734</c:v>
                </c:pt>
                <c:pt idx="5">
                  <c:v>1007.2465788935527</c:v>
                </c:pt>
                <c:pt idx="6">
                  <c:v>996.31521907193303</c:v>
                </c:pt>
                <c:pt idx="7">
                  <c:v>988.10266193202699</c:v>
                </c:pt>
                <c:pt idx="8">
                  <c:v>1006.1732520879194</c:v>
                </c:pt>
                <c:pt idx="9">
                  <c:v>996.59582670377597</c:v>
                </c:pt>
                <c:pt idx="10">
                  <c:v>986.14498570103399</c:v>
                </c:pt>
                <c:pt idx="11">
                  <c:v>977.63295586377342</c:v>
                </c:pt>
                <c:pt idx="12">
                  <c:v>967.83715591518353</c:v>
                </c:pt>
                <c:pt idx="13">
                  <c:v>959.72162345211655</c:v>
                </c:pt>
                <c:pt idx="14">
                  <c:v>951.45510492047731</c:v>
                </c:pt>
                <c:pt idx="15">
                  <c:v>941.81497277376388</c:v>
                </c:pt>
                <c:pt idx="16">
                  <c:v>933.20389158017929</c:v>
                </c:pt>
                <c:pt idx="17">
                  <c:v>924.59680873782236</c:v>
                </c:pt>
                <c:pt idx="18">
                  <c:v>916.0213904116639</c:v>
                </c:pt>
                <c:pt idx="19">
                  <c:v>929.99857309725621</c:v>
                </c:pt>
                <c:pt idx="20">
                  <c:v>922.99797013006946</c:v>
                </c:pt>
                <c:pt idx="21">
                  <c:v>913.34506817843499</c:v>
                </c:pt>
                <c:pt idx="22">
                  <c:v>905.27597305634845</c:v>
                </c:pt>
                <c:pt idx="23">
                  <c:v>919.66765665760204</c:v>
                </c:pt>
                <c:pt idx="24">
                  <c:v>910.44606294762298</c:v>
                </c:pt>
                <c:pt idx="25">
                  <c:v>901.39698752000061</c:v>
                </c:pt>
                <c:pt idx="26">
                  <c:v>892.30040430526185</c:v>
                </c:pt>
                <c:pt idx="27">
                  <c:v>882.60339849930335</c:v>
                </c:pt>
                <c:pt idx="28">
                  <c:v>901.33209874173735</c:v>
                </c:pt>
                <c:pt idx="29">
                  <c:v>892.76529188425229</c:v>
                </c:pt>
                <c:pt idx="30">
                  <c:v>908.98151006824253</c:v>
                </c:pt>
                <c:pt idx="31">
                  <c:v>926.3612217941328</c:v>
                </c:pt>
                <c:pt idx="32">
                  <c:v>916.49791839177101</c:v>
                </c:pt>
                <c:pt idx="33">
                  <c:v>909.55800130060982</c:v>
                </c:pt>
                <c:pt idx="34">
                  <c:v>929.99619670015852</c:v>
                </c:pt>
                <c:pt idx="35">
                  <c:v>944.15111295993813</c:v>
                </c:pt>
                <c:pt idx="36">
                  <c:v>963.61467134649115</c:v>
                </c:pt>
                <c:pt idx="37">
                  <c:v>953.94742518658063</c:v>
                </c:pt>
                <c:pt idx="38">
                  <c:v>945.29717403331438</c:v>
                </c:pt>
                <c:pt idx="39">
                  <c:v>938.04302817626581</c:v>
                </c:pt>
                <c:pt idx="40">
                  <c:v>930.54013597867799</c:v>
                </c:pt>
                <c:pt idx="41">
                  <c:v>921.48935453854494</c:v>
                </c:pt>
                <c:pt idx="42">
                  <c:v>941.36390929274455</c:v>
                </c:pt>
                <c:pt idx="43">
                  <c:v>934.06991519642145</c:v>
                </c:pt>
                <c:pt idx="44">
                  <c:v>926.59300221279216</c:v>
                </c:pt>
                <c:pt idx="45">
                  <c:v>918.55935690458773</c:v>
                </c:pt>
                <c:pt idx="46">
                  <c:v>909.09121891962513</c:v>
                </c:pt>
                <c:pt idx="47">
                  <c:v>929.71628510366509</c:v>
                </c:pt>
                <c:pt idx="48">
                  <c:v>922.41711802912096</c:v>
                </c:pt>
                <c:pt idx="49">
                  <c:v>913.89272603967277</c:v>
                </c:pt>
                <c:pt idx="50">
                  <c:v>905.81124186332272</c:v>
                </c:pt>
                <c:pt idx="51">
                  <c:v>921.65647070071429</c:v>
                </c:pt>
                <c:pt idx="52">
                  <c:v>912.60464232252127</c:v>
                </c:pt>
                <c:pt idx="53">
                  <c:v>931.56157310481717</c:v>
                </c:pt>
                <c:pt idx="54">
                  <c:v>924.56063638821422</c:v>
                </c:pt>
                <c:pt idx="55">
                  <c:v>915.6774801603384</c:v>
                </c:pt>
                <c:pt idx="56">
                  <c:v>907.11611254738159</c:v>
                </c:pt>
                <c:pt idx="57">
                  <c:v>897.76562230605555</c:v>
                </c:pt>
                <c:pt idx="58">
                  <c:v>914.51111047087215</c:v>
                </c:pt>
                <c:pt idx="59">
                  <c:v>904.72281299311067</c:v>
                </c:pt>
                <c:pt idx="60">
                  <c:v>895.29887326801679</c:v>
                </c:pt>
                <c:pt idx="61">
                  <c:v>911.94542888506896</c:v>
                </c:pt>
                <c:pt idx="62">
                  <c:v>902.61008411151238</c:v>
                </c:pt>
                <c:pt idx="63">
                  <c:v>895.25787874787602</c:v>
                </c:pt>
                <c:pt idx="64">
                  <c:v>888.35811211985936</c:v>
                </c:pt>
                <c:pt idx="65">
                  <c:v>880.55661934344744</c:v>
                </c:pt>
                <c:pt idx="66">
                  <c:v>894.60040479941108</c:v>
                </c:pt>
                <c:pt idx="67">
                  <c:v>914.69160833781962</c:v>
                </c:pt>
                <c:pt idx="68">
                  <c:v>931.39323980053769</c:v>
                </c:pt>
                <c:pt idx="69">
                  <c:v>923.73284854330518</c:v>
                </c:pt>
                <c:pt idx="70">
                  <c:v>915.20156463170281</c:v>
                </c:pt>
                <c:pt idx="71">
                  <c:v>934.40983417171071</c:v>
                </c:pt>
                <c:pt idx="72">
                  <c:v>924.34659179262815</c:v>
                </c:pt>
                <c:pt idx="73">
                  <c:v>915.22252705652397</c:v>
                </c:pt>
                <c:pt idx="74">
                  <c:v>930.39509053350594</c:v>
                </c:pt>
                <c:pt idx="75">
                  <c:v>921.091751636092</c:v>
                </c:pt>
                <c:pt idx="76">
                  <c:v>912.99367414138931</c:v>
                </c:pt>
                <c:pt idx="77">
                  <c:v>903.06388982155465</c:v>
                </c:pt>
                <c:pt idx="78">
                  <c:v>895.73766846038461</c:v>
                </c:pt>
                <c:pt idx="79">
                  <c:v>909.92727190392134</c:v>
                </c:pt>
                <c:pt idx="80">
                  <c:v>924.72522958106754</c:v>
                </c:pt>
                <c:pt idx="81">
                  <c:v>939.81115902020429</c:v>
                </c:pt>
                <c:pt idx="82">
                  <c:v>931.74018332912931</c:v>
                </c:pt>
                <c:pt idx="83">
                  <c:v>922.21852502139654</c:v>
                </c:pt>
                <c:pt idx="84">
                  <c:v>940.89046083616608</c:v>
                </c:pt>
                <c:pt idx="85">
                  <c:v>931.16881764573191</c:v>
                </c:pt>
                <c:pt idx="86">
                  <c:v>921.69473915106835</c:v>
                </c:pt>
                <c:pt idx="87">
                  <c:v>941.87655520867315</c:v>
                </c:pt>
                <c:pt idx="88">
                  <c:v>933.12075042667516</c:v>
                </c:pt>
                <c:pt idx="89">
                  <c:v>925.74370925652704</c:v>
                </c:pt>
                <c:pt idx="90">
                  <c:v>918.14001505447243</c:v>
                </c:pt>
                <c:pt idx="91">
                  <c:v>935.87397162775073</c:v>
                </c:pt>
                <c:pt idx="92">
                  <c:v>927.79750122080736</c:v>
                </c:pt>
                <c:pt idx="93">
                  <c:v>919.30830146567973</c:v>
                </c:pt>
                <c:pt idx="94">
                  <c:v>912.18358044909633</c:v>
                </c:pt>
                <c:pt idx="95">
                  <c:v>904.28296954702034</c:v>
                </c:pt>
                <c:pt idx="96">
                  <c:v>921.84260866081672</c:v>
                </c:pt>
                <c:pt idx="97">
                  <c:v>942.34218000429053</c:v>
                </c:pt>
                <c:pt idx="98">
                  <c:v>934.36320470201633</c:v>
                </c:pt>
                <c:pt idx="99">
                  <c:v>926.90417468841952</c:v>
                </c:pt>
                <c:pt idx="100">
                  <c:v>917.6679363728648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D8-4257-AB9D-28B4ACD4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-1.051542627276858E-2</c:v>
                </c:pt>
                <c:pt idx="4">
                  <c:v>-1.8439995011019672E-2</c:v>
                </c:pt>
                <c:pt idx="5">
                  <c:v>-2.8253501200216857E-2</c:v>
                </c:pt>
                <c:pt idx="6">
                  <c:v>-3.8799588778343219E-2</c:v>
                </c:pt>
                <c:pt idx="7">
                  <c:v>-4.6722696996455371E-2</c:v>
                </c:pt>
                <c:pt idx="8">
                  <c:v>-2.9288998949524525E-2</c:v>
                </c:pt>
                <c:pt idx="9">
                  <c:v>-3.8528871071781823E-2</c:v>
                </c:pt>
                <c:pt idx="10">
                  <c:v>-4.861137556148043E-2</c:v>
                </c:pt>
                <c:pt idx="11">
                  <c:v>-5.6823401658529504E-2</c:v>
                </c:pt>
                <c:pt idx="12">
                  <c:v>-6.6273951804296072E-2</c:v>
                </c:pt>
                <c:pt idx="13">
                  <c:v>-7.4103454948942327E-2</c:v>
                </c:pt>
                <c:pt idx="14">
                  <c:v>-8.207862270697841E-2</c:v>
                </c:pt>
                <c:pt idx="15">
                  <c:v>-9.1378991512227947E-2</c:v>
                </c:pt>
                <c:pt idx="16">
                  <c:v>-9.9686577932564524E-2</c:v>
                </c:pt>
                <c:pt idx="17">
                  <c:v>-0.10799030692226996</c:v>
                </c:pt>
                <c:pt idx="18">
                  <c:v>-0.11626348740141523</c:v>
                </c:pt>
                <c:pt idx="19">
                  <c:v>-0.10277892600163441</c:v>
                </c:pt>
                <c:pt idx="20">
                  <c:v>-0.10953279498009638</c:v>
                </c:pt>
                <c:pt idx="21">
                  <c:v>-0.11884548352262025</c:v>
                </c:pt>
                <c:pt idx="22">
                  <c:v>-0.12663018599535869</c:v>
                </c:pt>
                <c:pt idx="23">
                  <c:v>-0.11274573263070709</c:v>
                </c:pt>
                <c:pt idx="24">
                  <c:v>-0.12164231425113803</c:v>
                </c:pt>
                <c:pt idx="25">
                  <c:v>-0.13037245794030949</c:v>
                </c:pt>
                <c:pt idx="26">
                  <c:v>-0.13914843501999685</c:v>
                </c:pt>
                <c:pt idx="27">
                  <c:v>-0.14850367299075506</c:v>
                </c:pt>
                <c:pt idx="28">
                  <c:v>-0.13043505973455738</c:v>
                </c:pt>
                <c:pt idx="29">
                  <c:v>-0.138699932253459</c:v>
                </c:pt>
                <c:pt idx="30">
                  <c:v>-0.12305524943768231</c:v>
                </c:pt>
                <c:pt idx="31">
                  <c:v>-0.10628808003380563</c:v>
                </c:pt>
                <c:pt idx="32">
                  <c:v>-0.1158037544959355</c:v>
                </c:pt>
                <c:pt idx="33">
                  <c:v>-0.1224990764524565</c:v>
                </c:pt>
                <c:pt idx="34">
                  <c:v>-0.10278121864338452</c:v>
                </c:pt>
                <c:pt idx="35">
                  <c:v>-8.9125187831788577E-2</c:v>
                </c:pt>
                <c:pt idx="36">
                  <c:v>-7.0347616269227919E-2</c:v>
                </c:pt>
                <c:pt idx="37">
                  <c:v>-7.9674143463043801E-2</c:v>
                </c:pt>
                <c:pt idx="38">
                  <c:v>-8.8019519310494121E-2</c:v>
                </c:pt>
                <c:pt idx="39">
                  <c:v>-9.5017995141619238E-2</c:v>
                </c:pt>
                <c:pt idx="40">
                  <c:v>-0.10225645032891517</c:v>
                </c:pt>
                <c:pt idx="41">
                  <c:v>-0.11098823990273787</c:v>
                </c:pt>
                <c:pt idx="42">
                  <c:v>-9.1814157406659214E-2</c:v>
                </c:pt>
                <c:pt idx="43">
                  <c:v>-9.885107703874596E-2</c:v>
                </c:pt>
                <c:pt idx="44">
                  <c:v>-0.10606446864108199</c:v>
                </c:pt>
                <c:pt idx="45">
                  <c:v>-0.11381497071716984</c:v>
                </c:pt>
                <c:pt idx="46">
                  <c:v>-0.1229494072393047</c:v>
                </c:pt>
                <c:pt idx="47">
                  <c:v>-0.10305126484613736</c:v>
                </c:pt>
                <c:pt idx="48">
                  <c:v>-0.11009317513649985</c:v>
                </c:pt>
                <c:pt idx="49">
                  <c:v>-0.11831712768567859</c:v>
                </c:pt>
                <c:pt idx="50">
                  <c:v>-0.12611378256446759</c:v>
                </c:pt>
                <c:pt idx="51">
                  <c:v>-0.11082701369568615</c:v>
                </c:pt>
                <c:pt idx="52">
                  <c:v>-0.11955981330857535</c:v>
                </c:pt>
                <c:pt idx="53">
                  <c:v>-0.10127101342412059</c:v>
                </c:pt>
                <c:pt idx="54">
                  <c:v>-0.10802520438910845</c:v>
                </c:pt>
                <c:pt idx="55">
                  <c:v>-0.11659527664709723</c:v>
                </c:pt>
                <c:pt idx="56">
                  <c:v>-0.12485490162588597</c:v>
                </c:pt>
                <c:pt idx="57">
                  <c:v>-0.13387583686108062</c:v>
                </c:pt>
                <c:pt idx="58">
                  <c:v>-0.11772053801387206</c:v>
                </c:pt>
                <c:pt idx="59">
                  <c:v>-0.12716385011096953</c:v>
                </c:pt>
                <c:pt idx="60">
                  <c:v>-0.13625564612661811</c:v>
                </c:pt>
                <c:pt idx="61">
                  <c:v>-0.12019579298150673</c:v>
                </c:pt>
                <c:pt idx="62">
                  <c:v>-0.12920211654604796</c:v>
                </c:pt>
                <c:pt idx="63">
                  <c:v>-0.13629519580814753</c:v>
                </c:pt>
                <c:pt idx="64">
                  <c:v>-0.14295178239161943</c:v>
                </c:pt>
                <c:pt idx="65">
                  <c:v>-0.15047831407685752</c:v>
                </c:pt>
                <c:pt idx="66">
                  <c:v>-0.13692949729981874</c:v>
                </c:pt>
                <c:pt idx="67">
                  <c:v>-0.11754640173590158</c:v>
                </c:pt>
                <c:pt idx="68">
                  <c:v>-0.1014334138755022</c:v>
                </c:pt>
                <c:pt idx="69">
                  <c:v>-0.10882381711899525</c:v>
                </c:pt>
                <c:pt idx="70">
                  <c:v>-0.11705441868675959</c:v>
                </c:pt>
                <c:pt idx="71">
                  <c:v>-9.8523138397866417E-2</c:v>
                </c:pt>
                <c:pt idx="72">
                  <c:v>-0.10823170505211022</c:v>
                </c:pt>
                <c:pt idx="73">
                  <c:v>-0.11703419507582535</c:v>
                </c:pt>
                <c:pt idx="74">
                  <c:v>-0.10239638369425619</c:v>
                </c:pt>
                <c:pt idx="75">
                  <c:v>-0.11137182941941393</c:v>
                </c:pt>
                <c:pt idx="76">
                  <c:v>-0.11918449279041377</c:v>
                </c:pt>
                <c:pt idx="77">
                  <c:v>-0.12876430507156933</c:v>
                </c:pt>
                <c:pt idx="78">
                  <c:v>-0.13583231612897051</c:v>
                </c:pt>
                <c:pt idx="79">
                  <c:v>-0.12214282067219684</c:v>
                </c:pt>
                <c:pt idx="80">
                  <c:v>-0.1078664122301346</c:v>
                </c:pt>
                <c:pt idx="81">
                  <c:v>-9.3312181497750113E-2</c:v>
                </c:pt>
                <c:pt idx="82">
                  <c:v>-0.10109869825943085</c:v>
                </c:pt>
                <c:pt idx="83">
                  <c:v>-0.11028476879785953</c:v>
                </c:pt>
                <c:pt idx="84">
                  <c:v>-9.2270919325421641E-2</c:v>
                </c:pt>
                <c:pt idx="85">
                  <c:v>-0.10164992634400338</c:v>
                </c:pt>
                <c:pt idx="86">
                  <c:v>-0.11079009400449502</c:v>
                </c:pt>
                <c:pt idx="87">
                  <c:v>-9.1319579530331429E-2</c:v>
                </c:pt>
                <c:pt idx="88">
                  <c:v>-9.9766788802987727E-2</c:v>
                </c:pt>
                <c:pt idx="89">
                  <c:v>-0.10688382854162637</c:v>
                </c:pt>
                <c:pt idx="90">
                  <c:v>-0.11421953299932464</c:v>
                </c:pt>
                <c:pt idx="91">
                  <c:v>-9.711060399320115E-2</c:v>
                </c:pt>
                <c:pt idx="92">
                  <c:v>-0.10490242181126563</c:v>
                </c:pt>
                <c:pt idx="93">
                  <c:v>-0.11309242246504703</c:v>
                </c:pt>
                <c:pt idx="94">
                  <c:v>-0.11996603499237413</c:v>
                </c:pt>
                <c:pt idx="95">
                  <c:v>-0.12758819141697597</c:v>
                </c:pt>
                <c:pt idx="96">
                  <c:v>-0.1106474361078208</c:v>
                </c:pt>
                <c:pt idx="97">
                  <c:v>-9.0870365530128394E-2</c:v>
                </c:pt>
                <c:pt idx="98">
                  <c:v>-9.8568124426973713E-2</c:v>
                </c:pt>
                <c:pt idx="99">
                  <c:v>-0.10576426333877564</c:v>
                </c:pt>
                <c:pt idx="100">
                  <c:v>-0.11467497342039235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82-4B20-9A7F-53EE403E5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6" t="s">
        <v>192</v>
      </c>
      <c r="B1" s="500" t="s">
        <v>193</v>
      </c>
      <c r="C1" s="500" t="s">
        <v>3</v>
      </c>
      <c r="D1" s="512" t="s">
        <v>4</v>
      </c>
      <c r="E1" s="500" t="s">
        <v>5</v>
      </c>
      <c r="F1" s="514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7"/>
      <c r="B2" s="501"/>
      <c r="C2" s="501"/>
      <c r="D2" s="513"/>
      <c r="E2" s="501"/>
      <c r="F2" s="515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6866-E18B-4882-BA44-8BBC714CF870}">
  <dimension ref="A1"/>
  <sheetViews>
    <sheetView tabSelected="1" workbookViewId="0">
      <selection activeCell="L15" sqref="L15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8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8" t="s">
        <v>741</v>
      </c>
      <c r="K1" s="530" t="s">
        <v>742</v>
      </c>
      <c r="L1" s="528" t="s">
        <v>743</v>
      </c>
      <c r="M1" s="530" t="s">
        <v>744</v>
      </c>
      <c r="N1" s="518" t="s">
        <v>161</v>
      </c>
      <c r="O1" s="528" t="s">
        <v>745</v>
      </c>
      <c r="P1" s="527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5" t="s">
        <v>768</v>
      </c>
    </row>
    <row r="2" spans="1:50" ht="15" customHeight="1" thickTop="1" x14ac:dyDescent="0.35">
      <c r="A2" s="519"/>
      <c r="B2" s="529"/>
      <c r="C2" s="531"/>
      <c r="D2" s="519"/>
      <c r="E2" s="519"/>
      <c r="F2" s="519"/>
      <c r="G2" s="519"/>
      <c r="H2" s="519"/>
      <c r="I2" s="519"/>
      <c r="J2" s="529"/>
      <c r="K2" s="531"/>
      <c r="L2" s="529"/>
      <c r="M2" s="531"/>
      <c r="N2" s="519"/>
      <c r="O2" s="529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6"/>
    </row>
    <row r="3" spans="1:50" ht="15" customHeight="1" x14ac:dyDescent="0.35">
      <c r="A3" s="519"/>
      <c r="B3" s="529"/>
      <c r="C3" s="531"/>
      <c r="D3" s="519"/>
      <c r="E3" s="519"/>
      <c r="F3" s="519"/>
      <c r="G3" s="519"/>
      <c r="H3" s="519"/>
      <c r="I3" s="519"/>
      <c r="J3" s="529"/>
      <c r="K3" s="531"/>
      <c r="L3" s="529"/>
      <c r="M3" s="531"/>
      <c r="N3" s="519"/>
      <c r="O3" s="529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6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-7.7497881950560439E-4</v>
      </c>
      <c r="M1" s="99">
        <f ca="1">L1/E2</f>
        <v>-7.749788195056044E-2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917.66793637286435</v>
      </c>
      <c r="J2" s="105" t="s">
        <v>4433</v>
      </c>
      <c r="K2" s="106"/>
      <c r="L2" s="107">
        <f ca="1">MIN(E10:E109)</f>
        <v>-0.15047831407685752</v>
      </c>
      <c r="M2" s="108">
        <f ca="1">L2/E2</f>
        <v>-15.047831407685752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0.3</v>
      </c>
      <c r="E4" s="116" t="s">
        <v>4435</v>
      </c>
      <c r="F4" s="117">
        <f ca="1">AVERAGE(B10:B109)</f>
        <v>-7.7497881950560468E-2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-8.2332063627135632E-2</v>
      </c>
      <c r="E5" s="121" t="s">
        <v>4437</v>
      </c>
      <c r="F5" s="122">
        <f ca="1">STDEV(B10:B109)</f>
        <v>1.3059842395789911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-5.9340595086770254E-2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1.6510025790056493</v>
      </c>
      <c r="C10" s="138">
        <f t="shared" ref="C10:C41" ca="1" si="1">B10*$E$2</f>
        <v>1.6510025790056494E-2</v>
      </c>
      <c r="D10" s="139">
        <f t="shared" ref="D10:D41" ca="1" si="2">C10+1</f>
        <v>1.0165100257900566</v>
      </c>
      <c r="E10" s="134">
        <f ca="1">F10/MAX($F$9:F10)-1</f>
        <v>0</v>
      </c>
      <c r="F10" s="135">
        <f t="shared" ref="F10:F41" ca="1" si="3">F9*D10</f>
        <v>1016.5100257900566</v>
      </c>
    </row>
    <row r="11" spans="1:13" x14ac:dyDescent="0.35">
      <c r="A11" s="136">
        <v>2</v>
      </c>
      <c r="B11" s="137">
        <f t="shared" ca="1" si="0"/>
        <v>1.9697019795505408</v>
      </c>
      <c r="C11" s="138">
        <f t="shared" ca="1" si="1"/>
        <v>1.9697019795505408E-2</v>
      </c>
      <c r="D11" s="139">
        <f t="shared" ca="1" si="2"/>
        <v>1.0196970197955053</v>
      </c>
      <c r="E11" s="134">
        <f ca="1">F11/MAX($F$9:F11)-1</f>
        <v>0</v>
      </c>
      <c r="F11" s="135">
        <f t="shared" ca="1" si="3"/>
        <v>1036.5322438903729</v>
      </c>
    </row>
    <row r="12" spans="1:13" x14ac:dyDescent="0.35">
      <c r="A12" s="136">
        <v>3</v>
      </c>
      <c r="B12" s="137">
        <f t="shared" ca="1" si="0"/>
        <v>-1.0515426272768589</v>
      </c>
      <c r="C12" s="138">
        <f t="shared" ca="1" si="1"/>
        <v>-1.0515426272768589E-2</v>
      </c>
      <c r="D12" s="139">
        <f t="shared" ca="1" si="2"/>
        <v>0.98948457372723142</v>
      </c>
      <c r="E12" s="134">
        <f ca="1">F12/MAX($F$9:F12)-1</f>
        <v>-1.051542627276858E-2</v>
      </c>
      <c r="F12" s="135">
        <f t="shared" ca="1" si="3"/>
        <v>1025.6326655003963</v>
      </c>
    </row>
    <row r="13" spans="1:13" x14ac:dyDescent="0.35">
      <c r="A13" s="136">
        <v>4</v>
      </c>
      <c r="B13" s="137">
        <f t="shared" ca="1" si="0"/>
        <v>-0.80087845214205855</v>
      </c>
      <c r="C13" s="138">
        <f t="shared" ca="1" si="1"/>
        <v>-8.0087845214205852E-3</v>
      </c>
      <c r="D13" s="139">
        <f t="shared" ca="1" si="2"/>
        <v>0.99199121547857938</v>
      </c>
      <c r="E13" s="134">
        <f ca="1">F13/MAX($F$9:F13)-1</f>
        <v>-1.8439995011019672E-2</v>
      </c>
      <c r="F13" s="135">
        <f t="shared" ca="1" si="3"/>
        <v>1017.4185944842734</v>
      </c>
    </row>
    <row r="14" spans="1:13" x14ac:dyDescent="0.35">
      <c r="A14" s="136">
        <v>5</v>
      </c>
      <c r="B14" s="137">
        <f t="shared" ca="1" si="0"/>
        <v>-0.99978668031684514</v>
      </c>
      <c r="C14" s="138">
        <f t="shared" ca="1" si="1"/>
        <v>-9.9978668031684512E-3</v>
      </c>
      <c r="D14" s="139">
        <f t="shared" ca="1" si="2"/>
        <v>0.9900021331968315</v>
      </c>
      <c r="E14" s="134">
        <f ca="1">F14/MAX($F$9:F14)-1</f>
        <v>-2.8253501200216857E-2</v>
      </c>
      <c r="F14" s="135">
        <f t="shared" ca="1" si="3"/>
        <v>1007.2465788935527</v>
      </c>
    </row>
    <row r="15" spans="1:13" x14ac:dyDescent="0.35">
      <c r="A15" s="136">
        <v>6</v>
      </c>
      <c r="B15" s="137">
        <f t="shared" ca="1" si="0"/>
        <v>-1.0852714767845277</v>
      </c>
      <c r="C15" s="138">
        <f t="shared" ca="1" si="1"/>
        <v>-1.0852714767845278E-2</v>
      </c>
      <c r="D15" s="139">
        <f t="shared" ca="1" si="2"/>
        <v>0.98914728523215467</v>
      </c>
      <c r="E15" s="134">
        <f ca="1">F15/MAX($F$9:F15)-1</f>
        <v>-3.8799588778343219E-2</v>
      </c>
      <c r="F15" s="135">
        <f t="shared" ca="1" si="3"/>
        <v>996.31521907193303</v>
      </c>
    </row>
    <row r="16" spans="1:13" x14ac:dyDescent="0.35">
      <c r="A16" s="136">
        <v>7</v>
      </c>
      <c r="B16" s="137">
        <f t="shared" ca="1" si="0"/>
        <v>-0.82429305331258562</v>
      </c>
      <c r="C16" s="138">
        <f t="shared" ca="1" si="1"/>
        <v>-8.2429305331258567E-3</v>
      </c>
      <c r="D16" s="139">
        <f t="shared" ca="1" si="2"/>
        <v>0.99175706946687414</v>
      </c>
      <c r="E16" s="134">
        <f ca="1">F16/MAX($F$9:F16)-1</f>
        <v>-4.6722696996455371E-2</v>
      </c>
      <c r="F16" s="135">
        <f t="shared" ca="1" si="3"/>
        <v>988.10266193202699</v>
      </c>
    </row>
    <row r="17" spans="1:6" x14ac:dyDescent="0.35">
      <c r="A17" s="136">
        <v>8</v>
      </c>
      <c r="B17" s="137">
        <f t="shared" ca="1" si="0"/>
        <v>1.8288170705419651</v>
      </c>
      <c r="C17" s="138">
        <f t="shared" ca="1" si="1"/>
        <v>1.8288170705419653E-2</v>
      </c>
      <c r="D17" s="139">
        <f t="shared" ca="1" si="2"/>
        <v>1.0182881707054197</v>
      </c>
      <c r="E17" s="134">
        <f ca="1">F17/MAX($F$9:F17)-1</f>
        <v>-2.9288998949524525E-2</v>
      </c>
      <c r="F17" s="135">
        <f t="shared" ca="1" si="3"/>
        <v>1006.1732520879194</v>
      </c>
    </row>
    <row r="18" spans="1:6" x14ac:dyDescent="0.35">
      <c r="A18" s="136">
        <v>9</v>
      </c>
      <c r="B18" s="137">
        <f t="shared" ca="1" si="0"/>
        <v>-0.95186642700641144</v>
      </c>
      <c r="C18" s="138">
        <f t="shared" ca="1" si="1"/>
        <v>-9.5186642700641148E-3</v>
      </c>
      <c r="D18" s="139">
        <f t="shared" ca="1" si="2"/>
        <v>0.99048133572993591</v>
      </c>
      <c r="E18" s="134">
        <f ca="1">F18/MAX($F$9:F18)-1</f>
        <v>-3.8528871071781823E-2</v>
      </c>
      <c r="F18" s="135">
        <f t="shared" ca="1" si="3"/>
        <v>996.59582670377597</v>
      </c>
    </row>
    <row r="19" spans="1:6" x14ac:dyDescent="0.35">
      <c r="A19" s="136">
        <v>10</v>
      </c>
      <c r="B19" s="137">
        <f t="shared" ca="1" si="0"/>
        <v>-1.048653899877136</v>
      </c>
      <c r="C19" s="138">
        <f t="shared" ca="1" si="1"/>
        <v>-1.0486538998771359E-2</v>
      </c>
      <c r="D19" s="139">
        <f t="shared" ca="1" si="2"/>
        <v>0.98951346100122861</v>
      </c>
      <c r="E19" s="134">
        <f ca="1">F19/MAX($F$9:F19)-1</f>
        <v>-4.861137556148043E-2</v>
      </c>
      <c r="F19" s="135">
        <f t="shared" ca="1" si="3"/>
        <v>986.14498570103399</v>
      </c>
    </row>
    <row r="20" spans="1:6" x14ac:dyDescent="0.35">
      <c r="A20" s="136">
        <v>11</v>
      </c>
      <c r="B20" s="137">
        <f t="shared" ca="1" si="0"/>
        <v>-0.86316210706171947</v>
      </c>
      <c r="C20" s="138">
        <f t="shared" ca="1" si="1"/>
        <v>-8.6316210706171952E-3</v>
      </c>
      <c r="D20" s="139">
        <f t="shared" ca="1" si="2"/>
        <v>0.99136837892938279</v>
      </c>
      <c r="E20" s="134">
        <f ca="1">F20/MAX($F$9:F20)-1</f>
        <v>-5.6823401658529504E-2</v>
      </c>
      <c r="F20" s="135">
        <f t="shared" ca="1" si="3"/>
        <v>977.63295586377342</v>
      </c>
    </row>
    <row r="21" spans="1:6" x14ac:dyDescent="0.35">
      <c r="A21" s="136">
        <v>12</v>
      </c>
      <c r="B21" s="137">
        <f t="shared" ca="1" si="0"/>
        <v>-1.0019915848617176</v>
      </c>
      <c r="C21" s="138">
        <f t="shared" ca="1" si="1"/>
        <v>-1.0019915848617176E-2</v>
      </c>
      <c r="D21" s="139">
        <f t="shared" ca="1" si="2"/>
        <v>0.98998008415138283</v>
      </c>
      <c r="E21" s="134">
        <f ca="1">F21/MAX($F$9:F21)-1</f>
        <v>-6.6273951804296072E-2</v>
      </c>
      <c r="F21" s="135">
        <f t="shared" ca="1" si="3"/>
        <v>967.83715591518353</v>
      </c>
    </row>
    <row r="22" spans="1:6" x14ac:dyDescent="0.35">
      <c r="A22" s="136">
        <v>13</v>
      </c>
      <c r="B22" s="137">
        <f t="shared" ca="1" si="0"/>
        <v>-0.8385225152255027</v>
      </c>
      <c r="C22" s="138">
        <f t="shared" ca="1" si="1"/>
        <v>-8.3852251522550277E-3</v>
      </c>
      <c r="D22" s="139">
        <f t="shared" ca="1" si="2"/>
        <v>0.99161477484774496</v>
      </c>
      <c r="E22" s="134">
        <f ca="1">F22/MAX($F$9:F22)-1</f>
        <v>-7.4103454948942327E-2</v>
      </c>
      <c r="F22" s="135">
        <f t="shared" ca="1" si="3"/>
        <v>959.72162345211655</v>
      </c>
    </row>
    <row r="23" spans="1:6" x14ac:dyDescent="0.35">
      <c r="A23" s="136">
        <v>14</v>
      </c>
      <c r="B23" s="137">
        <f t="shared" ca="1" si="0"/>
        <v>-0.86134544951739356</v>
      </c>
      <c r="C23" s="138">
        <f t="shared" ca="1" si="1"/>
        <v>-8.6134544951739361E-3</v>
      </c>
      <c r="D23" s="139">
        <f t="shared" ca="1" si="2"/>
        <v>0.99138654550482608</v>
      </c>
      <c r="E23" s="134">
        <f ca="1">F23/MAX($F$9:F23)-1</f>
        <v>-8.207862270697841E-2</v>
      </c>
      <c r="F23" s="135">
        <f t="shared" ca="1" si="3"/>
        <v>951.45510492047731</v>
      </c>
    </row>
    <row r="24" spans="1:6" x14ac:dyDescent="0.35">
      <c r="A24" s="136">
        <v>15</v>
      </c>
      <c r="B24" s="137">
        <f t="shared" ca="1" si="0"/>
        <v>-1.0131988463627219</v>
      </c>
      <c r="C24" s="138">
        <f t="shared" ca="1" si="1"/>
        <v>-1.013198846362722E-2</v>
      </c>
      <c r="D24" s="139">
        <f t="shared" ca="1" si="2"/>
        <v>0.98986801153637283</v>
      </c>
      <c r="E24" s="134">
        <f ca="1">F24/MAX($F$9:F24)-1</f>
        <v>-9.1378991512227947E-2</v>
      </c>
      <c r="F24" s="135">
        <f t="shared" ca="1" si="3"/>
        <v>941.81497277376388</v>
      </c>
    </row>
    <row r="25" spans="1:6" x14ac:dyDescent="0.35">
      <c r="A25" s="136">
        <v>16</v>
      </c>
      <c r="B25" s="137">
        <f t="shared" ca="1" si="0"/>
        <v>-0.91430710304210749</v>
      </c>
      <c r="C25" s="138">
        <f t="shared" ca="1" si="1"/>
        <v>-9.1430710304210745E-3</v>
      </c>
      <c r="D25" s="139">
        <f t="shared" ca="1" si="2"/>
        <v>0.99085692896957889</v>
      </c>
      <c r="E25" s="134">
        <f ca="1">F25/MAX($F$9:F25)-1</f>
        <v>-9.9686577932564524E-2</v>
      </c>
      <c r="F25" s="135">
        <f t="shared" ca="1" si="3"/>
        <v>933.20389158017929</v>
      </c>
    </row>
    <row r="26" spans="1:6" x14ac:dyDescent="0.35">
      <c r="A26" s="136">
        <v>17</v>
      </c>
      <c r="B26" s="137">
        <f t="shared" ca="1" si="0"/>
        <v>-0.92231536109249146</v>
      </c>
      <c r="C26" s="138">
        <f t="shared" ca="1" si="1"/>
        <v>-9.2231536109249144E-3</v>
      </c>
      <c r="D26" s="139">
        <f t="shared" ca="1" si="2"/>
        <v>0.99077684638907504</v>
      </c>
      <c r="E26" s="134">
        <f ca="1">F26/MAX($F$9:F26)-1</f>
        <v>-0.10799030692226996</v>
      </c>
      <c r="F26" s="135">
        <f t="shared" ca="1" si="3"/>
        <v>924.59680873782236</v>
      </c>
    </row>
    <row r="27" spans="1:6" x14ac:dyDescent="0.35">
      <c r="A27" s="136">
        <v>18</v>
      </c>
      <c r="B27" s="137">
        <f t="shared" ca="1" si="0"/>
        <v>-0.92747652221132337</v>
      </c>
      <c r="C27" s="138">
        <f t="shared" ca="1" si="1"/>
        <v>-9.2747652221132331E-3</v>
      </c>
      <c r="D27" s="139">
        <f t="shared" ca="1" si="2"/>
        <v>0.99072523477788677</v>
      </c>
      <c r="E27" s="134">
        <f ca="1">F27/MAX($F$9:F27)-1</f>
        <v>-0.11626348740141523</v>
      </c>
      <c r="F27" s="135">
        <f t="shared" ca="1" si="3"/>
        <v>916.0213904116639</v>
      </c>
    </row>
    <row r="28" spans="1:6" x14ac:dyDescent="0.35">
      <c r="A28" s="136">
        <v>19</v>
      </c>
      <c r="B28" s="137">
        <f t="shared" ca="1" si="0"/>
        <v>1.5258576744928183</v>
      </c>
      <c r="C28" s="138">
        <f t="shared" ca="1" si="1"/>
        <v>1.5258576744928183E-2</v>
      </c>
      <c r="D28" s="139">
        <f t="shared" ca="1" si="2"/>
        <v>1.0152585767449283</v>
      </c>
      <c r="E28" s="134">
        <f ca="1">F28/MAX($F$9:F28)-1</f>
        <v>-0.10277892600163441</v>
      </c>
      <c r="F28" s="135">
        <f t="shared" ca="1" si="3"/>
        <v>929.99857309725621</v>
      </c>
    </row>
    <row r="29" spans="1:6" x14ac:dyDescent="0.35">
      <c r="A29" s="136">
        <v>20</v>
      </c>
      <c r="B29" s="137">
        <f t="shared" ca="1" si="0"/>
        <v>-0.75275416217812907</v>
      </c>
      <c r="C29" s="138">
        <f t="shared" ca="1" si="1"/>
        <v>-7.527541621781291E-3</v>
      </c>
      <c r="D29" s="139">
        <f t="shared" ca="1" si="2"/>
        <v>0.99247245837821874</v>
      </c>
      <c r="E29" s="134">
        <f ca="1">F29/MAX($F$9:F29)-1</f>
        <v>-0.10953279498009638</v>
      </c>
      <c r="F29" s="135">
        <f t="shared" ca="1" si="3"/>
        <v>922.99797013006946</v>
      </c>
    </row>
    <row r="30" spans="1:6" x14ac:dyDescent="0.35">
      <c r="A30" s="136">
        <v>21</v>
      </c>
      <c r="B30" s="137">
        <f t="shared" ca="1" si="0"/>
        <v>-1.0458204962546378</v>
      </c>
      <c r="C30" s="138">
        <f t="shared" ca="1" si="1"/>
        <v>-1.0458204962546378E-2</v>
      </c>
      <c r="D30" s="139">
        <f t="shared" ca="1" si="2"/>
        <v>0.98954179503745365</v>
      </c>
      <c r="E30" s="134">
        <f ca="1">F30/MAX($F$9:F30)-1</f>
        <v>-0.11884548352262025</v>
      </c>
      <c r="F30" s="135">
        <f t="shared" ca="1" si="3"/>
        <v>913.34506817843499</v>
      </c>
    </row>
    <row r="31" spans="1:6" x14ac:dyDescent="0.35">
      <c r="A31" s="136">
        <v>22</v>
      </c>
      <c r="B31" s="137">
        <f t="shared" ca="1" si="0"/>
        <v>-0.883466217010343</v>
      </c>
      <c r="C31" s="138">
        <f t="shared" ca="1" si="1"/>
        <v>-8.8346621701034297E-3</v>
      </c>
      <c r="D31" s="139">
        <f t="shared" ca="1" si="2"/>
        <v>0.99116533782989658</v>
      </c>
      <c r="E31" s="134">
        <f ca="1">F31/MAX($F$9:F31)-1</f>
        <v>-0.12663018599535869</v>
      </c>
      <c r="F31" s="135">
        <f t="shared" ca="1" si="3"/>
        <v>905.27597305634845</v>
      </c>
    </row>
    <row r="32" spans="1:6" x14ac:dyDescent="0.35">
      <c r="A32" s="136">
        <v>23</v>
      </c>
      <c r="B32" s="137">
        <f t="shared" ca="1" si="0"/>
        <v>1.5897564974209062</v>
      </c>
      <c r="C32" s="138">
        <f t="shared" ca="1" si="1"/>
        <v>1.5897564974209064E-2</v>
      </c>
      <c r="D32" s="139">
        <f t="shared" ca="1" si="2"/>
        <v>1.015897564974209</v>
      </c>
      <c r="E32" s="134">
        <f ca="1">F32/MAX($F$9:F32)-1</f>
        <v>-0.11274573263070709</v>
      </c>
      <c r="F32" s="135">
        <f t="shared" ca="1" si="3"/>
        <v>919.66765665760204</v>
      </c>
    </row>
    <row r="33" spans="1:6" x14ac:dyDescent="0.35">
      <c r="A33" s="136">
        <v>24</v>
      </c>
      <c r="B33" s="137">
        <f t="shared" ca="1" si="0"/>
        <v>-1.0027093638906042</v>
      </c>
      <c r="C33" s="138">
        <f t="shared" ca="1" si="1"/>
        <v>-1.0027093638906042E-2</v>
      </c>
      <c r="D33" s="139">
        <f t="shared" ca="1" si="2"/>
        <v>0.98997290636109392</v>
      </c>
      <c r="E33" s="134">
        <f ca="1">F33/MAX($F$9:F33)-1</f>
        <v>-0.12164231425113803</v>
      </c>
      <c r="F33" s="135">
        <f t="shared" ca="1" si="3"/>
        <v>910.44606294762298</v>
      </c>
    </row>
    <row r="34" spans="1:6" x14ac:dyDescent="0.35">
      <c r="A34" s="136">
        <v>25</v>
      </c>
      <c r="B34" s="137">
        <f t="shared" ca="1" si="0"/>
        <v>-0.99391669599025789</v>
      </c>
      <c r="C34" s="138">
        <f t="shared" ca="1" si="1"/>
        <v>-9.9391669599025786E-3</v>
      </c>
      <c r="D34" s="139">
        <f t="shared" ca="1" si="2"/>
        <v>0.9900608330400974</v>
      </c>
      <c r="E34" s="134">
        <f ca="1">F34/MAX($F$9:F34)-1</f>
        <v>-0.13037245794030949</v>
      </c>
      <c r="F34" s="135">
        <f t="shared" ca="1" si="3"/>
        <v>901.39698752000061</v>
      </c>
    </row>
    <row r="35" spans="1:6" x14ac:dyDescent="0.35">
      <c r="A35" s="136">
        <v>26</v>
      </c>
      <c r="B35" s="137">
        <f t="shared" ca="1" si="0"/>
        <v>-1.0091650339065412</v>
      </c>
      <c r="C35" s="138">
        <f t="shared" ca="1" si="1"/>
        <v>-1.0091650339065412E-2</v>
      </c>
      <c r="D35" s="139">
        <f t="shared" ca="1" si="2"/>
        <v>0.98990834966093455</v>
      </c>
      <c r="E35" s="134">
        <f ca="1">F35/MAX($F$9:F35)-1</f>
        <v>-0.13914843501999685</v>
      </c>
      <c r="F35" s="135">
        <f t="shared" ca="1" si="3"/>
        <v>892.30040430526185</v>
      </c>
    </row>
    <row r="36" spans="1:6" x14ac:dyDescent="0.35">
      <c r="A36" s="136">
        <v>27</v>
      </c>
      <c r="B36" s="137">
        <f t="shared" ca="1" si="0"/>
        <v>-1.0867422853527116</v>
      </c>
      <c r="C36" s="138">
        <f t="shared" ca="1" si="1"/>
        <v>-1.0867422853527115E-2</v>
      </c>
      <c r="D36" s="139">
        <f t="shared" ca="1" si="2"/>
        <v>0.98913257714647285</v>
      </c>
      <c r="E36" s="134">
        <f ca="1">F36/MAX($F$9:F36)-1</f>
        <v>-0.14850367299075506</v>
      </c>
      <c r="F36" s="135">
        <f t="shared" ca="1" si="3"/>
        <v>882.60339849930335</v>
      </c>
    </row>
    <row r="37" spans="1:6" x14ac:dyDescent="0.35">
      <c r="A37" s="136">
        <v>28</v>
      </c>
      <c r="B37" s="137">
        <f t="shared" ca="1" si="0"/>
        <v>2.1219836989386747</v>
      </c>
      <c r="C37" s="138">
        <f t="shared" ca="1" si="1"/>
        <v>2.1219836989386748E-2</v>
      </c>
      <c r="D37" s="139">
        <f t="shared" ca="1" si="2"/>
        <v>1.0212198369893868</v>
      </c>
      <c r="E37" s="134">
        <f ca="1">F37/MAX($F$9:F37)-1</f>
        <v>-0.13043505973455738</v>
      </c>
      <c r="F37" s="135">
        <f t="shared" ca="1" si="3"/>
        <v>901.33209874173735</v>
      </c>
    </row>
    <row r="38" spans="1:6" x14ac:dyDescent="0.35">
      <c r="A38" s="136">
        <v>29</v>
      </c>
      <c r="B38" s="137">
        <f t="shared" ca="1" si="0"/>
        <v>-0.95046064258050622</v>
      </c>
      <c r="C38" s="138">
        <f t="shared" ca="1" si="1"/>
        <v>-9.5046064258050619E-3</v>
      </c>
      <c r="D38" s="139">
        <f t="shared" ca="1" si="2"/>
        <v>0.99049539357419492</v>
      </c>
      <c r="E38" s="134">
        <f ca="1">F38/MAX($F$9:F38)-1</f>
        <v>-0.138699932253459</v>
      </c>
      <c r="F38" s="135">
        <f t="shared" ca="1" si="3"/>
        <v>892.76529188425229</v>
      </c>
    </row>
    <row r="39" spans="1:6" x14ac:dyDescent="0.35">
      <c r="A39" s="136">
        <v>30</v>
      </c>
      <c r="B39" s="137">
        <f t="shared" ca="1" si="0"/>
        <v>1.8164032956259499</v>
      </c>
      <c r="C39" s="138">
        <f t="shared" ca="1" si="1"/>
        <v>1.8164032956259499E-2</v>
      </c>
      <c r="D39" s="139">
        <f t="shared" ca="1" si="2"/>
        <v>1.0181640329562596</v>
      </c>
      <c r="E39" s="134">
        <f ca="1">F39/MAX($F$9:F39)-1</f>
        <v>-0.12305524943768231</v>
      </c>
      <c r="F39" s="135">
        <f t="shared" ca="1" si="3"/>
        <v>908.98151006824253</v>
      </c>
    </row>
    <row r="40" spans="1:6" x14ac:dyDescent="0.35">
      <c r="A40" s="136">
        <v>31</v>
      </c>
      <c r="B40" s="137">
        <f t="shared" ca="1" si="0"/>
        <v>1.9119983776771812</v>
      </c>
      <c r="C40" s="138">
        <f t="shared" ca="1" si="1"/>
        <v>1.9119983776771814E-2</v>
      </c>
      <c r="D40" s="139">
        <f t="shared" ca="1" si="2"/>
        <v>1.0191199837767717</v>
      </c>
      <c r="E40" s="134">
        <f ca="1">F40/MAX($F$9:F40)-1</f>
        <v>-0.10628808003380563</v>
      </c>
      <c r="F40" s="135">
        <f t="shared" ca="1" si="3"/>
        <v>926.3612217941328</v>
      </c>
    </row>
    <row r="41" spans="1:6" x14ac:dyDescent="0.35">
      <c r="A41" s="136">
        <v>32</v>
      </c>
      <c r="B41" s="137">
        <f t="shared" ca="1" si="0"/>
        <v>-1.0647362141583314</v>
      </c>
      <c r="C41" s="138">
        <f t="shared" ca="1" si="1"/>
        <v>-1.0647362141583315E-2</v>
      </c>
      <c r="D41" s="139">
        <f t="shared" ca="1" si="2"/>
        <v>0.98935263785841665</v>
      </c>
      <c r="E41" s="134">
        <f ca="1">F41/MAX($F$9:F41)-1</f>
        <v>-0.1158037544959355</v>
      </c>
      <c r="F41" s="135">
        <f t="shared" ca="1" si="3"/>
        <v>916.49791839177101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-0.75722126061552619</v>
      </c>
      <c r="C42" s="138">
        <f t="shared" ref="C42:C73" ca="1" si="5">B42*$E$2</f>
        <v>-7.5722126061552623E-3</v>
      </c>
      <c r="D42" s="139">
        <f t="shared" ref="D42:D73" ca="1" si="6">C42+1</f>
        <v>0.99242778739384474</v>
      </c>
      <c r="E42" s="134">
        <f ca="1">F42/MAX($F$9:F42)-1</f>
        <v>-0.1224990764524565</v>
      </c>
      <c r="F42" s="135">
        <f t="shared" ref="F42:F73" ca="1" si="7">F41*D42</f>
        <v>909.55800130060982</v>
      </c>
    </row>
    <row r="43" spans="1:6" x14ac:dyDescent="0.35">
      <c r="A43" s="136">
        <v>34</v>
      </c>
      <c r="B43" s="137">
        <f t="shared" ca="1" si="4"/>
        <v>2.247046958008557</v>
      </c>
      <c r="C43" s="138">
        <f t="shared" ca="1" si="5"/>
        <v>2.247046958008557E-2</v>
      </c>
      <c r="D43" s="139">
        <f t="shared" ca="1" si="6"/>
        <v>1.0224704695800855</v>
      </c>
      <c r="E43" s="134">
        <f ca="1">F43/MAX($F$9:F43)-1</f>
        <v>-0.10278121864338452</v>
      </c>
      <c r="F43" s="135">
        <f t="shared" ca="1" si="7"/>
        <v>929.99619670015852</v>
      </c>
    </row>
    <row r="44" spans="1:6" x14ac:dyDescent="0.35">
      <c r="A44" s="136">
        <v>35</v>
      </c>
      <c r="B44" s="137">
        <f t="shared" ca="1" si="4"/>
        <v>1.5220402309175551</v>
      </c>
      <c r="C44" s="138">
        <f t="shared" ca="1" si="5"/>
        <v>1.5220402309175552E-2</v>
      </c>
      <c r="D44" s="139">
        <f t="shared" ca="1" si="6"/>
        <v>1.0152204023091755</v>
      </c>
      <c r="E44" s="134">
        <f ca="1">F44/MAX($F$9:F44)-1</f>
        <v>-8.9125187831788577E-2</v>
      </c>
      <c r="F44" s="135">
        <f t="shared" ca="1" si="7"/>
        <v>944.15111295993813</v>
      </c>
    </row>
    <row r="45" spans="1:6" x14ac:dyDescent="0.35">
      <c r="A45" s="136">
        <v>36</v>
      </c>
      <c r="B45" s="137">
        <f t="shared" ca="1" si="4"/>
        <v>2.0614876283452315</v>
      </c>
      <c r="C45" s="138">
        <f t="shared" ca="1" si="5"/>
        <v>2.0614876283452314E-2</v>
      </c>
      <c r="D45" s="139">
        <f t="shared" ca="1" si="6"/>
        <v>1.0206148762834524</v>
      </c>
      <c r="E45" s="134">
        <f ca="1">F45/MAX($F$9:F45)-1</f>
        <v>-7.0347616269227919E-2</v>
      </c>
      <c r="F45" s="135">
        <f t="shared" ca="1" si="7"/>
        <v>963.61467134649115</v>
      </c>
    </row>
    <row r="46" spans="1:6" x14ac:dyDescent="0.35">
      <c r="A46" s="136">
        <v>37</v>
      </c>
      <c r="B46" s="137">
        <f t="shared" ca="1" si="4"/>
        <v>-1.0032273736972286</v>
      </c>
      <c r="C46" s="138">
        <f t="shared" ca="1" si="5"/>
        <v>-1.0032273736972287E-2</v>
      </c>
      <c r="D46" s="139">
        <f t="shared" ca="1" si="6"/>
        <v>0.98996772626302776</v>
      </c>
      <c r="E46" s="134">
        <f ca="1">F46/MAX($F$9:F46)-1</f>
        <v>-7.9674143463043801E-2</v>
      </c>
      <c r="F46" s="135">
        <f t="shared" ca="1" si="7"/>
        <v>953.94742518658063</v>
      </c>
    </row>
    <row r="47" spans="1:6" x14ac:dyDescent="0.35">
      <c r="A47" s="136">
        <v>38</v>
      </c>
      <c r="B47" s="137">
        <f t="shared" ca="1" si="4"/>
        <v>-0.90678489452123767</v>
      </c>
      <c r="C47" s="138">
        <f t="shared" ca="1" si="5"/>
        <v>-9.067848945212377E-3</v>
      </c>
      <c r="D47" s="139">
        <f t="shared" ca="1" si="6"/>
        <v>0.9909321510547876</v>
      </c>
      <c r="E47" s="134">
        <f ca="1">F47/MAX($F$9:F47)-1</f>
        <v>-8.8019519310494121E-2</v>
      </c>
      <c r="F47" s="135">
        <f t="shared" ca="1" si="7"/>
        <v>945.29717403331438</v>
      </c>
    </row>
    <row r="48" spans="1:6" x14ac:dyDescent="0.35">
      <c r="A48" s="136">
        <v>39</v>
      </c>
      <c r="B48" s="137">
        <f t="shared" ca="1" si="4"/>
        <v>-0.76739316019502746</v>
      </c>
      <c r="C48" s="138">
        <f t="shared" ca="1" si="5"/>
        <v>-7.6739316019502745E-3</v>
      </c>
      <c r="D48" s="139">
        <f t="shared" ca="1" si="6"/>
        <v>0.99232606839804971</v>
      </c>
      <c r="E48" s="134">
        <f ca="1">F48/MAX($F$9:F48)-1</f>
        <v>-9.5017995141619238E-2</v>
      </c>
      <c r="F48" s="135">
        <f t="shared" ca="1" si="7"/>
        <v>938.04302817626581</v>
      </c>
    </row>
    <row r="49" spans="1:6" x14ac:dyDescent="0.35">
      <c r="A49" s="136">
        <v>40</v>
      </c>
      <c r="B49" s="137">
        <f t="shared" ca="1" si="4"/>
        <v>-0.79984520669321968</v>
      </c>
      <c r="C49" s="138">
        <f t="shared" ca="1" si="5"/>
        <v>-7.9984520669321973E-3</v>
      </c>
      <c r="D49" s="139">
        <f t="shared" ca="1" si="6"/>
        <v>0.99200154793306783</v>
      </c>
      <c r="E49" s="134">
        <f ca="1">F49/MAX($F$9:F49)-1</f>
        <v>-0.10225645032891517</v>
      </c>
      <c r="F49" s="135">
        <f t="shared" ca="1" si="7"/>
        <v>930.54013597867799</v>
      </c>
    </row>
    <row r="50" spans="1:6" x14ac:dyDescent="0.35">
      <c r="A50" s="136">
        <v>41</v>
      </c>
      <c r="B50" s="137">
        <f t="shared" ca="1" si="4"/>
        <v>-0.97263740597433035</v>
      </c>
      <c r="C50" s="138">
        <f t="shared" ca="1" si="5"/>
        <v>-9.7263740597433035E-3</v>
      </c>
      <c r="D50" s="139">
        <f t="shared" ca="1" si="6"/>
        <v>0.9902736259402567</v>
      </c>
      <c r="E50" s="134">
        <f ca="1">F50/MAX($F$9:F50)-1</f>
        <v>-0.11098823990273787</v>
      </c>
      <c r="F50" s="135">
        <f t="shared" ca="1" si="7"/>
        <v>921.48935453854494</v>
      </c>
    </row>
    <row r="51" spans="1:6" x14ac:dyDescent="0.35">
      <c r="A51" s="136">
        <v>42</v>
      </c>
      <c r="B51" s="137">
        <f t="shared" ca="1" si="4"/>
        <v>2.1567861480236066</v>
      </c>
      <c r="C51" s="138">
        <f t="shared" ca="1" si="5"/>
        <v>2.1567861480236067E-2</v>
      </c>
      <c r="D51" s="139">
        <f t="shared" ca="1" si="6"/>
        <v>1.0215678614802362</v>
      </c>
      <c r="E51" s="134">
        <f ca="1">F51/MAX($F$9:F51)-1</f>
        <v>-9.1814157406659214E-2</v>
      </c>
      <c r="F51" s="135">
        <f t="shared" ca="1" si="7"/>
        <v>941.36390929274455</v>
      </c>
    </row>
    <row r="52" spans="1:6" x14ac:dyDescent="0.35">
      <c r="A52" s="136">
        <v>43</v>
      </c>
      <c r="B52" s="137">
        <f t="shared" ca="1" si="4"/>
        <v>-0.77483256202196849</v>
      </c>
      <c r="C52" s="138">
        <f t="shared" ca="1" si="5"/>
        <v>-7.748325620219685E-3</v>
      </c>
      <c r="D52" s="139">
        <f t="shared" ca="1" si="6"/>
        <v>0.99225167437978035</v>
      </c>
      <c r="E52" s="134">
        <f ca="1">F52/MAX($F$9:F52)-1</f>
        <v>-9.885107703874596E-2</v>
      </c>
      <c r="F52" s="135">
        <f t="shared" ca="1" si="7"/>
        <v>934.06991519642145</v>
      </c>
    </row>
    <row r="53" spans="1:6" x14ac:dyDescent="0.35">
      <c r="A53" s="136">
        <v>44</v>
      </c>
      <c r="B53" s="137">
        <f t="shared" ca="1" si="4"/>
        <v>-0.80046609595139517</v>
      </c>
      <c r="C53" s="138">
        <f t="shared" ca="1" si="5"/>
        <v>-8.0046609595139512E-3</v>
      </c>
      <c r="D53" s="139">
        <f t="shared" ca="1" si="6"/>
        <v>0.99199533904048609</v>
      </c>
      <c r="E53" s="134">
        <f ca="1">F53/MAX($F$9:F53)-1</f>
        <v>-0.10606446864108199</v>
      </c>
      <c r="F53" s="135">
        <f t="shared" ca="1" si="7"/>
        <v>926.59300221279216</v>
      </c>
    </row>
    <row r="54" spans="1:6" x14ac:dyDescent="0.35">
      <c r="A54" s="136">
        <v>45</v>
      </c>
      <c r="B54" s="137">
        <f t="shared" ca="1" si="4"/>
        <v>-0.86700906320459181</v>
      </c>
      <c r="C54" s="138">
        <f t="shared" ca="1" si="5"/>
        <v>-8.6700906320459192E-3</v>
      </c>
      <c r="D54" s="139">
        <f t="shared" ca="1" si="6"/>
        <v>0.99132990936795407</v>
      </c>
      <c r="E54" s="134">
        <f ca="1">F54/MAX($F$9:F54)-1</f>
        <v>-0.11381497071716984</v>
      </c>
      <c r="F54" s="135">
        <f t="shared" ca="1" si="7"/>
        <v>918.55935690458773</v>
      </c>
    </row>
    <row r="55" spans="1:6" x14ac:dyDescent="0.35">
      <c r="A55" s="136">
        <v>46</v>
      </c>
      <c r="B55" s="137">
        <f t="shared" ca="1" si="4"/>
        <v>-1.0307595163875802</v>
      </c>
      <c r="C55" s="138">
        <f t="shared" ca="1" si="5"/>
        <v>-1.0307595163875803E-2</v>
      </c>
      <c r="D55" s="139">
        <f t="shared" ca="1" si="6"/>
        <v>0.9896924048361242</v>
      </c>
      <c r="E55" s="134">
        <f ca="1">F55/MAX($F$9:F55)-1</f>
        <v>-0.1229494072393047</v>
      </c>
      <c r="F55" s="135">
        <f t="shared" ca="1" si="7"/>
        <v>909.09121891962513</v>
      </c>
    </row>
    <row r="56" spans="1:6" x14ac:dyDescent="0.35">
      <c r="A56" s="136">
        <v>47</v>
      </c>
      <c r="B56" s="137">
        <f t="shared" ca="1" si="4"/>
        <v>2.2687565070258922</v>
      </c>
      <c r="C56" s="138">
        <f t="shared" ca="1" si="5"/>
        <v>2.2687565070258923E-2</v>
      </c>
      <c r="D56" s="139">
        <f t="shared" ca="1" si="6"/>
        <v>1.0226875650702589</v>
      </c>
      <c r="E56" s="134">
        <f ca="1">F56/MAX($F$9:F56)-1</f>
        <v>-0.10305126484613736</v>
      </c>
      <c r="F56" s="135">
        <f t="shared" ca="1" si="7"/>
        <v>929.71628510366509</v>
      </c>
    </row>
    <row r="57" spans="1:6" x14ac:dyDescent="0.35">
      <c r="A57" s="136">
        <v>48</v>
      </c>
      <c r="B57" s="137">
        <f t="shared" ca="1" si="4"/>
        <v>-0.78509618380302892</v>
      </c>
      <c r="C57" s="138">
        <f t="shared" ca="1" si="5"/>
        <v>-7.8509618380302893E-3</v>
      </c>
      <c r="D57" s="139">
        <f t="shared" ca="1" si="6"/>
        <v>0.99214903816196975</v>
      </c>
      <c r="E57" s="134">
        <f ca="1">F57/MAX($F$9:F57)-1</f>
        <v>-0.11009317513649985</v>
      </c>
      <c r="F57" s="135">
        <f t="shared" ca="1" si="7"/>
        <v>922.41711802912096</v>
      </c>
    </row>
    <row r="58" spans="1:6" x14ac:dyDescent="0.35">
      <c r="A58" s="136">
        <v>49</v>
      </c>
      <c r="B58" s="137">
        <f t="shared" ca="1" si="4"/>
        <v>-0.92413636117918718</v>
      </c>
      <c r="C58" s="138">
        <f t="shared" ca="1" si="5"/>
        <v>-9.2413636117918713E-3</v>
      </c>
      <c r="D58" s="139">
        <f t="shared" ca="1" si="6"/>
        <v>0.99075863638820816</v>
      </c>
      <c r="E58" s="134">
        <f ca="1">F58/MAX($F$9:F58)-1</f>
        <v>-0.11831712768567859</v>
      </c>
      <c r="F58" s="135">
        <f t="shared" ca="1" si="7"/>
        <v>913.89272603967277</v>
      </c>
    </row>
    <row r="59" spans="1:6" x14ac:dyDescent="0.35">
      <c r="A59" s="136">
        <v>50</v>
      </c>
      <c r="B59" s="137">
        <f t="shared" ca="1" si="4"/>
        <v>-0.88429242799326158</v>
      </c>
      <c r="C59" s="138">
        <f t="shared" ca="1" si="5"/>
        <v>-8.8429242799326156E-3</v>
      </c>
      <c r="D59" s="139">
        <f t="shared" ca="1" si="6"/>
        <v>0.99115707572006739</v>
      </c>
      <c r="E59" s="134">
        <f ca="1">F59/MAX($F$9:F59)-1</f>
        <v>-0.12611378256446759</v>
      </c>
      <c r="F59" s="135">
        <f t="shared" ca="1" si="7"/>
        <v>905.81124186332272</v>
      </c>
    </row>
    <row r="60" spans="1:6" x14ac:dyDescent="0.35">
      <c r="A60" s="136">
        <v>51</v>
      </c>
      <c r="B60" s="137">
        <f t="shared" ca="1" si="4"/>
        <v>1.7492859555150491</v>
      </c>
      <c r="C60" s="138">
        <f t="shared" ca="1" si="5"/>
        <v>1.7492859555150491E-2</v>
      </c>
      <c r="D60" s="139">
        <f t="shared" ca="1" si="6"/>
        <v>1.0174928595551505</v>
      </c>
      <c r="E60" s="134">
        <f ca="1">F60/MAX($F$9:F60)-1</f>
        <v>-0.11082701369568615</v>
      </c>
      <c r="F60" s="135">
        <f t="shared" ca="1" si="7"/>
        <v>921.65647070071429</v>
      </c>
    </row>
    <row r="61" spans="1:6" x14ac:dyDescent="0.35">
      <c r="A61" s="136">
        <v>52</v>
      </c>
      <c r="B61" s="137">
        <f t="shared" ca="1" si="4"/>
        <v>-0.98212605954051568</v>
      </c>
      <c r="C61" s="138">
        <f t="shared" ca="1" si="5"/>
        <v>-9.8212605954051575E-3</v>
      </c>
      <c r="D61" s="139">
        <f t="shared" ca="1" si="6"/>
        <v>0.99017873940459489</v>
      </c>
      <c r="E61" s="134">
        <f ca="1">F61/MAX($F$9:F61)-1</f>
        <v>-0.11955981330857535</v>
      </c>
      <c r="F61" s="135">
        <f t="shared" ca="1" si="7"/>
        <v>912.60464232252127</v>
      </c>
    </row>
    <row r="62" spans="1:6" x14ac:dyDescent="0.35">
      <c r="A62" s="136">
        <v>53</v>
      </c>
      <c r="B62" s="137">
        <f t="shared" ca="1" si="4"/>
        <v>2.0772336566305087</v>
      </c>
      <c r="C62" s="138">
        <f t="shared" ca="1" si="5"/>
        <v>2.0772336566305089E-2</v>
      </c>
      <c r="D62" s="139">
        <f t="shared" ca="1" si="6"/>
        <v>1.0207723365663051</v>
      </c>
      <c r="E62" s="134">
        <f ca="1">F62/MAX($F$9:F62)-1</f>
        <v>-0.10127101342412059</v>
      </c>
      <c r="F62" s="135">
        <f t="shared" ca="1" si="7"/>
        <v>931.56157310481717</v>
      </c>
    </row>
    <row r="63" spans="1:6" x14ac:dyDescent="0.35">
      <c r="A63" s="136">
        <v>54</v>
      </c>
      <c r="B63" s="137">
        <f t="shared" ca="1" si="4"/>
        <v>-0.75152699711189819</v>
      </c>
      <c r="C63" s="138">
        <f t="shared" ca="1" si="5"/>
        <v>-7.5152699711189819E-3</v>
      </c>
      <c r="D63" s="139">
        <f t="shared" ca="1" si="6"/>
        <v>0.99248473002888105</v>
      </c>
      <c r="E63" s="134">
        <f ca="1">F63/MAX($F$9:F63)-1</f>
        <v>-0.10802520438910845</v>
      </c>
      <c r="F63" s="135">
        <f t="shared" ca="1" si="7"/>
        <v>924.56063638821422</v>
      </c>
    </row>
    <row r="64" spans="1:6" x14ac:dyDescent="0.35">
      <c r="A64" s="136">
        <v>55</v>
      </c>
      <c r="B64" s="137">
        <f t="shared" ca="1" si="4"/>
        <v>-0.96079758084636857</v>
      </c>
      <c r="C64" s="138">
        <f t="shared" ca="1" si="5"/>
        <v>-9.6079758084636861E-3</v>
      </c>
      <c r="D64" s="139">
        <f t="shared" ca="1" si="6"/>
        <v>0.99039202419153627</v>
      </c>
      <c r="E64" s="134">
        <f ca="1">F64/MAX($F$9:F64)-1</f>
        <v>-0.11659527664709723</v>
      </c>
      <c r="F64" s="135">
        <f t="shared" ca="1" si="7"/>
        <v>915.6774801603384</v>
      </c>
    </row>
    <row r="65" spans="1:6" x14ac:dyDescent="0.35">
      <c r="A65" s="136">
        <v>56</v>
      </c>
      <c r="B65" s="137">
        <f t="shared" ca="1" si="4"/>
        <v>-0.93497632064268954</v>
      </c>
      <c r="C65" s="138">
        <f t="shared" ca="1" si="5"/>
        <v>-9.3497632064268952E-3</v>
      </c>
      <c r="D65" s="139">
        <f t="shared" ca="1" si="6"/>
        <v>0.99065023679357311</v>
      </c>
      <c r="E65" s="134">
        <f ca="1">F65/MAX($F$9:F65)-1</f>
        <v>-0.12485490162588597</v>
      </c>
      <c r="F65" s="135">
        <f t="shared" ca="1" si="7"/>
        <v>907.11611254738159</v>
      </c>
    </row>
    <row r="66" spans="1:6" x14ac:dyDescent="0.35">
      <c r="A66" s="136">
        <v>57</v>
      </c>
      <c r="B66" s="137">
        <f t="shared" ca="1" si="4"/>
        <v>-1.0307930938485752</v>
      </c>
      <c r="C66" s="138">
        <f t="shared" ca="1" si="5"/>
        <v>-1.0307930938485753E-2</v>
      </c>
      <c r="D66" s="139">
        <f t="shared" ca="1" si="6"/>
        <v>0.9896920690615143</v>
      </c>
      <c r="E66" s="134">
        <f ca="1">F66/MAX($F$9:F66)-1</f>
        <v>-0.13387583686108062</v>
      </c>
      <c r="F66" s="135">
        <f t="shared" ca="1" si="7"/>
        <v>897.76562230605555</v>
      </c>
    </row>
    <row r="67" spans="1:6" x14ac:dyDescent="0.35">
      <c r="A67" s="136">
        <v>58</v>
      </c>
      <c r="B67" s="137">
        <f t="shared" ca="1" si="4"/>
        <v>1.8652405203267839</v>
      </c>
      <c r="C67" s="138">
        <f t="shared" ca="1" si="5"/>
        <v>1.865240520326784E-2</v>
      </c>
      <c r="D67" s="139">
        <f t="shared" ca="1" si="6"/>
        <v>1.0186524052032679</v>
      </c>
      <c r="E67" s="134">
        <f ca="1">F67/MAX($F$9:F67)-1</f>
        <v>-0.11772053801387206</v>
      </c>
      <c r="F67" s="135">
        <f t="shared" ca="1" si="7"/>
        <v>914.51111047087215</v>
      </c>
    </row>
    <row r="68" spans="1:6" x14ac:dyDescent="0.35">
      <c r="A68" s="136">
        <v>59</v>
      </c>
      <c r="B68" s="137">
        <f t="shared" ca="1" si="4"/>
        <v>-1.0703311710145966</v>
      </c>
      <c r="C68" s="138">
        <f t="shared" ca="1" si="5"/>
        <v>-1.0703311710145966E-2</v>
      </c>
      <c r="D68" s="139">
        <f t="shared" ca="1" si="6"/>
        <v>0.98929668828985406</v>
      </c>
      <c r="E68" s="134">
        <f ca="1">F68/MAX($F$9:F68)-1</f>
        <v>-0.12716385011096953</v>
      </c>
      <c r="F68" s="135">
        <f t="shared" ca="1" si="7"/>
        <v>904.72281299311067</v>
      </c>
    </row>
    <row r="69" spans="1:6" x14ac:dyDescent="0.35">
      <c r="A69" s="136">
        <v>60</v>
      </c>
      <c r="B69" s="137">
        <f t="shared" ca="1" si="4"/>
        <v>-1.0416383437836054</v>
      </c>
      <c r="C69" s="138">
        <f t="shared" ca="1" si="5"/>
        <v>-1.0416383437836055E-2</v>
      </c>
      <c r="D69" s="139">
        <f t="shared" ca="1" si="6"/>
        <v>0.98958361656216398</v>
      </c>
      <c r="E69" s="134">
        <f ca="1">F69/MAX($F$9:F69)-1</f>
        <v>-0.13625564612661811</v>
      </c>
      <c r="F69" s="135">
        <f t="shared" ca="1" si="7"/>
        <v>895.29887326801679</v>
      </c>
    </row>
    <row r="70" spans="1:6" x14ac:dyDescent="0.35">
      <c r="A70" s="136">
        <v>61</v>
      </c>
      <c r="B70" s="137">
        <f t="shared" ca="1" si="4"/>
        <v>1.8593294500962685</v>
      </c>
      <c r="C70" s="138">
        <f t="shared" ca="1" si="5"/>
        <v>1.8593294500962684E-2</v>
      </c>
      <c r="D70" s="139">
        <f t="shared" ca="1" si="6"/>
        <v>1.0185932945009626</v>
      </c>
      <c r="E70" s="134">
        <f ca="1">F70/MAX($F$9:F70)-1</f>
        <v>-0.12019579298150673</v>
      </c>
      <c r="F70" s="135">
        <f t="shared" ca="1" si="7"/>
        <v>911.94542888506896</v>
      </c>
    </row>
    <row r="71" spans="1:6" x14ac:dyDescent="0.35">
      <c r="A71" s="136">
        <v>62</v>
      </c>
      <c r="B71" s="137">
        <f t="shared" ca="1" si="4"/>
        <v>-1.0236736188227606</v>
      </c>
      <c r="C71" s="138">
        <f t="shared" ca="1" si="5"/>
        <v>-1.0236736188227607E-2</v>
      </c>
      <c r="D71" s="139">
        <f t="shared" ca="1" si="6"/>
        <v>0.98976326381177238</v>
      </c>
      <c r="E71" s="134">
        <f ca="1">F71/MAX($F$9:F71)-1</f>
        <v>-0.12920211654604796</v>
      </c>
      <c r="F71" s="135">
        <f t="shared" ca="1" si="7"/>
        <v>902.61008411151238</v>
      </c>
    </row>
    <row r="72" spans="1:6" x14ac:dyDescent="0.35">
      <c r="A72" s="136">
        <v>63</v>
      </c>
      <c r="B72" s="137">
        <f t="shared" ca="1" si="4"/>
        <v>-0.81454943757619536</v>
      </c>
      <c r="C72" s="138">
        <f t="shared" ca="1" si="5"/>
        <v>-8.1454943757619542E-3</v>
      </c>
      <c r="D72" s="139">
        <f t="shared" ca="1" si="6"/>
        <v>0.99185450562423805</v>
      </c>
      <c r="E72" s="134">
        <f ca="1">F72/MAX($F$9:F72)-1</f>
        <v>-0.13629519580814753</v>
      </c>
      <c r="F72" s="135">
        <f t="shared" ca="1" si="7"/>
        <v>895.25787874787602</v>
      </c>
    </row>
    <row r="73" spans="1:6" x14ac:dyDescent="0.35">
      <c r="A73" s="136">
        <v>64</v>
      </c>
      <c r="B73" s="137">
        <f t="shared" ca="1" si="4"/>
        <v>-0.77070158127697819</v>
      </c>
      <c r="C73" s="138">
        <f t="shared" ca="1" si="5"/>
        <v>-7.7070158127697823E-3</v>
      </c>
      <c r="D73" s="139">
        <f t="shared" ca="1" si="6"/>
        <v>0.99229298418723022</v>
      </c>
      <c r="E73" s="134">
        <f ca="1">F73/MAX($F$9:F73)-1</f>
        <v>-0.14295178239161943</v>
      </c>
      <c r="F73" s="135">
        <f t="shared" ca="1" si="7"/>
        <v>888.35811211985936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-0.87819232694295812</v>
      </c>
      <c r="C74" s="138">
        <f t="shared" ref="C74:C105" ca="1" si="9">B74*$E$2</f>
        <v>-8.7819232694295816E-3</v>
      </c>
      <c r="D74" s="139">
        <f t="shared" ref="D74:D105" ca="1" si="10">C74+1</f>
        <v>0.99121807673057039</v>
      </c>
      <c r="E74" s="134">
        <f ca="1">F74/MAX($F$9:F74)-1</f>
        <v>-0.15047831407685752</v>
      </c>
      <c r="F74" s="135">
        <f t="shared" ref="F74:F109" ca="1" si="11">F73*D74</f>
        <v>880.55661934344744</v>
      </c>
    </row>
    <row r="75" spans="1:6" x14ac:dyDescent="0.35">
      <c r="A75" s="136">
        <v>66</v>
      </c>
      <c r="B75" s="137">
        <f t="shared" ca="1" si="8"/>
        <v>1.5948759168302977</v>
      </c>
      <c r="C75" s="138">
        <f t="shared" ca="1" si="9"/>
        <v>1.5948759168302979E-2</v>
      </c>
      <c r="D75" s="139">
        <f t="shared" ca="1" si="10"/>
        <v>1.015948759168303</v>
      </c>
      <c r="E75" s="134">
        <f ca="1">F75/MAX($F$9:F75)-1</f>
        <v>-0.13692949729981874</v>
      </c>
      <c r="F75" s="135">
        <f t="shared" ca="1" si="11"/>
        <v>894.60040479941108</v>
      </c>
    </row>
    <row r="76" spans="1:6" x14ac:dyDescent="0.35">
      <c r="A76" s="136">
        <v>67</v>
      </c>
      <c r="B76" s="137">
        <f t="shared" ca="1" si="8"/>
        <v>2.2458299180977219</v>
      </c>
      <c r="C76" s="138">
        <f t="shared" ca="1" si="9"/>
        <v>2.245829918097722E-2</v>
      </c>
      <c r="D76" s="139">
        <f t="shared" ca="1" si="10"/>
        <v>1.0224582991809772</v>
      </c>
      <c r="E76" s="134">
        <f ca="1">F76/MAX($F$9:F76)-1</f>
        <v>-0.11754640173590158</v>
      </c>
      <c r="F76" s="135">
        <f t="shared" ca="1" si="11"/>
        <v>914.69160833781962</v>
      </c>
    </row>
    <row r="77" spans="1:6" x14ac:dyDescent="0.35">
      <c r="A77" s="136">
        <v>68</v>
      </c>
      <c r="B77" s="137">
        <f t="shared" ca="1" si="8"/>
        <v>1.825930325639298</v>
      </c>
      <c r="C77" s="138">
        <f t="shared" ca="1" si="9"/>
        <v>1.8259303256392981E-2</v>
      </c>
      <c r="D77" s="139">
        <f t="shared" ca="1" si="10"/>
        <v>1.0182593032563929</v>
      </c>
      <c r="E77" s="134">
        <f ca="1">F77/MAX($F$9:F77)-1</f>
        <v>-0.1014334138755022</v>
      </c>
      <c r="F77" s="135">
        <f t="shared" ca="1" si="11"/>
        <v>931.39323980053769</v>
      </c>
    </row>
    <row r="78" spans="1:6" x14ac:dyDescent="0.35">
      <c r="A78" s="136">
        <v>69</v>
      </c>
      <c r="B78" s="137">
        <f t="shared" ca="1" si="8"/>
        <v>-0.82246584255571409</v>
      </c>
      <c r="C78" s="138">
        <f t="shared" ca="1" si="9"/>
        <v>-8.2246584255571409E-3</v>
      </c>
      <c r="D78" s="139">
        <f t="shared" ca="1" si="10"/>
        <v>0.9917753415744428</v>
      </c>
      <c r="E78" s="134">
        <f ca="1">F78/MAX($F$9:F78)-1</f>
        <v>-0.10882381711899525</v>
      </c>
      <c r="F78" s="135">
        <f t="shared" ca="1" si="11"/>
        <v>923.73284854330518</v>
      </c>
    </row>
    <row r="79" spans="1:6" x14ac:dyDescent="0.35">
      <c r="A79" s="136">
        <v>70</v>
      </c>
      <c r="B79" s="137">
        <f t="shared" ca="1" si="8"/>
        <v>-0.92356615065230829</v>
      </c>
      <c r="C79" s="138">
        <f t="shared" ca="1" si="9"/>
        <v>-9.2356615065230831E-3</v>
      </c>
      <c r="D79" s="139">
        <f t="shared" ca="1" si="10"/>
        <v>0.99076433849347689</v>
      </c>
      <c r="E79" s="134">
        <f ca="1">F79/MAX($F$9:F79)-1</f>
        <v>-0.11705441868675959</v>
      </c>
      <c r="F79" s="135">
        <f t="shared" ca="1" si="11"/>
        <v>915.20156463170281</v>
      </c>
    </row>
    <row r="80" spans="1:6" x14ac:dyDescent="0.35">
      <c r="A80" s="136">
        <v>71</v>
      </c>
      <c r="B80" s="137">
        <f t="shared" ca="1" si="8"/>
        <v>2.0988020871378055</v>
      </c>
      <c r="C80" s="138">
        <f t="shared" ca="1" si="9"/>
        <v>2.0988020871378056E-2</v>
      </c>
      <c r="D80" s="139">
        <f t="shared" ca="1" si="10"/>
        <v>1.020988020871378</v>
      </c>
      <c r="E80" s="134">
        <f ca="1">F80/MAX($F$9:F80)-1</f>
        <v>-9.8523138397866417E-2</v>
      </c>
      <c r="F80" s="135">
        <f t="shared" ca="1" si="11"/>
        <v>934.40983417171071</v>
      </c>
    </row>
    <row r="81" spans="1:6" x14ac:dyDescent="0.35">
      <c r="A81" s="136">
        <v>72</v>
      </c>
      <c r="B81" s="137">
        <f t="shared" ca="1" si="8"/>
        <v>-1.0769623789333183</v>
      </c>
      <c r="C81" s="138">
        <f t="shared" ca="1" si="9"/>
        <v>-1.0769623789333183E-2</v>
      </c>
      <c r="D81" s="139">
        <f t="shared" ca="1" si="10"/>
        <v>0.98923037621066678</v>
      </c>
      <c r="E81" s="134">
        <f ca="1">F81/MAX($F$9:F81)-1</f>
        <v>-0.10823170505211022</v>
      </c>
      <c r="F81" s="135">
        <f t="shared" ca="1" si="11"/>
        <v>924.34659179262815</v>
      </c>
    </row>
    <row r="82" spans="1:6" x14ac:dyDescent="0.35">
      <c r="A82" s="136">
        <v>73</v>
      </c>
      <c r="B82" s="137">
        <f t="shared" ca="1" si="8"/>
        <v>-0.98708263946853725</v>
      </c>
      <c r="C82" s="138">
        <f t="shared" ca="1" si="9"/>
        <v>-9.8708263946853721E-3</v>
      </c>
      <c r="D82" s="139">
        <f t="shared" ca="1" si="10"/>
        <v>0.99012917360531461</v>
      </c>
      <c r="E82" s="134">
        <f ca="1">F82/MAX($F$9:F82)-1</f>
        <v>-0.11703419507582535</v>
      </c>
      <c r="F82" s="135">
        <f t="shared" ca="1" si="11"/>
        <v>915.22252705652397</v>
      </c>
    </row>
    <row r="83" spans="1:6" x14ac:dyDescent="0.35">
      <c r="A83" s="136">
        <v>74</v>
      </c>
      <c r="B83" s="137">
        <f t="shared" ca="1" si="8"/>
        <v>1.6578004833184146</v>
      </c>
      <c r="C83" s="138">
        <f t="shared" ca="1" si="9"/>
        <v>1.6578004833184147E-2</v>
      </c>
      <c r="D83" s="139">
        <f t="shared" ca="1" si="10"/>
        <v>1.0165780048331841</v>
      </c>
      <c r="E83" s="134">
        <f ca="1">F83/MAX($F$9:F83)-1</f>
        <v>-0.10239638369425619</v>
      </c>
      <c r="F83" s="135">
        <f t="shared" ca="1" si="11"/>
        <v>930.39509053350594</v>
      </c>
    </row>
    <row r="84" spans="1:6" x14ac:dyDescent="0.35">
      <c r="A84" s="136">
        <v>75</v>
      </c>
      <c r="B84" s="137">
        <f t="shared" ca="1" si="8"/>
        <v>-0.9999342206416082</v>
      </c>
      <c r="C84" s="138">
        <f t="shared" ca="1" si="9"/>
        <v>-9.9993422064160817E-3</v>
      </c>
      <c r="D84" s="139">
        <f t="shared" ca="1" si="10"/>
        <v>0.99000065779358393</v>
      </c>
      <c r="E84" s="134">
        <f ca="1">F84/MAX($F$9:F84)-1</f>
        <v>-0.11137182941941393</v>
      </c>
      <c r="F84" s="135">
        <f t="shared" ca="1" si="11"/>
        <v>921.091751636092</v>
      </c>
    </row>
    <row r="85" spans="1:6" x14ac:dyDescent="0.35">
      <c r="A85" s="136">
        <v>76</v>
      </c>
      <c r="B85" s="137">
        <f t="shared" ca="1" si="8"/>
        <v>-0.87918250058351988</v>
      </c>
      <c r="C85" s="138">
        <f t="shared" ca="1" si="9"/>
        <v>-8.7918250058351983E-3</v>
      </c>
      <c r="D85" s="139">
        <f t="shared" ca="1" si="10"/>
        <v>0.9912081749941648</v>
      </c>
      <c r="E85" s="134">
        <f ca="1">F85/MAX($F$9:F85)-1</f>
        <v>-0.11918449279041377</v>
      </c>
      <c r="F85" s="135">
        <f t="shared" ca="1" si="11"/>
        <v>912.99367414138931</v>
      </c>
    </row>
    <row r="86" spans="1:6" x14ac:dyDescent="0.35">
      <c r="A86" s="136">
        <v>77</v>
      </c>
      <c r="B86" s="137">
        <f t="shared" ca="1" si="8"/>
        <v>-1.0876071325656202</v>
      </c>
      <c r="C86" s="138">
        <f t="shared" ca="1" si="9"/>
        <v>-1.0876071325656203E-2</v>
      </c>
      <c r="D86" s="139">
        <f t="shared" ca="1" si="10"/>
        <v>0.98912392867434384</v>
      </c>
      <c r="E86" s="134">
        <f ca="1">F86/MAX($F$9:F86)-1</f>
        <v>-0.12876430507156933</v>
      </c>
      <c r="F86" s="135">
        <f t="shared" ca="1" si="11"/>
        <v>903.06388982155465</v>
      </c>
    </row>
    <row r="87" spans="1:6" x14ac:dyDescent="0.35">
      <c r="A87" s="136">
        <v>78</v>
      </c>
      <c r="B87" s="137">
        <f t="shared" ca="1" si="8"/>
        <v>-0.81126279588232897</v>
      </c>
      <c r="C87" s="138">
        <f t="shared" ca="1" si="9"/>
        <v>-8.1126279588232906E-3</v>
      </c>
      <c r="D87" s="139">
        <f t="shared" ca="1" si="10"/>
        <v>0.99188737204117672</v>
      </c>
      <c r="E87" s="134">
        <f ca="1">F87/MAX($F$9:F87)-1</f>
        <v>-0.13583231612897051</v>
      </c>
      <c r="F87" s="135">
        <f t="shared" ca="1" si="11"/>
        <v>895.73766846038461</v>
      </c>
    </row>
    <row r="88" spans="1:6" x14ac:dyDescent="0.35">
      <c r="A88" s="136">
        <v>79</v>
      </c>
      <c r="B88" s="137">
        <f t="shared" ca="1" si="8"/>
        <v>1.5841248998633846</v>
      </c>
      <c r="C88" s="138">
        <f t="shared" ca="1" si="9"/>
        <v>1.5841248998633845E-2</v>
      </c>
      <c r="D88" s="139">
        <f t="shared" ca="1" si="10"/>
        <v>1.0158412489986339</v>
      </c>
      <c r="E88" s="134">
        <f ca="1">F88/MAX($F$9:F88)-1</f>
        <v>-0.12214282067219684</v>
      </c>
      <c r="F88" s="135">
        <f t="shared" ca="1" si="11"/>
        <v>909.92727190392134</v>
      </c>
    </row>
    <row r="89" spans="1:6" x14ac:dyDescent="0.35">
      <c r="A89" s="136">
        <v>80</v>
      </c>
      <c r="B89" s="137">
        <f t="shared" ca="1" si="8"/>
        <v>1.6262791691233847</v>
      </c>
      <c r="C89" s="138">
        <f t="shared" ca="1" si="9"/>
        <v>1.6262791691233847E-2</v>
      </c>
      <c r="D89" s="139">
        <f t="shared" ca="1" si="10"/>
        <v>1.0162627916912339</v>
      </c>
      <c r="E89" s="134">
        <f ca="1">F89/MAX($F$9:F89)-1</f>
        <v>-0.1078664122301346</v>
      </c>
      <c r="F89" s="135">
        <f t="shared" ca="1" si="11"/>
        <v>924.72522958106754</v>
      </c>
    </row>
    <row r="90" spans="1:6" x14ac:dyDescent="0.35">
      <c r="A90" s="136">
        <v>81</v>
      </c>
      <c r="B90" s="137">
        <f t="shared" ca="1" si="8"/>
        <v>1.6313958954024781</v>
      </c>
      <c r="C90" s="138">
        <f t="shared" ca="1" si="9"/>
        <v>1.6313958954024783E-2</v>
      </c>
      <c r="D90" s="139">
        <f t="shared" ca="1" si="10"/>
        <v>1.0163139589540249</v>
      </c>
      <c r="E90" s="134">
        <f ca="1">F90/MAX($F$9:F90)-1</f>
        <v>-9.3312181497750113E-2</v>
      </c>
      <c r="F90" s="135">
        <f t="shared" ca="1" si="11"/>
        <v>939.81115902020429</v>
      </c>
    </row>
    <row r="91" spans="1:6" x14ac:dyDescent="0.35">
      <c r="A91" s="136">
        <v>82</v>
      </c>
      <c r="B91" s="137">
        <f t="shared" ca="1" si="8"/>
        <v>-0.85878696093471873</v>
      </c>
      <c r="C91" s="138">
        <f t="shared" ca="1" si="9"/>
        <v>-8.587869609347187E-3</v>
      </c>
      <c r="D91" s="139">
        <f t="shared" ca="1" si="10"/>
        <v>0.99141213039065279</v>
      </c>
      <c r="E91" s="134">
        <f ca="1">F91/MAX($F$9:F91)-1</f>
        <v>-0.10109869825943085</v>
      </c>
      <c r="F91" s="135">
        <f t="shared" ca="1" si="11"/>
        <v>931.74018332912931</v>
      </c>
    </row>
    <row r="92" spans="1:6" x14ac:dyDescent="0.35">
      <c r="A92" s="136">
        <v>83</v>
      </c>
      <c r="B92" s="137">
        <f t="shared" ca="1" si="8"/>
        <v>-1.021922042013006</v>
      </c>
      <c r="C92" s="138">
        <f t="shared" ca="1" si="9"/>
        <v>-1.021922042013006E-2</v>
      </c>
      <c r="D92" s="139">
        <f t="shared" ca="1" si="10"/>
        <v>0.98978077957986998</v>
      </c>
      <c r="E92" s="134">
        <f ca="1">F92/MAX($F$9:F92)-1</f>
        <v>-0.11028476879785953</v>
      </c>
      <c r="F92" s="135">
        <f t="shared" ca="1" si="11"/>
        <v>922.21852502139654</v>
      </c>
    </row>
    <row r="93" spans="1:6" x14ac:dyDescent="0.35">
      <c r="A93" s="136">
        <v>84</v>
      </c>
      <c r="B93" s="137">
        <f t="shared" ca="1" si="8"/>
        <v>2.0246758559026219</v>
      </c>
      <c r="C93" s="138">
        <f t="shared" ca="1" si="9"/>
        <v>2.0246758559026218E-2</v>
      </c>
      <c r="D93" s="139">
        <f t="shared" ca="1" si="10"/>
        <v>1.0202467585590262</v>
      </c>
      <c r="E93" s="134">
        <f ca="1">F93/MAX($F$9:F93)-1</f>
        <v>-9.2270919325421641E-2</v>
      </c>
      <c r="F93" s="135">
        <f t="shared" ca="1" si="11"/>
        <v>940.89046083616608</v>
      </c>
    </row>
    <row r="94" spans="1:6" x14ac:dyDescent="0.35">
      <c r="A94" s="136">
        <v>85</v>
      </c>
      <c r="B94" s="137">
        <f t="shared" ca="1" si="8"/>
        <v>-1.0332385750616067</v>
      </c>
      <c r="C94" s="138">
        <f t="shared" ca="1" si="9"/>
        <v>-1.0332385750616067E-2</v>
      </c>
      <c r="D94" s="139">
        <f t="shared" ca="1" si="10"/>
        <v>0.98966761424938399</v>
      </c>
      <c r="E94" s="134">
        <f ca="1">F94/MAX($F$9:F94)-1</f>
        <v>-0.10164992634400338</v>
      </c>
      <c r="F94" s="135">
        <f t="shared" ca="1" si="11"/>
        <v>931.16881764573191</v>
      </c>
    </row>
    <row r="95" spans="1:6" x14ac:dyDescent="0.35">
      <c r="A95" s="136">
        <v>86</v>
      </c>
      <c r="B95" s="137">
        <f t="shared" ca="1" si="8"/>
        <v>-1.0174394068109822</v>
      </c>
      <c r="C95" s="138">
        <f t="shared" ca="1" si="9"/>
        <v>-1.0174394068109823E-2</v>
      </c>
      <c r="D95" s="139">
        <f t="shared" ca="1" si="10"/>
        <v>0.98982560593189017</v>
      </c>
      <c r="E95" s="134">
        <f ca="1">F95/MAX($F$9:F95)-1</f>
        <v>-0.11079009400449502</v>
      </c>
      <c r="F95" s="135">
        <f t="shared" ca="1" si="11"/>
        <v>921.69473915106835</v>
      </c>
    </row>
    <row r="96" spans="1:6" x14ac:dyDescent="0.35">
      <c r="A96" s="136">
        <v>87</v>
      </c>
      <c r="B96" s="137">
        <f t="shared" ca="1" si="8"/>
        <v>2.1896421016998935</v>
      </c>
      <c r="C96" s="138">
        <f t="shared" ca="1" si="9"/>
        <v>2.1896421016998936E-2</v>
      </c>
      <c r="D96" s="139">
        <f t="shared" ca="1" si="10"/>
        <v>1.021896421016999</v>
      </c>
      <c r="E96" s="134">
        <f ca="1">F96/MAX($F$9:F96)-1</f>
        <v>-9.1319579530331429E-2</v>
      </c>
      <c r="F96" s="135">
        <f t="shared" ca="1" si="11"/>
        <v>941.87655520867315</v>
      </c>
    </row>
    <row r="97" spans="1:6" x14ac:dyDescent="0.35">
      <c r="A97" s="136">
        <v>88</v>
      </c>
      <c r="B97" s="137">
        <f t="shared" ca="1" si="8"/>
        <v>-0.92961277500511574</v>
      </c>
      <c r="C97" s="138">
        <f t="shared" ca="1" si="9"/>
        <v>-9.2961277500511579E-3</v>
      </c>
      <c r="D97" s="139">
        <f t="shared" ca="1" si="10"/>
        <v>0.99070387224994882</v>
      </c>
      <c r="E97" s="134">
        <f ca="1">F97/MAX($F$9:F97)-1</f>
        <v>-9.9766788802987727E-2</v>
      </c>
      <c r="F97" s="135">
        <f t="shared" ca="1" si="11"/>
        <v>933.12075042667516</v>
      </c>
    </row>
    <row r="98" spans="1:6" x14ac:dyDescent="0.35">
      <c r="A98" s="136">
        <v>89</v>
      </c>
      <c r="B98" s="137">
        <f t="shared" ca="1" si="8"/>
        <v>-0.79057733597446711</v>
      </c>
      <c r="C98" s="138">
        <f t="shared" ca="1" si="9"/>
        <v>-7.9057733597446712E-3</v>
      </c>
      <c r="D98" s="139">
        <f t="shared" ca="1" si="10"/>
        <v>0.99209422664025537</v>
      </c>
      <c r="E98" s="134">
        <f ca="1">F98/MAX($F$9:F98)-1</f>
        <v>-0.10688382854162637</v>
      </c>
      <c r="F98" s="135">
        <f t="shared" ca="1" si="11"/>
        <v>925.74370925652704</v>
      </c>
    </row>
    <row r="99" spans="1:6" x14ac:dyDescent="0.35">
      <c r="A99" s="136">
        <v>90</v>
      </c>
      <c r="B99" s="137">
        <f t="shared" ca="1" si="8"/>
        <v>-0.82136061266473759</v>
      </c>
      <c r="C99" s="138">
        <f t="shared" ca="1" si="9"/>
        <v>-8.2136061266473766E-3</v>
      </c>
      <c r="D99" s="139">
        <f t="shared" ca="1" si="10"/>
        <v>0.99178639387335266</v>
      </c>
      <c r="E99" s="134">
        <f ca="1">F99/MAX($F$9:F99)-1</f>
        <v>-0.11421953299932464</v>
      </c>
      <c r="F99" s="135">
        <f t="shared" ca="1" si="11"/>
        <v>918.14001505447243</v>
      </c>
    </row>
    <row r="100" spans="1:6" x14ac:dyDescent="0.35">
      <c r="A100" s="136">
        <v>91</v>
      </c>
      <c r="B100" s="137">
        <f t="shared" ca="1" si="8"/>
        <v>1.9315089509769676</v>
      </c>
      <c r="C100" s="138">
        <f t="shared" ca="1" si="9"/>
        <v>1.9315089509769675E-2</v>
      </c>
      <c r="D100" s="139">
        <f t="shared" ca="1" si="10"/>
        <v>1.0193150895097696</v>
      </c>
      <c r="E100" s="134">
        <f ca="1">F100/MAX($F$9:F100)-1</f>
        <v>-9.711060399320115E-2</v>
      </c>
      <c r="F100" s="135">
        <f t="shared" ca="1" si="11"/>
        <v>935.87397162775073</v>
      </c>
    </row>
    <row r="101" spans="1:6" x14ac:dyDescent="0.35">
      <c r="A101" s="136">
        <v>92</v>
      </c>
      <c r="B101" s="137">
        <f t="shared" ca="1" si="8"/>
        <v>-0.86298696745418246</v>
      </c>
      <c r="C101" s="138">
        <f t="shared" ca="1" si="9"/>
        <v>-8.6298696745418253E-3</v>
      </c>
      <c r="D101" s="139">
        <f t="shared" ca="1" si="10"/>
        <v>0.99137013032545818</v>
      </c>
      <c r="E101" s="134">
        <f ca="1">F101/MAX($F$9:F101)-1</f>
        <v>-0.10490242181126563</v>
      </c>
      <c r="F101" s="135">
        <f t="shared" ca="1" si="11"/>
        <v>927.79750122080736</v>
      </c>
    </row>
    <row r="102" spans="1:6" x14ac:dyDescent="0.35">
      <c r="A102" s="136">
        <v>93</v>
      </c>
      <c r="B102" s="137">
        <f t="shared" ca="1" si="8"/>
        <v>-0.91498411495584531</v>
      </c>
      <c r="C102" s="138">
        <f t="shared" ca="1" si="9"/>
        <v>-9.149841149558453E-3</v>
      </c>
      <c r="D102" s="139">
        <f t="shared" ca="1" si="10"/>
        <v>0.99085015885044159</v>
      </c>
      <c r="E102" s="134">
        <f ca="1">F102/MAX($F$9:F102)-1</f>
        <v>-0.11309242246504703</v>
      </c>
      <c r="F102" s="135">
        <f t="shared" ca="1" si="11"/>
        <v>919.30830146567973</v>
      </c>
    </row>
    <row r="103" spans="1:6" x14ac:dyDescent="0.35">
      <c r="A103" s="136">
        <v>94</v>
      </c>
      <c r="B103" s="137">
        <f t="shared" ca="1" si="8"/>
        <v>-0.77500888496538534</v>
      </c>
      <c r="C103" s="138">
        <f t="shared" ca="1" si="9"/>
        <v>-7.7500888496538538E-3</v>
      </c>
      <c r="D103" s="139">
        <f t="shared" ca="1" si="10"/>
        <v>0.99224991115034611</v>
      </c>
      <c r="E103" s="134">
        <f ca="1">F103/MAX($F$9:F103)-1</f>
        <v>-0.11996603499237413</v>
      </c>
      <c r="F103" s="135">
        <f t="shared" ca="1" si="11"/>
        <v>912.18358044909633</v>
      </c>
    </row>
    <row r="104" spans="1:6" x14ac:dyDescent="0.35">
      <c r="A104" s="136">
        <v>95</v>
      </c>
      <c r="B104" s="137">
        <f t="shared" ca="1" si="8"/>
        <v>-0.86612070984507206</v>
      </c>
      <c r="C104" s="138">
        <f t="shared" ca="1" si="9"/>
        <v>-8.6612070984507204E-3</v>
      </c>
      <c r="D104" s="139">
        <f t="shared" ca="1" si="10"/>
        <v>0.99133879290154925</v>
      </c>
      <c r="E104" s="134">
        <f ca="1">F104/MAX($F$9:F104)-1</f>
        <v>-0.12758819141697597</v>
      </c>
      <c r="F104" s="135">
        <f t="shared" ca="1" si="11"/>
        <v>904.28296954702034</v>
      </c>
    </row>
    <row r="105" spans="1:6" x14ac:dyDescent="0.35">
      <c r="A105" s="136">
        <v>96</v>
      </c>
      <c r="B105" s="137">
        <f t="shared" ca="1" si="8"/>
        <v>1.9418301245452618</v>
      </c>
      <c r="C105" s="138">
        <f t="shared" ca="1" si="9"/>
        <v>1.9418301245452619E-2</v>
      </c>
      <c r="D105" s="139">
        <f t="shared" ca="1" si="10"/>
        <v>1.0194183012454525</v>
      </c>
      <c r="E105" s="134">
        <f ca="1">F105/MAX($F$9:F105)-1</f>
        <v>-0.1106474361078208</v>
      </c>
      <c r="F105" s="135">
        <f t="shared" ca="1" si="11"/>
        <v>921.84260866081672</v>
      </c>
    </row>
    <row r="106" spans="1:6" x14ac:dyDescent="0.35">
      <c r="A106" s="136">
        <v>97</v>
      </c>
      <c r="B106" s="137">
        <f t="shared" ca="1" si="8"/>
        <v>2.2237604500896317</v>
      </c>
      <c r="C106" s="138">
        <f t="shared" ref="C106:C137" ca="1" si="12">B106*$E$2</f>
        <v>2.2237604500896319E-2</v>
      </c>
      <c r="D106" s="139">
        <f t="shared" ref="D106:D137" ca="1" si="13">C106+1</f>
        <v>1.0222376045008963</v>
      </c>
      <c r="E106" s="134">
        <f ca="1">F106/MAX($F$9:F106)-1</f>
        <v>-9.0870365530128394E-2</v>
      </c>
      <c r="F106" s="135">
        <f t="shared" ca="1" si="11"/>
        <v>942.34218000429053</v>
      </c>
    </row>
    <row r="107" spans="1:6" x14ac:dyDescent="0.35">
      <c r="A107" s="136">
        <v>98</v>
      </c>
      <c r="B107" s="137">
        <f t="shared" ca="1" si="8"/>
        <v>-0.84671741025515135</v>
      </c>
      <c r="C107" s="138">
        <f t="shared" ca="1" si="12"/>
        <v>-8.4671741025515133E-3</v>
      </c>
      <c r="D107" s="139">
        <f t="shared" ca="1" si="13"/>
        <v>0.99153282589744851</v>
      </c>
      <c r="E107" s="134">
        <f ca="1">F107/MAX($F$9:F107)-1</f>
        <v>-9.8568124426973713E-2</v>
      </c>
      <c r="F107" s="135">
        <f t="shared" ca="1" si="11"/>
        <v>934.36320470201633</v>
      </c>
    </row>
    <row r="108" spans="1:6" x14ac:dyDescent="0.35">
      <c r="A108" s="136">
        <v>99</v>
      </c>
      <c r="B108" s="137">
        <f t="shared" ca="1" si="8"/>
        <v>-0.79830091511101542</v>
      </c>
      <c r="C108" s="138">
        <f t="shared" ca="1" si="12"/>
        <v>-7.9830091511101549E-3</v>
      </c>
      <c r="D108" s="139">
        <f t="shared" ca="1" si="13"/>
        <v>0.99201699084888983</v>
      </c>
      <c r="E108" s="134">
        <f ca="1">F108/MAX($F$9:F108)-1</f>
        <v>-0.10576426333877564</v>
      </c>
      <c r="F108" s="135">
        <f t="shared" ca="1" si="11"/>
        <v>926.90417468841952</v>
      </c>
    </row>
    <row r="109" spans="1:6" ht="15" customHeight="1" thickBot="1" x14ac:dyDescent="0.4">
      <c r="A109" s="140">
        <v>100</v>
      </c>
      <c r="B109" s="141">
        <f t="shared" ca="1" si="8"/>
        <v>-0.99646096843391618</v>
      </c>
      <c r="C109" s="142">
        <f t="shared" ca="1" si="12"/>
        <v>-9.9646096843391627E-3</v>
      </c>
      <c r="D109" s="143">
        <f t="shared" ca="1" si="13"/>
        <v>0.99003539031566079</v>
      </c>
      <c r="E109" s="144">
        <f ca="1">F109/MAX($F$9:F109)-1</f>
        <v>-0.11467497342039235</v>
      </c>
      <c r="F109" s="145">
        <f t="shared" ca="1" si="11"/>
        <v>917.6679363728648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STATS2</vt:lpstr>
      <vt:lpstr>SYMBOLS</vt:lpstr>
      <vt:lpstr>Sheet1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2026-08-25T06:53:57Z</dcterms:modified>
</cp:coreProperties>
</file>