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"{""source"":""cashflow_anchor_plus_trades"",""timeline_as_of"":""""}"</definedName>
    <definedName name="_CODEX_ACCOUNT_BALANCE_SOURCE_1D37ED12BCCB6C2C343F" description="Codex Account Balances provenance" hidden="1">"{""source"":""authoritative_trade_balance"",""timeline_as_of"":""""}"</definedName>
    <definedName name="_CODEX_ACCOUNT_BALANCE_SOURCE_926755F5B6E065E25C0D" description="Codex Account Balances provenance" hidden="1">"{""source"":""cashflow_anchor_plus_trades"",""timeline_as_of"":""""}"</definedName>
    <definedName name="_CODEX_ACCOUNT_BALANCE_SOURCE_4758B2B9798E5D50D443" description="Codex Account Balances provenance" hidden="1">"{""source"":""authoritative_trade_balance"",""timeline_as_of"":""""}"</definedName>
    <definedName name="_CODEX_ACCOUNT_BALANCE_SOURCE_176B49DCD9409C5C8636" description="Codex Account Balances provenance" hidden="1">"{""source"":""authoritative_trade_balance"",""timeline_as_of"":""""}"</definedName>
    <definedName name="_CODEX_ACCOUNT_BALANCE_SOURCE_C3C0108FB95E612D3B4E" description="Codex Account Balances provenance" hidden="1">"{""source"":""cashflow_anchor_plus_trades"",""timeline_as_of"":""""}"</definedName>
    <definedName name="_CODEX_ACCOUNT_BALANCE_SOURCE_A821D8CAF7D5AD80B446" description="Codex Account Balances provenance" hidden="1">"{""source"":""authoritative_trade_balance"",""timeline_as_of"":""""}"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#,##0.00 &quot;AUD&quot;"/>
    <numFmt numFmtId="180" formatCode="#,##0.######## &quot;USDT&quot;"/>
    <numFmt numFmtId="181" formatCode="yyyy-mm-dd hh:mm:ss"/>
    <numFmt numFmtId="182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82" fontId="21" fillId="0" borderId="58"/>
    <xf numFmtId="9" fontId="21" fillId="0" borderId="58"/>
    <xf numFmtId="43" fontId="21" fillId="0" borderId="58"/>
  </cellStyleXfs>
  <cellXfs count="89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79" fontId="39" fillId="24" borderId="23" applyAlignment="1" pivotButton="0" quotePrefix="0" xfId="0">
      <alignment horizontal="left"/>
    </xf>
    <xf numFmtId="180" fontId="39" fillId="24" borderId="43" applyAlignment="1" pivotButton="0" quotePrefix="0" xfId="0">
      <alignment horizontal="left"/>
    </xf>
    <xf numFmtId="179" fontId="39" fillId="24" borderId="106" applyAlignment="1" pivotButton="0" quotePrefix="0" xfId="0">
      <alignment horizontal="left"/>
    </xf>
    <xf numFmtId="180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0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79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79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1" fontId="0" fillId="23" borderId="31" applyAlignment="1" pivotButton="0" quotePrefix="0" xfId="0">
      <alignment horizontal="left"/>
    </xf>
    <xf numFmtId="181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79" fontId="0" fillId="23" borderId="23" pivotButton="0" quotePrefix="0" xfId="0"/>
    <xf numFmtId="179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1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1" fontId="0" fillId="0" borderId="31" applyAlignment="1" pivotButton="0" quotePrefix="0" xfId="0">
      <alignment horizontal="left"/>
    </xf>
    <xf numFmtId="181" fontId="0" fillId="0" borderId="32" applyAlignment="1" pivotButton="0" quotePrefix="0" xfId="0">
      <alignment horizontal="left"/>
    </xf>
    <xf numFmtId="179" fontId="0" fillId="0" borderId="23" pivotButton="0" quotePrefix="0" xfId="0"/>
    <xf numFmtId="179" fontId="0" fillId="0" borderId="31" applyAlignment="1" pivotButton="0" quotePrefix="0" xfId="0">
      <alignment horizontal="left"/>
    </xf>
    <xf numFmtId="181" fontId="0" fillId="0" borderId="31" pivotButton="0" quotePrefix="0" xfId="0"/>
    <xf numFmtId="179" fontId="0" fillId="0" borderId="31" pivotButton="0" quotePrefix="0" xfId="0"/>
    <xf numFmtId="179" fontId="0" fillId="0" borderId="23" applyAlignment="1" pivotButton="0" quotePrefix="0" xfId="0">
      <alignment horizontal="left"/>
    </xf>
    <xf numFmtId="49" fontId="0" fillId="24" borderId="23" pivotButton="0" quotePrefix="0" xfId="0"/>
    <xf numFmtId="181" fontId="0" fillId="24" borderId="31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79" fontId="0" fillId="24" borderId="23" applyAlignment="1" pivotButton="0" quotePrefix="0" xfId="0">
      <alignment horizontal="left"/>
    </xf>
    <xf numFmtId="179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1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0" fontId="0" fillId="0" borderId="23" pivotButton="0" quotePrefix="0" xfId="0"/>
    <xf numFmtId="180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0" fontId="0" fillId="24" borderId="23" pivotButton="0" quotePrefix="0" xfId="0"/>
    <xf numFmtId="180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0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0" fontId="0" fillId="23" borderId="23" applyAlignment="1" pivotButton="0" quotePrefix="0" xfId="0">
      <alignment horizontal="left"/>
    </xf>
    <xf numFmtId="180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79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79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0" fontId="0" fillId="23" borderId="23" pivotButton="0" quotePrefix="0" xfId="0"/>
    <xf numFmtId="180" fontId="0" fillId="23" borderId="31" pivotButton="0" quotePrefix="0" xfId="0"/>
    <xf numFmtId="180" fontId="0" fillId="24" borderId="31" pivotButton="0" quotePrefix="0" xfId="0"/>
    <xf numFmtId="0" fontId="0" fillId="23" borderId="23" applyAlignment="1" pivotButton="0" quotePrefix="0" xfId="0">
      <alignment wrapText="1"/>
    </xf>
    <xf numFmtId="179" fontId="0" fillId="24" borderId="31" pivotButton="0" quotePrefix="0" xfId="0"/>
    <xf numFmtId="179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3" applyAlignment="1" pivotButton="0" quotePrefix="0" xfId="0">
      <alignment horizontal="left"/>
    </xf>
    <xf numFmtId="180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1" fontId="0" fillId="23" borderId="33" applyAlignment="1" pivotButton="0" quotePrefix="0" xfId="0">
      <alignment horizontal="left"/>
    </xf>
    <xf numFmtId="181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79" fontId="0" fillId="23" borderId="24" pivotButton="0" quotePrefix="0" xfId="0"/>
    <xf numFmtId="179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1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1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79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1" fontId="0" fillId="0" borderId="0" pivotButton="0" quotePrefix="0" xfId="0"/>
    <xf numFmtId="179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79" fontId="39" fillId="24" borderId="123" applyAlignment="1" pivotButton="0" quotePrefix="0" xfId="0">
      <alignment horizontal="left"/>
    </xf>
    <xf numFmtId="179" fontId="41" fillId="24" borderId="123" pivotButton="0" quotePrefix="0" xfId="0"/>
    <xf numFmtId="0" fontId="41" fillId="24" borderId="123" pivotButton="0" quotePrefix="0" xfId="0"/>
    <xf numFmtId="179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79" fontId="39" fillId="24" borderId="124" applyAlignment="1" pivotButton="0" quotePrefix="0" xfId="0">
      <alignment horizontal="left"/>
    </xf>
    <xf numFmtId="179" fontId="41" fillId="24" borderId="124" pivotButton="0" quotePrefix="0" xfId="0"/>
    <xf numFmtId="0" fontId="21" fillId="0" borderId="126" pivotButton="0" quotePrefix="0" xfId="0"/>
    <xf numFmtId="179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0" fontId="39" fillId="24" borderId="123" applyAlignment="1" pivotButton="0" quotePrefix="0" xfId="0">
      <alignment horizontal="left"/>
    </xf>
    <xf numFmtId="180" fontId="39" fillId="24" borderId="124" applyAlignment="1" pivotButton="0" quotePrefix="0" xfId="0">
      <alignment horizontal="left"/>
    </xf>
    <xf numFmtId="180" fontId="41" fillId="24" borderId="123" pivotButton="0" quotePrefix="0" xfId="0"/>
    <xf numFmtId="180" fontId="41" fillId="24" borderId="124" pivotButton="0" quotePrefix="0" xfId="0"/>
    <xf numFmtId="180" fontId="39" fillId="24" borderId="126" pivotButton="0" quotePrefix="0" xfId="0"/>
    <xf numFmtId="180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79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79" fontId="39" fillId="24" borderId="126" applyAlignment="1" pivotButton="0" quotePrefix="0" xfId="0">
      <alignment horizontal="left"/>
    </xf>
    <xf numFmtId="180" fontId="39" fillId="24" borderId="126" applyAlignment="1" pivotButton="0" quotePrefix="0" xfId="0">
      <alignment horizontal="left"/>
    </xf>
    <xf numFmtId="180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0" fontId="39" fillId="24" borderId="12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989.3029878653989</v>
                </pt>
                <pt idx="2">
                  <v>980.4280742779944</v>
                </pt>
                <pt idx="3">
                  <v>972.7682035911829</v>
                </pt>
                <pt idx="4">
                  <v>962.4267233187762</v>
                </pt>
                <pt idx="5">
                  <v>982.9655590447452</v>
                </pt>
                <pt idx="6">
                  <v>974.9857253089112</v>
                </pt>
                <pt idx="7">
                  <v>993.8009716684638</v>
                </pt>
                <pt idx="8">
                  <v>1011.51238838613</v>
                </pt>
                <pt idx="9">
                  <v>1002.382520823486</v>
                </pt>
                <pt idx="10">
                  <v>1020.850893656664</v>
                </pt>
                <pt idx="11">
                  <v>1012.104944258219</v>
                </pt>
                <pt idx="12">
                  <v>1034.154551191279</v>
                </pt>
                <pt idx="13">
                  <v>1025.926760212528</v>
                </pt>
                <pt idx="14">
                  <v>1014.809144106082</v>
                </pt>
                <pt idx="15">
                  <v>1003.682420267343</v>
                </pt>
                <pt idx="16">
                  <v>994.9822613353056</v>
                </pt>
                <pt idx="17">
                  <v>1012.638958414523</v>
                </pt>
                <pt idx="18">
                  <v>1029.928025290243</v>
                </pt>
                <pt idx="19">
                  <v>1019.41200257689</v>
                </pt>
                <pt idx="20">
                  <v>1010.030895686543</v>
                </pt>
                <pt idx="21">
                  <v>1032.543619439045</v>
                </pt>
                <pt idx="22">
                  <v>1021.542384094655</v>
                </pt>
                <pt idx="23">
                  <v>1012.735886651816</v>
                </pt>
                <pt idx="24">
                  <v>1028.192641387678</v>
                </pt>
                <pt idx="25">
                  <v>1019.559123244926</v>
                </pt>
                <pt idx="26">
                  <v>1009.226338755622</v>
                </pt>
                <pt idx="27">
                  <v>1000.030191561874</v>
                </pt>
                <pt idx="28">
                  <v>990.5442139512315</v>
                </pt>
                <pt idx="29">
                  <v>980.3388092738202</v>
                </pt>
                <pt idx="30">
                  <v>971.0223155615396</v>
                </pt>
                <pt idx="31">
                  <v>960.9775834572812</v>
                </pt>
                <pt idx="32">
                  <v>953.449451184914</v>
                </pt>
                <pt idx="33">
                  <v>944.7658287451923</v>
                </pt>
                <pt idx="34">
                  <v>937.5243951933277</v>
                </pt>
                <pt idx="35">
                  <v>927.9894343711137</v>
                </pt>
                <pt idx="36">
                  <v>920.0484193512013</v>
                </pt>
                <pt idx="37">
                  <v>910.1724716308776</v>
                </pt>
                <pt idx="38">
                  <v>924.9363157357385</v>
                </pt>
                <pt idx="39">
                  <v>917.7104472631501</v>
                </pt>
                <pt idx="40">
                  <v>908.4171885819128</v>
                </pt>
                <pt idx="41">
                  <v>901.3228496191708</v>
                </pt>
                <pt idx="42">
                  <v>892.7353747561995</v>
                </pt>
                <pt idx="43">
                  <v>884.5819922486788</v>
                </pt>
                <pt idx="44">
                  <v>899.8962382692717</v>
                </pt>
                <pt idx="45">
                  <v>890.8328933910186</v>
                </pt>
                <pt idx="46">
                  <v>883.0358910903767</v>
                </pt>
                <pt idx="47">
                  <v>874.1365734136718</v>
                </pt>
                <pt idx="48">
                  <v>864.9976992809094</v>
                </pt>
                <pt idx="49">
                  <v>858.3572477979828</v>
                </pt>
                <pt idx="50">
                  <v>872.4138042308307</v>
                </pt>
                <pt idx="51">
                  <v>863.4914715991869</v>
                </pt>
                <pt idx="52">
                  <v>856.4364553625375</v>
                </pt>
                <pt idx="53">
                  <v>871.6626726567496</v>
                </pt>
                <pt idx="54">
                  <v>864.6170235384598</v>
                </pt>
                <pt idx="55">
                  <v>879.9377379386196</v>
                </pt>
                <pt idx="56">
                  <v>871.7106614936979</v>
                </pt>
                <pt idx="57">
                  <v>863.4899873916656</v>
                </pt>
                <pt idx="58">
                  <v>878.0145582013233</v>
                </pt>
                <pt idx="59">
                  <v>869.0884703111442</v>
                </pt>
                <pt idx="60">
                  <v>887.6040756236131</v>
                </pt>
                <pt idx="61">
                  <v>903.4733520369981</v>
                </pt>
                <pt idx="62">
                  <v>893.6701188208401</v>
                </pt>
                <pt idx="63">
                  <v>886.1927577587355</v>
                </pt>
                <pt idx="64">
                  <v>877.6810762190216</v>
                </pt>
                <pt idx="65">
                  <v>892.3879038899303</v>
                </pt>
                <pt idx="66">
                  <v>906.1983773096625</v>
                </pt>
                <pt idx="67">
                  <v>897.038627153193</v>
                </pt>
                <pt idx="68">
                  <v>888.4278103220327</v>
                </pt>
                <pt idx="69">
                  <v>881.0779686559175</v>
                </pt>
                <pt idx="70">
                  <v>871.643399577173</v>
                </pt>
                <pt idx="71">
                  <v>862.2563295446344</v>
                </pt>
                <pt idx="72">
                  <v>879.6393178218</v>
                </pt>
                <pt idx="73">
                  <v>871.4145784190715</v>
                </pt>
                <pt idx="74">
                  <v>864.2161915803758</v>
                </pt>
                <pt idx="75">
                  <v>855.3361667944174</v>
                </pt>
                <pt idx="76">
                  <v>847.9469046088238</v>
                </pt>
                <pt idx="77">
                  <v>841.2671710548022</v>
                </pt>
                <pt idx="78">
                  <v>834.2007067254171</v>
                </pt>
                <pt idx="79">
                  <v>826.3011727322097</v>
                </pt>
                <pt idx="80">
                  <v>838.7147070640585</v>
                </pt>
                <pt idx="81">
                  <v>854.7530736325066</v>
                </pt>
                <pt idx="82">
                  <v>870.8551250607433</v>
                </pt>
                <pt idx="83">
                  <v>884.6760716708134</v>
                </pt>
                <pt idx="84">
                  <v>898.8384344799258</v>
                </pt>
                <pt idx="85">
                  <v>913.4575059062678</v>
                </pt>
                <pt idx="86">
                  <v>905.7723961691484</v>
                </pt>
                <pt idx="87">
                  <v>896.3939907274928</v>
                </pt>
                <pt idx="88">
                  <v>912.2971886208793</v>
                </pt>
                <pt idx="89">
                  <v>927.3400391764447</v>
                </pt>
                <pt idx="90">
                  <v>942.2616199244825</v>
                </pt>
                <pt idx="91">
                  <v>932.868249024387</v>
                </pt>
                <pt idx="92">
                  <v>923.4260687758638</v>
                </pt>
                <pt idx="93">
                  <v>913.5735151997329</v>
                </pt>
                <pt idx="94">
                  <v>932.1602868661805</v>
                </pt>
                <pt idx="95">
                  <v>922.6844498949516</v>
                </pt>
                <pt idx="96">
                  <v>913.1545161073293</v>
                </pt>
                <pt idx="97">
                  <v>905.2485510362627</v>
                </pt>
                <pt idx="98">
                  <v>921.7706435595937</v>
                </pt>
                <pt idx="99">
                  <v>938.1602290638077</v>
                </pt>
                <pt idx="100">
                  <v>929.6456034306321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-0.01069701213460106</v>
                </pt>
                <pt idx="2">
                  <v>-0.01957192572200561</v>
                </pt>
                <pt idx="3">
                  <v>-0.02723179640881712</v>
                </pt>
                <pt idx="4">
                  <v>-0.03757327668122379</v>
                </pt>
                <pt idx="5">
                  <v>-0.01703444095525486</v>
                </pt>
                <pt idx="6">
                  <v>-0.02501427469108874</v>
                </pt>
                <pt idx="7">
                  <v>-0.006199028331536183</v>
                </pt>
                <pt idx="8">
                  <v>0</v>
                </pt>
                <pt idx="9">
                  <v>-0.009025957237370985</v>
                </pt>
                <pt idx="10">
                  <v>0</v>
                </pt>
                <pt idx="11">
                  <v>-0.00856731326072202</v>
                </pt>
                <pt idx="12">
                  <v>0</v>
                </pt>
                <pt idx="13">
                  <v>-0.007956055474757751</v>
                </pt>
                <pt idx="14">
                  <v>-0.01870649513935074</v>
                </pt>
                <pt idx="15">
                  <v>-0.02946574173931227</v>
                </pt>
                <pt idx="16">
                  <v>-0.03787856448617821</v>
                </pt>
                <pt idx="17">
                  <v>-0.02080500709683286</v>
                </pt>
                <pt idx="18">
                  <v>-0.004086938355749359</v>
                </pt>
                <pt idx="19">
                  <v>-0.01425565317815125</v>
                </pt>
                <pt idx="20">
                  <v>-0.02332693452535417</v>
                </pt>
                <pt idx="21">
                  <v>-0.001557728243208878</v>
                </pt>
                <pt idx="22">
                  <v>-0.01219563080015051</v>
                </pt>
                <pt idx="23">
                  <v>-0.02071128006427059</v>
                </pt>
                <pt idx="24">
                  <v>-0.005765008524821535</v>
                </pt>
                <pt idx="25">
                  <v>-0.01411339139738821</v>
                </pt>
                <pt idx="26">
                  <v>-0.02410491972108153</v>
                </pt>
                <pt idx="27">
                  <v>-0.03299734995131653</v>
                </pt>
                <pt idx="28">
                  <v>-0.04217003850131618</v>
                </pt>
                <pt idx="29">
                  <v>-0.0520383939281287</v>
                </pt>
                <pt idx="30">
                  <v>-0.06104719604725939</v>
                </pt>
                <pt idx="31">
                  <v>-0.07076018536078843</v>
                </pt>
                <pt idx="32">
                  <v>-0.07803968943848683</v>
                </pt>
                <pt idx="33">
                  <v>-0.08643652183623507</v>
                </pt>
                <pt idx="34">
                  <v>-0.0934387958614501</v>
                </pt>
                <pt idx="35">
                  <v>-0.1026588498768101</v>
                </pt>
                <pt idx="36">
                  <v>-0.1103376006116638</v>
                </pt>
                <pt idx="37">
                  <v>-0.1198873799062067</v>
                </pt>
                <pt idx="38">
                  <v>-0.1056111345540454</v>
                </pt>
                <pt idx="39">
                  <v>-0.1125983575607659</v>
                </pt>
                <pt idx="40">
                  <v>-0.1215846920216374</v>
                </pt>
                <pt idx="41">
                  <v>-0.128444729483707</v>
                </pt>
                <pt idx="42">
                  <v>-0.1367485897269164</v>
                </pt>
                <pt idx="43">
                  <v>-0.1446326941851219</v>
                </pt>
                <pt idx="44">
                  <v>-0.129824224790531</v>
                </pt>
                <pt idx="45">
                  <v>-0.1385882387068386</v>
                </pt>
                <pt idx="46">
                  <v>-0.1461277329648876</v>
                </pt>
                <pt idx="47">
                  <v>-0.1547331369313</v>
                </pt>
                <pt idx="48">
                  <v>-0.16357018563184</v>
                </pt>
                <pt idx="49">
                  <v>-0.1699913259490945</v>
                </pt>
                <pt idx="50">
                  <v>-0.1563990090012499</v>
                </pt>
                <pt idx="51">
                  <v>-0.1650266678181703</v>
                </pt>
                <pt idx="52">
                  <v>-0.1718486812479062</v>
                </pt>
                <pt idx="53">
                  <v>-0.1571253332950567</v>
                </pt>
                <pt idx="54">
                  <v>-0.1639382889699833</v>
                </pt>
                <pt idx="55">
                  <v>-0.1491235648240504</v>
                </pt>
                <pt idx="56">
                  <v>-0.1570789293635622</v>
                </pt>
                <pt idx="57">
                  <v>-0.165028103007446</v>
                </pt>
                <pt idx="58">
                  <v>-0.1509832285803825</v>
                </pt>
                <pt idx="59">
                  <v>-0.1596145186326255</v>
                </pt>
                <pt idx="60">
                  <v>-0.1417104197809209</v>
                </pt>
                <pt idx="61">
                  <v>-0.1263652507294434</v>
                </pt>
                <pt idx="62">
                  <v>-0.1358447170286201</v>
                </pt>
                <pt idx="63">
                  <v>-0.1430751266936854</v>
                </pt>
                <pt idx="64">
                  <v>-0.1513056968051923</v>
                </pt>
                <pt idx="65">
                  <v>-0.1370845848311965</v>
                </pt>
                <pt idx="66">
                  <v>-0.1237302236249112</v>
                </pt>
                <pt idx="67">
                  <v>-0.1325874588862346</v>
                </pt>
                <pt idx="68">
                  <v>-0.1409138901930844</v>
                </pt>
                <pt idx="69">
                  <v>-0.1480209919871525</v>
                </pt>
                <pt idx="70">
                  <v>-0.1571439698514151</v>
                </pt>
                <pt idx="71">
                  <v>-0.1662210173988299</v>
                </pt>
                <pt idx="72">
                  <v>-0.149412129155635</v>
                </pt>
                <pt idx="73">
                  <v>-0.1573652338373811</v>
                </pt>
                <pt idx="74">
                  <v>-0.1643258828336106</v>
                </pt>
                <pt idx="75">
                  <v>-0.1729126310867892</v>
                </pt>
                <pt idx="76">
                  <v>-0.1800578514767992</v>
                </pt>
                <pt idx="77">
                  <v>-0.1865169765140839</v>
                </pt>
                <pt idx="78">
                  <v>-0.1933500599456126</v>
                </pt>
                <pt idx="79">
                  <v>-0.2009886996287313</v>
                </pt>
                <pt idx="80">
                  <v>-0.1889851414395329</v>
                </pt>
                <pt idx="81">
                  <v>-0.1734764666965045</v>
                </pt>
                <pt idx="82">
                  <v>-0.1579062103845363</v>
                </pt>
                <pt idx="83">
                  <v>-0.1445417218811987</v>
                </pt>
                <pt idx="84">
                  <v>-0.130847092976072</v>
                </pt>
                <pt idx="85">
                  <v>-0.1167108389611361</v>
                </pt>
                <pt idx="86">
                  <v>-0.1241421360803787</v>
                </pt>
                <pt idx="87">
                  <v>-0.1332108051984059</v>
                </pt>
                <pt idx="88">
                  <v>-0.1178328349761919</v>
                </pt>
                <pt idx="89">
                  <v>-0.1032867977922555</v>
                </pt>
                <pt idx="90">
                  <v>-0.08885802529316522</v>
                </pt>
                <pt idx="91">
                  <v>-0.09794116561225485</v>
                </pt>
                <pt idx="92">
                  <v>-0.1070715032756596</v>
                </pt>
                <pt idx="93">
                  <v>-0.1165986610537513</v>
                </pt>
                <pt idx="94">
                  <v>-0.09862574622681664</v>
                </pt>
                <pt idx="95">
                  <v>-0.1077886290476807</v>
                </pt>
                <pt idx="96">
                  <v>-0.1170038220540301</v>
                </pt>
                <pt idx="97">
                  <v>-0.1246486804187295</v>
                </pt>
                <pt idx="98">
                  <v>-0.1086722555175398</v>
                </pt>
                <pt idx="99">
                  <v>-0.09282396138651827</v>
                </pt>
                <pt idx="100">
                  <v>-0.1010573783582536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  <col width="65" customWidth="1" min="4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-142.3754417375873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878.9424647275879</v>
      </c>
      <c r="C13" s="520" t="n">
        <v>627.5094477243003</v>
      </c>
      <c r="D13" s="521" t="n">
        <v>251.4330170032876</v>
      </c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0.83% (0.27 pp below loss average)</t>
        </is>
      </c>
      <c r="C25" s="540" t="inlineStr">
        <is>
          <t>Decrease stop — Recommended: 0.14% (0.00 pp below loss average)</t>
        </is>
      </c>
      <c r="D25" s="541" t="inlineStr">
        <is>
          <t>Decrease stop — Recommended: 3.30% (0.15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0.00825001214023611</v>
      </c>
      <c r="C43" s="444" t="n">
        <v>0.001408374914534827</v>
      </c>
      <c r="D43" s="485" t="n">
        <v>0.03301022305229791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0.02050432835416064</v>
      </c>
      <c r="C46" s="444" t="n">
        <v>0.00331716938910343</v>
      </c>
      <c r="D46" s="485" t="n">
        <v>0.07937528664826464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0.01095291800287766</v>
      </c>
      <c r="C60" s="444" t="n">
        <v>0.001450852693278441</v>
      </c>
      <c r="D60" s="485" t="n">
        <v>0.03447221440748848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0.032589728043436</v>
      </c>
      <c r="C63" s="550" t="n">
        <v>0.003853497734971225</v>
      </c>
      <c r="D63" s="551" t="n">
        <v>0.1005498639554257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-0.06610091241514572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-0.03923770053170954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-0.02559664310292912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-0.3609753012785963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392" min="2" max="2"/>
    <col width="13" customWidth="1" min="3" max="3"/>
    <col width="13" customWidth="1" style="85" min="4" max="4"/>
    <col width="13" customWidth="1" style="392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392" min="15" max="15"/>
    <col width="16" customWidth="1" style="392" min="16" max="16"/>
    <col width="21" customWidth="1" style="392" min="17" max="17"/>
    <col width="17" customWidth="1" style="392" min="18" max="18"/>
    <col width="16" customWidth="1" style="392" min="19" max="19"/>
    <col width="15" customWidth="1" style="392" min="20" max="20"/>
    <col width="13" customWidth="1" style="85" min="21" max="21"/>
    <col width="13" customWidth="1" style="86" min="22" max="22"/>
    <col width="14" customWidth="1" style="392" min="23" max="23"/>
    <col width="13" customWidth="1" style="392" min="24" max="24"/>
    <col width="16" customWidth="1" style="392" min="25" max="25"/>
    <col width="20" customWidth="1" style="392" min="26" max="26"/>
    <col width="13" customWidth="1" style="392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392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78" t="n">
        <v>146</v>
      </c>
      <c r="D3" s="157" t="n">
        <v>53</v>
      </c>
      <c r="E3" s="158" t="n">
        <v>91</v>
      </c>
      <c r="F3" s="159" t="n">
        <v>2</v>
      </c>
      <c r="G3" s="97" t="n">
        <v>84</v>
      </c>
      <c r="H3" s="160" t="n">
        <v>28</v>
      </c>
      <c r="I3" s="161" t="n">
        <v>55</v>
      </c>
      <c r="J3" s="162" t="n">
        <v>1</v>
      </c>
      <c r="K3" s="97" t="n">
        <v>62</v>
      </c>
      <c r="L3" s="160" t="n">
        <v>25</v>
      </c>
      <c r="M3" s="161" t="n">
        <v>36</v>
      </c>
      <c r="N3" s="162" t="n">
        <v>1</v>
      </c>
      <c r="O3" s="163" t="n">
        <v>27</v>
      </c>
      <c r="P3" s="163" t="n">
        <v>7</v>
      </c>
      <c r="Q3" s="94" t="n"/>
      <c r="R3" s="94" t="n"/>
      <c r="S3" s="78" t="n">
        <v>0</v>
      </c>
      <c r="T3" s="78" t="n">
        <v>0</v>
      </c>
      <c r="U3" s="97" t="n">
        <v>33</v>
      </c>
      <c r="V3" s="162" t="n">
        <v>103</v>
      </c>
      <c r="W3" s="78" t="n">
        <v>2</v>
      </c>
      <c r="X3" s="78" t="n">
        <v>2</v>
      </c>
      <c r="Y3" s="78" t="n">
        <v>1</v>
      </c>
      <c r="Z3" s="78" t="n">
        <v>1</v>
      </c>
      <c r="AA3" s="78" t="n">
        <v>0</v>
      </c>
      <c r="AB3" s="78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0.01981717955706645</v>
      </c>
      <c r="AH3" s="604" t="n">
        <v>0.0001357341065552496</v>
      </c>
      <c r="AI3" s="99" t="n">
        <v>0.3680555555555556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1" t="n">
        <v>126</v>
      </c>
      <c r="D4" s="129" t="n">
        <v>39</v>
      </c>
      <c r="E4" s="130" t="n">
        <v>83</v>
      </c>
      <c r="F4" s="87" t="n">
        <v>4</v>
      </c>
      <c r="G4" s="89" t="n">
        <v>77</v>
      </c>
      <c r="H4" s="131" t="n">
        <v>22</v>
      </c>
      <c r="I4" s="132" t="n">
        <v>53</v>
      </c>
      <c r="J4" s="83" t="n">
        <v>2</v>
      </c>
      <c r="K4" s="89" t="n">
        <v>49</v>
      </c>
      <c r="L4" s="131" t="n">
        <v>17</v>
      </c>
      <c r="M4" s="132" t="n">
        <v>30</v>
      </c>
      <c r="N4" s="83" t="n">
        <v>2</v>
      </c>
      <c r="O4" s="91" t="n">
        <v>15</v>
      </c>
      <c r="P4" s="91" t="n">
        <v>6</v>
      </c>
      <c r="Q4" s="78" t="inlineStr">
        <is>
          <t>channel</t>
        </is>
      </c>
      <c r="R4" s="94" t="n"/>
      <c r="S4" s="81" t="n">
        <v>0</v>
      </c>
      <c r="T4" s="81" t="n">
        <v>0</v>
      </c>
      <c r="U4" s="89" t="n">
        <v>20</v>
      </c>
      <c r="V4" s="83" t="n">
        <v>76</v>
      </c>
      <c r="W4" s="81" t="n">
        <v>0</v>
      </c>
      <c r="X4" s="81" t="n">
        <v>1</v>
      </c>
      <c r="Y4" s="81" t="n">
        <v>1</v>
      </c>
      <c r="Z4" s="81" t="n">
        <v>2</v>
      </c>
      <c r="AA4" s="81" t="n">
        <v>0</v>
      </c>
      <c r="AB4" s="81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3.950329024975472</v>
      </c>
      <c r="AG4" s="606" t="n">
        <v>-0.05268002492766021</v>
      </c>
      <c r="AH4" s="607" t="n">
        <v>-0.0004180954359338112</v>
      </c>
      <c r="AI4" s="99" t="n">
        <v>0.319672131147541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1" t="n">
        <v>122</v>
      </c>
      <c r="D5" s="129" t="n">
        <v>47</v>
      </c>
      <c r="E5" s="130" t="n">
        <v>73</v>
      </c>
      <c r="F5" s="87" t="n">
        <v>2</v>
      </c>
      <c r="G5" s="89" t="n">
        <v>55</v>
      </c>
      <c r="H5" s="131" t="n">
        <v>16</v>
      </c>
      <c r="I5" s="132" t="n">
        <v>37</v>
      </c>
      <c r="J5" s="83" t="n">
        <v>2</v>
      </c>
      <c r="K5" s="89" t="n">
        <v>67</v>
      </c>
      <c r="L5" s="131" t="n">
        <v>31</v>
      </c>
      <c r="M5" s="132" t="n">
        <v>36</v>
      </c>
      <c r="N5" s="83" t="n">
        <v>0</v>
      </c>
      <c r="O5" s="91" t="n">
        <v>18</v>
      </c>
      <c r="P5" s="91" t="n">
        <v>6</v>
      </c>
      <c r="Q5" s="78" t="inlineStr">
        <is>
          <t>channel</t>
        </is>
      </c>
      <c r="R5" s="78" t="inlineStr">
        <is>
          <t>9</t>
        </is>
      </c>
      <c r="S5" s="81" t="n">
        <v>0</v>
      </c>
      <c r="T5" s="81" t="n">
        <v>0</v>
      </c>
      <c r="U5" s="89" t="n">
        <v>30</v>
      </c>
      <c r="V5" s="83" t="n">
        <v>65</v>
      </c>
      <c r="W5" s="81" t="n">
        <v>0</v>
      </c>
      <c r="X5" s="81" t="n">
        <v>0</v>
      </c>
      <c r="Y5" s="81" t="n">
        <v>0</v>
      </c>
      <c r="Z5" s="81" t="n">
        <v>4</v>
      </c>
      <c r="AA5" s="81" t="n">
        <v>1</v>
      </c>
      <c r="AB5" s="81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8.731963063158458</v>
      </c>
      <c r="AG5" s="606" t="n">
        <v>-0.03558654712251744</v>
      </c>
      <c r="AH5" s="607" t="n">
        <v>-0.0002916930092009626</v>
      </c>
      <c r="AI5" s="99" t="n">
        <v>0.3916666666666667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1" t="n">
        <v>112</v>
      </c>
      <c r="D6" s="129" t="n">
        <v>28</v>
      </c>
      <c r="E6" s="130" t="n">
        <v>84</v>
      </c>
      <c r="F6" s="87" t="n">
        <v>0</v>
      </c>
      <c r="G6" s="89" t="n">
        <v>58</v>
      </c>
      <c r="H6" s="131" t="n">
        <v>15</v>
      </c>
      <c r="I6" s="132" t="n">
        <v>43</v>
      </c>
      <c r="J6" s="83" t="n">
        <v>0</v>
      </c>
      <c r="K6" s="89" t="n">
        <v>54</v>
      </c>
      <c r="L6" s="131" t="n">
        <v>13</v>
      </c>
      <c r="M6" s="132" t="n">
        <v>41</v>
      </c>
      <c r="N6" s="83" t="n">
        <v>0</v>
      </c>
      <c r="O6" s="91" t="n">
        <v>9</v>
      </c>
      <c r="P6" s="91" t="n">
        <v>1</v>
      </c>
      <c r="Q6" s="94" t="n"/>
      <c r="R6" s="94" t="n"/>
      <c r="S6" s="81" t="n">
        <v>0</v>
      </c>
      <c r="T6" s="81" t="n">
        <v>0</v>
      </c>
      <c r="U6" s="89" t="n">
        <v>24</v>
      </c>
      <c r="V6" s="83" t="n">
        <v>56</v>
      </c>
      <c r="W6" s="81" t="n">
        <v>1</v>
      </c>
      <c r="X6" s="81" t="n">
        <v>2</v>
      </c>
      <c r="Y6" s="81" t="n">
        <v>0</v>
      </c>
      <c r="Z6" s="81" t="n">
        <v>2</v>
      </c>
      <c r="AA6" s="81" t="n">
        <v>1</v>
      </c>
      <c r="AB6" s="81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1" t="n">
        <v>97</v>
      </c>
      <c r="D7" s="129" t="n">
        <v>28</v>
      </c>
      <c r="E7" s="130" t="n">
        <v>66</v>
      </c>
      <c r="F7" s="87" t="n">
        <v>3</v>
      </c>
      <c r="G7" s="89" t="n">
        <v>61</v>
      </c>
      <c r="H7" s="131" t="n">
        <v>19</v>
      </c>
      <c r="I7" s="132" t="n">
        <v>40</v>
      </c>
      <c r="J7" s="83" t="n">
        <v>2</v>
      </c>
      <c r="K7" s="89" t="n">
        <v>36</v>
      </c>
      <c r="L7" s="131" t="n">
        <v>9</v>
      </c>
      <c r="M7" s="132" t="n">
        <v>26</v>
      </c>
      <c r="N7" s="83" t="n">
        <v>1</v>
      </c>
      <c r="O7" s="91" t="n">
        <v>16</v>
      </c>
      <c r="P7" s="91" t="n">
        <v>1</v>
      </c>
      <c r="Q7" s="78" t="inlineStr">
        <is>
          <t>channel</t>
        </is>
      </c>
      <c r="R7" s="78" t="inlineStr">
        <is>
          <t>20</t>
        </is>
      </c>
      <c r="S7" s="81" t="n">
        <v>0</v>
      </c>
      <c r="T7" s="81" t="n">
        <v>0</v>
      </c>
      <c r="U7" s="89" t="n">
        <v>28</v>
      </c>
      <c r="V7" s="83" t="n">
        <v>57</v>
      </c>
      <c r="W7" s="81" t="n">
        <v>0</v>
      </c>
      <c r="X7" s="81" t="n">
        <v>1</v>
      </c>
      <c r="Y7" s="81" t="n">
        <v>0</v>
      </c>
      <c r="Z7" s="81" t="n">
        <v>0</v>
      </c>
      <c r="AA7" s="81" t="n">
        <v>0</v>
      </c>
      <c r="AB7" s="81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0.2978723404255319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1" t="n">
        <v>70</v>
      </c>
      <c r="D8" s="129" t="n">
        <v>14</v>
      </c>
      <c r="E8" s="130" t="n">
        <v>56</v>
      </c>
      <c r="F8" s="87" t="n">
        <v>0</v>
      </c>
      <c r="G8" s="89" t="n">
        <v>56</v>
      </c>
      <c r="H8" s="131" t="n">
        <v>14</v>
      </c>
      <c r="I8" s="132" t="n">
        <v>42</v>
      </c>
      <c r="J8" s="83" t="n">
        <v>0</v>
      </c>
      <c r="K8" s="89" t="n">
        <v>14</v>
      </c>
      <c r="L8" s="131" t="n">
        <v>0</v>
      </c>
      <c r="M8" s="132" t="n">
        <v>14</v>
      </c>
      <c r="N8" s="83" t="n">
        <v>0</v>
      </c>
      <c r="O8" s="91" t="n">
        <v>10</v>
      </c>
      <c r="P8" s="91" t="n">
        <v>0</v>
      </c>
      <c r="Q8" s="78" t="inlineStr">
        <is>
          <t>channel</t>
        </is>
      </c>
      <c r="R8" s="94" t="n"/>
      <c r="S8" s="81" t="n">
        <v>6</v>
      </c>
      <c r="T8" s="81" t="n">
        <v>0</v>
      </c>
      <c r="U8" s="89" t="n">
        <v>2</v>
      </c>
      <c r="V8" s="83" t="n">
        <v>68</v>
      </c>
      <c r="W8" s="81" t="n">
        <v>3</v>
      </c>
      <c r="X8" s="81" t="n">
        <v>5</v>
      </c>
      <c r="Y8" s="81" t="n">
        <v>0</v>
      </c>
      <c r="Z8" s="81" t="n">
        <v>2</v>
      </c>
      <c r="AA8" s="81" t="n">
        <v>0</v>
      </c>
      <c r="AB8" s="81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-20.87025855850121</v>
      </c>
      <c r="AG8" s="606" t="n">
        <v>-0.2566445505508605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1" t="n">
        <v>71</v>
      </c>
      <c r="D9" s="129" t="n">
        <v>27</v>
      </c>
      <c r="E9" s="130" t="n">
        <v>41</v>
      </c>
      <c r="F9" s="87" t="n">
        <v>3</v>
      </c>
      <c r="G9" s="89" t="n">
        <v>45</v>
      </c>
      <c r="H9" s="131" t="n">
        <v>18</v>
      </c>
      <c r="I9" s="132" t="n">
        <v>25</v>
      </c>
      <c r="J9" s="83" t="n">
        <v>2</v>
      </c>
      <c r="K9" s="89" t="n">
        <v>26</v>
      </c>
      <c r="L9" s="131" t="n">
        <v>9</v>
      </c>
      <c r="M9" s="132" t="n">
        <v>16</v>
      </c>
      <c r="N9" s="83" t="n">
        <v>1</v>
      </c>
      <c r="O9" s="91" t="n">
        <v>12</v>
      </c>
      <c r="P9" s="91" t="n">
        <v>4</v>
      </c>
      <c r="Q9" s="78" t="inlineStr">
        <is>
          <t>range</t>
        </is>
      </c>
      <c r="R9" s="94" t="n"/>
      <c r="S9" s="81" t="n">
        <v>0</v>
      </c>
      <c r="T9" s="81" t="n">
        <v>0</v>
      </c>
      <c r="U9" s="89" t="n">
        <v>21</v>
      </c>
      <c r="V9" s="83" t="n">
        <v>41</v>
      </c>
      <c r="W9" s="81" t="n">
        <v>0</v>
      </c>
      <c r="X9" s="81" t="n">
        <v>0</v>
      </c>
      <c r="Y9" s="81" t="n">
        <v>1</v>
      </c>
      <c r="Z9" s="81" t="n">
        <v>0</v>
      </c>
      <c r="AA9" s="81" t="n">
        <v>0</v>
      </c>
      <c r="AB9" s="81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0.06654480292226181</v>
      </c>
      <c r="AH9" s="604" t="n">
        <v>0.0009372507453839691</v>
      </c>
      <c r="AI9" s="99" t="n">
        <v>0.3970588235294117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1" t="n">
        <v>51</v>
      </c>
      <c r="D10" s="129" t="n">
        <v>15</v>
      </c>
      <c r="E10" s="130" t="n">
        <v>36</v>
      </c>
      <c r="F10" s="87" t="n">
        <v>0</v>
      </c>
      <c r="G10" s="89" t="n">
        <v>42</v>
      </c>
      <c r="H10" s="131" t="n">
        <v>12</v>
      </c>
      <c r="I10" s="132" t="n">
        <v>30</v>
      </c>
      <c r="J10" s="83" t="n">
        <v>0</v>
      </c>
      <c r="K10" s="89" t="n">
        <v>9</v>
      </c>
      <c r="L10" s="131" t="n">
        <v>3</v>
      </c>
      <c r="M10" s="132" t="n">
        <v>6</v>
      </c>
      <c r="N10" s="83" t="n">
        <v>0</v>
      </c>
      <c r="O10" s="91" t="n">
        <v>4</v>
      </c>
      <c r="P10" s="91" t="n">
        <v>1</v>
      </c>
      <c r="Q10" s="78" t="inlineStr">
        <is>
          <t>channel</t>
        </is>
      </c>
      <c r="R10" s="94" t="n"/>
      <c r="S10" s="81" t="n">
        <v>5</v>
      </c>
      <c r="T10" s="81" t="n">
        <v>0</v>
      </c>
      <c r="U10" s="89" t="n">
        <v>2</v>
      </c>
      <c r="V10" s="83" t="n">
        <v>48</v>
      </c>
      <c r="W10" s="81" t="n">
        <v>0</v>
      </c>
      <c r="X10" s="81" t="n">
        <v>2</v>
      </c>
      <c r="Y10" s="81" t="n">
        <v>1</v>
      </c>
      <c r="Z10" s="81" t="n">
        <v>1</v>
      </c>
      <c r="AA10" s="81" t="n">
        <v>1</v>
      </c>
      <c r="AB10" s="81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-2.129627587209938</v>
      </c>
      <c r="AG10" s="603" t="n">
        <v>0.01757881921801171</v>
      </c>
      <c r="AH10" s="604" t="n">
        <v>0.0003446827297649356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1" t="n">
        <v>43</v>
      </c>
      <c r="D11" s="129" t="n">
        <v>9</v>
      </c>
      <c r="E11" s="130" t="n">
        <v>33</v>
      </c>
      <c r="F11" s="87" t="n">
        <v>1</v>
      </c>
      <c r="G11" s="89" t="n">
        <v>22</v>
      </c>
      <c r="H11" s="131" t="n">
        <v>5</v>
      </c>
      <c r="I11" s="132" t="n">
        <v>16</v>
      </c>
      <c r="J11" s="83" t="n">
        <v>1</v>
      </c>
      <c r="K11" s="89" t="n">
        <v>21</v>
      </c>
      <c r="L11" s="131" t="n">
        <v>4</v>
      </c>
      <c r="M11" s="132" t="n">
        <v>17</v>
      </c>
      <c r="N11" s="83" t="n">
        <v>0</v>
      </c>
      <c r="O11" s="91" t="n">
        <v>1</v>
      </c>
      <c r="P11" s="91" t="n">
        <v>1</v>
      </c>
      <c r="Q11" s="78" t="inlineStr">
        <is>
          <t>channel</t>
        </is>
      </c>
      <c r="R11" s="94" t="n"/>
      <c r="S11" s="81" t="n">
        <v>0</v>
      </c>
      <c r="T11" s="81" t="n">
        <v>0</v>
      </c>
      <c r="U11" s="89" t="n">
        <v>10</v>
      </c>
      <c r="V11" s="83" t="n">
        <v>24</v>
      </c>
      <c r="W11" s="81" t="n">
        <v>1</v>
      </c>
      <c r="X11" s="81" t="n">
        <v>0</v>
      </c>
      <c r="Y11" s="81" t="n">
        <v>0</v>
      </c>
      <c r="Z11" s="81" t="n">
        <v>0</v>
      </c>
      <c r="AA11" s="81" t="n">
        <v>0</v>
      </c>
      <c r="AB11" s="81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0.2142857142857143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1" t="n">
        <v>30</v>
      </c>
      <c r="D12" s="129" t="n">
        <v>7</v>
      </c>
      <c r="E12" s="130" t="n">
        <v>23</v>
      </c>
      <c r="F12" s="87" t="n">
        <v>0</v>
      </c>
      <c r="G12" s="89" t="n">
        <v>30</v>
      </c>
      <c r="H12" s="131" t="n">
        <v>7</v>
      </c>
      <c r="I12" s="132" t="n">
        <v>23</v>
      </c>
      <c r="J12" s="83" t="n">
        <v>0</v>
      </c>
      <c r="K12" s="89" t="n">
        <v>0</v>
      </c>
      <c r="L12" s="131" t="n">
        <v>0</v>
      </c>
      <c r="M12" s="132" t="n">
        <v>0</v>
      </c>
      <c r="N12" s="83" t="n">
        <v>0</v>
      </c>
      <c r="O12" s="91" t="n">
        <v>10</v>
      </c>
      <c r="P12" s="91" t="n">
        <v>0</v>
      </c>
      <c r="Q12" s="94" t="n"/>
      <c r="R12" s="94" t="n"/>
      <c r="S12" s="81" t="n">
        <v>0</v>
      </c>
      <c r="T12" s="81" t="n">
        <v>0</v>
      </c>
      <c r="U12" s="89" t="n">
        <v>0</v>
      </c>
      <c r="V12" s="83" t="n">
        <v>30</v>
      </c>
      <c r="W12" s="81" t="n">
        <v>0</v>
      </c>
      <c r="X12" s="81" t="n">
        <v>0</v>
      </c>
      <c r="Y12" s="81" t="n">
        <v>0</v>
      </c>
      <c r="Z12" s="81" t="n">
        <v>0</v>
      </c>
      <c r="AA12" s="81" t="n">
        <v>0</v>
      </c>
      <c r="AB12" s="81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-0.03987836454124271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1" t="n">
        <v>28</v>
      </c>
      <c r="D13" s="129" t="n">
        <v>6</v>
      </c>
      <c r="E13" s="130" t="n">
        <v>22</v>
      </c>
      <c r="F13" s="87" t="n">
        <v>0</v>
      </c>
      <c r="G13" s="89" t="n">
        <v>13</v>
      </c>
      <c r="H13" s="131" t="n">
        <v>0</v>
      </c>
      <c r="I13" s="132" t="n">
        <v>13</v>
      </c>
      <c r="J13" s="83" t="n">
        <v>0</v>
      </c>
      <c r="K13" s="89" t="n">
        <v>15</v>
      </c>
      <c r="L13" s="131" t="n">
        <v>6</v>
      </c>
      <c r="M13" s="132" t="n">
        <v>9</v>
      </c>
      <c r="N13" s="83" t="n">
        <v>0</v>
      </c>
      <c r="O13" s="91" t="n">
        <v>3</v>
      </c>
      <c r="P13" s="91" t="n">
        <v>1</v>
      </c>
      <c r="Q13" s="94" t="n"/>
      <c r="R13" s="94" t="n"/>
      <c r="S13" s="81" t="n">
        <v>0</v>
      </c>
      <c r="T13" s="81" t="n">
        <v>0</v>
      </c>
      <c r="U13" s="89" t="n">
        <v>2</v>
      </c>
      <c r="V13" s="83" t="n">
        <v>11</v>
      </c>
      <c r="W13" s="81" t="n">
        <v>0</v>
      </c>
      <c r="X13" s="81" t="n">
        <v>0</v>
      </c>
      <c r="Y13" s="81" t="n">
        <v>0</v>
      </c>
      <c r="Z13" s="81" t="n">
        <v>0</v>
      </c>
      <c r="AA13" s="81" t="n">
        <v>0</v>
      </c>
      <c r="AB13" s="81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-20.43408991386089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1" t="n">
        <v>25</v>
      </c>
      <c r="D14" s="129" t="n">
        <v>9</v>
      </c>
      <c r="E14" s="130" t="n">
        <v>16</v>
      </c>
      <c r="F14" s="87" t="n">
        <v>0</v>
      </c>
      <c r="G14" s="89" t="n">
        <v>18</v>
      </c>
      <c r="H14" s="131" t="n">
        <v>6</v>
      </c>
      <c r="I14" s="132" t="n">
        <v>12</v>
      </c>
      <c r="J14" s="83" t="n">
        <v>0</v>
      </c>
      <c r="K14" s="89" t="n">
        <v>7</v>
      </c>
      <c r="L14" s="131" t="n">
        <v>3</v>
      </c>
      <c r="M14" s="132" t="n">
        <v>4</v>
      </c>
      <c r="N14" s="83" t="n">
        <v>0</v>
      </c>
      <c r="O14" s="91" t="n">
        <v>4</v>
      </c>
      <c r="P14" s="91" t="n">
        <v>0</v>
      </c>
      <c r="Q14" s="94" t="n"/>
      <c r="R14" s="94" t="n"/>
      <c r="S14" s="81" t="n">
        <v>0</v>
      </c>
      <c r="T14" s="81" t="n">
        <v>0</v>
      </c>
      <c r="U14" s="89" t="n">
        <v>2</v>
      </c>
      <c r="V14" s="83" t="n">
        <v>10</v>
      </c>
      <c r="W14" s="81" t="n">
        <v>0</v>
      </c>
      <c r="X14" s="81" t="n">
        <v>0</v>
      </c>
      <c r="Y14" s="81" t="n">
        <v>0</v>
      </c>
      <c r="Z14" s="81" t="n">
        <v>0</v>
      </c>
      <c r="AA14" s="81" t="n">
        <v>0</v>
      </c>
      <c r="AB14" s="81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0.04548688393635776</v>
      </c>
      <c r="AH14" s="604" t="n">
        <v>0.00181947535745431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1" t="n">
        <v>22</v>
      </c>
      <c r="D15" s="129" t="n">
        <v>3</v>
      </c>
      <c r="E15" s="130" t="n">
        <v>19</v>
      </c>
      <c r="F15" s="87" t="n">
        <v>0</v>
      </c>
      <c r="G15" s="89" t="n">
        <v>8</v>
      </c>
      <c r="H15" s="131" t="n">
        <v>1</v>
      </c>
      <c r="I15" s="132" t="n">
        <v>7</v>
      </c>
      <c r="J15" s="83" t="n">
        <v>0</v>
      </c>
      <c r="K15" s="89" t="n">
        <v>14</v>
      </c>
      <c r="L15" s="131" t="n">
        <v>2</v>
      </c>
      <c r="M15" s="132" t="n">
        <v>12</v>
      </c>
      <c r="N15" s="83" t="n">
        <v>0</v>
      </c>
      <c r="O15" s="91" t="n">
        <v>2</v>
      </c>
      <c r="P15" s="91" t="n">
        <v>1</v>
      </c>
      <c r="Q15" s="94" t="n"/>
      <c r="R15" s="94" t="n"/>
      <c r="S15" s="81" t="n">
        <v>0</v>
      </c>
      <c r="T15" s="81" t="n">
        <v>0</v>
      </c>
      <c r="U15" s="89" t="n">
        <v>2</v>
      </c>
      <c r="V15" s="83" t="n">
        <v>8</v>
      </c>
      <c r="W15" s="81" t="n">
        <v>0</v>
      </c>
      <c r="X15" s="81" t="n">
        <v>0</v>
      </c>
      <c r="Y15" s="81" t="n">
        <v>0</v>
      </c>
      <c r="Z15" s="81" t="n">
        <v>0</v>
      </c>
      <c r="AA15" s="81" t="n">
        <v>0</v>
      </c>
      <c r="AB15" s="81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1" t="n">
        <v>21</v>
      </c>
      <c r="D16" s="129" t="n">
        <v>6</v>
      </c>
      <c r="E16" s="130" t="n">
        <v>15</v>
      </c>
      <c r="F16" s="87" t="n">
        <v>0</v>
      </c>
      <c r="G16" s="89" t="n">
        <v>13</v>
      </c>
      <c r="H16" s="131" t="n">
        <v>4</v>
      </c>
      <c r="I16" s="132" t="n">
        <v>9</v>
      </c>
      <c r="J16" s="83" t="n">
        <v>0</v>
      </c>
      <c r="K16" s="89" t="n">
        <v>8</v>
      </c>
      <c r="L16" s="131" t="n">
        <v>2</v>
      </c>
      <c r="M16" s="132" t="n">
        <v>6</v>
      </c>
      <c r="N16" s="83" t="n">
        <v>0</v>
      </c>
      <c r="O16" s="91" t="n">
        <v>4</v>
      </c>
      <c r="P16" s="91" t="n">
        <v>1</v>
      </c>
      <c r="Q16" s="78" t="inlineStr">
        <is>
          <t>range</t>
        </is>
      </c>
      <c r="R16" s="94" t="n"/>
      <c r="S16" s="81" t="n">
        <v>0</v>
      </c>
      <c r="T16" s="81" t="n">
        <v>1</v>
      </c>
      <c r="U16" s="89" t="n">
        <v>4</v>
      </c>
      <c r="V16" s="83" t="n">
        <v>15</v>
      </c>
      <c r="W16" s="81" t="n">
        <v>0</v>
      </c>
      <c r="X16" s="81" t="n">
        <v>1</v>
      </c>
      <c r="Y16" s="81" t="n">
        <v>2</v>
      </c>
      <c r="Z16" s="81" t="n">
        <v>0</v>
      </c>
      <c r="AA16" s="81" t="n">
        <v>0</v>
      </c>
      <c r="AB16" s="81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-2.020115501887794</v>
      </c>
      <c r="AG16" s="606" t="n">
        <v>-0.02038267861193362</v>
      </c>
      <c r="AH16" s="607" t="n">
        <v>-0.0009706037434254105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1" t="n">
        <v>19</v>
      </c>
      <c r="D17" s="129" t="n">
        <v>4</v>
      </c>
      <c r="E17" s="130" t="n">
        <v>15</v>
      </c>
      <c r="F17" s="87" t="n">
        <v>0</v>
      </c>
      <c r="G17" s="89" t="n">
        <v>8</v>
      </c>
      <c r="H17" s="131" t="n">
        <v>2</v>
      </c>
      <c r="I17" s="132" t="n">
        <v>6</v>
      </c>
      <c r="J17" s="83" t="n">
        <v>0</v>
      </c>
      <c r="K17" s="89" t="n">
        <v>11</v>
      </c>
      <c r="L17" s="131" t="n">
        <v>2</v>
      </c>
      <c r="M17" s="132" t="n">
        <v>9</v>
      </c>
      <c r="N17" s="83" t="n">
        <v>0</v>
      </c>
      <c r="O17" s="91" t="n">
        <v>1</v>
      </c>
      <c r="P17" s="91" t="n">
        <v>0</v>
      </c>
      <c r="Q17" s="94" t="n"/>
      <c r="R17" s="94" t="n"/>
      <c r="S17" s="81" t="n">
        <v>0</v>
      </c>
      <c r="T17" s="81" t="n">
        <v>0</v>
      </c>
      <c r="U17" s="89" t="n">
        <v>1</v>
      </c>
      <c r="V17" s="83" t="n">
        <v>17</v>
      </c>
      <c r="W17" s="81" t="n">
        <v>0</v>
      </c>
      <c r="X17" s="81" t="n">
        <v>0</v>
      </c>
      <c r="Y17" s="81" t="n">
        <v>0</v>
      </c>
      <c r="Z17" s="81" t="n">
        <v>0</v>
      </c>
      <c r="AA17" s="81" t="n">
        <v>0</v>
      </c>
      <c r="AB17" s="81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-6.591870917101887</v>
      </c>
      <c r="AG17" s="606" t="n">
        <v>-0.02657158150286235</v>
      </c>
      <c r="AH17" s="607" t="n">
        <v>-0.001398504289624334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1" t="n">
        <v>17</v>
      </c>
      <c r="D18" s="129" t="n">
        <v>3</v>
      </c>
      <c r="E18" s="130" t="n">
        <v>14</v>
      </c>
      <c r="F18" s="87" t="n">
        <v>0</v>
      </c>
      <c r="G18" s="89" t="n">
        <v>6</v>
      </c>
      <c r="H18" s="131" t="n">
        <v>1</v>
      </c>
      <c r="I18" s="132" t="n">
        <v>5</v>
      </c>
      <c r="J18" s="83" t="n">
        <v>0</v>
      </c>
      <c r="K18" s="89" t="n">
        <v>11</v>
      </c>
      <c r="L18" s="131" t="n">
        <v>2</v>
      </c>
      <c r="M18" s="132" t="n">
        <v>9</v>
      </c>
      <c r="N18" s="83" t="n">
        <v>0</v>
      </c>
      <c r="O18" s="91" t="n">
        <v>2</v>
      </c>
      <c r="P18" s="91" t="n">
        <v>0</v>
      </c>
      <c r="Q18" s="94" t="n"/>
      <c r="R18" s="94" t="n"/>
      <c r="S18" s="81" t="n">
        <v>0</v>
      </c>
      <c r="T18" s="81" t="n">
        <v>0</v>
      </c>
      <c r="U18" s="89" t="n">
        <v>0</v>
      </c>
      <c r="V18" s="83" t="n">
        <v>11</v>
      </c>
      <c r="W18" s="81" t="n">
        <v>0</v>
      </c>
      <c r="X18" s="81" t="n">
        <v>0</v>
      </c>
      <c r="Y18" s="81" t="n">
        <v>0</v>
      </c>
      <c r="Z18" s="81" t="n">
        <v>0</v>
      </c>
      <c r="AA18" s="81" t="n">
        <v>0</v>
      </c>
      <c r="AB18" s="81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1" t="n">
        <v>16</v>
      </c>
      <c r="D19" s="129" t="n">
        <v>4</v>
      </c>
      <c r="E19" s="130" t="n">
        <v>12</v>
      </c>
      <c r="F19" s="87" t="n">
        <v>0</v>
      </c>
      <c r="G19" s="89" t="n">
        <v>14</v>
      </c>
      <c r="H19" s="131" t="n">
        <v>3</v>
      </c>
      <c r="I19" s="132" t="n">
        <v>11</v>
      </c>
      <c r="J19" s="83" t="n">
        <v>0</v>
      </c>
      <c r="K19" s="89" t="n">
        <v>2</v>
      </c>
      <c r="L19" s="131" t="n">
        <v>1</v>
      </c>
      <c r="M19" s="132" t="n">
        <v>1</v>
      </c>
      <c r="N19" s="83" t="n">
        <v>0</v>
      </c>
      <c r="O19" s="91" t="n">
        <v>1</v>
      </c>
      <c r="P19" s="91" t="n">
        <v>0</v>
      </c>
      <c r="Q19" s="78" t="n"/>
      <c r="R19" s="94" t="n"/>
      <c r="S19" s="81" t="n">
        <v>0</v>
      </c>
      <c r="T19" s="81" t="n">
        <v>0</v>
      </c>
      <c r="U19" s="89" t="n">
        <v>2</v>
      </c>
      <c r="V19" s="83" t="n">
        <v>9</v>
      </c>
      <c r="W19" s="81" t="n">
        <v>1</v>
      </c>
      <c r="X19" s="81" t="n">
        <v>0</v>
      </c>
      <c r="Y19" s="81" t="n">
        <v>0</v>
      </c>
      <c r="Z19" s="81" t="n">
        <v>0</v>
      </c>
      <c r="AA19" s="81" t="n">
        <v>0</v>
      </c>
      <c r="AB19" s="81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-2.490878378279195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1" t="n">
        <v>16</v>
      </c>
      <c r="D20" s="129" t="n">
        <v>6</v>
      </c>
      <c r="E20" s="130" t="n">
        <v>10</v>
      </c>
      <c r="F20" s="87" t="n">
        <v>0</v>
      </c>
      <c r="G20" s="89" t="n">
        <v>14</v>
      </c>
      <c r="H20" s="131" t="n">
        <v>5</v>
      </c>
      <c r="I20" s="132" t="n">
        <v>9</v>
      </c>
      <c r="J20" s="83" t="n">
        <v>0</v>
      </c>
      <c r="K20" s="89" t="n">
        <v>2</v>
      </c>
      <c r="L20" s="131" t="n">
        <v>1</v>
      </c>
      <c r="M20" s="132" t="n">
        <v>1</v>
      </c>
      <c r="N20" s="83" t="n">
        <v>0</v>
      </c>
      <c r="O20" s="91" t="n">
        <v>3</v>
      </c>
      <c r="P20" s="91" t="n">
        <v>0</v>
      </c>
      <c r="Q20" s="78" t="inlineStr">
        <is>
          <t>channel</t>
        </is>
      </c>
      <c r="R20" s="94" t="n"/>
      <c r="S20" s="81" t="n">
        <v>0</v>
      </c>
      <c r="T20" s="81" t="n">
        <v>0</v>
      </c>
      <c r="U20" s="89" t="n">
        <v>0</v>
      </c>
      <c r="V20" s="83" t="n">
        <v>16</v>
      </c>
      <c r="W20" s="81" t="n">
        <v>0</v>
      </c>
      <c r="X20" s="81" t="n">
        <v>0</v>
      </c>
      <c r="Y20" s="81" t="n">
        <v>0</v>
      </c>
      <c r="Z20" s="81" t="n">
        <v>1</v>
      </c>
      <c r="AA20" s="81" t="n">
        <v>0</v>
      </c>
      <c r="AB20" s="81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4.633291663609849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1" t="n">
        <v>16</v>
      </c>
      <c r="D21" s="129" t="n">
        <v>4</v>
      </c>
      <c r="E21" s="130" t="n">
        <v>12</v>
      </c>
      <c r="F21" s="87" t="n">
        <v>0</v>
      </c>
      <c r="G21" s="89" t="n">
        <v>12</v>
      </c>
      <c r="H21" s="131" t="n">
        <v>3</v>
      </c>
      <c r="I21" s="132" t="n">
        <v>9</v>
      </c>
      <c r="J21" s="83" t="n">
        <v>0</v>
      </c>
      <c r="K21" s="89" t="n">
        <v>4</v>
      </c>
      <c r="L21" s="131" t="n">
        <v>1</v>
      </c>
      <c r="M21" s="132" t="n">
        <v>3</v>
      </c>
      <c r="N21" s="83" t="n">
        <v>0</v>
      </c>
      <c r="O21" s="91" t="n">
        <v>1</v>
      </c>
      <c r="P21" s="91" t="n">
        <v>0</v>
      </c>
      <c r="Q21" s="78" t="n"/>
      <c r="R21" s="94" t="n"/>
      <c r="S21" s="81" t="n">
        <v>0</v>
      </c>
      <c r="T21" s="81" t="n">
        <v>0</v>
      </c>
      <c r="U21" s="89" t="n">
        <v>0</v>
      </c>
      <c r="V21" s="83" t="n">
        <v>11</v>
      </c>
      <c r="W21" s="81" t="n">
        <v>0</v>
      </c>
      <c r="X21" s="81" t="n">
        <v>0</v>
      </c>
      <c r="Y21" s="81" t="n">
        <v>0</v>
      </c>
      <c r="Z21" s="81" t="n">
        <v>0</v>
      </c>
      <c r="AA21" s="81" t="n">
        <v>0</v>
      </c>
      <c r="AB21" s="81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-0.03965587180853793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1" t="n">
        <v>15</v>
      </c>
      <c r="D22" s="129" t="n">
        <v>5</v>
      </c>
      <c r="E22" s="130" t="n">
        <v>10</v>
      </c>
      <c r="F22" s="87" t="n">
        <v>0</v>
      </c>
      <c r="G22" s="89" t="n">
        <v>7</v>
      </c>
      <c r="H22" s="131" t="n">
        <v>2</v>
      </c>
      <c r="I22" s="132" t="n">
        <v>5</v>
      </c>
      <c r="J22" s="83" t="n">
        <v>0</v>
      </c>
      <c r="K22" s="89" t="n">
        <v>8</v>
      </c>
      <c r="L22" s="131" t="n">
        <v>3</v>
      </c>
      <c r="M22" s="132" t="n">
        <v>5</v>
      </c>
      <c r="N22" s="83" t="n">
        <v>0</v>
      </c>
      <c r="O22" s="91" t="n">
        <v>2</v>
      </c>
      <c r="P22" s="91" t="n">
        <v>0</v>
      </c>
      <c r="Q22" s="78" t="n"/>
      <c r="R22" s="94" t="n"/>
      <c r="S22" s="81" t="n">
        <v>0</v>
      </c>
      <c r="T22" s="81" t="n">
        <v>0</v>
      </c>
      <c r="U22" s="89" t="n">
        <v>0</v>
      </c>
      <c r="V22" s="83" t="n">
        <v>13</v>
      </c>
      <c r="W22" s="81" t="n">
        <v>0</v>
      </c>
      <c r="X22" s="81" t="n">
        <v>0</v>
      </c>
      <c r="Y22" s="81" t="n">
        <v>0</v>
      </c>
      <c r="Z22" s="81" t="n">
        <v>0</v>
      </c>
      <c r="AA22" s="81" t="n">
        <v>0</v>
      </c>
      <c r="AB22" s="81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-1.686979341808431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1" t="n">
        <v>14</v>
      </c>
      <c r="D23" s="129" t="n">
        <v>4</v>
      </c>
      <c r="E23" s="130" t="n">
        <v>10</v>
      </c>
      <c r="F23" s="87" t="n">
        <v>0</v>
      </c>
      <c r="G23" s="89" t="n">
        <v>10</v>
      </c>
      <c r="H23" s="131" t="n">
        <v>2</v>
      </c>
      <c r="I23" s="132" t="n">
        <v>8</v>
      </c>
      <c r="J23" s="83" t="n">
        <v>0</v>
      </c>
      <c r="K23" s="89" t="n">
        <v>4</v>
      </c>
      <c r="L23" s="131" t="n">
        <v>2</v>
      </c>
      <c r="M23" s="132" t="n">
        <v>2</v>
      </c>
      <c r="N23" s="83" t="n">
        <v>0</v>
      </c>
      <c r="O23" s="91" t="n">
        <v>1</v>
      </c>
      <c r="P23" s="91" t="n">
        <v>0</v>
      </c>
      <c r="Q23" s="78" t="n"/>
      <c r="R23" s="94" t="n"/>
      <c r="S23" s="81" t="n">
        <v>0</v>
      </c>
      <c r="T23" s="81" t="n">
        <v>0</v>
      </c>
      <c r="U23" s="89" t="n">
        <v>0</v>
      </c>
      <c r="V23" s="83" t="n">
        <v>6</v>
      </c>
      <c r="W23" s="81" t="n">
        <v>1</v>
      </c>
      <c r="X23" s="81" t="n">
        <v>0</v>
      </c>
      <c r="Y23" s="81" t="n">
        <v>0</v>
      </c>
      <c r="Z23" s="81" t="n">
        <v>0</v>
      </c>
      <c r="AA23" s="81" t="n">
        <v>0</v>
      </c>
      <c r="AB23" s="81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1" t="n">
        <v>14</v>
      </c>
      <c r="D24" s="129" t="n">
        <v>4</v>
      </c>
      <c r="E24" s="130" t="n">
        <v>9</v>
      </c>
      <c r="F24" s="87" t="n">
        <v>1</v>
      </c>
      <c r="G24" s="89" t="n">
        <v>13</v>
      </c>
      <c r="H24" s="131" t="n">
        <v>4</v>
      </c>
      <c r="I24" s="132" t="n">
        <v>8</v>
      </c>
      <c r="J24" s="83" t="n">
        <v>1</v>
      </c>
      <c r="K24" s="89" t="n">
        <v>1</v>
      </c>
      <c r="L24" s="131" t="n">
        <v>0</v>
      </c>
      <c r="M24" s="132" t="n">
        <v>1</v>
      </c>
      <c r="N24" s="83" t="n">
        <v>0</v>
      </c>
      <c r="O24" s="91" t="n">
        <v>2</v>
      </c>
      <c r="P24" s="91" t="n">
        <v>0</v>
      </c>
      <c r="Q24" s="78" t="n"/>
      <c r="R24" s="94" t="n"/>
      <c r="S24" s="81" t="n">
        <v>0</v>
      </c>
      <c r="T24" s="81" t="n">
        <v>0</v>
      </c>
      <c r="U24" s="89" t="n">
        <v>1</v>
      </c>
      <c r="V24" s="83" t="n">
        <v>9</v>
      </c>
      <c r="W24" s="81" t="n">
        <v>0</v>
      </c>
      <c r="X24" s="81" t="n">
        <v>1</v>
      </c>
      <c r="Y24" s="81" t="n">
        <v>0</v>
      </c>
      <c r="Z24" s="81" t="n">
        <v>2</v>
      </c>
      <c r="AA24" s="81" t="n">
        <v>1</v>
      </c>
      <c r="AB24" s="81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0.3076923076923077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1" t="n">
        <v>14</v>
      </c>
      <c r="D25" s="129" t="n">
        <v>4</v>
      </c>
      <c r="E25" s="130" t="n">
        <v>10</v>
      </c>
      <c r="F25" s="87" t="n">
        <v>0</v>
      </c>
      <c r="G25" s="89" t="n">
        <v>8</v>
      </c>
      <c r="H25" s="131" t="n">
        <v>4</v>
      </c>
      <c r="I25" s="132" t="n">
        <v>4</v>
      </c>
      <c r="J25" s="83" t="n">
        <v>0</v>
      </c>
      <c r="K25" s="89" t="n">
        <v>6</v>
      </c>
      <c r="L25" s="131" t="n">
        <v>0</v>
      </c>
      <c r="M25" s="132" t="n">
        <v>6</v>
      </c>
      <c r="N25" s="83" t="n">
        <v>0</v>
      </c>
      <c r="O25" s="91" t="n">
        <v>2</v>
      </c>
      <c r="P25" s="91" t="n">
        <v>0</v>
      </c>
      <c r="Q25" s="94" t="n"/>
      <c r="R25" s="94" t="n"/>
      <c r="S25" s="81" t="n">
        <v>0</v>
      </c>
      <c r="T25" s="81" t="n">
        <v>0</v>
      </c>
      <c r="U25" s="89" t="n">
        <v>0</v>
      </c>
      <c r="V25" s="83" t="n">
        <v>13</v>
      </c>
      <c r="W25" s="81" t="n">
        <v>0</v>
      </c>
      <c r="X25" s="81" t="n">
        <v>0</v>
      </c>
      <c r="Y25" s="81" t="n">
        <v>0</v>
      </c>
      <c r="Z25" s="81" t="n">
        <v>0</v>
      </c>
      <c r="AA25" s="81" t="n">
        <v>0</v>
      </c>
      <c r="AB25" s="81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-4.748767426615637</v>
      </c>
      <c r="AG25" s="606" t="n">
        <v>-0.05540650123058755</v>
      </c>
      <c r="AH25" s="607" t="n">
        <v>-0.003957607230756254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1" t="n">
        <v>14</v>
      </c>
      <c r="D26" s="129" t="n">
        <v>1</v>
      </c>
      <c r="E26" s="130" t="n">
        <v>13</v>
      </c>
      <c r="F26" s="87" t="n">
        <v>0</v>
      </c>
      <c r="G26" s="89" t="n">
        <v>6</v>
      </c>
      <c r="H26" s="131" t="n">
        <v>1</v>
      </c>
      <c r="I26" s="132" t="n">
        <v>5</v>
      </c>
      <c r="J26" s="83" t="n">
        <v>0</v>
      </c>
      <c r="K26" s="89" t="n">
        <v>8</v>
      </c>
      <c r="L26" s="131" t="n">
        <v>0</v>
      </c>
      <c r="M26" s="132" t="n">
        <v>8</v>
      </c>
      <c r="N26" s="83" t="n">
        <v>0</v>
      </c>
      <c r="O26" s="91" t="n">
        <v>1</v>
      </c>
      <c r="P26" s="91" t="n">
        <v>0</v>
      </c>
      <c r="Q26" s="94" t="n"/>
      <c r="R26" s="78" t="inlineStr">
        <is>
          <t>9</t>
        </is>
      </c>
      <c r="S26" s="81" t="n">
        <v>0</v>
      </c>
      <c r="T26" s="81" t="n">
        <v>0</v>
      </c>
      <c r="U26" s="89" t="n">
        <v>0</v>
      </c>
      <c r="V26" s="83" t="n">
        <v>12</v>
      </c>
      <c r="W26" s="81" t="n">
        <v>0</v>
      </c>
      <c r="X26" s="81" t="n">
        <v>0</v>
      </c>
      <c r="Y26" s="81" t="n">
        <v>0</v>
      </c>
      <c r="Z26" s="81" t="n">
        <v>0</v>
      </c>
      <c r="AA26" s="81" t="n">
        <v>0</v>
      </c>
      <c r="AB26" s="81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-9.765955295272271</v>
      </c>
      <c r="AG26" s="606" t="n">
        <v>-0.1150093493664174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1" t="n">
        <v>14</v>
      </c>
      <c r="D27" s="129" t="n">
        <v>3</v>
      </c>
      <c r="E27" s="130" t="n">
        <v>11</v>
      </c>
      <c r="F27" s="87" t="n">
        <v>0</v>
      </c>
      <c r="G27" s="89" t="n">
        <v>10</v>
      </c>
      <c r="H27" s="131" t="n">
        <v>3</v>
      </c>
      <c r="I27" s="132" t="n">
        <v>7</v>
      </c>
      <c r="J27" s="83" t="n">
        <v>0</v>
      </c>
      <c r="K27" s="89" t="n">
        <v>4</v>
      </c>
      <c r="L27" s="131" t="n">
        <v>0</v>
      </c>
      <c r="M27" s="132" t="n">
        <v>4</v>
      </c>
      <c r="N27" s="83" t="n">
        <v>0</v>
      </c>
      <c r="O27" s="91" t="n">
        <v>0</v>
      </c>
      <c r="P27" s="91" t="n">
        <v>0</v>
      </c>
      <c r="Q27" s="94" t="n"/>
      <c r="R27" s="94" t="n"/>
      <c r="S27" s="81" t="n">
        <v>2</v>
      </c>
      <c r="T27" s="81" t="n">
        <v>0</v>
      </c>
      <c r="U27" s="89" t="n">
        <v>0</v>
      </c>
      <c r="V27" s="83" t="n">
        <v>14</v>
      </c>
      <c r="W27" s="81" t="n">
        <v>0</v>
      </c>
      <c r="X27" s="81" t="n">
        <v>0</v>
      </c>
      <c r="Y27" s="81" t="n">
        <v>0</v>
      </c>
      <c r="Z27" s="81" t="n">
        <v>0</v>
      </c>
      <c r="AA27" s="81" t="n">
        <v>0</v>
      </c>
      <c r="AB27" s="81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-4.604549871592728</v>
      </c>
      <c r="AG27" s="606" t="n">
        <v>-0.0401776710701584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1" t="n">
        <v>13</v>
      </c>
      <c r="D28" s="129" t="n">
        <v>4</v>
      </c>
      <c r="E28" s="130" t="n">
        <v>9</v>
      </c>
      <c r="F28" s="87" t="n">
        <v>0</v>
      </c>
      <c r="G28" s="89" t="n">
        <v>13</v>
      </c>
      <c r="H28" s="131" t="n">
        <v>4</v>
      </c>
      <c r="I28" s="132" t="n">
        <v>9</v>
      </c>
      <c r="J28" s="83" t="n">
        <v>0</v>
      </c>
      <c r="K28" s="89" t="n">
        <v>0</v>
      </c>
      <c r="L28" s="131" t="n">
        <v>0</v>
      </c>
      <c r="M28" s="132" t="n">
        <v>0</v>
      </c>
      <c r="N28" s="83" t="n">
        <v>0</v>
      </c>
      <c r="O28" s="91" t="n">
        <v>2</v>
      </c>
      <c r="P28" s="91" t="n">
        <v>0</v>
      </c>
      <c r="Q28" s="94" t="n"/>
      <c r="R28" s="94" t="n"/>
      <c r="S28" s="81" t="n">
        <v>0</v>
      </c>
      <c r="T28" s="81" t="n">
        <v>0</v>
      </c>
      <c r="U28" s="89" t="n">
        <v>0</v>
      </c>
      <c r="V28" s="83" t="n">
        <v>13</v>
      </c>
      <c r="W28" s="81" t="n">
        <v>0</v>
      </c>
      <c r="X28" s="81" t="n">
        <v>0</v>
      </c>
      <c r="Y28" s="81" t="n">
        <v>0</v>
      </c>
      <c r="Z28" s="81" t="n">
        <v>0</v>
      </c>
      <c r="AA28" s="81" t="n">
        <v>0</v>
      </c>
      <c r="AB28" s="81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1" t="n">
        <v>13</v>
      </c>
      <c r="D29" s="129" t="n">
        <v>3</v>
      </c>
      <c r="E29" s="130" t="n">
        <v>10</v>
      </c>
      <c r="F29" s="87" t="n">
        <v>0</v>
      </c>
      <c r="G29" s="89" t="n">
        <v>9</v>
      </c>
      <c r="H29" s="131" t="n">
        <v>2</v>
      </c>
      <c r="I29" s="132" t="n">
        <v>7</v>
      </c>
      <c r="J29" s="83" t="n">
        <v>0</v>
      </c>
      <c r="K29" s="89" t="n">
        <v>4</v>
      </c>
      <c r="L29" s="131" t="n">
        <v>1</v>
      </c>
      <c r="M29" s="132" t="n">
        <v>3</v>
      </c>
      <c r="N29" s="83" t="n">
        <v>0</v>
      </c>
      <c r="O29" s="91" t="n">
        <v>2</v>
      </c>
      <c r="P29" s="91" t="n">
        <v>0</v>
      </c>
      <c r="Q29" s="78" t="inlineStr">
        <is>
          <t>channel</t>
        </is>
      </c>
      <c r="R29" s="94" t="n"/>
      <c r="S29" s="81" t="n">
        <v>6</v>
      </c>
      <c r="T29" s="81" t="n">
        <v>0</v>
      </c>
      <c r="U29" s="89" t="n">
        <v>2</v>
      </c>
      <c r="V29" s="83" t="n">
        <v>9</v>
      </c>
      <c r="W29" s="81" t="n">
        <v>0</v>
      </c>
      <c r="X29" s="81" t="n">
        <v>0</v>
      </c>
      <c r="Y29" s="81" t="n">
        <v>0</v>
      </c>
      <c r="Z29" s="81" t="n">
        <v>1</v>
      </c>
      <c r="AA29" s="81" t="n">
        <v>0</v>
      </c>
      <c r="AB29" s="81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-1.300914100860453</v>
      </c>
      <c r="AG29" s="606" t="n">
        <v>-0.02276863179745864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1" t="n">
        <v>12</v>
      </c>
      <c r="D30" s="129" t="n">
        <v>3</v>
      </c>
      <c r="E30" s="130" t="n">
        <v>9</v>
      </c>
      <c r="F30" s="87" t="n">
        <v>0</v>
      </c>
      <c r="G30" s="89" t="n">
        <v>9</v>
      </c>
      <c r="H30" s="131" t="n">
        <v>3</v>
      </c>
      <c r="I30" s="132" t="n">
        <v>6</v>
      </c>
      <c r="J30" s="83" t="n">
        <v>0</v>
      </c>
      <c r="K30" s="89" t="n">
        <v>3</v>
      </c>
      <c r="L30" s="131" t="n">
        <v>0</v>
      </c>
      <c r="M30" s="132" t="n">
        <v>3</v>
      </c>
      <c r="N30" s="83" t="n">
        <v>0</v>
      </c>
      <c r="O30" s="91" t="n">
        <v>1</v>
      </c>
      <c r="P30" s="91" t="n">
        <v>0</v>
      </c>
      <c r="Q30" s="94" t="n"/>
      <c r="R30" s="94" t="n"/>
      <c r="S30" s="81" t="n">
        <v>0</v>
      </c>
      <c r="T30" s="81" t="n">
        <v>0</v>
      </c>
      <c r="U30" s="89" t="n">
        <v>1</v>
      </c>
      <c r="V30" s="83" t="n">
        <v>5</v>
      </c>
      <c r="W30" s="81" t="n">
        <v>0</v>
      </c>
      <c r="X30" s="81" t="n">
        <v>0</v>
      </c>
      <c r="Y30" s="81" t="n">
        <v>0</v>
      </c>
      <c r="Z30" s="81" t="n">
        <v>0</v>
      </c>
      <c r="AA30" s="81" t="n">
        <v>0</v>
      </c>
      <c r="AB30" s="81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-5.081498015872891</v>
      </c>
      <c r="AG30" s="606" t="n">
        <v>-0.02379451400145766</v>
      </c>
      <c r="AH30" s="607" t="n">
        <v>-0.001982876166788139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1" t="n">
        <v>12</v>
      </c>
      <c r="D31" s="129" t="n">
        <v>3</v>
      </c>
      <c r="E31" s="130" t="n">
        <v>9</v>
      </c>
      <c r="F31" s="87" t="n">
        <v>0</v>
      </c>
      <c r="G31" s="89" t="n">
        <v>5</v>
      </c>
      <c r="H31" s="131" t="n">
        <v>1</v>
      </c>
      <c r="I31" s="132" t="n">
        <v>4</v>
      </c>
      <c r="J31" s="83" t="n">
        <v>0</v>
      </c>
      <c r="K31" s="89" t="n">
        <v>7</v>
      </c>
      <c r="L31" s="131" t="n">
        <v>2</v>
      </c>
      <c r="M31" s="132" t="n">
        <v>5</v>
      </c>
      <c r="N31" s="83" t="n">
        <v>0</v>
      </c>
      <c r="O31" s="91" t="n">
        <v>2</v>
      </c>
      <c r="P31" s="91" t="n">
        <v>0</v>
      </c>
      <c r="Q31" s="94" t="n"/>
      <c r="R31" s="94" t="n"/>
      <c r="S31" s="81" t="n">
        <v>0</v>
      </c>
      <c r="T31" s="81" t="n">
        <v>0</v>
      </c>
      <c r="U31" s="89" t="n">
        <v>1</v>
      </c>
      <c r="V31" s="83" t="n">
        <v>10</v>
      </c>
      <c r="W31" s="81" t="n">
        <v>0</v>
      </c>
      <c r="X31" s="81" t="n">
        <v>1</v>
      </c>
      <c r="Y31" s="81" t="n">
        <v>0</v>
      </c>
      <c r="Z31" s="81" t="n">
        <v>0</v>
      </c>
      <c r="AA31" s="81" t="n">
        <v>0</v>
      </c>
      <c r="AB31" s="81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-0.3879637123636366</v>
      </c>
      <c r="AG31" s="606" t="n">
        <v>-0.02264008191846296</v>
      </c>
      <c r="AH31" s="607" t="n">
        <v>-0.001886673493205247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1" t="n">
        <v>12</v>
      </c>
      <c r="D32" s="129" t="n">
        <v>4</v>
      </c>
      <c r="E32" s="130" t="n">
        <v>8</v>
      </c>
      <c r="F32" s="87" t="n">
        <v>0</v>
      </c>
      <c r="G32" s="89" t="n">
        <v>7</v>
      </c>
      <c r="H32" s="131" t="n">
        <v>3</v>
      </c>
      <c r="I32" s="132" t="n">
        <v>4</v>
      </c>
      <c r="J32" s="83" t="n">
        <v>0</v>
      </c>
      <c r="K32" s="89" t="n">
        <v>5</v>
      </c>
      <c r="L32" s="131" t="n">
        <v>1</v>
      </c>
      <c r="M32" s="132" t="n">
        <v>4</v>
      </c>
      <c r="N32" s="83" t="n">
        <v>0</v>
      </c>
      <c r="O32" s="91" t="n">
        <v>2</v>
      </c>
      <c r="P32" s="91" t="n">
        <v>1</v>
      </c>
      <c r="Q32" s="78" t="inlineStr">
        <is>
          <t>range</t>
        </is>
      </c>
      <c r="R32" s="94" t="n"/>
      <c r="S32" s="81" t="n">
        <v>0</v>
      </c>
      <c r="T32" s="81" t="n">
        <v>0</v>
      </c>
      <c r="U32" s="89" t="n">
        <v>0</v>
      </c>
      <c r="V32" s="83" t="n">
        <v>11</v>
      </c>
      <c r="W32" s="81" t="n">
        <v>0</v>
      </c>
      <c r="X32" s="81" t="n">
        <v>0</v>
      </c>
      <c r="Y32" s="81" t="n">
        <v>0</v>
      </c>
      <c r="Z32" s="81" t="n">
        <v>0</v>
      </c>
      <c r="AA32" s="81" t="n">
        <v>0</v>
      </c>
      <c r="AB32" s="81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0.008934476490736415</v>
      </c>
      <c r="AH32" s="604" t="n">
        <v>0.0007445397075613679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1" t="n">
        <v>11</v>
      </c>
      <c r="D33" s="129" t="n">
        <v>4</v>
      </c>
      <c r="E33" s="130" t="n">
        <v>7</v>
      </c>
      <c r="F33" s="87" t="n">
        <v>0</v>
      </c>
      <c r="G33" s="89" t="n">
        <v>4</v>
      </c>
      <c r="H33" s="131" t="n">
        <v>1</v>
      </c>
      <c r="I33" s="132" t="n">
        <v>3</v>
      </c>
      <c r="J33" s="83" t="n">
        <v>0</v>
      </c>
      <c r="K33" s="89" t="n">
        <v>7</v>
      </c>
      <c r="L33" s="131" t="n">
        <v>3</v>
      </c>
      <c r="M33" s="132" t="n">
        <v>4</v>
      </c>
      <c r="N33" s="83" t="n">
        <v>0</v>
      </c>
      <c r="O33" s="91" t="n">
        <v>3</v>
      </c>
      <c r="P33" s="91" t="n">
        <v>0</v>
      </c>
      <c r="Q33" s="94" t="n"/>
      <c r="R33" s="94" t="n"/>
      <c r="S33" s="81" t="n">
        <v>0</v>
      </c>
      <c r="T33" s="81" t="n">
        <v>0</v>
      </c>
      <c r="U33" s="89" t="n">
        <v>1</v>
      </c>
      <c r="V33" s="83" t="n">
        <v>8</v>
      </c>
      <c r="W33" s="81" t="n">
        <v>0</v>
      </c>
      <c r="X33" s="81" t="n">
        <v>0</v>
      </c>
      <c r="Y33" s="81" t="n">
        <v>0</v>
      </c>
      <c r="Z33" s="81" t="n">
        <v>1</v>
      </c>
      <c r="AA33" s="81" t="n">
        <v>0</v>
      </c>
      <c r="AB33" s="81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1" t="n">
        <v>10</v>
      </c>
      <c r="D34" s="129" t="n">
        <v>2</v>
      </c>
      <c r="E34" s="130" t="n">
        <v>8</v>
      </c>
      <c r="F34" s="87" t="n">
        <v>0</v>
      </c>
      <c r="G34" s="89" t="n">
        <v>10</v>
      </c>
      <c r="H34" s="131" t="n">
        <v>2</v>
      </c>
      <c r="I34" s="132" t="n">
        <v>8</v>
      </c>
      <c r="J34" s="83" t="n">
        <v>0</v>
      </c>
      <c r="K34" s="89" t="n">
        <v>0</v>
      </c>
      <c r="L34" s="131" t="n">
        <v>0</v>
      </c>
      <c r="M34" s="132" t="n">
        <v>0</v>
      </c>
      <c r="N34" s="83" t="n">
        <v>0</v>
      </c>
      <c r="O34" s="91" t="n">
        <v>1</v>
      </c>
      <c r="P34" s="91" t="n">
        <v>0</v>
      </c>
      <c r="Q34" s="94" t="n"/>
      <c r="R34" s="94" t="n"/>
      <c r="S34" s="81" t="n">
        <v>0</v>
      </c>
      <c r="T34" s="81" t="n">
        <v>0</v>
      </c>
      <c r="U34" s="89" t="n">
        <v>0</v>
      </c>
      <c r="V34" s="83" t="n">
        <v>10</v>
      </c>
      <c r="W34" s="81" t="n">
        <v>0</v>
      </c>
      <c r="X34" s="81" t="n">
        <v>0</v>
      </c>
      <c r="Y34" s="81" t="n">
        <v>0</v>
      </c>
      <c r="Z34" s="81" t="n">
        <v>0</v>
      </c>
      <c r="AA34" s="81" t="n">
        <v>0</v>
      </c>
      <c r="AB34" s="81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-1.478972493981149</v>
      </c>
      <c r="AG34" s="606" t="n">
        <v>-0.01020203331768516</v>
      </c>
      <c r="AH34" s="607" t="n">
        <v>-0.001020203331768516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1" t="n">
        <v>10</v>
      </c>
      <c r="D35" s="129" t="n">
        <v>3</v>
      </c>
      <c r="E35" s="130" t="n">
        <v>7</v>
      </c>
      <c r="F35" s="87" t="n">
        <v>0</v>
      </c>
      <c r="G35" s="89" t="n">
        <v>2</v>
      </c>
      <c r="H35" s="131" t="n">
        <v>0</v>
      </c>
      <c r="I35" s="132" t="n">
        <v>2</v>
      </c>
      <c r="J35" s="83" t="n">
        <v>0</v>
      </c>
      <c r="K35" s="89" t="n">
        <v>8</v>
      </c>
      <c r="L35" s="131" t="n">
        <v>3</v>
      </c>
      <c r="M35" s="132" t="n">
        <v>5</v>
      </c>
      <c r="N35" s="83" t="n">
        <v>0</v>
      </c>
      <c r="O35" s="91" t="n">
        <v>1</v>
      </c>
      <c r="P35" s="91" t="n">
        <v>0</v>
      </c>
      <c r="Q35" s="94" t="n"/>
      <c r="R35" s="94" t="n"/>
      <c r="S35" s="81" t="n">
        <v>0</v>
      </c>
      <c r="T35" s="81" t="n">
        <v>0</v>
      </c>
      <c r="U35" s="89" t="n">
        <v>1</v>
      </c>
      <c r="V35" s="83" t="n">
        <v>6</v>
      </c>
      <c r="W35" s="81" t="n">
        <v>0</v>
      </c>
      <c r="X35" s="81" t="n">
        <v>1</v>
      </c>
      <c r="Y35" s="81" t="n">
        <v>0</v>
      </c>
      <c r="Z35" s="81" t="n">
        <v>1</v>
      </c>
      <c r="AA35" s="81" t="n">
        <v>0</v>
      </c>
      <c r="AB35" s="81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0.3766168468855744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1" t="n">
        <v>9</v>
      </c>
      <c r="D36" s="129" t="n">
        <v>3</v>
      </c>
      <c r="E36" s="130" t="n">
        <v>6</v>
      </c>
      <c r="F36" s="87" t="n">
        <v>0</v>
      </c>
      <c r="G36" s="89" t="n">
        <v>3</v>
      </c>
      <c r="H36" s="131" t="n">
        <v>1</v>
      </c>
      <c r="I36" s="132" t="n">
        <v>2</v>
      </c>
      <c r="J36" s="83" t="n">
        <v>0</v>
      </c>
      <c r="K36" s="89" t="n">
        <v>6</v>
      </c>
      <c r="L36" s="131" t="n">
        <v>2</v>
      </c>
      <c r="M36" s="132" t="n">
        <v>4</v>
      </c>
      <c r="N36" s="83" t="n">
        <v>0</v>
      </c>
      <c r="O36" s="91" t="n">
        <v>0</v>
      </c>
      <c r="P36" s="91" t="n">
        <v>0</v>
      </c>
      <c r="Q36" s="78" t="inlineStr">
        <is>
          <t>channel</t>
        </is>
      </c>
      <c r="R36" s="94" t="n"/>
      <c r="S36" s="81" t="n">
        <v>0</v>
      </c>
      <c r="T36" s="81" t="n">
        <v>0</v>
      </c>
      <c r="U36" s="89" t="n">
        <v>1</v>
      </c>
      <c r="V36" s="83" t="n">
        <v>7</v>
      </c>
      <c r="W36" s="81" t="n">
        <v>0</v>
      </c>
      <c r="X36" s="81" t="n">
        <v>3</v>
      </c>
      <c r="Y36" s="81" t="n">
        <v>0</v>
      </c>
      <c r="Z36" s="81" t="n">
        <v>0</v>
      </c>
      <c r="AA36" s="81" t="n">
        <v>0</v>
      </c>
      <c r="AB36" s="81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1.46083453964701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1" t="n">
        <v>8</v>
      </c>
      <c r="D37" s="129" t="n">
        <v>0</v>
      </c>
      <c r="E37" s="130" t="n">
        <v>8</v>
      </c>
      <c r="F37" s="87" t="n">
        <v>0</v>
      </c>
      <c r="G37" s="89" t="n">
        <v>7</v>
      </c>
      <c r="H37" s="131" t="n">
        <v>0</v>
      </c>
      <c r="I37" s="132" t="n">
        <v>7</v>
      </c>
      <c r="J37" s="83" t="n">
        <v>0</v>
      </c>
      <c r="K37" s="89" t="n">
        <v>1</v>
      </c>
      <c r="L37" s="131" t="n">
        <v>0</v>
      </c>
      <c r="M37" s="132" t="n">
        <v>1</v>
      </c>
      <c r="N37" s="83" t="n">
        <v>0</v>
      </c>
      <c r="O37" s="91" t="n">
        <v>1</v>
      </c>
      <c r="P37" s="91" t="n">
        <v>0</v>
      </c>
      <c r="Q37" s="78" t="inlineStr">
        <is>
          <t>channel</t>
        </is>
      </c>
      <c r="R37" s="94" t="n"/>
      <c r="S37" s="81" t="n">
        <v>0</v>
      </c>
      <c r="T37" s="81" t="n">
        <v>0</v>
      </c>
      <c r="U37" s="89" t="n">
        <v>1</v>
      </c>
      <c r="V37" s="83" t="n">
        <v>4</v>
      </c>
      <c r="W37" s="81" t="n">
        <v>0</v>
      </c>
      <c r="X37" s="81" t="n">
        <v>0</v>
      </c>
      <c r="Y37" s="81" t="n">
        <v>0</v>
      </c>
      <c r="Z37" s="81" t="n">
        <v>0</v>
      </c>
      <c r="AA37" s="81" t="n">
        <v>0</v>
      </c>
      <c r="AB37" s="81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1" t="n">
        <v>8</v>
      </c>
      <c r="D38" s="129" t="n">
        <v>3</v>
      </c>
      <c r="E38" s="130" t="n">
        <v>5</v>
      </c>
      <c r="F38" s="87" t="n">
        <v>0</v>
      </c>
      <c r="G38" s="89" t="n">
        <v>5</v>
      </c>
      <c r="H38" s="131" t="n">
        <v>2</v>
      </c>
      <c r="I38" s="132" t="n">
        <v>3</v>
      </c>
      <c r="J38" s="83" t="n">
        <v>0</v>
      </c>
      <c r="K38" s="89" t="n">
        <v>3</v>
      </c>
      <c r="L38" s="131" t="n">
        <v>1</v>
      </c>
      <c r="M38" s="132" t="n">
        <v>2</v>
      </c>
      <c r="N38" s="83" t="n">
        <v>0</v>
      </c>
      <c r="O38" s="91" t="n">
        <v>2</v>
      </c>
      <c r="P38" s="91" t="n">
        <v>0</v>
      </c>
      <c r="Q38" s="94" t="n"/>
      <c r="R38" s="94" t="n"/>
      <c r="S38" s="81" t="n">
        <v>1</v>
      </c>
      <c r="T38" s="81" t="n">
        <v>0</v>
      </c>
      <c r="U38" s="89" t="n">
        <v>0</v>
      </c>
      <c r="V38" s="83" t="n">
        <v>8</v>
      </c>
      <c r="W38" s="81" t="n">
        <v>0</v>
      </c>
      <c r="X38" s="81" t="n">
        <v>0</v>
      </c>
      <c r="Y38" s="81" t="n">
        <v>0</v>
      </c>
      <c r="Z38" s="81" t="n">
        <v>0</v>
      </c>
      <c r="AA38" s="81" t="n">
        <v>0</v>
      </c>
      <c r="AB38" s="81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-0.004605835365430655</v>
      </c>
      <c r="AH38" s="607" t="n">
        <v>-0.0005757294206788319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1" t="n">
        <v>8</v>
      </c>
      <c r="D39" s="129" t="n">
        <v>4</v>
      </c>
      <c r="E39" s="130" t="n">
        <v>4</v>
      </c>
      <c r="F39" s="87" t="n">
        <v>0</v>
      </c>
      <c r="G39" s="89" t="n">
        <v>5</v>
      </c>
      <c r="H39" s="131" t="n">
        <v>2</v>
      </c>
      <c r="I39" s="132" t="n">
        <v>3</v>
      </c>
      <c r="J39" s="83" t="n">
        <v>0</v>
      </c>
      <c r="K39" s="89" t="n">
        <v>3</v>
      </c>
      <c r="L39" s="131" t="n">
        <v>2</v>
      </c>
      <c r="M39" s="132" t="n">
        <v>1</v>
      </c>
      <c r="N39" s="83" t="n">
        <v>0</v>
      </c>
      <c r="O39" s="91" t="n">
        <v>1</v>
      </c>
      <c r="P39" s="91" t="n">
        <v>0</v>
      </c>
      <c r="Q39" s="78" t="n"/>
      <c r="R39" s="94" t="n"/>
      <c r="S39" s="81" t="n">
        <v>0</v>
      </c>
      <c r="T39" s="81" t="n">
        <v>0</v>
      </c>
      <c r="U39" s="89" t="n">
        <v>0</v>
      </c>
      <c r="V39" s="83" t="n">
        <v>5</v>
      </c>
      <c r="W39" s="81" t="n">
        <v>0</v>
      </c>
      <c r="X39" s="81" t="n">
        <v>0</v>
      </c>
      <c r="Y39" s="81" t="n">
        <v>1</v>
      </c>
      <c r="Z39" s="81" t="n">
        <v>1</v>
      </c>
      <c r="AA39" s="81" t="n">
        <v>0</v>
      </c>
      <c r="AB39" s="81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1" t="n">
        <v>5</v>
      </c>
      <c r="D40" s="129" t="n">
        <v>1</v>
      </c>
      <c r="E40" s="130" t="n">
        <v>4</v>
      </c>
      <c r="F40" s="87" t="n">
        <v>0</v>
      </c>
      <c r="G40" s="89" t="n">
        <v>3</v>
      </c>
      <c r="H40" s="131" t="n">
        <v>0</v>
      </c>
      <c r="I40" s="132" t="n">
        <v>3</v>
      </c>
      <c r="J40" s="83" t="n">
        <v>0</v>
      </c>
      <c r="K40" s="89" t="n">
        <v>2</v>
      </c>
      <c r="L40" s="131" t="n">
        <v>1</v>
      </c>
      <c r="M40" s="132" t="n">
        <v>1</v>
      </c>
      <c r="N40" s="83" t="n">
        <v>0</v>
      </c>
      <c r="O40" s="91" t="n">
        <v>0</v>
      </c>
      <c r="P40" s="91" t="n">
        <v>0</v>
      </c>
      <c r="Q40" s="78" t="n"/>
      <c r="R40" s="94" t="n"/>
      <c r="S40" s="81" t="n">
        <v>0</v>
      </c>
      <c r="T40" s="81" t="n">
        <v>0</v>
      </c>
      <c r="U40" s="89" t="n">
        <v>0</v>
      </c>
      <c r="V40" s="83" t="n">
        <v>4</v>
      </c>
      <c r="W40" s="81" t="n">
        <v>0</v>
      </c>
      <c r="X40" s="81" t="n">
        <v>0</v>
      </c>
      <c r="Y40" s="81" t="n">
        <v>0</v>
      </c>
      <c r="Z40" s="81" t="n">
        <v>0</v>
      </c>
      <c r="AA40" s="81" t="n">
        <v>0</v>
      </c>
      <c r="AB40" s="81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-2.062949734032548</v>
      </c>
      <c r="AG40" s="606" t="n">
        <v>-0.02823276182593554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1" t="n">
        <v>5</v>
      </c>
      <c r="D41" s="129" t="n">
        <v>0</v>
      </c>
      <c r="E41" s="130" t="n">
        <v>5</v>
      </c>
      <c r="F41" s="87" t="n">
        <v>0</v>
      </c>
      <c r="G41" s="89" t="n">
        <v>4</v>
      </c>
      <c r="H41" s="131" t="n">
        <v>0</v>
      </c>
      <c r="I41" s="132" t="n">
        <v>4</v>
      </c>
      <c r="J41" s="83" t="n">
        <v>0</v>
      </c>
      <c r="K41" s="89" t="n">
        <v>1</v>
      </c>
      <c r="L41" s="131" t="n">
        <v>0</v>
      </c>
      <c r="M41" s="132" t="n">
        <v>1</v>
      </c>
      <c r="N41" s="83" t="n">
        <v>0</v>
      </c>
      <c r="O41" s="91" t="n">
        <v>1</v>
      </c>
      <c r="P41" s="91" t="n">
        <v>0</v>
      </c>
      <c r="Q41" s="94" t="n"/>
      <c r="R41" s="94" t="n"/>
      <c r="S41" s="81" t="n">
        <v>0</v>
      </c>
      <c r="T41" s="81" t="n">
        <v>0</v>
      </c>
      <c r="U41" s="89" t="n">
        <v>0</v>
      </c>
      <c r="V41" s="83" t="n">
        <v>5</v>
      </c>
      <c r="W41" s="81" t="n">
        <v>0</v>
      </c>
      <c r="X41" s="81" t="n">
        <v>0</v>
      </c>
      <c r="Y41" s="81" t="n">
        <v>0</v>
      </c>
      <c r="Z41" s="81" t="n">
        <v>0</v>
      </c>
      <c r="AA41" s="81" t="n">
        <v>0</v>
      </c>
      <c r="AB41" s="81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-4.051319345082301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1" t="n">
        <v>5</v>
      </c>
      <c r="D42" s="129" t="n">
        <v>1</v>
      </c>
      <c r="E42" s="130" t="n">
        <v>4</v>
      </c>
      <c r="F42" s="87" t="n">
        <v>0</v>
      </c>
      <c r="G42" s="89" t="n">
        <v>3</v>
      </c>
      <c r="H42" s="131" t="n">
        <v>1</v>
      </c>
      <c r="I42" s="132" t="n">
        <v>2</v>
      </c>
      <c r="J42" s="83" t="n">
        <v>0</v>
      </c>
      <c r="K42" s="89" t="n">
        <v>2</v>
      </c>
      <c r="L42" s="131" t="n">
        <v>0</v>
      </c>
      <c r="M42" s="132" t="n">
        <v>2</v>
      </c>
      <c r="N42" s="83" t="n">
        <v>0</v>
      </c>
      <c r="O42" s="91" t="n">
        <v>1</v>
      </c>
      <c r="P42" s="91" t="n">
        <v>0</v>
      </c>
      <c r="Q42" s="94" t="n"/>
      <c r="R42" s="94" t="n"/>
      <c r="S42" s="81" t="n">
        <v>0</v>
      </c>
      <c r="T42" s="81" t="n">
        <v>0</v>
      </c>
      <c r="U42" s="89" t="n">
        <v>0</v>
      </c>
      <c r="V42" s="83" t="n">
        <v>5</v>
      </c>
      <c r="W42" s="81" t="n">
        <v>0</v>
      </c>
      <c r="X42" s="81" t="n">
        <v>1</v>
      </c>
      <c r="Y42" s="81" t="n">
        <v>0</v>
      </c>
      <c r="Z42" s="81" t="n">
        <v>0</v>
      </c>
      <c r="AA42" s="81" t="n">
        <v>0</v>
      </c>
      <c r="AB42" s="81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1" t="n">
        <v>5</v>
      </c>
      <c r="D43" s="129" t="n">
        <v>0</v>
      </c>
      <c r="E43" s="130" t="n">
        <v>5</v>
      </c>
      <c r="F43" s="87" t="n">
        <v>0</v>
      </c>
      <c r="G43" s="89" t="n">
        <v>2</v>
      </c>
      <c r="H43" s="131" t="n">
        <v>0</v>
      </c>
      <c r="I43" s="132" t="n">
        <v>2</v>
      </c>
      <c r="J43" s="83" t="n">
        <v>0</v>
      </c>
      <c r="K43" s="89" t="n">
        <v>3</v>
      </c>
      <c r="L43" s="131" t="n">
        <v>0</v>
      </c>
      <c r="M43" s="132" t="n">
        <v>3</v>
      </c>
      <c r="N43" s="83" t="n">
        <v>0</v>
      </c>
      <c r="O43" s="91" t="n">
        <v>0</v>
      </c>
      <c r="P43" s="91" t="n">
        <v>0</v>
      </c>
      <c r="Q43" s="94" t="n"/>
      <c r="R43" s="94" t="n"/>
      <c r="S43" s="81" t="n">
        <v>1</v>
      </c>
      <c r="T43" s="81" t="n">
        <v>0</v>
      </c>
      <c r="U43" s="89" t="n">
        <v>0</v>
      </c>
      <c r="V43" s="83" t="n">
        <v>5</v>
      </c>
      <c r="W43" s="81" t="n">
        <v>0</v>
      </c>
      <c r="X43" s="81" t="n">
        <v>0</v>
      </c>
      <c r="Y43" s="81" t="n">
        <v>0</v>
      </c>
      <c r="Z43" s="81" t="n">
        <v>0</v>
      </c>
      <c r="AA43" s="81" t="n">
        <v>0</v>
      </c>
      <c r="AB43" s="81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1" t="n">
        <v>4</v>
      </c>
      <c r="D44" s="129" t="n">
        <v>0</v>
      </c>
      <c r="E44" s="130" t="n">
        <v>4</v>
      </c>
      <c r="F44" s="87" t="n">
        <v>0</v>
      </c>
      <c r="G44" s="89" t="n">
        <v>4</v>
      </c>
      <c r="H44" s="131" t="n">
        <v>0</v>
      </c>
      <c r="I44" s="132" t="n">
        <v>4</v>
      </c>
      <c r="J44" s="83" t="n">
        <v>0</v>
      </c>
      <c r="K44" s="89" t="n">
        <v>0</v>
      </c>
      <c r="L44" s="131" t="n">
        <v>0</v>
      </c>
      <c r="M44" s="132" t="n">
        <v>0</v>
      </c>
      <c r="N44" s="83" t="n">
        <v>0</v>
      </c>
      <c r="O44" s="91" t="n">
        <v>0</v>
      </c>
      <c r="P44" s="91" t="n">
        <v>0</v>
      </c>
      <c r="Q44" s="94" t="n"/>
      <c r="R44" s="94" t="n"/>
      <c r="S44" s="81" t="n">
        <v>2</v>
      </c>
      <c r="T44" s="81" t="n">
        <v>0</v>
      </c>
      <c r="U44" s="89" t="n">
        <v>0</v>
      </c>
      <c r="V44" s="83" t="n">
        <v>4</v>
      </c>
      <c r="W44" s="81" t="n">
        <v>0</v>
      </c>
      <c r="X44" s="81" t="n">
        <v>0</v>
      </c>
      <c r="Y44" s="81" t="n">
        <v>0</v>
      </c>
      <c r="Z44" s="81" t="n">
        <v>0</v>
      </c>
      <c r="AA44" s="81" t="n">
        <v>0</v>
      </c>
      <c r="AB44" s="81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1" t="n">
        <v>4</v>
      </c>
      <c r="D45" s="129" t="n">
        <v>2</v>
      </c>
      <c r="E45" s="130" t="n">
        <v>2</v>
      </c>
      <c r="F45" s="87" t="n">
        <v>0</v>
      </c>
      <c r="G45" s="89" t="n">
        <v>4</v>
      </c>
      <c r="H45" s="131" t="n">
        <v>2</v>
      </c>
      <c r="I45" s="132" t="n">
        <v>2</v>
      </c>
      <c r="J45" s="83" t="n">
        <v>0</v>
      </c>
      <c r="K45" s="89" t="n">
        <v>0</v>
      </c>
      <c r="L45" s="131" t="n">
        <v>0</v>
      </c>
      <c r="M45" s="132" t="n">
        <v>0</v>
      </c>
      <c r="N45" s="83" t="n">
        <v>0</v>
      </c>
      <c r="O45" s="91" t="n">
        <v>2</v>
      </c>
      <c r="P45" s="91" t="n">
        <v>0</v>
      </c>
      <c r="Q45" s="94" t="n"/>
      <c r="R45" s="94" t="n"/>
      <c r="S45" s="81" t="n">
        <v>0</v>
      </c>
      <c r="T45" s="81" t="n">
        <v>0</v>
      </c>
      <c r="U45" s="89" t="n">
        <v>1</v>
      </c>
      <c r="V45" s="83" t="n">
        <v>3</v>
      </c>
      <c r="W45" s="81" t="n">
        <v>0</v>
      </c>
      <c r="X45" s="81" t="n">
        <v>0</v>
      </c>
      <c r="Y45" s="81" t="n">
        <v>0</v>
      </c>
      <c r="Z45" s="81" t="n">
        <v>0</v>
      </c>
      <c r="AA45" s="81" t="n">
        <v>0</v>
      </c>
      <c r="AB45" s="81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0.04272420825779825</v>
      </c>
      <c r="AH45" s="604" t="n">
        <v>0.01068105206444956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1" t="n">
        <v>4</v>
      </c>
      <c r="D46" s="129" t="n">
        <v>1</v>
      </c>
      <c r="E46" s="130" t="n">
        <v>3</v>
      </c>
      <c r="F46" s="87" t="n">
        <v>0</v>
      </c>
      <c r="G46" s="89" t="n">
        <v>3</v>
      </c>
      <c r="H46" s="131" t="n">
        <v>1</v>
      </c>
      <c r="I46" s="132" t="n">
        <v>2</v>
      </c>
      <c r="J46" s="83" t="n">
        <v>0</v>
      </c>
      <c r="K46" s="89" t="n">
        <v>1</v>
      </c>
      <c r="L46" s="131" t="n">
        <v>0</v>
      </c>
      <c r="M46" s="132" t="n">
        <v>1</v>
      </c>
      <c r="N46" s="83" t="n">
        <v>0</v>
      </c>
      <c r="O46" s="91" t="n">
        <v>1</v>
      </c>
      <c r="P46" s="91" t="n">
        <v>0</v>
      </c>
      <c r="Q46" s="78" t="n"/>
      <c r="R46" s="78" t="n"/>
      <c r="S46" s="81" t="n">
        <v>0</v>
      </c>
      <c r="T46" s="81" t="n">
        <v>0</v>
      </c>
      <c r="U46" s="89" t="n">
        <v>0</v>
      </c>
      <c r="V46" s="83" t="n">
        <v>4</v>
      </c>
      <c r="W46" s="81" t="n">
        <v>0</v>
      </c>
      <c r="X46" s="81" t="n">
        <v>0</v>
      </c>
      <c r="Y46" s="81" t="n">
        <v>0</v>
      </c>
      <c r="Z46" s="81" t="n">
        <v>0</v>
      </c>
      <c r="AA46" s="81" t="n">
        <v>0</v>
      </c>
      <c r="AB46" s="81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-0.5970944720545028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1" t="n">
        <v>4</v>
      </c>
      <c r="D47" s="129" t="n">
        <v>2</v>
      </c>
      <c r="E47" s="130" t="n">
        <v>2</v>
      </c>
      <c r="F47" s="87" t="n">
        <v>0</v>
      </c>
      <c r="G47" s="89" t="n">
        <v>4</v>
      </c>
      <c r="H47" s="131" t="n">
        <v>2</v>
      </c>
      <c r="I47" s="132" t="n">
        <v>2</v>
      </c>
      <c r="J47" s="83" t="n">
        <v>0</v>
      </c>
      <c r="K47" s="89" t="n">
        <v>0</v>
      </c>
      <c r="L47" s="131" t="n">
        <v>0</v>
      </c>
      <c r="M47" s="132" t="n">
        <v>0</v>
      </c>
      <c r="N47" s="83" t="n">
        <v>0</v>
      </c>
      <c r="O47" s="91" t="n">
        <v>2</v>
      </c>
      <c r="P47" s="91" t="n">
        <v>0</v>
      </c>
      <c r="Q47" s="78" t="n"/>
      <c r="R47" s="78" t="n"/>
      <c r="S47" s="81" t="n">
        <v>0</v>
      </c>
      <c r="T47" s="81" t="n">
        <v>0</v>
      </c>
      <c r="U47" s="89" t="n">
        <v>1</v>
      </c>
      <c r="V47" s="83" t="n">
        <v>3</v>
      </c>
      <c r="W47" s="81" t="n">
        <v>0</v>
      </c>
      <c r="X47" s="81" t="n">
        <v>0</v>
      </c>
      <c r="Y47" s="81" t="n">
        <v>0</v>
      </c>
      <c r="Z47" s="81" t="n">
        <v>0</v>
      </c>
      <c r="AA47" s="81" t="n">
        <v>0</v>
      </c>
      <c r="AB47" s="81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0.009376523969125928</v>
      </c>
      <c r="AH47" s="604" t="n">
        <v>0.002344130992281482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1" t="n">
        <v>3</v>
      </c>
      <c r="D48" s="129" t="n">
        <v>1</v>
      </c>
      <c r="E48" s="130" t="n">
        <v>2</v>
      </c>
      <c r="F48" s="87" t="n">
        <v>0</v>
      </c>
      <c r="G48" s="89" t="n">
        <v>3</v>
      </c>
      <c r="H48" s="131" t="n">
        <v>1</v>
      </c>
      <c r="I48" s="132" t="n">
        <v>2</v>
      </c>
      <c r="J48" s="83" t="n">
        <v>0</v>
      </c>
      <c r="K48" s="89" t="n">
        <v>0</v>
      </c>
      <c r="L48" s="131" t="n">
        <v>0</v>
      </c>
      <c r="M48" s="132" t="n">
        <v>0</v>
      </c>
      <c r="N48" s="83" t="n">
        <v>0</v>
      </c>
      <c r="O48" s="91" t="n">
        <v>2</v>
      </c>
      <c r="P48" s="91" t="n">
        <v>0</v>
      </c>
      <c r="Q48" s="94" t="n"/>
      <c r="R48" s="94" t="n"/>
      <c r="S48" s="81" t="n">
        <v>0</v>
      </c>
      <c r="T48" s="81" t="n">
        <v>0</v>
      </c>
      <c r="U48" s="89" t="n">
        <v>1</v>
      </c>
      <c r="V48" s="83" t="n">
        <v>2</v>
      </c>
      <c r="W48" s="81" t="n">
        <v>0</v>
      </c>
      <c r="X48" s="81" t="n">
        <v>0</v>
      </c>
      <c r="Y48" s="81" t="n">
        <v>0</v>
      </c>
      <c r="Z48" s="81" t="n">
        <v>0</v>
      </c>
      <c r="AA48" s="81" t="n">
        <v>0</v>
      </c>
      <c r="AB48" s="81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0.4576801326499869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1" t="n">
        <v>3</v>
      </c>
      <c r="D49" s="129" t="n">
        <v>0</v>
      </c>
      <c r="E49" s="130" t="n">
        <v>3</v>
      </c>
      <c r="F49" s="87" t="n">
        <v>0</v>
      </c>
      <c r="G49" s="89" t="n">
        <v>3</v>
      </c>
      <c r="H49" s="131" t="n">
        <v>0</v>
      </c>
      <c r="I49" s="132" t="n">
        <v>3</v>
      </c>
      <c r="J49" s="83" t="n">
        <v>0</v>
      </c>
      <c r="K49" s="89" t="n">
        <v>0</v>
      </c>
      <c r="L49" s="131" t="n">
        <v>0</v>
      </c>
      <c r="M49" s="132" t="n">
        <v>0</v>
      </c>
      <c r="N49" s="83" t="n">
        <v>0</v>
      </c>
      <c r="O49" s="91" t="n">
        <v>0</v>
      </c>
      <c r="P49" s="91" t="n">
        <v>0</v>
      </c>
      <c r="Q49" s="94" t="n"/>
      <c r="R49" s="94" t="n"/>
      <c r="S49" s="81" t="n">
        <v>0</v>
      </c>
      <c r="T49" s="81" t="n">
        <v>0</v>
      </c>
      <c r="U49" s="89" t="n">
        <v>1</v>
      </c>
      <c r="V49" s="83" t="n">
        <v>2</v>
      </c>
      <c r="W49" s="81" t="n">
        <v>0</v>
      </c>
      <c r="X49" s="81" t="n">
        <v>0</v>
      </c>
      <c r="Y49" s="81" t="n">
        <v>0</v>
      </c>
      <c r="Z49" s="81" t="n">
        <v>0</v>
      </c>
      <c r="AA49" s="81" t="n">
        <v>0</v>
      </c>
      <c r="AB49" s="81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1" t="n">
        <v>3</v>
      </c>
      <c r="D50" s="129" t="n">
        <v>0</v>
      </c>
      <c r="E50" s="130" t="n">
        <v>3</v>
      </c>
      <c r="F50" s="87" t="n">
        <v>0</v>
      </c>
      <c r="G50" s="89" t="n">
        <v>2</v>
      </c>
      <c r="H50" s="131" t="n">
        <v>0</v>
      </c>
      <c r="I50" s="132" t="n">
        <v>2</v>
      </c>
      <c r="J50" s="83" t="n">
        <v>0</v>
      </c>
      <c r="K50" s="89" t="n">
        <v>1</v>
      </c>
      <c r="L50" s="131" t="n">
        <v>0</v>
      </c>
      <c r="M50" s="132" t="n">
        <v>1</v>
      </c>
      <c r="N50" s="83" t="n">
        <v>0</v>
      </c>
      <c r="O50" s="91" t="n">
        <v>0</v>
      </c>
      <c r="P50" s="91" t="n">
        <v>0</v>
      </c>
      <c r="Q50" s="94" t="n"/>
      <c r="R50" s="94" t="n"/>
      <c r="S50" s="81" t="n">
        <v>0</v>
      </c>
      <c r="T50" s="81" t="n">
        <v>0</v>
      </c>
      <c r="U50" s="89" t="n">
        <v>2</v>
      </c>
      <c r="V50" s="83" t="n">
        <v>1</v>
      </c>
      <c r="W50" s="81" t="n">
        <v>0</v>
      </c>
      <c r="X50" s="81" t="n">
        <v>0</v>
      </c>
      <c r="Y50" s="81" t="n">
        <v>0</v>
      </c>
      <c r="Z50" s="81" t="n">
        <v>0</v>
      </c>
      <c r="AA50" s="81" t="n">
        <v>0</v>
      </c>
      <c r="AB50" s="81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1" t="n">
        <v>3</v>
      </c>
      <c r="D51" s="129" t="n">
        <v>1</v>
      </c>
      <c r="E51" s="130" t="n">
        <v>2</v>
      </c>
      <c r="F51" s="87" t="n">
        <v>0</v>
      </c>
      <c r="G51" s="89" t="n">
        <v>3</v>
      </c>
      <c r="H51" s="131" t="n">
        <v>1</v>
      </c>
      <c r="I51" s="132" t="n">
        <v>2</v>
      </c>
      <c r="J51" s="83" t="n">
        <v>0</v>
      </c>
      <c r="K51" s="89" t="n">
        <v>0</v>
      </c>
      <c r="L51" s="131" t="n">
        <v>0</v>
      </c>
      <c r="M51" s="132" t="n">
        <v>0</v>
      </c>
      <c r="N51" s="83" t="n">
        <v>0</v>
      </c>
      <c r="O51" s="91" t="n">
        <v>3</v>
      </c>
      <c r="P51" s="91" t="n">
        <v>0</v>
      </c>
      <c r="Q51" s="94" t="n"/>
      <c r="R51" s="94" t="n"/>
      <c r="S51" s="81" t="n">
        <v>0</v>
      </c>
      <c r="T51" s="81" t="n">
        <v>0</v>
      </c>
      <c r="U51" s="89" t="n">
        <v>0</v>
      </c>
      <c r="V51" s="83" t="n">
        <v>3</v>
      </c>
      <c r="W51" s="81" t="n">
        <v>0</v>
      </c>
      <c r="X51" s="81" t="n">
        <v>0</v>
      </c>
      <c r="Y51" s="81" t="n">
        <v>0</v>
      </c>
      <c r="Z51" s="81" t="n">
        <v>1</v>
      </c>
      <c r="AA51" s="81" t="n">
        <v>0</v>
      </c>
      <c r="AB51" s="81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1" t="n">
        <v>3</v>
      </c>
      <c r="D52" s="129" t="n">
        <v>0</v>
      </c>
      <c r="E52" s="130" t="n">
        <v>3</v>
      </c>
      <c r="F52" s="87" t="n">
        <v>0</v>
      </c>
      <c r="G52" s="89" t="n">
        <v>3</v>
      </c>
      <c r="H52" s="131" t="n">
        <v>0</v>
      </c>
      <c r="I52" s="132" t="n">
        <v>3</v>
      </c>
      <c r="J52" s="83" t="n">
        <v>0</v>
      </c>
      <c r="K52" s="89" t="n">
        <v>0</v>
      </c>
      <c r="L52" s="131" t="n">
        <v>0</v>
      </c>
      <c r="M52" s="132" t="n">
        <v>0</v>
      </c>
      <c r="N52" s="83" t="n">
        <v>0</v>
      </c>
      <c r="O52" s="91" t="n">
        <v>0</v>
      </c>
      <c r="P52" s="91" t="n">
        <v>0</v>
      </c>
      <c r="Q52" s="94" t="n"/>
      <c r="R52" s="94" t="n"/>
      <c r="S52" s="81" t="n">
        <v>0</v>
      </c>
      <c r="T52" s="81" t="n">
        <v>0</v>
      </c>
      <c r="U52" s="89" t="n">
        <v>0</v>
      </c>
      <c r="V52" s="83" t="n">
        <v>3</v>
      </c>
      <c r="W52" s="81" t="n">
        <v>0</v>
      </c>
      <c r="X52" s="81" t="n">
        <v>0</v>
      </c>
      <c r="Y52" s="81" t="n">
        <v>0</v>
      </c>
      <c r="Z52" s="81" t="n">
        <v>0</v>
      </c>
      <c r="AA52" s="81" t="n">
        <v>0</v>
      </c>
      <c r="AB52" s="81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1" t="n">
        <v>3</v>
      </c>
      <c r="D53" s="129" t="n">
        <v>1</v>
      </c>
      <c r="E53" s="130" t="n">
        <v>2</v>
      </c>
      <c r="F53" s="87" t="n">
        <v>0</v>
      </c>
      <c r="G53" s="89" t="n">
        <v>3</v>
      </c>
      <c r="H53" s="131" t="n">
        <v>1</v>
      </c>
      <c r="I53" s="132" t="n">
        <v>2</v>
      </c>
      <c r="J53" s="83" t="n">
        <v>0</v>
      </c>
      <c r="K53" s="89" t="n">
        <v>0</v>
      </c>
      <c r="L53" s="131" t="n">
        <v>0</v>
      </c>
      <c r="M53" s="132" t="n">
        <v>0</v>
      </c>
      <c r="N53" s="83" t="n">
        <v>0</v>
      </c>
      <c r="O53" s="91" t="n">
        <v>0</v>
      </c>
      <c r="P53" s="91" t="n">
        <v>0</v>
      </c>
      <c r="Q53" s="78" t="inlineStr">
        <is>
          <t>channel</t>
        </is>
      </c>
      <c r="R53" s="94" t="n"/>
      <c r="S53" s="81" t="n">
        <v>0</v>
      </c>
      <c r="T53" s="81" t="n">
        <v>0</v>
      </c>
      <c r="U53" s="89" t="n">
        <v>1</v>
      </c>
      <c r="V53" s="83" t="n">
        <v>2</v>
      </c>
      <c r="W53" s="81" t="n">
        <v>0</v>
      </c>
      <c r="X53" s="81" t="n">
        <v>0</v>
      </c>
      <c r="Y53" s="81" t="n">
        <v>0</v>
      </c>
      <c r="Z53" s="81" t="n">
        <v>0</v>
      </c>
      <c r="AA53" s="81" t="n">
        <v>0</v>
      </c>
      <c r="AB53" s="81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0.2840223463687152</v>
      </c>
      <c r="AG53" s="603" t="n">
        <v>0.002892275689514647</v>
      </c>
      <c r="AH53" s="604" t="n">
        <v>0.0009640918965048824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1" t="n">
        <v>3</v>
      </c>
      <c r="D54" s="129" t="n">
        <v>0</v>
      </c>
      <c r="E54" s="130" t="n">
        <v>3</v>
      </c>
      <c r="F54" s="87" t="n">
        <v>0</v>
      </c>
      <c r="G54" s="89" t="n">
        <v>3</v>
      </c>
      <c r="H54" s="131" t="n">
        <v>0</v>
      </c>
      <c r="I54" s="132" t="n">
        <v>3</v>
      </c>
      <c r="J54" s="83" t="n">
        <v>0</v>
      </c>
      <c r="K54" s="89" t="n">
        <v>0</v>
      </c>
      <c r="L54" s="131" t="n">
        <v>0</v>
      </c>
      <c r="M54" s="132" t="n">
        <v>0</v>
      </c>
      <c r="N54" s="83" t="n">
        <v>0</v>
      </c>
      <c r="O54" s="91" t="n">
        <v>0</v>
      </c>
      <c r="P54" s="91" t="n">
        <v>0</v>
      </c>
      <c r="Q54" s="94" t="n"/>
      <c r="R54" s="94" t="n"/>
      <c r="S54" s="81" t="n">
        <v>0</v>
      </c>
      <c r="T54" s="81" t="n">
        <v>0</v>
      </c>
      <c r="U54" s="89" t="n">
        <v>0</v>
      </c>
      <c r="V54" s="83" t="n">
        <v>2</v>
      </c>
      <c r="W54" s="81" t="n">
        <v>0</v>
      </c>
      <c r="X54" s="81" t="n">
        <v>0</v>
      </c>
      <c r="Y54" s="81" t="n">
        <v>0</v>
      </c>
      <c r="Z54" s="81" t="n">
        <v>0</v>
      </c>
      <c r="AA54" s="81" t="n">
        <v>0</v>
      </c>
      <c r="AB54" s="81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1" t="n">
        <v>3</v>
      </c>
      <c r="D55" s="129" t="n">
        <v>0</v>
      </c>
      <c r="E55" s="130" t="n">
        <v>3</v>
      </c>
      <c r="F55" s="87" t="n">
        <v>0</v>
      </c>
      <c r="G55" s="89" t="n">
        <v>3</v>
      </c>
      <c r="H55" s="131" t="n">
        <v>0</v>
      </c>
      <c r="I55" s="132" t="n">
        <v>3</v>
      </c>
      <c r="J55" s="83" t="n">
        <v>0</v>
      </c>
      <c r="K55" s="89" t="n">
        <v>0</v>
      </c>
      <c r="L55" s="131" t="n">
        <v>0</v>
      </c>
      <c r="M55" s="132" t="n">
        <v>0</v>
      </c>
      <c r="N55" s="83" t="n">
        <v>0</v>
      </c>
      <c r="O55" s="91" t="n">
        <v>1</v>
      </c>
      <c r="P55" s="91" t="n">
        <v>0</v>
      </c>
      <c r="Q55" s="94" t="n"/>
      <c r="R55" s="94" t="n"/>
      <c r="S55" s="81" t="n">
        <v>0</v>
      </c>
      <c r="T55" s="81" t="n">
        <v>0</v>
      </c>
      <c r="U55" s="89" t="n">
        <v>0</v>
      </c>
      <c r="V55" s="83" t="n">
        <v>3</v>
      </c>
      <c r="W55" s="81" t="n">
        <v>0</v>
      </c>
      <c r="X55" s="81" t="n">
        <v>0</v>
      </c>
      <c r="Y55" s="81" t="n">
        <v>0</v>
      </c>
      <c r="Z55" s="81" t="n">
        <v>0</v>
      </c>
      <c r="AA55" s="81" t="n">
        <v>0</v>
      </c>
      <c r="AB55" s="81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-2.059210870133352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1" t="n">
        <v>3</v>
      </c>
      <c r="D56" s="129" t="n">
        <v>2</v>
      </c>
      <c r="E56" s="130" t="n">
        <v>1</v>
      </c>
      <c r="F56" s="87" t="n">
        <v>0</v>
      </c>
      <c r="G56" s="89" t="n">
        <v>1</v>
      </c>
      <c r="H56" s="131" t="n">
        <v>1</v>
      </c>
      <c r="I56" s="132" t="n">
        <v>0</v>
      </c>
      <c r="J56" s="83" t="n">
        <v>0</v>
      </c>
      <c r="K56" s="89" t="n">
        <v>2</v>
      </c>
      <c r="L56" s="131" t="n">
        <v>1</v>
      </c>
      <c r="M56" s="132" t="n">
        <v>1</v>
      </c>
      <c r="N56" s="83" t="n">
        <v>0</v>
      </c>
      <c r="O56" s="91" t="n">
        <v>0</v>
      </c>
      <c r="P56" s="91" t="n">
        <v>0</v>
      </c>
      <c r="Q56" s="78" t="inlineStr">
        <is>
          <t>channel</t>
        </is>
      </c>
      <c r="R56" s="94" t="n"/>
      <c r="S56" s="81" t="n">
        <v>0</v>
      </c>
      <c r="T56" s="81" t="n">
        <v>0</v>
      </c>
      <c r="U56" s="89" t="n">
        <v>1</v>
      </c>
      <c r="V56" s="83" t="n">
        <v>2</v>
      </c>
      <c r="W56" s="81" t="n">
        <v>0</v>
      </c>
      <c r="X56" s="81" t="n">
        <v>0</v>
      </c>
      <c r="Y56" s="81" t="n">
        <v>0</v>
      </c>
      <c r="Z56" s="81" t="n">
        <v>2</v>
      </c>
      <c r="AA56" s="81" t="n">
        <v>0</v>
      </c>
      <c r="AB56" s="81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1" t="n">
        <v>3</v>
      </c>
      <c r="D57" s="129" t="n">
        <v>1</v>
      </c>
      <c r="E57" s="130" t="n">
        <v>2</v>
      </c>
      <c r="F57" s="87" t="n">
        <v>0</v>
      </c>
      <c r="G57" s="89" t="n">
        <v>3</v>
      </c>
      <c r="H57" s="131" t="n">
        <v>1</v>
      </c>
      <c r="I57" s="132" t="n">
        <v>2</v>
      </c>
      <c r="J57" s="83" t="n">
        <v>0</v>
      </c>
      <c r="K57" s="89" t="n">
        <v>0</v>
      </c>
      <c r="L57" s="131" t="n">
        <v>0</v>
      </c>
      <c r="M57" s="132" t="n">
        <v>0</v>
      </c>
      <c r="N57" s="83" t="n">
        <v>0</v>
      </c>
      <c r="O57" s="91" t="n">
        <v>0</v>
      </c>
      <c r="P57" s="91" t="n">
        <v>0</v>
      </c>
      <c r="Q57" s="78" t="inlineStr">
        <is>
          <t>channel</t>
        </is>
      </c>
      <c r="R57" s="78" t="n"/>
      <c r="S57" s="81" t="n">
        <v>0</v>
      </c>
      <c r="T57" s="81" t="n">
        <v>0</v>
      </c>
      <c r="U57" s="89" t="n">
        <v>1</v>
      </c>
      <c r="V57" s="83" t="n">
        <v>2</v>
      </c>
      <c r="W57" s="81" t="n">
        <v>0</v>
      </c>
      <c r="X57" s="81" t="n">
        <v>0</v>
      </c>
      <c r="Y57" s="81" t="n">
        <v>0</v>
      </c>
      <c r="Z57" s="81" t="n">
        <v>1</v>
      </c>
      <c r="AA57" s="81" t="n">
        <v>1</v>
      </c>
      <c r="AB57" s="81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0.2937642369019876</v>
      </c>
      <c r="AG57" s="603" t="n">
        <v>0.0007559809712021548</v>
      </c>
      <c r="AH57" s="604" t="n">
        <v>0.0002519936570673849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1" t="n">
        <v>3</v>
      </c>
      <c r="D58" s="129" t="n">
        <v>0</v>
      </c>
      <c r="E58" s="130" t="n">
        <v>3</v>
      </c>
      <c r="F58" s="87" t="n">
        <v>0</v>
      </c>
      <c r="G58" s="89" t="n">
        <v>3</v>
      </c>
      <c r="H58" s="131" t="n">
        <v>0</v>
      </c>
      <c r="I58" s="132" t="n">
        <v>3</v>
      </c>
      <c r="J58" s="83" t="n">
        <v>0</v>
      </c>
      <c r="K58" s="89" t="n">
        <v>0</v>
      </c>
      <c r="L58" s="131" t="n">
        <v>0</v>
      </c>
      <c r="M58" s="132" t="n">
        <v>0</v>
      </c>
      <c r="N58" s="83" t="n">
        <v>0</v>
      </c>
      <c r="O58" s="91" t="n">
        <v>2</v>
      </c>
      <c r="P58" s="91" t="n">
        <v>0</v>
      </c>
      <c r="Q58" s="78" t="n"/>
      <c r="R58" s="78" t="n"/>
      <c r="S58" s="81" t="n">
        <v>0</v>
      </c>
      <c r="T58" s="81" t="n">
        <v>0</v>
      </c>
      <c r="U58" s="89" t="n">
        <v>3</v>
      </c>
      <c r="V58" s="83" t="n">
        <v>0</v>
      </c>
      <c r="W58" s="81" t="n">
        <v>0</v>
      </c>
      <c r="X58" s="81" t="n">
        <v>1</v>
      </c>
      <c r="Y58" s="81" t="n">
        <v>0</v>
      </c>
      <c r="Z58" s="81" t="n">
        <v>0</v>
      </c>
      <c r="AA58" s="81" t="n">
        <v>0</v>
      </c>
      <c r="AB58" s="81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1" t="n">
        <v>2</v>
      </c>
      <c r="D59" s="129" t="n">
        <v>1</v>
      </c>
      <c r="E59" s="130" t="n">
        <v>1</v>
      </c>
      <c r="F59" s="87" t="n">
        <v>0</v>
      </c>
      <c r="G59" s="89" t="n">
        <v>2</v>
      </c>
      <c r="H59" s="131" t="n">
        <v>1</v>
      </c>
      <c r="I59" s="132" t="n">
        <v>1</v>
      </c>
      <c r="J59" s="83" t="n">
        <v>0</v>
      </c>
      <c r="K59" s="89" t="n">
        <v>0</v>
      </c>
      <c r="L59" s="131" t="n">
        <v>0</v>
      </c>
      <c r="M59" s="132" t="n">
        <v>0</v>
      </c>
      <c r="N59" s="83" t="n">
        <v>0</v>
      </c>
      <c r="O59" s="91" t="n">
        <v>1</v>
      </c>
      <c r="P59" s="91" t="n">
        <v>0</v>
      </c>
      <c r="Q59" s="78" t="n"/>
      <c r="R59" s="94" t="n"/>
      <c r="S59" s="81" t="n">
        <v>0</v>
      </c>
      <c r="T59" s="81" t="n">
        <v>0</v>
      </c>
      <c r="U59" s="89" t="n">
        <v>1</v>
      </c>
      <c r="V59" s="83" t="n">
        <v>1</v>
      </c>
      <c r="W59" s="81" t="n">
        <v>0</v>
      </c>
      <c r="X59" s="81" t="n">
        <v>0</v>
      </c>
      <c r="Y59" s="81" t="n">
        <v>0</v>
      </c>
      <c r="Z59" s="81" t="n">
        <v>0</v>
      </c>
      <c r="AA59" s="81" t="n">
        <v>0</v>
      </c>
      <c r="AB59" s="81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1" t="n">
        <v>2</v>
      </c>
      <c r="D60" s="129" t="n">
        <v>0</v>
      </c>
      <c r="E60" s="130" t="n">
        <v>2</v>
      </c>
      <c r="F60" s="87" t="n">
        <v>0</v>
      </c>
      <c r="G60" s="89" t="n">
        <v>2</v>
      </c>
      <c r="H60" s="131" t="n">
        <v>0</v>
      </c>
      <c r="I60" s="132" t="n">
        <v>2</v>
      </c>
      <c r="J60" s="83" t="n">
        <v>0</v>
      </c>
      <c r="K60" s="89" t="n">
        <v>0</v>
      </c>
      <c r="L60" s="131" t="n">
        <v>0</v>
      </c>
      <c r="M60" s="132" t="n">
        <v>0</v>
      </c>
      <c r="N60" s="83" t="n">
        <v>0</v>
      </c>
      <c r="O60" s="91" t="n">
        <v>0</v>
      </c>
      <c r="P60" s="91" t="n">
        <v>0</v>
      </c>
      <c r="Q60" s="94" t="n"/>
      <c r="R60" s="94" t="n"/>
      <c r="S60" s="81" t="n">
        <v>0</v>
      </c>
      <c r="T60" s="81" t="n">
        <v>0</v>
      </c>
      <c r="U60" s="89" t="n">
        <v>0</v>
      </c>
      <c r="V60" s="83" t="n">
        <v>2</v>
      </c>
      <c r="W60" s="81" t="n">
        <v>0</v>
      </c>
      <c r="X60" s="81" t="n">
        <v>0</v>
      </c>
      <c r="Y60" s="81" t="n">
        <v>0</v>
      </c>
      <c r="Z60" s="81" t="n">
        <v>0</v>
      </c>
      <c r="AA60" s="81" t="n">
        <v>0</v>
      </c>
      <c r="AB60" s="81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-1.465240641711233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1" t="n">
        <v>2</v>
      </c>
      <c r="D61" s="129" t="n">
        <v>0</v>
      </c>
      <c r="E61" s="130" t="n">
        <v>2</v>
      </c>
      <c r="F61" s="87" t="n">
        <v>0</v>
      </c>
      <c r="G61" s="89" t="n">
        <v>2</v>
      </c>
      <c r="H61" s="131" t="n">
        <v>0</v>
      </c>
      <c r="I61" s="132" t="n">
        <v>2</v>
      </c>
      <c r="J61" s="83" t="n">
        <v>0</v>
      </c>
      <c r="K61" s="89" t="n">
        <v>0</v>
      </c>
      <c r="L61" s="131" t="n">
        <v>0</v>
      </c>
      <c r="M61" s="132" t="n">
        <v>0</v>
      </c>
      <c r="N61" s="83" t="n">
        <v>0</v>
      </c>
      <c r="O61" s="91" t="n">
        <v>0</v>
      </c>
      <c r="P61" s="91" t="n">
        <v>0</v>
      </c>
      <c r="Q61" s="94" t="n"/>
      <c r="R61" s="94" t="n"/>
      <c r="S61" s="81" t="n">
        <v>0</v>
      </c>
      <c r="T61" s="81" t="n">
        <v>0</v>
      </c>
      <c r="U61" s="89" t="n">
        <v>0</v>
      </c>
      <c r="V61" s="83" t="n">
        <v>2</v>
      </c>
      <c r="W61" s="81" t="n">
        <v>0</v>
      </c>
      <c r="X61" s="81" t="n">
        <v>0</v>
      </c>
      <c r="Y61" s="81" t="n">
        <v>0</v>
      </c>
      <c r="Z61" s="81" t="n">
        <v>0</v>
      </c>
      <c r="AA61" s="81" t="n">
        <v>0</v>
      </c>
      <c r="AB61" s="81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1" t="n">
        <v>2</v>
      </c>
      <c r="D62" s="129" t="n">
        <v>2</v>
      </c>
      <c r="E62" s="130" t="n">
        <v>0</v>
      </c>
      <c r="F62" s="87" t="n">
        <v>0</v>
      </c>
      <c r="G62" s="89" t="n">
        <v>2</v>
      </c>
      <c r="H62" s="131" t="n">
        <v>2</v>
      </c>
      <c r="I62" s="132" t="n">
        <v>0</v>
      </c>
      <c r="J62" s="83" t="n">
        <v>0</v>
      </c>
      <c r="K62" s="89" t="n">
        <v>0</v>
      </c>
      <c r="L62" s="131" t="n">
        <v>0</v>
      </c>
      <c r="M62" s="132" t="n">
        <v>0</v>
      </c>
      <c r="N62" s="83" t="n">
        <v>0</v>
      </c>
      <c r="O62" s="91" t="n">
        <v>1</v>
      </c>
      <c r="P62" s="91" t="n">
        <v>0</v>
      </c>
      <c r="Q62" s="94" t="n"/>
      <c r="R62" s="94" t="n"/>
      <c r="S62" s="81" t="n">
        <v>0</v>
      </c>
      <c r="T62" s="81" t="n">
        <v>0</v>
      </c>
      <c r="U62" s="89" t="n">
        <v>0</v>
      </c>
      <c r="V62" s="83" t="n">
        <v>2</v>
      </c>
      <c r="W62" s="81" t="n">
        <v>0</v>
      </c>
      <c r="X62" s="81" t="n">
        <v>0</v>
      </c>
      <c r="Y62" s="81" t="n">
        <v>0</v>
      </c>
      <c r="Z62" s="81" t="n">
        <v>0</v>
      </c>
      <c r="AA62" s="81" t="n">
        <v>0</v>
      </c>
      <c r="AB62" s="81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1" t="n">
        <v>2</v>
      </c>
      <c r="D63" s="129" t="n">
        <v>0</v>
      </c>
      <c r="E63" s="130" t="n">
        <v>2</v>
      </c>
      <c r="F63" s="87" t="n">
        <v>0</v>
      </c>
      <c r="G63" s="89" t="n">
        <v>2</v>
      </c>
      <c r="H63" s="131" t="n">
        <v>0</v>
      </c>
      <c r="I63" s="132" t="n">
        <v>2</v>
      </c>
      <c r="J63" s="83" t="n">
        <v>0</v>
      </c>
      <c r="K63" s="89" t="n">
        <v>0</v>
      </c>
      <c r="L63" s="131" t="n">
        <v>0</v>
      </c>
      <c r="M63" s="132" t="n">
        <v>0</v>
      </c>
      <c r="N63" s="83" t="n">
        <v>0</v>
      </c>
      <c r="O63" s="91" t="n">
        <v>0</v>
      </c>
      <c r="P63" s="91" t="n">
        <v>0</v>
      </c>
      <c r="Q63" s="94" t="n"/>
      <c r="R63" s="94" t="n"/>
      <c r="S63" s="81" t="n">
        <v>0</v>
      </c>
      <c r="T63" s="81" t="n">
        <v>0</v>
      </c>
      <c r="U63" s="89" t="n">
        <v>1</v>
      </c>
      <c r="V63" s="83" t="n">
        <v>1</v>
      </c>
      <c r="W63" s="81" t="n">
        <v>0</v>
      </c>
      <c r="X63" s="81" t="n">
        <v>0</v>
      </c>
      <c r="Y63" s="81" t="n">
        <v>0</v>
      </c>
      <c r="Z63" s="81" t="n">
        <v>0</v>
      </c>
      <c r="AA63" s="81" t="n">
        <v>0</v>
      </c>
      <c r="AB63" s="81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1" t="n">
        <v>2</v>
      </c>
      <c r="D64" s="129" t="n">
        <v>0</v>
      </c>
      <c r="E64" s="130" t="n">
        <v>2</v>
      </c>
      <c r="F64" s="87" t="n">
        <v>0</v>
      </c>
      <c r="G64" s="89" t="n">
        <v>2</v>
      </c>
      <c r="H64" s="131" t="n">
        <v>0</v>
      </c>
      <c r="I64" s="132" t="n">
        <v>2</v>
      </c>
      <c r="J64" s="83" t="n">
        <v>0</v>
      </c>
      <c r="K64" s="89" t="n">
        <v>0</v>
      </c>
      <c r="L64" s="131" t="n">
        <v>0</v>
      </c>
      <c r="M64" s="132" t="n">
        <v>0</v>
      </c>
      <c r="N64" s="83" t="n">
        <v>0</v>
      </c>
      <c r="O64" s="91" t="n">
        <v>0</v>
      </c>
      <c r="P64" s="91" t="n">
        <v>0</v>
      </c>
      <c r="Q64" s="94" t="n"/>
      <c r="R64" s="94" t="n"/>
      <c r="S64" s="81" t="n">
        <v>0</v>
      </c>
      <c r="T64" s="81" t="n">
        <v>0</v>
      </c>
      <c r="U64" s="89" t="n">
        <v>0</v>
      </c>
      <c r="V64" s="83" t="n">
        <v>0</v>
      </c>
      <c r="W64" s="81" t="n">
        <v>0</v>
      </c>
      <c r="X64" s="81" t="n">
        <v>0</v>
      </c>
      <c r="Y64" s="81" t="n">
        <v>0</v>
      </c>
      <c r="Z64" s="81" t="n">
        <v>0</v>
      </c>
      <c r="AA64" s="81" t="n">
        <v>0</v>
      </c>
      <c r="AB64" s="81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-1.495873015873014</v>
      </c>
      <c r="AG64" s="606" t="n">
        <v>-0.01509009936320954</v>
      </c>
      <c r="AH64" s="607" t="n">
        <v>-0.007545049681604768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1" t="n">
        <v>2</v>
      </c>
      <c r="D65" s="129" t="n">
        <v>1</v>
      </c>
      <c r="E65" s="130" t="n">
        <v>1</v>
      </c>
      <c r="F65" s="87" t="n">
        <v>0</v>
      </c>
      <c r="G65" s="89" t="n">
        <v>2</v>
      </c>
      <c r="H65" s="131" t="n">
        <v>1</v>
      </c>
      <c r="I65" s="132" t="n">
        <v>1</v>
      </c>
      <c r="J65" s="83" t="n">
        <v>0</v>
      </c>
      <c r="K65" s="89" t="n">
        <v>0</v>
      </c>
      <c r="L65" s="131" t="n">
        <v>0</v>
      </c>
      <c r="M65" s="132" t="n">
        <v>0</v>
      </c>
      <c r="N65" s="83" t="n">
        <v>0</v>
      </c>
      <c r="O65" s="91" t="n">
        <v>1</v>
      </c>
      <c r="P65" s="91" t="n">
        <v>0</v>
      </c>
      <c r="Q65" s="94" t="n"/>
      <c r="R65" s="94" t="n"/>
      <c r="S65" s="81" t="n">
        <v>0</v>
      </c>
      <c r="T65" s="81" t="n">
        <v>0</v>
      </c>
      <c r="U65" s="89" t="n">
        <v>0</v>
      </c>
      <c r="V65" s="83" t="n">
        <v>2</v>
      </c>
      <c r="W65" s="81" t="n">
        <v>0</v>
      </c>
      <c r="X65" s="81" t="n">
        <v>0</v>
      </c>
      <c r="Y65" s="81" t="n">
        <v>0</v>
      </c>
      <c r="Z65" s="81" t="n">
        <v>0</v>
      </c>
      <c r="AA65" s="81" t="n">
        <v>0</v>
      </c>
      <c r="AB65" s="81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0.9593694132943309</v>
      </c>
      <c r="AG65" s="603" t="n">
        <v>0.006445576088079679</v>
      </c>
      <c r="AH65" s="604" t="n">
        <v>0.003222788044039839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1" t="n">
        <v>2</v>
      </c>
      <c r="D66" s="129" t="n">
        <v>0</v>
      </c>
      <c r="E66" s="130" t="n">
        <v>2</v>
      </c>
      <c r="F66" s="87" t="n">
        <v>0</v>
      </c>
      <c r="G66" s="89" t="n">
        <v>2</v>
      </c>
      <c r="H66" s="131" t="n">
        <v>0</v>
      </c>
      <c r="I66" s="132" t="n">
        <v>2</v>
      </c>
      <c r="J66" s="83" t="n">
        <v>0</v>
      </c>
      <c r="K66" s="89" t="n">
        <v>0</v>
      </c>
      <c r="L66" s="131" t="n">
        <v>0</v>
      </c>
      <c r="M66" s="132" t="n">
        <v>0</v>
      </c>
      <c r="N66" s="83" t="n">
        <v>0</v>
      </c>
      <c r="O66" s="91" t="n">
        <v>1</v>
      </c>
      <c r="P66" s="91" t="n">
        <v>0</v>
      </c>
      <c r="Q66" s="94" t="n"/>
      <c r="R66" s="94" t="n"/>
      <c r="S66" s="81" t="n">
        <v>0</v>
      </c>
      <c r="T66" s="81" t="n">
        <v>0</v>
      </c>
      <c r="U66" s="89" t="n">
        <v>0</v>
      </c>
      <c r="V66" s="83" t="n">
        <v>2</v>
      </c>
      <c r="W66" s="81" t="n">
        <v>0</v>
      </c>
      <c r="X66" s="81" t="n">
        <v>1</v>
      </c>
      <c r="Y66" s="81" t="n">
        <v>0</v>
      </c>
      <c r="Z66" s="81" t="n">
        <v>0</v>
      </c>
      <c r="AA66" s="81" t="n">
        <v>0</v>
      </c>
      <c r="AB66" s="81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1" t="n">
        <v>2</v>
      </c>
      <c r="D67" s="129" t="n">
        <v>0</v>
      </c>
      <c r="E67" s="130" t="n">
        <v>2</v>
      </c>
      <c r="F67" s="87" t="n">
        <v>0</v>
      </c>
      <c r="G67" s="89" t="n">
        <v>2</v>
      </c>
      <c r="H67" s="131" t="n">
        <v>0</v>
      </c>
      <c r="I67" s="132" t="n">
        <v>2</v>
      </c>
      <c r="J67" s="83" t="n">
        <v>0</v>
      </c>
      <c r="K67" s="89" t="n">
        <v>0</v>
      </c>
      <c r="L67" s="131" t="n">
        <v>0</v>
      </c>
      <c r="M67" s="132" t="n">
        <v>0</v>
      </c>
      <c r="N67" s="83" t="n">
        <v>0</v>
      </c>
      <c r="O67" s="91" t="n">
        <v>1</v>
      </c>
      <c r="P67" s="91" t="n">
        <v>0</v>
      </c>
      <c r="Q67" s="94" t="n"/>
      <c r="R67" s="94" t="n"/>
      <c r="S67" s="81" t="n">
        <v>0</v>
      </c>
      <c r="T67" s="81" t="n">
        <v>0</v>
      </c>
      <c r="U67" s="89" t="n">
        <v>0</v>
      </c>
      <c r="V67" s="83" t="n">
        <v>1</v>
      </c>
      <c r="W67" s="81" t="n">
        <v>0</v>
      </c>
      <c r="X67" s="81" t="n">
        <v>0</v>
      </c>
      <c r="Y67" s="81" t="n">
        <v>0</v>
      </c>
      <c r="Z67" s="81" t="n">
        <v>0</v>
      </c>
      <c r="AA67" s="81" t="n">
        <v>0</v>
      </c>
      <c r="AB67" s="81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-0.0005150605373173866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1" t="n">
        <v>2</v>
      </c>
      <c r="D68" s="129" t="n">
        <v>1</v>
      </c>
      <c r="E68" s="130" t="n">
        <v>1</v>
      </c>
      <c r="F68" s="87" t="n">
        <v>0</v>
      </c>
      <c r="G68" s="89" t="n">
        <v>2</v>
      </c>
      <c r="H68" s="131" t="n">
        <v>1</v>
      </c>
      <c r="I68" s="132" t="n">
        <v>1</v>
      </c>
      <c r="J68" s="83" t="n">
        <v>0</v>
      </c>
      <c r="K68" s="89" t="n">
        <v>0</v>
      </c>
      <c r="L68" s="131" t="n">
        <v>0</v>
      </c>
      <c r="M68" s="132" t="n">
        <v>0</v>
      </c>
      <c r="N68" s="83" t="n">
        <v>0</v>
      </c>
      <c r="O68" s="91" t="n">
        <v>1</v>
      </c>
      <c r="P68" s="91" t="n">
        <v>0</v>
      </c>
      <c r="Q68" s="78" t="n"/>
      <c r="R68" s="94" t="n"/>
      <c r="S68" s="81" t="n">
        <v>0</v>
      </c>
      <c r="T68" s="81" t="n">
        <v>0</v>
      </c>
      <c r="U68" s="89" t="n">
        <v>0</v>
      </c>
      <c r="V68" s="83" t="n">
        <v>2</v>
      </c>
      <c r="W68" s="81" t="n">
        <v>0</v>
      </c>
      <c r="X68" s="81" t="n">
        <v>1</v>
      </c>
      <c r="Y68" s="81" t="n">
        <v>0</v>
      </c>
      <c r="Z68" s="81" t="n">
        <v>0</v>
      </c>
      <c r="AA68" s="81" t="n">
        <v>0</v>
      </c>
      <c r="AB68" s="81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0.01028079824006657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1" t="n">
        <v>2</v>
      </c>
      <c r="D69" s="129" t="n">
        <v>0</v>
      </c>
      <c r="E69" s="130" t="n">
        <v>2</v>
      </c>
      <c r="F69" s="87" t="n">
        <v>0</v>
      </c>
      <c r="G69" s="89" t="n">
        <v>2</v>
      </c>
      <c r="H69" s="131" t="n">
        <v>0</v>
      </c>
      <c r="I69" s="132" t="n">
        <v>2</v>
      </c>
      <c r="J69" s="83" t="n">
        <v>0</v>
      </c>
      <c r="K69" s="89" t="n">
        <v>0</v>
      </c>
      <c r="L69" s="131" t="n">
        <v>0</v>
      </c>
      <c r="M69" s="132" t="n">
        <v>0</v>
      </c>
      <c r="N69" s="83" t="n">
        <v>0</v>
      </c>
      <c r="O69" s="91" t="n">
        <v>0</v>
      </c>
      <c r="P69" s="91" t="n">
        <v>0</v>
      </c>
      <c r="Q69" s="78" t="n"/>
      <c r="R69" s="94" t="n"/>
      <c r="S69" s="81" t="n">
        <v>0</v>
      </c>
      <c r="T69" s="81" t="n">
        <v>0</v>
      </c>
      <c r="U69" s="89" t="n">
        <v>0</v>
      </c>
      <c r="V69" s="83" t="n">
        <v>2</v>
      </c>
      <c r="W69" s="81" t="n">
        <v>0</v>
      </c>
      <c r="X69" s="81" t="n">
        <v>0</v>
      </c>
      <c r="Y69" s="81" t="n">
        <v>0</v>
      </c>
      <c r="Z69" s="81" t="n">
        <v>0</v>
      </c>
      <c r="AA69" s="81" t="n">
        <v>0</v>
      </c>
      <c r="AB69" s="81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1" t="n">
        <v>2</v>
      </c>
      <c r="D70" s="129" t="n">
        <v>0</v>
      </c>
      <c r="E70" s="130" t="n">
        <v>2</v>
      </c>
      <c r="F70" s="87" t="n">
        <v>0</v>
      </c>
      <c r="G70" s="89" t="n">
        <v>2</v>
      </c>
      <c r="H70" s="131" t="n">
        <v>0</v>
      </c>
      <c r="I70" s="132" t="n">
        <v>2</v>
      </c>
      <c r="J70" s="83" t="n">
        <v>0</v>
      </c>
      <c r="K70" s="89" t="n">
        <v>0</v>
      </c>
      <c r="L70" s="131" t="n">
        <v>0</v>
      </c>
      <c r="M70" s="132" t="n">
        <v>0</v>
      </c>
      <c r="N70" s="83" t="n">
        <v>0</v>
      </c>
      <c r="O70" s="91" t="n">
        <v>1</v>
      </c>
      <c r="P70" s="91" t="n">
        <v>0</v>
      </c>
      <c r="Q70" s="94" t="n"/>
      <c r="R70" s="94" t="n"/>
      <c r="S70" s="81" t="n">
        <v>0</v>
      </c>
      <c r="T70" s="81" t="n">
        <v>0</v>
      </c>
      <c r="U70" s="89" t="n">
        <v>0</v>
      </c>
      <c r="V70" s="83" t="n">
        <v>2</v>
      </c>
      <c r="W70" s="81" t="n">
        <v>0</v>
      </c>
      <c r="X70" s="81" t="n">
        <v>0</v>
      </c>
      <c r="Y70" s="81" t="n">
        <v>0</v>
      </c>
      <c r="Z70" s="81" t="n">
        <v>1</v>
      </c>
      <c r="AA70" s="81" t="n">
        <v>0</v>
      </c>
      <c r="AB70" s="81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-0.005383613996425714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1" t="n">
        <v>2</v>
      </c>
      <c r="D71" s="129" t="n">
        <v>1</v>
      </c>
      <c r="E71" s="130" t="n">
        <v>1</v>
      </c>
      <c r="F71" s="87" t="n">
        <v>0</v>
      </c>
      <c r="G71" s="89" t="n">
        <v>1</v>
      </c>
      <c r="H71" s="131" t="n">
        <v>1</v>
      </c>
      <c r="I71" s="132" t="n">
        <v>0</v>
      </c>
      <c r="J71" s="83" t="n">
        <v>0</v>
      </c>
      <c r="K71" s="89" t="n">
        <v>1</v>
      </c>
      <c r="L71" s="131" t="n">
        <v>0</v>
      </c>
      <c r="M71" s="132" t="n">
        <v>1</v>
      </c>
      <c r="N71" s="83" t="n">
        <v>0</v>
      </c>
      <c r="O71" s="91" t="n">
        <v>0</v>
      </c>
      <c r="P71" s="91" t="n">
        <v>0</v>
      </c>
      <c r="Q71" s="94" t="n"/>
      <c r="R71" s="94" t="n"/>
      <c r="S71" s="81" t="n">
        <v>0</v>
      </c>
      <c r="T71" s="81" t="n">
        <v>0</v>
      </c>
      <c r="U71" s="89" t="n">
        <v>0</v>
      </c>
      <c r="V71" s="83" t="n">
        <v>0</v>
      </c>
      <c r="W71" s="81" t="n">
        <v>0</v>
      </c>
      <c r="X71" s="81" t="n">
        <v>0</v>
      </c>
      <c r="Y71" s="81" t="n">
        <v>0</v>
      </c>
      <c r="Z71" s="81" t="n">
        <v>0</v>
      </c>
      <c r="AA71" s="81" t="n">
        <v>0</v>
      </c>
      <c r="AB71" s="81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0.8733976208541649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1" t="n">
        <v>2</v>
      </c>
      <c r="D72" s="129" t="n">
        <v>1</v>
      </c>
      <c r="E72" s="130" t="n">
        <v>1</v>
      </c>
      <c r="F72" s="87" t="n">
        <v>0</v>
      </c>
      <c r="G72" s="89" t="n">
        <v>2</v>
      </c>
      <c r="H72" s="131" t="n">
        <v>1</v>
      </c>
      <c r="I72" s="132" t="n">
        <v>1</v>
      </c>
      <c r="J72" s="83" t="n">
        <v>0</v>
      </c>
      <c r="K72" s="89" t="n">
        <v>0</v>
      </c>
      <c r="L72" s="131" t="n">
        <v>0</v>
      </c>
      <c r="M72" s="132" t="n">
        <v>0</v>
      </c>
      <c r="N72" s="83" t="n">
        <v>0</v>
      </c>
      <c r="O72" s="91" t="n">
        <v>0</v>
      </c>
      <c r="P72" s="91" t="n">
        <v>0</v>
      </c>
      <c r="Q72" s="94" t="n"/>
      <c r="R72" s="94" t="n"/>
      <c r="S72" s="81" t="n">
        <v>0</v>
      </c>
      <c r="T72" s="81" t="n">
        <v>0</v>
      </c>
      <c r="U72" s="89" t="n">
        <v>0</v>
      </c>
      <c r="V72" s="83" t="n">
        <v>0</v>
      </c>
      <c r="W72" s="81" t="n">
        <v>0</v>
      </c>
      <c r="X72" s="81" t="n">
        <v>0</v>
      </c>
      <c r="Y72" s="81" t="n">
        <v>0</v>
      </c>
      <c r="Z72" s="81" t="n">
        <v>0</v>
      </c>
      <c r="AA72" s="81" t="n">
        <v>0</v>
      </c>
      <c r="AB72" s="81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0.00129797877810226</v>
      </c>
      <c r="AH72" s="604" t="n">
        <v>0.0006489893890511301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1" t="n">
        <v>2</v>
      </c>
      <c r="D73" s="129" t="n">
        <v>1</v>
      </c>
      <c r="E73" s="130" t="n">
        <v>1</v>
      </c>
      <c r="F73" s="87" t="n">
        <v>0</v>
      </c>
      <c r="G73" s="89" t="n">
        <v>2</v>
      </c>
      <c r="H73" s="131" t="n">
        <v>1</v>
      </c>
      <c r="I73" s="132" t="n">
        <v>1</v>
      </c>
      <c r="J73" s="83" t="n">
        <v>0</v>
      </c>
      <c r="K73" s="89" t="n">
        <v>0</v>
      </c>
      <c r="L73" s="131" t="n">
        <v>0</v>
      </c>
      <c r="M73" s="132" t="n">
        <v>0</v>
      </c>
      <c r="N73" s="83" t="n">
        <v>0</v>
      </c>
      <c r="O73" s="91" t="n">
        <v>0</v>
      </c>
      <c r="P73" s="91" t="n">
        <v>0</v>
      </c>
      <c r="Q73" s="94" t="n"/>
      <c r="R73" s="94" t="n"/>
      <c r="S73" s="81" t="n">
        <v>0</v>
      </c>
      <c r="T73" s="81" t="n">
        <v>0</v>
      </c>
      <c r="U73" s="89" t="n">
        <v>0</v>
      </c>
      <c r="V73" s="83" t="n">
        <v>2</v>
      </c>
      <c r="W73" s="81" t="n">
        <v>0</v>
      </c>
      <c r="X73" s="81" t="n">
        <v>0</v>
      </c>
      <c r="Y73" s="81" t="n">
        <v>0</v>
      </c>
      <c r="Z73" s="81" t="n">
        <v>0</v>
      </c>
      <c r="AA73" s="81" t="n">
        <v>0</v>
      </c>
      <c r="AB73" s="81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</v>
      </c>
      <c r="AH73" s="607" t="n">
        <v>-0.001688212779573055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1" t="n">
        <v>2</v>
      </c>
      <c r="D74" s="129" t="n">
        <v>1</v>
      </c>
      <c r="E74" s="130" t="n">
        <v>1</v>
      </c>
      <c r="F74" s="87" t="n">
        <v>0</v>
      </c>
      <c r="G74" s="89" t="n">
        <v>2</v>
      </c>
      <c r="H74" s="131" t="n">
        <v>1</v>
      </c>
      <c r="I74" s="132" t="n">
        <v>1</v>
      </c>
      <c r="J74" s="83" t="n">
        <v>0</v>
      </c>
      <c r="K74" s="89" t="n">
        <v>0</v>
      </c>
      <c r="L74" s="131" t="n">
        <v>0</v>
      </c>
      <c r="M74" s="132" t="n">
        <v>0</v>
      </c>
      <c r="N74" s="83" t="n">
        <v>0</v>
      </c>
      <c r="O74" s="91" t="n">
        <v>2</v>
      </c>
      <c r="P74" s="91" t="n">
        <v>0</v>
      </c>
      <c r="Q74" s="94" t="n"/>
      <c r="R74" s="94" t="n"/>
      <c r="S74" s="81" t="n">
        <v>0</v>
      </c>
      <c r="T74" s="81" t="n">
        <v>0</v>
      </c>
      <c r="U74" s="89" t="n">
        <v>0</v>
      </c>
      <c r="V74" s="83" t="n">
        <v>2</v>
      </c>
      <c r="W74" s="81" t="n">
        <v>0</v>
      </c>
      <c r="X74" s="81" t="n">
        <v>0</v>
      </c>
      <c r="Y74" s="81" t="n">
        <v>0</v>
      </c>
      <c r="Z74" s="81" t="n">
        <v>0</v>
      </c>
      <c r="AA74" s="81" t="n">
        <v>0</v>
      </c>
      <c r="AB74" s="81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1" t="n">
        <v>1</v>
      </c>
      <c r="D75" s="129" t="n">
        <v>0</v>
      </c>
      <c r="E75" s="130" t="n">
        <v>1</v>
      </c>
      <c r="F75" s="87" t="n">
        <v>0</v>
      </c>
      <c r="G75" s="89" t="n">
        <v>0</v>
      </c>
      <c r="H75" s="131" t="n">
        <v>0</v>
      </c>
      <c r="I75" s="132" t="n">
        <v>0</v>
      </c>
      <c r="J75" s="83" t="n">
        <v>0</v>
      </c>
      <c r="K75" s="89" t="n">
        <v>1</v>
      </c>
      <c r="L75" s="131" t="n">
        <v>0</v>
      </c>
      <c r="M75" s="132" t="n">
        <v>1</v>
      </c>
      <c r="N75" s="83" t="n">
        <v>0</v>
      </c>
      <c r="O75" s="91" t="n">
        <v>0</v>
      </c>
      <c r="P75" s="91" t="n">
        <v>0</v>
      </c>
      <c r="Q75" s="94" t="n"/>
      <c r="R75" s="94" t="n"/>
      <c r="S75" s="81" t="n">
        <v>0</v>
      </c>
      <c r="T75" s="81" t="n">
        <v>0</v>
      </c>
      <c r="U75" s="89" t="n">
        <v>0</v>
      </c>
      <c r="V75" s="83" t="n">
        <v>0</v>
      </c>
      <c r="W75" s="81" t="n">
        <v>0</v>
      </c>
      <c r="X75" s="81" t="n">
        <v>0</v>
      </c>
      <c r="Y75" s="81" t="n">
        <v>0</v>
      </c>
      <c r="Z75" s="81" t="n">
        <v>0</v>
      </c>
      <c r="AA75" s="81" t="n">
        <v>0</v>
      </c>
      <c r="AB75" s="81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1" t="n">
        <v>1</v>
      </c>
      <c r="D76" s="129" t="n">
        <v>0</v>
      </c>
      <c r="E76" s="130" t="n">
        <v>1</v>
      </c>
      <c r="F76" s="87" t="n">
        <v>0</v>
      </c>
      <c r="G76" s="89" t="n">
        <v>0</v>
      </c>
      <c r="H76" s="131" t="n">
        <v>0</v>
      </c>
      <c r="I76" s="132" t="n">
        <v>0</v>
      </c>
      <c r="J76" s="83" t="n">
        <v>0</v>
      </c>
      <c r="K76" s="89" t="n">
        <v>1</v>
      </c>
      <c r="L76" s="131" t="n">
        <v>0</v>
      </c>
      <c r="M76" s="132" t="n">
        <v>1</v>
      </c>
      <c r="N76" s="83" t="n">
        <v>0</v>
      </c>
      <c r="O76" s="91" t="n">
        <v>0</v>
      </c>
      <c r="P76" s="91" t="n">
        <v>0</v>
      </c>
      <c r="Q76" s="78" t="n"/>
      <c r="R76" s="94" t="n"/>
      <c r="S76" s="81" t="n">
        <v>0</v>
      </c>
      <c r="T76" s="81" t="n">
        <v>0</v>
      </c>
      <c r="U76" s="89" t="n">
        <v>0</v>
      </c>
      <c r="V76" s="83" t="n">
        <v>1</v>
      </c>
      <c r="W76" s="81" t="n">
        <v>0</v>
      </c>
      <c r="X76" s="81" t="n">
        <v>0</v>
      </c>
      <c r="Y76" s="81" t="n">
        <v>0</v>
      </c>
      <c r="Z76" s="81" t="n">
        <v>0</v>
      </c>
      <c r="AA76" s="81" t="n">
        <v>0</v>
      </c>
      <c r="AB76" s="81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1" t="n">
        <v>1</v>
      </c>
      <c r="D77" s="129" t="n">
        <v>0</v>
      </c>
      <c r="E77" s="130" t="n">
        <v>1</v>
      </c>
      <c r="F77" s="87" t="n">
        <v>0</v>
      </c>
      <c r="G77" s="89" t="n">
        <v>1</v>
      </c>
      <c r="H77" s="131" t="n">
        <v>0</v>
      </c>
      <c r="I77" s="132" t="n">
        <v>1</v>
      </c>
      <c r="J77" s="83" t="n">
        <v>0</v>
      </c>
      <c r="K77" s="89" t="n">
        <v>0</v>
      </c>
      <c r="L77" s="131" t="n">
        <v>0</v>
      </c>
      <c r="M77" s="132" t="n">
        <v>0</v>
      </c>
      <c r="N77" s="83" t="n">
        <v>0</v>
      </c>
      <c r="O77" s="91" t="n">
        <v>0</v>
      </c>
      <c r="P77" s="91" t="n">
        <v>0</v>
      </c>
      <c r="Q77" s="78" t="n"/>
      <c r="R77" s="94" t="n"/>
      <c r="S77" s="81" t="n">
        <v>0</v>
      </c>
      <c r="T77" s="81" t="n">
        <v>0</v>
      </c>
      <c r="U77" s="89" t="n">
        <v>0</v>
      </c>
      <c r="V77" s="83" t="n">
        <v>1</v>
      </c>
      <c r="W77" s="81" t="n">
        <v>0</v>
      </c>
      <c r="X77" s="81" t="n">
        <v>0</v>
      </c>
      <c r="Y77" s="81" t="n">
        <v>0</v>
      </c>
      <c r="Z77" s="81" t="n">
        <v>0</v>
      </c>
      <c r="AA77" s="81" t="n">
        <v>0</v>
      </c>
      <c r="AB77" s="81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1" t="n">
        <v>1</v>
      </c>
      <c r="D78" s="129" t="n">
        <v>0</v>
      </c>
      <c r="E78" s="130" t="n">
        <v>1</v>
      </c>
      <c r="F78" s="87" t="n">
        <v>0</v>
      </c>
      <c r="G78" s="89" t="n">
        <v>1</v>
      </c>
      <c r="H78" s="131" t="n">
        <v>0</v>
      </c>
      <c r="I78" s="132" t="n">
        <v>1</v>
      </c>
      <c r="J78" s="83" t="n">
        <v>0</v>
      </c>
      <c r="K78" s="89" t="n">
        <v>0</v>
      </c>
      <c r="L78" s="131" t="n">
        <v>0</v>
      </c>
      <c r="M78" s="132" t="n">
        <v>0</v>
      </c>
      <c r="N78" s="83" t="n">
        <v>0</v>
      </c>
      <c r="O78" s="91" t="n">
        <v>0</v>
      </c>
      <c r="P78" s="91" t="n">
        <v>0</v>
      </c>
      <c r="Q78" s="78" t="n"/>
      <c r="R78" s="94" t="n"/>
      <c r="S78" s="81" t="n">
        <v>0</v>
      </c>
      <c r="T78" s="81" t="n">
        <v>0</v>
      </c>
      <c r="U78" s="89" t="n">
        <v>0</v>
      </c>
      <c r="V78" s="83" t="n">
        <v>0</v>
      </c>
      <c r="W78" s="81" t="n">
        <v>0</v>
      </c>
      <c r="X78" s="81" t="n">
        <v>0</v>
      </c>
      <c r="Y78" s="81" t="n">
        <v>0</v>
      </c>
      <c r="Z78" s="81" t="n">
        <v>0</v>
      </c>
      <c r="AA78" s="81" t="n">
        <v>0</v>
      </c>
      <c r="AB78" s="81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1" t="n">
        <v>1</v>
      </c>
      <c r="D79" s="129" t="n">
        <v>0</v>
      </c>
      <c r="E79" s="130" t="n">
        <v>1</v>
      </c>
      <c r="F79" s="87" t="n">
        <v>0</v>
      </c>
      <c r="G79" s="89" t="n">
        <v>1</v>
      </c>
      <c r="H79" s="131" t="n">
        <v>0</v>
      </c>
      <c r="I79" s="132" t="n">
        <v>1</v>
      </c>
      <c r="J79" s="83" t="n">
        <v>0</v>
      </c>
      <c r="K79" s="89" t="n">
        <v>0</v>
      </c>
      <c r="L79" s="131" t="n">
        <v>0</v>
      </c>
      <c r="M79" s="132" t="n">
        <v>0</v>
      </c>
      <c r="N79" s="83" t="n">
        <v>0</v>
      </c>
      <c r="O79" s="91" t="n">
        <v>0</v>
      </c>
      <c r="P79" s="91" t="n">
        <v>0</v>
      </c>
      <c r="Q79" s="94" t="n"/>
      <c r="R79" s="94" t="n"/>
      <c r="S79" s="81" t="n">
        <v>0</v>
      </c>
      <c r="T79" s="81" t="n">
        <v>0</v>
      </c>
      <c r="U79" s="89" t="n">
        <v>0</v>
      </c>
      <c r="V79" s="83" t="n">
        <v>1</v>
      </c>
      <c r="W79" s="81" t="n">
        <v>0</v>
      </c>
      <c r="X79" s="81" t="n">
        <v>0</v>
      </c>
      <c r="Y79" s="81" t="n">
        <v>0</v>
      </c>
      <c r="Z79" s="81" t="n">
        <v>0</v>
      </c>
      <c r="AA79" s="81" t="n">
        <v>0</v>
      </c>
      <c r="AB79" s="81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1" t="n">
        <v>1</v>
      </c>
      <c r="D80" s="129" t="n">
        <v>0</v>
      </c>
      <c r="E80" s="130" t="n">
        <v>1</v>
      </c>
      <c r="F80" s="87" t="n">
        <v>0</v>
      </c>
      <c r="G80" s="89" t="n">
        <v>1</v>
      </c>
      <c r="H80" s="131" t="n">
        <v>0</v>
      </c>
      <c r="I80" s="132" t="n">
        <v>1</v>
      </c>
      <c r="J80" s="83" t="n">
        <v>0</v>
      </c>
      <c r="K80" s="89" t="n">
        <v>0</v>
      </c>
      <c r="L80" s="131" t="n">
        <v>0</v>
      </c>
      <c r="M80" s="132" t="n">
        <v>0</v>
      </c>
      <c r="N80" s="83" t="n">
        <v>0</v>
      </c>
      <c r="O80" s="91" t="n">
        <v>0</v>
      </c>
      <c r="P80" s="91" t="n">
        <v>0</v>
      </c>
      <c r="Q80" s="78" t="inlineStr">
        <is>
          <t>channel</t>
        </is>
      </c>
      <c r="R80" s="94" t="n"/>
      <c r="S80" s="81" t="n">
        <v>0</v>
      </c>
      <c r="T80" s="81" t="n">
        <v>0</v>
      </c>
      <c r="U80" s="89" t="n">
        <v>0</v>
      </c>
      <c r="V80" s="83" t="n">
        <v>1</v>
      </c>
      <c r="W80" s="81" t="n">
        <v>0</v>
      </c>
      <c r="X80" s="81" t="n">
        <v>0</v>
      </c>
      <c r="Y80" s="81" t="n">
        <v>0</v>
      </c>
      <c r="Z80" s="81" t="n">
        <v>0</v>
      </c>
      <c r="AA80" s="81" t="n">
        <v>0</v>
      </c>
      <c r="AB80" s="81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1" t="n">
        <v>1</v>
      </c>
      <c r="D81" s="129" t="n">
        <v>1</v>
      </c>
      <c r="E81" s="130" t="n">
        <v>0</v>
      </c>
      <c r="F81" s="87" t="n">
        <v>0</v>
      </c>
      <c r="G81" s="89" t="n">
        <v>0</v>
      </c>
      <c r="H81" s="131" t="n">
        <v>0</v>
      </c>
      <c r="I81" s="132" t="n">
        <v>0</v>
      </c>
      <c r="J81" s="83" t="n">
        <v>0</v>
      </c>
      <c r="K81" s="89" t="n">
        <v>1</v>
      </c>
      <c r="L81" s="131" t="n">
        <v>1</v>
      </c>
      <c r="M81" s="132" t="n">
        <v>0</v>
      </c>
      <c r="N81" s="83" t="n">
        <v>0</v>
      </c>
      <c r="O81" s="91" t="n">
        <v>0</v>
      </c>
      <c r="P81" s="91" t="n">
        <v>0</v>
      </c>
      <c r="Q81" s="94" t="n"/>
      <c r="R81" s="94" t="n"/>
      <c r="S81" s="81" t="n">
        <v>0</v>
      </c>
      <c r="T81" s="81" t="n">
        <v>0</v>
      </c>
      <c r="U81" s="89" t="n">
        <v>0</v>
      </c>
      <c r="V81" s="83" t="n">
        <v>1</v>
      </c>
      <c r="W81" s="81" t="n">
        <v>0</v>
      </c>
      <c r="X81" s="81" t="n">
        <v>0</v>
      </c>
      <c r="Y81" s="81" t="n">
        <v>0</v>
      </c>
      <c r="Z81" s="81" t="n">
        <v>0</v>
      </c>
      <c r="AA81" s="81" t="n">
        <v>0</v>
      </c>
      <c r="AB81" s="81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1" t="n">
        <v>1</v>
      </c>
      <c r="D82" s="129" t="n">
        <v>0</v>
      </c>
      <c r="E82" s="130" t="n">
        <v>1</v>
      </c>
      <c r="F82" s="87" t="n">
        <v>0</v>
      </c>
      <c r="G82" s="89" t="n">
        <v>1</v>
      </c>
      <c r="H82" s="131" t="n">
        <v>0</v>
      </c>
      <c r="I82" s="132" t="n">
        <v>1</v>
      </c>
      <c r="J82" s="83" t="n">
        <v>0</v>
      </c>
      <c r="K82" s="89" t="n">
        <v>0</v>
      </c>
      <c r="L82" s="131" t="n">
        <v>0</v>
      </c>
      <c r="M82" s="132" t="n">
        <v>0</v>
      </c>
      <c r="N82" s="83" t="n">
        <v>0</v>
      </c>
      <c r="O82" s="91" t="n">
        <v>0</v>
      </c>
      <c r="P82" s="91" t="n">
        <v>0</v>
      </c>
      <c r="Q82" s="94" t="n"/>
      <c r="R82" s="94" t="n"/>
      <c r="S82" s="81" t="n">
        <v>0</v>
      </c>
      <c r="T82" s="81" t="n">
        <v>0</v>
      </c>
      <c r="U82" s="89" t="n">
        <v>0</v>
      </c>
      <c r="V82" s="83" t="n">
        <v>1</v>
      </c>
      <c r="W82" s="81" t="n">
        <v>0</v>
      </c>
      <c r="X82" s="81" t="n">
        <v>0</v>
      </c>
      <c r="Y82" s="81" t="n">
        <v>0</v>
      </c>
      <c r="Z82" s="81" t="n">
        <v>0</v>
      </c>
      <c r="AA82" s="81" t="n">
        <v>0</v>
      </c>
      <c r="AB82" s="81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1" t="n">
        <v>1</v>
      </c>
      <c r="D83" s="129" t="n">
        <v>0</v>
      </c>
      <c r="E83" s="130" t="n">
        <v>1</v>
      </c>
      <c r="F83" s="87" t="n">
        <v>0</v>
      </c>
      <c r="G83" s="89" t="n">
        <v>1</v>
      </c>
      <c r="H83" s="131" t="n">
        <v>0</v>
      </c>
      <c r="I83" s="132" t="n">
        <v>1</v>
      </c>
      <c r="J83" s="83" t="n">
        <v>0</v>
      </c>
      <c r="K83" s="89" t="n">
        <v>0</v>
      </c>
      <c r="L83" s="131" t="n">
        <v>0</v>
      </c>
      <c r="M83" s="132" t="n">
        <v>0</v>
      </c>
      <c r="N83" s="83" t="n">
        <v>0</v>
      </c>
      <c r="O83" s="91" t="n">
        <v>0</v>
      </c>
      <c r="P83" s="91" t="n">
        <v>0</v>
      </c>
      <c r="Q83" s="94" t="n"/>
      <c r="R83" s="94" t="n"/>
      <c r="S83" s="81" t="n">
        <v>0</v>
      </c>
      <c r="T83" s="81" t="n">
        <v>0</v>
      </c>
      <c r="U83" s="89" t="n">
        <v>0</v>
      </c>
      <c r="V83" s="83" t="n">
        <v>1</v>
      </c>
      <c r="W83" s="81" t="n">
        <v>0</v>
      </c>
      <c r="X83" s="81" t="n">
        <v>1</v>
      </c>
      <c r="Y83" s="81" t="n">
        <v>0</v>
      </c>
      <c r="Z83" s="81" t="n">
        <v>0</v>
      </c>
      <c r="AA83" s="81" t="n">
        <v>0</v>
      </c>
      <c r="AB83" s="81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1" t="n">
        <v>1</v>
      </c>
      <c r="D84" s="129" t="n">
        <v>0</v>
      </c>
      <c r="E84" s="130" t="n">
        <v>1</v>
      </c>
      <c r="F84" s="87" t="n">
        <v>0</v>
      </c>
      <c r="G84" s="89" t="n">
        <v>1</v>
      </c>
      <c r="H84" s="131" t="n">
        <v>0</v>
      </c>
      <c r="I84" s="132" t="n">
        <v>1</v>
      </c>
      <c r="J84" s="83" t="n">
        <v>0</v>
      </c>
      <c r="K84" s="89" t="n">
        <v>0</v>
      </c>
      <c r="L84" s="131" t="n">
        <v>0</v>
      </c>
      <c r="M84" s="132" t="n">
        <v>0</v>
      </c>
      <c r="N84" s="83" t="n">
        <v>0</v>
      </c>
      <c r="O84" s="91" t="n">
        <v>0</v>
      </c>
      <c r="P84" s="91" t="n">
        <v>0</v>
      </c>
      <c r="Q84" s="78" t="n"/>
      <c r="R84" s="94" t="n"/>
      <c r="S84" s="81" t="n">
        <v>1</v>
      </c>
      <c r="T84" s="81" t="n">
        <v>0</v>
      </c>
      <c r="U84" s="89" t="n">
        <v>0</v>
      </c>
      <c r="V84" s="83" t="n">
        <v>1</v>
      </c>
      <c r="W84" s="81" t="n">
        <v>0</v>
      </c>
      <c r="X84" s="81" t="n">
        <v>0</v>
      </c>
      <c r="Y84" s="81" t="n">
        <v>0</v>
      </c>
      <c r="Z84" s="81" t="n">
        <v>0</v>
      </c>
      <c r="AA84" s="81" t="n">
        <v>0</v>
      </c>
      <c r="AB84" s="81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1" t="n">
        <v>1</v>
      </c>
      <c r="D85" s="129" t="n">
        <v>0</v>
      </c>
      <c r="E85" s="130" t="n">
        <v>1</v>
      </c>
      <c r="F85" s="87" t="n">
        <v>0</v>
      </c>
      <c r="G85" s="89" t="n">
        <v>1</v>
      </c>
      <c r="H85" s="131" t="n">
        <v>0</v>
      </c>
      <c r="I85" s="132" t="n">
        <v>1</v>
      </c>
      <c r="J85" s="83" t="n">
        <v>0</v>
      </c>
      <c r="K85" s="89" t="n">
        <v>0</v>
      </c>
      <c r="L85" s="131" t="n">
        <v>0</v>
      </c>
      <c r="M85" s="132" t="n">
        <v>0</v>
      </c>
      <c r="N85" s="83" t="n">
        <v>0</v>
      </c>
      <c r="O85" s="91" t="n">
        <v>0</v>
      </c>
      <c r="P85" s="91" t="n">
        <v>0</v>
      </c>
      <c r="Q85" s="78" t="n"/>
      <c r="R85" s="94" t="n"/>
      <c r="S85" s="81" t="n">
        <v>0</v>
      </c>
      <c r="T85" s="81" t="n">
        <v>0</v>
      </c>
      <c r="U85" s="89" t="n">
        <v>0</v>
      </c>
      <c r="V85" s="83" t="n">
        <v>1</v>
      </c>
      <c r="W85" s="81" t="n">
        <v>0</v>
      </c>
      <c r="X85" s="81" t="n">
        <v>0</v>
      </c>
      <c r="Y85" s="81" t="n">
        <v>0</v>
      </c>
      <c r="Z85" s="81" t="n">
        <v>0</v>
      </c>
      <c r="AA85" s="81" t="n">
        <v>0</v>
      </c>
      <c r="AB85" s="81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1" t="n">
        <v>1</v>
      </c>
      <c r="D86" s="129" t="n">
        <v>0</v>
      </c>
      <c r="E86" s="130" t="n">
        <v>1</v>
      </c>
      <c r="F86" s="87" t="n">
        <v>0</v>
      </c>
      <c r="G86" s="89" t="n">
        <v>1</v>
      </c>
      <c r="H86" s="131" t="n">
        <v>0</v>
      </c>
      <c r="I86" s="132" t="n">
        <v>1</v>
      </c>
      <c r="J86" s="83" t="n">
        <v>0</v>
      </c>
      <c r="K86" s="89" t="n">
        <v>0</v>
      </c>
      <c r="L86" s="131" t="n">
        <v>0</v>
      </c>
      <c r="M86" s="132" t="n">
        <v>0</v>
      </c>
      <c r="N86" s="83" t="n">
        <v>0</v>
      </c>
      <c r="O86" s="91" t="n">
        <v>0</v>
      </c>
      <c r="P86" s="91" t="n">
        <v>0</v>
      </c>
      <c r="Q86" s="78" t="n"/>
      <c r="R86" s="94" t="n"/>
      <c r="S86" s="81" t="n">
        <v>0</v>
      </c>
      <c r="T86" s="81" t="n">
        <v>0</v>
      </c>
      <c r="U86" s="89" t="n">
        <v>0</v>
      </c>
      <c r="V86" s="83" t="n">
        <v>1</v>
      </c>
      <c r="W86" s="81" t="n">
        <v>0</v>
      </c>
      <c r="X86" s="81" t="n">
        <v>0</v>
      </c>
      <c r="Y86" s="81" t="n">
        <v>0</v>
      </c>
      <c r="Z86" s="81" t="n">
        <v>0</v>
      </c>
      <c r="AA86" s="81" t="n">
        <v>0</v>
      </c>
      <c r="AB86" s="81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1" t="n">
        <v>1</v>
      </c>
      <c r="D87" s="129" t="n">
        <v>0</v>
      </c>
      <c r="E87" s="130" t="n">
        <v>1</v>
      </c>
      <c r="F87" s="87" t="n">
        <v>0</v>
      </c>
      <c r="G87" s="89" t="n">
        <v>1</v>
      </c>
      <c r="H87" s="131" t="n">
        <v>0</v>
      </c>
      <c r="I87" s="132" t="n">
        <v>1</v>
      </c>
      <c r="J87" s="83" t="n">
        <v>0</v>
      </c>
      <c r="K87" s="89" t="n">
        <v>0</v>
      </c>
      <c r="L87" s="131" t="n">
        <v>0</v>
      </c>
      <c r="M87" s="132" t="n">
        <v>0</v>
      </c>
      <c r="N87" s="83" t="n">
        <v>0</v>
      </c>
      <c r="O87" s="91" t="n">
        <v>1</v>
      </c>
      <c r="P87" s="91" t="n">
        <v>0</v>
      </c>
      <c r="Q87" s="94" t="n"/>
      <c r="R87" s="94" t="n"/>
      <c r="S87" s="81" t="n">
        <v>0</v>
      </c>
      <c r="T87" s="81" t="n">
        <v>0</v>
      </c>
      <c r="U87" s="89" t="n">
        <v>0</v>
      </c>
      <c r="V87" s="83" t="n">
        <v>1</v>
      </c>
      <c r="W87" s="81" t="n">
        <v>0</v>
      </c>
      <c r="X87" s="81" t="n">
        <v>0</v>
      </c>
      <c r="Y87" s="81" t="n">
        <v>0</v>
      </c>
      <c r="Z87" s="81" t="n">
        <v>0</v>
      </c>
      <c r="AA87" s="81" t="n">
        <v>0</v>
      </c>
      <c r="AB87" s="81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1" t="n">
        <v>1</v>
      </c>
      <c r="D88" s="129" t="n">
        <v>0</v>
      </c>
      <c r="E88" s="130" t="n">
        <v>1</v>
      </c>
      <c r="F88" s="87" t="n">
        <v>0</v>
      </c>
      <c r="G88" s="89" t="n">
        <v>1</v>
      </c>
      <c r="H88" s="131" t="n">
        <v>0</v>
      </c>
      <c r="I88" s="132" t="n">
        <v>1</v>
      </c>
      <c r="J88" s="83" t="n">
        <v>0</v>
      </c>
      <c r="K88" s="89" t="n">
        <v>0</v>
      </c>
      <c r="L88" s="131" t="n">
        <v>0</v>
      </c>
      <c r="M88" s="132" t="n">
        <v>0</v>
      </c>
      <c r="N88" s="83" t="n">
        <v>0</v>
      </c>
      <c r="O88" s="91" t="n">
        <v>0</v>
      </c>
      <c r="P88" s="91" t="n">
        <v>0</v>
      </c>
      <c r="Q88" s="94" t="n"/>
      <c r="R88" s="94" t="n"/>
      <c r="S88" s="81" t="n">
        <v>0</v>
      </c>
      <c r="T88" s="81" t="n">
        <v>0</v>
      </c>
      <c r="U88" s="89" t="n">
        <v>0</v>
      </c>
      <c r="V88" s="83" t="n">
        <v>1</v>
      </c>
      <c r="W88" s="81" t="n">
        <v>0</v>
      </c>
      <c r="X88" s="81" t="n">
        <v>0</v>
      </c>
      <c r="Y88" s="81" t="n">
        <v>0</v>
      </c>
      <c r="Z88" s="81" t="n">
        <v>0</v>
      </c>
      <c r="AA88" s="81" t="n">
        <v>0</v>
      </c>
      <c r="AB88" s="81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1" t="n">
        <v>1</v>
      </c>
      <c r="D89" s="129" t="n">
        <v>0</v>
      </c>
      <c r="E89" s="130" t="n">
        <v>1</v>
      </c>
      <c r="F89" s="87" t="n">
        <v>0</v>
      </c>
      <c r="G89" s="89" t="n">
        <v>1</v>
      </c>
      <c r="H89" s="131" t="n">
        <v>0</v>
      </c>
      <c r="I89" s="132" t="n">
        <v>1</v>
      </c>
      <c r="J89" s="83" t="n">
        <v>0</v>
      </c>
      <c r="K89" s="89" t="n">
        <v>0</v>
      </c>
      <c r="L89" s="131" t="n">
        <v>0</v>
      </c>
      <c r="M89" s="132" t="n">
        <v>0</v>
      </c>
      <c r="N89" s="83" t="n">
        <v>0</v>
      </c>
      <c r="O89" s="91" t="n">
        <v>0</v>
      </c>
      <c r="P89" s="91" t="n">
        <v>0</v>
      </c>
      <c r="Q89" s="94" t="n"/>
      <c r="R89" s="94" t="n"/>
      <c r="S89" s="81" t="n">
        <v>0</v>
      </c>
      <c r="T89" s="81" t="n">
        <v>0</v>
      </c>
      <c r="U89" s="89" t="n">
        <v>0</v>
      </c>
      <c r="V89" s="83" t="n">
        <v>1</v>
      </c>
      <c r="W89" s="81" t="n">
        <v>0</v>
      </c>
      <c r="X89" s="81" t="n">
        <v>0</v>
      </c>
      <c r="Y89" s="81" t="n">
        <v>0</v>
      </c>
      <c r="Z89" s="81" t="n">
        <v>0</v>
      </c>
      <c r="AA89" s="81" t="n">
        <v>0</v>
      </c>
      <c r="AB89" s="81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1" t="n">
        <v>1</v>
      </c>
      <c r="D90" s="129" t="n">
        <v>0</v>
      </c>
      <c r="E90" s="130" t="n">
        <v>1</v>
      </c>
      <c r="F90" s="87" t="n">
        <v>0</v>
      </c>
      <c r="G90" s="89" t="n">
        <v>1</v>
      </c>
      <c r="H90" s="131" t="n">
        <v>0</v>
      </c>
      <c r="I90" s="132" t="n">
        <v>1</v>
      </c>
      <c r="J90" s="83" t="n">
        <v>0</v>
      </c>
      <c r="K90" s="89" t="n">
        <v>0</v>
      </c>
      <c r="L90" s="131" t="n">
        <v>0</v>
      </c>
      <c r="M90" s="132" t="n">
        <v>0</v>
      </c>
      <c r="N90" s="83" t="n">
        <v>0</v>
      </c>
      <c r="O90" s="91" t="n">
        <v>0</v>
      </c>
      <c r="P90" s="91" t="n">
        <v>0</v>
      </c>
      <c r="Q90" s="94" t="n"/>
      <c r="R90" s="94" t="n"/>
      <c r="S90" s="81" t="n">
        <v>0</v>
      </c>
      <c r="T90" s="81" t="n">
        <v>0</v>
      </c>
      <c r="U90" s="89" t="n">
        <v>0</v>
      </c>
      <c r="V90" s="83" t="n">
        <v>1</v>
      </c>
      <c r="W90" s="81" t="n">
        <v>0</v>
      </c>
      <c r="X90" s="81" t="n">
        <v>0</v>
      </c>
      <c r="Y90" s="81" t="n">
        <v>0</v>
      </c>
      <c r="Z90" s="81" t="n">
        <v>0</v>
      </c>
      <c r="AA90" s="81" t="n">
        <v>0</v>
      </c>
      <c r="AB90" s="81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1" t="n">
        <v>1</v>
      </c>
      <c r="D91" s="129" t="n">
        <v>0</v>
      </c>
      <c r="E91" s="130" t="n">
        <v>1</v>
      </c>
      <c r="F91" s="87" t="n">
        <v>0</v>
      </c>
      <c r="G91" s="89" t="n">
        <v>1</v>
      </c>
      <c r="H91" s="131" t="n">
        <v>0</v>
      </c>
      <c r="I91" s="132" t="n">
        <v>1</v>
      </c>
      <c r="J91" s="83" t="n">
        <v>0</v>
      </c>
      <c r="K91" s="89" t="n">
        <v>0</v>
      </c>
      <c r="L91" s="131" t="n">
        <v>0</v>
      </c>
      <c r="M91" s="132" t="n">
        <v>0</v>
      </c>
      <c r="N91" s="83" t="n">
        <v>0</v>
      </c>
      <c r="O91" s="91" t="n">
        <v>0</v>
      </c>
      <c r="P91" s="91" t="n">
        <v>0</v>
      </c>
      <c r="Q91" s="78" t="n"/>
      <c r="R91" s="94" t="n"/>
      <c r="S91" s="81" t="n">
        <v>1</v>
      </c>
      <c r="T91" s="81" t="n">
        <v>0</v>
      </c>
      <c r="U91" s="89" t="n">
        <v>0</v>
      </c>
      <c r="V91" s="83" t="n">
        <v>1</v>
      </c>
      <c r="W91" s="81" t="n">
        <v>0</v>
      </c>
      <c r="X91" s="81" t="n">
        <v>0</v>
      </c>
      <c r="Y91" s="81" t="n">
        <v>0</v>
      </c>
      <c r="Z91" s="81" t="n">
        <v>0</v>
      </c>
      <c r="AA91" s="81" t="n">
        <v>0</v>
      </c>
      <c r="AB91" s="81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1" t="n">
        <v>1</v>
      </c>
      <c r="D92" s="129" t="n">
        <v>1</v>
      </c>
      <c r="E92" s="130" t="n">
        <v>0</v>
      </c>
      <c r="F92" s="87" t="n">
        <v>0</v>
      </c>
      <c r="G92" s="89" t="n">
        <v>1</v>
      </c>
      <c r="H92" s="131" t="n">
        <v>1</v>
      </c>
      <c r="I92" s="132" t="n">
        <v>0</v>
      </c>
      <c r="J92" s="83" t="n">
        <v>0</v>
      </c>
      <c r="K92" s="89" t="n">
        <v>0</v>
      </c>
      <c r="L92" s="131" t="n">
        <v>0</v>
      </c>
      <c r="M92" s="132" t="n">
        <v>0</v>
      </c>
      <c r="N92" s="83" t="n">
        <v>0</v>
      </c>
      <c r="O92" s="91" t="n">
        <v>0</v>
      </c>
      <c r="P92" s="91" t="n">
        <v>0</v>
      </c>
      <c r="Q92" s="78" t="n"/>
      <c r="R92" s="94" t="n"/>
      <c r="S92" s="81" t="n">
        <v>0</v>
      </c>
      <c r="T92" s="81" t="n">
        <v>0</v>
      </c>
      <c r="U92" s="89" t="n">
        <v>0</v>
      </c>
      <c r="V92" s="83" t="n">
        <v>0</v>
      </c>
      <c r="W92" s="81" t="n">
        <v>0</v>
      </c>
      <c r="X92" s="81" t="n">
        <v>0</v>
      </c>
      <c r="Y92" s="81" t="n">
        <v>0</v>
      </c>
      <c r="Z92" s="81" t="n">
        <v>0</v>
      </c>
      <c r="AA92" s="81" t="n">
        <v>0</v>
      </c>
      <c r="AB92" s="81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1" t="n">
        <v>1</v>
      </c>
      <c r="D93" s="129" t="n">
        <v>0</v>
      </c>
      <c r="E93" s="130" t="n">
        <v>1</v>
      </c>
      <c r="F93" s="87" t="n">
        <v>0</v>
      </c>
      <c r="G93" s="89" t="n">
        <v>1</v>
      </c>
      <c r="H93" s="131" t="n">
        <v>0</v>
      </c>
      <c r="I93" s="132" t="n">
        <v>1</v>
      </c>
      <c r="J93" s="83" t="n">
        <v>0</v>
      </c>
      <c r="K93" s="89" t="n">
        <v>0</v>
      </c>
      <c r="L93" s="131" t="n">
        <v>0</v>
      </c>
      <c r="M93" s="132" t="n">
        <v>0</v>
      </c>
      <c r="N93" s="83" t="n">
        <v>0</v>
      </c>
      <c r="O93" s="91" t="n">
        <v>0</v>
      </c>
      <c r="P93" s="91" t="n">
        <v>0</v>
      </c>
      <c r="Q93" s="94" t="n"/>
      <c r="R93" s="94" t="n"/>
      <c r="S93" s="81" t="n">
        <v>0</v>
      </c>
      <c r="T93" s="81" t="n">
        <v>0</v>
      </c>
      <c r="U93" s="89" t="n">
        <v>0</v>
      </c>
      <c r="V93" s="83" t="n">
        <v>1</v>
      </c>
      <c r="W93" s="81" t="n">
        <v>0</v>
      </c>
      <c r="X93" s="81" t="n">
        <v>0</v>
      </c>
      <c r="Y93" s="81" t="n">
        <v>0</v>
      </c>
      <c r="Z93" s="81" t="n">
        <v>0</v>
      </c>
      <c r="AA93" s="81" t="n">
        <v>0</v>
      </c>
      <c r="AB93" s="81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1" t="n">
        <v>1</v>
      </c>
      <c r="D94" s="129" t="n">
        <v>1</v>
      </c>
      <c r="E94" s="130" t="n">
        <v>0</v>
      </c>
      <c r="F94" s="87" t="n">
        <v>0</v>
      </c>
      <c r="G94" s="89" t="n">
        <v>0</v>
      </c>
      <c r="H94" s="131" t="n">
        <v>0</v>
      </c>
      <c r="I94" s="132" t="n">
        <v>0</v>
      </c>
      <c r="J94" s="83" t="n">
        <v>0</v>
      </c>
      <c r="K94" s="89" t="n">
        <v>1</v>
      </c>
      <c r="L94" s="131" t="n">
        <v>1</v>
      </c>
      <c r="M94" s="132" t="n">
        <v>0</v>
      </c>
      <c r="N94" s="83" t="n">
        <v>0</v>
      </c>
      <c r="O94" s="91" t="n">
        <v>0</v>
      </c>
      <c r="P94" s="91" t="n">
        <v>0</v>
      </c>
      <c r="Q94" s="94" t="n"/>
      <c r="R94" s="94" t="n"/>
      <c r="S94" s="81" t="n">
        <v>0</v>
      </c>
      <c r="T94" s="81" t="n">
        <v>0</v>
      </c>
      <c r="U94" s="89" t="n">
        <v>0</v>
      </c>
      <c r="V94" s="83" t="n">
        <v>0</v>
      </c>
      <c r="W94" s="81" t="n">
        <v>0</v>
      </c>
      <c r="X94" s="81" t="n">
        <v>0</v>
      </c>
      <c r="Y94" s="81" t="n">
        <v>0</v>
      </c>
      <c r="Z94" s="81" t="n">
        <v>0</v>
      </c>
      <c r="AA94" s="81" t="n">
        <v>0</v>
      </c>
      <c r="AB94" s="81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1" t="n">
        <v>1</v>
      </c>
      <c r="D95" s="129" t="n">
        <v>0</v>
      </c>
      <c r="E95" s="130" t="n">
        <v>1</v>
      </c>
      <c r="F95" s="87" t="n">
        <v>0</v>
      </c>
      <c r="G95" s="89" t="n">
        <v>1</v>
      </c>
      <c r="H95" s="131" t="n">
        <v>0</v>
      </c>
      <c r="I95" s="132" t="n">
        <v>1</v>
      </c>
      <c r="J95" s="83" t="n">
        <v>0</v>
      </c>
      <c r="K95" s="89" t="n">
        <v>0</v>
      </c>
      <c r="L95" s="131" t="n">
        <v>0</v>
      </c>
      <c r="M95" s="132" t="n">
        <v>0</v>
      </c>
      <c r="N95" s="83" t="n">
        <v>0</v>
      </c>
      <c r="O95" s="91" t="n">
        <v>0</v>
      </c>
      <c r="P95" s="91" t="n">
        <v>0</v>
      </c>
      <c r="Q95" s="78" t="n"/>
      <c r="R95" s="94" t="n"/>
      <c r="S95" s="81" t="n">
        <v>0</v>
      </c>
      <c r="T95" s="81" t="n">
        <v>0</v>
      </c>
      <c r="U95" s="89" t="n">
        <v>0</v>
      </c>
      <c r="V95" s="83" t="n">
        <v>1</v>
      </c>
      <c r="W95" s="81" t="n">
        <v>0</v>
      </c>
      <c r="X95" s="81" t="n">
        <v>0</v>
      </c>
      <c r="Y95" s="81" t="n">
        <v>0</v>
      </c>
      <c r="Z95" s="81" t="n">
        <v>0</v>
      </c>
      <c r="AA95" s="81" t="n">
        <v>0</v>
      </c>
      <c r="AB95" s="81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1" t="n">
        <v>1</v>
      </c>
      <c r="D96" s="129" t="n">
        <v>0</v>
      </c>
      <c r="E96" s="130" t="n">
        <v>1</v>
      </c>
      <c r="F96" s="87" t="n">
        <v>0</v>
      </c>
      <c r="G96" s="89" t="n">
        <v>1</v>
      </c>
      <c r="H96" s="131" t="n">
        <v>0</v>
      </c>
      <c r="I96" s="132" t="n">
        <v>1</v>
      </c>
      <c r="J96" s="83" t="n">
        <v>0</v>
      </c>
      <c r="K96" s="89" t="n">
        <v>0</v>
      </c>
      <c r="L96" s="131" t="n">
        <v>0</v>
      </c>
      <c r="M96" s="132" t="n">
        <v>0</v>
      </c>
      <c r="N96" s="83" t="n">
        <v>0</v>
      </c>
      <c r="O96" s="91" t="n">
        <v>0</v>
      </c>
      <c r="P96" s="91" t="n">
        <v>0</v>
      </c>
      <c r="Q96" s="78" t="n"/>
      <c r="R96" s="94" t="n"/>
      <c r="S96" s="81" t="n">
        <v>0</v>
      </c>
      <c r="T96" s="81" t="n">
        <v>0</v>
      </c>
      <c r="U96" s="89" t="n">
        <v>0</v>
      </c>
      <c r="V96" s="83" t="n">
        <v>1</v>
      </c>
      <c r="W96" s="81" t="n">
        <v>0</v>
      </c>
      <c r="X96" s="81" t="n">
        <v>0</v>
      </c>
      <c r="Y96" s="81" t="n">
        <v>0</v>
      </c>
      <c r="Z96" s="81" t="n">
        <v>0</v>
      </c>
      <c r="AA96" s="81" t="n">
        <v>0</v>
      </c>
      <c r="AB96" s="81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-0.005111909943335211</v>
      </c>
      <c r="AH96" s="607" t="n">
        <v>-0.005111909943335211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1" t="n">
        <v>1</v>
      </c>
      <c r="D97" s="129" t="n">
        <v>1</v>
      </c>
      <c r="E97" s="130" t="n">
        <v>0</v>
      </c>
      <c r="F97" s="87" t="n">
        <v>0</v>
      </c>
      <c r="G97" s="89" t="n">
        <v>1</v>
      </c>
      <c r="H97" s="131" t="n">
        <v>1</v>
      </c>
      <c r="I97" s="132" t="n">
        <v>0</v>
      </c>
      <c r="J97" s="83" t="n">
        <v>0</v>
      </c>
      <c r="K97" s="89" t="n">
        <v>0</v>
      </c>
      <c r="L97" s="131" t="n">
        <v>0</v>
      </c>
      <c r="M97" s="132" t="n">
        <v>0</v>
      </c>
      <c r="N97" s="83" t="n">
        <v>0</v>
      </c>
      <c r="O97" s="91" t="n">
        <v>0</v>
      </c>
      <c r="P97" s="91" t="n">
        <v>0</v>
      </c>
      <c r="Q97" s="94" t="n"/>
      <c r="R97" s="94" t="n"/>
      <c r="S97" s="81" t="n">
        <v>0</v>
      </c>
      <c r="T97" s="81" t="n">
        <v>0</v>
      </c>
      <c r="U97" s="89" t="n">
        <v>0</v>
      </c>
      <c r="V97" s="83" t="n">
        <v>1</v>
      </c>
      <c r="W97" s="81" t="n">
        <v>0</v>
      </c>
      <c r="X97" s="81" t="n">
        <v>0</v>
      </c>
      <c r="Y97" s="81" t="n">
        <v>0</v>
      </c>
      <c r="Z97" s="81" t="n">
        <v>0</v>
      </c>
      <c r="AA97" s="81" t="n">
        <v>0</v>
      </c>
      <c r="AB97" s="81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1" t="n">
        <v>1</v>
      </c>
      <c r="D98" s="129" t="n">
        <v>0</v>
      </c>
      <c r="E98" s="130" t="n">
        <v>1</v>
      </c>
      <c r="F98" s="87" t="n">
        <v>0</v>
      </c>
      <c r="G98" s="89" t="n">
        <v>1</v>
      </c>
      <c r="H98" s="131" t="n">
        <v>0</v>
      </c>
      <c r="I98" s="132" t="n">
        <v>1</v>
      </c>
      <c r="J98" s="83" t="n">
        <v>0</v>
      </c>
      <c r="K98" s="89" t="n">
        <v>0</v>
      </c>
      <c r="L98" s="131" t="n">
        <v>0</v>
      </c>
      <c r="M98" s="132" t="n">
        <v>0</v>
      </c>
      <c r="N98" s="83" t="n">
        <v>0</v>
      </c>
      <c r="O98" s="91" t="n">
        <v>0</v>
      </c>
      <c r="P98" s="91" t="n">
        <v>0</v>
      </c>
      <c r="Q98" s="94" t="n"/>
      <c r="R98" s="94" t="n"/>
      <c r="S98" s="81" t="n">
        <v>0</v>
      </c>
      <c r="T98" s="81" t="n">
        <v>0</v>
      </c>
      <c r="U98" s="89" t="n">
        <v>0</v>
      </c>
      <c r="V98" s="83" t="n">
        <v>1</v>
      </c>
      <c r="W98" s="81" t="n">
        <v>0</v>
      </c>
      <c r="X98" s="81" t="n">
        <v>1</v>
      </c>
      <c r="Y98" s="81" t="n">
        <v>0</v>
      </c>
      <c r="Z98" s="81" t="n">
        <v>0</v>
      </c>
      <c r="AA98" s="81" t="n">
        <v>0</v>
      </c>
      <c r="AB98" s="81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1" t="n">
        <v>1</v>
      </c>
      <c r="D99" s="129" t="n">
        <v>0</v>
      </c>
      <c r="E99" s="130" t="n">
        <v>1</v>
      </c>
      <c r="F99" s="87" t="n">
        <v>0</v>
      </c>
      <c r="G99" s="89" t="n">
        <v>1</v>
      </c>
      <c r="H99" s="131" t="n">
        <v>0</v>
      </c>
      <c r="I99" s="132" t="n">
        <v>1</v>
      </c>
      <c r="J99" s="83" t="n">
        <v>0</v>
      </c>
      <c r="K99" s="89" t="n">
        <v>0</v>
      </c>
      <c r="L99" s="131" t="n">
        <v>0</v>
      </c>
      <c r="M99" s="132" t="n">
        <v>0</v>
      </c>
      <c r="N99" s="83" t="n">
        <v>0</v>
      </c>
      <c r="O99" s="91" t="n">
        <v>0</v>
      </c>
      <c r="P99" s="91" t="n">
        <v>0</v>
      </c>
      <c r="Q99" s="94" t="n"/>
      <c r="R99" s="94" t="n"/>
      <c r="S99" s="81" t="n">
        <v>0</v>
      </c>
      <c r="T99" s="81" t="n">
        <v>0</v>
      </c>
      <c r="U99" s="89" t="n">
        <v>1</v>
      </c>
      <c r="V99" s="83" t="n">
        <v>0</v>
      </c>
      <c r="W99" s="81" t="n">
        <v>0</v>
      </c>
      <c r="X99" s="81" t="n">
        <v>0</v>
      </c>
      <c r="Y99" s="81" t="n">
        <v>0</v>
      </c>
      <c r="Z99" s="81" t="n">
        <v>0</v>
      </c>
      <c r="AA99" s="81" t="n">
        <v>0</v>
      </c>
      <c r="AB99" s="81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1" t="n">
        <v>1</v>
      </c>
      <c r="D100" s="129" t="n">
        <v>1</v>
      </c>
      <c r="E100" s="130" t="n">
        <v>0</v>
      </c>
      <c r="F100" s="87" t="n">
        <v>0</v>
      </c>
      <c r="G100" s="89" t="n">
        <v>1</v>
      </c>
      <c r="H100" s="131" t="n">
        <v>1</v>
      </c>
      <c r="I100" s="132" t="n">
        <v>0</v>
      </c>
      <c r="J100" s="83" t="n">
        <v>0</v>
      </c>
      <c r="K100" s="89" t="n">
        <v>0</v>
      </c>
      <c r="L100" s="131" t="n">
        <v>0</v>
      </c>
      <c r="M100" s="132" t="n">
        <v>0</v>
      </c>
      <c r="N100" s="83" t="n">
        <v>0</v>
      </c>
      <c r="O100" s="91" t="n">
        <v>1</v>
      </c>
      <c r="P100" s="91" t="n">
        <v>0</v>
      </c>
      <c r="Q100" s="94" t="n"/>
      <c r="R100" s="94" t="n"/>
      <c r="S100" s="81" t="n">
        <v>0</v>
      </c>
      <c r="T100" s="81" t="n">
        <v>0</v>
      </c>
      <c r="U100" s="89" t="n">
        <v>0</v>
      </c>
      <c r="V100" s="83" t="n">
        <v>1</v>
      </c>
      <c r="W100" s="81" t="n">
        <v>0</v>
      </c>
      <c r="X100" s="81" t="n">
        <v>0</v>
      </c>
      <c r="Y100" s="81" t="n">
        <v>0</v>
      </c>
      <c r="Z100" s="81" t="n">
        <v>0</v>
      </c>
      <c r="AA100" s="81" t="n">
        <v>0</v>
      </c>
      <c r="AB100" s="81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1" t="n">
        <v>1</v>
      </c>
      <c r="D101" s="129" t="n">
        <v>0</v>
      </c>
      <c r="E101" s="130" t="n">
        <v>1</v>
      </c>
      <c r="F101" s="87" t="n">
        <v>0</v>
      </c>
      <c r="G101" s="89" t="n">
        <v>1</v>
      </c>
      <c r="H101" s="131" t="n">
        <v>0</v>
      </c>
      <c r="I101" s="132" t="n">
        <v>1</v>
      </c>
      <c r="J101" s="83" t="n">
        <v>0</v>
      </c>
      <c r="K101" s="89" t="n">
        <v>0</v>
      </c>
      <c r="L101" s="131" t="n">
        <v>0</v>
      </c>
      <c r="M101" s="132" t="n">
        <v>0</v>
      </c>
      <c r="N101" s="83" t="n">
        <v>0</v>
      </c>
      <c r="O101" s="91" t="n">
        <v>0</v>
      </c>
      <c r="P101" s="91" t="n">
        <v>0</v>
      </c>
      <c r="Q101" s="94" t="n"/>
      <c r="R101" s="94" t="n"/>
      <c r="S101" s="81" t="n">
        <v>0</v>
      </c>
      <c r="T101" s="81" t="n">
        <v>0</v>
      </c>
      <c r="U101" s="89" t="n">
        <v>0</v>
      </c>
      <c r="V101" s="83" t="n">
        <v>0</v>
      </c>
      <c r="W101" s="81" t="n">
        <v>0</v>
      </c>
      <c r="X101" s="81" t="n">
        <v>0</v>
      </c>
      <c r="Y101" s="81" t="n">
        <v>0</v>
      </c>
      <c r="Z101" s="81" t="n">
        <v>0</v>
      </c>
      <c r="AA101" s="81" t="n">
        <v>0</v>
      </c>
      <c r="AB101" s="81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1" t="n">
        <v>1</v>
      </c>
      <c r="D102" s="129" t="n">
        <v>0</v>
      </c>
      <c r="E102" s="130" t="n">
        <v>1</v>
      </c>
      <c r="F102" s="87" t="n">
        <v>0</v>
      </c>
      <c r="G102" s="89" t="n">
        <v>1</v>
      </c>
      <c r="H102" s="131" t="n">
        <v>0</v>
      </c>
      <c r="I102" s="132" t="n">
        <v>1</v>
      </c>
      <c r="J102" s="83" t="n">
        <v>0</v>
      </c>
      <c r="K102" s="89" t="n">
        <v>0</v>
      </c>
      <c r="L102" s="131" t="n">
        <v>0</v>
      </c>
      <c r="M102" s="132" t="n">
        <v>0</v>
      </c>
      <c r="N102" s="83" t="n">
        <v>0</v>
      </c>
      <c r="O102" s="91" t="n">
        <v>0</v>
      </c>
      <c r="P102" s="91" t="n">
        <v>0</v>
      </c>
      <c r="Q102" s="94" t="n"/>
      <c r="R102" s="94" t="n"/>
      <c r="S102" s="81" t="n">
        <v>0</v>
      </c>
      <c r="T102" s="81" t="n">
        <v>0</v>
      </c>
      <c r="U102" s="89" t="n">
        <v>0</v>
      </c>
      <c r="V102" s="83" t="n">
        <v>0</v>
      </c>
      <c r="W102" s="81" t="n">
        <v>0</v>
      </c>
      <c r="X102" s="81" t="n">
        <v>0</v>
      </c>
      <c r="Y102" s="81" t="n">
        <v>0</v>
      </c>
      <c r="Z102" s="81" t="n">
        <v>0</v>
      </c>
      <c r="AA102" s="81" t="n">
        <v>0</v>
      </c>
      <c r="AB102" s="81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1" t="n">
        <v>1</v>
      </c>
      <c r="D103" s="129" t="n">
        <v>0</v>
      </c>
      <c r="E103" s="130" t="n">
        <v>1</v>
      </c>
      <c r="F103" s="87" t="n">
        <v>0</v>
      </c>
      <c r="G103" s="89" t="n">
        <v>0</v>
      </c>
      <c r="H103" s="131" t="n">
        <v>0</v>
      </c>
      <c r="I103" s="132" t="n">
        <v>0</v>
      </c>
      <c r="J103" s="83" t="n">
        <v>0</v>
      </c>
      <c r="K103" s="89" t="n">
        <v>1</v>
      </c>
      <c r="L103" s="131" t="n">
        <v>0</v>
      </c>
      <c r="M103" s="132" t="n">
        <v>1</v>
      </c>
      <c r="N103" s="83" t="n">
        <v>0</v>
      </c>
      <c r="O103" s="91" t="n">
        <v>0</v>
      </c>
      <c r="P103" s="91" t="n">
        <v>0</v>
      </c>
      <c r="Q103" s="78" t="inlineStr">
        <is>
          <t>channel</t>
        </is>
      </c>
      <c r="R103" s="94" t="n"/>
      <c r="S103" s="81" t="n">
        <v>0</v>
      </c>
      <c r="T103" s="81" t="n">
        <v>0</v>
      </c>
      <c r="U103" s="89" t="n">
        <v>1</v>
      </c>
      <c r="V103" s="83" t="n">
        <v>0</v>
      </c>
      <c r="W103" s="81" t="n">
        <v>0</v>
      </c>
      <c r="X103" s="81" t="n">
        <v>0</v>
      </c>
      <c r="Y103" s="81" t="n">
        <v>0</v>
      </c>
      <c r="Z103" s="81" t="n">
        <v>0</v>
      </c>
      <c r="AA103" s="81" t="n">
        <v>0</v>
      </c>
      <c r="AB103" s="81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1" t="n">
        <v>1</v>
      </c>
      <c r="D104" s="129" t="n">
        <v>0</v>
      </c>
      <c r="E104" s="130" t="n">
        <v>1</v>
      </c>
      <c r="F104" s="87" t="n">
        <v>0</v>
      </c>
      <c r="G104" s="89" t="n">
        <v>1</v>
      </c>
      <c r="H104" s="131" t="n">
        <v>0</v>
      </c>
      <c r="I104" s="132" t="n">
        <v>1</v>
      </c>
      <c r="J104" s="83" t="n">
        <v>0</v>
      </c>
      <c r="K104" s="89" t="n">
        <v>0</v>
      </c>
      <c r="L104" s="131" t="n">
        <v>0</v>
      </c>
      <c r="M104" s="132" t="n">
        <v>0</v>
      </c>
      <c r="N104" s="83" t="n">
        <v>0</v>
      </c>
      <c r="O104" s="91" t="n">
        <v>0</v>
      </c>
      <c r="P104" s="91" t="n">
        <v>0</v>
      </c>
      <c r="Q104" s="78" t="inlineStr">
        <is>
          <t>channel</t>
        </is>
      </c>
      <c r="R104" s="94" t="n"/>
      <c r="S104" s="81" t="n">
        <v>0</v>
      </c>
      <c r="T104" s="81" t="n">
        <v>0</v>
      </c>
      <c r="U104" s="89" t="n">
        <v>1</v>
      </c>
      <c r="V104" s="83" t="n">
        <v>0</v>
      </c>
      <c r="W104" s="81" t="n">
        <v>0</v>
      </c>
      <c r="X104" s="81" t="n">
        <v>0</v>
      </c>
      <c r="Y104" s="81" t="n">
        <v>0</v>
      </c>
      <c r="Z104" s="81" t="n">
        <v>0</v>
      </c>
      <c r="AA104" s="81" t="n">
        <v>1</v>
      </c>
      <c r="AB104" s="81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1" t="n">
        <v>1</v>
      </c>
      <c r="D105" s="129" t="n">
        <v>0</v>
      </c>
      <c r="E105" s="130" t="n">
        <v>1</v>
      </c>
      <c r="F105" s="87" t="n">
        <v>0</v>
      </c>
      <c r="G105" s="89" t="n">
        <v>1</v>
      </c>
      <c r="H105" s="131" t="n">
        <v>0</v>
      </c>
      <c r="I105" s="132" t="n">
        <v>1</v>
      </c>
      <c r="J105" s="83" t="n">
        <v>0</v>
      </c>
      <c r="K105" s="89" t="n">
        <v>0</v>
      </c>
      <c r="L105" s="131" t="n">
        <v>0</v>
      </c>
      <c r="M105" s="132" t="n">
        <v>0</v>
      </c>
      <c r="N105" s="83" t="n">
        <v>0</v>
      </c>
      <c r="O105" s="91" t="n">
        <v>0</v>
      </c>
      <c r="P105" s="91" t="n">
        <v>0</v>
      </c>
      <c r="Q105" s="78" t="n"/>
      <c r="R105" s="94" t="n"/>
      <c r="S105" s="81" t="n">
        <v>0</v>
      </c>
      <c r="T105" s="81" t="n">
        <v>0</v>
      </c>
      <c r="U105" s="89" t="n">
        <v>0</v>
      </c>
      <c r="V105" s="83" t="n">
        <v>1</v>
      </c>
      <c r="W105" s="81" t="n">
        <v>0</v>
      </c>
      <c r="X105" s="81" t="n">
        <v>0</v>
      </c>
      <c r="Y105" s="81" t="n">
        <v>0</v>
      </c>
      <c r="Z105" s="81" t="n">
        <v>0</v>
      </c>
      <c r="AA105" s="81" t="n">
        <v>0</v>
      </c>
      <c r="AB105" s="81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1" t="n">
        <v>1</v>
      </c>
      <c r="D106" s="129" t="n">
        <v>0</v>
      </c>
      <c r="E106" s="130" t="n">
        <v>1</v>
      </c>
      <c r="F106" s="87" t="n">
        <v>0</v>
      </c>
      <c r="G106" s="89" t="n">
        <v>1</v>
      </c>
      <c r="H106" s="131" t="n">
        <v>0</v>
      </c>
      <c r="I106" s="132" t="n">
        <v>1</v>
      </c>
      <c r="J106" s="83" t="n">
        <v>0</v>
      </c>
      <c r="K106" s="89" t="n">
        <v>0</v>
      </c>
      <c r="L106" s="131" t="n">
        <v>0</v>
      </c>
      <c r="M106" s="132" t="n">
        <v>0</v>
      </c>
      <c r="N106" s="83" t="n">
        <v>0</v>
      </c>
      <c r="O106" s="91" t="n">
        <v>0</v>
      </c>
      <c r="P106" s="91" t="n">
        <v>0</v>
      </c>
      <c r="Q106" s="78" t="n"/>
      <c r="R106" s="94" t="n"/>
      <c r="S106" s="81" t="n">
        <v>0</v>
      </c>
      <c r="T106" s="81" t="n">
        <v>0</v>
      </c>
      <c r="U106" s="89" t="n">
        <v>0</v>
      </c>
      <c r="V106" s="83" t="n">
        <v>1</v>
      </c>
      <c r="W106" s="81" t="n">
        <v>0</v>
      </c>
      <c r="X106" s="81" t="n">
        <v>0</v>
      </c>
      <c r="Y106" s="81" t="n">
        <v>0</v>
      </c>
      <c r="Z106" s="81" t="n">
        <v>0</v>
      </c>
      <c r="AA106" s="81" t="n">
        <v>0</v>
      </c>
      <c r="AB106" s="81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1" t="n">
        <v>1</v>
      </c>
      <c r="D107" s="129" t="n">
        <v>0</v>
      </c>
      <c r="E107" s="130" t="n">
        <v>1</v>
      </c>
      <c r="F107" s="87" t="n">
        <v>0</v>
      </c>
      <c r="G107" s="89" t="n">
        <v>1</v>
      </c>
      <c r="H107" s="131" t="n">
        <v>0</v>
      </c>
      <c r="I107" s="132" t="n">
        <v>1</v>
      </c>
      <c r="J107" s="83" t="n">
        <v>0</v>
      </c>
      <c r="K107" s="89" t="n">
        <v>0</v>
      </c>
      <c r="L107" s="131" t="n">
        <v>0</v>
      </c>
      <c r="M107" s="132" t="n">
        <v>0</v>
      </c>
      <c r="N107" s="83" t="n">
        <v>0</v>
      </c>
      <c r="O107" s="91" t="n">
        <v>0</v>
      </c>
      <c r="P107" s="91" t="n">
        <v>0</v>
      </c>
      <c r="Q107" s="78" t="n"/>
      <c r="R107" s="78" t="n"/>
      <c r="S107" s="81" t="n">
        <v>0</v>
      </c>
      <c r="T107" s="81" t="n">
        <v>0</v>
      </c>
      <c r="U107" s="89" t="n">
        <v>0</v>
      </c>
      <c r="V107" s="83" t="n">
        <v>1</v>
      </c>
      <c r="W107" s="81" t="n">
        <v>0</v>
      </c>
      <c r="X107" s="81" t="n">
        <v>0</v>
      </c>
      <c r="Y107" s="81" t="n">
        <v>0</v>
      </c>
      <c r="Z107" s="81" t="n">
        <v>0</v>
      </c>
      <c r="AA107" s="81" t="n">
        <v>0</v>
      </c>
      <c r="AB107" s="81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1" t="n">
        <v>1</v>
      </c>
      <c r="D108" s="129" t="n">
        <v>1</v>
      </c>
      <c r="E108" s="130" t="n">
        <v>0</v>
      </c>
      <c r="F108" s="87" t="n">
        <v>0</v>
      </c>
      <c r="G108" s="89" t="n">
        <v>1</v>
      </c>
      <c r="H108" s="131" t="n">
        <v>1</v>
      </c>
      <c r="I108" s="132" t="n">
        <v>0</v>
      </c>
      <c r="J108" s="83" t="n">
        <v>0</v>
      </c>
      <c r="K108" s="89" t="n">
        <v>0</v>
      </c>
      <c r="L108" s="131" t="n">
        <v>0</v>
      </c>
      <c r="M108" s="132" t="n">
        <v>0</v>
      </c>
      <c r="N108" s="83" t="n">
        <v>0</v>
      </c>
      <c r="O108" s="91" t="n">
        <v>1</v>
      </c>
      <c r="P108" s="91" t="n">
        <v>0</v>
      </c>
      <c r="Q108" s="78" t="n"/>
      <c r="R108" s="78" t="n"/>
      <c r="S108" s="81" t="n">
        <v>0</v>
      </c>
      <c r="T108" s="81" t="n">
        <v>0</v>
      </c>
      <c r="U108" s="89" t="n">
        <v>0</v>
      </c>
      <c r="V108" s="83" t="n">
        <v>1</v>
      </c>
      <c r="W108" s="81" t="n">
        <v>0</v>
      </c>
      <c r="X108" s="81" t="n">
        <v>0</v>
      </c>
      <c r="Y108" s="81" t="n">
        <v>0</v>
      </c>
      <c r="Z108" s="81" t="n">
        <v>0</v>
      </c>
      <c r="AA108" s="81" t="n">
        <v>0</v>
      </c>
      <c r="AB108" s="81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1" t="n">
        <v>1</v>
      </c>
      <c r="D109" s="129" t="n">
        <v>0</v>
      </c>
      <c r="E109" s="130" t="n">
        <v>1</v>
      </c>
      <c r="F109" s="87" t="n">
        <v>0</v>
      </c>
      <c r="G109" s="89" t="n">
        <v>1</v>
      </c>
      <c r="H109" s="131" t="n">
        <v>0</v>
      </c>
      <c r="I109" s="132" t="n">
        <v>1</v>
      </c>
      <c r="J109" s="83" t="n">
        <v>0</v>
      </c>
      <c r="K109" s="89" t="n">
        <v>0</v>
      </c>
      <c r="L109" s="131" t="n">
        <v>0</v>
      </c>
      <c r="M109" s="132" t="n">
        <v>0</v>
      </c>
      <c r="N109" s="83" t="n">
        <v>0</v>
      </c>
      <c r="O109" s="91" t="n">
        <v>0</v>
      </c>
      <c r="P109" s="91" t="n">
        <v>0</v>
      </c>
      <c r="Q109" s="78" t="n"/>
      <c r="R109" s="94" t="n"/>
      <c r="S109" s="81" t="n">
        <v>0</v>
      </c>
      <c r="T109" s="81" t="n">
        <v>0</v>
      </c>
      <c r="U109" s="89" t="n">
        <v>0</v>
      </c>
      <c r="V109" s="83" t="n">
        <v>0</v>
      </c>
      <c r="W109" s="81" t="n">
        <v>0</v>
      </c>
      <c r="X109" s="81" t="n">
        <v>0</v>
      </c>
      <c r="Y109" s="81" t="n">
        <v>0</v>
      </c>
      <c r="Z109" s="81" t="n">
        <v>0</v>
      </c>
      <c r="AA109" s="81" t="n">
        <v>0</v>
      </c>
      <c r="AB109" s="81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1" t="n">
        <v>1</v>
      </c>
      <c r="D110" s="129" t="n">
        <v>1</v>
      </c>
      <c r="E110" s="130" t="n">
        <v>0</v>
      </c>
      <c r="F110" s="87" t="n">
        <v>0</v>
      </c>
      <c r="G110" s="89" t="n">
        <v>1</v>
      </c>
      <c r="H110" s="131" t="n">
        <v>1</v>
      </c>
      <c r="I110" s="132" t="n">
        <v>0</v>
      </c>
      <c r="J110" s="83" t="n">
        <v>0</v>
      </c>
      <c r="K110" s="89" t="n">
        <v>0</v>
      </c>
      <c r="L110" s="131" t="n">
        <v>0</v>
      </c>
      <c r="M110" s="132" t="n">
        <v>0</v>
      </c>
      <c r="N110" s="83" t="n">
        <v>0</v>
      </c>
      <c r="O110" s="91" t="n">
        <v>0</v>
      </c>
      <c r="P110" s="91" t="n">
        <v>0</v>
      </c>
      <c r="Q110" s="78" t="n"/>
      <c r="R110" s="94" t="n"/>
      <c r="S110" s="81" t="n">
        <v>0</v>
      </c>
      <c r="T110" s="81" t="n">
        <v>0</v>
      </c>
      <c r="U110" s="89" t="n">
        <v>0</v>
      </c>
      <c r="V110" s="83" t="n">
        <v>0</v>
      </c>
      <c r="W110" s="81" t="n">
        <v>0</v>
      </c>
      <c r="X110" s="81" t="n">
        <v>0</v>
      </c>
      <c r="Y110" s="81" t="n">
        <v>0</v>
      </c>
      <c r="Z110" s="81" t="n">
        <v>0</v>
      </c>
      <c r="AA110" s="81" t="n">
        <v>0</v>
      </c>
      <c r="AB110" s="81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1" t="n">
        <v>1</v>
      </c>
      <c r="D111" s="129" t="n">
        <v>0</v>
      </c>
      <c r="E111" s="130" t="n">
        <v>1</v>
      </c>
      <c r="F111" s="87" t="n">
        <v>0</v>
      </c>
      <c r="G111" s="89" t="n">
        <v>1</v>
      </c>
      <c r="H111" s="131" t="n">
        <v>0</v>
      </c>
      <c r="I111" s="132" t="n">
        <v>1</v>
      </c>
      <c r="J111" s="83" t="n">
        <v>0</v>
      </c>
      <c r="K111" s="89" t="n">
        <v>0</v>
      </c>
      <c r="L111" s="131" t="n">
        <v>0</v>
      </c>
      <c r="M111" s="132" t="n">
        <v>0</v>
      </c>
      <c r="N111" s="83" t="n">
        <v>0</v>
      </c>
      <c r="O111" s="91" t="n">
        <v>0</v>
      </c>
      <c r="P111" s="91" t="n">
        <v>0</v>
      </c>
      <c r="Q111" s="94" t="n"/>
      <c r="R111" s="94" t="n"/>
      <c r="S111" s="81" t="n">
        <v>0</v>
      </c>
      <c r="T111" s="81" t="n">
        <v>0</v>
      </c>
      <c r="U111" s="89" t="n">
        <v>0</v>
      </c>
      <c r="V111" s="83" t="n">
        <v>1</v>
      </c>
      <c r="W111" s="81" t="n">
        <v>0</v>
      </c>
      <c r="X111" s="81" t="n">
        <v>0</v>
      </c>
      <c r="Y111" s="81" t="n">
        <v>0</v>
      </c>
      <c r="Z111" s="81" t="n">
        <v>0</v>
      </c>
      <c r="AA111" s="81" t="n">
        <v>0</v>
      </c>
      <c r="AB111" s="81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1" t="n">
        <v>1</v>
      </c>
      <c r="D112" s="129" t="n">
        <v>0</v>
      </c>
      <c r="E112" s="130" t="n">
        <v>1</v>
      </c>
      <c r="F112" s="87" t="n">
        <v>0</v>
      </c>
      <c r="G112" s="89" t="n">
        <v>1</v>
      </c>
      <c r="H112" s="131" t="n">
        <v>0</v>
      </c>
      <c r="I112" s="132" t="n">
        <v>1</v>
      </c>
      <c r="J112" s="83" t="n">
        <v>0</v>
      </c>
      <c r="K112" s="89" t="n">
        <v>0</v>
      </c>
      <c r="L112" s="131" t="n">
        <v>0</v>
      </c>
      <c r="M112" s="132" t="n">
        <v>0</v>
      </c>
      <c r="N112" s="83" t="n">
        <v>0</v>
      </c>
      <c r="O112" s="91" t="n">
        <v>0</v>
      </c>
      <c r="P112" s="91" t="n">
        <v>0</v>
      </c>
      <c r="Q112" s="94" t="n"/>
      <c r="R112" s="94" t="n"/>
      <c r="S112" s="81" t="n">
        <v>0</v>
      </c>
      <c r="T112" s="81" t="n">
        <v>0</v>
      </c>
      <c r="U112" s="89" t="n">
        <v>0</v>
      </c>
      <c r="V112" s="83" t="n">
        <v>1</v>
      </c>
      <c r="W112" s="81" t="n">
        <v>0</v>
      </c>
      <c r="X112" s="81" t="n">
        <v>1</v>
      </c>
      <c r="Y112" s="81" t="n">
        <v>0</v>
      </c>
      <c r="Z112" s="81" t="n">
        <v>0</v>
      </c>
      <c r="AA112" s="81" t="n">
        <v>0</v>
      </c>
      <c r="AB112" s="81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1" t="n">
        <v>1</v>
      </c>
      <c r="D113" s="129" t="n">
        <v>0</v>
      </c>
      <c r="E113" s="130" t="n">
        <v>1</v>
      </c>
      <c r="F113" s="87" t="n">
        <v>0</v>
      </c>
      <c r="G113" s="89" t="n">
        <v>1</v>
      </c>
      <c r="H113" s="131" t="n">
        <v>0</v>
      </c>
      <c r="I113" s="132" t="n">
        <v>1</v>
      </c>
      <c r="J113" s="83" t="n">
        <v>0</v>
      </c>
      <c r="K113" s="89" t="n">
        <v>0</v>
      </c>
      <c r="L113" s="131" t="n">
        <v>0</v>
      </c>
      <c r="M113" s="132" t="n">
        <v>0</v>
      </c>
      <c r="N113" s="83" t="n">
        <v>0</v>
      </c>
      <c r="O113" s="91" t="n">
        <v>0</v>
      </c>
      <c r="P113" s="91" t="n">
        <v>0</v>
      </c>
      <c r="Q113" s="78" t="inlineStr">
        <is>
          <t>channel</t>
        </is>
      </c>
      <c r="R113" s="94" t="n"/>
      <c r="S113" s="81" t="n">
        <v>0</v>
      </c>
      <c r="T113" s="81" t="n">
        <v>0</v>
      </c>
      <c r="U113" s="89" t="n">
        <v>1</v>
      </c>
      <c r="V113" s="83" t="n">
        <v>0</v>
      </c>
      <c r="W113" s="81" t="n">
        <v>0</v>
      </c>
      <c r="X113" s="81" t="n">
        <v>0</v>
      </c>
      <c r="Y113" s="81" t="n">
        <v>0</v>
      </c>
      <c r="Z113" s="81" t="n">
        <v>0</v>
      </c>
      <c r="AA113" s="81" t="n">
        <v>0</v>
      </c>
      <c r="AB113" s="81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1" t="n">
        <v>1</v>
      </c>
      <c r="D114" s="129" t="n">
        <v>0</v>
      </c>
      <c r="E114" s="130" t="n">
        <v>1</v>
      </c>
      <c r="F114" s="87" t="n">
        <v>0</v>
      </c>
      <c r="G114" s="89" t="n">
        <v>1</v>
      </c>
      <c r="H114" s="131" t="n">
        <v>0</v>
      </c>
      <c r="I114" s="132" t="n">
        <v>1</v>
      </c>
      <c r="J114" s="83" t="n">
        <v>0</v>
      </c>
      <c r="K114" s="89" t="n">
        <v>0</v>
      </c>
      <c r="L114" s="131" t="n">
        <v>0</v>
      </c>
      <c r="M114" s="132" t="n">
        <v>0</v>
      </c>
      <c r="N114" s="83" t="n">
        <v>0</v>
      </c>
      <c r="O114" s="91" t="n">
        <v>0</v>
      </c>
      <c r="P114" s="91" t="n">
        <v>0</v>
      </c>
      <c r="Q114" s="94" t="n"/>
      <c r="R114" s="94" t="n"/>
      <c r="S114" s="81" t="n">
        <v>0</v>
      </c>
      <c r="T114" s="81" t="n">
        <v>0</v>
      </c>
      <c r="U114" s="89" t="n">
        <v>0</v>
      </c>
      <c r="V114" s="83" t="n">
        <v>1</v>
      </c>
      <c r="W114" s="81" t="n">
        <v>0</v>
      </c>
      <c r="X114" s="81" t="n">
        <v>0</v>
      </c>
      <c r="Y114" s="81" t="n">
        <v>0</v>
      </c>
      <c r="Z114" s="81" t="n">
        <v>0</v>
      </c>
      <c r="AA114" s="81" t="n">
        <v>0</v>
      </c>
      <c r="AB114" s="81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1" t="n">
        <v>1</v>
      </c>
      <c r="D115" s="129" t="n">
        <v>1</v>
      </c>
      <c r="E115" s="130" t="n">
        <v>0</v>
      </c>
      <c r="F115" s="87" t="n">
        <v>0</v>
      </c>
      <c r="G115" s="89" t="n">
        <v>0</v>
      </c>
      <c r="H115" s="131" t="n">
        <v>0</v>
      </c>
      <c r="I115" s="132" t="n">
        <v>0</v>
      </c>
      <c r="J115" s="83" t="n">
        <v>0</v>
      </c>
      <c r="K115" s="89" t="n">
        <v>1</v>
      </c>
      <c r="L115" s="131" t="n">
        <v>1</v>
      </c>
      <c r="M115" s="132" t="n">
        <v>0</v>
      </c>
      <c r="N115" s="83" t="n">
        <v>0</v>
      </c>
      <c r="O115" s="91" t="n">
        <v>0</v>
      </c>
      <c r="P115" s="91" t="n">
        <v>0</v>
      </c>
      <c r="Q115" s="78" t="n"/>
      <c r="R115" s="94" t="n"/>
      <c r="S115" s="81" t="n">
        <v>0</v>
      </c>
      <c r="T115" s="81" t="n">
        <v>0</v>
      </c>
      <c r="U115" s="89" t="n">
        <v>0</v>
      </c>
      <c r="V115" s="83" t="n">
        <v>0</v>
      </c>
      <c r="W115" s="81" t="n">
        <v>0</v>
      </c>
      <c r="X115" s="81" t="n">
        <v>0</v>
      </c>
      <c r="Y115" s="81" t="n">
        <v>0</v>
      </c>
      <c r="Z115" s="81" t="n">
        <v>0</v>
      </c>
      <c r="AA115" s="81" t="n">
        <v>0</v>
      </c>
      <c r="AB115" s="81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1" t="n">
        <v>1</v>
      </c>
      <c r="D116" s="129" t="n">
        <v>0</v>
      </c>
      <c r="E116" s="130" t="n">
        <v>1</v>
      </c>
      <c r="F116" s="87" t="n">
        <v>0</v>
      </c>
      <c r="G116" s="89" t="n">
        <v>0</v>
      </c>
      <c r="H116" s="131" t="n">
        <v>0</v>
      </c>
      <c r="I116" s="132" t="n">
        <v>0</v>
      </c>
      <c r="J116" s="83" t="n">
        <v>0</v>
      </c>
      <c r="K116" s="89" t="n">
        <v>1</v>
      </c>
      <c r="L116" s="131" t="n">
        <v>0</v>
      </c>
      <c r="M116" s="132" t="n">
        <v>1</v>
      </c>
      <c r="N116" s="83" t="n">
        <v>0</v>
      </c>
      <c r="O116" s="91" t="n">
        <v>0</v>
      </c>
      <c r="P116" s="91" t="n">
        <v>0</v>
      </c>
      <c r="Q116" s="78" t="n"/>
      <c r="R116" s="94" t="n"/>
      <c r="S116" s="81" t="n">
        <v>0</v>
      </c>
      <c r="T116" s="81" t="n">
        <v>0</v>
      </c>
      <c r="U116" s="89" t="n">
        <v>0</v>
      </c>
      <c r="V116" s="83" t="n">
        <v>0</v>
      </c>
      <c r="W116" s="81" t="n">
        <v>0</v>
      </c>
      <c r="X116" s="81" t="n">
        <v>0</v>
      </c>
      <c r="Y116" s="81" t="n">
        <v>0</v>
      </c>
      <c r="Z116" s="81" t="n">
        <v>0</v>
      </c>
      <c r="AA116" s="81" t="n">
        <v>0</v>
      </c>
      <c r="AB116" s="81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1" t="n">
        <v>1</v>
      </c>
      <c r="D117" s="129" t="n">
        <v>0</v>
      </c>
      <c r="E117" s="130" t="n">
        <v>1</v>
      </c>
      <c r="F117" s="87" t="n">
        <v>0</v>
      </c>
      <c r="G117" s="89" t="n">
        <v>1</v>
      </c>
      <c r="H117" s="131" t="n">
        <v>0</v>
      </c>
      <c r="I117" s="132" t="n">
        <v>1</v>
      </c>
      <c r="J117" s="83" t="n">
        <v>0</v>
      </c>
      <c r="K117" s="89" t="n">
        <v>0</v>
      </c>
      <c r="L117" s="131" t="n">
        <v>0</v>
      </c>
      <c r="M117" s="132" t="n">
        <v>0</v>
      </c>
      <c r="N117" s="83" t="n">
        <v>0</v>
      </c>
      <c r="O117" s="91" t="n">
        <v>0</v>
      </c>
      <c r="P117" s="91" t="n">
        <v>0</v>
      </c>
      <c r="Q117" s="78" t="n"/>
      <c r="R117" s="94" t="n"/>
      <c r="S117" s="81" t="n">
        <v>0</v>
      </c>
      <c r="T117" s="81" t="n">
        <v>0</v>
      </c>
      <c r="U117" s="89" t="n">
        <v>0</v>
      </c>
      <c r="V117" s="83" t="n">
        <v>1</v>
      </c>
      <c r="W117" s="81" t="n">
        <v>0</v>
      </c>
      <c r="X117" s="81" t="n">
        <v>0</v>
      </c>
      <c r="Y117" s="81" t="n">
        <v>0</v>
      </c>
      <c r="Z117" s="81" t="n">
        <v>0</v>
      </c>
      <c r="AA117" s="81" t="n">
        <v>0</v>
      </c>
      <c r="AB117" s="81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1" t="n">
        <v>1</v>
      </c>
      <c r="D118" s="129" t="n">
        <v>0</v>
      </c>
      <c r="E118" s="130" t="n">
        <v>1</v>
      </c>
      <c r="F118" s="87" t="n">
        <v>0</v>
      </c>
      <c r="G118" s="89" t="n">
        <v>1</v>
      </c>
      <c r="H118" s="131" t="n">
        <v>0</v>
      </c>
      <c r="I118" s="132" t="n">
        <v>1</v>
      </c>
      <c r="J118" s="83" t="n">
        <v>0</v>
      </c>
      <c r="K118" s="89" t="n">
        <v>0</v>
      </c>
      <c r="L118" s="131" t="n">
        <v>0</v>
      </c>
      <c r="M118" s="132" t="n">
        <v>0</v>
      </c>
      <c r="N118" s="83" t="n">
        <v>0</v>
      </c>
      <c r="O118" s="91" t="n">
        <v>0</v>
      </c>
      <c r="P118" s="91" t="n">
        <v>0</v>
      </c>
      <c r="Q118" s="78" t="inlineStr">
        <is>
          <t>channel</t>
        </is>
      </c>
      <c r="R118" s="94" t="n"/>
      <c r="S118" s="81" t="n">
        <v>0</v>
      </c>
      <c r="T118" s="81" t="n">
        <v>0</v>
      </c>
      <c r="U118" s="89" t="n">
        <v>1</v>
      </c>
      <c r="V118" s="83" t="n">
        <v>0</v>
      </c>
      <c r="W118" s="81" t="n">
        <v>0</v>
      </c>
      <c r="X118" s="81" t="n">
        <v>1</v>
      </c>
      <c r="Y118" s="81" t="n">
        <v>0</v>
      </c>
      <c r="Z118" s="81" t="n">
        <v>0</v>
      </c>
      <c r="AA118" s="81" t="n">
        <v>0</v>
      </c>
      <c r="AB118" s="81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1" t="n">
        <v>1</v>
      </c>
      <c r="D119" s="129" t="n">
        <v>0</v>
      </c>
      <c r="E119" s="130" t="n">
        <v>1</v>
      </c>
      <c r="F119" s="87" t="n">
        <v>0</v>
      </c>
      <c r="G119" s="89" t="n">
        <v>0</v>
      </c>
      <c r="H119" s="131" t="n">
        <v>0</v>
      </c>
      <c r="I119" s="132" t="n">
        <v>0</v>
      </c>
      <c r="J119" s="83" t="n">
        <v>0</v>
      </c>
      <c r="K119" s="89" t="n">
        <v>1</v>
      </c>
      <c r="L119" s="131" t="n">
        <v>0</v>
      </c>
      <c r="M119" s="132" t="n">
        <v>1</v>
      </c>
      <c r="N119" s="83" t="n">
        <v>0</v>
      </c>
      <c r="O119" s="91" t="n">
        <v>0</v>
      </c>
      <c r="P119" s="91" t="n">
        <v>0</v>
      </c>
      <c r="Q119" s="94" t="n"/>
      <c r="R119" s="94" t="n"/>
      <c r="S119" s="81" t="n">
        <v>0</v>
      </c>
      <c r="T119" s="81" t="n">
        <v>0</v>
      </c>
      <c r="U119" s="89" t="n">
        <v>0</v>
      </c>
      <c r="V119" s="83" t="n">
        <v>1</v>
      </c>
      <c r="W119" s="81" t="n">
        <v>0</v>
      </c>
      <c r="X119" s="81" t="n">
        <v>0</v>
      </c>
      <c r="Y119" s="81" t="n">
        <v>0</v>
      </c>
      <c r="Z119" s="81" t="n">
        <v>0</v>
      </c>
      <c r="AA119" s="81" t="n">
        <v>0</v>
      </c>
      <c r="AB119" s="81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1" t="n">
        <v>1</v>
      </c>
      <c r="D120" s="129" t="n">
        <v>0</v>
      </c>
      <c r="E120" s="130" t="n">
        <v>1</v>
      </c>
      <c r="F120" s="87" t="n">
        <v>0</v>
      </c>
      <c r="G120" s="89" t="n">
        <v>1</v>
      </c>
      <c r="H120" s="131" t="n">
        <v>0</v>
      </c>
      <c r="I120" s="132" t="n">
        <v>1</v>
      </c>
      <c r="J120" s="83" t="n">
        <v>0</v>
      </c>
      <c r="K120" s="89" t="n">
        <v>0</v>
      </c>
      <c r="L120" s="131" t="n">
        <v>0</v>
      </c>
      <c r="M120" s="132" t="n">
        <v>0</v>
      </c>
      <c r="N120" s="83" t="n">
        <v>0</v>
      </c>
      <c r="O120" s="91" t="n">
        <v>0</v>
      </c>
      <c r="P120" s="91" t="n">
        <v>0</v>
      </c>
      <c r="Q120" s="94" t="n"/>
      <c r="R120" s="94" t="n"/>
      <c r="S120" s="81" t="n">
        <v>0</v>
      </c>
      <c r="T120" s="81" t="n">
        <v>0</v>
      </c>
      <c r="U120" s="89" t="n">
        <v>0</v>
      </c>
      <c r="V120" s="83" t="n">
        <v>1</v>
      </c>
      <c r="W120" s="81" t="n">
        <v>0</v>
      </c>
      <c r="X120" s="81" t="n">
        <v>0</v>
      </c>
      <c r="Y120" s="81" t="n">
        <v>0</v>
      </c>
      <c r="Z120" s="81" t="n">
        <v>0</v>
      </c>
      <c r="AA120" s="81" t="n">
        <v>0</v>
      </c>
      <c r="AB120" s="81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1" t="n">
        <v>1</v>
      </c>
      <c r="D121" s="129" t="n">
        <v>0</v>
      </c>
      <c r="E121" s="130" t="n">
        <v>1</v>
      </c>
      <c r="F121" s="87" t="n">
        <v>0</v>
      </c>
      <c r="G121" s="89" t="n">
        <v>1</v>
      </c>
      <c r="H121" s="131" t="n">
        <v>0</v>
      </c>
      <c r="I121" s="132" t="n">
        <v>1</v>
      </c>
      <c r="J121" s="83" t="n">
        <v>0</v>
      </c>
      <c r="K121" s="89" t="n">
        <v>0</v>
      </c>
      <c r="L121" s="131" t="n">
        <v>0</v>
      </c>
      <c r="M121" s="132" t="n">
        <v>0</v>
      </c>
      <c r="N121" s="83" t="n">
        <v>0</v>
      </c>
      <c r="O121" s="91" t="n">
        <v>0</v>
      </c>
      <c r="P121" s="91" t="n">
        <v>0</v>
      </c>
      <c r="Q121" s="94" t="n"/>
      <c r="R121" s="94" t="n"/>
      <c r="S121" s="81" t="n">
        <v>0</v>
      </c>
      <c r="T121" s="81" t="n">
        <v>0</v>
      </c>
      <c r="U121" s="89" t="n">
        <v>0</v>
      </c>
      <c r="V121" s="83" t="n">
        <v>1</v>
      </c>
      <c r="W121" s="81" t="n">
        <v>0</v>
      </c>
      <c r="X121" s="81" t="n">
        <v>0</v>
      </c>
      <c r="Y121" s="81" t="n">
        <v>0</v>
      </c>
      <c r="Z121" s="81" t="n">
        <v>0</v>
      </c>
      <c r="AA121" s="81" t="n">
        <v>0</v>
      </c>
      <c r="AB121" s="81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82" t="n">
        <v>1</v>
      </c>
      <c r="D122" s="134" t="n">
        <v>1</v>
      </c>
      <c r="E122" s="135" t="n">
        <v>0</v>
      </c>
      <c r="F122" s="88" t="n">
        <v>0</v>
      </c>
      <c r="G122" s="90" t="n">
        <v>1</v>
      </c>
      <c r="H122" s="136" t="n">
        <v>1</v>
      </c>
      <c r="I122" s="137" t="n">
        <v>0</v>
      </c>
      <c r="J122" s="84" t="n">
        <v>0</v>
      </c>
      <c r="K122" s="90" t="n">
        <v>0</v>
      </c>
      <c r="L122" s="136" t="n">
        <v>0</v>
      </c>
      <c r="M122" s="137" t="n">
        <v>0</v>
      </c>
      <c r="N122" s="84" t="n">
        <v>0</v>
      </c>
      <c r="O122" s="92" t="n">
        <v>0</v>
      </c>
      <c r="P122" s="92" t="n">
        <v>0</v>
      </c>
      <c r="Q122" s="95" t="n"/>
      <c r="R122" s="95" t="n"/>
      <c r="S122" s="82" t="n">
        <v>0</v>
      </c>
      <c r="T122" s="82" t="n">
        <v>0</v>
      </c>
      <c r="U122" s="90" t="n">
        <v>0</v>
      </c>
      <c r="V122" s="84" t="n">
        <v>0</v>
      </c>
      <c r="W122" s="82" t="n">
        <v>0</v>
      </c>
      <c r="X122" s="82" t="n">
        <v>0</v>
      </c>
      <c r="Y122" s="82" t="n">
        <v>0</v>
      </c>
      <c r="Z122" s="82" t="n">
        <v>0</v>
      </c>
      <c r="AA122" s="82" t="n">
        <v>0</v>
      </c>
      <c r="AB122" s="82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392" min="1" max="1"/>
    <col width="21" customWidth="1" style="85" min="2" max="2"/>
    <col width="21" customWidth="1" style="86" min="3" max="3"/>
    <col width="18" customWidth="1" style="392" min="4" max="4"/>
    <col width="17" customWidth="1" style="392" min="5" max="5"/>
    <col width="13" customWidth="1" style="392" min="6" max="6"/>
    <col width="13" customWidth="1" min="7" max="9"/>
    <col width="13" customWidth="1" min="8" max="8"/>
    <col width="13" customWidth="1" min="9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" bestFit="1" customWidth="1" style="392" min="14" max="14"/>
    <col width="20" customWidth="1" style="85" min="15" max="15"/>
    <col width="24" customWidth="1" style="77" min="16" max="16"/>
    <col width="23" customWidth="1" style="86" min="17" max="17"/>
    <col width="19" customWidth="1" style="392" min="18" max="18"/>
    <col width="43" customWidth="1" style="392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392" min="30" max="30"/>
    <col width="13" customWidth="1" min="31" max="32"/>
    <col width="13" customWidth="1" min="32" max="32"/>
    <col width="14" customWidth="1" style="392" min="33" max="33"/>
    <col width="15" customWidth="1" style="392" min="34" max="34"/>
    <col width="13" customWidth="1" style="392" min="35" max="35"/>
    <col width="14" customWidth="1" style="392" min="36" max="36"/>
    <col width="13" customWidth="1" style="392" min="37" max="37"/>
    <col width="15" customWidth="1" style="392" min="38" max="38"/>
    <col width="20" customWidth="1" style="392" min="39" max="39"/>
    <col width="13" customWidth="1" style="39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92" min="45" max="45"/>
    <col width="17" customWidth="1" style="392" min="46" max="46"/>
    <col width="22" customWidth="1" style="392" min="47" max="47"/>
    <col width="13" customWidth="1" style="392" min="48" max="48"/>
    <col width="19" customWidth="1" style="392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392" t="n"/>
      <c r="B2" s="402" t="n"/>
      <c r="C2" s="404" t="n"/>
      <c r="D2" s="392" t="n"/>
      <c r="E2" s="392" t="n"/>
      <c r="F2" s="392" t="n"/>
      <c r="G2" s="392" t="n"/>
      <c r="H2" s="392" t="n"/>
      <c r="I2" s="392" t="n"/>
      <c r="J2" s="402" t="n"/>
      <c r="K2" s="404" t="n"/>
      <c r="L2" s="402" t="n"/>
      <c r="M2" s="404" t="n"/>
      <c r="N2" s="392" t="n"/>
      <c r="O2" s="402" t="n"/>
      <c r="P2" s="394" t="n"/>
      <c r="Q2" s="404" t="n"/>
      <c r="R2" s="392" t="n"/>
      <c r="S2" s="392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392" t="n"/>
      <c r="AE2" s="392" t="n"/>
      <c r="AF2" s="392" t="n"/>
      <c r="AG2" s="392" t="n"/>
      <c r="AH2" s="392" t="n"/>
      <c r="AI2" s="392" t="n"/>
      <c r="AJ2" s="392" t="n"/>
      <c r="AK2" s="392" t="n"/>
      <c r="AL2" s="392" t="n"/>
      <c r="AM2" s="392" t="n"/>
      <c r="AN2" s="392" t="n"/>
      <c r="AO2" s="392" t="n"/>
      <c r="AP2" s="392" t="n"/>
      <c r="AQ2" s="392" t="n"/>
      <c r="AR2" s="392" t="n"/>
      <c r="AS2" s="392" t="n"/>
      <c r="AT2" s="392" t="n"/>
      <c r="AU2" s="392" t="n"/>
      <c r="AV2" s="392" t="n"/>
      <c r="AW2" s="392" t="n"/>
      <c r="AX2" s="399" t="n"/>
    </row>
    <row r="3" ht="15" customHeight="1">
      <c r="A3" s="392" t="n"/>
      <c r="B3" s="402" t="n"/>
      <c r="C3" s="404" t="n"/>
      <c r="D3" s="392" t="n"/>
      <c r="E3" s="392" t="n"/>
      <c r="F3" s="392" t="n"/>
      <c r="G3" s="392" t="n"/>
      <c r="H3" s="392" t="n"/>
      <c r="I3" s="392" t="n"/>
      <c r="J3" s="402" t="n"/>
      <c r="K3" s="404" t="n"/>
      <c r="L3" s="402" t="n"/>
      <c r="M3" s="404" t="n"/>
      <c r="N3" s="392" t="n"/>
      <c r="O3" s="402" t="n"/>
      <c r="P3" s="394" t="n"/>
      <c r="Q3" s="404" t="n"/>
      <c r="R3" s="392" t="n"/>
      <c r="S3" s="392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392" t="n"/>
      <c r="AE3" s="392" t="n"/>
      <c r="AF3" s="392" t="n"/>
      <c r="AG3" s="392" t="n"/>
      <c r="AH3" s="392" t="n"/>
      <c r="AI3" s="392" t="n"/>
      <c r="AJ3" s="392" t="n"/>
      <c r="AK3" s="392" t="n"/>
      <c r="AL3" s="392" t="n"/>
      <c r="AM3" s="392" t="n"/>
      <c r="AN3" s="392" t="n"/>
      <c r="AO3" s="392" t="n"/>
      <c r="AP3" s="392" t="n"/>
      <c r="AQ3" s="392" t="n"/>
      <c r="AR3" s="392" t="n"/>
      <c r="AS3" s="392" t="n"/>
      <c r="AT3" s="392" t="n"/>
      <c r="AU3" s="392" t="n"/>
      <c r="AV3" s="392" t="n"/>
      <c r="AW3" s="392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-0.003551221861081017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-0.005111909943335211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-0.005815704283670855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-0.005572732914888462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-0.005371069173914217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-0.006920978707812563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-0.0004478447471543197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-0.003243361700573431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0.0003544477880685785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0.003273121535093999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-0.002728213490545328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146" t="inlineStr">
        <is>
          <t>-6.15%, 66 trades</t>
        </is>
      </c>
      <c r="D2" s="146" t="inlineStr">
        <is>
          <t>-4.04%, 5 trades</t>
        </is>
      </c>
      <c r="E2" s="146" t="inlineStr">
        <is>
          <t>-2.55%, 17 trades</t>
        </is>
      </c>
      <c r="F2" s="146" t="inlineStr">
        <is>
          <t>-1.06%, 1 trade</t>
        </is>
      </c>
      <c r="G2" s="145" t="n"/>
      <c r="H2" s="146" t="inlineStr">
        <is>
          <t>-1.61%, 5 trades</t>
        </is>
      </c>
      <c r="I2" s="147" t="inlineStr">
        <is>
          <t>-1.32%, 4 trades</t>
        </is>
      </c>
      <c r="J2" s="235" t="n"/>
    </row>
    <row r="3" ht="15" customHeight="1">
      <c r="A3" s="144" t="inlineStr">
        <is>
          <t>February</t>
        </is>
      </c>
      <c r="B3" s="145" t="n"/>
      <c r="C3" s="146" t="inlineStr">
        <is>
          <t>-18.05%, 95 trades</t>
        </is>
      </c>
      <c r="D3" s="146" t="inlineStr">
        <is>
          <t>-4.67%, 7 trades</t>
        </is>
      </c>
      <c r="E3" s="148" t="inlineStr">
        <is>
          <t>1.29%, 15 trades</t>
        </is>
      </c>
      <c r="F3" s="148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146" t="inlineStr">
        <is>
          <t>-10.55%, 40 trades</t>
        </is>
      </c>
      <c r="D4" s="148" t="inlineStr">
        <is>
          <t>0.65%, 16 trades</t>
        </is>
      </c>
      <c r="E4" s="146" t="inlineStr">
        <is>
          <t>-7.63%, 27 trades</t>
        </is>
      </c>
      <c r="F4" s="146" t="inlineStr">
        <is>
          <t>-1.48%, 2 trades</t>
        </is>
      </c>
      <c r="G4" s="148" t="inlineStr">
        <is>
          <t>1.57%, 7 trades</t>
        </is>
      </c>
      <c r="H4" s="146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146" t="inlineStr">
        <is>
          <t>-1.42%, 4 trades</t>
        </is>
      </c>
      <c r="D5" s="146" t="inlineStr">
        <is>
          <t>-4.24%, 40 trades</t>
        </is>
      </c>
      <c r="E5" s="146" t="inlineStr">
        <is>
          <t>-9.99%, 48 trades</t>
        </is>
      </c>
      <c r="F5" s="146" t="inlineStr">
        <is>
          <t>-0.96%, 2 trades</t>
        </is>
      </c>
      <c r="G5" s="146" t="inlineStr">
        <is>
          <t>-1.81%, 8 trades</t>
        </is>
      </c>
      <c r="H5" s="146" t="inlineStr">
        <is>
          <t>-0.43%, 1 trade</t>
        </is>
      </c>
      <c r="I5" s="150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146" t="inlineStr">
        <is>
          <t>-6.66%, 10 trades</t>
        </is>
      </c>
      <c r="C6" s="145" t="n"/>
      <c r="D6" s="146" t="inlineStr">
        <is>
          <t>-0.17%, 57 trades</t>
        </is>
      </c>
      <c r="E6" s="146" t="inlineStr">
        <is>
          <t>-8.84%, 48 trades</t>
        </is>
      </c>
      <c r="F6" s="146" t="inlineStr">
        <is>
          <t>-2.70%, 15 trades</t>
        </is>
      </c>
      <c r="G6" s="148" t="inlineStr">
        <is>
          <t>1.02%, 2 trades</t>
        </is>
      </c>
      <c r="H6" s="145" t="n"/>
      <c r="I6" s="150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146" t="inlineStr">
        <is>
          <t>-10.29%, 61 trades</t>
        </is>
      </c>
      <c r="C7" s="148" t="inlineStr">
        <is>
          <t>1.27%, 13 trades</t>
        </is>
      </c>
      <c r="D7" s="146" t="inlineStr">
        <is>
          <t>-10.86%, 22 trades</t>
        </is>
      </c>
      <c r="E7" s="148" t="inlineStr">
        <is>
          <t>0.44%, 18 trades</t>
        </is>
      </c>
      <c r="F7" s="148" t="inlineStr">
        <is>
          <t>2.00%, 4 trades</t>
        </is>
      </c>
      <c r="G7" s="146" t="inlineStr">
        <is>
          <t>-2.44%, 9 trades</t>
        </is>
      </c>
      <c r="H7" s="148" t="inlineStr">
        <is>
          <t>1.98%, 2 trades</t>
        </is>
      </c>
      <c r="I7" s="150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148" t="inlineStr">
        <is>
          <t>3.88%, 39 trades</t>
        </is>
      </c>
      <c r="C8" s="146" t="inlineStr">
        <is>
          <t>-12.35%, 33 trades</t>
        </is>
      </c>
      <c r="D8" s="148" t="inlineStr">
        <is>
          <t>1.28%, 20 trades</t>
        </is>
      </c>
      <c r="E8" s="148" t="inlineStr">
        <is>
          <t>4.33%, 20 trades</t>
        </is>
      </c>
      <c r="F8" s="146" t="inlineStr">
        <is>
          <t>-0.23%, 9 trades</t>
        </is>
      </c>
      <c r="G8" s="146" t="inlineStr">
        <is>
          <t>-3.44%, 15 trades</t>
        </is>
      </c>
      <c r="H8" s="145" t="n"/>
      <c r="I8" s="147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148" t="inlineStr">
        <is>
          <t>7.98%, 41 trades</t>
        </is>
      </c>
      <c r="C9" s="146" t="inlineStr">
        <is>
          <t>-3.99%, 13 trades</t>
        </is>
      </c>
      <c r="D9" s="146" t="inlineStr">
        <is>
          <t>-2.69%, 17 trades</t>
        </is>
      </c>
      <c r="E9" s="146" t="inlineStr">
        <is>
          <t>-7.01%, 10 trades</t>
        </is>
      </c>
      <c r="F9" s="148" t="inlineStr">
        <is>
          <t>1.94%, 1 trade</t>
        </is>
      </c>
      <c r="G9" s="146" t="inlineStr">
        <is>
          <t>-2.53%, 8 trades</t>
        </is>
      </c>
      <c r="H9" s="146" t="inlineStr">
        <is>
          <t>-2.15%, 1 trade</t>
        </is>
      </c>
      <c r="I9" s="147" t="inlineStr">
        <is>
          <t>-3.63%, 7 trades</t>
        </is>
      </c>
      <c r="J9" s="235" t="n"/>
    </row>
    <row r="10" ht="15" customHeight="1">
      <c r="A10" s="144" t="inlineStr">
        <is>
          <t>September</t>
        </is>
      </c>
      <c r="B10" s="146" t="inlineStr">
        <is>
          <t>-16.14%, 74 trades</t>
        </is>
      </c>
      <c r="C10" s="146" t="inlineStr">
        <is>
          <t>-4.32%, 11 trades</t>
        </is>
      </c>
      <c r="D10" s="146" t="inlineStr">
        <is>
          <t>-0.44%, 12 trades</t>
        </is>
      </c>
      <c r="E10" s="146" t="inlineStr">
        <is>
          <t>-9.24%, 35 trades</t>
        </is>
      </c>
      <c r="F10" s="146" t="inlineStr">
        <is>
          <t>-3.05%, 3 trades</t>
        </is>
      </c>
      <c r="G10" s="148" t="inlineStr">
        <is>
          <t>5.68%, 6 trades</t>
        </is>
      </c>
      <c r="H10" s="146" t="inlineStr">
        <is>
          <t>-1.69%, 5 trades</t>
        </is>
      </c>
      <c r="I10" s="150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148" t="inlineStr">
        <is>
          <t>1.05%, 61 trades</t>
        </is>
      </c>
      <c r="C11" s="148" t="inlineStr">
        <is>
          <t>4.54%, 22 trades</t>
        </is>
      </c>
      <c r="D11" s="146" t="inlineStr">
        <is>
          <t>-7.14%, 18 trades</t>
        </is>
      </c>
      <c r="E11" s="146" t="inlineStr">
        <is>
          <t>-10.51%, 32 trades</t>
        </is>
      </c>
      <c r="F11" s="146" t="inlineStr">
        <is>
          <t>-0.15%, 6 trades</t>
        </is>
      </c>
      <c r="G11" s="146" t="inlineStr">
        <is>
          <t>-1.95%, 4 trades</t>
        </is>
      </c>
      <c r="H11" s="146" t="inlineStr">
        <is>
          <t>-1.52%, 4 trades</t>
        </is>
      </c>
      <c r="I11" s="147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146" t="inlineStr">
        <is>
          <t>-2.07%, 36 trades</t>
        </is>
      </c>
      <c r="C12" s="146" t="inlineStr">
        <is>
          <t>-4.63%, 13 trades</t>
        </is>
      </c>
      <c r="D12" s="146" t="inlineStr">
        <is>
          <t>-4.80%, 5 trades</t>
        </is>
      </c>
      <c r="E12" s="146" t="inlineStr">
        <is>
          <t>-4.74%, 18 trades</t>
        </is>
      </c>
      <c r="F12" s="148" t="inlineStr">
        <is>
          <t>1.25%, 10 trades</t>
        </is>
      </c>
      <c r="G12" s="145" t="n"/>
      <c r="H12" s="148" t="inlineStr">
        <is>
          <t>1.33%, 13 trades</t>
        </is>
      </c>
      <c r="I12" s="147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152" t="inlineStr">
        <is>
          <t>-0.18%, 58 trades</t>
        </is>
      </c>
      <c r="C13" s="153" t="n"/>
      <c r="D13" s="152" t="inlineStr">
        <is>
          <t>-5.84%, 13 trades</t>
        </is>
      </c>
      <c r="E13" s="153" t="n"/>
      <c r="F13" s="152" t="inlineStr">
        <is>
          <t>-3.01%, 3 trades</t>
        </is>
      </c>
      <c r="G13" s="154" t="inlineStr">
        <is>
          <t>0.58%, 4 trades</t>
        </is>
      </c>
      <c r="H13" s="152" t="inlineStr">
        <is>
          <t>-1.76%, 2 trades</t>
        </is>
      </c>
      <c r="I13" s="155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" customWidth="1" style="176" min="7" max="7"/>
    <col width="17.4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2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722">
        <f>L1/E2</f>
        <v/>
      </c>
    </row>
    <row r="2" ht="16" customHeight="1" thickBot="1">
      <c r="B2" s="181" t="n">
        <v>0.3018</v>
      </c>
      <c r="C2" s="723" t="n">
        <v>1.5</v>
      </c>
      <c r="D2" s="723" t="n">
        <v>0.75</v>
      </c>
      <c r="E2" s="724" t="n">
        <v>0.01</v>
      </c>
      <c r="G2" s="725" t="n">
        <v>1000</v>
      </c>
      <c r="H2" s="726">
        <f>G2*(1+B5)</f>
        <v/>
      </c>
      <c r="J2" s="186" t="inlineStr">
        <is>
          <t>Worst Drawdown</t>
        </is>
      </c>
      <c r="K2" s="187" t="n"/>
      <c r="L2" s="727">
        <f>MIN(E10:E109)</f>
        <v/>
      </c>
      <c r="M2" s="728">
        <f>L2/E2</f>
        <v/>
      </c>
    </row>
    <row r="3" ht="16" customHeight="1" thickBot="1">
      <c r="B3" s="190" t="n"/>
      <c r="C3" s="729" t="n">
        <v>2.3</v>
      </c>
      <c r="D3" s="730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731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732">
        <f>STDEV(B10:B109)</f>
        <v/>
      </c>
    </row>
    <row r="6" ht="15" customHeight="1" thickBot="1">
      <c r="A6" s="204" t="inlineStr">
        <is>
          <t>Note: Key in the boxes in white only</t>
        </is>
      </c>
      <c r="C6" s="733" t="n"/>
      <c r="D6" s="733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733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734" t="n">
        <v>0</v>
      </c>
      <c r="F9" s="735">
        <f>G2</f>
        <v/>
      </c>
    </row>
    <row r="10">
      <c r="A10" s="217" t="n">
        <v>1</v>
      </c>
      <c r="B10" s="736">
        <f>IF(RAND()&gt;$B$2,-(RAND()*($D$3-$D$2)+$D$2),RAND()*($C$3-$C$2)+$C$2)</f>
        <v/>
      </c>
      <c r="C10" s="219">
        <f>B10*$E$2</f>
        <v/>
      </c>
      <c r="D10" s="737">
        <f>C10+1</f>
        <v/>
      </c>
      <c r="E10" s="734">
        <f>F10/MAX($F$9:F10)-1</f>
        <v/>
      </c>
      <c r="F10" s="735">
        <f>F9*D10</f>
        <v/>
      </c>
    </row>
    <row r="11">
      <c r="A11" s="217" t="n">
        <v>2</v>
      </c>
      <c r="B11" s="736">
        <f>IF(RAND()&gt;$B$2,-(RAND()*($D$3-$D$2)+$D$2),RAND()*($C$3-$C$2)+$C$2)</f>
        <v/>
      </c>
      <c r="C11" s="219">
        <f>B11*$E$2</f>
        <v/>
      </c>
      <c r="D11" s="737">
        <f>C11+1</f>
        <v/>
      </c>
      <c r="E11" s="734">
        <f>F11/MAX($F$9:F11)-1</f>
        <v/>
      </c>
      <c r="F11" s="735">
        <f>F10*D11</f>
        <v/>
      </c>
    </row>
    <row r="12">
      <c r="A12" s="217" t="n">
        <v>3</v>
      </c>
      <c r="B12" s="736">
        <f>IF(RAND()&gt;$B$2,-(RAND()*($D$3-$D$2)+$D$2),RAND()*($C$3-$C$2)+$C$2)</f>
        <v/>
      </c>
      <c r="C12" s="219">
        <f>B12*$E$2</f>
        <v/>
      </c>
      <c r="D12" s="737">
        <f>C12+1</f>
        <v/>
      </c>
      <c r="E12" s="734">
        <f>F12/MAX($F$9:F12)-1</f>
        <v/>
      </c>
      <c r="F12" s="735">
        <f>F11*D12</f>
        <v/>
      </c>
    </row>
    <row r="13">
      <c r="A13" s="217" t="n">
        <v>4</v>
      </c>
      <c r="B13" s="736">
        <f>IF(RAND()&gt;$B$2,-(RAND()*($D$3-$D$2)+$D$2),RAND()*($C$3-$C$2)+$C$2)</f>
        <v/>
      </c>
      <c r="C13" s="219">
        <f>B13*$E$2</f>
        <v/>
      </c>
      <c r="D13" s="737">
        <f>C13+1</f>
        <v/>
      </c>
      <c r="E13" s="734">
        <f>F13/MAX($F$9:F13)-1</f>
        <v/>
      </c>
      <c r="F13" s="735">
        <f>F12*D13</f>
        <v/>
      </c>
    </row>
    <row r="14">
      <c r="A14" s="217" t="n">
        <v>5</v>
      </c>
      <c r="B14" s="736">
        <f>IF(RAND()&gt;$B$2,-(RAND()*($D$3-$D$2)+$D$2),RAND()*($C$3-$C$2)+$C$2)</f>
        <v/>
      </c>
      <c r="C14" s="219">
        <f>B14*$E$2</f>
        <v/>
      </c>
      <c r="D14" s="737">
        <f>C14+1</f>
        <v/>
      </c>
      <c r="E14" s="734">
        <f>F14/MAX($F$9:F14)-1</f>
        <v/>
      </c>
      <c r="F14" s="735">
        <f>F13*D14</f>
        <v/>
      </c>
    </row>
    <row r="15">
      <c r="A15" s="217" t="n">
        <v>6</v>
      </c>
      <c r="B15" s="736">
        <f>IF(RAND()&gt;$B$2,-(RAND()*($D$3-$D$2)+$D$2),RAND()*($C$3-$C$2)+$C$2)</f>
        <v/>
      </c>
      <c r="C15" s="219">
        <f>B15*$E$2</f>
        <v/>
      </c>
      <c r="D15" s="737">
        <f>C15+1</f>
        <v/>
      </c>
      <c r="E15" s="734">
        <f>F15/MAX($F$9:F15)-1</f>
        <v/>
      </c>
      <c r="F15" s="735">
        <f>F14*D15</f>
        <v/>
      </c>
    </row>
    <row r="16">
      <c r="A16" s="217" t="n">
        <v>7</v>
      </c>
      <c r="B16" s="736">
        <f>IF(RAND()&gt;$B$2,-(RAND()*($D$3-$D$2)+$D$2),RAND()*($C$3-$C$2)+$C$2)</f>
        <v/>
      </c>
      <c r="C16" s="219">
        <f>B16*$E$2</f>
        <v/>
      </c>
      <c r="D16" s="737">
        <f>C16+1</f>
        <v/>
      </c>
      <c r="E16" s="734">
        <f>F16/MAX($F$9:F16)-1</f>
        <v/>
      </c>
      <c r="F16" s="735">
        <f>F15*D16</f>
        <v/>
      </c>
    </row>
    <row r="17">
      <c r="A17" s="217" t="n">
        <v>8</v>
      </c>
      <c r="B17" s="736">
        <f>IF(RAND()&gt;$B$2,-(RAND()*($D$3-$D$2)+$D$2),RAND()*($C$3-$C$2)+$C$2)</f>
        <v/>
      </c>
      <c r="C17" s="219">
        <f>B17*$E$2</f>
        <v/>
      </c>
      <c r="D17" s="737">
        <f>C17+1</f>
        <v/>
      </c>
      <c r="E17" s="734">
        <f>F17/MAX($F$9:F17)-1</f>
        <v/>
      </c>
      <c r="F17" s="735">
        <f>F16*D17</f>
        <v/>
      </c>
    </row>
    <row r="18">
      <c r="A18" s="217" t="n">
        <v>9</v>
      </c>
      <c r="B18" s="736">
        <f>IF(RAND()&gt;$B$2,-(RAND()*($D$3-$D$2)+$D$2),RAND()*($C$3-$C$2)+$C$2)</f>
        <v/>
      </c>
      <c r="C18" s="219">
        <f>B18*$E$2</f>
        <v/>
      </c>
      <c r="D18" s="737">
        <f>C18+1</f>
        <v/>
      </c>
      <c r="E18" s="734">
        <f>F18/MAX($F$9:F18)-1</f>
        <v/>
      </c>
      <c r="F18" s="735">
        <f>F17*D18</f>
        <v/>
      </c>
    </row>
    <row r="19">
      <c r="A19" s="217" t="n">
        <v>10</v>
      </c>
      <c r="B19" s="736">
        <f>IF(RAND()&gt;$B$2,-(RAND()*($D$3-$D$2)+$D$2),RAND()*($C$3-$C$2)+$C$2)</f>
        <v/>
      </c>
      <c r="C19" s="219">
        <f>B19*$E$2</f>
        <v/>
      </c>
      <c r="D19" s="737">
        <f>C19+1</f>
        <v/>
      </c>
      <c r="E19" s="734">
        <f>F19/MAX($F$9:F19)-1</f>
        <v/>
      </c>
      <c r="F19" s="735">
        <f>F18*D19</f>
        <v/>
      </c>
    </row>
    <row r="20">
      <c r="A20" s="217" t="n">
        <v>11</v>
      </c>
      <c r="B20" s="736">
        <f>IF(RAND()&gt;$B$2,-(RAND()*($D$3-$D$2)+$D$2),RAND()*($C$3-$C$2)+$C$2)</f>
        <v/>
      </c>
      <c r="C20" s="219">
        <f>B20*$E$2</f>
        <v/>
      </c>
      <c r="D20" s="737">
        <f>C20+1</f>
        <v/>
      </c>
      <c r="E20" s="734">
        <f>F20/MAX($F$9:F20)-1</f>
        <v/>
      </c>
      <c r="F20" s="735">
        <f>F19*D20</f>
        <v/>
      </c>
    </row>
    <row r="21">
      <c r="A21" s="217" t="n">
        <v>12</v>
      </c>
      <c r="B21" s="736">
        <f>IF(RAND()&gt;$B$2,-(RAND()*($D$3-$D$2)+$D$2),RAND()*($C$3-$C$2)+$C$2)</f>
        <v/>
      </c>
      <c r="C21" s="219">
        <f>B21*$E$2</f>
        <v/>
      </c>
      <c r="D21" s="737">
        <f>C21+1</f>
        <v/>
      </c>
      <c r="E21" s="734">
        <f>F21/MAX($F$9:F21)-1</f>
        <v/>
      </c>
      <c r="F21" s="735">
        <f>F20*D21</f>
        <v/>
      </c>
    </row>
    <row r="22">
      <c r="A22" s="217" t="n">
        <v>13</v>
      </c>
      <c r="B22" s="736">
        <f>IF(RAND()&gt;$B$2,-(RAND()*($D$3-$D$2)+$D$2),RAND()*($C$3-$C$2)+$C$2)</f>
        <v/>
      </c>
      <c r="C22" s="219">
        <f>B22*$E$2</f>
        <v/>
      </c>
      <c r="D22" s="737">
        <f>C22+1</f>
        <v/>
      </c>
      <c r="E22" s="734">
        <f>F22/MAX($F$9:F22)-1</f>
        <v/>
      </c>
      <c r="F22" s="735">
        <f>F21*D22</f>
        <v/>
      </c>
    </row>
    <row r="23">
      <c r="A23" s="217" t="n">
        <v>14</v>
      </c>
      <c r="B23" s="736">
        <f>IF(RAND()&gt;$B$2,-(RAND()*($D$3-$D$2)+$D$2),RAND()*($C$3-$C$2)+$C$2)</f>
        <v/>
      </c>
      <c r="C23" s="219">
        <f>B23*$E$2</f>
        <v/>
      </c>
      <c r="D23" s="737">
        <f>C23+1</f>
        <v/>
      </c>
      <c r="E23" s="734">
        <f>F23/MAX($F$9:F23)-1</f>
        <v/>
      </c>
      <c r="F23" s="735">
        <f>F22*D23</f>
        <v/>
      </c>
    </row>
    <row r="24">
      <c r="A24" s="217" t="n">
        <v>15</v>
      </c>
      <c r="B24" s="736">
        <f>IF(RAND()&gt;$B$2,-(RAND()*($D$3-$D$2)+$D$2),RAND()*($C$3-$C$2)+$C$2)</f>
        <v/>
      </c>
      <c r="C24" s="219">
        <f>B24*$E$2</f>
        <v/>
      </c>
      <c r="D24" s="737">
        <f>C24+1</f>
        <v/>
      </c>
      <c r="E24" s="734">
        <f>F24/MAX($F$9:F24)-1</f>
        <v/>
      </c>
      <c r="F24" s="735">
        <f>F23*D24</f>
        <v/>
      </c>
    </row>
    <row r="25">
      <c r="A25" s="217" t="n">
        <v>16</v>
      </c>
      <c r="B25" s="736">
        <f>IF(RAND()&gt;$B$2,-(RAND()*($D$3-$D$2)+$D$2),RAND()*($C$3-$C$2)+$C$2)</f>
        <v/>
      </c>
      <c r="C25" s="219">
        <f>B25*$E$2</f>
        <v/>
      </c>
      <c r="D25" s="737">
        <f>C25+1</f>
        <v/>
      </c>
      <c r="E25" s="734">
        <f>F25/MAX($F$9:F25)-1</f>
        <v/>
      </c>
      <c r="F25" s="735">
        <f>F24*D25</f>
        <v/>
      </c>
    </row>
    <row r="26">
      <c r="A26" s="217" t="n">
        <v>17</v>
      </c>
      <c r="B26" s="736">
        <f>IF(RAND()&gt;$B$2,-(RAND()*($D$3-$D$2)+$D$2),RAND()*($C$3-$C$2)+$C$2)</f>
        <v/>
      </c>
      <c r="C26" s="219">
        <f>B26*$E$2</f>
        <v/>
      </c>
      <c r="D26" s="737">
        <f>C26+1</f>
        <v/>
      </c>
      <c r="E26" s="734">
        <f>F26/MAX($F$9:F26)-1</f>
        <v/>
      </c>
      <c r="F26" s="735">
        <f>F25*D26</f>
        <v/>
      </c>
    </row>
    <row r="27">
      <c r="A27" s="217" t="n">
        <v>18</v>
      </c>
      <c r="B27" s="736">
        <f>IF(RAND()&gt;$B$2,-(RAND()*($D$3-$D$2)+$D$2),RAND()*($C$3-$C$2)+$C$2)</f>
        <v/>
      </c>
      <c r="C27" s="219">
        <f>B27*$E$2</f>
        <v/>
      </c>
      <c r="D27" s="737">
        <f>C27+1</f>
        <v/>
      </c>
      <c r="E27" s="734">
        <f>F27/MAX($F$9:F27)-1</f>
        <v/>
      </c>
      <c r="F27" s="735">
        <f>F26*D27</f>
        <v/>
      </c>
    </row>
    <row r="28">
      <c r="A28" s="217" t="n">
        <v>19</v>
      </c>
      <c r="B28" s="736">
        <f>IF(RAND()&gt;$B$2,-(RAND()*($D$3-$D$2)+$D$2),RAND()*($C$3-$C$2)+$C$2)</f>
        <v/>
      </c>
      <c r="C28" s="219">
        <f>B28*$E$2</f>
        <v/>
      </c>
      <c r="D28" s="737">
        <f>C28+1</f>
        <v/>
      </c>
      <c r="E28" s="734">
        <f>F28/MAX($F$9:F28)-1</f>
        <v/>
      </c>
      <c r="F28" s="735">
        <f>F27*D28</f>
        <v/>
      </c>
    </row>
    <row r="29">
      <c r="A29" s="217" t="n">
        <v>20</v>
      </c>
      <c r="B29" s="736">
        <f>IF(RAND()&gt;$B$2,-(RAND()*($D$3-$D$2)+$D$2),RAND()*($C$3-$C$2)+$C$2)</f>
        <v/>
      </c>
      <c r="C29" s="219">
        <f>B29*$E$2</f>
        <v/>
      </c>
      <c r="D29" s="737">
        <f>C29+1</f>
        <v/>
      </c>
      <c r="E29" s="734">
        <f>F29/MAX($F$9:F29)-1</f>
        <v/>
      </c>
      <c r="F29" s="735">
        <f>F28*D29</f>
        <v/>
      </c>
    </row>
    <row r="30">
      <c r="A30" s="217" t="n">
        <v>21</v>
      </c>
      <c r="B30" s="736">
        <f>IF(RAND()&gt;$B$2,-(RAND()*($D$3-$D$2)+$D$2),RAND()*($C$3-$C$2)+$C$2)</f>
        <v/>
      </c>
      <c r="C30" s="219">
        <f>B30*$E$2</f>
        <v/>
      </c>
      <c r="D30" s="737">
        <f>C30+1</f>
        <v/>
      </c>
      <c r="E30" s="734">
        <f>F30/MAX($F$9:F30)-1</f>
        <v/>
      </c>
      <c r="F30" s="735">
        <f>F29*D30</f>
        <v/>
      </c>
    </row>
    <row r="31">
      <c r="A31" s="217" t="n">
        <v>22</v>
      </c>
      <c r="B31" s="736">
        <f>IF(RAND()&gt;$B$2,-(RAND()*($D$3-$D$2)+$D$2),RAND()*($C$3-$C$2)+$C$2)</f>
        <v/>
      </c>
      <c r="C31" s="219">
        <f>B31*$E$2</f>
        <v/>
      </c>
      <c r="D31" s="737">
        <f>C31+1</f>
        <v/>
      </c>
      <c r="E31" s="734">
        <f>F31/MAX($F$9:F31)-1</f>
        <v/>
      </c>
      <c r="F31" s="735">
        <f>F30*D31</f>
        <v/>
      </c>
    </row>
    <row r="32">
      <c r="A32" s="217" t="n">
        <v>23</v>
      </c>
      <c r="B32" s="736">
        <f>IF(RAND()&gt;$B$2,-(RAND()*($D$3-$D$2)+$D$2),RAND()*($C$3-$C$2)+$C$2)</f>
        <v/>
      </c>
      <c r="C32" s="219">
        <f>B32*$E$2</f>
        <v/>
      </c>
      <c r="D32" s="737">
        <f>C32+1</f>
        <v/>
      </c>
      <c r="E32" s="734">
        <f>F32/MAX($F$9:F32)-1</f>
        <v/>
      </c>
      <c r="F32" s="735">
        <f>F31*D32</f>
        <v/>
      </c>
    </row>
    <row r="33">
      <c r="A33" s="217" t="n">
        <v>24</v>
      </c>
      <c r="B33" s="736">
        <f>IF(RAND()&gt;$B$2,-(RAND()*($D$3-$D$2)+$D$2),RAND()*($C$3-$C$2)+$C$2)</f>
        <v/>
      </c>
      <c r="C33" s="219">
        <f>B33*$E$2</f>
        <v/>
      </c>
      <c r="D33" s="737">
        <f>C33+1</f>
        <v/>
      </c>
      <c r="E33" s="734">
        <f>F33/MAX($F$9:F33)-1</f>
        <v/>
      </c>
      <c r="F33" s="735">
        <f>F32*D33</f>
        <v/>
      </c>
    </row>
    <row r="34">
      <c r="A34" s="217" t="n">
        <v>25</v>
      </c>
      <c r="B34" s="736">
        <f>IF(RAND()&gt;$B$2,-(RAND()*($D$3-$D$2)+$D$2),RAND()*($C$3-$C$2)+$C$2)</f>
        <v/>
      </c>
      <c r="C34" s="219">
        <f>B34*$E$2</f>
        <v/>
      </c>
      <c r="D34" s="737">
        <f>C34+1</f>
        <v/>
      </c>
      <c r="E34" s="734">
        <f>F34/MAX($F$9:F34)-1</f>
        <v/>
      </c>
      <c r="F34" s="735">
        <f>F33*D34</f>
        <v/>
      </c>
    </row>
    <row r="35">
      <c r="A35" s="217" t="n">
        <v>26</v>
      </c>
      <c r="B35" s="736">
        <f>IF(RAND()&gt;$B$2,-(RAND()*($D$3-$D$2)+$D$2),RAND()*($C$3-$C$2)+$C$2)</f>
        <v/>
      </c>
      <c r="C35" s="219">
        <f>B35*$E$2</f>
        <v/>
      </c>
      <c r="D35" s="737">
        <f>C35+1</f>
        <v/>
      </c>
      <c r="E35" s="734">
        <f>F35/MAX($F$9:F35)-1</f>
        <v/>
      </c>
      <c r="F35" s="735">
        <f>F34*D35</f>
        <v/>
      </c>
    </row>
    <row r="36">
      <c r="A36" s="217" t="n">
        <v>27</v>
      </c>
      <c r="B36" s="736">
        <f>IF(RAND()&gt;$B$2,-(RAND()*($D$3-$D$2)+$D$2),RAND()*($C$3-$C$2)+$C$2)</f>
        <v/>
      </c>
      <c r="C36" s="219">
        <f>B36*$E$2</f>
        <v/>
      </c>
      <c r="D36" s="737">
        <f>C36+1</f>
        <v/>
      </c>
      <c r="E36" s="734">
        <f>F36/MAX($F$9:F36)-1</f>
        <v/>
      </c>
      <c r="F36" s="735">
        <f>F35*D36</f>
        <v/>
      </c>
    </row>
    <row r="37">
      <c r="A37" s="217" t="n">
        <v>28</v>
      </c>
      <c r="B37" s="736">
        <f>IF(RAND()&gt;$B$2,-(RAND()*($D$3-$D$2)+$D$2),RAND()*($C$3-$C$2)+$C$2)</f>
        <v/>
      </c>
      <c r="C37" s="219">
        <f>B37*$E$2</f>
        <v/>
      </c>
      <c r="D37" s="737">
        <f>C37+1</f>
        <v/>
      </c>
      <c r="E37" s="734">
        <f>F37/MAX($F$9:F37)-1</f>
        <v/>
      </c>
      <c r="F37" s="735">
        <f>F36*D37</f>
        <v/>
      </c>
    </row>
    <row r="38">
      <c r="A38" s="217" t="n">
        <v>29</v>
      </c>
      <c r="B38" s="736">
        <f>IF(RAND()&gt;$B$2,-(RAND()*($D$3-$D$2)+$D$2),RAND()*($C$3-$C$2)+$C$2)</f>
        <v/>
      </c>
      <c r="C38" s="219">
        <f>B38*$E$2</f>
        <v/>
      </c>
      <c r="D38" s="737">
        <f>C38+1</f>
        <v/>
      </c>
      <c r="E38" s="734">
        <f>F38/MAX($F$9:F38)-1</f>
        <v/>
      </c>
      <c r="F38" s="735">
        <f>F37*D38</f>
        <v/>
      </c>
    </row>
    <row r="39">
      <c r="A39" s="217" t="n">
        <v>30</v>
      </c>
      <c r="B39" s="736">
        <f>IF(RAND()&gt;$B$2,-(RAND()*($D$3-$D$2)+$D$2),RAND()*($C$3-$C$2)+$C$2)</f>
        <v/>
      </c>
      <c r="C39" s="219">
        <f>B39*$E$2</f>
        <v/>
      </c>
      <c r="D39" s="737">
        <f>C39+1</f>
        <v/>
      </c>
      <c r="E39" s="734">
        <f>F39/MAX($F$9:F39)-1</f>
        <v/>
      </c>
      <c r="F39" s="735">
        <f>F38*D39</f>
        <v/>
      </c>
    </row>
    <row r="40">
      <c r="A40" s="217" t="n">
        <v>31</v>
      </c>
      <c r="B40" s="736">
        <f>IF(RAND()&gt;$B$2,-(RAND()*($D$3-$D$2)+$D$2),RAND()*($C$3-$C$2)+$C$2)</f>
        <v/>
      </c>
      <c r="C40" s="219">
        <f>B40*$E$2</f>
        <v/>
      </c>
      <c r="D40" s="737">
        <f>C40+1</f>
        <v/>
      </c>
      <c r="E40" s="734">
        <f>F40/MAX($F$9:F40)-1</f>
        <v/>
      </c>
      <c r="F40" s="735">
        <f>F39*D40</f>
        <v/>
      </c>
    </row>
    <row r="41">
      <c r="A41" s="217" t="n">
        <v>32</v>
      </c>
      <c r="B41" s="736">
        <f>IF(RAND()&gt;$B$2,-(RAND()*($D$3-$D$2)+$D$2),RAND()*($C$3-$C$2)+$C$2)</f>
        <v/>
      </c>
      <c r="C41" s="219">
        <f>B41*$E$2</f>
        <v/>
      </c>
      <c r="D41" s="737">
        <f>C41+1</f>
        <v/>
      </c>
      <c r="E41" s="734">
        <f>F41/MAX($F$9:F41)-1</f>
        <v/>
      </c>
      <c r="F41" s="735">
        <f>F40*D41</f>
        <v/>
      </c>
    </row>
    <row r="42">
      <c r="A42" s="217" t="n">
        <v>33</v>
      </c>
      <c r="B42" s="736">
        <f>IF(RAND()&gt;$B$2,-(RAND()*($D$3-$D$2)+$D$2),RAND()*($C$3-$C$2)+$C$2)</f>
        <v/>
      </c>
      <c r="C42" s="219">
        <f>B42*$E$2</f>
        <v/>
      </c>
      <c r="D42" s="737">
        <f>C42+1</f>
        <v/>
      </c>
      <c r="E42" s="734">
        <f>F42/MAX($F$9:F42)-1</f>
        <v/>
      </c>
      <c r="F42" s="735">
        <f>F41*D42</f>
        <v/>
      </c>
    </row>
    <row r="43">
      <c r="A43" s="217" t="n">
        <v>34</v>
      </c>
      <c r="B43" s="736">
        <f>IF(RAND()&gt;$B$2,-(RAND()*($D$3-$D$2)+$D$2),RAND()*($C$3-$C$2)+$C$2)</f>
        <v/>
      </c>
      <c r="C43" s="219">
        <f>B43*$E$2</f>
        <v/>
      </c>
      <c r="D43" s="737">
        <f>C43+1</f>
        <v/>
      </c>
      <c r="E43" s="734">
        <f>F43/MAX($F$9:F43)-1</f>
        <v/>
      </c>
      <c r="F43" s="735">
        <f>F42*D43</f>
        <v/>
      </c>
    </row>
    <row r="44">
      <c r="A44" s="217" t="n">
        <v>35</v>
      </c>
      <c r="B44" s="736">
        <f>IF(RAND()&gt;$B$2,-(RAND()*($D$3-$D$2)+$D$2),RAND()*($C$3-$C$2)+$C$2)</f>
        <v/>
      </c>
      <c r="C44" s="219">
        <f>B44*$E$2</f>
        <v/>
      </c>
      <c r="D44" s="737">
        <f>C44+1</f>
        <v/>
      </c>
      <c r="E44" s="734">
        <f>F44/MAX($F$9:F44)-1</f>
        <v/>
      </c>
      <c r="F44" s="735">
        <f>F43*D44</f>
        <v/>
      </c>
    </row>
    <row r="45">
      <c r="A45" s="217" t="n">
        <v>36</v>
      </c>
      <c r="B45" s="736">
        <f>IF(RAND()&gt;$B$2,-(RAND()*($D$3-$D$2)+$D$2),RAND()*($C$3-$C$2)+$C$2)</f>
        <v/>
      </c>
      <c r="C45" s="219">
        <f>B45*$E$2</f>
        <v/>
      </c>
      <c r="D45" s="737">
        <f>C45+1</f>
        <v/>
      </c>
      <c r="E45" s="734">
        <f>F45/MAX($F$9:F45)-1</f>
        <v/>
      </c>
      <c r="F45" s="735">
        <f>F44*D45</f>
        <v/>
      </c>
    </row>
    <row r="46">
      <c r="A46" s="217" t="n">
        <v>37</v>
      </c>
      <c r="B46" s="736">
        <f>IF(RAND()&gt;$B$2,-(RAND()*($D$3-$D$2)+$D$2),RAND()*($C$3-$C$2)+$C$2)</f>
        <v/>
      </c>
      <c r="C46" s="219">
        <f>B46*$E$2</f>
        <v/>
      </c>
      <c r="D46" s="737">
        <f>C46+1</f>
        <v/>
      </c>
      <c r="E46" s="734">
        <f>F46/MAX($F$9:F46)-1</f>
        <v/>
      </c>
      <c r="F46" s="735">
        <f>F45*D46</f>
        <v/>
      </c>
    </row>
    <row r="47">
      <c r="A47" s="217" t="n">
        <v>38</v>
      </c>
      <c r="B47" s="736">
        <f>IF(RAND()&gt;$B$2,-(RAND()*($D$3-$D$2)+$D$2),RAND()*($C$3-$C$2)+$C$2)</f>
        <v/>
      </c>
      <c r="C47" s="219">
        <f>B47*$E$2</f>
        <v/>
      </c>
      <c r="D47" s="737">
        <f>C47+1</f>
        <v/>
      </c>
      <c r="E47" s="734">
        <f>F47/MAX($F$9:F47)-1</f>
        <v/>
      </c>
      <c r="F47" s="735">
        <f>F46*D47</f>
        <v/>
      </c>
    </row>
    <row r="48">
      <c r="A48" s="217" t="n">
        <v>39</v>
      </c>
      <c r="B48" s="736">
        <f>IF(RAND()&gt;$B$2,-(RAND()*($D$3-$D$2)+$D$2),RAND()*($C$3-$C$2)+$C$2)</f>
        <v/>
      </c>
      <c r="C48" s="219">
        <f>B48*$E$2</f>
        <v/>
      </c>
      <c r="D48" s="737">
        <f>C48+1</f>
        <v/>
      </c>
      <c r="E48" s="734">
        <f>F48/MAX($F$9:F48)-1</f>
        <v/>
      </c>
      <c r="F48" s="735">
        <f>F47*D48</f>
        <v/>
      </c>
    </row>
    <row r="49">
      <c r="A49" s="217" t="n">
        <v>40</v>
      </c>
      <c r="B49" s="736">
        <f>IF(RAND()&gt;$B$2,-(RAND()*($D$3-$D$2)+$D$2),RAND()*($C$3-$C$2)+$C$2)</f>
        <v/>
      </c>
      <c r="C49" s="219">
        <f>B49*$E$2</f>
        <v/>
      </c>
      <c r="D49" s="737">
        <f>C49+1</f>
        <v/>
      </c>
      <c r="E49" s="734">
        <f>F49/MAX($F$9:F49)-1</f>
        <v/>
      </c>
      <c r="F49" s="735">
        <f>F48*D49</f>
        <v/>
      </c>
    </row>
    <row r="50">
      <c r="A50" s="217" t="n">
        <v>41</v>
      </c>
      <c r="B50" s="736">
        <f>IF(RAND()&gt;$B$2,-(RAND()*($D$3-$D$2)+$D$2),RAND()*($C$3-$C$2)+$C$2)</f>
        <v/>
      </c>
      <c r="C50" s="219">
        <f>B50*$E$2</f>
        <v/>
      </c>
      <c r="D50" s="737">
        <f>C50+1</f>
        <v/>
      </c>
      <c r="E50" s="734">
        <f>F50/MAX($F$9:F50)-1</f>
        <v/>
      </c>
      <c r="F50" s="735">
        <f>F49*D50</f>
        <v/>
      </c>
    </row>
    <row r="51">
      <c r="A51" s="217" t="n">
        <v>42</v>
      </c>
      <c r="B51" s="736">
        <f>IF(RAND()&gt;$B$2,-(RAND()*($D$3-$D$2)+$D$2),RAND()*($C$3-$C$2)+$C$2)</f>
        <v/>
      </c>
      <c r="C51" s="219">
        <f>B51*$E$2</f>
        <v/>
      </c>
      <c r="D51" s="737">
        <f>C51+1</f>
        <v/>
      </c>
      <c r="E51" s="734">
        <f>F51/MAX($F$9:F51)-1</f>
        <v/>
      </c>
      <c r="F51" s="735">
        <f>F50*D51</f>
        <v/>
      </c>
    </row>
    <row r="52">
      <c r="A52" s="217" t="n">
        <v>43</v>
      </c>
      <c r="B52" s="736">
        <f>IF(RAND()&gt;$B$2,-(RAND()*($D$3-$D$2)+$D$2),RAND()*($C$3-$C$2)+$C$2)</f>
        <v/>
      </c>
      <c r="C52" s="219">
        <f>B52*$E$2</f>
        <v/>
      </c>
      <c r="D52" s="737">
        <f>C52+1</f>
        <v/>
      </c>
      <c r="E52" s="734">
        <f>F52/MAX($F$9:F52)-1</f>
        <v/>
      </c>
      <c r="F52" s="735">
        <f>F51*D52</f>
        <v/>
      </c>
    </row>
    <row r="53">
      <c r="A53" s="217" t="n">
        <v>44</v>
      </c>
      <c r="B53" s="736">
        <f>IF(RAND()&gt;$B$2,-(RAND()*($D$3-$D$2)+$D$2),RAND()*($C$3-$C$2)+$C$2)</f>
        <v/>
      </c>
      <c r="C53" s="219">
        <f>B53*$E$2</f>
        <v/>
      </c>
      <c r="D53" s="737">
        <f>C53+1</f>
        <v/>
      </c>
      <c r="E53" s="734">
        <f>F53/MAX($F$9:F53)-1</f>
        <v/>
      </c>
      <c r="F53" s="735">
        <f>F52*D53</f>
        <v/>
      </c>
    </row>
    <row r="54">
      <c r="A54" s="217" t="n">
        <v>45</v>
      </c>
      <c r="B54" s="736">
        <f>IF(RAND()&gt;$B$2,-(RAND()*($D$3-$D$2)+$D$2),RAND()*($C$3-$C$2)+$C$2)</f>
        <v/>
      </c>
      <c r="C54" s="219">
        <f>B54*$E$2</f>
        <v/>
      </c>
      <c r="D54" s="737">
        <f>C54+1</f>
        <v/>
      </c>
      <c r="E54" s="734">
        <f>F54/MAX($F$9:F54)-1</f>
        <v/>
      </c>
      <c r="F54" s="735">
        <f>F53*D54</f>
        <v/>
      </c>
    </row>
    <row r="55">
      <c r="A55" s="217" t="n">
        <v>46</v>
      </c>
      <c r="B55" s="736">
        <f>IF(RAND()&gt;$B$2,-(RAND()*($D$3-$D$2)+$D$2),RAND()*($C$3-$C$2)+$C$2)</f>
        <v/>
      </c>
      <c r="C55" s="219">
        <f>B55*$E$2</f>
        <v/>
      </c>
      <c r="D55" s="737">
        <f>C55+1</f>
        <v/>
      </c>
      <c r="E55" s="734">
        <f>F55/MAX($F$9:F55)-1</f>
        <v/>
      </c>
      <c r="F55" s="735">
        <f>F54*D55</f>
        <v/>
      </c>
    </row>
    <row r="56">
      <c r="A56" s="217" t="n">
        <v>47</v>
      </c>
      <c r="B56" s="736">
        <f>IF(RAND()&gt;$B$2,-(RAND()*($D$3-$D$2)+$D$2),RAND()*($C$3-$C$2)+$C$2)</f>
        <v/>
      </c>
      <c r="C56" s="219">
        <f>B56*$E$2</f>
        <v/>
      </c>
      <c r="D56" s="737">
        <f>C56+1</f>
        <v/>
      </c>
      <c r="E56" s="734">
        <f>F56/MAX($F$9:F56)-1</f>
        <v/>
      </c>
      <c r="F56" s="735">
        <f>F55*D56</f>
        <v/>
      </c>
    </row>
    <row r="57">
      <c r="A57" s="217" t="n">
        <v>48</v>
      </c>
      <c r="B57" s="736">
        <f>IF(RAND()&gt;$B$2,-(RAND()*($D$3-$D$2)+$D$2),RAND()*($C$3-$C$2)+$C$2)</f>
        <v/>
      </c>
      <c r="C57" s="219">
        <f>B57*$E$2</f>
        <v/>
      </c>
      <c r="D57" s="737">
        <f>C57+1</f>
        <v/>
      </c>
      <c r="E57" s="734">
        <f>F57/MAX($F$9:F57)-1</f>
        <v/>
      </c>
      <c r="F57" s="735">
        <f>F56*D57</f>
        <v/>
      </c>
    </row>
    <row r="58">
      <c r="A58" s="217" t="n">
        <v>49</v>
      </c>
      <c r="B58" s="736">
        <f>IF(RAND()&gt;$B$2,-(RAND()*($D$3-$D$2)+$D$2),RAND()*($C$3-$C$2)+$C$2)</f>
        <v/>
      </c>
      <c r="C58" s="219">
        <f>B58*$E$2</f>
        <v/>
      </c>
      <c r="D58" s="737">
        <f>C58+1</f>
        <v/>
      </c>
      <c r="E58" s="734">
        <f>F58/MAX($F$9:F58)-1</f>
        <v/>
      </c>
      <c r="F58" s="735">
        <f>F57*D58</f>
        <v/>
      </c>
    </row>
    <row r="59">
      <c r="A59" s="217" t="n">
        <v>50</v>
      </c>
      <c r="B59" s="736">
        <f>IF(RAND()&gt;$B$2,-(RAND()*($D$3-$D$2)+$D$2),RAND()*($C$3-$C$2)+$C$2)</f>
        <v/>
      </c>
      <c r="C59" s="219">
        <f>B59*$E$2</f>
        <v/>
      </c>
      <c r="D59" s="737">
        <f>C59+1</f>
        <v/>
      </c>
      <c r="E59" s="734">
        <f>F59/MAX($F$9:F59)-1</f>
        <v/>
      </c>
      <c r="F59" s="735">
        <f>F58*D59</f>
        <v/>
      </c>
    </row>
    <row r="60">
      <c r="A60" s="217" t="n">
        <v>51</v>
      </c>
      <c r="B60" s="736">
        <f>IF(RAND()&gt;$B$2,-(RAND()*($D$3-$D$2)+$D$2),RAND()*($C$3-$C$2)+$C$2)</f>
        <v/>
      </c>
      <c r="C60" s="219">
        <f>B60*$E$2</f>
        <v/>
      </c>
      <c r="D60" s="737">
        <f>C60+1</f>
        <v/>
      </c>
      <c r="E60" s="734">
        <f>F60/MAX($F$9:F60)-1</f>
        <v/>
      </c>
      <c r="F60" s="735">
        <f>F59*D60</f>
        <v/>
      </c>
    </row>
    <row r="61">
      <c r="A61" s="217" t="n">
        <v>52</v>
      </c>
      <c r="B61" s="736">
        <f>IF(RAND()&gt;$B$2,-(RAND()*($D$3-$D$2)+$D$2),RAND()*($C$3-$C$2)+$C$2)</f>
        <v/>
      </c>
      <c r="C61" s="219">
        <f>B61*$E$2</f>
        <v/>
      </c>
      <c r="D61" s="737">
        <f>C61+1</f>
        <v/>
      </c>
      <c r="E61" s="734">
        <f>F61/MAX($F$9:F61)-1</f>
        <v/>
      </c>
      <c r="F61" s="735">
        <f>F60*D61</f>
        <v/>
      </c>
    </row>
    <row r="62">
      <c r="A62" s="217" t="n">
        <v>53</v>
      </c>
      <c r="B62" s="736">
        <f>IF(RAND()&gt;$B$2,-(RAND()*($D$3-$D$2)+$D$2),RAND()*($C$3-$C$2)+$C$2)</f>
        <v/>
      </c>
      <c r="C62" s="219">
        <f>B62*$E$2</f>
        <v/>
      </c>
      <c r="D62" s="737">
        <f>C62+1</f>
        <v/>
      </c>
      <c r="E62" s="734">
        <f>F62/MAX($F$9:F62)-1</f>
        <v/>
      </c>
      <c r="F62" s="735">
        <f>F61*D62</f>
        <v/>
      </c>
    </row>
    <row r="63">
      <c r="A63" s="217" t="n">
        <v>54</v>
      </c>
      <c r="B63" s="736">
        <f>IF(RAND()&gt;$B$2,-(RAND()*($D$3-$D$2)+$D$2),RAND()*($C$3-$C$2)+$C$2)</f>
        <v/>
      </c>
      <c r="C63" s="219">
        <f>B63*$E$2</f>
        <v/>
      </c>
      <c r="D63" s="737">
        <f>C63+1</f>
        <v/>
      </c>
      <c r="E63" s="734">
        <f>F63/MAX($F$9:F63)-1</f>
        <v/>
      </c>
      <c r="F63" s="735">
        <f>F62*D63</f>
        <v/>
      </c>
    </row>
    <row r="64">
      <c r="A64" s="217" t="n">
        <v>55</v>
      </c>
      <c r="B64" s="736">
        <f>IF(RAND()&gt;$B$2,-(RAND()*($D$3-$D$2)+$D$2),RAND()*($C$3-$C$2)+$C$2)</f>
        <v/>
      </c>
      <c r="C64" s="219">
        <f>B64*$E$2</f>
        <v/>
      </c>
      <c r="D64" s="737">
        <f>C64+1</f>
        <v/>
      </c>
      <c r="E64" s="734">
        <f>F64/MAX($F$9:F64)-1</f>
        <v/>
      </c>
      <c r="F64" s="735">
        <f>F63*D64</f>
        <v/>
      </c>
    </row>
    <row r="65">
      <c r="A65" s="217" t="n">
        <v>56</v>
      </c>
      <c r="B65" s="736">
        <f>IF(RAND()&gt;$B$2,-(RAND()*($D$3-$D$2)+$D$2),RAND()*($C$3-$C$2)+$C$2)</f>
        <v/>
      </c>
      <c r="C65" s="219">
        <f>B65*$E$2</f>
        <v/>
      </c>
      <c r="D65" s="737">
        <f>C65+1</f>
        <v/>
      </c>
      <c r="E65" s="734">
        <f>F65/MAX($F$9:F65)-1</f>
        <v/>
      </c>
      <c r="F65" s="735">
        <f>F64*D65</f>
        <v/>
      </c>
    </row>
    <row r="66">
      <c r="A66" s="217" t="n">
        <v>57</v>
      </c>
      <c r="B66" s="736">
        <f>IF(RAND()&gt;$B$2,-(RAND()*($D$3-$D$2)+$D$2),RAND()*($C$3-$C$2)+$C$2)</f>
        <v/>
      </c>
      <c r="C66" s="219">
        <f>B66*$E$2</f>
        <v/>
      </c>
      <c r="D66" s="737">
        <f>C66+1</f>
        <v/>
      </c>
      <c r="E66" s="734">
        <f>F66/MAX($F$9:F66)-1</f>
        <v/>
      </c>
      <c r="F66" s="735">
        <f>F65*D66</f>
        <v/>
      </c>
    </row>
    <row r="67">
      <c r="A67" s="217" t="n">
        <v>58</v>
      </c>
      <c r="B67" s="736">
        <f>IF(RAND()&gt;$B$2,-(RAND()*($D$3-$D$2)+$D$2),RAND()*($C$3-$C$2)+$C$2)</f>
        <v/>
      </c>
      <c r="C67" s="219">
        <f>B67*$E$2</f>
        <v/>
      </c>
      <c r="D67" s="737">
        <f>C67+1</f>
        <v/>
      </c>
      <c r="E67" s="734">
        <f>F67/MAX($F$9:F67)-1</f>
        <v/>
      </c>
      <c r="F67" s="735">
        <f>F66*D67</f>
        <v/>
      </c>
    </row>
    <row r="68">
      <c r="A68" s="217" t="n">
        <v>59</v>
      </c>
      <c r="B68" s="736">
        <f>IF(RAND()&gt;$B$2,-(RAND()*($D$3-$D$2)+$D$2),RAND()*($C$3-$C$2)+$C$2)</f>
        <v/>
      </c>
      <c r="C68" s="219">
        <f>B68*$E$2</f>
        <v/>
      </c>
      <c r="D68" s="737">
        <f>C68+1</f>
        <v/>
      </c>
      <c r="E68" s="734">
        <f>F68/MAX($F$9:F68)-1</f>
        <v/>
      </c>
      <c r="F68" s="735">
        <f>F67*D68</f>
        <v/>
      </c>
    </row>
    <row r="69">
      <c r="A69" s="217" t="n">
        <v>60</v>
      </c>
      <c r="B69" s="736">
        <f>IF(RAND()&gt;$B$2,-(RAND()*($D$3-$D$2)+$D$2),RAND()*($C$3-$C$2)+$C$2)</f>
        <v/>
      </c>
      <c r="C69" s="219">
        <f>B69*$E$2</f>
        <v/>
      </c>
      <c r="D69" s="737">
        <f>C69+1</f>
        <v/>
      </c>
      <c r="E69" s="734">
        <f>F69/MAX($F$9:F69)-1</f>
        <v/>
      </c>
      <c r="F69" s="735">
        <f>F68*D69</f>
        <v/>
      </c>
    </row>
    <row r="70">
      <c r="A70" s="217" t="n">
        <v>61</v>
      </c>
      <c r="B70" s="736">
        <f>IF(RAND()&gt;$B$2,-(RAND()*($D$3-$D$2)+$D$2),RAND()*($C$3-$C$2)+$C$2)</f>
        <v/>
      </c>
      <c r="C70" s="219">
        <f>B70*$E$2</f>
        <v/>
      </c>
      <c r="D70" s="737">
        <f>C70+1</f>
        <v/>
      </c>
      <c r="E70" s="734">
        <f>F70/MAX($F$9:F70)-1</f>
        <v/>
      </c>
      <c r="F70" s="735">
        <f>F69*D70</f>
        <v/>
      </c>
    </row>
    <row r="71">
      <c r="A71" s="217" t="n">
        <v>62</v>
      </c>
      <c r="B71" s="736">
        <f>IF(RAND()&gt;$B$2,-(RAND()*($D$3-$D$2)+$D$2),RAND()*($C$3-$C$2)+$C$2)</f>
        <v/>
      </c>
      <c r="C71" s="219">
        <f>B71*$E$2</f>
        <v/>
      </c>
      <c r="D71" s="737">
        <f>C71+1</f>
        <v/>
      </c>
      <c r="E71" s="734">
        <f>F71/MAX($F$9:F71)-1</f>
        <v/>
      </c>
      <c r="F71" s="735">
        <f>F70*D71</f>
        <v/>
      </c>
    </row>
    <row r="72">
      <c r="A72" s="217" t="n">
        <v>63</v>
      </c>
      <c r="B72" s="736">
        <f>IF(RAND()&gt;$B$2,-(RAND()*($D$3-$D$2)+$D$2),RAND()*($C$3-$C$2)+$C$2)</f>
        <v/>
      </c>
      <c r="C72" s="219">
        <f>B72*$E$2</f>
        <v/>
      </c>
      <c r="D72" s="737">
        <f>C72+1</f>
        <v/>
      </c>
      <c r="E72" s="734">
        <f>F72/MAX($F$9:F72)-1</f>
        <v/>
      </c>
      <c r="F72" s="735">
        <f>F71*D72</f>
        <v/>
      </c>
    </row>
    <row r="73">
      <c r="A73" s="217" t="n">
        <v>64</v>
      </c>
      <c r="B73" s="736">
        <f>IF(RAND()&gt;$B$2,-(RAND()*($D$3-$D$2)+$D$2),RAND()*($C$3-$C$2)+$C$2)</f>
        <v/>
      </c>
      <c r="C73" s="219">
        <f>B73*$E$2</f>
        <v/>
      </c>
      <c r="D73" s="737">
        <f>C73+1</f>
        <v/>
      </c>
      <c r="E73" s="734">
        <f>F73/MAX($F$9:F73)-1</f>
        <v/>
      </c>
      <c r="F73" s="735">
        <f>F72*D73</f>
        <v/>
      </c>
    </row>
    <row r="74">
      <c r="A74" s="217" t="n">
        <v>65</v>
      </c>
      <c r="B74" s="736">
        <f>IF(RAND()&gt;$B$2,-(RAND()*($D$3-$D$2)+$D$2),RAND()*($C$3-$C$2)+$C$2)</f>
        <v/>
      </c>
      <c r="C74" s="219">
        <f>B74*$E$2</f>
        <v/>
      </c>
      <c r="D74" s="737">
        <f>C74+1</f>
        <v/>
      </c>
      <c r="E74" s="734">
        <f>F74/MAX($F$9:F74)-1</f>
        <v/>
      </c>
      <c r="F74" s="735">
        <f>F73*D74</f>
        <v/>
      </c>
    </row>
    <row r="75">
      <c r="A75" s="217" t="n">
        <v>66</v>
      </c>
      <c r="B75" s="736">
        <f>IF(RAND()&gt;$B$2,-(RAND()*($D$3-$D$2)+$D$2),RAND()*($C$3-$C$2)+$C$2)</f>
        <v/>
      </c>
      <c r="C75" s="219">
        <f>B75*$E$2</f>
        <v/>
      </c>
      <c r="D75" s="737">
        <f>C75+1</f>
        <v/>
      </c>
      <c r="E75" s="734">
        <f>F75/MAX($F$9:F75)-1</f>
        <v/>
      </c>
      <c r="F75" s="735">
        <f>F74*D75</f>
        <v/>
      </c>
    </row>
    <row r="76">
      <c r="A76" s="217" t="n">
        <v>67</v>
      </c>
      <c r="B76" s="736">
        <f>IF(RAND()&gt;$B$2,-(RAND()*($D$3-$D$2)+$D$2),RAND()*($C$3-$C$2)+$C$2)</f>
        <v/>
      </c>
      <c r="C76" s="219">
        <f>B76*$E$2</f>
        <v/>
      </c>
      <c r="D76" s="737">
        <f>C76+1</f>
        <v/>
      </c>
      <c r="E76" s="734">
        <f>F76/MAX($F$9:F76)-1</f>
        <v/>
      </c>
      <c r="F76" s="735">
        <f>F75*D76</f>
        <v/>
      </c>
    </row>
    <row r="77">
      <c r="A77" s="217" t="n">
        <v>68</v>
      </c>
      <c r="B77" s="736">
        <f>IF(RAND()&gt;$B$2,-(RAND()*($D$3-$D$2)+$D$2),RAND()*($C$3-$C$2)+$C$2)</f>
        <v/>
      </c>
      <c r="C77" s="219">
        <f>B77*$E$2</f>
        <v/>
      </c>
      <c r="D77" s="737">
        <f>C77+1</f>
        <v/>
      </c>
      <c r="E77" s="734">
        <f>F77/MAX($F$9:F77)-1</f>
        <v/>
      </c>
      <c r="F77" s="735">
        <f>F76*D77</f>
        <v/>
      </c>
    </row>
    <row r="78">
      <c r="A78" s="217" t="n">
        <v>69</v>
      </c>
      <c r="B78" s="736">
        <f>IF(RAND()&gt;$B$2,-(RAND()*($D$3-$D$2)+$D$2),RAND()*($C$3-$C$2)+$C$2)</f>
        <v/>
      </c>
      <c r="C78" s="219">
        <f>B78*$E$2</f>
        <v/>
      </c>
      <c r="D78" s="737">
        <f>C78+1</f>
        <v/>
      </c>
      <c r="E78" s="734">
        <f>F78/MAX($F$9:F78)-1</f>
        <v/>
      </c>
      <c r="F78" s="735">
        <f>F77*D78</f>
        <v/>
      </c>
    </row>
    <row r="79">
      <c r="A79" s="217" t="n">
        <v>70</v>
      </c>
      <c r="B79" s="736">
        <f>IF(RAND()&gt;$B$2,-(RAND()*($D$3-$D$2)+$D$2),RAND()*($C$3-$C$2)+$C$2)</f>
        <v/>
      </c>
      <c r="C79" s="219">
        <f>B79*$E$2</f>
        <v/>
      </c>
      <c r="D79" s="737">
        <f>C79+1</f>
        <v/>
      </c>
      <c r="E79" s="734">
        <f>F79/MAX($F$9:F79)-1</f>
        <v/>
      </c>
      <c r="F79" s="735">
        <f>F78*D79</f>
        <v/>
      </c>
    </row>
    <row r="80">
      <c r="A80" s="217" t="n">
        <v>71</v>
      </c>
      <c r="B80" s="736">
        <f>IF(RAND()&gt;$B$2,-(RAND()*($D$3-$D$2)+$D$2),RAND()*($C$3-$C$2)+$C$2)</f>
        <v/>
      </c>
      <c r="C80" s="219">
        <f>B80*$E$2</f>
        <v/>
      </c>
      <c r="D80" s="737">
        <f>C80+1</f>
        <v/>
      </c>
      <c r="E80" s="734">
        <f>F80/MAX($F$9:F80)-1</f>
        <v/>
      </c>
      <c r="F80" s="735">
        <f>F79*D80</f>
        <v/>
      </c>
    </row>
    <row r="81">
      <c r="A81" s="217" t="n">
        <v>72</v>
      </c>
      <c r="B81" s="736">
        <f>IF(RAND()&gt;$B$2,-(RAND()*($D$3-$D$2)+$D$2),RAND()*($C$3-$C$2)+$C$2)</f>
        <v/>
      </c>
      <c r="C81" s="219">
        <f>B81*$E$2</f>
        <v/>
      </c>
      <c r="D81" s="737">
        <f>C81+1</f>
        <v/>
      </c>
      <c r="E81" s="734">
        <f>F81/MAX($F$9:F81)-1</f>
        <v/>
      </c>
      <c r="F81" s="735">
        <f>F80*D81</f>
        <v/>
      </c>
    </row>
    <row r="82">
      <c r="A82" s="217" t="n">
        <v>73</v>
      </c>
      <c r="B82" s="736">
        <f>IF(RAND()&gt;$B$2,-(RAND()*($D$3-$D$2)+$D$2),RAND()*($C$3-$C$2)+$C$2)</f>
        <v/>
      </c>
      <c r="C82" s="219">
        <f>B82*$E$2</f>
        <v/>
      </c>
      <c r="D82" s="737">
        <f>C82+1</f>
        <v/>
      </c>
      <c r="E82" s="734">
        <f>F82/MAX($F$9:F82)-1</f>
        <v/>
      </c>
      <c r="F82" s="735">
        <f>F81*D82</f>
        <v/>
      </c>
    </row>
    <row r="83">
      <c r="A83" s="217" t="n">
        <v>74</v>
      </c>
      <c r="B83" s="736">
        <f>IF(RAND()&gt;$B$2,-(RAND()*($D$3-$D$2)+$D$2),RAND()*($C$3-$C$2)+$C$2)</f>
        <v/>
      </c>
      <c r="C83" s="219">
        <f>B83*$E$2</f>
        <v/>
      </c>
      <c r="D83" s="737">
        <f>C83+1</f>
        <v/>
      </c>
      <c r="E83" s="734">
        <f>F83/MAX($F$9:F83)-1</f>
        <v/>
      </c>
      <c r="F83" s="735">
        <f>F82*D83</f>
        <v/>
      </c>
    </row>
    <row r="84">
      <c r="A84" s="217" t="n">
        <v>75</v>
      </c>
      <c r="B84" s="736">
        <f>IF(RAND()&gt;$B$2,-(RAND()*($D$3-$D$2)+$D$2),RAND()*($C$3-$C$2)+$C$2)</f>
        <v/>
      </c>
      <c r="C84" s="219">
        <f>B84*$E$2</f>
        <v/>
      </c>
      <c r="D84" s="737">
        <f>C84+1</f>
        <v/>
      </c>
      <c r="E84" s="734">
        <f>F84/MAX($F$9:F84)-1</f>
        <v/>
      </c>
      <c r="F84" s="735">
        <f>F83*D84</f>
        <v/>
      </c>
    </row>
    <row r="85">
      <c r="A85" s="217" t="n">
        <v>76</v>
      </c>
      <c r="B85" s="736">
        <f>IF(RAND()&gt;$B$2,-(RAND()*($D$3-$D$2)+$D$2),RAND()*($C$3-$C$2)+$C$2)</f>
        <v/>
      </c>
      <c r="C85" s="219">
        <f>B85*$E$2</f>
        <v/>
      </c>
      <c r="D85" s="737">
        <f>C85+1</f>
        <v/>
      </c>
      <c r="E85" s="734">
        <f>F85/MAX($F$9:F85)-1</f>
        <v/>
      </c>
      <c r="F85" s="735">
        <f>F84*D85</f>
        <v/>
      </c>
    </row>
    <row r="86">
      <c r="A86" s="217" t="n">
        <v>77</v>
      </c>
      <c r="B86" s="736">
        <f>IF(RAND()&gt;$B$2,-(RAND()*($D$3-$D$2)+$D$2),RAND()*($C$3-$C$2)+$C$2)</f>
        <v/>
      </c>
      <c r="C86" s="219">
        <f>B86*$E$2</f>
        <v/>
      </c>
      <c r="D86" s="737">
        <f>C86+1</f>
        <v/>
      </c>
      <c r="E86" s="734">
        <f>F86/MAX($F$9:F86)-1</f>
        <v/>
      </c>
      <c r="F86" s="735">
        <f>F85*D86</f>
        <v/>
      </c>
    </row>
    <row r="87">
      <c r="A87" s="217" t="n">
        <v>78</v>
      </c>
      <c r="B87" s="736">
        <f>IF(RAND()&gt;$B$2,-(RAND()*($D$3-$D$2)+$D$2),RAND()*($C$3-$C$2)+$C$2)</f>
        <v/>
      </c>
      <c r="C87" s="219">
        <f>B87*$E$2</f>
        <v/>
      </c>
      <c r="D87" s="737">
        <f>C87+1</f>
        <v/>
      </c>
      <c r="E87" s="734">
        <f>F87/MAX($F$9:F87)-1</f>
        <v/>
      </c>
      <c r="F87" s="735">
        <f>F86*D87</f>
        <v/>
      </c>
    </row>
    <row r="88">
      <c r="A88" s="217" t="n">
        <v>79</v>
      </c>
      <c r="B88" s="736">
        <f>IF(RAND()&gt;$B$2,-(RAND()*($D$3-$D$2)+$D$2),RAND()*($C$3-$C$2)+$C$2)</f>
        <v/>
      </c>
      <c r="C88" s="219">
        <f>B88*$E$2</f>
        <v/>
      </c>
      <c r="D88" s="737">
        <f>C88+1</f>
        <v/>
      </c>
      <c r="E88" s="734">
        <f>F88/MAX($F$9:F88)-1</f>
        <v/>
      </c>
      <c r="F88" s="735">
        <f>F87*D88</f>
        <v/>
      </c>
    </row>
    <row r="89">
      <c r="A89" s="217" t="n">
        <v>80</v>
      </c>
      <c r="B89" s="736">
        <f>IF(RAND()&gt;$B$2,-(RAND()*($D$3-$D$2)+$D$2),RAND()*($C$3-$C$2)+$C$2)</f>
        <v/>
      </c>
      <c r="C89" s="219">
        <f>B89*$E$2</f>
        <v/>
      </c>
      <c r="D89" s="737">
        <f>C89+1</f>
        <v/>
      </c>
      <c r="E89" s="734">
        <f>F89/MAX($F$9:F89)-1</f>
        <v/>
      </c>
      <c r="F89" s="735">
        <f>F88*D89</f>
        <v/>
      </c>
    </row>
    <row r="90">
      <c r="A90" s="217" t="n">
        <v>81</v>
      </c>
      <c r="B90" s="736">
        <f>IF(RAND()&gt;$B$2,-(RAND()*($D$3-$D$2)+$D$2),RAND()*($C$3-$C$2)+$C$2)</f>
        <v/>
      </c>
      <c r="C90" s="219">
        <f>B90*$E$2</f>
        <v/>
      </c>
      <c r="D90" s="737">
        <f>C90+1</f>
        <v/>
      </c>
      <c r="E90" s="734">
        <f>F90/MAX($F$9:F90)-1</f>
        <v/>
      </c>
      <c r="F90" s="735">
        <f>F89*D90</f>
        <v/>
      </c>
    </row>
    <row r="91">
      <c r="A91" s="217" t="n">
        <v>82</v>
      </c>
      <c r="B91" s="736">
        <f>IF(RAND()&gt;$B$2,-(RAND()*($D$3-$D$2)+$D$2),RAND()*($C$3-$C$2)+$C$2)</f>
        <v/>
      </c>
      <c r="C91" s="219">
        <f>B91*$E$2</f>
        <v/>
      </c>
      <c r="D91" s="737">
        <f>C91+1</f>
        <v/>
      </c>
      <c r="E91" s="734">
        <f>F91/MAX($F$9:F91)-1</f>
        <v/>
      </c>
      <c r="F91" s="735">
        <f>F90*D91</f>
        <v/>
      </c>
    </row>
    <row r="92">
      <c r="A92" s="217" t="n">
        <v>83</v>
      </c>
      <c r="B92" s="736">
        <f>IF(RAND()&gt;$B$2,-(RAND()*($D$3-$D$2)+$D$2),RAND()*($C$3-$C$2)+$C$2)</f>
        <v/>
      </c>
      <c r="C92" s="219">
        <f>B92*$E$2</f>
        <v/>
      </c>
      <c r="D92" s="737">
        <f>C92+1</f>
        <v/>
      </c>
      <c r="E92" s="734">
        <f>F92/MAX($F$9:F92)-1</f>
        <v/>
      </c>
      <c r="F92" s="735">
        <f>F91*D92</f>
        <v/>
      </c>
    </row>
    <row r="93">
      <c r="A93" s="217" t="n">
        <v>84</v>
      </c>
      <c r="B93" s="736">
        <f>IF(RAND()&gt;$B$2,-(RAND()*($D$3-$D$2)+$D$2),RAND()*($C$3-$C$2)+$C$2)</f>
        <v/>
      </c>
      <c r="C93" s="219">
        <f>B93*$E$2</f>
        <v/>
      </c>
      <c r="D93" s="737">
        <f>C93+1</f>
        <v/>
      </c>
      <c r="E93" s="734">
        <f>F93/MAX($F$9:F93)-1</f>
        <v/>
      </c>
      <c r="F93" s="735">
        <f>F92*D93</f>
        <v/>
      </c>
    </row>
    <row r="94">
      <c r="A94" s="217" t="n">
        <v>85</v>
      </c>
      <c r="B94" s="736">
        <f>IF(RAND()&gt;$B$2,-(RAND()*($D$3-$D$2)+$D$2),RAND()*($C$3-$C$2)+$C$2)</f>
        <v/>
      </c>
      <c r="C94" s="219">
        <f>B94*$E$2</f>
        <v/>
      </c>
      <c r="D94" s="737">
        <f>C94+1</f>
        <v/>
      </c>
      <c r="E94" s="734">
        <f>F94/MAX($F$9:F94)-1</f>
        <v/>
      </c>
      <c r="F94" s="735">
        <f>F93*D94</f>
        <v/>
      </c>
    </row>
    <row r="95">
      <c r="A95" s="217" t="n">
        <v>86</v>
      </c>
      <c r="B95" s="736">
        <f>IF(RAND()&gt;$B$2,-(RAND()*($D$3-$D$2)+$D$2),RAND()*($C$3-$C$2)+$C$2)</f>
        <v/>
      </c>
      <c r="C95" s="219">
        <f>B95*$E$2</f>
        <v/>
      </c>
      <c r="D95" s="737">
        <f>C95+1</f>
        <v/>
      </c>
      <c r="E95" s="734">
        <f>F95/MAX($F$9:F95)-1</f>
        <v/>
      </c>
      <c r="F95" s="735">
        <f>F94*D95</f>
        <v/>
      </c>
    </row>
    <row r="96">
      <c r="A96" s="217" t="n">
        <v>87</v>
      </c>
      <c r="B96" s="736">
        <f>IF(RAND()&gt;$B$2,-(RAND()*($D$3-$D$2)+$D$2),RAND()*($C$3-$C$2)+$C$2)</f>
        <v/>
      </c>
      <c r="C96" s="219">
        <f>B96*$E$2</f>
        <v/>
      </c>
      <c r="D96" s="737">
        <f>C96+1</f>
        <v/>
      </c>
      <c r="E96" s="734">
        <f>F96/MAX($F$9:F96)-1</f>
        <v/>
      </c>
      <c r="F96" s="735">
        <f>F95*D96</f>
        <v/>
      </c>
    </row>
    <row r="97">
      <c r="A97" s="217" t="n">
        <v>88</v>
      </c>
      <c r="B97" s="736">
        <f>IF(RAND()&gt;$B$2,-(RAND()*($D$3-$D$2)+$D$2),RAND()*($C$3-$C$2)+$C$2)</f>
        <v/>
      </c>
      <c r="C97" s="219">
        <f>B97*$E$2</f>
        <v/>
      </c>
      <c r="D97" s="737">
        <f>C97+1</f>
        <v/>
      </c>
      <c r="E97" s="734">
        <f>F97/MAX($F$9:F97)-1</f>
        <v/>
      </c>
      <c r="F97" s="735">
        <f>F96*D97</f>
        <v/>
      </c>
    </row>
    <row r="98">
      <c r="A98" s="217" t="n">
        <v>89</v>
      </c>
      <c r="B98" s="736">
        <f>IF(RAND()&gt;$B$2,-(RAND()*($D$3-$D$2)+$D$2),RAND()*($C$3-$C$2)+$C$2)</f>
        <v/>
      </c>
      <c r="C98" s="219">
        <f>B98*$E$2</f>
        <v/>
      </c>
      <c r="D98" s="737">
        <f>C98+1</f>
        <v/>
      </c>
      <c r="E98" s="734">
        <f>F98/MAX($F$9:F98)-1</f>
        <v/>
      </c>
      <c r="F98" s="735">
        <f>F97*D98</f>
        <v/>
      </c>
    </row>
    <row r="99">
      <c r="A99" s="217" t="n">
        <v>90</v>
      </c>
      <c r="B99" s="736">
        <f>IF(RAND()&gt;$B$2,-(RAND()*($D$3-$D$2)+$D$2),RAND()*($C$3-$C$2)+$C$2)</f>
        <v/>
      </c>
      <c r="C99" s="219">
        <f>B99*$E$2</f>
        <v/>
      </c>
      <c r="D99" s="737">
        <f>C99+1</f>
        <v/>
      </c>
      <c r="E99" s="734">
        <f>F99/MAX($F$9:F99)-1</f>
        <v/>
      </c>
      <c r="F99" s="735">
        <f>F98*D99</f>
        <v/>
      </c>
    </row>
    <row r="100">
      <c r="A100" s="217" t="n">
        <v>91</v>
      </c>
      <c r="B100" s="736">
        <f>IF(RAND()&gt;$B$2,-(RAND()*($D$3-$D$2)+$D$2),RAND()*($C$3-$C$2)+$C$2)</f>
        <v/>
      </c>
      <c r="C100" s="219">
        <f>B100*$E$2</f>
        <v/>
      </c>
      <c r="D100" s="737">
        <f>C100+1</f>
        <v/>
      </c>
      <c r="E100" s="734">
        <f>F100/MAX($F$9:F100)-1</f>
        <v/>
      </c>
      <c r="F100" s="735">
        <f>F99*D100</f>
        <v/>
      </c>
    </row>
    <row r="101">
      <c r="A101" s="217" t="n">
        <v>92</v>
      </c>
      <c r="B101" s="736">
        <f>IF(RAND()&gt;$B$2,-(RAND()*($D$3-$D$2)+$D$2),RAND()*($C$3-$C$2)+$C$2)</f>
        <v/>
      </c>
      <c r="C101" s="219">
        <f>B101*$E$2</f>
        <v/>
      </c>
      <c r="D101" s="737">
        <f>C101+1</f>
        <v/>
      </c>
      <c r="E101" s="734">
        <f>F101/MAX($F$9:F101)-1</f>
        <v/>
      </c>
      <c r="F101" s="735">
        <f>F100*D101</f>
        <v/>
      </c>
    </row>
    <row r="102">
      <c r="A102" s="217" t="n">
        <v>93</v>
      </c>
      <c r="B102" s="736">
        <f>IF(RAND()&gt;$B$2,-(RAND()*($D$3-$D$2)+$D$2),RAND()*($C$3-$C$2)+$C$2)</f>
        <v/>
      </c>
      <c r="C102" s="219">
        <f>B102*$E$2</f>
        <v/>
      </c>
      <c r="D102" s="737">
        <f>C102+1</f>
        <v/>
      </c>
      <c r="E102" s="734">
        <f>F102/MAX($F$9:F102)-1</f>
        <v/>
      </c>
      <c r="F102" s="735">
        <f>F101*D102</f>
        <v/>
      </c>
    </row>
    <row r="103">
      <c r="A103" s="217" t="n">
        <v>94</v>
      </c>
      <c r="B103" s="736">
        <f>IF(RAND()&gt;$B$2,-(RAND()*($D$3-$D$2)+$D$2),RAND()*($C$3-$C$2)+$C$2)</f>
        <v/>
      </c>
      <c r="C103" s="219">
        <f>B103*$E$2</f>
        <v/>
      </c>
      <c r="D103" s="737">
        <f>C103+1</f>
        <v/>
      </c>
      <c r="E103" s="734">
        <f>F103/MAX($F$9:F103)-1</f>
        <v/>
      </c>
      <c r="F103" s="735">
        <f>F102*D103</f>
        <v/>
      </c>
    </row>
    <row r="104">
      <c r="A104" s="217" t="n">
        <v>95</v>
      </c>
      <c r="B104" s="736">
        <f>IF(RAND()&gt;$B$2,-(RAND()*($D$3-$D$2)+$D$2),RAND()*($C$3-$C$2)+$C$2)</f>
        <v/>
      </c>
      <c r="C104" s="219">
        <f>B104*$E$2</f>
        <v/>
      </c>
      <c r="D104" s="737">
        <f>C104+1</f>
        <v/>
      </c>
      <c r="E104" s="734">
        <f>F104/MAX($F$9:F104)-1</f>
        <v/>
      </c>
      <c r="F104" s="735">
        <f>F103*D104</f>
        <v/>
      </c>
    </row>
    <row r="105">
      <c r="A105" s="217" t="n">
        <v>96</v>
      </c>
      <c r="B105" s="736">
        <f>IF(RAND()&gt;$B$2,-(RAND()*($D$3-$D$2)+$D$2),RAND()*($C$3-$C$2)+$C$2)</f>
        <v/>
      </c>
      <c r="C105" s="219">
        <f>B105*$E$2</f>
        <v/>
      </c>
      <c r="D105" s="737">
        <f>C105+1</f>
        <v/>
      </c>
      <c r="E105" s="734">
        <f>F105/MAX($F$9:F105)-1</f>
        <v/>
      </c>
      <c r="F105" s="735">
        <f>F104*D105</f>
        <v/>
      </c>
    </row>
    <row r="106">
      <c r="A106" s="217" t="n">
        <v>97</v>
      </c>
      <c r="B106" s="736">
        <f>IF(RAND()&gt;$B$2,-(RAND()*($D$3-$D$2)+$D$2),RAND()*($C$3-$C$2)+$C$2)</f>
        <v/>
      </c>
      <c r="C106" s="219">
        <f>B106*$E$2</f>
        <v/>
      </c>
      <c r="D106" s="737">
        <f>C106+1</f>
        <v/>
      </c>
      <c r="E106" s="734">
        <f>F106/MAX($F$9:F106)-1</f>
        <v/>
      </c>
      <c r="F106" s="735">
        <f>F105*D106</f>
        <v/>
      </c>
    </row>
    <row r="107">
      <c r="A107" s="217" t="n">
        <v>98</v>
      </c>
      <c r="B107" s="736">
        <f>IF(RAND()&gt;$B$2,-(RAND()*($D$3-$D$2)+$D$2),RAND()*($C$3-$C$2)+$C$2)</f>
        <v/>
      </c>
      <c r="C107" s="219">
        <f>B107*$E$2</f>
        <v/>
      </c>
      <c r="D107" s="737">
        <f>C107+1</f>
        <v/>
      </c>
      <c r="E107" s="734">
        <f>F107/MAX($F$9:F107)-1</f>
        <v/>
      </c>
      <c r="F107" s="735">
        <f>F106*D107</f>
        <v/>
      </c>
    </row>
    <row r="108">
      <c r="A108" s="217" t="n">
        <v>99</v>
      </c>
      <c r="B108" s="736">
        <f>IF(RAND()&gt;$B$2,-(RAND()*($D$3-$D$2)+$D$2),RAND()*($C$3-$C$2)+$C$2)</f>
        <v/>
      </c>
      <c r="C108" s="219">
        <f>B108*$E$2</f>
        <v/>
      </c>
      <c r="D108" s="737">
        <f>C108+1</f>
        <v/>
      </c>
      <c r="E108" s="734">
        <f>F108/MAX($F$9:F108)-1</f>
        <v/>
      </c>
      <c r="F108" s="735">
        <f>F107*D108</f>
        <v/>
      </c>
    </row>
    <row r="109" ht="15" customHeight="1" thickBot="1">
      <c r="A109" s="221" t="n">
        <v>100</v>
      </c>
      <c r="B109" s="738">
        <f>IF(RAND()&gt;$B$2,-(RAND()*($D$3-$D$2)+$D$2),RAND()*($C$3-$C$2)+$C$2)</f>
        <v/>
      </c>
      <c r="C109" s="223">
        <f>B109*$E$2</f>
        <v/>
      </c>
      <c r="D109" s="739">
        <f>C109+1</f>
        <v/>
      </c>
      <c r="E109" s="740">
        <f>F109/MAX($F$9:F109)-1</f>
        <v/>
      </c>
      <c r="F109" s="741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42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-0.5445070328348873</v>
      </c>
      <c r="F8" s="755" t="n">
        <v>-0.03432552575846603</v>
      </c>
      <c r="G8" s="755" t="n">
        <v>-0.03318670589439995</v>
      </c>
      <c r="H8" s="755" t="n">
        <v>-0.1105566951803516</v>
      </c>
      <c r="I8" s="756" t="n">
        <v>0.0193483628986296</v>
      </c>
      <c r="J8" s="757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758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758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24.78755156709348</v>
      </c>
      <c r="J11" s="76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39.57728304350999</v>
      </c>
      <c r="G12" s="761" t="n">
        <v>37.59984571659223</v>
      </c>
      <c r="H12" s="761" t="n">
        <v>27.50593499967114</v>
      </c>
      <c r="I12" s="761" t="n">
        <v>21.9558169805432</v>
      </c>
      <c r="J12" s="76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-0.0006022022062888776</v>
      </c>
      <c r="G19" s="755" t="n">
        <v>-0.0005267731094349198</v>
      </c>
      <c r="H19" s="755" t="n">
        <v>-0.002696504760496379</v>
      </c>
      <c r="I19" s="756" t="n">
        <v>0.0005374545249619332</v>
      </c>
      <c r="J19" s="757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-0.002984673323639084</v>
      </c>
      <c r="H20" s="766" t="n">
        <v>-0.2101131399128008</v>
      </c>
      <c r="I20" s="765" t="n">
        <v>0.0786592940708411</v>
      </c>
      <c r="J20" s="767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770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7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7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7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7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773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75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76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77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770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79" t="inlineStr">
        <is>
          <t>-2.786R - USDCAD 2018-09-06</t>
        </is>
      </c>
      <c r="C32" s="779" t="inlineStr">
        <is>
          <t>-10.750R - GBPAUD 2019-07-25</t>
        </is>
      </c>
      <c r="D32" s="779" t="inlineStr">
        <is>
          <t>-1.438R - EURNZD 2020-12-25</t>
        </is>
      </c>
      <c r="E32" s="779" t="inlineStr">
        <is>
          <t>-1.600R - EURGBP 2021-07-07</t>
        </is>
      </c>
      <c r="F32" s="845" t="inlineStr">
        <is>
          <t>-1.358R - NZDCAD 2022-05-05</t>
        </is>
      </c>
      <c r="G32" s="845" t="inlineStr">
        <is>
          <t>-1.168R - BTCUSDT 2023-07-14</t>
        </is>
      </c>
      <c r="H32" s="845" t="inlineStr">
        <is>
          <t>-2.300R - USDCHF 2024-10-03</t>
        </is>
      </c>
      <c r="I32" s="845" t="inlineStr">
        <is>
          <t>-1.221R - DOGEUSDT 2025-01-19</t>
        </is>
      </c>
      <c r="J32" s="782" t="inlineStr"/>
    </row>
    <row r="33" ht="14.5" customHeight="1">
      <c r="A33" s="764" t="inlineStr">
        <is>
          <t>Max R win</t>
        </is>
      </c>
      <c r="B33" s="810" t="inlineStr">
        <is>
          <t>5.967R - USDCHF 2018-10-11</t>
        </is>
      </c>
      <c r="C33" s="810" t="inlineStr">
        <is>
          <t>3.988R - EURAUD 2019-07-16</t>
        </is>
      </c>
      <c r="D33" s="811" t="inlineStr">
        <is>
          <t>4.872R - ERDUSDT 2020-09-03</t>
        </is>
      </c>
      <c r="E33" s="810" t="inlineStr">
        <is>
          <t>5.953R - ETHUSDT 2021-09-26</t>
        </is>
      </c>
      <c r="F33" s="811" t="inlineStr">
        <is>
          <t>3.527R - EURGBP 2022-02-04</t>
        </is>
      </c>
      <c r="G33" s="811" t="inlineStr">
        <is>
          <t>2.263R - EURUSD 2023-07-07</t>
        </is>
      </c>
      <c r="H33" s="811" t="inlineStr">
        <is>
          <t>2.036R - GBPUSD 2024-03-12</t>
        </is>
      </c>
      <c r="I33" s="811" t="inlineStr">
        <is>
          <t>2.410R - ETHUSDT 2025-08-21</t>
        </is>
      </c>
      <c r="J33" s="767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786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6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7" t="inlineStr"/>
    </row>
    <row r="38" ht="14.5" customHeight="1">
      <c r="A38" s="745" t="inlineStr">
        <is>
          <t>Avg target %</t>
        </is>
      </c>
      <c r="B38" s="593" t="n">
        <v>0.002128162314682108</v>
      </c>
      <c r="C38" s="593" t="n">
        <v>0.002659619072446864</v>
      </c>
      <c r="D38" s="593" t="n">
        <v>0.05862606405545872</v>
      </c>
      <c r="E38" s="593" t="n">
        <v>0.05463025387409787</v>
      </c>
      <c r="F38" s="593" t="n">
        <v>0.01010305285030776</v>
      </c>
      <c r="G38" s="593" t="n">
        <v>0.01021308160301508</v>
      </c>
      <c r="H38" s="593" t="n">
        <v>0.02360754754462832</v>
      </c>
      <c r="I38" s="593" t="n">
        <v>0.03863745666857066</v>
      </c>
      <c r="J38" s="758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7" t="inlineStr"/>
    </row>
    <row r="40" ht="14.5" customHeight="1">
      <c r="A40" s="745" t="inlineStr">
        <is>
          <t>R expectancy</t>
        </is>
      </c>
      <c r="B40" s="787" t="n">
        <v>1.755119010130085</v>
      </c>
      <c r="C40" s="787" t="n">
        <v>1.544526798838253</v>
      </c>
      <c r="D40" s="787" t="n">
        <v>2.152907810679447</v>
      </c>
      <c r="E40" s="787" t="n">
        <v>2.660901329749508</v>
      </c>
      <c r="F40" s="787" t="n">
        <v>1.960493476330993</v>
      </c>
      <c r="G40" s="787" t="n">
        <v>1.871187499524876</v>
      </c>
      <c r="H40" s="787" t="n">
        <v>1.59013136814774</v>
      </c>
      <c r="I40" s="787" t="n">
        <v>1.906734735930268</v>
      </c>
      <c r="J40" s="76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76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791" t="n">
        <v>0.001830755980484696</v>
      </c>
      <c r="C46" s="791" t="n">
        <v>0.002689218539574303</v>
      </c>
      <c r="D46" s="791" t="n">
        <v>0.07417857960859524</v>
      </c>
      <c r="E46" s="791" t="n">
        <v>0.06031273645315838</v>
      </c>
      <c r="F46" s="791" t="n">
        <v>0.01694629163756109</v>
      </c>
      <c r="G46" s="791" t="n">
        <v>0.01303796161016449</v>
      </c>
      <c r="H46" s="791" t="n">
        <v>0.02272384767505359</v>
      </c>
      <c r="I46" s="791" t="n">
        <v>0.04727810819303913</v>
      </c>
      <c r="J46" s="792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-0.009202486148642896</v>
      </c>
      <c r="G47" s="755" t="n">
        <v>-0.009452007748443427</v>
      </c>
      <c r="H47" s="755" t="n">
        <v>-0.009128106647569533</v>
      </c>
      <c r="I47" s="755" t="n">
        <v>-0.009513382065348637</v>
      </c>
      <c r="J47" s="757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-0.9546007382844869</v>
      </c>
      <c r="J48" s="782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594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594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5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7" t="inlineStr"/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2019-02-04 22:12:00</t>
        </is>
      </c>
      <c r="D54" s="793" t="inlineStr">
        <is>
          <t>2020-10-28 01:44:00</t>
        </is>
      </c>
      <c r="E54" s="793" t="inlineStr">
        <is>
          <t>2021-01-02 22:39:00</t>
        </is>
      </c>
      <c r="F54" s="793" t="inlineStr">
        <is>
          <t>2022-06-09 22:25:00</t>
        </is>
      </c>
      <c r="G54" s="793" t="inlineStr">
        <is>
          <t>2023-03-10 15:57:08</t>
        </is>
      </c>
      <c r="H54" s="793" t="inlineStr">
        <is>
          <t>2024-01-20 04:50:00</t>
        </is>
      </c>
      <c r="I54" s="793" t="inlineStr">
        <is>
          <t>2025-06-27 12:23:00</t>
        </is>
      </c>
      <c r="J54" s="794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76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7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758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594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77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797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98" t="n">
        <v>0</v>
      </c>
    </row>
    <row r="62" ht="14.5" customHeight="1">
      <c r="A62" s="748" t="inlineStr">
        <is>
          <t>Long losses</t>
        </is>
      </c>
      <c r="B62" s="799" t="n">
        <v>159</v>
      </c>
      <c r="C62" s="799" t="n">
        <v>116</v>
      </c>
      <c r="D62" s="799" t="n">
        <v>151</v>
      </c>
      <c r="E62" s="799" t="n">
        <v>157</v>
      </c>
      <c r="F62" s="799" t="n">
        <v>17</v>
      </c>
      <c r="G62" s="799" t="n">
        <v>11</v>
      </c>
      <c r="H62" s="799" t="n">
        <v>19</v>
      </c>
      <c r="I62" s="799" t="n">
        <v>12</v>
      </c>
      <c r="J62" s="800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9" t="inlineStr">
        <is>
          <t>0.160R - GBPCAD 2022-05-05</t>
        </is>
      </c>
      <c r="G80" s="809" t="inlineStr">
        <is>
          <t>0.426R - CADJPY 2023-09-15</t>
        </is>
      </c>
      <c r="H80" s="809" t="inlineStr">
        <is>
          <t>0.147R - EURUSD 2024-11-21</t>
        </is>
      </c>
      <c r="I80" s="809" t="inlineStr">
        <is>
          <t>1.467R - XAUUSD 2025-09-18</t>
        </is>
      </c>
      <c r="J80" s="782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1" t="inlineStr">
        <is>
          <t>3.527R - EURGBP 2022-02-04</t>
        </is>
      </c>
      <c r="G81" s="811" t="inlineStr">
        <is>
          <t>2.263R - EURUSD 2023-07-07</t>
        </is>
      </c>
      <c r="H81" s="811" t="inlineStr">
        <is>
          <t>2.036R - GBPUSD 2024-03-12</t>
        </is>
      </c>
      <c r="I81" s="811" t="inlineStr">
        <is>
          <t>2.410R - ETHUSDT 2025-08-21</t>
        </is>
      </c>
      <c r="J81" s="767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812" t="inlineStr">
        <is>
          <t>0.04359578% - EURJPY 2020-05-06</t>
        </is>
      </c>
      <c r="E82" s="774" t="inlineStr">
        <is>
          <t>0.01169454% - EURGBP 2021-07-07</t>
        </is>
      </c>
      <c r="F82" s="812" t="inlineStr">
        <is>
          <t>0.03597899% - GBPUSD 2022-05-03</t>
        </is>
      </c>
      <c r="G82" s="812" t="inlineStr">
        <is>
          <t>0.04773529% - CHFJPY 2023-08-18</t>
        </is>
      </c>
      <c r="H82" s="812" t="inlineStr">
        <is>
          <t>0.03229729% - EURUSD 2024-11-21</t>
        </is>
      </c>
      <c r="I82" s="812" t="inlineStr">
        <is>
          <t>0.09749327% - NZDUSD 2025-06-10</t>
        </is>
      </c>
      <c r="J82" s="770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813" t="inlineStr">
        <is>
          <t>15.32846715% - TRXUSDT 2020-09-16</t>
        </is>
      </c>
      <c r="E83" s="771" t="inlineStr">
        <is>
          <t>15.95197256% - SHIB1000USDT 2021-11-24</t>
        </is>
      </c>
      <c r="F83" s="813" t="inlineStr">
        <is>
          <t>12.57995736% - BATUSDT 2022-05-11</t>
        </is>
      </c>
      <c r="G83" s="813" t="inlineStr">
        <is>
          <t>7.81379884% - SOLUSDT 2023-07-14</t>
        </is>
      </c>
      <c r="H83" s="813" t="inlineStr">
        <is>
          <t>7.12349026% - PRCLUSDT 2024-11-28</t>
        </is>
      </c>
      <c r="I83" s="813" t="inlineStr">
        <is>
          <t>9.29432014% - AVNTUSDT 2025-09-28</t>
        </is>
      </c>
      <c r="J83" s="757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7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7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7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7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782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6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816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816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816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816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816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6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594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594" t="inlineStr"/>
    </row>
    <row r="108" ht="14.5" customHeight="1">
      <c r="A108" s="748" t="inlineStr">
        <is>
          <t>Max Commission</t>
        </is>
      </c>
      <c r="B108" s="819" t="n">
        <v>1.87</v>
      </c>
      <c r="C108" s="819" t="n">
        <v>1.28</v>
      </c>
      <c r="D108" s="820" t="inlineStr">
        <is>
          <t>AUD 1 / USDT 3.21372678</t>
        </is>
      </c>
      <c r="E108" s="820" t="inlineStr">
        <is>
          <t>AUD 1.4 / USDT 2.39778243</t>
        </is>
      </c>
      <c r="F108" s="820" t="inlineStr">
        <is>
          <t>AUD 0.7 / USDT 0.03237845</t>
        </is>
      </c>
      <c r="G108" s="820" t="inlineStr">
        <is>
          <t>AUD 0.63 / USDT 0.66823935</t>
        </is>
      </c>
      <c r="H108" s="820" t="inlineStr">
        <is>
          <t>AUD 0.63 / USDT 2.23641</t>
        </is>
      </c>
      <c r="I108" s="820" t="inlineStr">
        <is>
          <t>AUD 1.26 / USDT 0.4827306</t>
        </is>
      </c>
      <c r="J108" s="794" t="inlineStr"/>
    </row>
    <row r="109" ht="14.5" customHeight="1">
      <c r="A109" s="795" t="inlineStr">
        <is>
          <t>Total Commission</t>
        </is>
      </c>
      <c r="B109" s="821" t="n">
        <v>4.16</v>
      </c>
      <c r="C109" s="821" t="n">
        <v>8.85</v>
      </c>
      <c r="D109" s="822" t="inlineStr">
        <is>
          <t>AUD 4.33 / USDT 31.57600435</t>
        </is>
      </c>
      <c r="E109" s="822" t="inlineStr">
        <is>
          <t>AUD 33.78 / USDT 21.11563573</t>
        </is>
      </c>
      <c r="F109" s="822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42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0.07983997594276591</v>
      </c>
      <c r="F8" s="755" t="n">
        <v>-0.1613938176818261</v>
      </c>
      <c r="G8" s="756" t="n">
        <v>0.01051418236765261</v>
      </c>
      <c r="H8" s="755" t="n">
        <v>-0.02066176718005066</v>
      </c>
      <c r="I8" s="829" t="n">
        <v>-0.001819116166596698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0.06648419870875158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36.25422067311521</v>
      </c>
      <c r="G11" s="759" t="n">
        <v>36.13889661986021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33.49012815615634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-0.002180997536240893</v>
      </c>
      <c r="G19" s="756" t="n">
        <v>0.0001723636453713542</v>
      </c>
      <c r="H19" s="755" t="n">
        <v>-0.0005739379772236294</v>
      </c>
      <c r="I19" s="829" t="n">
        <v>-3.13640718378741e-05</v>
      </c>
    </row>
    <row r="20" ht="14.5" customHeight="1">
      <c r="A20" s="764" t="inlineStr">
        <is>
          <t>R expectancy</t>
        </is>
      </c>
      <c r="B20" s="766" t="n">
        <v>-0.5445000000000398</v>
      </c>
      <c r="C20" s="766" t="n">
        <v>-0.118659820571571</v>
      </c>
      <c r="D20" s="765" t="n">
        <v>0.302327738772816</v>
      </c>
      <c r="E20" s="765" t="n">
        <v>0.2809852611882347</v>
      </c>
      <c r="F20" s="766" t="n">
        <v>-0.08054317267249578</v>
      </c>
      <c r="G20" s="765" t="n">
        <v>0.04414614106173122</v>
      </c>
      <c r="H20" s="766" t="n">
        <v>-0.1716507206028918</v>
      </c>
      <c r="I20" s="833" t="n">
        <v>0.0747427327374858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845" t="inlineStr">
        <is>
          <t>-1.450R - EURAUD 2018-05-29</t>
        </is>
      </c>
      <c r="C32" s="845" t="inlineStr">
        <is>
          <t>-1.167R - EURAUD 2018-06-11</t>
        </is>
      </c>
      <c r="D32" s="779" t="inlineStr">
        <is>
          <t>-1.133R - USDCAD 2018-07-12</t>
        </is>
      </c>
      <c r="E32" s="779" t="inlineStr">
        <is>
          <t>-1.160R - GBPUSD 2018-08-02</t>
        </is>
      </c>
      <c r="F32" s="845" t="inlineStr">
        <is>
          <t>-2.786R - USDCAD 2018-09-06</t>
        </is>
      </c>
      <c r="G32" s="779" t="inlineStr">
        <is>
          <t>-1.150R - AUDUSD 2018-10-29</t>
        </is>
      </c>
      <c r="H32" s="845" t="inlineStr">
        <is>
          <t>-1.045R - GBPUSD 2018-11-12</t>
        </is>
      </c>
      <c r="I32" s="836" t="inlineStr">
        <is>
          <t>-1.200R - NZDUSD 2018-12-26</t>
        </is>
      </c>
    </row>
    <row r="33" ht="14.5" customHeight="1">
      <c r="A33" s="764" t="inlineStr">
        <is>
          <t>Max R win</t>
        </is>
      </c>
      <c r="B33" s="811" t="inlineStr">
        <is>
          <t>1.600R - AUDUSD 2018-05-30</t>
        </is>
      </c>
      <c r="C33" s="811" t="inlineStr">
        <is>
          <t>5.800R - AUDCAD 2018-06-22</t>
        </is>
      </c>
      <c r="D33" s="810" t="inlineStr">
        <is>
          <t>4.600R - USDCAD 2018-07-20</t>
        </is>
      </c>
      <c r="E33" s="810" t="inlineStr">
        <is>
          <t>4.760R - GBPUSD 2018-08-06</t>
        </is>
      </c>
      <c r="F33" s="811" t="inlineStr">
        <is>
          <t>4.013R - EURUSD 2018-09-28</t>
        </is>
      </c>
      <c r="G33" s="811" t="inlineStr">
        <is>
          <t>5.967R - USDCHF 2018-10-11</t>
        </is>
      </c>
      <c r="H33" s="811" t="inlineStr">
        <is>
          <t>2.057R - USDJPY 2018-11-03</t>
        </is>
      </c>
      <c r="I33" s="881" t="inlineStr">
        <is>
          <t>2.870R - GBPUSD 2018-12-12</t>
        </is>
      </c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3" t="inlineStr"/>
      <c r="C38" s="593" t="n">
        <v>0.001277304825167719</v>
      </c>
      <c r="D38" s="593" t="n">
        <v>0.002303582638956122</v>
      </c>
      <c r="E38" s="593" t="n">
        <v>0.001831657934092926</v>
      </c>
      <c r="F38" s="593" t="n">
        <v>0.001986920502426227</v>
      </c>
      <c r="G38" s="593" t="n">
        <v>0.002539930953704772</v>
      </c>
      <c r="H38" s="593" t="n">
        <v>0.002627716723369042</v>
      </c>
      <c r="I38" s="758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87" t="n">
        <v>1.600000000000666</v>
      </c>
      <c r="C40" s="787" t="n">
        <v>2.314833959899797</v>
      </c>
      <c r="D40" s="787" t="n">
        <v>2.338149917715226</v>
      </c>
      <c r="E40" s="787" t="n">
        <v>1.943723054750854</v>
      </c>
      <c r="F40" s="787" t="n">
        <v>1.461733401062383</v>
      </c>
      <c r="G40" s="787" t="n">
        <v>1.569082461733053</v>
      </c>
      <c r="H40" s="787" t="n">
        <v>1.740754667445961</v>
      </c>
      <c r="I40" s="839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791" t="n">
        <v>0.0006751847596973649</v>
      </c>
      <c r="C46" s="791" t="n">
        <v>0.001551875192649875</v>
      </c>
      <c r="D46" s="791" t="n">
        <v>0.001441236412817309</v>
      </c>
      <c r="E46" s="791" t="n">
        <v>0.0008563813791100922</v>
      </c>
      <c r="F46" s="791" t="n">
        <v>0.001759389473035336</v>
      </c>
      <c r="G46" s="791" t="n">
        <v>0.002277312892304775</v>
      </c>
      <c r="H46" s="791" t="n">
        <v>0.002334235985167716</v>
      </c>
      <c r="I46" s="792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-0.002462377729953762</v>
      </c>
      <c r="I47" s="829" t="n">
        <v>-0.006129441391029433</v>
      </c>
    </row>
    <row r="48" ht="14.5" customHeight="1">
      <c r="A48" s="745" t="inlineStr">
        <is>
          <t>R expectancy</t>
        </is>
      </c>
      <c r="B48" s="840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-0.9302813376710094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2018-06-07 20:25:00</t>
        </is>
      </c>
      <c r="D54" s="793" t="inlineStr">
        <is>
          <t>2018-07-05 23:28:00</t>
        </is>
      </c>
      <c r="E54" s="793" t="inlineStr">
        <is>
          <t>2018-08-28 00:02:00</t>
        </is>
      </c>
      <c r="F54" s="793" t="inlineStr">
        <is>
          <t>2018-09-05 11:30:08</t>
        </is>
      </c>
      <c r="G54" s="793" t="inlineStr">
        <is>
          <t>2018-10-08 23:26:00</t>
        </is>
      </c>
      <c r="H54" s="793" t="inlineStr">
        <is>
          <t>2018-11-12 16:42:00</t>
        </is>
      </c>
      <c r="I54" s="794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799" t="n">
        <v>7</v>
      </c>
      <c r="C62" s="799" t="n">
        <v>27</v>
      </c>
      <c r="D62" s="799" t="n">
        <v>15</v>
      </c>
      <c r="E62" s="799" t="n">
        <v>17</v>
      </c>
      <c r="F62" s="799" t="n">
        <v>35</v>
      </c>
      <c r="G62" s="799" t="n">
        <v>18</v>
      </c>
      <c r="H62" s="799" t="n">
        <v>20</v>
      </c>
      <c r="I62" s="800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9" t="inlineStr">
        <is>
          <t>1.600R - AUDUSD 2018-05-30</t>
        </is>
      </c>
      <c r="C80" s="809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9" t="inlineStr">
        <is>
          <t>0.073R - EURUSD 2018-09-05</t>
        </is>
      </c>
      <c r="G80" s="808" t="inlineStr">
        <is>
          <t>0.056R - USDJPY 2018-10-12</t>
        </is>
      </c>
      <c r="H80" s="809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1" t="inlineStr">
        <is>
          <t>1.600R - AUDUSD 2018-05-30</t>
        </is>
      </c>
      <c r="C81" s="811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1" t="inlineStr">
        <is>
          <t>4.013R - EURUSD 2018-09-28</t>
        </is>
      </c>
      <c r="G81" s="810" t="inlineStr">
        <is>
          <t>5.967R - USDCHF 2018-10-11</t>
        </is>
      </c>
      <c r="H81" s="811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812" t="inlineStr">
        <is>
          <t>0.01301321% - EURAUD 2018-05-29</t>
        </is>
      </c>
      <c r="C82" s="812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812" t="inlineStr">
        <is>
          <t>0.0075815% - USDCAD 2018-09-07</t>
        </is>
      </c>
      <c r="G82" s="812" t="inlineStr">
        <is>
          <t>0.01558603% - USDCAD 2018-10-03</t>
        </is>
      </c>
      <c r="H82" s="812" t="inlineStr">
        <is>
          <t>0.0353045% - USDJPY 2018-11-01</t>
        </is>
      </c>
      <c r="I82" s="775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813" t="inlineStr">
        <is>
          <t>0.06512961% - EURAUD 2018-05-29</t>
        </is>
      </c>
      <c r="C83" s="813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813" t="inlineStr">
        <is>
          <t>0.23634089% - AUDUSD 2018-09-13</t>
        </is>
      </c>
      <c r="G83" s="813" t="inlineStr">
        <is>
          <t>0.60606061% - USDCHF 2018-10-15</t>
        </is>
      </c>
      <c r="H83" s="813" t="inlineStr">
        <is>
          <t>0.30365769% - AUDUSD 2018-11-21</t>
        </is>
      </c>
      <c r="I83" s="776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845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22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19" t="n">
        <v>0.06</v>
      </c>
      <c r="E108" s="793" t="inlineStr"/>
      <c r="F108" s="793" t="inlineStr"/>
      <c r="G108" s="819" t="n">
        <v>1.87</v>
      </c>
      <c r="H108" s="793" t="inlineStr"/>
      <c r="I108" s="849" t="n">
        <v>0.3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21" t="n">
        <v>0.12</v>
      </c>
      <c r="E109" s="850" t="inlineStr"/>
      <c r="F109" s="850" t="inlineStr"/>
      <c r="G109" s="821" t="n">
        <v>3.74</v>
      </c>
      <c r="H109" s="850" t="inlineStr"/>
      <c r="I109" s="851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852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53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53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852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854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7" t="inlineStr"/>
    </row>
    <row r="8" ht="14.5" customHeight="1">
      <c r="A8" s="745" t="inlineStr">
        <is>
          <t>Net P/L</t>
        </is>
      </c>
      <c r="B8" s="755" t="n">
        <v>-0.06150710571853273</v>
      </c>
      <c r="C8" s="755" t="n">
        <v>-0.1804812110387265</v>
      </c>
      <c r="D8" s="755" t="n">
        <v>-0.1055459234008033</v>
      </c>
      <c r="E8" s="755" t="n">
        <v>-0.01424062710016781</v>
      </c>
      <c r="F8" s="854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-0.04316878483815085</v>
      </c>
      <c r="K8" s="756" t="n">
        <v>0.04541499214518115</v>
      </c>
      <c r="L8" s="755" t="n">
        <v>-0.04626954229283552</v>
      </c>
      <c r="M8" s="757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3" t="inlineStr"/>
      <c r="G9" s="756" t="n">
        <v>0.07758357435049115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0.02383552406484337</v>
      </c>
      <c r="M9" s="758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3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0.07010506635767889</v>
      </c>
      <c r="M10" s="758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855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76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855" t="inlineStr"/>
      <c r="G12" s="761" t="n">
        <v>6.520000000000058</v>
      </c>
      <c r="H12" s="761" t="n">
        <v>34.85256654967834</v>
      </c>
      <c r="I12" s="761" t="n">
        <v>10.06947368421083</v>
      </c>
      <c r="J12" s="761" t="n">
        <v>6.854801929064955</v>
      </c>
      <c r="K12" s="761" t="n">
        <v>8.147368421052661</v>
      </c>
      <c r="L12" s="761" t="n">
        <v>7.568750968330031</v>
      </c>
      <c r="M12" s="76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53" t="inlineStr"/>
      <c r="F13" s="853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813" t="inlineStr"/>
      <c r="F14" s="813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813" t="inlineStr"/>
      <c r="F15" s="813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53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813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813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-0.0009319258442201929</v>
      </c>
      <c r="C19" s="755" t="n">
        <v>-0.001899802221460279</v>
      </c>
      <c r="D19" s="755" t="n">
        <v>-0.002638648085020084</v>
      </c>
      <c r="E19" s="755" t="n">
        <v>-0.003560156775041952</v>
      </c>
      <c r="F19" s="854" t="inlineStr"/>
      <c r="G19" s="756" t="n">
        <v>0.0009792064636370207</v>
      </c>
      <c r="H19" s="755" t="n">
        <v>-0.003741218148495242</v>
      </c>
      <c r="I19" s="755" t="n">
        <v>-0.003072438949891266</v>
      </c>
      <c r="J19" s="755" t="n">
        <v>-0.003924434985286441</v>
      </c>
      <c r="K19" s="756" t="n">
        <v>0.002064317824780961</v>
      </c>
      <c r="L19" s="755" t="n">
        <v>-0.003559195560987348</v>
      </c>
      <c r="M19" s="757" t="inlineStr"/>
    </row>
    <row r="20" ht="14.5" customHeight="1">
      <c r="A20" s="764" t="inlineStr">
        <is>
          <t>R expectancy</t>
        </is>
      </c>
      <c r="B20" s="765" t="n">
        <v>0.006265351810517192</v>
      </c>
      <c r="C20" s="766" t="n">
        <v>-0.01798756139799431</v>
      </c>
      <c r="D20" s="766" t="n">
        <v>-0.2786294261294152</v>
      </c>
      <c r="E20" s="766" t="n">
        <v>-0.8342657342657818</v>
      </c>
      <c r="F20" s="784" t="inlineStr"/>
      <c r="G20" s="765" t="n">
        <v>0.33159340659342</v>
      </c>
      <c r="H20" s="766" t="n">
        <v>-0.5796247003704884</v>
      </c>
      <c r="I20" s="766" t="n">
        <v>-0.3525810879985393</v>
      </c>
      <c r="J20" s="766" t="n">
        <v>-0.5091932234978743</v>
      </c>
      <c r="K20" s="765" t="n">
        <v>0.2863670894584142</v>
      </c>
      <c r="L20" s="766" t="n">
        <v>-0.3336774708659336</v>
      </c>
      <c r="M20" s="767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857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770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854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854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854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854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858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812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813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850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857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854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7" t="inlineStr"/>
    </row>
    <row r="32" ht="14.5" customHeight="1">
      <c r="A32" s="745" t="inlineStr">
        <is>
          <t>Max R loss</t>
        </is>
      </c>
      <c r="B32" s="779" t="inlineStr">
        <is>
          <t>-1.160R - NZDUSD 2019-01-01</t>
        </is>
      </c>
      <c r="C32" s="779" t="inlineStr">
        <is>
          <t>-1.200R - GBPUSD 2019-02-05</t>
        </is>
      </c>
      <c r="D32" s="779" t="inlineStr">
        <is>
          <t>-1.125R - USDCHF 2019-03-13</t>
        </is>
      </c>
      <c r="E32" s="845" t="inlineStr">
        <is>
          <t>-1.067R - USDCAD 2019-04-11</t>
        </is>
      </c>
      <c r="F32" s="781" t="inlineStr"/>
      <c r="G32" s="779" t="inlineStr">
        <is>
          <t>-1.200R - USDCAD 2019-06-17</t>
        </is>
      </c>
      <c r="H32" s="779" t="inlineStr">
        <is>
          <t>-10.750R - GBPAUD 2019-07-25</t>
        </is>
      </c>
      <c r="I32" s="779" t="inlineStr">
        <is>
          <t>-1.150R - NZDCHF 2019-08-05</t>
        </is>
      </c>
      <c r="J32" s="779" t="inlineStr">
        <is>
          <t>-1.037R - EURCHF 2019-09-05</t>
        </is>
      </c>
      <c r="K32" s="779" t="inlineStr">
        <is>
          <t>-1.000R - AUDJPY 2019-10-14</t>
        </is>
      </c>
      <c r="L32" s="779" t="inlineStr">
        <is>
          <t>-1.040R - EURCHF 2019-11-01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2.067R - AUDUSD 2019-01-16</t>
        </is>
      </c>
      <c r="C33" s="810" t="inlineStr">
        <is>
          <t>2.933R - USDCHF 2019-02-19</t>
        </is>
      </c>
      <c r="D33" s="810" t="inlineStr">
        <is>
          <t>2.013R - USDCAD 2019-03-02</t>
        </is>
      </c>
      <c r="E33" s="811" t="inlineStr">
        <is>
          <t>-0.246R - GBPUSD 2019-04-11</t>
        </is>
      </c>
      <c r="F33" s="784" t="inlineStr"/>
      <c r="G33" s="810" t="inlineStr">
        <is>
          <t>2.820R - USDCHF 2019-06-25</t>
        </is>
      </c>
      <c r="H33" s="810" t="inlineStr">
        <is>
          <t>3.988R - EURAUD 2019-07-16</t>
        </is>
      </c>
      <c r="I33" s="811" t="inlineStr">
        <is>
          <t>3.228R - GBPJPY 2019-08-16</t>
        </is>
      </c>
      <c r="J33" s="811" t="inlineStr">
        <is>
          <t>1.013R - NZDUSD 2019-09-19</t>
        </is>
      </c>
      <c r="K33" s="811" t="inlineStr">
        <is>
          <t>3.039R - CADCHF 2019-10-02</t>
        </is>
      </c>
      <c r="L33" s="811" t="inlineStr">
        <is>
          <t>1.981R - GBPUSD 2019-11-27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859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850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859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854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7" t="inlineStr"/>
    </row>
    <row r="38" ht="14.5" customHeight="1">
      <c r="A38" s="745" t="inlineStr">
        <is>
          <t>Avg target %</t>
        </is>
      </c>
      <c r="B38" s="593" t="n">
        <v>0.00233370371469214</v>
      </c>
      <c r="C38" s="593" t="n">
        <v>0.001380531233549807</v>
      </c>
      <c r="D38" s="593" t="n">
        <v>0.00141076700329081</v>
      </c>
      <c r="E38" s="593" t="inlineStr"/>
      <c r="F38" s="593" t="inlineStr"/>
      <c r="G38" s="593" t="n">
        <v>0.001159484152365683</v>
      </c>
      <c r="H38" s="593" t="n">
        <v>0.002110102747510745</v>
      </c>
      <c r="I38" s="593" t="n">
        <v>0.005812277817944285</v>
      </c>
      <c r="J38" s="593" t="n">
        <v>0.01009862797396618</v>
      </c>
      <c r="K38" s="593" t="n">
        <v>0.006410749521591892</v>
      </c>
      <c r="L38" s="593" t="n">
        <v>0.006882668746531249</v>
      </c>
      <c r="M38" s="758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0.01074773056691332</v>
      </c>
      <c r="D39" s="756" t="n">
        <v>0.006070880552252054</v>
      </c>
      <c r="E39" s="753" t="inlineStr"/>
      <c r="F39" s="854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0.005958881016210842</v>
      </c>
      <c r="M39" s="757" t="inlineStr"/>
    </row>
    <row r="40" ht="14.5" customHeight="1">
      <c r="A40" s="745" t="inlineStr">
        <is>
          <t>R expectancy</t>
        </is>
      </c>
      <c r="B40" s="787" t="n">
        <v>1.489530083443117</v>
      </c>
      <c r="C40" s="787" t="n">
        <v>1.609083292160682</v>
      </c>
      <c r="D40" s="787" t="n">
        <v>1.220009920634979</v>
      </c>
      <c r="E40" s="855" t="inlineStr"/>
      <c r="F40" s="855" t="inlineStr"/>
      <c r="G40" s="787" t="n">
        <v>1.805119047619086</v>
      </c>
      <c r="H40" s="787" t="n">
        <v>1.965618929681528</v>
      </c>
      <c r="I40" s="787" t="n">
        <v>2.74295977011491</v>
      </c>
      <c r="J40" s="787" t="n">
        <v>0.6268382352941689</v>
      </c>
      <c r="K40" s="787" t="n">
        <v>1.444744438913777</v>
      </c>
      <c r="L40" s="787" t="n">
        <v>1.076981282357632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813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813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850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812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854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7" t="inlineStr"/>
    </row>
    <row r="46" ht="14.5" customHeight="1">
      <c r="A46" s="745" t="inlineStr">
        <is>
          <t>Avg target %</t>
        </is>
      </c>
      <c r="B46" s="791" t="n">
        <v>0.002547419049330265</v>
      </c>
      <c r="C46" s="791" t="n">
        <v>0.001379519884916273</v>
      </c>
      <c r="D46" s="791" t="n">
        <v>0.001788783480203968</v>
      </c>
      <c r="E46" s="791" t="n">
        <v>0.002155711381656223</v>
      </c>
      <c r="F46" s="791" t="inlineStr"/>
      <c r="G46" s="791" t="n">
        <v>0.001530066278490118</v>
      </c>
      <c r="H46" s="791" t="n">
        <v>0.002191286225572302</v>
      </c>
      <c r="I46" s="791" t="n">
        <v>0.005293212927275089</v>
      </c>
      <c r="J46" s="791" t="n">
        <v>0.007500013795843612</v>
      </c>
      <c r="K46" s="791" t="n">
        <v>0.006106578423351494</v>
      </c>
      <c r="L46" s="791" t="n">
        <v>0.005677129364170943</v>
      </c>
      <c r="M46" s="792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860" t="n">
        <v>-0.003560156775041952</v>
      </c>
      <c r="F47" s="854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-0.007789451817519877</v>
      </c>
      <c r="M47" s="757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840" t="n">
        <v>-0.8342657342657818</v>
      </c>
      <c r="F48" s="781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-0.9792574184378507</v>
      </c>
      <c r="K48" s="761" t="n">
        <v>-0.9052631578947401</v>
      </c>
      <c r="L48" s="761" t="n">
        <v>-0.9460938710412539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861" t="inlineStr">
        <is>
          <t>9S - GBPUSD 2019-04-11</t>
        </is>
      </c>
      <c r="F49" s="861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861" t="inlineStr">
        <is>
          <t>2H 17M 17S</t>
        </is>
      </c>
      <c r="F50" s="861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850" t="inlineStr">
        <is>
          <t>3H 46M 0S - USDCAD 2019-04-11</t>
        </is>
      </c>
      <c r="F51" s="850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812" t="inlineStr"/>
      <c r="F52" s="812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860" t="n">
        <v>0.009847485477562404</v>
      </c>
      <c r="F53" s="854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2019-01-04 21:44:00</t>
        </is>
      </c>
      <c r="C54" s="793" t="inlineStr">
        <is>
          <t>2019-02-04 22:12:00</t>
        </is>
      </c>
      <c r="D54" s="793" t="inlineStr">
        <is>
          <t>2019-03-02 02:07:00</t>
        </is>
      </c>
      <c r="E54" s="793" t="inlineStr">
        <is>
          <t>2019-04-05 03:51:00</t>
        </is>
      </c>
      <c r="F54" s="793" t="inlineStr"/>
      <c r="G54" s="793" t="inlineStr">
        <is>
          <t>2019-06-19 01:23:00</t>
        </is>
      </c>
      <c r="H54" s="793" t="inlineStr">
        <is>
          <t>2019-07-04 00:12:00</t>
        </is>
      </c>
      <c r="I54" s="793" t="inlineStr">
        <is>
          <t>2019-08-20 15:29:00</t>
        </is>
      </c>
      <c r="J54" s="793" t="inlineStr">
        <is>
          <t>2019-09-05 11:34:00</t>
        </is>
      </c>
      <c r="K54" s="793" t="inlineStr">
        <is>
          <t>2019-10-19 06:00:00</t>
        </is>
      </c>
      <c r="L54" s="793" t="inlineStr">
        <is>
          <t>2019-11-08 15:06:00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813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854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7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3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861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850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77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862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797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852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98" t="n">
        <v>0</v>
      </c>
    </row>
    <row r="62" ht="14.5" customHeight="1">
      <c r="A62" s="748" t="inlineStr">
        <is>
          <t>Long losses</t>
        </is>
      </c>
      <c r="B62" s="799" t="n">
        <v>23</v>
      </c>
      <c r="C62" s="799" t="n">
        <v>34</v>
      </c>
      <c r="D62" s="799" t="n">
        <v>16</v>
      </c>
      <c r="E62" s="799" t="n">
        <v>1</v>
      </c>
      <c r="F62" s="863" t="inlineStr"/>
      <c r="G62" s="799" t="n">
        <v>0</v>
      </c>
      <c r="H62" s="799" t="n">
        <v>13</v>
      </c>
      <c r="I62" s="799" t="n">
        <v>7</v>
      </c>
      <c r="J62" s="799" t="n">
        <v>7</v>
      </c>
      <c r="K62" s="799" t="n">
        <v>10</v>
      </c>
      <c r="L62" s="799" t="n">
        <v>5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53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852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852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53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65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812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813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793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861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861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850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7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3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3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854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854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854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1" t="inlineStr"/>
      <c r="F80" s="781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4" t="inlineStr"/>
      <c r="F81" s="784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812" t="inlineStr">
        <is>
          <t>0.08994828% - USDCAD 2019-04-11</t>
        </is>
      </c>
      <c r="F82" s="857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812" t="inlineStr">
        <is>
          <t>0.05362889% - EURUSD 2019-08-06</t>
        </is>
      </c>
      <c r="J82" s="812" t="inlineStr">
        <is>
          <t>0.17484126% - EURCHF 2019-09-05</t>
        </is>
      </c>
      <c r="K82" s="812" t="inlineStr">
        <is>
          <t>0.15955815% - EURAUD 2019-10-25</t>
        </is>
      </c>
      <c r="L82" s="812" t="inlineStr">
        <is>
          <t>0.13632646% - EURCHF 2019-11-01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813" t="inlineStr">
        <is>
          <t>0.12654668% - AUDUSD 2019-04-05</t>
        </is>
      </c>
      <c r="F83" s="854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813" t="inlineStr">
        <is>
          <t>0.19850598% - GBPNZD 2019-08-23</t>
        </is>
      </c>
      <c r="J83" s="813" t="inlineStr">
        <is>
          <t>0.37542662% - EURJPY 2019-09-05</t>
        </is>
      </c>
      <c r="K83" s="813" t="inlineStr">
        <is>
          <t>0.46289993% - AUDJPY 2019-10-14</t>
        </is>
      </c>
      <c r="L83" s="813" t="inlineStr">
        <is>
          <t>0.33800577% - GBPNZD 2019-11-15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813" t="inlineStr">
        <is>
          <t>0.01527767% - GBPUSD 2019-04-11</t>
        </is>
      </c>
      <c r="F84" s="854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813" t="inlineStr">
        <is>
          <t>0.37964004% - AUDUSD 2019-04-05</t>
        </is>
      </c>
      <c r="F85" s="854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845" t="inlineStr">
        <is>
          <t>-0.48022403% - USDJPY 2019-04-09</t>
        </is>
      </c>
      <c r="F86" s="854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845" t="inlineStr">
        <is>
          <t>-0.04999826% - GBPUSD 2019-04-11</t>
        </is>
      </c>
      <c r="F87" s="854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845" t="inlineStr">
        <is>
          <t>-1.067R - USDCAD 2019-04-11</t>
        </is>
      </c>
      <c r="F88" s="781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22" t="inlineStr">
        <is>
          <t>-0.246R - GBPUSD 2019-04-11</t>
        </is>
      </c>
      <c r="F89" s="784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812" t="inlineStr"/>
      <c r="F90" s="812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813" t="inlineStr"/>
      <c r="F91" s="813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861" t="inlineStr"/>
      <c r="F92" s="861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861" t="inlineStr"/>
      <c r="F93" s="861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868" t="inlineStr"/>
      <c r="F94" s="86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859" t="inlineStr"/>
      <c r="F95" s="859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852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852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816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852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816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852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852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816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852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852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852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65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859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861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594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861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594" t="inlineStr"/>
    </row>
    <row r="108" ht="14.5" customHeight="1">
      <c r="A108" s="748" t="inlineStr">
        <is>
          <t>Max Commission</t>
        </is>
      </c>
      <c r="B108" s="819" t="n">
        <v>1.28</v>
      </c>
      <c r="C108" s="819" t="n">
        <v>0.79</v>
      </c>
      <c r="D108" s="819" t="n">
        <v>0.26</v>
      </c>
      <c r="E108" s="793" t="inlineStr"/>
      <c r="F108" s="793" t="inlineStr"/>
      <c r="G108" s="793" t="inlineStr"/>
      <c r="H108" s="819" t="n">
        <v>0.66</v>
      </c>
      <c r="I108" s="819" t="n">
        <v>0.25</v>
      </c>
      <c r="J108" s="819" t="n">
        <v>0.36</v>
      </c>
      <c r="K108" s="819" t="n">
        <v>0.24</v>
      </c>
      <c r="L108" s="819" t="n">
        <v>0.27</v>
      </c>
      <c r="M108" s="794" t="inlineStr"/>
    </row>
    <row r="109" ht="14.5" customHeight="1">
      <c r="A109" s="795" t="inlineStr">
        <is>
          <t>Total Commission</t>
        </is>
      </c>
      <c r="B109" s="821" t="n">
        <v>2.66</v>
      </c>
      <c r="C109" s="821" t="n">
        <v>2.33</v>
      </c>
      <c r="D109" s="821" t="n">
        <v>0.5700000000000001</v>
      </c>
      <c r="E109" s="850" t="inlineStr"/>
      <c r="F109" s="850" t="inlineStr"/>
      <c r="G109" s="850" t="inlineStr"/>
      <c r="H109" s="821" t="n">
        <v>0.66</v>
      </c>
      <c r="I109" s="821" t="n">
        <v>0.37</v>
      </c>
      <c r="J109" s="821" t="n">
        <v>0.8100000000000001</v>
      </c>
      <c r="K109" s="821" t="n">
        <v>0.93</v>
      </c>
      <c r="L109" s="821" t="n">
        <v>0.52</v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-0.0404200273114236</v>
      </c>
      <c r="C8" s="755" t="n">
        <v>-0.04666157009156183</v>
      </c>
      <c r="D8" s="756" t="n">
        <v>0.006549304975867758</v>
      </c>
      <c r="E8" s="755" t="n">
        <v>-0.04241750498096972</v>
      </c>
      <c r="F8" s="755" t="n">
        <v>-0.001712141029892674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-0.004352352170407078</v>
      </c>
      <c r="K8" s="755" t="n">
        <v>-0.07144308800358759</v>
      </c>
      <c r="L8" s="755" t="n">
        <v>-0.04795095174446006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0.07818333160627633</v>
      </c>
      <c r="L9" s="756" t="n">
        <v>0</v>
      </c>
      <c r="M9" s="830" t="n">
        <v>0.04036492394554211</v>
      </c>
    </row>
    <row r="10" ht="14.5" customHeight="1">
      <c r="A10" s="745" t="inlineStr">
        <is>
          <t>Gross percent loss</t>
        </is>
      </c>
      <c r="B10" s="755" t="n">
        <v>0.04062290822033007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0.04795095174446006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4.046978624787374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5.653592372044059</v>
      </c>
      <c r="D12" s="761" t="n">
        <v>9.241086113798138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8.276334559061635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53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813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813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813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813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-0.008084005462284721</v>
      </c>
      <c r="C19" s="755" t="n">
        <v>-0.006665938584508833</v>
      </c>
      <c r="D19" s="756" t="n">
        <v>0.0004093315609917349</v>
      </c>
      <c r="E19" s="755" t="n">
        <v>-0.001060437624524243</v>
      </c>
      <c r="F19" s="755" t="n">
        <v>-3.003756192794165e-05</v>
      </c>
      <c r="G19" s="755" t="n">
        <v>-0.004937773516142691</v>
      </c>
      <c r="H19" s="756" t="n">
        <v>0.0006412101773040754</v>
      </c>
      <c r="I19" s="755" t="n">
        <v>-0.001583678787754989</v>
      </c>
      <c r="J19" s="755" t="n">
        <v>-0.0003626960142005898</v>
      </c>
      <c r="K19" s="755" t="n">
        <v>-0.003969060444643755</v>
      </c>
      <c r="L19" s="755" t="n">
        <v>-0.009590190348892011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-0.8076560531491513</v>
      </c>
      <c r="D20" s="765" t="n">
        <v>0.0723585884758612</v>
      </c>
      <c r="E20" s="765" t="n">
        <v>0.04391761936824285</v>
      </c>
      <c r="F20" s="765" t="n">
        <v>0.01915876882422102</v>
      </c>
      <c r="G20" s="766" t="n">
        <v>-0.508767333593956</v>
      </c>
      <c r="H20" s="765" t="n">
        <v>0.1406838850240127</v>
      </c>
      <c r="I20" s="766" t="n">
        <v>-0.135450431770358</v>
      </c>
      <c r="J20" s="765" t="n">
        <v>0.04949980628716574</v>
      </c>
      <c r="K20" s="766" t="n">
        <v>-0.08428289399689864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79" t="inlineStr">
        <is>
          <t>-1.000R - AUDNZD 2020-01-17</t>
        </is>
      </c>
      <c r="C32" s="779" t="inlineStr">
        <is>
          <t>-1.022R - GBPCAD 2020-02-25</t>
        </is>
      </c>
      <c r="D32" s="779" t="inlineStr">
        <is>
          <t>-1.060R - AUDUSD 2020-03-03</t>
        </is>
      </c>
      <c r="E32" s="779" t="inlineStr">
        <is>
          <t>-1.313R - ETHUSDT 2020-04-11</t>
        </is>
      </c>
      <c r="F32" s="779" t="inlineStr">
        <is>
          <t>-1.095R - HIVEUSDT 2020-05-12</t>
        </is>
      </c>
      <c r="G32" s="779" t="inlineStr">
        <is>
          <t>-1.103R - BNTUSDT 2020-06-12</t>
        </is>
      </c>
      <c r="H32" s="779" t="inlineStr">
        <is>
          <t>-1.000R - AUDJPY 2020-07-10</t>
        </is>
      </c>
      <c r="I32" s="779" t="inlineStr">
        <is>
          <t>-1.164R - RENUSDT 2020-08-21</t>
        </is>
      </c>
      <c r="J32" s="779" t="inlineStr">
        <is>
          <t>-1.000R - NEOUSDT 2020-09-22</t>
        </is>
      </c>
      <c r="K32" s="779" t="inlineStr">
        <is>
          <t>-1.143R - XTZUSDT 2020-10-31</t>
        </is>
      </c>
      <c r="L32" s="779" t="inlineStr">
        <is>
          <t>-1.133R - ETHUSDT 2020-11-01</t>
        </is>
      </c>
      <c r="M32" s="836" t="inlineStr">
        <is>
          <t>-1.438R - EURNZD 2020-12-25</t>
        </is>
      </c>
    </row>
    <row r="33" ht="14.5" customHeight="1">
      <c r="A33" s="764" t="inlineStr">
        <is>
          <t>Max R win</t>
        </is>
      </c>
      <c r="B33" s="811" t="inlineStr">
        <is>
          <t>0.000R - USDJPY 2020-01-25</t>
        </is>
      </c>
      <c r="C33" s="811" t="inlineStr">
        <is>
          <t>0.000R - USDJPY 2020-02-28</t>
        </is>
      </c>
      <c r="D33" s="811" t="inlineStr">
        <is>
          <t>2.050R - AUDUSD 2020-03-03</t>
        </is>
      </c>
      <c r="E33" s="811" t="inlineStr">
        <is>
          <t>2.584R - BTCUSDT 2020-04-17</t>
        </is>
      </c>
      <c r="F33" s="811" t="inlineStr">
        <is>
          <t>2.591R - BTCUSDT 2020-05-29</t>
        </is>
      </c>
      <c r="G33" s="811" t="inlineStr">
        <is>
          <t>0.703R - ERDUSDT 2020-06-04</t>
        </is>
      </c>
      <c r="H33" s="811" t="inlineStr">
        <is>
          <t>4.076R - ONTUSDT 2020-07-19</t>
        </is>
      </c>
      <c r="I33" s="811" t="inlineStr">
        <is>
          <t>3.072R - NKNUSDT 2020-08-16</t>
        </is>
      </c>
      <c r="J33" s="811" t="inlineStr">
        <is>
          <t>4.872R - ERDUSDT 2020-09-03</t>
        </is>
      </c>
      <c r="K33" s="811" t="inlineStr">
        <is>
          <t>3.594R - XRPUSDT 2020-10-18</t>
        </is>
      </c>
      <c r="L33" s="811" t="inlineStr">
        <is>
          <t>-0.143R - LINKUSDT 2020-11-01</t>
        </is>
      </c>
      <c r="M33" s="881" t="inlineStr">
        <is>
          <t>2.032R - LTCUSDT 2020-12-27</t>
        </is>
      </c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3" t="n">
        <v>0.007928451894323927</v>
      </c>
      <c r="C38" s="593" t="inlineStr"/>
      <c r="D38" s="593" t="n">
        <v>0.003167127967732883</v>
      </c>
      <c r="E38" s="593" t="n">
        <v>0.01100209268686753</v>
      </c>
      <c r="F38" s="593" t="n">
        <v>0.0620559689764435</v>
      </c>
      <c r="G38" s="593" t="n">
        <v>0.142015767152338</v>
      </c>
      <c r="H38" s="593" t="n">
        <v>0.1275143511816109</v>
      </c>
      <c r="I38" s="593" t="n">
        <v>0.1946270254086114</v>
      </c>
      <c r="J38" s="593" t="n">
        <v>0.1989797801030465</v>
      </c>
      <c r="K38" s="593" t="n">
        <v>0.01566552996886681</v>
      </c>
      <c r="L38" s="593" t="inlineStr"/>
      <c r="M38" s="758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0.01954583290156908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1.733137254901986</v>
      </c>
      <c r="E40" s="787" t="n">
        <v>2.1327719110826</v>
      </c>
      <c r="F40" s="787" t="n">
        <v>1.88252835796987</v>
      </c>
      <c r="G40" s="787" t="n">
        <v>0.5695938818565652</v>
      </c>
      <c r="H40" s="787" t="n">
        <v>3.462897605247626</v>
      </c>
      <c r="I40" s="787" t="n">
        <v>3.046089249096766</v>
      </c>
      <c r="J40" s="787" t="n">
        <v>4.075251519823491</v>
      </c>
      <c r="K40" s="787" t="n">
        <v>2.38630264330906</v>
      </c>
      <c r="L40" s="855" t="inlineStr"/>
      <c r="M40" s="839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791" t="n">
        <v>0.006564496151667789</v>
      </c>
      <c r="C46" s="791" t="n">
        <v>0.008621814757173427</v>
      </c>
      <c r="D46" s="791" t="n">
        <v>0.004297689318748217</v>
      </c>
      <c r="E46" s="791" t="n">
        <v>0.007424694007849483</v>
      </c>
      <c r="F46" s="791" t="n">
        <v>0.06143052029346574</v>
      </c>
      <c r="G46" s="791" t="n">
        <v>0.09703336904882338</v>
      </c>
      <c r="H46" s="791" t="n">
        <v>0.1818448792340886</v>
      </c>
      <c r="I46" s="791" t="n">
        <v>0.1501992536368761</v>
      </c>
      <c r="J46" s="791" t="n">
        <v>0.1433415347966778</v>
      </c>
      <c r="K46" s="791" t="n">
        <v>0.102119152595772</v>
      </c>
      <c r="L46" s="791" t="n">
        <v>0.01631835800696852</v>
      </c>
      <c r="M46" s="792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-0.01015572705508252</v>
      </c>
      <c r="C47" s="860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860" t="n">
        <v>-0.009590190348892011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840" t="n">
        <v>-0.9422653953406765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-0.8074132585736937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840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861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861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861" t="inlineStr">
        <is>
          <t>12H 14M 15S</t>
        </is>
      </c>
      <c r="C50" s="861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861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850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850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860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860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793" t="inlineStr">
        <is>
          <t>2020-01-16 02:39:00</t>
        </is>
      </c>
      <c r="C54" s="793" t="inlineStr">
        <is>
          <t>2020-02-07 01:01:00</t>
        </is>
      </c>
      <c r="D54" s="793" t="inlineStr">
        <is>
          <t>2020-03-14 01:47:00</t>
        </is>
      </c>
      <c r="E54" s="793" t="inlineStr">
        <is>
          <t>2020-04-15 03:01:00</t>
        </is>
      </c>
      <c r="F54" s="793" t="inlineStr">
        <is>
          <t>2020-05-15 03:44:00</t>
        </is>
      </c>
      <c r="G54" s="793" t="inlineStr">
        <is>
          <t>2020-06-01 09:49:00</t>
        </is>
      </c>
      <c r="H54" s="793" t="inlineStr">
        <is>
          <t>2020-07-04 17:32:00</t>
        </is>
      </c>
      <c r="I54" s="793" t="inlineStr">
        <is>
          <t>2020-08-16 03:31:00</t>
        </is>
      </c>
      <c r="J54" s="793" t="inlineStr">
        <is>
          <t>2020-09-08 19:18:00</t>
        </is>
      </c>
      <c r="K54" s="793" t="inlineStr">
        <is>
          <t>2020-10-28 01:44:00</t>
        </is>
      </c>
      <c r="L54" s="793" t="inlineStr">
        <is>
          <t>2020-11-01 00:54:00</t>
        </is>
      </c>
      <c r="M54" s="794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799" t="n">
        <v>3</v>
      </c>
      <c r="C62" s="799" t="n">
        <v>2</v>
      </c>
      <c r="D62" s="799" t="n">
        <v>5</v>
      </c>
      <c r="E62" s="799" t="n">
        <v>24</v>
      </c>
      <c r="F62" s="799" t="n">
        <v>34</v>
      </c>
      <c r="G62" s="799" t="n">
        <v>17</v>
      </c>
      <c r="H62" s="799" t="n">
        <v>16</v>
      </c>
      <c r="I62" s="799" t="n">
        <v>14</v>
      </c>
      <c r="J62" s="799" t="n">
        <v>10</v>
      </c>
      <c r="K62" s="799" t="n">
        <v>13</v>
      </c>
      <c r="L62" s="799" t="n">
        <v>4</v>
      </c>
      <c r="M62" s="800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812" t="inlineStr">
        <is>
          <t>0.1633202% - AUDNZD 2020-01-17</t>
        </is>
      </c>
      <c r="C82" s="812" t="inlineStr">
        <is>
          <t>0.18488085% - USDCHF 2020-02-07</t>
        </is>
      </c>
      <c r="D82" s="812" t="inlineStr">
        <is>
          <t>0.09127419% - EURUSD 2020-03-26</t>
        </is>
      </c>
      <c r="E82" s="812" t="inlineStr">
        <is>
          <t>0.07121493% - USDCAD 2020-04-09</t>
        </is>
      </c>
      <c r="F82" s="812" t="inlineStr">
        <is>
          <t>0.04359578% - EURJPY 2020-05-06</t>
        </is>
      </c>
      <c r="G82" s="812" t="inlineStr">
        <is>
          <t>0.24375831% - GBPJPY 2020-06-17</t>
        </is>
      </c>
      <c r="H82" s="812" t="inlineStr">
        <is>
          <t>0.26058344% - EURGBP 2020-07-17</t>
        </is>
      </c>
      <c r="I82" s="812" t="inlineStr">
        <is>
          <t>0.1619599% - EURCHF 2020-08-12</t>
        </is>
      </c>
      <c r="J82" s="812" t="inlineStr">
        <is>
          <t>0.17112632% - GBPUSD 2020-09-15</t>
        </is>
      </c>
      <c r="K82" s="812" t="inlineStr">
        <is>
          <t>0.1286841% - XRPUSDT 2020-10-18</t>
        </is>
      </c>
      <c r="L82" s="812" t="inlineStr">
        <is>
          <t>0.19407427% - ETHUSDT 2020-11-01</t>
        </is>
      </c>
      <c r="M82" s="775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813" t="inlineStr">
        <is>
          <t>0.26133922% - GBPCAD 2020-01-28</t>
        </is>
      </c>
      <c r="C83" s="813" t="inlineStr">
        <is>
          <t>0.28056545% - AUDSGD 2020-02-21</t>
        </is>
      </c>
      <c r="D83" s="813" t="inlineStr">
        <is>
          <t>0.43014453% - AUDCHF 2020-03-26</t>
        </is>
      </c>
      <c r="E83" s="813" t="inlineStr">
        <is>
          <t>0.80764174% - LINKUSDT 2020-04-20</t>
        </is>
      </c>
      <c r="F83" s="813" t="inlineStr">
        <is>
          <t>13.55599214% - COSUSDT 2020-05-27</t>
        </is>
      </c>
      <c r="G83" s="813" t="inlineStr">
        <is>
          <t>8.00486618% - CTSIUSDT 2020-06-15</t>
        </is>
      </c>
      <c r="H83" s="813" t="inlineStr">
        <is>
          <t>12.31866088% - RLCUSDT 2020-07-21</t>
        </is>
      </c>
      <c r="I83" s="813" t="inlineStr">
        <is>
          <t>11.57050293% - STMXUSDT 2020-08-02</t>
        </is>
      </c>
      <c r="J83" s="813" t="inlineStr">
        <is>
          <t>15.32846715% - TRXUSDT 2020-09-16</t>
        </is>
      </c>
      <c r="K83" s="813" t="inlineStr">
        <is>
          <t>14.79654747% - SXPUSDT 2020-10-02</t>
        </is>
      </c>
      <c r="L83" s="813" t="inlineStr">
        <is>
          <t>1.88102894% - LINKUSDT 2020-11-16</t>
        </is>
      </c>
      <c r="M83" s="776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813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813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813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813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845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845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845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845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845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845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22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22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813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861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861" t="inlineStr"/>
      <c r="M93" s="763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86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859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819" t="n">
        <v>0.1</v>
      </c>
      <c r="C108" s="819" t="n">
        <v>0.38</v>
      </c>
      <c r="D108" s="819" t="n">
        <v>0.07000000000000001</v>
      </c>
      <c r="E108" s="820" t="inlineStr">
        <is>
          <t>AUD 0.86 / USDT 0.72755998</t>
        </is>
      </c>
      <c r="F108" s="820" t="inlineStr">
        <is>
          <t>AUD 1 / USDT 0.20000942</t>
        </is>
      </c>
      <c r="G108" s="820" t="inlineStr">
        <is>
          <t>AUD 0.04 / USDT 0.12268515</t>
        </is>
      </c>
      <c r="H108" s="820" t="inlineStr">
        <is>
          <t>AUD 0.2 / USDT 0.12931906</t>
        </is>
      </c>
      <c r="I108" s="820" t="inlineStr">
        <is>
          <t>AUD 0.13 / USDT 0.0755558</t>
        </is>
      </c>
      <c r="J108" s="820" t="inlineStr">
        <is>
          <t>AUD 0.11 / USDT 0.07136502</t>
        </is>
      </c>
      <c r="K108" s="872" t="n">
        <v>3.21372678</v>
      </c>
      <c r="L108" s="872" t="n">
        <v>0.5336</v>
      </c>
      <c r="M108" s="873" t="n">
        <v>0.4741422</v>
      </c>
    </row>
    <row r="109" ht="14.5" customHeight="1">
      <c r="A109" s="795" t="inlineStr">
        <is>
          <t>Total Commission</t>
        </is>
      </c>
      <c r="B109" s="821" t="n">
        <v>0.16</v>
      </c>
      <c r="C109" s="821" t="n">
        <v>0.6</v>
      </c>
      <c r="D109" s="821" t="n">
        <v>0.07000000000000001</v>
      </c>
      <c r="E109" s="822" t="inlineStr">
        <is>
          <t>AUD 1.02 / USDT 8.50294774</t>
        </is>
      </c>
      <c r="F109" s="822" t="inlineStr">
        <is>
          <t>AUD 1.33 / USDT 1.36499868</t>
        </is>
      </c>
      <c r="G109" s="822" t="inlineStr">
        <is>
          <t>AUD 0.08 / USDT 0.69761722</t>
        </is>
      </c>
      <c r="H109" s="822" t="inlineStr">
        <is>
          <t>AUD 0.46 / USDT 0.70156155</t>
        </is>
      </c>
      <c r="I109" s="822" t="inlineStr">
        <is>
          <t>AUD 0.41 / USDT 0.48667853</t>
        </is>
      </c>
      <c r="J109" s="822" t="inlineStr">
        <is>
          <t>AUD 0.2 / USDT 0.2659084</t>
        </is>
      </c>
      <c r="K109" s="874" t="n">
        <v>16.65647639</v>
      </c>
      <c r="L109" s="874" t="n">
        <v>1.48901734</v>
      </c>
      <c r="M109" s="875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816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856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856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816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816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7" t="inlineStr"/>
    </row>
    <row r="8" ht="14.5" customHeight="1">
      <c r="A8" s="745" t="inlineStr">
        <is>
          <t>Net P/L</t>
        </is>
      </c>
      <c r="B8" s="755" t="n">
        <v>-0.02546341979012917</v>
      </c>
      <c r="C8" s="756" t="n">
        <v>0.01285705986345307</v>
      </c>
      <c r="D8" s="755" t="n">
        <v>-0.07631861000548741</v>
      </c>
      <c r="E8" s="755" t="n">
        <v>-0.09988221325393715</v>
      </c>
      <c r="F8" s="755" t="n">
        <v>-0.08841259287081878</v>
      </c>
      <c r="G8" s="756" t="n">
        <v>0.004413598909177177</v>
      </c>
      <c r="H8" s="756" t="n">
        <v>0.04331525811270615</v>
      </c>
      <c r="I8" s="755" t="n">
        <v>-0.0701117774242795</v>
      </c>
      <c r="J8" s="755" t="n">
        <v>-0.09240852182034473</v>
      </c>
      <c r="K8" s="755" t="n">
        <v>-0.1050679711363459</v>
      </c>
      <c r="L8" s="755" t="n">
        <v>-0.04742784341888115</v>
      </c>
      <c r="M8" s="757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0.1070094151766608</v>
      </c>
      <c r="K9" s="756" t="n">
        <v>0.07711278393576126</v>
      </c>
      <c r="L9" s="756" t="n">
        <v>0.09434180740891072</v>
      </c>
      <c r="M9" s="758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0.09740321075193491</v>
      </c>
      <c r="D10" s="755" t="n">
        <v>0.2276989747587246</v>
      </c>
      <c r="E10" s="755" t="n">
        <v>0.2775537697716632</v>
      </c>
      <c r="F10" s="755" t="n">
        <v>0.2426152344285988</v>
      </c>
      <c r="G10" s="755" t="n">
        <v>0.09711840079370626</v>
      </c>
      <c r="H10" s="755" t="n">
        <v>0.08591103086130256</v>
      </c>
      <c r="I10" s="755" t="n">
        <v>0.0701117774242795</v>
      </c>
      <c r="J10" s="755" t="n">
        <v>0.1994179369970055</v>
      </c>
      <c r="K10" s="755" t="n">
        <v>0.1821807550721071</v>
      </c>
      <c r="L10" s="755" t="n">
        <v>0.1417696508277919</v>
      </c>
      <c r="M10" s="758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76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9.742350693834807</v>
      </c>
      <c r="J12" s="761" t="n">
        <v>28.25845498561234</v>
      </c>
      <c r="K12" s="761" t="n">
        <v>30.64742515342249</v>
      </c>
      <c r="L12" s="761" t="n">
        <v>15.41835078701768</v>
      </c>
      <c r="M12" s="76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53" t="inlineStr"/>
      <c r="J13" s="749" t="n">
        <v>2</v>
      </c>
      <c r="K13" s="749" t="n">
        <v>1</v>
      </c>
      <c r="L13" s="749" t="n">
        <v>1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813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813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-0.001497848222948775</v>
      </c>
      <c r="C19" s="756" t="n">
        <v>0.0008571373242302045</v>
      </c>
      <c r="D19" s="755" t="n">
        <v>-0.002826615185388423</v>
      </c>
      <c r="E19" s="755" t="n">
        <v>-0.002080879442790357</v>
      </c>
      <c r="F19" s="755" t="n">
        <v>-0.001841929018142058</v>
      </c>
      <c r="G19" s="756" t="n">
        <v>0.0002451999393987321</v>
      </c>
      <c r="H19" s="756" t="n">
        <v>0.002165762905635307</v>
      </c>
      <c r="I19" s="755" t="n">
        <v>-0.007011177742427949</v>
      </c>
      <c r="J19" s="755" t="n">
        <v>-0.002640243480581278</v>
      </c>
      <c r="K19" s="755" t="n">
        <v>-0.003283374098010808</v>
      </c>
      <c r="L19" s="755" t="n">
        <v>-0.002634880189937842</v>
      </c>
      <c r="M19" s="757" t="inlineStr"/>
    </row>
    <row r="20" ht="14.5" customHeight="1">
      <c r="A20" s="764" t="inlineStr">
        <is>
          <t>R expectancy</t>
        </is>
      </c>
      <c r="B20" s="766" t="n">
        <v>-0.1155689942190684</v>
      </c>
      <c r="C20" s="765" t="n">
        <v>0.1182716717806493</v>
      </c>
      <c r="D20" s="766" t="n">
        <v>-0.1820509104734861</v>
      </c>
      <c r="E20" s="766" t="n">
        <v>-0.3061423834267877</v>
      </c>
      <c r="F20" s="766" t="n">
        <v>-0.2105364323849959</v>
      </c>
      <c r="G20" s="765" t="n">
        <v>0.1246656765387159</v>
      </c>
      <c r="H20" s="766" t="n">
        <v>-0.1279738899210201</v>
      </c>
      <c r="I20" s="766" t="n">
        <v>-0.9742350693834807</v>
      </c>
      <c r="J20" s="766" t="n">
        <v>-0.2318423526091913</v>
      </c>
      <c r="K20" s="766" t="n">
        <v>-0.620694663040107</v>
      </c>
      <c r="L20" s="766" t="n">
        <v>-0.3888795704721594</v>
      </c>
      <c r="M20" s="767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770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7" t="inlineStr"/>
    </row>
    <row r="32" ht="14.5" customHeight="1">
      <c r="A32" s="745" t="inlineStr">
        <is>
          <t>Max R loss</t>
        </is>
      </c>
      <c r="B32" s="779" t="inlineStr">
        <is>
          <t>-1.040R - GBPUSD 2021-01-04</t>
        </is>
      </c>
      <c r="C32" s="779" t="inlineStr">
        <is>
          <t>-1.071R - LINKUSDT 2021-02-06</t>
        </is>
      </c>
      <c r="D32" s="845" t="inlineStr">
        <is>
          <t>-1.147R - BTCUSDT 2021-03-11</t>
        </is>
      </c>
      <c r="E32" s="779" t="inlineStr">
        <is>
          <t>-1.241R - UNIUSDT 2021-04-25</t>
        </is>
      </c>
      <c r="F32" s="779" t="inlineStr">
        <is>
          <t>-1.174R - ADAUSDT 2021-05-10</t>
        </is>
      </c>
      <c r="G32" s="779" t="inlineStr">
        <is>
          <t>-1.129R - SUSHIUSDT 2021-06-27</t>
        </is>
      </c>
      <c r="H32" s="845" t="inlineStr">
        <is>
          <t>-1.600R - EURGBP 2021-07-07</t>
        </is>
      </c>
      <c r="I32" s="845" t="inlineStr">
        <is>
          <t>-1.135R - BTCUSDT 2021-08-21</t>
        </is>
      </c>
      <c r="J32" s="779" t="inlineStr">
        <is>
          <t>-1.187R - GBPCHF 2021-09-20</t>
        </is>
      </c>
      <c r="K32" s="779" t="inlineStr">
        <is>
          <t>-1.462R - EURGBP 2021-10-26</t>
        </is>
      </c>
      <c r="L32" s="779" t="inlineStr">
        <is>
          <t>-1.159R - GBPCAD 2021-11-11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2.100R - GBPUSD 2021-01-04</t>
        </is>
      </c>
      <c r="C33" s="811" t="inlineStr">
        <is>
          <t>2.727R - EURCAD 2021-02-24</t>
        </is>
      </c>
      <c r="D33" s="811" t="inlineStr">
        <is>
          <t>3.732R - CHFJPY 2021-03-12</t>
        </is>
      </c>
      <c r="E33" s="811" t="inlineStr">
        <is>
          <t>2.309R - AUDJPY 2021-04-27</t>
        </is>
      </c>
      <c r="F33" s="811" t="inlineStr">
        <is>
          <t>2.966R - ADAUSDT 2021-05-14</t>
        </is>
      </c>
      <c r="G33" s="811" t="inlineStr">
        <is>
          <t>4.060R - EURJPY 2021-06-29</t>
        </is>
      </c>
      <c r="H33" s="811" t="inlineStr">
        <is>
          <t>5.900R - USDJPY 2021-07-02</t>
        </is>
      </c>
      <c r="I33" s="811" t="inlineStr">
        <is>
          <t>-0.617R - GBPNZD 2021-08-28</t>
        </is>
      </c>
      <c r="J33" s="810" t="inlineStr">
        <is>
          <t>5.953R - ETHUSDT 2021-09-26</t>
        </is>
      </c>
      <c r="K33" s="810" t="inlineStr">
        <is>
          <t>4.862R - ETHUSDT 2021-10-16</t>
        </is>
      </c>
      <c r="L33" s="811" t="inlineStr">
        <is>
          <t>4.919R - EURCAD 2021-11-13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7" t="inlineStr"/>
    </row>
    <row r="38" ht="14.5" customHeight="1">
      <c r="A38" s="745" t="inlineStr">
        <is>
          <t>Avg target %</t>
        </is>
      </c>
      <c r="B38" s="593" t="n">
        <v>0.0483569557420548</v>
      </c>
      <c r="C38" s="593" t="n">
        <v>0.01700175838414577</v>
      </c>
      <c r="D38" s="593" t="n">
        <v>0.009816875593375922</v>
      </c>
      <c r="E38" s="593" t="n">
        <v>0.05663019664392503</v>
      </c>
      <c r="F38" s="593" t="n">
        <v>0.1236091948858695</v>
      </c>
      <c r="G38" s="593" t="n">
        <v>0.06935941525780337</v>
      </c>
      <c r="H38" s="593" t="n">
        <v>0.002833429159140925</v>
      </c>
      <c r="I38" s="593" t="inlineStr"/>
      <c r="J38" s="593" t="n">
        <v>0.06204109668654755</v>
      </c>
      <c r="K38" s="593" t="n">
        <v>0.01885420343037902</v>
      </c>
      <c r="L38" s="593" t="n">
        <v>0.004643362401510255</v>
      </c>
      <c r="M38" s="758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0.0220520541230776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7" t="inlineStr"/>
    </row>
    <row r="40" ht="14.5" customHeight="1">
      <c r="A40" s="745" t="inlineStr">
        <is>
          <t>R expectancy</t>
        </is>
      </c>
      <c r="B40" s="787" t="n">
        <v>2.026445596953626</v>
      </c>
      <c r="C40" s="787" t="n">
        <v>2.17150165794567</v>
      </c>
      <c r="D40" s="787" t="n">
        <v>2.671638097154799</v>
      </c>
      <c r="E40" s="787" t="n">
        <v>1.867647075512308</v>
      </c>
      <c r="F40" s="787" t="n">
        <v>2.467608070413126</v>
      </c>
      <c r="G40" s="787" t="n">
        <v>2.76560479496672</v>
      </c>
      <c r="H40" s="787" t="n">
        <v>4.53166666666613</v>
      </c>
      <c r="I40" s="855" t="inlineStr"/>
      <c r="J40" s="787" t="n">
        <v>3.357328774048441</v>
      </c>
      <c r="K40" s="787" t="n">
        <v>3.595065312046354</v>
      </c>
      <c r="L40" s="787" t="n">
        <v>4.209259259259407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7" t="inlineStr"/>
    </row>
    <row r="46" ht="14.5" customHeight="1">
      <c r="A46" s="745" t="inlineStr">
        <is>
          <t>Avg target %</t>
        </is>
      </c>
      <c r="B46" s="791" t="n">
        <v>0.06357046178965761</v>
      </c>
      <c r="C46" s="791" t="n">
        <v>0.0306316782575458</v>
      </c>
      <c r="D46" s="791" t="n">
        <v>0.0238167344878175</v>
      </c>
      <c r="E46" s="791" t="n">
        <v>0.06680824805546806</v>
      </c>
      <c r="F46" s="791" t="n">
        <v>0.09809979832779318</v>
      </c>
      <c r="G46" s="791" t="n">
        <v>0.02982518635465896</v>
      </c>
      <c r="H46" s="791" t="n">
        <v>0.0628737256048951</v>
      </c>
      <c r="I46" s="791" t="n">
        <v>0.05798328124152443</v>
      </c>
      <c r="J46" s="791" t="n">
        <v>0.08155109388928919</v>
      </c>
      <c r="K46" s="791" t="n">
        <v>0.01596497346066791</v>
      </c>
      <c r="L46" s="791" t="n">
        <v>0.09739636804608924</v>
      </c>
      <c r="M46" s="792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</v>
      </c>
      <c r="D47" s="755" t="n">
        <v>-0.01084280832184403</v>
      </c>
      <c r="E47" s="755" t="n">
        <v>-0.007930107707761808</v>
      </c>
      <c r="F47" s="755" t="n">
        <v>-0.006557168498070238</v>
      </c>
      <c r="G47" s="755" t="n">
        <v>-0.007470646214900481</v>
      </c>
      <c r="H47" s="755" t="n">
        <v>-0.00536943942883141</v>
      </c>
      <c r="I47" s="860" t="n">
        <v>-0.007011177742427949</v>
      </c>
      <c r="J47" s="755" t="n">
        <v>-0.006876480586103637</v>
      </c>
      <c r="K47" s="755" t="n">
        <v>-0.006282095002486453</v>
      </c>
      <c r="L47" s="755" t="n">
        <v>-0.008860603176736991</v>
      </c>
      <c r="M47" s="757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840" t="n">
        <v>-0.9742350693834807</v>
      </c>
      <c r="J48" s="761" t="n">
        <v>-0.9744294822624946</v>
      </c>
      <c r="K48" s="761" t="n">
        <v>-1.05680776391112</v>
      </c>
      <c r="L48" s="761" t="n">
        <v>-0.9636469241886052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861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861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850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860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2021-01-02 22:39:00</t>
        </is>
      </c>
      <c r="C54" s="793" t="inlineStr">
        <is>
          <t>2021-02-24 06:22:00</t>
        </is>
      </c>
      <c r="D54" s="793" t="inlineStr">
        <is>
          <t>2021-03-01 01:42:00</t>
        </is>
      </c>
      <c r="E54" s="793" t="inlineStr">
        <is>
          <t>2021-04-07 15:14:00</t>
        </is>
      </c>
      <c r="F54" s="793" t="inlineStr">
        <is>
          <t>2021-05-03 19:09:00</t>
        </is>
      </c>
      <c r="G54" s="793" t="inlineStr">
        <is>
          <t>2021-06-04 20:55:00</t>
        </is>
      </c>
      <c r="H54" s="793" t="inlineStr">
        <is>
          <t>2021-07-02 00:38:00</t>
        </is>
      </c>
      <c r="I54" s="793" t="inlineStr">
        <is>
          <t>2021-08-07 19:31:00</t>
        </is>
      </c>
      <c r="J54" s="793" t="inlineStr">
        <is>
          <t>2021-09-01 16:02:00</t>
        </is>
      </c>
      <c r="K54" s="793" t="inlineStr">
        <is>
          <t>2021-10-01 21:20:00</t>
        </is>
      </c>
      <c r="L54" s="793" t="inlineStr">
        <is>
          <t>2021-11-13 05:21:09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7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77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797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816" t="inlineStr"/>
    </row>
    <row r="62" ht="14.5" customHeight="1">
      <c r="A62" s="748" t="inlineStr">
        <is>
          <t>Long losses</t>
        </is>
      </c>
      <c r="B62" s="799" t="n">
        <v>10</v>
      </c>
      <c r="C62" s="799" t="n">
        <v>9</v>
      </c>
      <c r="D62" s="799" t="n">
        <v>17</v>
      </c>
      <c r="E62" s="799" t="n">
        <v>30</v>
      </c>
      <c r="F62" s="799" t="n">
        <v>31</v>
      </c>
      <c r="G62" s="799" t="n">
        <v>7</v>
      </c>
      <c r="H62" s="799" t="n">
        <v>4</v>
      </c>
      <c r="I62" s="799" t="n">
        <v>6</v>
      </c>
      <c r="J62" s="799" t="n">
        <v>22</v>
      </c>
      <c r="K62" s="799" t="n">
        <v>12</v>
      </c>
      <c r="L62" s="799" t="n">
        <v>9</v>
      </c>
      <c r="M62" s="876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856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816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816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856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794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594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594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77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7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758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758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7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9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9" t="inlineStr">
        <is>
          <t>3.375R - AUDUSD 2021-07-20</t>
        </is>
      </c>
      <c r="I80" s="781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1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1" t="inlineStr">
        <is>
          <t>5.900R - USDJPY 2021-07-02</t>
        </is>
      </c>
      <c r="I81" s="784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0.10972131% - GBPUSD 2021-01-04</t>
        </is>
      </c>
      <c r="C82" s="812" t="inlineStr">
        <is>
          <t>0.05885815% - CADJPY 2021-02-26</t>
        </is>
      </c>
      <c r="D82" s="812" t="inlineStr">
        <is>
          <t>0.05496015% - AUDNZD 2021-03-24</t>
        </is>
      </c>
      <c r="E82" s="812" t="inlineStr">
        <is>
          <t>0.06518298% - AUDNZD 2021-04-30</t>
        </is>
      </c>
      <c r="F82" s="812" t="inlineStr">
        <is>
          <t>0.10752688% - CADCHF 2021-05-05</t>
        </is>
      </c>
      <c r="G82" s="812" t="inlineStr">
        <is>
          <t>0.01443001% - GBPUSD 2021-06-30</t>
        </is>
      </c>
      <c r="H82" s="812" t="inlineStr">
        <is>
          <t>0.01169454% - EURGBP 2021-07-07</t>
        </is>
      </c>
      <c r="I82" s="812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812" t="inlineStr">
        <is>
          <t>0.08308112% - EURGBP 2021-11-25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6.64792783% - LTCUSDT 2021-01-20</t>
        </is>
      </c>
      <c r="C83" s="813" t="inlineStr">
        <is>
          <t>6.29539952% - LTCUSDT 2021-02-26</t>
        </is>
      </c>
      <c r="D83" s="813" t="inlineStr">
        <is>
          <t>6.23432922% - BTCUSDT 2021-03-25</t>
        </is>
      </c>
      <c r="E83" s="813" t="inlineStr">
        <is>
          <t>10.30534351% - BCHUSDT 2021-04-18</t>
        </is>
      </c>
      <c r="F83" s="813" t="inlineStr">
        <is>
          <t>13.89748122% - XTZUSDT 2021-05-19</t>
        </is>
      </c>
      <c r="G83" s="813" t="inlineStr">
        <is>
          <t>4.69114108% - BTCUSDT 2021-06-16</t>
        </is>
      </c>
      <c r="H83" s="813" t="inlineStr">
        <is>
          <t>7.67575323% - DOTUSDT 2021-07-26</t>
        </is>
      </c>
      <c r="I83" s="813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813" t="inlineStr">
        <is>
          <t>15.95197256% - SHIB1000USDT 2021-11-24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813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813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845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845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845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22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813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861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861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6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816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816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816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816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816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816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594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594" t="inlineStr"/>
    </row>
    <row r="108" ht="14.5" customHeight="1">
      <c r="A108" s="748" t="inlineStr">
        <is>
          <t>Max Commission</t>
        </is>
      </c>
      <c r="B108" s="872" t="n">
        <v>0.25474625</v>
      </c>
      <c r="C108" s="820" t="inlineStr">
        <is>
          <t>AUD 0.97 / USDT 1.213827</t>
        </is>
      </c>
      <c r="D108" s="820" t="inlineStr">
        <is>
          <t>AUD 0.4 / USDT 0.73428188</t>
        </is>
      </c>
      <c r="E108" s="820" t="inlineStr">
        <is>
          <t>AUD 0.15 / USDT 2.39778243</t>
        </is>
      </c>
      <c r="F108" s="820" t="inlineStr">
        <is>
          <t>AUD 0.08 / USDT 0.19731526</t>
        </is>
      </c>
      <c r="G108" s="820" t="inlineStr">
        <is>
          <t>AUD 1.26 / USDT 0.1254975</t>
        </is>
      </c>
      <c r="H108" s="820" t="inlineStr">
        <is>
          <t>AUD 1.4 / USDT 0.136007</t>
        </is>
      </c>
      <c r="I108" s="872" t="n">
        <v>0.10038807</v>
      </c>
      <c r="J108" s="820" t="inlineStr">
        <is>
          <t>AUD 0.63 / USDT 0.23282388</t>
        </is>
      </c>
      <c r="K108" s="820" t="inlineStr">
        <is>
          <t>AUD 1.26 / USDT 0.338183</t>
        </is>
      </c>
      <c r="L108" s="820" t="inlineStr">
        <is>
          <t>AUD 0.55 / USDT 0.39655302</t>
        </is>
      </c>
      <c r="M108" s="794" t="inlineStr"/>
    </row>
    <row r="109" ht="14.5" customHeight="1">
      <c r="A109" s="795" t="inlineStr">
        <is>
          <t>Total Commission</t>
        </is>
      </c>
      <c r="B109" s="874" t="n">
        <v>1.29835199</v>
      </c>
      <c r="C109" s="822" t="inlineStr">
        <is>
          <t>AUD 1.13 / USDT 2.611222</t>
        </is>
      </c>
      <c r="D109" s="822" t="inlineStr">
        <is>
          <t>AUD 0.9 / USDT 2.87534142</t>
        </is>
      </c>
      <c r="E109" s="822" t="inlineStr">
        <is>
          <t>AUD 0.28 / USDT 6.94790069</t>
        </is>
      </c>
      <c r="F109" s="822" t="inlineStr">
        <is>
          <t>AUD 0.18 / USDT 2.412307</t>
        </is>
      </c>
      <c r="G109" s="822" t="inlineStr">
        <is>
          <t>AUD 5.85 / USDT 0.26063703</t>
        </is>
      </c>
      <c r="H109" s="822" t="inlineStr">
        <is>
          <t>AUD 10.29 / USDT 0.27904832</t>
        </is>
      </c>
      <c r="I109" s="874" t="n">
        <v>0.3414367</v>
      </c>
      <c r="J109" s="822" t="inlineStr">
        <is>
          <t>AUD 3.17 / USDT 1.77613604</t>
        </is>
      </c>
      <c r="K109" s="822" t="inlineStr">
        <is>
          <t>AUD 10.71 / USDT 1.674726</t>
        </is>
      </c>
      <c r="L109" s="822" t="inlineStr">
        <is>
          <t>AUD 1.27 / USDT 0.63852854</t>
        </is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-0.001526370566956883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0.03952412065661875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6.175705755431801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5.705739100081249</v>
      </c>
      <c r="I12" s="761" t="n">
        <v>0</v>
      </c>
      <c r="J12" s="761" t="n">
        <v>3.124250418039248</v>
      </c>
      <c r="K12" s="761" t="n">
        <v>4.073254849599282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53" t="inlineStr"/>
      <c r="C13" s="749" t="n">
        <v>1</v>
      </c>
      <c r="D13" s="853" t="inlineStr"/>
      <c r="E13" s="853" t="inlineStr"/>
      <c r="F13" s="749" t="n">
        <v>2</v>
      </c>
      <c r="G13" s="749" t="n">
        <v>2</v>
      </c>
      <c r="H13" s="749" t="n">
        <v>1</v>
      </c>
      <c r="I13" s="749" t="n">
        <v>1</v>
      </c>
      <c r="J13" s="853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813" t="inlineStr"/>
      <c r="C14" s="590" t="inlineStr">
        <is>
          <t>2022-02-04 00:02:34</t>
        </is>
      </c>
      <c r="D14" s="813" t="inlineStr"/>
      <c r="E14" s="813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813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813" t="inlineStr"/>
      <c r="C15" s="590" t="inlineStr">
        <is>
          <t>2022-02-04 00:02:34</t>
        </is>
      </c>
      <c r="D15" s="813" t="inlineStr"/>
      <c r="E15" s="813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813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53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53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813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813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813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813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-0.0002543950944928138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-0.2992850586510608</v>
      </c>
      <c r="G20" s="765" t="n">
        <v>0.5018345809301482</v>
      </c>
      <c r="H20" s="765" t="n">
        <v>0.03746190121517988</v>
      </c>
      <c r="I20" s="765" t="n">
        <v>2</v>
      </c>
      <c r="J20" s="766" t="n">
        <v>-1.041416806013083</v>
      </c>
      <c r="K20" s="765" t="n">
        <v>0.04806250525925434</v>
      </c>
      <c r="L20" s="765" t="n">
        <v>0.1139273272943861</v>
      </c>
      <c r="M20" s="869" t="n">
        <v>-0.2776292335114892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845" t="inlineStr">
        <is>
          <t>-1.013R - GBPUSD 2022-01-26</t>
        </is>
      </c>
      <c r="C32" s="845" t="inlineStr">
        <is>
          <t>3.527R - EURGBP 2022-02-04</t>
        </is>
      </c>
      <c r="D32" s="845" t="inlineStr">
        <is>
          <t>-1.149R - BTCUSDT 2022-03-28</t>
        </is>
      </c>
      <c r="E32" s="845" t="inlineStr">
        <is>
          <t>-1.000R - USDJPY 2022-04-28</t>
        </is>
      </c>
      <c r="F32" s="845" t="inlineStr">
        <is>
          <t>-1.358R - NZDCAD 2022-05-05</t>
        </is>
      </c>
      <c r="G32" s="845" t="inlineStr">
        <is>
          <t>-1.007R - USDJPY 2022-06-22</t>
        </is>
      </c>
      <c r="H32" s="845" t="inlineStr">
        <is>
          <t>-1.033R - EURCHF 2022-07-12</t>
        </is>
      </c>
      <c r="I32" s="845" t="inlineStr">
        <is>
          <t>2.000R - EURUSD 2022-08-01</t>
        </is>
      </c>
      <c r="J32" s="845" t="inlineStr">
        <is>
          <t>-1.118R - USDJPY 2022-09-22</t>
        </is>
      </c>
      <c r="K32" s="845" t="inlineStr">
        <is>
          <t>-1.071R - USDCHF 2022-10-21</t>
        </is>
      </c>
      <c r="L32" s="845" t="inlineStr">
        <is>
          <t>-1.014R - AUDUSD 2022-11-10</t>
        </is>
      </c>
      <c r="M32" s="885" t="inlineStr">
        <is>
          <t>-1.091R - GBPUSD 2022-12-19</t>
        </is>
      </c>
    </row>
    <row r="33" ht="14.5" customHeight="1">
      <c r="A33" s="764" t="inlineStr">
        <is>
          <t>Max R win</t>
        </is>
      </c>
      <c r="B33" s="811" t="inlineStr">
        <is>
          <t>-1.013R - GBPUSD 2022-01-26</t>
        </is>
      </c>
      <c r="C33" s="811" t="inlineStr">
        <is>
          <t>3.527R - EURGBP 2022-02-04</t>
        </is>
      </c>
      <c r="D33" s="811" t="inlineStr">
        <is>
          <t>-1.000R - USDCHF 2022-03-15</t>
        </is>
      </c>
      <c r="E33" s="811" t="inlineStr">
        <is>
          <t>-1.000R - USDJPY 2022-04-28</t>
        </is>
      </c>
      <c r="F33" s="811" t="inlineStr">
        <is>
          <t>2.015R - GBPCHF 2022-05-19</t>
        </is>
      </c>
      <c r="G33" s="811" t="inlineStr">
        <is>
          <t>2.014R - EURCAD 2022-06-09</t>
        </is>
      </c>
      <c r="H33" s="811" t="inlineStr">
        <is>
          <t>2.038R - USDCHF 2022-07-06</t>
        </is>
      </c>
      <c r="I33" s="811" t="inlineStr">
        <is>
          <t>2.000R - EURUSD 2022-08-01</t>
        </is>
      </c>
      <c r="J33" s="811" t="inlineStr">
        <is>
          <t>-1.002R - NZDJPY 2022-09-07</t>
        </is>
      </c>
      <c r="K33" s="811" t="inlineStr">
        <is>
          <t>2.344R - GBPUSD 2022-10-11</t>
        </is>
      </c>
      <c r="L33" s="811" t="inlineStr">
        <is>
          <t>2.529R - AUDCHF 2022-11-29</t>
        </is>
      </c>
      <c r="M33" s="881" t="inlineStr">
        <is>
          <t>2.000R - NZDJPY 2022-12-15</t>
        </is>
      </c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3" t="inlineStr"/>
      <c r="C38" s="593" t="n">
        <v>0.01042131544984137</v>
      </c>
      <c r="D38" s="593" t="inlineStr"/>
      <c r="E38" s="593" t="inlineStr"/>
      <c r="F38" s="593" t="n">
        <v>0.01768681220390213</v>
      </c>
      <c r="G38" s="593" t="n">
        <v>0.01455564488403676</v>
      </c>
      <c r="H38" s="593" t="n">
        <v>0.009701829473062397</v>
      </c>
      <c r="I38" s="593" t="n">
        <v>0.003232968488295086</v>
      </c>
      <c r="J38" s="593" t="inlineStr"/>
      <c r="K38" s="593" t="n">
        <v>0.006420643384508084</v>
      </c>
      <c r="L38" s="593" t="n">
        <v>0.004260903267443716</v>
      </c>
      <c r="M38" s="758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0.01976206032830937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855" t="inlineStr"/>
      <c r="C40" s="787" t="n">
        <v>3.526530612244959</v>
      </c>
      <c r="D40" s="855" t="inlineStr"/>
      <c r="E40" s="855" t="inlineStr"/>
      <c r="F40" s="787" t="n">
        <v>1.54392643885795</v>
      </c>
      <c r="G40" s="787" t="n">
        <v>2.007117437722382</v>
      </c>
      <c r="H40" s="787" t="n">
        <v>2.014298737005956</v>
      </c>
      <c r="I40" s="787" t="n">
        <v>2</v>
      </c>
      <c r="J40" s="855" t="inlineStr"/>
      <c r="K40" s="787" t="n">
        <v>2.180814940577404</v>
      </c>
      <c r="L40" s="787" t="n">
        <v>1.791971309665871</v>
      </c>
      <c r="M40" s="839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791" t="n">
        <v>0.003527885862516285</v>
      </c>
      <c r="C46" s="791" t="inlineStr"/>
      <c r="D46" s="791" t="n">
        <v>0.02870584587859801</v>
      </c>
      <c r="E46" s="791" t="n">
        <v>0.00169890042323515</v>
      </c>
      <c r="F46" s="791" t="n">
        <v>0.03109254214560804</v>
      </c>
      <c r="G46" s="791" t="n">
        <v>0.004742943119038576</v>
      </c>
      <c r="H46" s="791" t="n">
        <v>0.01102296010066961</v>
      </c>
      <c r="I46" s="791" t="inlineStr"/>
      <c r="J46" s="791" t="n">
        <v>0.01314301230126046</v>
      </c>
      <c r="K46" s="791" t="n">
        <v>0.02058988798875613</v>
      </c>
      <c r="L46" s="791" t="n">
        <v>0.01367317360695328</v>
      </c>
      <c r="M46" s="792" t="n">
        <v>0.002063765533333061</v>
      </c>
    </row>
    <row r="47" ht="14.5" customHeight="1">
      <c r="A47" s="745" t="inlineStr">
        <is>
          <t>Percentage expectancy</t>
        </is>
      </c>
      <c r="B47" s="860" t="n">
        <v>-0.01055000362958841</v>
      </c>
      <c r="C47" s="753" t="inlineStr"/>
      <c r="D47" s="860" t="n">
        <v>-0.007404844455408221</v>
      </c>
      <c r="E47" s="860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860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840" t="n">
        <v>-1.012987012987099</v>
      </c>
      <c r="C48" s="780" t="inlineStr"/>
      <c r="D48" s="840" t="n">
        <v>-1.074664817383264</v>
      </c>
      <c r="E48" s="840" t="n">
        <v>-1</v>
      </c>
      <c r="F48" s="761" t="n">
        <v>-1.036569657654665</v>
      </c>
      <c r="G48" s="761" t="n">
        <v>-1.003448275862086</v>
      </c>
      <c r="H48" s="761" t="n">
        <v>-0.9509565166802082</v>
      </c>
      <c r="I48" s="780" t="inlineStr"/>
      <c r="J48" s="840" t="n">
        <v>-1.041416806013083</v>
      </c>
      <c r="K48" s="761" t="n">
        <v>-1.01831371239982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861" t="inlineStr">
        <is>
          <t>1H 0M 31S - GBPUSD 2022-01-26</t>
        </is>
      </c>
      <c r="C49" s="590" t="inlineStr"/>
      <c r="D49" s="861" t="inlineStr">
        <is>
          <t>2M 0S - BTCUSDT 2022-03-28</t>
        </is>
      </c>
      <c r="E49" s="861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861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594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861" t="inlineStr">
        <is>
          <t>1H 0M 31S</t>
        </is>
      </c>
      <c r="C50" s="590" t="inlineStr"/>
      <c r="D50" s="861" t="inlineStr">
        <is>
          <t>1H 15M 59S</t>
        </is>
      </c>
      <c r="E50" s="861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861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850" t="inlineStr">
        <is>
          <t>1H 0M 31S - GBPUSD 2022-01-26</t>
        </is>
      </c>
      <c r="C51" s="772" t="inlineStr"/>
      <c r="D51" s="850" t="inlineStr">
        <is>
          <t>2H 29M 58S - USDCHF 2022-03-15</t>
        </is>
      </c>
      <c r="E51" s="850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850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812" t="inlineStr"/>
      <c r="C52" s="774" t="inlineStr"/>
      <c r="D52" s="812" t="inlineStr"/>
      <c r="E52" s="812" t="inlineStr"/>
      <c r="F52" s="774" t="inlineStr"/>
      <c r="G52" s="774" t="inlineStr"/>
      <c r="H52" s="774" t="inlineStr"/>
      <c r="I52" s="774" t="inlineStr"/>
      <c r="J52" s="812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753" t="inlineStr"/>
      <c r="D53" s="854" t="inlineStr"/>
      <c r="E53" s="860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860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>
        <is>
          <t>2022-04-28 17:10:16</t>
        </is>
      </c>
      <c r="F54" s="793" t="inlineStr">
        <is>
          <t>2022-05-05 16:51:11</t>
        </is>
      </c>
      <c r="G54" s="793" t="inlineStr">
        <is>
          <t>2022-06-09 22:25:00</t>
        </is>
      </c>
      <c r="H54" s="793" t="inlineStr">
        <is>
          <t>2022-07-06 00:35:00</t>
        </is>
      </c>
      <c r="I54" s="793" t="inlineStr"/>
      <c r="J54" s="793" t="inlineStr">
        <is>
          <t>2022-09-07 19:05:00</t>
        </is>
      </c>
      <c r="K54" s="793" t="inlineStr">
        <is>
          <t>2022-10-20 02:08:00</t>
        </is>
      </c>
      <c r="L54" s="793" t="inlineStr">
        <is>
          <t>2022-11-16 00:21:00</t>
        </is>
      </c>
      <c r="M54" s="794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813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813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854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854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3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3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861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861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850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850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862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862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878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878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0</v>
      </c>
      <c r="C62" s="799" t="n">
        <v>0</v>
      </c>
      <c r="D62" s="799" t="n">
        <v>0</v>
      </c>
      <c r="E62" s="799" t="n">
        <v>2</v>
      </c>
      <c r="F62" s="799" t="n">
        <v>7</v>
      </c>
      <c r="G62" s="799" t="n">
        <v>2</v>
      </c>
      <c r="H62" s="799" t="n">
        <v>2</v>
      </c>
      <c r="I62" s="799" t="n">
        <v>0</v>
      </c>
      <c r="J62" s="799" t="n">
        <v>1</v>
      </c>
      <c r="K62" s="799" t="n">
        <v>1</v>
      </c>
      <c r="L62" s="799" t="n">
        <v>1</v>
      </c>
      <c r="M62" s="800" t="n">
        <v>1</v>
      </c>
    </row>
    <row r="63" ht="14.5" customHeight="1">
      <c r="A63" s="745" t="inlineStr">
        <is>
          <t>Long break-even</t>
        </is>
      </c>
      <c r="B63" s="853" t="n">
        <v>0</v>
      </c>
      <c r="C63" s="853" t="n">
        <v>0</v>
      </c>
      <c r="D63" s="853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852" t="n">
        <v>1</v>
      </c>
      <c r="C64" s="852" t="n">
        <v>0</v>
      </c>
      <c r="D64" s="852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852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878" t="n">
        <v>0</v>
      </c>
      <c r="C65" s="878" t="n">
        <v>0</v>
      </c>
      <c r="D65" s="878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878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879" t="n">
        <v>1</v>
      </c>
      <c r="C66" s="879" t="n">
        <v>0</v>
      </c>
      <c r="D66" s="879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879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65" t="n">
        <v>0</v>
      </c>
      <c r="C67" s="865" t="n">
        <v>0</v>
      </c>
      <c r="D67" s="865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812" t="inlineStr">
        <is>
          <t>1H 0M 31S - GBPUSD 2022-01-26</t>
        </is>
      </c>
      <c r="C68" s="812" t="inlineStr">
        <is>
          <t>2H 2M 2S - EURGBP 2022-02-04</t>
        </is>
      </c>
      <c r="D68" s="812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812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813" t="inlineStr">
        <is>
          <t>1H 0M 31S - GBPUSD 2022-01-26</t>
        </is>
      </c>
      <c r="C69" s="813" t="inlineStr">
        <is>
          <t>2H 2M 2S - EURGBP 2022-02-04</t>
        </is>
      </c>
      <c r="D69" s="813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813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1" t="inlineStr"/>
      <c r="C80" s="809" t="inlineStr">
        <is>
          <t>3.527R - EURGBP 2022-02-04</t>
        </is>
      </c>
      <c r="D80" s="781" t="inlineStr"/>
      <c r="E80" s="781" t="inlineStr"/>
      <c r="F80" s="809" t="inlineStr">
        <is>
          <t>0.160R - GBPCAD 2022-05-05</t>
        </is>
      </c>
      <c r="G80" s="809" t="inlineStr">
        <is>
          <t>2.000R - USDJPY 2022-06-01</t>
        </is>
      </c>
      <c r="H80" s="809" t="inlineStr">
        <is>
          <t>2.000R - EURCHF 2022-07-13</t>
        </is>
      </c>
      <c r="I80" s="809" t="inlineStr">
        <is>
          <t>2.000R - EURUSD 2022-08-01</t>
        </is>
      </c>
      <c r="J80" s="781" t="inlineStr"/>
      <c r="K80" s="809" t="inlineStr">
        <is>
          <t>2.018R - AUDUSD 2022-10-20</t>
        </is>
      </c>
      <c r="L80" s="809" t="inlineStr">
        <is>
          <t>0.535R - EURGBP 2022-11-25</t>
        </is>
      </c>
      <c r="M80" s="880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4" t="inlineStr"/>
      <c r="C81" s="811" t="inlineStr">
        <is>
          <t>3.527R - EURGBP 2022-02-04</t>
        </is>
      </c>
      <c r="D81" s="784" t="inlineStr"/>
      <c r="E81" s="784" t="inlineStr"/>
      <c r="F81" s="811" t="inlineStr">
        <is>
          <t>2.015R - GBPCHF 2022-05-19</t>
        </is>
      </c>
      <c r="G81" s="811" t="inlineStr">
        <is>
          <t>2.014R - EURCAD 2022-06-09</t>
        </is>
      </c>
      <c r="H81" s="811" t="inlineStr">
        <is>
          <t>2.038R - USDCHF 2022-07-06</t>
        </is>
      </c>
      <c r="I81" s="811" t="inlineStr">
        <is>
          <t>2.000R - EURUSD 2022-08-01</t>
        </is>
      </c>
      <c r="J81" s="784" t="inlineStr"/>
      <c r="K81" s="811" t="inlineStr">
        <is>
          <t>2.344R - GBPUSD 2022-10-11</t>
        </is>
      </c>
      <c r="L81" s="811" t="inlineStr">
        <is>
          <t>2.529R - AUDCHF 2022-11-29</t>
        </is>
      </c>
      <c r="M81" s="881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812" t="inlineStr">
        <is>
          <t>0.05706874% - GBPUSD 2022-01-26</t>
        </is>
      </c>
      <c r="C82" s="857" t="inlineStr"/>
      <c r="D82" s="812" t="inlineStr">
        <is>
          <t>0.14736348% - USDCHF 2022-03-15</t>
        </is>
      </c>
      <c r="E82" s="812" t="inlineStr">
        <is>
          <t>0.06133793% - USDJPY 2022-04-28</t>
        </is>
      </c>
      <c r="F82" s="812" t="inlineStr">
        <is>
          <t>0.03597899% - GBPUSD 2022-05-03</t>
        </is>
      </c>
      <c r="G82" s="812" t="inlineStr">
        <is>
          <t>0.2132447% - USDJPY 2022-06-22</t>
        </is>
      </c>
      <c r="H82" s="812" t="inlineStr">
        <is>
          <t>0.06939488% - EURUSD 2022-07-08</t>
        </is>
      </c>
      <c r="I82" s="857" t="inlineStr"/>
      <c r="J82" s="812" t="inlineStr">
        <is>
          <t>0.34555956% - USDJPY 2022-09-22</t>
        </is>
      </c>
      <c r="K82" s="812" t="inlineStr">
        <is>
          <t>0.64468667% - GBPAUD 2022-10-21</t>
        </is>
      </c>
      <c r="L82" s="812" t="inlineStr">
        <is>
          <t>0.10638954% - AUDUSD 2022-11-10</t>
        </is>
      </c>
      <c r="M82" s="775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813" t="inlineStr">
        <is>
          <t>0.05706874% - GBPUSD 2022-01-26</t>
        </is>
      </c>
      <c r="C83" s="854" t="inlineStr"/>
      <c r="D83" s="813" t="inlineStr">
        <is>
          <t>2.39325507% - BTCUSDT 2022-03-28</t>
        </is>
      </c>
      <c r="E83" s="813" t="inlineStr">
        <is>
          <t>0.06445178% - USDJPY 2022-04-28</t>
        </is>
      </c>
      <c r="F83" s="813" t="inlineStr">
        <is>
          <t>12.57995736% - BATUSDT 2022-05-11</t>
        </is>
      </c>
      <c r="G83" s="813" t="inlineStr">
        <is>
          <t>0.23481695% - GBPUSD 2022-06-29</t>
        </is>
      </c>
      <c r="H83" s="813" t="inlineStr">
        <is>
          <t>1.4116883% - GBPCHF 2022-07-02</t>
        </is>
      </c>
      <c r="I83" s="854" t="inlineStr"/>
      <c r="J83" s="813" t="inlineStr">
        <is>
          <t>0.70275826% - EURJPY 2022-09-12</t>
        </is>
      </c>
      <c r="K83" s="813" t="inlineStr">
        <is>
          <t>1.74532787% - GBPUSD 2022-10-05</t>
        </is>
      </c>
      <c r="L83" s="813" t="inlineStr">
        <is>
          <t>2.29587463% - NZDUSD 2022-11-09</t>
        </is>
      </c>
      <c r="M83" s="776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813" t="inlineStr">
        <is>
          <t>0.35278859% - GBPUSD 2022-01-26</t>
        </is>
      </c>
      <c r="C84" s="753" t="inlineStr"/>
      <c r="D84" s="813" t="inlineStr">
        <is>
          <t>0.95465904% - USDCHF 2022-03-15</t>
        </is>
      </c>
      <c r="E84" s="813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813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813" t="inlineStr">
        <is>
          <t>0.35278859% - GBPUSD 2022-01-26</t>
        </is>
      </c>
      <c r="C85" s="753" t="inlineStr"/>
      <c r="D85" s="813" t="inlineStr">
        <is>
          <t>4.78651014% - BTCUSDT 2022-03-28</t>
        </is>
      </c>
      <c r="E85" s="813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813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845" t="inlineStr">
        <is>
          <t>-1.05500036% - GBPUSD 2022-01-26</t>
        </is>
      </c>
      <c r="C86" s="753" t="inlineStr"/>
      <c r="D86" s="845" t="inlineStr">
        <is>
          <t>-0.96158367% - USDCHF 2022-03-15</t>
        </is>
      </c>
      <c r="E86" s="845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845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845" t="inlineStr">
        <is>
          <t>-1.05500036% - GBPUSD 2022-01-26</t>
        </is>
      </c>
      <c r="C87" s="753" t="inlineStr"/>
      <c r="D87" s="845" t="inlineStr">
        <is>
          <t>-0.51938522% - BTCUSDT 2022-03-28</t>
        </is>
      </c>
      <c r="E87" s="845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845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845" t="inlineStr">
        <is>
          <t>-1.013R - GBPUSD 2022-01-26</t>
        </is>
      </c>
      <c r="C88" s="780" t="inlineStr"/>
      <c r="D88" s="845" t="inlineStr">
        <is>
          <t>-1.149R - BTCUSDT 2022-03-28</t>
        </is>
      </c>
      <c r="E88" s="845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845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22" t="inlineStr">
        <is>
          <t>-1.013R - GBPUSD 2022-01-26</t>
        </is>
      </c>
      <c r="C89" s="783" t="inlineStr"/>
      <c r="D89" s="822" t="inlineStr">
        <is>
          <t>-1.000R - USDCHF 2022-03-15</t>
        </is>
      </c>
      <c r="E89" s="822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22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812" t="inlineStr"/>
      <c r="E90" s="812" t="inlineStr"/>
      <c r="F90" s="774" t="inlineStr"/>
      <c r="G90" s="774" t="inlineStr"/>
      <c r="H90" s="774" t="inlineStr"/>
      <c r="I90" s="774" t="inlineStr"/>
      <c r="J90" s="812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813" t="inlineStr"/>
      <c r="E91" s="813" t="inlineStr"/>
      <c r="F91" s="771" t="inlineStr"/>
      <c r="G91" s="771" t="inlineStr"/>
      <c r="H91" s="771" t="inlineStr"/>
      <c r="I91" s="771" t="inlineStr"/>
      <c r="J91" s="813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861" t="inlineStr"/>
      <c r="C92" s="590" t="inlineStr"/>
      <c r="D92" s="861" t="inlineStr"/>
      <c r="E92" s="861" t="inlineStr"/>
      <c r="F92" s="590" t="inlineStr"/>
      <c r="G92" s="590" t="inlineStr"/>
      <c r="H92" s="590" t="inlineStr"/>
      <c r="I92" s="590" t="inlineStr"/>
      <c r="J92" s="861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590" t="inlineStr"/>
      <c r="D93" s="861" t="inlineStr"/>
      <c r="E93" s="861" t="inlineStr"/>
      <c r="F93" s="590" t="inlineStr"/>
      <c r="G93" s="590" t="inlineStr"/>
      <c r="H93" s="590" t="inlineStr"/>
      <c r="I93" s="590" t="inlineStr"/>
      <c r="J93" s="861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598" t="inlineStr"/>
      <c r="D94" s="868" t="inlineStr"/>
      <c r="E94" s="868" t="inlineStr"/>
      <c r="F94" s="598" t="inlineStr"/>
      <c r="G94" s="598" t="inlineStr"/>
      <c r="H94" s="598" t="inlineStr"/>
      <c r="I94" s="598" t="inlineStr"/>
      <c r="J94" s="86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785" t="inlineStr"/>
      <c r="D95" s="859" t="inlineStr"/>
      <c r="E95" s="859" t="inlineStr"/>
      <c r="F95" s="785" t="inlineStr"/>
      <c r="G95" s="785" t="inlineStr"/>
      <c r="H95" s="785" t="inlineStr"/>
      <c r="I95" s="785" t="inlineStr"/>
      <c r="J95" s="859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852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852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852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852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852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852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852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852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852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852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852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852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65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859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861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861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861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861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0.03237845</v>
      </c>
      <c r="E108" s="819" t="n">
        <v>0.35</v>
      </c>
      <c r="F108" s="820" t="inlineStr">
        <is>
          <t>AUD 0.7 / USDT 0.01101681</t>
        </is>
      </c>
      <c r="G108" s="793" t="inlineStr"/>
      <c r="H108" s="819" t="n">
        <v>0.5600000000000001</v>
      </c>
      <c r="I108" s="793" t="inlineStr"/>
      <c r="J108" s="793" t="inlineStr"/>
      <c r="K108" s="793" t="inlineStr"/>
      <c r="L108" s="793" t="inlineStr"/>
      <c r="M108" s="849" t="n">
        <v>0.21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0.03237845</v>
      </c>
      <c r="E109" s="821" t="n">
        <v>0.7</v>
      </c>
      <c r="F109" s="822" t="inlineStr">
        <is>
          <t>AUD 1.89 / USDT 0.01101681</t>
        </is>
      </c>
      <c r="G109" s="850" t="inlineStr"/>
      <c r="H109" s="821" t="n">
        <v>0.8400000000000001</v>
      </c>
      <c r="I109" s="850" t="inlineStr"/>
      <c r="J109" s="850" t="inlineStr"/>
      <c r="K109" s="850" t="inlineStr"/>
      <c r="L109" s="850" t="inlineStr"/>
      <c r="M109" s="851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inlineStr"/>
      <c r="C2" s="852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852" t="inlineStr"/>
      <c r="M2" s="747" t="n">
        <v>4</v>
      </c>
    </row>
    <row r="3" ht="14.5" customHeight="1">
      <c r="A3" s="748" t="inlineStr">
        <is>
          <t>Wins</t>
        </is>
      </c>
      <c r="B3" s="853" t="inlineStr"/>
      <c r="C3" s="853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53" t="inlineStr"/>
      <c r="M3" s="750" t="n">
        <v>2</v>
      </c>
    </row>
    <row r="4" ht="14.5" customHeight="1">
      <c r="A4" s="748" t="inlineStr">
        <is>
          <t>Losses</t>
        </is>
      </c>
      <c r="B4" s="853" t="inlineStr"/>
      <c r="C4" s="853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53" t="inlineStr"/>
      <c r="M4" s="752" t="n">
        <v>2</v>
      </c>
    </row>
    <row r="5" ht="14.5" customHeight="1">
      <c r="A5" s="748" t="inlineStr">
        <is>
          <t>Break-even</t>
        </is>
      </c>
      <c r="B5" s="852" t="inlineStr"/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852" t="inlineStr"/>
      <c r="M5" s="747" t="n">
        <v>0</v>
      </c>
    </row>
    <row r="6" ht="14.5" customHeight="1">
      <c r="A6" s="748" t="inlineStr">
        <is>
          <t>Test</t>
        </is>
      </c>
      <c r="B6" s="852" t="inlineStr"/>
      <c r="C6" s="852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852" t="inlineStr"/>
      <c r="M6" s="747" t="n">
        <v>0</v>
      </c>
    </row>
    <row r="7" ht="14.5" customHeight="1">
      <c r="A7" s="745" t="inlineStr">
        <is>
          <t>Win rate</t>
        </is>
      </c>
      <c r="B7" s="854" t="inlineStr"/>
      <c r="C7" s="854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854" t="inlineStr"/>
      <c r="M7" s="754" t="n">
        <v>0.5</v>
      </c>
    </row>
    <row r="8" ht="14.5" customHeight="1">
      <c r="A8" s="745" t="inlineStr">
        <is>
          <t>Net P/L</t>
        </is>
      </c>
      <c r="B8" s="854" t="inlineStr"/>
      <c r="C8" s="854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-0.02528586138077921</v>
      </c>
      <c r="J8" s="756" t="n">
        <v>0.05675831416342729</v>
      </c>
      <c r="K8" s="755" t="n">
        <v>-0.01953551139644219</v>
      </c>
      <c r="L8" s="854" t="inlineStr"/>
      <c r="M8" s="830" t="n">
        <v>0.005849247910517437</v>
      </c>
    </row>
    <row r="9" ht="14.5" customHeight="1">
      <c r="A9" s="745" t="inlineStr">
        <is>
          <t>Gross percent gain</t>
        </is>
      </c>
      <c r="B9" s="593" t="inlineStr"/>
      <c r="C9" s="593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0.07930751761183648</v>
      </c>
      <c r="I9" s="756" t="n">
        <v>0.03814120640499661</v>
      </c>
      <c r="J9" s="756" t="n">
        <v>0.06719096694606765</v>
      </c>
      <c r="K9" s="756" t="n">
        <v>0</v>
      </c>
      <c r="L9" s="593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3" t="inlineStr"/>
      <c r="C10" s="593" t="inlineStr"/>
      <c r="D10" s="755" t="n">
        <v>0.04121968941836112</v>
      </c>
      <c r="E10" s="755" t="n">
        <v>0.05602854339672056</v>
      </c>
      <c r="F10" s="755" t="n">
        <v>0.009892321081179259</v>
      </c>
      <c r="G10" s="755" t="n">
        <v>0.06258867133953448</v>
      </c>
      <c r="H10" s="755" t="n">
        <v>0.11370555332466</v>
      </c>
      <c r="I10" s="755" t="n">
        <v>0.06342706778577582</v>
      </c>
      <c r="J10" s="755" t="n">
        <v>0.01043265278264035</v>
      </c>
      <c r="K10" s="755" t="n">
        <v>0.01953551139644219</v>
      </c>
      <c r="L10" s="593" t="inlineStr"/>
      <c r="M10" s="829" t="n">
        <v>0.0201543149093102</v>
      </c>
    </row>
    <row r="11" ht="14.5" customHeight="1">
      <c r="A11" s="745" t="inlineStr">
        <is>
          <t>Gross IR gain</t>
        </is>
      </c>
      <c r="B11" s="855" t="inlineStr"/>
      <c r="C11" s="855" t="inlineStr"/>
      <c r="D11" s="759" t="n">
        <v>6.079705630338632</v>
      </c>
      <c r="E11" s="759" t="n">
        <v>3.998833592535</v>
      </c>
      <c r="F11" s="759" t="n">
        <v>2.066997518610476</v>
      </c>
      <c r="G11" s="759" t="n">
        <v>3.995906432748473</v>
      </c>
      <c r="H11" s="759" t="n">
        <v>8.240791674000597</v>
      </c>
      <c r="I11" s="759" t="n">
        <v>1.997851310700475</v>
      </c>
      <c r="J11" s="759" t="n">
        <v>6.958572271054357</v>
      </c>
      <c r="K11" s="759" t="n">
        <v>0</v>
      </c>
      <c r="L11" s="855" t="inlineStr"/>
      <c r="M11" s="831" t="n">
        <v>4.085091560509513</v>
      </c>
    </row>
    <row r="12" ht="14.5" customHeight="1">
      <c r="A12" s="745" t="inlineStr">
        <is>
          <t>Gross IR loss</t>
        </is>
      </c>
      <c r="B12" s="855" t="inlineStr"/>
      <c r="C12" s="855" t="inlineStr"/>
      <c r="D12" s="761" t="n">
        <v>4.076322947006412</v>
      </c>
      <c r="E12" s="761" t="n">
        <v>5.613104384374791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855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53" t="inlineStr"/>
      <c r="C13" s="853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53" t="inlineStr"/>
      <c r="L13" s="853" t="inlineStr"/>
      <c r="M13" s="750" t="n">
        <v>2</v>
      </c>
    </row>
    <row r="14" ht="14.5" customHeight="1">
      <c r="A14" s="748" t="inlineStr">
        <is>
          <t>Start</t>
        </is>
      </c>
      <c r="B14" s="813" t="inlineStr"/>
      <c r="C14" s="813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813" t="inlineStr"/>
      <c r="L14" s="813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813" t="inlineStr"/>
      <c r="C15" s="813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813" t="inlineStr"/>
      <c r="L15" s="813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53" t="inlineStr"/>
      <c r="C16" s="853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53" t="inlineStr"/>
      <c r="M16" s="752" t="n">
        <v>2</v>
      </c>
    </row>
    <row r="17" ht="14.5" customHeight="1">
      <c r="A17" s="748" t="inlineStr">
        <is>
          <t>Start</t>
        </is>
      </c>
      <c r="B17" s="813" t="inlineStr"/>
      <c r="C17" s="813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813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813" t="inlineStr"/>
      <c r="C18" s="813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813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854" t="inlineStr"/>
      <c r="C19" s="854" t="inlineStr"/>
      <c r="D19" s="756" t="n">
        <v>0.002246172797197084</v>
      </c>
      <c r="E19" s="755" t="n">
        <v>-0.002263182512531879</v>
      </c>
      <c r="F19" s="756" t="n">
        <v>0.005081902374675987</v>
      </c>
      <c r="G19" s="755" t="n">
        <v>-0.002706268189752918</v>
      </c>
      <c r="H19" s="755" t="n">
        <v>-0.002293202380854903</v>
      </c>
      <c r="I19" s="755" t="n">
        <v>-0.003160732672597402</v>
      </c>
      <c r="J19" s="756" t="n">
        <v>0.009459719027237882</v>
      </c>
      <c r="K19" s="755" t="n">
        <v>-0.004883877849110547</v>
      </c>
      <c r="L19" s="854" t="inlineStr"/>
      <c r="M19" s="830" t="n">
        <v>0.001462311977629359</v>
      </c>
    </row>
    <row r="20" ht="14.5" customHeight="1">
      <c r="A20" s="764" t="inlineStr">
        <is>
          <t>R expectancy</t>
        </is>
      </c>
      <c r="B20" s="784" t="inlineStr"/>
      <c r="C20" s="784" t="inlineStr"/>
      <c r="D20" s="765" t="n">
        <v>0.2861975261903171</v>
      </c>
      <c r="E20" s="766" t="n">
        <v>-0.201783848979974</v>
      </c>
      <c r="F20" s="765" t="n">
        <v>0.5310357051180296</v>
      </c>
      <c r="G20" s="766" t="n">
        <v>-0.1930128835797098</v>
      </c>
      <c r="H20" s="766" t="n">
        <v>-0.1457576861604419</v>
      </c>
      <c r="I20" s="766" t="n">
        <v>-0.5048589576525717</v>
      </c>
      <c r="J20" s="765" t="n">
        <v>1.391714454210871</v>
      </c>
      <c r="K20" s="766" t="n">
        <v>-0.9904306220095718</v>
      </c>
      <c r="L20" s="784" t="inlineStr"/>
      <c r="M20" s="833" t="n">
        <v>0.5456871233849356</v>
      </c>
    </row>
    <row r="21" ht="14.5" customHeight="1">
      <c r="A21" s="768" t="inlineStr">
        <is>
          <t>Avg stop %</t>
        </is>
      </c>
      <c r="B21" s="857" t="inlineStr"/>
      <c r="C21" s="857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857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854" t="inlineStr"/>
      <c r="C22" s="854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854" t="inlineStr"/>
      <c r="M22" s="754" t="n">
        <v>0.00733847399907868</v>
      </c>
    </row>
    <row r="23" ht="14.5" customHeight="1">
      <c r="A23" s="745" t="inlineStr">
        <is>
          <t>Min stop %</t>
        </is>
      </c>
      <c r="B23" s="854" t="inlineStr"/>
      <c r="C23" s="854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854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854" t="inlineStr"/>
      <c r="C24" s="854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854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854" t="inlineStr"/>
      <c r="C25" s="854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854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858" t="inlineStr"/>
      <c r="C26" s="858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858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812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813" t="inlineStr"/>
      <c r="M28" s="788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850" t="inlineStr"/>
      <c r="M29" s="789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857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854" t="inlineStr"/>
      <c r="C31" s="854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854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845" t="inlineStr">
        <is>
          <t>-1.059R - AUDUSD 2023-03-13</t>
        </is>
      </c>
      <c r="E32" s="845" t="inlineStr">
        <is>
          <t>-1.136R - AUDCHF 2023-04-11</t>
        </is>
      </c>
      <c r="F32" s="845" t="inlineStr">
        <is>
          <t>-1.005R - GBPNZD 2023-05-31</t>
        </is>
      </c>
      <c r="G32" s="845" t="inlineStr">
        <is>
          <t>-1.125R - XRPUSDT 2023-06-21</t>
        </is>
      </c>
      <c r="H32" s="845" t="inlineStr">
        <is>
          <t>-1.168R - BTCUSDT 2023-07-14</t>
        </is>
      </c>
      <c r="I32" s="845" t="inlineStr">
        <is>
          <t>-1.013R - CHFJPY 2023-08-18</t>
        </is>
      </c>
      <c r="J32" s="845" t="inlineStr">
        <is>
          <t>0.426R - CADJPY 2023-09-15</t>
        </is>
      </c>
      <c r="K32" s="845" t="inlineStr">
        <is>
          <t>-1.053R - USDCHF 2023-10-25</t>
        </is>
      </c>
      <c r="L32" s="781" t="inlineStr"/>
      <c r="M32" s="885" t="inlineStr">
        <is>
          <t>-1.003R - GBPJPY 2023-12-07</t>
        </is>
      </c>
    </row>
    <row r="33" ht="14.5" customHeight="1">
      <c r="A33" s="764" t="inlineStr">
        <is>
          <t>Max R win</t>
        </is>
      </c>
      <c r="B33" s="784" t="inlineStr"/>
      <c r="C33" s="784" t="inlineStr"/>
      <c r="D33" s="811" t="inlineStr">
        <is>
          <t>2.074R - USDCHF 2023-03-10</t>
        </is>
      </c>
      <c r="E33" s="811" t="inlineStr">
        <is>
          <t>2.000R - XRPUSDT 2023-04-28</t>
        </is>
      </c>
      <c r="F33" s="811" t="inlineStr">
        <is>
          <t>2.067R - GBPUSD 2023-05-11</t>
        </is>
      </c>
      <c r="G33" s="811" t="inlineStr">
        <is>
          <t>2.022R - CADCHF 2023-06-13</t>
        </is>
      </c>
      <c r="H33" s="811" t="inlineStr">
        <is>
          <t>2.263R - EURUSD 2023-07-07</t>
        </is>
      </c>
      <c r="I33" s="811" t="inlineStr">
        <is>
          <t>1.998R - ETHUSDT 2023-08-02</t>
        </is>
      </c>
      <c r="J33" s="811" t="inlineStr">
        <is>
          <t>2.078R - USDCAD 2023-09-15</t>
        </is>
      </c>
      <c r="K33" s="811" t="inlineStr">
        <is>
          <t>-0.909R - NZDUSD 2023-10-24</t>
        </is>
      </c>
      <c r="L33" s="784" t="inlineStr"/>
      <c r="M33" s="881" t="inlineStr">
        <is>
          <t>2.047R - CADCHF 2023-12-12</t>
        </is>
      </c>
    </row>
    <row r="34" ht="14.5" customHeight="1">
      <c r="A34" s="768" t="inlineStr">
        <is>
          <t>Shortest (DD:HH:MM:SS)</t>
        </is>
      </c>
      <c r="B34" s="859" t="inlineStr"/>
      <c r="C34" s="859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859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850" t="inlineStr"/>
      <c r="C35" s="850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850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859" t="inlineStr"/>
      <c r="C36" s="859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859" t="inlineStr"/>
      <c r="M36" s="838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854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3" t="inlineStr"/>
      <c r="C38" s="593" t="inlineStr"/>
      <c r="D38" s="593" t="n">
        <v>0.01422329565069227</v>
      </c>
      <c r="E38" s="593" t="n">
        <v>0.03016589975361102</v>
      </c>
      <c r="F38" s="593" t="n">
        <v>0.006572510651728081</v>
      </c>
      <c r="G38" s="593" t="n">
        <v>0.01053450793840578</v>
      </c>
      <c r="H38" s="593" t="n">
        <v>0.006379379026026996</v>
      </c>
      <c r="I38" s="593" t="n">
        <v>0.02544810314847824</v>
      </c>
      <c r="J38" s="593" t="n">
        <v>0.003123086884941042</v>
      </c>
      <c r="K38" s="593" t="inlineStr"/>
      <c r="L38" s="593" t="inlineStr"/>
      <c r="M38" s="758" t="n">
        <v>0.00351868269758583</v>
      </c>
    </row>
    <row r="39" ht="14.5" customHeight="1">
      <c r="A39" s="745" t="inlineStr">
        <is>
          <t>Percentage expectancy</t>
        </is>
      </c>
      <c r="B39" s="854" t="inlineStr"/>
      <c r="C39" s="854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854" t="inlineStr"/>
      <c r="M39" s="830" t="n">
        <v>0.01300178140991382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2.02656854344621</v>
      </c>
      <c r="E40" s="787" t="n">
        <v>1.9994167962675</v>
      </c>
      <c r="F40" s="787" t="n">
        <v>2.066997518610476</v>
      </c>
      <c r="G40" s="787" t="n">
        <v>1.997953216374237</v>
      </c>
      <c r="H40" s="787" t="n">
        <v>2.060197918500149</v>
      </c>
      <c r="I40" s="787" t="n">
        <v>1.997851310700475</v>
      </c>
      <c r="J40" s="787" t="n">
        <v>1.391714454210871</v>
      </c>
      <c r="K40" s="855" t="inlineStr"/>
      <c r="L40" s="855" t="inlineStr"/>
      <c r="M40" s="839" t="n">
        <v>2.042545780254756</v>
      </c>
    </row>
    <row r="41" ht="14.5" customHeight="1">
      <c r="A41" s="745" t="inlineStr">
        <is>
          <t>Winners min duration</t>
        </is>
      </c>
      <c r="B41" s="813" t="inlineStr"/>
      <c r="C41" s="813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813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813" t="inlineStr"/>
      <c r="C42" s="813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813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850" t="inlineStr"/>
      <c r="C43" s="850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850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812" t="inlineStr"/>
      <c r="C44" s="812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812" t="inlineStr"/>
      <c r="M44" s="790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854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791" t="inlineStr"/>
      <c r="C46" s="791" t="inlineStr"/>
      <c r="D46" s="791" t="n">
        <v>0.01088334469743318</v>
      </c>
      <c r="E46" s="791" t="n">
        <v>0.00666131675208166</v>
      </c>
      <c r="F46" s="791" t="n">
        <v>0.006066630607978859</v>
      </c>
      <c r="G46" s="791" t="n">
        <v>0.01592539703643605</v>
      </c>
      <c r="H46" s="791" t="n">
        <v>0.02584128090794962</v>
      </c>
      <c r="I46" s="791" t="n">
        <v>0.003239313862093301</v>
      </c>
      <c r="J46" s="791" t="inlineStr"/>
      <c r="K46" s="791" t="n">
        <v>0.002627226160013904</v>
      </c>
      <c r="L46" s="791" t="inlineStr"/>
      <c r="M46" s="792" t="n">
        <v>0.01115826530057153</v>
      </c>
    </row>
    <row r="47" ht="14.5" customHeight="1">
      <c r="A47" s="745" t="inlineStr">
        <is>
          <t>Percentage expectancy</t>
        </is>
      </c>
      <c r="B47" s="854" t="inlineStr"/>
      <c r="C47" s="854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-0.00894123876279064</v>
      </c>
      <c r="H47" s="755" t="n">
        <v>-0.01033686848406</v>
      </c>
      <c r="I47" s="755" t="n">
        <v>-0.01057117796429597</v>
      </c>
      <c r="J47" s="755" t="n">
        <v>-0.01043265278264035</v>
      </c>
      <c r="K47" s="860" t="n">
        <v>-0.004883877849110547</v>
      </c>
      <c r="L47" s="854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1" t="inlineStr"/>
      <c r="C48" s="781" t="inlineStr"/>
      <c r="D48" s="761" t="n">
        <v>-1.019080736751603</v>
      </c>
      <c r="E48" s="761" t="n">
        <v>-0.9355173973957985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840" t="n">
        <v>-0.9904306220095718</v>
      </c>
      <c r="L48" s="781" t="inlineStr"/>
      <c r="M48" s="832" t="n">
        <v>-0.9511715334848851</v>
      </c>
    </row>
    <row r="49" ht="14.5" customHeight="1">
      <c r="A49" s="745" t="inlineStr">
        <is>
          <t>Losers min duration</t>
        </is>
      </c>
      <c r="B49" s="861" t="inlineStr"/>
      <c r="C49" s="861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861" t="inlineStr">
        <is>
          <t>2M 36S - USDCAD 2023-10-24</t>
        </is>
      </c>
      <c r="L49" s="861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861" t="inlineStr"/>
      <c r="C50" s="861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861" t="inlineStr">
        <is>
          <t>4H 58M 59S</t>
        </is>
      </c>
      <c r="L50" s="861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850" t="inlineStr"/>
      <c r="C51" s="850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850" t="inlineStr">
        <is>
          <t>19H 24M 17S - USDCAD 2023-10-05</t>
        </is>
      </c>
      <c r="L51" s="850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812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860" t="n">
        <v>0.006214213089313402</v>
      </c>
      <c r="L53" s="854" t="inlineStr"/>
      <c r="M53" s="829" t="n">
        <v>0.01026681294115219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>
        <is>
          <t>2023-03-10 15:57:08</t>
        </is>
      </c>
      <c r="E54" s="793" t="inlineStr">
        <is>
          <t>2023-04-04 18:16:40</t>
        </is>
      </c>
      <c r="F54" s="793" t="inlineStr">
        <is>
          <t>2023-05-11 16:57:51</t>
        </is>
      </c>
      <c r="G54" s="793" t="inlineStr">
        <is>
          <t>2023-06-16 01:47:00</t>
        </is>
      </c>
      <c r="H54" s="793" t="inlineStr">
        <is>
          <t>2023-07-01 03:41:00</t>
        </is>
      </c>
      <c r="I54" s="793" t="inlineStr">
        <is>
          <t>2023-08-02 13:16:22</t>
        </is>
      </c>
      <c r="J54" s="793" t="inlineStr">
        <is>
          <t>2023-09-11 18:31:56</t>
        </is>
      </c>
      <c r="K54" s="793" t="inlineStr">
        <is>
          <t>2023-10-24 00:18:13</t>
        </is>
      </c>
      <c r="L54" s="793" t="inlineStr"/>
      <c r="M54" s="794" t="inlineStr">
        <is>
          <t>2023-12-07 12:08:18</t>
        </is>
      </c>
    </row>
    <row r="55" ht="14.5" customHeight="1">
      <c r="A55" s="748" t="inlineStr">
        <is>
          <t>End</t>
        </is>
      </c>
      <c r="B55" s="813" t="inlineStr"/>
      <c r="C55" s="813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813" t="inlineStr">
        <is>
          <t>2023-09-14 22:29:59</t>
        </is>
      </c>
      <c r="K55" s="771" t="inlineStr">
        <is>
          <t>2023-10-25 19:26:45</t>
        </is>
      </c>
      <c r="L55" s="813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854" t="inlineStr"/>
      <c r="C56" s="854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860" t="n">
        <v>0.007942381755136146</v>
      </c>
      <c r="K56" s="755" t="n">
        <v>0.00468239952908439</v>
      </c>
      <c r="L56" s="854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3" t="inlineStr"/>
      <c r="C57" s="593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3" t="inlineStr"/>
      <c r="M57" s="829" t="n">
        <v>0.01026681294115219</v>
      </c>
    </row>
    <row r="58" ht="14.5" customHeight="1">
      <c r="A58" s="748" t="inlineStr">
        <is>
          <t>Start</t>
        </is>
      </c>
      <c r="B58" s="861" t="inlineStr"/>
      <c r="C58" s="861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861" t="inlineStr">
        <is>
          <t>2023-09-11 18:31:56</t>
        </is>
      </c>
      <c r="K58" s="590" t="inlineStr">
        <is>
          <t>2023-10-24 00:18:13</t>
        </is>
      </c>
      <c r="L58" s="861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850" t="inlineStr"/>
      <c r="C59" s="850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850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862" t="inlineStr"/>
      <c r="C60" s="862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862" t="inlineStr"/>
      <c r="M60" s="841" t="n">
        <v>2</v>
      </c>
    </row>
    <row r="61" ht="14.5" customHeight="1">
      <c r="A61" s="748" t="inlineStr">
        <is>
          <t>Long wins</t>
        </is>
      </c>
      <c r="B61" s="852" t="inlineStr"/>
      <c r="C61" s="852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852" t="inlineStr"/>
      <c r="M61" s="750" t="n">
        <v>0</v>
      </c>
    </row>
    <row r="62" ht="14.5" customHeight="1">
      <c r="A62" s="748" t="inlineStr">
        <is>
          <t>Long losses</t>
        </is>
      </c>
      <c r="B62" s="863" t="inlineStr"/>
      <c r="C62" s="863" t="inlineStr"/>
      <c r="D62" s="799" t="n">
        <v>1</v>
      </c>
      <c r="E62" s="799" t="n">
        <v>0</v>
      </c>
      <c r="F62" s="799" t="n">
        <v>0</v>
      </c>
      <c r="G62" s="799" t="n">
        <v>1</v>
      </c>
      <c r="H62" s="799" t="n">
        <v>2</v>
      </c>
      <c r="I62" s="799" t="n">
        <v>4</v>
      </c>
      <c r="J62" s="799" t="n">
        <v>1</v>
      </c>
      <c r="K62" s="799" t="n">
        <v>0</v>
      </c>
      <c r="L62" s="863" t="inlineStr"/>
      <c r="M62" s="800" t="n">
        <v>2</v>
      </c>
    </row>
    <row r="63" ht="14.5" customHeight="1">
      <c r="A63" s="745" t="inlineStr">
        <is>
          <t>Long break-even</t>
        </is>
      </c>
      <c r="B63" s="853" t="inlineStr"/>
      <c r="C63" s="853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inlineStr"/>
      <c r="M63" s="762" t="n">
        <v>0</v>
      </c>
    </row>
    <row r="64" ht="14.5" customHeight="1">
      <c r="A64" s="745" t="inlineStr">
        <is>
          <t>Shorts</t>
        </is>
      </c>
      <c r="B64" s="852" t="inlineStr"/>
      <c r="C64" s="852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852" t="inlineStr"/>
      <c r="M64" s="747" t="n">
        <v>2</v>
      </c>
    </row>
    <row r="65" ht="14.5" customHeight="1">
      <c r="A65" s="748" t="inlineStr">
        <is>
          <t>Short wins</t>
        </is>
      </c>
      <c r="B65" s="852" t="inlineStr"/>
      <c r="C65" s="852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852" t="inlineStr"/>
      <c r="M65" s="750" t="n">
        <v>2</v>
      </c>
    </row>
    <row r="66" ht="14.5" customHeight="1">
      <c r="A66" s="748" t="inlineStr">
        <is>
          <t>Short losses</t>
        </is>
      </c>
      <c r="B66" s="853" t="inlineStr"/>
      <c r="C66" s="853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53" t="inlineStr"/>
      <c r="M66" s="752" t="n">
        <v>0</v>
      </c>
    </row>
    <row r="67" ht="14.5" customHeight="1">
      <c r="A67" s="764" t="inlineStr">
        <is>
          <t>Short break-even</t>
        </is>
      </c>
      <c r="B67" s="865" t="inlineStr"/>
      <c r="C67" s="865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inlineStr"/>
      <c r="M67" s="803" t="n">
        <v>0</v>
      </c>
    </row>
    <row r="68" ht="14.5" customHeight="1">
      <c r="A68" s="768" t="inlineStr">
        <is>
          <t>Min duration</t>
        </is>
      </c>
      <c r="B68" s="812" t="inlineStr"/>
      <c r="C68" s="812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812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813" t="inlineStr"/>
      <c r="C69" s="813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813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793" t="inlineStr"/>
      <c r="M70" s="805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861" t="inlineStr"/>
      <c r="M71" s="763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861" t="inlineStr"/>
      <c r="M72" s="763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850" t="inlineStr"/>
      <c r="M73" s="789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7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3" t="inlineStr"/>
      <c r="C75" s="593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3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3" t="inlineStr"/>
      <c r="C76" s="593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3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854" t="inlineStr"/>
      <c r="C77" s="854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854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854" t="inlineStr"/>
      <c r="C78" s="854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854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854" t="inlineStr"/>
      <c r="C79" s="854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854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1" t="inlineStr"/>
      <c r="C80" s="781" t="inlineStr"/>
      <c r="D80" s="809" t="inlineStr">
        <is>
          <t>1.995R - BTCUSDT 2023-03-28</t>
        </is>
      </c>
      <c r="E80" s="809" t="inlineStr">
        <is>
          <t>1.999R - ETHUSDT 2023-04-03</t>
        </is>
      </c>
      <c r="F80" s="809" t="inlineStr">
        <is>
          <t>2.067R - GBPUSD 2023-05-11</t>
        </is>
      </c>
      <c r="G80" s="809" t="inlineStr">
        <is>
          <t>1.974R - XRPUSDT 2023-06-16</t>
        </is>
      </c>
      <c r="H80" s="809" t="inlineStr">
        <is>
          <t>1.937R - XLMUSDT 2023-07-17</t>
        </is>
      </c>
      <c r="I80" s="809" t="inlineStr">
        <is>
          <t>1.998R - ETHUSDT 2023-08-02</t>
        </is>
      </c>
      <c r="J80" s="809" t="inlineStr">
        <is>
          <t>0.426R - CADJPY 2023-09-15</t>
        </is>
      </c>
      <c r="K80" s="781" t="inlineStr"/>
      <c r="L80" s="781" t="inlineStr"/>
      <c r="M80" s="880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4" t="inlineStr"/>
      <c r="C81" s="784" t="inlineStr"/>
      <c r="D81" s="811" t="inlineStr">
        <is>
          <t>2.074R - USDCHF 2023-03-10</t>
        </is>
      </c>
      <c r="E81" s="811" t="inlineStr">
        <is>
          <t>2.000R - XRPUSDT 2023-04-28</t>
        </is>
      </c>
      <c r="F81" s="811" t="inlineStr">
        <is>
          <t>2.067R - GBPUSD 2023-05-11</t>
        </is>
      </c>
      <c r="G81" s="811" t="inlineStr">
        <is>
          <t>2.022R - CADCHF 2023-06-13</t>
        </is>
      </c>
      <c r="H81" s="811" t="inlineStr">
        <is>
          <t>2.263R - EURUSD 2023-07-07</t>
        </is>
      </c>
      <c r="I81" s="811" t="inlineStr">
        <is>
          <t>1.998R - ETHUSDT 2023-08-02</t>
        </is>
      </c>
      <c r="J81" s="811" t="inlineStr">
        <is>
          <t>2.078R - USDCAD 2023-09-15</t>
        </is>
      </c>
      <c r="K81" s="784" t="inlineStr"/>
      <c r="L81" s="784" t="inlineStr"/>
      <c r="M81" s="881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857" t="inlineStr"/>
      <c r="C82" s="857" t="inlineStr"/>
      <c r="D82" s="812" t="inlineStr">
        <is>
          <t>0.17304096% - EURUSD 2023-03-21</t>
        </is>
      </c>
      <c r="E82" s="812" t="inlineStr">
        <is>
          <t>0.06775404% - AUDCHF 2023-04-11</t>
        </is>
      </c>
      <c r="F82" s="812" t="inlineStr">
        <is>
          <t>0.29675326% - GBPNZD 2023-05-31</t>
        </is>
      </c>
      <c r="G82" s="812" t="inlineStr">
        <is>
          <t>0.21751911% - CADCHF 2023-06-08</t>
        </is>
      </c>
      <c r="H82" s="812" t="inlineStr">
        <is>
          <t>0.05722288% - USDCAD 2023-07-05</t>
        </is>
      </c>
      <c r="I82" s="812" t="inlineStr">
        <is>
          <t>0.04773529% - CHFJPY 2023-08-18</t>
        </is>
      </c>
      <c r="J82" s="857" t="inlineStr"/>
      <c r="K82" s="812" t="inlineStr">
        <is>
          <t>0.05657466% - NZDUSD 2023-10-24</t>
        </is>
      </c>
      <c r="L82" s="857" t="inlineStr"/>
      <c r="M82" s="775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854" t="inlineStr"/>
      <c r="C83" s="854" t="inlineStr"/>
      <c r="D83" s="813" t="inlineStr">
        <is>
          <t>1.63173188% - BTCUSDT 2023-03-10</t>
        </is>
      </c>
      <c r="E83" s="813" t="inlineStr">
        <is>
          <t>0.74377052% - BTCUSDT 2023-04-26</t>
        </is>
      </c>
      <c r="F83" s="813" t="inlineStr">
        <is>
          <t>0.29675326% - GBPNZD 2023-05-31</t>
        </is>
      </c>
      <c r="G83" s="813" t="inlineStr">
        <is>
          <t>2.21354167% - XRPUSDT 2023-06-13</t>
        </is>
      </c>
      <c r="H83" s="813" t="inlineStr">
        <is>
          <t>7.81379884% - SOLUSDT 2023-07-14</t>
        </is>
      </c>
      <c r="I83" s="813" t="inlineStr">
        <is>
          <t>0.2638113% - BTCUSDT 2023-08-02</t>
        </is>
      </c>
      <c r="J83" s="854" t="inlineStr"/>
      <c r="K83" s="813" t="inlineStr">
        <is>
          <t>0.34576888% - USDCAD 2023-10-05</t>
        </is>
      </c>
      <c r="L83" s="854" t="inlineStr"/>
      <c r="M83" s="776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854" t="inlineStr"/>
      <c r="C84" s="854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813" t="inlineStr">
        <is>
          <t>0.10783242% - USDCAD 2023-10-24</t>
        </is>
      </c>
      <c r="L84" s="854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854" t="inlineStr"/>
      <c r="C85" s="854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813" t="inlineStr">
        <is>
          <t>0.69590537% - USDCAD 2023-10-05</t>
        </is>
      </c>
      <c r="L85" s="854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854" t="inlineStr"/>
      <c r="C86" s="854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845" t="inlineStr">
        <is>
          <t>-0.99516156% - USDCAD 2023-10-05</t>
        </is>
      </c>
      <c r="L86" s="854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854" t="inlineStr"/>
      <c r="C87" s="854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845" t="inlineStr">
        <is>
          <t>-0.30733098% - USDCHF 2023-10-25</t>
        </is>
      </c>
      <c r="L87" s="854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1" t="inlineStr"/>
      <c r="C88" s="781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845" t="inlineStr">
        <is>
          <t>-1.053R - USDCHF 2023-10-25</t>
        </is>
      </c>
      <c r="L88" s="781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4" t="inlineStr"/>
      <c r="C89" s="784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22" t="inlineStr">
        <is>
          <t>-0.909R - NZDUSD 2023-10-24</t>
        </is>
      </c>
      <c r="L89" s="784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812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861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861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838" t="inlineStr"/>
    </row>
    <row r="96" ht="14.5" customHeight="1">
      <c r="A96" s="745" t="inlineStr">
        <is>
          <t>1MIN</t>
        </is>
      </c>
      <c r="B96" s="852" t="inlineStr"/>
      <c r="C96" s="852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852" t="n">
        <v>0</v>
      </c>
      <c r="K96" s="746" t="n">
        <v>0</v>
      </c>
      <c r="L96" s="852" t="inlineStr"/>
      <c r="M96" s="747" t="n">
        <v>0</v>
      </c>
    </row>
    <row r="97" ht="14.5" customHeight="1">
      <c r="A97" s="745" t="inlineStr">
        <is>
          <t>5MIN</t>
        </is>
      </c>
      <c r="B97" s="852" t="inlineStr"/>
      <c r="C97" s="852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852" t="n">
        <v>0</v>
      </c>
      <c r="K97" s="746" t="n">
        <v>0</v>
      </c>
      <c r="L97" s="852" t="inlineStr"/>
      <c r="M97" s="747" t="n">
        <v>0</v>
      </c>
    </row>
    <row r="98" ht="14.5" customHeight="1">
      <c r="A98" s="745" t="inlineStr">
        <is>
          <t>15MIN</t>
        </is>
      </c>
      <c r="B98" s="852" t="inlineStr"/>
      <c r="C98" s="852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852" t="n">
        <v>0</v>
      </c>
      <c r="K98" s="746" t="n">
        <v>1</v>
      </c>
      <c r="L98" s="852" t="inlineStr"/>
      <c r="M98" s="747" t="n">
        <v>0</v>
      </c>
    </row>
    <row r="99" ht="14.5" customHeight="1">
      <c r="A99" s="745" t="inlineStr">
        <is>
          <t>30MIN</t>
        </is>
      </c>
      <c r="B99" s="852" t="inlineStr"/>
      <c r="C99" s="852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852" t="n">
        <v>0</v>
      </c>
      <c r="K99" s="746" t="n">
        <v>0</v>
      </c>
      <c r="L99" s="852" t="inlineStr"/>
      <c r="M99" s="747" t="n">
        <v>0</v>
      </c>
    </row>
    <row r="100" ht="14.5" customHeight="1">
      <c r="A100" s="745" t="inlineStr">
        <is>
          <t>1H</t>
        </is>
      </c>
      <c r="B100" s="852" t="inlineStr"/>
      <c r="C100" s="852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852" t="n">
        <v>0</v>
      </c>
      <c r="K100" s="746" t="n">
        <v>2</v>
      </c>
      <c r="L100" s="852" t="inlineStr"/>
      <c r="M100" s="747" t="n">
        <v>0</v>
      </c>
    </row>
    <row r="101" ht="14.5" customHeight="1">
      <c r="A101" s="745" t="inlineStr">
        <is>
          <t>4H</t>
        </is>
      </c>
      <c r="B101" s="852" t="inlineStr"/>
      <c r="C101" s="852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852" t="n">
        <v>2</v>
      </c>
      <c r="K101" s="746" t="n">
        <v>0</v>
      </c>
      <c r="L101" s="852" t="inlineStr"/>
      <c r="M101" s="747" t="n">
        <v>3</v>
      </c>
    </row>
    <row r="102" ht="14.5" customHeight="1">
      <c r="A102" s="745" t="inlineStr">
        <is>
          <t>DAILY</t>
        </is>
      </c>
      <c r="B102" s="852" t="inlineStr"/>
      <c r="C102" s="852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852" t="n">
        <v>1</v>
      </c>
      <c r="K102" s="746" t="n">
        <v>0</v>
      </c>
      <c r="L102" s="852" t="inlineStr"/>
      <c r="M102" s="747" t="n">
        <v>0</v>
      </c>
    </row>
    <row r="103" ht="14.5" customHeight="1">
      <c r="A103" s="745" t="inlineStr">
        <is>
          <t>WEEKLY</t>
        </is>
      </c>
      <c r="B103" s="852" t="inlineStr"/>
      <c r="C103" s="852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852" t="n">
        <v>1</v>
      </c>
      <c r="K103" s="746" t="n">
        <v>1</v>
      </c>
      <c r="L103" s="852" t="inlineStr"/>
      <c r="M103" s="747" t="n">
        <v>1</v>
      </c>
    </row>
    <row r="104" ht="14.5" customHeight="1">
      <c r="A104" s="764" t="inlineStr">
        <is>
          <t>MONTHLY</t>
        </is>
      </c>
      <c r="B104" s="865" t="inlineStr"/>
      <c r="C104" s="865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65" t="inlineStr"/>
      <c r="M104" s="803" t="n">
        <v>0</v>
      </c>
    </row>
    <row r="105" ht="14.5" customHeight="1">
      <c r="A105" s="768" t="inlineStr">
        <is>
          <t>Commission</t>
        </is>
      </c>
      <c r="B105" s="859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859" t="inlineStr"/>
      <c r="M105" s="838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861" t="inlineStr"/>
      <c r="K106" s="818" t="n">
        <v>0.28</v>
      </c>
      <c r="L106" s="861" t="inlineStr"/>
      <c r="M106" s="848" t="n">
        <v>0.14</v>
      </c>
    </row>
    <row r="107" ht="14.5" customHeight="1">
      <c r="A107" s="748" t="inlineStr">
        <is>
          <t>Avg Commission</t>
        </is>
      </c>
      <c r="B107" s="861" t="inlineStr"/>
      <c r="C107" s="861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861" t="inlineStr"/>
      <c r="K107" s="818" t="n">
        <v>0.42</v>
      </c>
      <c r="L107" s="861" t="inlineStr"/>
      <c r="M107" s="848" t="n">
        <v>0.14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0.22117308</v>
      </c>
      <c r="E108" s="872" t="n">
        <v>0.2356146</v>
      </c>
      <c r="F108" s="793" t="inlineStr"/>
      <c r="G108" s="872" t="n">
        <v>0.36983211</v>
      </c>
      <c r="H108" s="872" t="n">
        <v>0.39137778</v>
      </c>
      <c r="I108" s="872" t="n">
        <v>0.66823935</v>
      </c>
      <c r="J108" s="793" t="inlineStr"/>
      <c r="K108" s="819" t="n">
        <v>0.63</v>
      </c>
      <c r="L108" s="793" t="inlineStr"/>
      <c r="M108" s="849" t="n">
        <v>0.14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0.50359192</v>
      </c>
      <c r="E109" s="874" t="n">
        <v>0.38035041</v>
      </c>
      <c r="F109" s="850" t="inlineStr"/>
      <c r="G109" s="874" t="n">
        <v>1.12896678</v>
      </c>
      <c r="H109" s="874" t="n">
        <v>1.33544995</v>
      </c>
      <c r="I109" s="874" t="n">
        <v>0.83198884</v>
      </c>
      <c r="J109" s="850" t="inlineStr"/>
      <c r="K109" s="821" t="n">
        <v>1.26</v>
      </c>
      <c r="L109" s="850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852" t="inlineStr"/>
      <c r="D2" s="746" t="n">
        <v>8</v>
      </c>
      <c r="E2" s="746" t="n">
        <v>1</v>
      </c>
      <c r="F2" s="852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1</v>
      </c>
      <c r="E3" s="749" t="n">
        <v>0</v>
      </c>
      <c r="F3" s="853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53" t="inlineStr"/>
      <c r="D4" s="751" t="n">
        <v>7</v>
      </c>
      <c r="E4" s="751" t="n">
        <v>1</v>
      </c>
      <c r="F4" s="853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852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854" t="inlineStr"/>
      <c r="D7" s="753" t="n">
        <v>0.125</v>
      </c>
      <c r="E7" s="753" t="n">
        <v>0</v>
      </c>
      <c r="F7" s="854" t="inlineStr"/>
      <c r="G7" s="753" t="n">
        <v>1</v>
      </c>
      <c r="H7" s="854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854" t="inlineStr"/>
      <c r="D8" s="755" t="n">
        <v>-0.05212423201915884</v>
      </c>
      <c r="E8" s="755" t="n">
        <v>-0.00428596263656909</v>
      </c>
      <c r="F8" s="854" t="inlineStr"/>
      <c r="G8" s="756" t="n">
        <v>0.01984563503208468</v>
      </c>
      <c r="H8" s="854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3" t="inlineStr"/>
      <c r="D9" s="756" t="n">
        <v>0.01343112072461809</v>
      </c>
      <c r="E9" s="756" t="n">
        <v>0</v>
      </c>
      <c r="F9" s="593" t="inlineStr"/>
      <c r="G9" s="756" t="n">
        <v>0.01984563503208468</v>
      </c>
      <c r="H9" s="593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3" t="inlineStr"/>
      <c r="D10" s="755" t="n">
        <v>0.06555535274377693</v>
      </c>
      <c r="E10" s="755" t="n">
        <v>0.00428596263656909</v>
      </c>
      <c r="F10" s="593" t="inlineStr"/>
      <c r="G10" s="755" t="n">
        <v>0</v>
      </c>
      <c r="H10" s="593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855" t="inlineStr"/>
      <c r="D11" s="759" t="n">
        <v>2.036363636363879</v>
      </c>
      <c r="E11" s="759" t="n">
        <v>0</v>
      </c>
      <c r="F11" s="855" t="inlineStr"/>
      <c r="G11" s="759" t="n">
        <v>3.783333333333801</v>
      </c>
      <c r="H11" s="855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855" t="inlineStr"/>
      <c r="D12" s="761" t="n">
        <v>6.523543689790229</v>
      </c>
      <c r="E12" s="761" t="n">
        <v>0.728846153846133</v>
      </c>
      <c r="F12" s="855" t="inlineStr"/>
      <c r="G12" s="761" t="n">
        <v>0</v>
      </c>
      <c r="H12" s="855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1</v>
      </c>
      <c r="E13" s="853" t="inlineStr"/>
      <c r="F13" s="853" t="inlineStr"/>
      <c r="G13" s="749" t="n">
        <v>2</v>
      </c>
      <c r="H13" s="853" t="inlineStr"/>
      <c r="I13" s="853" t="inlineStr"/>
      <c r="J13" s="749" t="n">
        <v>1</v>
      </c>
      <c r="K13" s="749" t="n">
        <v>1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813" t="inlineStr"/>
      <c r="D14" s="590" t="inlineStr">
        <is>
          <t>2024-03-12 22:51:59</t>
        </is>
      </c>
      <c r="E14" s="813" t="inlineStr"/>
      <c r="F14" s="813" t="inlineStr"/>
      <c r="G14" s="590" t="inlineStr">
        <is>
          <t>2024-06-02 00:23:00</t>
        </is>
      </c>
      <c r="H14" s="813" t="inlineStr"/>
      <c r="I14" s="813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813" t="inlineStr"/>
      <c r="D15" s="590" t="inlineStr">
        <is>
          <t>2024-03-12 22:51:59</t>
        </is>
      </c>
      <c r="E15" s="813" t="inlineStr"/>
      <c r="F15" s="813" t="inlineStr"/>
      <c r="G15" s="590" t="inlineStr">
        <is>
          <t>2024-06-10 22:56:42</t>
        </is>
      </c>
      <c r="H15" s="813" t="inlineStr"/>
      <c r="I15" s="813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4</v>
      </c>
      <c r="C16" s="853" t="inlineStr"/>
      <c r="D16" s="751" t="n">
        <v>4</v>
      </c>
      <c r="E16" s="751" t="n">
        <v>1</v>
      </c>
      <c r="F16" s="853" t="inlineStr"/>
      <c r="G16" s="853" t="inlineStr"/>
      <c r="H16" s="853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813" t="inlineStr"/>
      <c r="D17" s="590" t="inlineStr">
        <is>
          <t>2024-03-13 01:00:00</t>
        </is>
      </c>
      <c r="E17" s="590" t="inlineStr">
        <is>
          <t>2024-04-02 08:49:23</t>
        </is>
      </c>
      <c r="F17" s="813" t="inlineStr"/>
      <c r="G17" s="813" t="inlineStr"/>
      <c r="H17" s="813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813" t="inlineStr"/>
      <c r="D18" s="590" t="inlineStr">
        <is>
          <t>2024-03-26 00:10:00</t>
        </is>
      </c>
      <c r="E18" s="590" t="inlineStr">
        <is>
          <t>2024-04-02 08:49:23</t>
        </is>
      </c>
      <c r="F18" s="813" t="inlineStr"/>
      <c r="G18" s="813" t="inlineStr"/>
      <c r="H18" s="813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854" t="inlineStr"/>
      <c r="D19" s="755" t="n">
        <v>-0.006515529002394855</v>
      </c>
      <c r="E19" s="755" t="n">
        <v>-0.00428596263656909</v>
      </c>
      <c r="F19" s="854" t="inlineStr"/>
      <c r="G19" s="756" t="n">
        <v>0.00992281751604234</v>
      </c>
      <c r="H19" s="854" t="inlineStr"/>
      <c r="I19" s="755" t="n">
        <v>-0.0215133642172683</v>
      </c>
      <c r="J19" s="755" t="n">
        <v>-0.003381213555695753</v>
      </c>
      <c r="K19" s="755" t="n">
        <v>-0.003811286473556477</v>
      </c>
      <c r="L19" s="756" t="n">
        <v>0.001026466108605245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</v>
      </c>
      <c r="C20" s="784" t="inlineStr"/>
      <c r="D20" s="766" t="n">
        <v>-0.5608975066782937</v>
      </c>
      <c r="E20" s="766" t="n">
        <v>-0.728846153846133</v>
      </c>
      <c r="F20" s="784" t="inlineStr"/>
      <c r="G20" s="765" t="n">
        <v>1.891666666666901</v>
      </c>
      <c r="H20" s="784" t="inlineStr"/>
      <c r="I20" s="766" t="n">
        <v>-1.937500000000011</v>
      </c>
      <c r="J20" s="766" t="n">
        <v>-0.3592063492063624</v>
      </c>
      <c r="K20" s="766" t="n">
        <v>-0.5798456752220731</v>
      </c>
      <c r="L20" s="765" t="n">
        <v>0.2424538660874862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857" t="inlineStr"/>
      <c r="D21" s="769" t="n">
        <v>0.00289576543085065</v>
      </c>
      <c r="E21" s="769" t="n">
        <v>0.004130294918943036</v>
      </c>
      <c r="F21" s="857" t="inlineStr"/>
      <c r="G21" s="769" t="n">
        <v>0.0008663937079354341</v>
      </c>
      <c r="H21" s="857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854" t="inlineStr"/>
      <c r="D22" s="753" t="n">
        <v>0.005908073350858083</v>
      </c>
      <c r="E22" s="753" t="n">
        <v>0.008260589837885897</v>
      </c>
      <c r="F22" s="854" t="inlineStr"/>
      <c r="G22" s="753" t="n">
        <v>0.001704898599286549</v>
      </c>
      <c r="H22" s="854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854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854" t="inlineStr"/>
      <c r="G23" s="771" t="inlineStr">
        <is>
          <t>0.06693316% - EURUSD 2024-06-10</t>
        </is>
      </c>
      <c r="H23" s="854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854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854" t="inlineStr"/>
      <c r="G24" s="771" t="inlineStr">
        <is>
          <t>0.10634558% - BTCUSDT 2024-06-02</t>
        </is>
      </c>
      <c r="H24" s="854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854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854" t="inlineStr"/>
      <c r="G25" s="771" t="inlineStr">
        <is>
          <t>0.12828856% - EURUSD 2024-06-10</t>
        </is>
      </c>
      <c r="H25" s="854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858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858" t="inlineStr"/>
      <c r="G26" s="772" t="inlineStr">
        <is>
          <t>0.21269116% - BTCUSDT 2024-06-02</t>
        </is>
      </c>
      <c r="H26" s="858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812" t="inlineStr"/>
      <c r="D27" s="774" t="inlineStr">
        <is>
          <t>1H 5M 30S</t>
        </is>
      </c>
      <c r="E27" s="774" t="inlineStr">
        <is>
          <t>10D 14H 31M 18S</t>
        </is>
      </c>
      <c r="F27" s="812" t="inlineStr"/>
      <c r="G27" s="774" t="inlineStr">
        <is>
          <t>30M 33S</t>
        </is>
      </c>
      <c r="H27" s="812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771" t="inlineStr"/>
      <c r="E28" s="771" t="inlineStr"/>
      <c r="F28" s="813" t="inlineStr"/>
      <c r="G28" s="771" t="inlineStr"/>
      <c r="H28" s="813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772" t="inlineStr"/>
      <c r="E29" s="772" t="inlineStr"/>
      <c r="F29" s="850" t="inlineStr"/>
      <c r="G29" s="772" t="inlineStr"/>
      <c r="H29" s="850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857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857" t="inlineStr"/>
      <c r="G30" s="778" t="inlineStr">
        <is>
          <t>1.23155852% - EURUSD 2024-06-10</t>
        </is>
      </c>
      <c r="H30" s="857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854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854" t="inlineStr"/>
      <c r="G31" s="779" t="inlineStr">
        <is>
          <t>0.75300498% - BTCUSDT 2024-06-02</t>
        </is>
      </c>
      <c r="H31" s="854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845" t="inlineStr">
        <is>
          <t>-1.006R - ETHUSDT 2024-01-13</t>
        </is>
      </c>
      <c r="C32" s="781" t="inlineStr"/>
      <c r="D32" s="845" t="inlineStr">
        <is>
          <t>-1.131R - BTCUSDT 2024-03-13</t>
        </is>
      </c>
      <c r="E32" s="845" t="inlineStr">
        <is>
          <t>-0.729R - GBPUSD 2024-04-02</t>
        </is>
      </c>
      <c r="F32" s="781" t="inlineStr"/>
      <c r="G32" s="845" t="inlineStr">
        <is>
          <t>1.839R - BTCUSDT 2024-06-02</t>
        </is>
      </c>
      <c r="H32" s="781" t="inlineStr"/>
      <c r="I32" s="845" t="inlineStr">
        <is>
          <t>-1.938R - ZECUSDT 2024-08-12</t>
        </is>
      </c>
      <c r="J32" s="845" t="inlineStr">
        <is>
          <t>-1.489R - QUICKUSDT 2024-09-15</t>
        </is>
      </c>
      <c r="K32" s="845" t="inlineStr">
        <is>
          <t>-2.300R - USDCHF 2024-10-03</t>
        </is>
      </c>
      <c r="L32" s="845" t="inlineStr">
        <is>
          <t>-1.003R - USDJPY 2024-11-15</t>
        </is>
      </c>
      <c r="M32" s="885" t="inlineStr">
        <is>
          <t>-1.016R - USDJPY 2024-12-05</t>
        </is>
      </c>
    </row>
    <row r="33" ht="14.5" customHeight="1">
      <c r="A33" s="764" t="inlineStr">
        <is>
          <t>Max R win</t>
        </is>
      </c>
      <c r="B33" s="811" t="inlineStr">
        <is>
          <t>2.000R - BTCUSDT 2024-01-20</t>
        </is>
      </c>
      <c r="C33" s="784" t="inlineStr"/>
      <c r="D33" s="811" t="inlineStr">
        <is>
          <t>2.036R - GBPUSD 2024-03-12</t>
        </is>
      </c>
      <c r="E33" s="811" t="inlineStr">
        <is>
          <t>-0.729R - GBPUSD 2024-04-02</t>
        </is>
      </c>
      <c r="F33" s="784" t="inlineStr"/>
      <c r="G33" s="811" t="inlineStr">
        <is>
          <t>1.944R - EURUSD 2024-06-10</t>
        </is>
      </c>
      <c r="H33" s="784" t="inlineStr"/>
      <c r="I33" s="811" t="inlineStr">
        <is>
          <t>-1.938R - ZECUSDT 2024-08-12</t>
        </is>
      </c>
      <c r="J33" s="811" t="inlineStr">
        <is>
          <t>2.000R - UXLINKUSDT 2024-09-15</t>
        </is>
      </c>
      <c r="K33" s="811" t="inlineStr">
        <is>
          <t>1.000R - UXLINKUSDT 2024-10-27</t>
        </is>
      </c>
      <c r="L33" s="811" t="inlineStr">
        <is>
          <t>2.000R - BTCUSDT 2024-11-14</t>
        </is>
      </c>
      <c r="M33" s="881" t="inlineStr">
        <is>
          <t>-1.000R - UXLINKUSDT 2024-12-08</t>
        </is>
      </c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859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859" t="inlineStr"/>
      <c r="G34" s="785" t="inlineStr">
        <is>
          <t>21M 0S - BTCUSDT 2024-06-02</t>
        </is>
      </c>
      <c r="H34" s="859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850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850" t="inlineStr"/>
      <c r="G35" s="772" t="inlineStr">
        <is>
          <t>40M 7S - EURUSD 2024-06-10</t>
        </is>
      </c>
      <c r="H35" s="850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859" t="inlineStr"/>
      <c r="D36" s="785" t="inlineStr"/>
      <c r="E36" s="785" t="inlineStr"/>
      <c r="F36" s="859" t="inlineStr"/>
      <c r="G36" s="785" t="inlineStr"/>
      <c r="H36" s="859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854" t="inlineStr"/>
      <c r="D37" s="753" t="n">
        <v>0.0008588449316436564</v>
      </c>
      <c r="E37" s="753" t="inlineStr"/>
      <c r="F37" s="854" t="inlineStr"/>
      <c r="G37" s="753" t="n">
        <v>0.0008663937079354341</v>
      </c>
      <c r="H37" s="854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3" t="n">
        <v>0.03412208122393452</v>
      </c>
      <c r="C38" s="593" t="inlineStr"/>
      <c r="D38" s="593" t="n">
        <v>0.001717689863287659</v>
      </c>
      <c r="E38" s="593" t="inlineStr"/>
      <c r="F38" s="593" t="inlineStr"/>
      <c r="G38" s="593" t="n">
        <v>0.001704898599286549</v>
      </c>
      <c r="H38" s="593" t="inlineStr"/>
      <c r="I38" s="593" t="inlineStr"/>
      <c r="J38" s="593" t="n">
        <v>0.01544004117344314</v>
      </c>
      <c r="K38" s="593" t="n">
        <v>0.01236830050389363</v>
      </c>
      <c r="L38" s="593" t="n">
        <v>0.03603877676206797</v>
      </c>
      <c r="M38" s="758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854" t="inlineStr"/>
      <c r="D39" s="756" t="n">
        <v>0.01343112072461809</v>
      </c>
      <c r="E39" s="753" t="inlineStr"/>
      <c r="F39" s="854" t="inlineStr"/>
      <c r="G39" s="756" t="n">
        <v>0.00992281751604234</v>
      </c>
      <c r="H39" s="854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87" t="n">
        <v>1.999709513435008</v>
      </c>
      <c r="C40" s="855" t="inlineStr"/>
      <c r="D40" s="787" t="n">
        <v>2.036363636363879</v>
      </c>
      <c r="E40" s="855" t="inlineStr"/>
      <c r="F40" s="855" t="inlineStr"/>
      <c r="G40" s="787" t="n">
        <v>1.891666666666901</v>
      </c>
      <c r="H40" s="855" t="inlineStr"/>
      <c r="I40" s="855" t="inlineStr"/>
      <c r="J40" s="787" t="n">
        <v>2</v>
      </c>
      <c r="K40" s="787" t="n">
        <v>0.9999999999999795</v>
      </c>
      <c r="L40" s="787" t="n">
        <v>1.377028322440035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813" t="inlineStr"/>
      <c r="D41" s="771" t="inlineStr">
        <is>
          <t>10M 47S - GBPUSD 2024-03-12</t>
        </is>
      </c>
      <c r="E41" s="771" t="inlineStr"/>
      <c r="F41" s="813" t="inlineStr"/>
      <c r="G41" s="771" t="inlineStr">
        <is>
          <t>21M 0S - BTCUSDT 2024-06-02</t>
        </is>
      </c>
      <c r="H41" s="813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813" t="inlineStr"/>
      <c r="D42" s="771" t="inlineStr">
        <is>
          <t>10M 47S</t>
        </is>
      </c>
      <c r="E42" s="771" t="inlineStr"/>
      <c r="F42" s="813" t="inlineStr"/>
      <c r="G42" s="771" t="inlineStr">
        <is>
          <t>30M 33S</t>
        </is>
      </c>
      <c r="H42" s="813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850" t="inlineStr"/>
      <c r="D43" s="772" t="inlineStr">
        <is>
          <t>10M 47S - GBPUSD 2024-03-12</t>
        </is>
      </c>
      <c r="E43" s="772" t="inlineStr"/>
      <c r="F43" s="850" t="inlineStr"/>
      <c r="G43" s="772" t="inlineStr">
        <is>
          <t>40M 7S - EURUSD 2024-06-10</t>
        </is>
      </c>
      <c r="H43" s="850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774" t="inlineStr"/>
      <c r="E44" s="774" t="inlineStr"/>
      <c r="F44" s="812" t="inlineStr"/>
      <c r="G44" s="774" t="inlineStr"/>
      <c r="H44" s="812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854" t="inlineStr"/>
      <c r="D45" s="753" t="n">
        <v>0.003186754073594507</v>
      </c>
      <c r="E45" s="753" t="n">
        <v>0.004130294918943036</v>
      </c>
      <c r="F45" s="854" t="inlineStr"/>
      <c r="G45" s="753" t="inlineStr"/>
      <c r="H45" s="854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791" t="n">
        <v>0.01358056626892991</v>
      </c>
      <c r="C46" s="791" t="inlineStr"/>
      <c r="D46" s="791" t="n">
        <v>0.006506699563368142</v>
      </c>
      <c r="E46" s="791" t="n">
        <v>0.008260589837885897</v>
      </c>
      <c r="F46" s="791" t="inlineStr"/>
      <c r="G46" s="791" t="inlineStr"/>
      <c r="H46" s="791" t="inlineStr"/>
      <c r="I46" s="791" t="n">
        <v>0.007870142646335473</v>
      </c>
      <c r="J46" s="791" t="n">
        <v>0.03382868287788941</v>
      </c>
      <c r="K46" s="791" t="n">
        <v>0.0306691662978726</v>
      </c>
      <c r="L46" s="791" t="n">
        <v>0.04391499735522172</v>
      </c>
      <c r="M46" s="792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854" t="inlineStr"/>
      <c r="D47" s="755" t="n">
        <v>-0.009365050391968133</v>
      </c>
      <c r="E47" s="860" t="n">
        <v>-0.00428596263656909</v>
      </c>
      <c r="F47" s="854" t="inlineStr"/>
      <c r="G47" s="753" t="inlineStr"/>
      <c r="H47" s="854" t="inlineStr"/>
      <c r="I47" s="860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83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1" t="inlineStr"/>
      <c r="D48" s="761" t="n">
        <v>-0.9319348128271755</v>
      </c>
      <c r="E48" s="840" t="n">
        <v>-0.728846153846133</v>
      </c>
      <c r="F48" s="781" t="inlineStr"/>
      <c r="G48" s="780" t="inlineStr"/>
      <c r="H48" s="781" t="inlineStr"/>
      <c r="I48" s="840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84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861" t="inlineStr"/>
      <c r="D49" s="590" t="inlineStr">
        <is>
          <t>1S - BTCUSDT 2024-03-13</t>
        </is>
      </c>
      <c r="E49" s="861" t="inlineStr">
        <is>
          <t>10D 14H 31M 18S - GBPUSD 2024-04-02</t>
        </is>
      </c>
      <c r="F49" s="861" t="inlineStr"/>
      <c r="G49" s="590" t="inlineStr"/>
      <c r="H49" s="861" t="inlineStr"/>
      <c r="I49" s="861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594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861" t="inlineStr"/>
      <c r="D50" s="590" t="inlineStr">
        <is>
          <t>1H 13M 19S</t>
        </is>
      </c>
      <c r="E50" s="861" t="inlineStr">
        <is>
          <t>10D 14H 31M 18S</t>
        </is>
      </c>
      <c r="F50" s="861" t="inlineStr"/>
      <c r="G50" s="590" t="inlineStr"/>
      <c r="H50" s="861" t="inlineStr"/>
      <c r="I50" s="861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594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850" t="inlineStr"/>
      <c r="D51" s="772" t="inlineStr">
        <is>
          <t>6H 57M 43S - GBPUSD 2024-03-05</t>
        </is>
      </c>
      <c r="E51" s="850" t="inlineStr">
        <is>
          <t>10D 14H 31M 18S - GBPUSD 2024-04-02</t>
        </is>
      </c>
      <c r="F51" s="850" t="inlineStr"/>
      <c r="G51" s="772" t="inlineStr"/>
      <c r="H51" s="850" t="inlineStr"/>
      <c r="I51" s="850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77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812" t="inlineStr"/>
      <c r="F52" s="812" t="inlineStr"/>
      <c r="G52" s="774" t="inlineStr"/>
      <c r="H52" s="812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0.01089289470120526</v>
      </c>
      <c r="C53" s="854" t="inlineStr"/>
      <c r="D53" s="755" t="n">
        <v>0.02322194357798745</v>
      </c>
      <c r="E53" s="854" t="inlineStr"/>
      <c r="F53" s="854" t="inlineStr"/>
      <c r="G53" s="753" t="inlineStr"/>
      <c r="H53" s="854" t="inlineStr"/>
      <c r="I53" s="854" t="inlineStr"/>
      <c r="J53" s="755" t="n">
        <v>0.02873480687460321</v>
      </c>
      <c r="K53" s="755" t="n">
        <v>0.002723933944284932</v>
      </c>
      <c r="L53" s="755" t="n">
        <v>0.01781132153809849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2024-01-03 22:09:00</t>
        </is>
      </c>
      <c r="C54" s="793" t="inlineStr"/>
      <c r="D54" s="793" t="inlineStr">
        <is>
          <t>2024-03-05 00:35:00</t>
        </is>
      </c>
      <c r="E54" s="793" t="inlineStr"/>
      <c r="F54" s="793" t="inlineStr"/>
      <c r="G54" s="793" t="inlineStr"/>
      <c r="H54" s="793" t="inlineStr"/>
      <c r="I54" s="793" t="inlineStr"/>
      <c r="J54" s="793" t="inlineStr">
        <is>
          <t>2024-09-15 16:10:00</t>
        </is>
      </c>
      <c r="K54" s="793" t="inlineStr">
        <is>
          <t>2024-10-02 00:52:00</t>
        </is>
      </c>
      <c r="L54" s="793" t="inlineStr">
        <is>
          <t>2024-11-14 06:36:00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813" t="inlineStr"/>
      <c r="D55" s="771" t="inlineStr">
        <is>
          <t>2024-03-26 00:10:00</t>
        </is>
      </c>
      <c r="E55" s="771" t="inlineStr"/>
      <c r="F55" s="813" t="inlineStr"/>
      <c r="G55" s="813" t="inlineStr"/>
      <c r="H55" s="813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854" t="inlineStr"/>
      <c r="D56" s="755" t="n">
        <v>0.01200048751077335</v>
      </c>
      <c r="E56" s="753" t="inlineStr"/>
      <c r="F56" s="854" t="inlineStr"/>
      <c r="G56" s="854" t="inlineStr"/>
      <c r="H56" s="854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3" t="inlineStr"/>
      <c r="D57" s="755" t="n">
        <v>0.002461197782921058</v>
      </c>
      <c r="E57" s="591" t="inlineStr"/>
      <c r="F57" s="593" t="inlineStr"/>
      <c r="G57" s="593" t="inlineStr"/>
      <c r="H57" s="593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861" t="inlineStr"/>
      <c r="D58" s="590" t="inlineStr">
        <is>
          <t>2024-03-12 22:51:59</t>
        </is>
      </c>
      <c r="E58" s="590" t="inlineStr"/>
      <c r="F58" s="861" t="inlineStr"/>
      <c r="G58" s="861" t="inlineStr"/>
      <c r="H58" s="861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850" t="inlineStr"/>
      <c r="D59" s="772" t="inlineStr">
        <is>
          <t>2024-03-25 08:02:57</t>
        </is>
      </c>
      <c r="E59" s="772" t="inlineStr"/>
      <c r="F59" s="850" t="inlineStr"/>
      <c r="G59" s="850" t="inlineStr"/>
      <c r="H59" s="850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862" t="inlineStr"/>
      <c r="D60" s="796" t="n">
        <v>4</v>
      </c>
      <c r="E60" s="796" t="n">
        <v>1</v>
      </c>
      <c r="F60" s="862" t="inlineStr"/>
      <c r="G60" s="862" t="n">
        <v>1</v>
      </c>
      <c r="H60" s="862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852" t="inlineStr"/>
      <c r="D61" s="749" t="n">
        <v>0</v>
      </c>
      <c r="E61" s="749" t="n">
        <v>0</v>
      </c>
      <c r="F61" s="852" t="inlineStr"/>
      <c r="G61" s="878" t="n">
        <v>1</v>
      </c>
      <c r="H61" s="878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2</v>
      </c>
      <c r="C62" s="863" t="inlineStr"/>
      <c r="D62" s="799" t="n">
        <v>4</v>
      </c>
      <c r="E62" s="799" t="n">
        <v>1</v>
      </c>
      <c r="F62" s="863" t="inlineStr"/>
      <c r="G62" s="799" t="n">
        <v>0</v>
      </c>
      <c r="H62" s="799" t="n">
        <v>0</v>
      </c>
      <c r="I62" s="799" t="n">
        <v>1</v>
      </c>
      <c r="J62" s="799" t="n">
        <v>3</v>
      </c>
      <c r="K62" s="799" t="n">
        <v>2</v>
      </c>
      <c r="L62" s="799" t="n">
        <v>6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01" t="n">
        <v>0</v>
      </c>
      <c r="E63" s="853" t="n">
        <v>0</v>
      </c>
      <c r="F63" s="853" t="inlineStr"/>
      <c r="G63" s="853" t="n">
        <v>0</v>
      </c>
      <c r="H63" s="853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</v>
      </c>
      <c r="C64" s="852" t="inlineStr"/>
      <c r="D64" s="746" t="n">
        <v>4</v>
      </c>
      <c r="E64" s="852" t="n">
        <v>0</v>
      </c>
      <c r="F64" s="852" t="inlineStr"/>
      <c r="G64" s="852" t="n">
        <v>1</v>
      </c>
      <c r="H64" s="852" t="n">
        <v>0</v>
      </c>
      <c r="I64" s="852" t="n">
        <v>0</v>
      </c>
      <c r="J64" s="746" t="n">
        <v>1</v>
      </c>
      <c r="K64" s="746" t="n">
        <v>2</v>
      </c>
      <c r="L64" s="746" t="n">
        <v>2</v>
      </c>
      <c r="M64" s="816" t="n">
        <v>2</v>
      </c>
    </row>
    <row r="65" ht="14.5" customHeight="1">
      <c r="A65" s="748" t="inlineStr">
        <is>
          <t>Short wins</t>
        </is>
      </c>
      <c r="B65" s="749" t="n">
        <v>0</v>
      </c>
      <c r="C65" s="852" t="inlineStr"/>
      <c r="D65" s="749" t="n">
        <v>1</v>
      </c>
      <c r="E65" s="878" t="n">
        <v>0</v>
      </c>
      <c r="F65" s="852" t="inlineStr"/>
      <c r="G65" s="878" t="n">
        <v>1</v>
      </c>
      <c r="H65" s="878" t="n">
        <v>0</v>
      </c>
      <c r="I65" s="878" t="n">
        <v>0</v>
      </c>
      <c r="J65" s="749" t="n">
        <v>0</v>
      </c>
      <c r="K65" s="749" t="n">
        <v>1</v>
      </c>
      <c r="L65" s="749" t="n">
        <v>1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751" t="n">
        <v>3</v>
      </c>
      <c r="E66" s="879" t="n">
        <v>0</v>
      </c>
      <c r="F66" s="853" t="inlineStr"/>
      <c r="G66" s="879" t="n">
        <v>0</v>
      </c>
      <c r="H66" s="879" t="n">
        <v>0</v>
      </c>
      <c r="I66" s="879" t="n">
        <v>0</v>
      </c>
      <c r="J66" s="751" t="n">
        <v>1</v>
      </c>
      <c r="K66" s="751" t="n">
        <v>1</v>
      </c>
      <c r="L66" s="751" t="n">
        <v>1</v>
      </c>
      <c r="M66" s="864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02" t="n">
        <v>0</v>
      </c>
      <c r="E67" s="865" t="n">
        <v>0</v>
      </c>
      <c r="F67" s="865" t="inlineStr"/>
      <c r="G67" s="865" t="n">
        <v>0</v>
      </c>
      <c r="H67" s="865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812" t="inlineStr"/>
      <c r="D68" s="774" t="inlineStr">
        <is>
          <t>1S - BTCUSDT 2024-03-13</t>
        </is>
      </c>
      <c r="E68" s="812" t="inlineStr">
        <is>
          <t>10D 14H 31M 18S - GBPUSD 2024-04-02</t>
        </is>
      </c>
      <c r="F68" s="812" t="inlineStr"/>
      <c r="G68" s="812" t="inlineStr">
        <is>
          <t>21M 0S - BTCUSDT 2024-06-02</t>
        </is>
      </c>
      <c r="H68" s="812" t="inlineStr"/>
      <c r="I68" s="812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75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813" t="inlineStr"/>
      <c r="D69" s="771" t="inlineStr">
        <is>
          <t>6H 57M 43S - GBPUSD 2024-03-05</t>
        </is>
      </c>
      <c r="E69" s="813" t="inlineStr">
        <is>
          <t>10D 14H 31M 18S - GBPUSD 2024-04-02</t>
        </is>
      </c>
      <c r="F69" s="813" t="inlineStr"/>
      <c r="G69" s="813" t="inlineStr">
        <is>
          <t>40M 7S - EURUSD 2024-06-10</t>
        </is>
      </c>
      <c r="H69" s="813" t="inlineStr"/>
      <c r="I69" s="813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76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793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861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861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850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7" t="inlineStr"/>
      <c r="D74" s="806" t="inlineStr">
        <is>
          <t>0.08588449% - GBPUSD 2024-03-12</t>
        </is>
      </c>
      <c r="E74" s="866" t="inlineStr"/>
      <c r="F74" s="867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3" t="inlineStr"/>
      <c r="D75" s="590" t="inlineStr">
        <is>
          <t>0.08588449% - GBPUSD 2024-03-12</t>
        </is>
      </c>
      <c r="E75" s="591" t="inlineStr"/>
      <c r="F75" s="593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3" t="inlineStr"/>
      <c r="D76" s="590" t="inlineStr">
        <is>
          <t>0.17176899% - GBPUSD 2024-03-12</t>
        </is>
      </c>
      <c r="E76" s="591" t="inlineStr"/>
      <c r="F76" s="593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854" t="inlineStr"/>
      <c r="D77" s="771" t="inlineStr">
        <is>
          <t>0.17176899% - GBPUSD 2024-03-12</t>
        </is>
      </c>
      <c r="E77" s="753" t="inlineStr"/>
      <c r="F77" s="854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854" t="inlineStr"/>
      <c r="D78" s="808" t="inlineStr">
        <is>
          <t>1.34311207% - GBPUSD 2024-03-12</t>
        </is>
      </c>
      <c r="E78" s="753" t="inlineStr"/>
      <c r="F78" s="854" t="inlineStr"/>
      <c r="G78" s="808" t="inlineStr">
        <is>
          <t>0.75300498% - BTCUSDT 2024-06-02</t>
        </is>
      </c>
      <c r="H78" s="854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854" t="inlineStr"/>
      <c r="D79" s="808" t="inlineStr">
        <is>
          <t>1.34311207% - GBPUSD 2024-03-12</t>
        </is>
      </c>
      <c r="E79" s="753" t="inlineStr"/>
      <c r="F79" s="854" t="inlineStr"/>
      <c r="G79" s="808" t="inlineStr">
        <is>
          <t>1.23155852% - EURUSD 2024-06-10</t>
        </is>
      </c>
      <c r="H79" s="854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9" t="inlineStr">
        <is>
          <t>2.000R - BTCUSDT 2024-01-20</t>
        </is>
      </c>
      <c r="C80" s="781" t="inlineStr"/>
      <c r="D80" s="809" t="inlineStr">
        <is>
          <t>2.036R - GBPUSD 2024-03-12</t>
        </is>
      </c>
      <c r="E80" s="781" t="inlineStr"/>
      <c r="F80" s="781" t="inlineStr"/>
      <c r="G80" s="809" t="inlineStr">
        <is>
          <t>1.839R - BTCUSDT 2024-06-02</t>
        </is>
      </c>
      <c r="H80" s="781" t="inlineStr"/>
      <c r="I80" s="781" t="inlineStr"/>
      <c r="J80" s="809" t="inlineStr">
        <is>
          <t>2.000R - UXLINKUSDT 2024-09-15</t>
        </is>
      </c>
      <c r="K80" s="809" t="inlineStr">
        <is>
          <t>1.000R - UXLINKUSDT 2024-10-27</t>
        </is>
      </c>
      <c r="L80" s="809" t="inlineStr">
        <is>
          <t>0.147R - EURUSD 2024-11-21</t>
        </is>
      </c>
      <c r="M80" s="782" t="inlineStr"/>
    </row>
    <row r="81" ht="14.5" customHeight="1">
      <c r="A81" s="764" t="inlineStr">
        <is>
          <t>Winners max R</t>
        </is>
      </c>
      <c r="B81" s="811" t="inlineStr">
        <is>
          <t>2.000R - BTCUSDT 2024-01-20</t>
        </is>
      </c>
      <c r="C81" s="784" t="inlineStr"/>
      <c r="D81" s="811" t="inlineStr">
        <is>
          <t>2.036R - GBPUSD 2024-03-12</t>
        </is>
      </c>
      <c r="E81" s="784" t="inlineStr"/>
      <c r="F81" s="784" t="inlineStr"/>
      <c r="G81" s="811" t="inlineStr">
        <is>
          <t>1.944R - EURUSD 2024-06-10</t>
        </is>
      </c>
      <c r="H81" s="784" t="inlineStr"/>
      <c r="I81" s="784" t="inlineStr"/>
      <c r="J81" s="811" t="inlineStr">
        <is>
          <t>2.000R - UXLINKUSDT 2024-09-15</t>
        </is>
      </c>
      <c r="K81" s="811" t="inlineStr">
        <is>
          <t>1.000R - UXLINKUSDT 2024-10-27</t>
        </is>
      </c>
      <c r="L81" s="811" t="inlineStr">
        <is>
          <t>2.000R - BTCUSDT 2024-11-14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0.03661796% - EURUSD 2024-01-03</t>
        </is>
      </c>
      <c r="C82" s="857" t="inlineStr"/>
      <c r="D82" s="812" t="inlineStr">
        <is>
          <t>0.08678159% - GBPUSD 2024-03-05</t>
        </is>
      </c>
      <c r="E82" s="812" t="inlineStr">
        <is>
          <t>0.41302949% - GBPUSD 2024-04-02</t>
        </is>
      </c>
      <c r="F82" s="857" t="inlineStr"/>
      <c r="G82" s="857" t="inlineStr"/>
      <c r="H82" s="857" t="inlineStr"/>
      <c r="I82" s="812" t="inlineStr">
        <is>
          <t>0.39350713% - ZECUSDT 2024-08-12</t>
        </is>
      </c>
      <c r="J82" s="812" t="inlineStr">
        <is>
          <t>0.06878998% - USDJPY 2024-09-27</t>
        </is>
      </c>
      <c r="K82" s="812" t="inlineStr">
        <is>
          <t>0.10570328% - USDCHF 2024-10-03</t>
        </is>
      </c>
      <c r="L82" s="812" t="inlineStr">
        <is>
          <t>0.03229729% - EURUSD 2024-11-21</t>
        </is>
      </c>
      <c r="M82" s="775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813" t="inlineStr">
        <is>
          <t>1.60133249% - ETHUSDT 2024-01-03</t>
        </is>
      </c>
      <c r="C83" s="854" t="inlineStr"/>
      <c r="D83" s="813" t="inlineStr">
        <is>
          <t>0.64231418% - BTCUSDT 2024-03-13</t>
        </is>
      </c>
      <c r="E83" s="813" t="inlineStr">
        <is>
          <t>0.41302949% - GBPUSD 2024-04-02</t>
        </is>
      </c>
      <c r="F83" s="854" t="inlineStr"/>
      <c r="G83" s="854" t="inlineStr"/>
      <c r="H83" s="854" t="inlineStr"/>
      <c r="I83" s="813" t="inlineStr">
        <is>
          <t>0.39350713% - ZECUSDT 2024-08-12</t>
        </is>
      </c>
      <c r="J83" s="813" t="inlineStr">
        <is>
          <t>4.22068134% - VGXUSDT 2024-09-22</t>
        </is>
      </c>
      <c r="K83" s="813" t="inlineStr">
        <is>
          <t>3.94736842% - BIGTIMEUSDT 2024-10-02</t>
        </is>
      </c>
      <c r="L83" s="813" t="inlineStr">
        <is>
          <t>7.12349026% - PRCLUSDT 2024-11-28</t>
        </is>
      </c>
      <c r="M83" s="776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854" t="inlineStr"/>
      <c r="D84" s="771" t="inlineStr">
        <is>
          <t>0.17356317% - GBPUSD 2024-03-05</t>
        </is>
      </c>
      <c r="E84" s="813" t="inlineStr">
        <is>
          <t>0.82605898% - GBPUSD 2024-04-02</t>
        </is>
      </c>
      <c r="F84" s="854" t="inlineStr"/>
      <c r="G84" s="753" t="inlineStr"/>
      <c r="H84" s="854" t="inlineStr"/>
      <c r="I84" s="813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76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854" t="inlineStr"/>
      <c r="D85" s="771" t="inlineStr">
        <is>
          <t>1.28462835% - BTCUSDT 2024-03-13</t>
        </is>
      </c>
      <c r="E85" s="813" t="inlineStr">
        <is>
          <t>0.82605898% - GBPUSD 2024-04-02</t>
        </is>
      </c>
      <c r="F85" s="854" t="inlineStr"/>
      <c r="G85" s="753" t="inlineStr"/>
      <c r="H85" s="854" t="inlineStr"/>
      <c r="I85" s="813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76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854" t="inlineStr"/>
      <c r="D86" s="779" t="inlineStr">
        <is>
          <t>-1.24566228% - BTCUSDT 2024-03-05</t>
        </is>
      </c>
      <c r="E86" s="845" t="inlineStr">
        <is>
          <t>-0.42859626% - GBPUSD 2024-04-02</t>
        </is>
      </c>
      <c r="F86" s="854" t="inlineStr"/>
      <c r="G86" s="753" t="inlineStr"/>
      <c r="H86" s="854" t="inlineStr"/>
      <c r="I86" s="845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85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854" t="inlineStr"/>
      <c r="D87" s="779" t="inlineStr">
        <is>
          <t>-0.24611978% - GBPUSD 2024-03-25</t>
        </is>
      </c>
      <c r="E87" s="845" t="inlineStr">
        <is>
          <t>-0.42859626% - GBPUSD 2024-04-02</t>
        </is>
      </c>
      <c r="F87" s="854" t="inlineStr"/>
      <c r="G87" s="753" t="inlineStr"/>
      <c r="H87" s="854" t="inlineStr"/>
      <c r="I87" s="845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85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1" t="inlineStr"/>
      <c r="D88" s="779" t="inlineStr">
        <is>
          <t>-1.131R - BTCUSDT 2024-03-13</t>
        </is>
      </c>
      <c r="E88" s="845" t="inlineStr">
        <is>
          <t>-0.729R - GBPUSD 2024-04-02</t>
        </is>
      </c>
      <c r="F88" s="781" t="inlineStr"/>
      <c r="G88" s="780" t="inlineStr"/>
      <c r="H88" s="781" t="inlineStr"/>
      <c r="I88" s="845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85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4" t="inlineStr"/>
      <c r="D89" s="814" t="inlineStr">
        <is>
          <t>-0.454R - GBPUSD 2024-03-25</t>
        </is>
      </c>
      <c r="E89" s="822" t="inlineStr">
        <is>
          <t>-0.729R - GBPUSD 2024-04-02</t>
        </is>
      </c>
      <c r="F89" s="784" t="inlineStr"/>
      <c r="G89" s="783" t="inlineStr"/>
      <c r="H89" s="784" t="inlineStr"/>
      <c r="I89" s="822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8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812" t="inlineStr"/>
      <c r="F90" s="812" t="inlineStr"/>
      <c r="G90" s="774" t="inlineStr"/>
      <c r="H90" s="812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771" t="inlineStr">
        <is>
          <t>channel</t>
        </is>
      </c>
      <c r="E91" s="813" t="inlineStr">
        <is>
          <t>channel</t>
        </is>
      </c>
      <c r="F91" s="813" t="inlineStr"/>
      <c r="G91" s="771" t="inlineStr">
        <is>
          <t>channel</t>
        </is>
      </c>
      <c r="H91" s="813" t="inlineStr"/>
      <c r="I91" s="813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76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590" t="inlineStr">
        <is>
          <t>range</t>
        </is>
      </c>
      <c r="E92" s="861" t="inlineStr">
        <is>
          <t>channel</t>
        </is>
      </c>
      <c r="F92" s="861" t="inlineStr"/>
      <c r="G92" s="590" t="inlineStr">
        <is>
          <t>channel</t>
        </is>
      </c>
      <c r="H92" s="861" t="inlineStr"/>
      <c r="I92" s="861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594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590" t="inlineStr">
        <is>
          <t>channel</t>
        </is>
      </c>
      <c r="E93" s="861" t="inlineStr">
        <is>
          <t>channel</t>
        </is>
      </c>
      <c r="F93" s="861" t="inlineStr"/>
      <c r="G93" s="590" t="inlineStr">
        <is>
          <t>channel</t>
        </is>
      </c>
      <c r="H93" s="861" t="inlineStr"/>
      <c r="I93" s="861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594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598" t="inlineStr">
        <is>
          <t>range</t>
        </is>
      </c>
      <c r="E94" s="868" t="inlineStr">
        <is>
          <t>channel</t>
        </is>
      </c>
      <c r="F94" s="868" t="inlineStr"/>
      <c r="G94" s="598" t="inlineStr">
        <is>
          <t>channel</t>
        </is>
      </c>
      <c r="H94" s="868" t="inlineStr"/>
      <c r="I94" s="86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15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859" t="inlineStr"/>
      <c r="D95" s="785" t="inlineStr"/>
      <c r="E95" s="859" t="inlineStr"/>
      <c r="F95" s="859" t="inlineStr"/>
      <c r="G95" s="785" t="inlineStr"/>
      <c r="H95" s="859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852" t="inlineStr"/>
      <c r="D96" s="746" t="n">
        <v>0</v>
      </c>
      <c r="E96" s="746" t="n">
        <v>0</v>
      </c>
      <c r="F96" s="852" t="inlineStr"/>
      <c r="G96" s="852" t="n">
        <v>0</v>
      </c>
      <c r="H96" s="852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852" t="inlineStr"/>
      <c r="D97" s="746" t="n">
        <v>2</v>
      </c>
      <c r="E97" s="746" t="n">
        <v>0</v>
      </c>
      <c r="F97" s="852" t="inlineStr"/>
      <c r="G97" s="852" t="n">
        <v>1</v>
      </c>
      <c r="H97" s="852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746" t="n">
        <v>2</v>
      </c>
      <c r="E98" s="746" t="n">
        <v>0</v>
      </c>
      <c r="F98" s="852" t="inlineStr"/>
      <c r="G98" s="852" t="n">
        <v>1</v>
      </c>
      <c r="H98" s="852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inlineStr"/>
      <c r="D99" s="746" t="n">
        <v>0</v>
      </c>
      <c r="E99" s="746" t="n">
        <v>0</v>
      </c>
      <c r="F99" s="852" t="inlineStr"/>
      <c r="G99" s="852" t="n">
        <v>0</v>
      </c>
      <c r="H99" s="852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852" t="inlineStr"/>
      <c r="D100" s="746" t="n">
        <v>3</v>
      </c>
      <c r="E100" s="746" t="n">
        <v>0</v>
      </c>
      <c r="F100" s="852" t="inlineStr"/>
      <c r="G100" s="852" t="n">
        <v>0</v>
      </c>
      <c r="H100" s="852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852" t="inlineStr"/>
      <c r="D101" s="746" t="n">
        <v>0</v>
      </c>
      <c r="E101" s="746" t="n">
        <v>0</v>
      </c>
      <c r="F101" s="852" t="inlineStr"/>
      <c r="G101" s="852" t="n">
        <v>0</v>
      </c>
      <c r="H101" s="852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852" t="inlineStr"/>
      <c r="D102" s="746" t="n">
        <v>0</v>
      </c>
      <c r="E102" s="746" t="n">
        <v>1</v>
      </c>
      <c r="F102" s="852" t="inlineStr"/>
      <c r="G102" s="852" t="n">
        <v>0</v>
      </c>
      <c r="H102" s="852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746" t="n">
        <v>0</v>
      </c>
      <c r="E103" s="746" t="n">
        <v>0</v>
      </c>
      <c r="F103" s="852" t="inlineStr"/>
      <c r="G103" s="852" t="n">
        <v>0</v>
      </c>
      <c r="H103" s="852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02" t="n">
        <v>0</v>
      </c>
      <c r="E104" s="802" t="n">
        <v>0</v>
      </c>
      <c r="F104" s="865" t="inlineStr"/>
      <c r="G104" s="865" t="n">
        <v>0</v>
      </c>
      <c r="H104" s="865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859" t="inlineStr"/>
      <c r="G105" s="859" t="inlineStr"/>
      <c r="H105" s="859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861" t="inlineStr"/>
      <c r="D106" s="779" t="inlineStr">
        <is>
          <t>AUD 0.07 / USDT 0.26683853</t>
        </is>
      </c>
      <c r="E106" s="818" t="n">
        <v>0.54</v>
      </c>
      <c r="F106" s="861" t="inlineStr"/>
      <c r="G106" s="845" t="inlineStr">
        <is>
          <t>AUD 0.63 / USDT 2.23641</t>
        </is>
      </c>
      <c r="H106" s="861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861" t="inlineStr"/>
      <c r="D107" s="779" t="inlineStr">
        <is>
          <t>AUD 0.30333333 / USDT 0.44791981</t>
        </is>
      </c>
      <c r="E107" s="818" t="n">
        <v>0.54</v>
      </c>
      <c r="F107" s="861" t="inlineStr"/>
      <c r="G107" s="845" t="inlineStr">
        <is>
          <t>AUD 0.63 / USDT 2.23641</t>
        </is>
      </c>
      <c r="H107" s="861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820" t="inlineStr">
        <is>
          <t>AUD 0.56 / USDT 0.25002894</t>
        </is>
      </c>
      <c r="C108" s="793" t="inlineStr"/>
      <c r="D108" s="820" t="inlineStr">
        <is>
          <t>AUD 0.42 / USDT 0.5430898</t>
        </is>
      </c>
      <c r="E108" s="819" t="n">
        <v>0.54</v>
      </c>
      <c r="F108" s="793" t="inlineStr"/>
      <c r="G108" s="820" t="inlineStr">
        <is>
          <t>AUD 0.63 / USDT 2.23641</t>
        </is>
      </c>
      <c r="H108" s="793" t="inlineStr"/>
      <c r="I108" s="872" t="n">
        <v>0.44486042</v>
      </c>
      <c r="J108" s="872" t="n">
        <v>0.3036511</v>
      </c>
      <c r="K108" s="872" t="n">
        <v>0.65076925</v>
      </c>
      <c r="L108" s="872" t="n">
        <v>0.6679128</v>
      </c>
      <c r="M108" s="87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850" t="inlineStr"/>
      <c r="D109" s="814" t="inlineStr">
        <is>
          <t>AUD 0.91 / USDT 1.34375944</t>
        </is>
      </c>
      <c r="E109" s="887" t="n">
        <v>0.54</v>
      </c>
      <c r="F109" s="850" t="inlineStr"/>
      <c r="G109" s="814" t="inlineStr">
        <is>
          <t>AUD 0.63 / USDT 2.23641</t>
        </is>
      </c>
      <c r="H109" s="850" t="inlineStr"/>
      <c r="I109" s="874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852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53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854" t="inlineStr"/>
      <c r="D7" s="854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854" t="inlineStr"/>
      <c r="D8" s="854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0.06172349362590195</v>
      </c>
      <c r="K8" s="755" t="n">
        <v>-0.03745286671661329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3" t="inlineStr"/>
      <c r="D9" s="593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0.08838576438865119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3" t="inlineStr"/>
      <c r="D10" s="593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0.03745286671661329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855" t="inlineStr"/>
      <c r="D11" s="855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7.021741499972523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3.205990119964328</v>
      </c>
      <c r="C12" s="855" t="inlineStr"/>
      <c r="D12" s="855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2.004003579671234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853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813" t="inlineStr"/>
      <c r="D14" s="813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813" t="inlineStr"/>
      <c r="D15" s="813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751" t="n">
        <v>2</v>
      </c>
      <c r="C16" s="853" t="inlineStr"/>
      <c r="D16" s="853" t="inlineStr"/>
      <c r="E16" s="853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813" t="inlineStr"/>
      <c r="D17" s="813" t="inlineStr"/>
      <c r="E17" s="813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813" t="inlineStr"/>
      <c r="D18" s="813" t="inlineStr"/>
      <c r="E18" s="813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854" t="inlineStr"/>
      <c r="D19" s="854" t="inlineStr"/>
      <c r="E19" s="756" t="n">
        <v>0.01988722132029</v>
      </c>
      <c r="F19" s="756" t="n">
        <v>0.006281492273465416</v>
      </c>
      <c r="G19" s="756" t="n">
        <v>0.00519560673086145</v>
      </c>
      <c r="H19" s="755" t="n">
        <v>-0.004580313285519986</v>
      </c>
      <c r="I19" s="755" t="n">
        <v>-0.005184249384809096</v>
      </c>
      <c r="J19" s="756" t="n">
        <v>0.00881764194655742</v>
      </c>
      <c r="K19" s="755" t="n">
        <v>-0.009363216679153323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4" t="inlineStr"/>
      <c r="D20" s="784" t="inlineStr"/>
      <c r="E20" s="765" t="n">
        <v>2.000000000000006</v>
      </c>
      <c r="F20" s="765" t="n">
        <v>0.9428260192965497</v>
      </c>
      <c r="G20" s="765" t="n">
        <v>0.6358919151380742</v>
      </c>
      <c r="H20" s="766" t="n">
        <v>-0.1486213482622884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857" t="inlineStr"/>
      <c r="D21" s="857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854" t="inlineStr"/>
      <c r="D22" s="854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854" t="inlineStr"/>
      <c r="D23" s="854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854" t="inlineStr"/>
      <c r="D24" s="854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854" t="inlineStr"/>
      <c r="D25" s="854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858" t="inlineStr"/>
      <c r="D26" s="858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812" t="inlineStr"/>
      <c r="D27" s="812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813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850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857" t="inlineStr"/>
      <c r="D30" s="857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854" t="inlineStr"/>
      <c r="D31" s="854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845" t="inlineStr">
        <is>
          <t>-1.221R - DOGEUSDT 2025-01-19</t>
        </is>
      </c>
      <c r="C32" s="781" t="inlineStr"/>
      <c r="D32" s="781" t="inlineStr"/>
      <c r="E32" s="845" t="inlineStr">
        <is>
          <t>2.000R - TAIUSDT 2025-04-30</t>
        </is>
      </c>
      <c r="F32" s="845" t="inlineStr">
        <is>
          <t>-1.113R - SOLAYERUSDT 2025-05-23</t>
        </is>
      </c>
      <c r="G32" s="845" t="inlineStr">
        <is>
          <t>-1.051R - TLMUSDT 2025-06-24</t>
        </is>
      </c>
      <c r="H32" s="845" t="inlineStr">
        <is>
          <t>-1.016R - ENAUSDT 2025-07-24</t>
        </is>
      </c>
      <c r="I32" s="845" t="inlineStr">
        <is>
          <t>-1.075R - TRXUSDT 2025-08-14</t>
        </is>
      </c>
      <c r="J32" s="845" t="inlineStr">
        <is>
          <t>-1.010R - AVNTUSDT 2025-09-28</t>
        </is>
      </c>
      <c r="K32" s="845" t="inlineStr">
        <is>
          <t>-1.043R - ORDERUSDT 2025-10-01</t>
        </is>
      </c>
      <c r="L32" s="845" t="inlineStr">
        <is>
          <t>-1.000R - EURUSD 2025-11-06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1.982R - SOLUSDT 2025-01-22</t>
        </is>
      </c>
      <c r="C33" s="784" t="inlineStr"/>
      <c r="D33" s="784" t="inlineStr"/>
      <c r="E33" s="811" t="inlineStr">
        <is>
          <t>2.000R - TAIUSDT 2025-04-30</t>
        </is>
      </c>
      <c r="F33" s="811" t="inlineStr">
        <is>
          <t>2.000R - ZBCNUSDT 2025-05-25</t>
        </is>
      </c>
      <c r="G33" s="811" t="inlineStr">
        <is>
          <t>2.064R - GPSUSDT 2025-06-27</t>
        </is>
      </c>
      <c r="H33" s="811" t="inlineStr">
        <is>
          <t>1.558R - EURUSD 2025-07-28</t>
        </is>
      </c>
      <c r="I33" s="811" t="inlineStr">
        <is>
          <t>2.410R - ETHUSDT 2025-08-21</t>
        </is>
      </c>
      <c r="J33" s="811" t="inlineStr">
        <is>
          <t>2.045R - STBLUSDT 2025-09-22</t>
        </is>
      </c>
      <c r="K33" s="811" t="inlineStr">
        <is>
          <t>-0.939R - BNBUSDT 2025-10-08</t>
        </is>
      </c>
      <c r="L33" s="811" t="inlineStr">
        <is>
          <t>-1.000R - EURUSD 2025-11-06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859" t="inlineStr"/>
      <c r="D34" s="859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850" t="inlineStr"/>
      <c r="D35" s="850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859" t="inlineStr"/>
      <c r="D36" s="859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854" t="inlineStr"/>
      <c r="D37" s="854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3" t="n">
        <v>0.02632801610655097</v>
      </c>
      <c r="C38" s="593" t="inlineStr"/>
      <c r="D38" s="593" t="inlineStr"/>
      <c r="E38" s="593" t="n">
        <v>0.08634735723562523</v>
      </c>
      <c r="F38" s="593" t="n">
        <v>0.03923573194913214</v>
      </c>
      <c r="G38" s="593" t="n">
        <v>0.03215835029231494</v>
      </c>
      <c r="H38" s="593" t="n">
        <v>0.0005745007417063276</v>
      </c>
      <c r="I38" s="593" t="n">
        <v>0.02110987903689612</v>
      </c>
      <c r="J38" s="593" t="n">
        <v>0.04824516719885775</v>
      </c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854" t="inlineStr"/>
      <c r="D39" s="854" t="inlineStr"/>
      <c r="E39" s="756" t="n">
        <v>0.01988722132029</v>
      </c>
      <c r="F39" s="756" t="n">
        <v>0.01596737048171332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0.0220964410971628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87" t="n">
        <v>1.981595092024505</v>
      </c>
      <c r="C40" s="855" t="inlineStr"/>
      <c r="D40" s="855" t="inlineStr"/>
      <c r="E40" s="787" t="n">
        <v>2.000000000000006</v>
      </c>
      <c r="F40" s="787" t="n">
        <v>1.97058823529403</v>
      </c>
      <c r="G40" s="787" t="n">
        <v>1.958383513983681</v>
      </c>
      <c r="H40" s="787" t="n">
        <v>1.558139534884369</v>
      </c>
      <c r="I40" s="787" t="n">
        <v>2.409748427672969</v>
      </c>
      <c r="J40" s="787" t="n">
        <v>1.755435374993131</v>
      </c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813" t="inlineStr"/>
      <c r="D41" s="813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813" t="inlineStr"/>
      <c r="D42" s="813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850" t="inlineStr"/>
      <c r="D43" s="850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812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854" t="inlineStr"/>
      <c r="D45" s="854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791" t="n">
        <v>0.0308970863847316</v>
      </c>
      <c r="C46" s="791" t="inlineStr"/>
      <c r="D46" s="791" t="inlineStr"/>
      <c r="E46" s="791" t="inlineStr"/>
      <c r="F46" s="791" t="n">
        <v>0.01212021798166484</v>
      </c>
      <c r="G46" s="791" t="n">
        <v>0.05933053944257081</v>
      </c>
      <c r="H46" s="791" t="n">
        <v>0.07632400509328034</v>
      </c>
      <c r="I46" s="791" t="n">
        <v>0.03786907857107492</v>
      </c>
      <c r="J46" s="791" t="n">
        <v>0.06681108628709309</v>
      </c>
      <c r="K46" s="791" t="n">
        <v>0.05534993309766167</v>
      </c>
      <c r="L46" s="791" t="n">
        <v>0.002897920111391572</v>
      </c>
      <c r="M46" s="792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854" t="inlineStr"/>
      <c r="D47" s="854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860" t="n">
        <v>-0.009363216679153323</v>
      </c>
      <c r="L47" s="860" t="n">
        <v>-0.01156117488253139</v>
      </c>
      <c r="M47" s="757" t="inlineStr"/>
    </row>
    <row r="48" ht="14.5" customHeight="1">
      <c r="A48" s="745" t="inlineStr">
        <is>
          <t>R expectancy</t>
        </is>
      </c>
      <c r="B48" s="761" t="n">
        <v>-1.068663373321443</v>
      </c>
      <c r="C48" s="781" t="inlineStr"/>
      <c r="D48" s="781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840" t="n">
        <v>-0.9960539197494118</v>
      </c>
      <c r="L48" s="840" t="n">
        <v>-1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861" t="inlineStr"/>
      <c r="D49" s="861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861" t="inlineStr">
        <is>
          <t>14M 0S - BNBUSDT 2025-10-08</t>
        </is>
      </c>
      <c r="L49" s="861" t="inlineStr">
        <is>
          <t>4H 11M 38S - EURUSD 2025-11-06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861" t="inlineStr"/>
      <c r="D50" s="861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861" t="inlineStr">
        <is>
          <t>9H 11M 0S</t>
        </is>
      </c>
      <c r="L50" s="861" t="inlineStr">
        <is>
          <t>4H 11M 38S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850" t="inlineStr"/>
      <c r="D51" s="850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850" t="inlineStr">
        <is>
          <t>1D 1H 1M 0S - BNBUSDT 2025-10-11</t>
        </is>
      </c>
      <c r="L51" s="850" t="inlineStr">
        <is>
          <t>4H 11M 38S - EURUSD 2025-11-06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812" t="inlineStr"/>
      <c r="D52" s="812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755" t="n">
        <v>0.01198438211714376</v>
      </c>
      <c r="C53" s="854" t="inlineStr"/>
      <c r="D53" s="854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860" t="n">
        <v>0.02019155811127094</v>
      </c>
      <c r="L53" s="854" t="inlineStr"/>
      <c r="M53" s="757" t="inlineStr"/>
    </row>
    <row r="54" ht="14.5" customHeight="1">
      <c r="A54" s="748" t="inlineStr">
        <is>
          <t>Start</t>
        </is>
      </c>
      <c r="B54" s="793" t="inlineStr">
        <is>
          <t>2025-01-12 16:59:00</t>
        </is>
      </c>
      <c r="C54" s="793" t="inlineStr"/>
      <c r="D54" s="793" t="inlineStr"/>
      <c r="E54" s="793" t="inlineStr"/>
      <c r="F54" s="793" t="inlineStr"/>
      <c r="G54" s="793" t="inlineStr">
        <is>
          <t>2025-06-22 12:21:00</t>
        </is>
      </c>
      <c r="H54" s="793" t="inlineStr">
        <is>
          <t>2025-07-11 05:49:00</t>
        </is>
      </c>
      <c r="I54" s="793" t="inlineStr">
        <is>
          <t>2025-08-04 09:19:00</t>
        </is>
      </c>
      <c r="J54" s="793" t="inlineStr">
        <is>
          <t>2025-09-08 16:49:45</t>
        </is>
      </c>
      <c r="K54" s="793" t="inlineStr">
        <is>
          <t>2025-10-01 02:20:00</t>
        </is>
      </c>
      <c r="L54" s="793" t="inlineStr"/>
      <c r="M54" s="794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813" t="inlineStr"/>
      <c r="D55" s="813" t="inlineStr"/>
      <c r="E55" s="813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854" t="inlineStr"/>
      <c r="D56" s="854" t="inlineStr"/>
      <c r="E56" s="854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3" t="inlineStr"/>
      <c r="D57" s="593" t="inlineStr"/>
      <c r="E57" s="593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861" t="inlineStr"/>
      <c r="D58" s="861" t="inlineStr"/>
      <c r="E58" s="861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850" t="inlineStr"/>
      <c r="D59" s="850" t="inlineStr"/>
      <c r="E59" s="850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862" t="inlineStr"/>
      <c r="D60" s="862" t="n">
        <v>0</v>
      </c>
      <c r="E60" s="862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852" t="inlineStr"/>
      <c r="D61" s="878" t="n">
        <v>0</v>
      </c>
      <c r="E61" s="878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1</v>
      </c>
      <c r="C62" s="863" t="inlineStr"/>
      <c r="D62" s="799" t="n">
        <v>0</v>
      </c>
      <c r="E62" s="799" t="n">
        <v>0</v>
      </c>
      <c r="F62" s="799" t="n">
        <v>1</v>
      </c>
      <c r="G62" s="799" t="n">
        <v>0</v>
      </c>
      <c r="H62" s="799" t="n">
        <v>2</v>
      </c>
      <c r="I62" s="799" t="n">
        <v>3</v>
      </c>
      <c r="J62" s="799" t="n">
        <v>2</v>
      </c>
      <c r="K62" s="799" t="n">
        <v>3</v>
      </c>
      <c r="L62" s="799" t="n">
        <v>0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53" t="n">
        <v>0</v>
      </c>
      <c r="E63" s="853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3</v>
      </c>
      <c r="C64" s="852" t="inlineStr"/>
      <c r="D64" s="852" t="n">
        <v>0</v>
      </c>
      <c r="E64" s="852" t="n">
        <v>1</v>
      </c>
      <c r="F64" s="852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852" t="n">
        <v>1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1</v>
      </c>
      <c r="C65" s="852" t="inlineStr"/>
      <c r="D65" s="878" t="n">
        <v>0</v>
      </c>
      <c r="E65" s="878" t="n">
        <v>1</v>
      </c>
      <c r="F65" s="878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878" t="n">
        <v>0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879" t="n">
        <v>0</v>
      </c>
      <c r="E66" s="879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879" t="n">
        <v>1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65" t="n">
        <v>0</v>
      </c>
      <c r="E67" s="865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812" t="inlineStr"/>
      <c r="D68" s="812" t="inlineStr"/>
      <c r="E68" s="812" t="inlineStr">
        <is>
          <t>2H 41M 0S - TAIUSDT 2025-04-30</t>
        </is>
      </c>
      <c r="F68" s="812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812" t="inlineStr">
        <is>
          <t>4H 11M 38S - EURUSD 2025-11-06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813" t="inlineStr"/>
      <c r="D69" s="813" t="inlineStr"/>
      <c r="E69" s="813" t="inlineStr">
        <is>
          <t>2H 41M 0S - TAIUSDT 2025-04-30</t>
        </is>
      </c>
      <c r="F69" s="813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813" t="inlineStr">
        <is>
          <t>4H 11M 38S - EURUSD 2025-11-06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7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3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3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854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854" t="inlineStr"/>
      <c r="D78" s="854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854" t="inlineStr"/>
      <c r="D79" s="854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9" t="inlineStr">
        <is>
          <t>1.982R - SOLUSDT 2025-01-22</t>
        </is>
      </c>
      <c r="C80" s="781" t="inlineStr"/>
      <c r="D80" s="781" t="inlineStr"/>
      <c r="E80" s="809" t="inlineStr">
        <is>
          <t>2.000R - TAIUSDT 2025-04-30</t>
        </is>
      </c>
      <c r="F80" s="809" t="inlineStr">
        <is>
          <t>1.941R - USDJPY 2025-05-06</t>
        </is>
      </c>
      <c r="G80" s="809" t="inlineStr">
        <is>
          <t>1.811R - USDCHF 2025-06-27</t>
        </is>
      </c>
      <c r="H80" s="809" t="inlineStr">
        <is>
          <t>1.558R - EURUSD 2025-07-28</t>
        </is>
      </c>
      <c r="I80" s="809" t="inlineStr">
        <is>
          <t>2.410R - ETHUSDT 2025-08-21</t>
        </is>
      </c>
      <c r="J80" s="809" t="inlineStr">
        <is>
          <t>1.467R - XAUUSD 2025-09-18</t>
        </is>
      </c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811" t="inlineStr">
        <is>
          <t>1.982R - SOLUSDT 2025-01-22</t>
        </is>
      </c>
      <c r="C81" s="784" t="inlineStr"/>
      <c r="D81" s="784" t="inlineStr"/>
      <c r="E81" s="811" t="inlineStr">
        <is>
          <t>2.000R - TAIUSDT 2025-04-30</t>
        </is>
      </c>
      <c r="F81" s="811" t="inlineStr">
        <is>
          <t>2.000R - ZBCNUSDT 2025-05-25</t>
        </is>
      </c>
      <c r="G81" s="811" t="inlineStr">
        <is>
          <t>2.064R - GPSUSDT 2025-06-27</t>
        </is>
      </c>
      <c r="H81" s="811" t="inlineStr">
        <is>
          <t>1.558R - EURUSD 2025-07-28</t>
        </is>
      </c>
      <c r="I81" s="811" t="inlineStr">
        <is>
          <t>2.410R - ETHUSDT 2025-08-21</t>
        </is>
      </c>
      <c r="J81" s="811" t="inlineStr">
        <is>
          <t>2.045R - STBLUSDT 2025-09-22</t>
        </is>
      </c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12" t="inlineStr">
        <is>
          <t>0.53900325% - DOGEUSDT 2025-01-19</t>
        </is>
      </c>
      <c r="C82" s="857" t="inlineStr"/>
      <c r="D82" s="857" t="inlineStr"/>
      <c r="E82" s="857" t="inlineStr"/>
      <c r="F82" s="812" t="inlineStr">
        <is>
          <t>0.57411559% - SOLAYERUSDT 2025-05-23</t>
        </is>
      </c>
      <c r="G82" s="812" t="inlineStr">
        <is>
          <t>0.09749327% - NZDUSD 2025-06-10</t>
        </is>
      </c>
      <c r="H82" s="812" t="inlineStr">
        <is>
          <t>1.80551835% - PENGUUSDT 2025-07-11</t>
        </is>
      </c>
      <c r="I82" s="812" t="inlineStr">
        <is>
          <t>0.39837376% - TRXUSDT 2025-08-14</t>
        </is>
      </c>
      <c r="J82" s="812" t="inlineStr">
        <is>
          <t>0.23620682% - NZDCHF 2025-09-30</t>
        </is>
      </c>
      <c r="K82" s="812" t="inlineStr">
        <is>
          <t>0.78667151% - XAGUSD 2025-10-29</t>
        </is>
      </c>
      <c r="L82" s="812" t="inlineStr">
        <is>
          <t>0.15142285% - EURUSD 2025-11-06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3.07948932% - XRPUSDT 2025-01-29</t>
        </is>
      </c>
      <c r="C83" s="854" t="inlineStr"/>
      <c r="D83" s="854" t="inlineStr"/>
      <c r="E83" s="854" t="inlineStr"/>
      <c r="F83" s="813" t="inlineStr">
        <is>
          <t>0.57411559% - SOLAYERUSDT 2025-05-23</t>
        </is>
      </c>
      <c r="G83" s="813" t="inlineStr">
        <is>
          <t>5.26196416% - 1000CATSUSDT 2025-06-15</t>
        </is>
      </c>
      <c r="H83" s="813" t="inlineStr">
        <is>
          <t>5.55066079% - ENAUSDT 2025-07-24</t>
        </is>
      </c>
      <c r="I83" s="813" t="inlineStr">
        <is>
          <t>4.44181226% - ENAUSDT 2025-08-19</t>
        </is>
      </c>
      <c r="J83" s="813" t="inlineStr">
        <is>
          <t>9.29432014% - AVNTUSDT 2025-09-28</t>
        </is>
      </c>
      <c r="K83" s="813" t="inlineStr">
        <is>
          <t>5.68884492% - ORDERUSDT 2025-10-01</t>
        </is>
      </c>
      <c r="L83" s="813" t="inlineStr">
        <is>
          <t>0.15142285% - EURUSD 2025-11-06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854" t="inlineStr"/>
      <c r="D84" s="854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813" t="inlineStr">
        <is>
          <t>1.49464401% - XAGUSD 2025-10-29</t>
        </is>
      </c>
      <c r="L84" s="813" t="inlineStr">
        <is>
          <t>0.28979201% - EURUSD 2025-11-06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854" t="inlineStr"/>
      <c r="D85" s="854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813" t="inlineStr">
        <is>
          <t>11.77343557% - ORDERUSDT 2025-10-01</t>
        </is>
      </c>
      <c r="L85" s="813" t="inlineStr">
        <is>
          <t>0.28979201% - EURUSD 2025-11-06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854" t="inlineStr"/>
      <c r="D86" s="854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845" t="inlineStr">
        <is>
          <t>-1.09240893% - BNBUSDT 2025-10-11</t>
        </is>
      </c>
      <c r="L86" s="845" t="inlineStr">
        <is>
          <t>-1.15611749% - EURUSD 2025-11-06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854" t="inlineStr"/>
      <c r="D87" s="854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845" t="inlineStr">
        <is>
          <t>-0.67303096% - XAGUSD 2025-10-29</t>
        </is>
      </c>
      <c r="L87" s="845" t="inlineStr">
        <is>
          <t>-1.15611749% - EURUSD 2025-11-06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1" t="inlineStr"/>
      <c r="D88" s="781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845" t="inlineStr">
        <is>
          <t>-1.043R - ORDERUSDT 2025-10-01</t>
        </is>
      </c>
      <c r="L88" s="845" t="inlineStr">
        <is>
          <t>-1.000R - EURUSD 2025-11-06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4" t="inlineStr"/>
      <c r="D89" s="784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22" t="inlineStr">
        <is>
          <t>-0.939R - BNBUSDT 2025-10-08</t>
        </is>
      </c>
      <c r="L89" s="822" t="inlineStr">
        <is>
          <t>-1.000R - EURUSD 2025-11-06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812" t="inlineStr"/>
      <c r="D90" s="812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813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861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861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86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859" t="inlineStr"/>
      <c r="D95" s="859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746" t="n">
        <v>1</v>
      </c>
      <c r="C96" s="852" t="inlineStr"/>
      <c r="D96" s="852" t="n">
        <v>0</v>
      </c>
      <c r="E96" s="852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inlineStr"/>
      <c r="D97" s="852" t="n">
        <v>0</v>
      </c>
      <c r="E97" s="852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852" t="n">
        <v>0</v>
      </c>
      <c r="E98" s="852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852" t="inlineStr"/>
      <c r="D99" s="852" t="n">
        <v>0</v>
      </c>
      <c r="E99" s="852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inlineStr"/>
      <c r="D100" s="852" t="n">
        <v>0</v>
      </c>
      <c r="E100" s="852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852" t="inlineStr"/>
      <c r="D101" s="852" t="n">
        <v>0</v>
      </c>
      <c r="E101" s="852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inlineStr"/>
      <c r="D102" s="852" t="n">
        <v>0</v>
      </c>
      <c r="E102" s="852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852" t="n">
        <v>0</v>
      </c>
      <c r="E103" s="852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65" t="n">
        <v>0</v>
      </c>
      <c r="E104" s="865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859" t="inlineStr"/>
      <c r="E105" s="859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861" t="inlineStr"/>
      <c r="D106" s="861" t="inlineStr"/>
      <c r="E106" s="893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861" t="inlineStr"/>
      <c r="D107" s="861" t="inlineStr"/>
      <c r="E107" s="893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872" t="n">
        <v>0.395233</v>
      </c>
      <c r="C108" s="793" t="inlineStr"/>
      <c r="D108" s="793" t="inlineStr"/>
      <c r="E108" s="872" t="n">
        <v>0.05616067</v>
      </c>
      <c r="F108" s="872" t="n">
        <v>0.44759595</v>
      </c>
      <c r="G108" s="820" t="inlineStr">
        <is>
          <t>AUD 0.16 / USDT 0.2179671</t>
        </is>
      </c>
      <c r="H108" s="820" t="inlineStr">
        <is>
          <t>AUD 1.26 / USDT 0.14406632</t>
        </is>
      </c>
      <c r="I108" s="872" t="n">
        <v>0.4827306</v>
      </c>
      <c r="J108" s="872" t="n">
        <v>0.12135579</v>
      </c>
      <c r="K108" s="872" t="n">
        <v>0.1404865</v>
      </c>
      <c r="L108" s="793" t="inlineStr"/>
      <c r="M108" s="794" t="inlineStr"/>
    </row>
    <row r="109" ht="14.5" customHeight="1">
      <c r="A109" s="795" t="inlineStr">
        <is>
          <t>Total Commission</t>
        </is>
      </c>
      <c r="B109" s="888" t="n">
        <v>0.94277205</v>
      </c>
      <c r="C109" s="850" t="inlineStr"/>
      <c r="D109" s="850" t="inlineStr"/>
      <c r="E109" s="874" t="n">
        <v>0.05616067</v>
      </c>
      <c r="F109" s="874" t="n">
        <v>0.51213586</v>
      </c>
      <c r="G109" s="822" t="inlineStr">
        <is>
          <t>AUD 0.16 / USDT 0.55243208</t>
        </is>
      </c>
      <c r="H109" s="822" t="inlineStr">
        <is>
          <t>AUD 1.26 / USDT 0.18871576</t>
        </is>
      </c>
      <c r="I109" s="874" t="n">
        <v>1.56843159</v>
      </c>
      <c r="J109" s="874" t="n">
        <v>0.17203323</v>
      </c>
      <c r="K109" s="874" t="n">
        <v>0.29092439</v>
      </c>
      <c r="L109" s="850" t="inlineStr"/>
      <c r="M109" s="777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n">
        <v>0</v>
      </c>
      <c r="C2" s="852" t="inlineStr"/>
      <c r="D2" s="746" t="n">
        <v>0</v>
      </c>
      <c r="E2" s="746" t="n">
        <v>0</v>
      </c>
      <c r="F2" s="746" t="n">
        <v>0</v>
      </c>
      <c r="G2" s="746" t="n">
        <v>0</v>
      </c>
      <c r="H2" s="852" t="n">
        <v>0</v>
      </c>
      <c r="I2" s="852" t="n">
        <v>0</v>
      </c>
      <c r="J2" s="852" t="inlineStr"/>
      <c r="K2" s="852" t="inlineStr"/>
      <c r="L2" s="852" t="inlineStr"/>
      <c r="M2" s="816" t="inlineStr"/>
    </row>
    <row r="3" ht="14.5" customHeight="1">
      <c r="A3" s="748" t="inlineStr">
        <is>
          <t>Wins</t>
        </is>
      </c>
      <c r="B3" s="878" t="n">
        <v>0</v>
      </c>
      <c r="C3" s="853" t="inlineStr"/>
      <c r="D3" s="749" t="n">
        <v>0</v>
      </c>
      <c r="E3" s="749" t="n">
        <v>0</v>
      </c>
      <c r="F3" s="749" t="n">
        <v>0</v>
      </c>
      <c r="G3" s="749" t="n">
        <v>0</v>
      </c>
      <c r="H3" s="878" t="n">
        <v>0</v>
      </c>
      <c r="I3" s="878" t="n">
        <v>0</v>
      </c>
      <c r="J3" s="853" t="inlineStr"/>
      <c r="K3" s="853" t="inlineStr"/>
      <c r="L3" s="853" t="inlineStr"/>
      <c r="M3" s="856" t="inlineStr"/>
    </row>
    <row r="4" ht="14.5" customHeight="1">
      <c r="A4" s="748" t="inlineStr">
        <is>
          <t>Losses</t>
        </is>
      </c>
      <c r="B4" s="879" t="n">
        <v>0</v>
      </c>
      <c r="C4" s="853" t="inlineStr"/>
      <c r="D4" s="751" t="n">
        <v>0</v>
      </c>
      <c r="E4" s="751" t="n">
        <v>0</v>
      </c>
      <c r="F4" s="751" t="n">
        <v>0</v>
      </c>
      <c r="G4" s="751" t="n">
        <v>0</v>
      </c>
      <c r="H4" s="879" t="n">
        <v>0</v>
      </c>
      <c r="I4" s="879" t="n">
        <v>0</v>
      </c>
      <c r="J4" s="853" t="inlineStr"/>
      <c r="K4" s="853" t="inlineStr"/>
      <c r="L4" s="853" t="inlineStr"/>
      <c r="M4" s="856" t="inlineStr"/>
    </row>
    <row r="5" ht="14.5" customHeight="1">
      <c r="A5" s="748" t="inlineStr">
        <is>
          <t>Break-even</t>
        </is>
      </c>
      <c r="B5" s="852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852" t="n">
        <v>0</v>
      </c>
      <c r="I5" s="852" t="n">
        <v>0</v>
      </c>
      <c r="J5" s="852" t="inlineStr"/>
      <c r="K5" s="852" t="inlineStr"/>
      <c r="L5" s="852" t="inlineStr"/>
      <c r="M5" s="816" t="inlineStr"/>
    </row>
    <row r="6" ht="14.5" customHeight="1">
      <c r="A6" s="748" t="inlineStr">
        <is>
          <t>Test</t>
        </is>
      </c>
      <c r="B6" s="852" t="n">
        <v>1</v>
      </c>
      <c r="C6" s="852" t="inlineStr"/>
      <c r="D6" s="746" t="n">
        <v>0</v>
      </c>
      <c r="E6" s="746" t="n">
        <v>7</v>
      </c>
      <c r="F6" s="746" t="n">
        <v>5</v>
      </c>
      <c r="G6" s="746" t="n">
        <v>0</v>
      </c>
      <c r="H6" s="852" t="n">
        <v>0</v>
      </c>
      <c r="I6" s="852" t="n">
        <v>1</v>
      </c>
      <c r="J6" s="852" t="inlineStr"/>
      <c r="K6" s="852" t="inlineStr"/>
      <c r="L6" s="852" t="inlineStr"/>
      <c r="M6" s="816" t="inlineStr"/>
    </row>
    <row r="7" ht="14.5" customHeight="1">
      <c r="A7" s="745" t="inlineStr">
        <is>
          <t>Win rate</t>
        </is>
      </c>
      <c r="B7" s="854" t="inlineStr"/>
      <c r="C7" s="854" t="inlineStr"/>
      <c r="D7" s="854" t="inlineStr"/>
      <c r="E7" s="753" t="inlineStr"/>
      <c r="F7" s="753" t="inlineStr"/>
      <c r="G7" s="854" t="inlineStr"/>
      <c r="H7" s="854" t="inlineStr"/>
      <c r="I7" s="854" t="inlineStr"/>
      <c r="J7" s="854" t="inlineStr"/>
      <c r="K7" s="854" t="inlineStr"/>
      <c r="L7" s="854" t="inlineStr"/>
      <c r="M7" s="757" t="inlineStr"/>
    </row>
    <row r="8" ht="14.5" customHeight="1">
      <c r="A8" s="745" t="inlineStr">
        <is>
          <t>Net P/L</t>
        </is>
      </c>
      <c r="B8" s="854" t="inlineStr"/>
      <c r="C8" s="854" t="inlineStr"/>
      <c r="D8" s="854" t="inlineStr"/>
      <c r="E8" s="854" t="inlineStr"/>
      <c r="F8" s="854" t="inlineStr"/>
      <c r="G8" s="854" t="inlineStr"/>
      <c r="H8" s="854" t="inlineStr"/>
      <c r="I8" s="854" t="inlineStr"/>
      <c r="J8" s="854" t="inlineStr"/>
      <c r="K8" s="854" t="inlineStr"/>
      <c r="L8" s="854" t="inlineStr"/>
      <c r="M8" s="757" t="inlineStr"/>
    </row>
    <row r="9" ht="14.5" customHeight="1">
      <c r="A9" s="745" t="inlineStr">
        <is>
          <t>Gross percent gain</t>
        </is>
      </c>
      <c r="B9" s="593" t="inlineStr"/>
      <c r="C9" s="593" t="inlineStr"/>
      <c r="D9" s="593" t="inlineStr"/>
      <c r="E9" s="593" t="inlineStr"/>
      <c r="F9" s="593" t="inlineStr"/>
      <c r="G9" s="593" t="inlineStr"/>
      <c r="H9" s="593" t="inlineStr"/>
      <c r="I9" s="593" t="inlineStr"/>
      <c r="J9" s="593" t="inlineStr"/>
      <c r="K9" s="593" t="inlineStr"/>
      <c r="L9" s="593" t="inlineStr"/>
      <c r="M9" s="758" t="inlineStr"/>
    </row>
    <row r="10" ht="14.5" customHeight="1">
      <c r="A10" s="745" t="inlineStr">
        <is>
          <t>Gross percent loss</t>
        </is>
      </c>
      <c r="B10" s="593" t="inlineStr"/>
      <c r="C10" s="593" t="inlineStr"/>
      <c r="D10" s="593" t="inlineStr"/>
      <c r="E10" s="593" t="inlineStr"/>
      <c r="F10" s="593" t="inlineStr"/>
      <c r="G10" s="593" t="inlineStr"/>
      <c r="H10" s="593" t="inlineStr"/>
      <c r="I10" s="593" t="inlineStr"/>
      <c r="J10" s="593" t="inlineStr"/>
      <c r="K10" s="593" t="inlineStr"/>
      <c r="L10" s="593" t="inlineStr"/>
      <c r="M10" s="758" t="inlineStr"/>
    </row>
    <row r="11" ht="14.5" customHeight="1">
      <c r="A11" s="745" t="inlineStr">
        <is>
          <t>Gross IR gain</t>
        </is>
      </c>
      <c r="B11" s="855" t="inlineStr"/>
      <c r="C11" s="855" t="inlineStr"/>
      <c r="D11" s="855" t="inlineStr"/>
      <c r="E11" s="855" t="inlineStr"/>
      <c r="F11" s="855" t="inlineStr"/>
      <c r="G11" s="855" t="inlineStr"/>
      <c r="H11" s="855" t="inlineStr"/>
      <c r="I11" s="855" t="inlineStr"/>
      <c r="J11" s="855" t="inlineStr"/>
      <c r="K11" s="855" t="inlineStr"/>
      <c r="L11" s="855" t="inlineStr"/>
      <c r="M11" s="760" t="inlineStr"/>
    </row>
    <row r="12" ht="14.5" customHeight="1">
      <c r="A12" s="745" t="inlineStr">
        <is>
          <t>Gross IR loss</t>
        </is>
      </c>
      <c r="B12" s="855" t="inlineStr"/>
      <c r="C12" s="855" t="inlineStr"/>
      <c r="D12" s="855" t="inlineStr"/>
      <c r="E12" s="855" t="inlineStr"/>
      <c r="F12" s="855" t="inlineStr"/>
      <c r="G12" s="855" t="inlineStr"/>
      <c r="H12" s="855" t="inlineStr"/>
      <c r="I12" s="855" t="inlineStr"/>
      <c r="J12" s="855" t="inlineStr"/>
      <c r="K12" s="855" t="inlineStr"/>
      <c r="L12" s="855" t="inlineStr"/>
      <c r="M12" s="760" t="inlineStr"/>
    </row>
    <row r="13" ht="14.5" customHeight="1">
      <c r="A13" s="745" t="inlineStr">
        <is>
          <t>Best Win Streak</t>
        </is>
      </c>
      <c r="B13" s="853" t="inlineStr"/>
      <c r="C13" s="853" t="inlineStr"/>
      <c r="D13" s="853" t="inlineStr"/>
      <c r="E13" s="801" t="inlineStr"/>
      <c r="F13" s="801" t="inlineStr"/>
      <c r="G13" s="853" t="inlineStr"/>
      <c r="H13" s="853" t="inlineStr"/>
      <c r="I13" s="853" t="inlineStr"/>
      <c r="J13" s="853" t="inlineStr"/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813" t="inlineStr"/>
      <c r="C14" s="813" t="inlineStr"/>
      <c r="D14" s="813" t="inlineStr"/>
      <c r="E14" s="590" t="inlineStr"/>
      <c r="F14" s="590" t="inlineStr"/>
      <c r="G14" s="813" t="inlineStr"/>
      <c r="H14" s="813" t="inlineStr"/>
      <c r="I14" s="813" t="inlineStr"/>
      <c r="J14" s="813" t="inlineStr"/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813" t="inlineStr"/>
      <c r="C15" s="813" t="inlineStr"/>
      <c r="D15" s="813" t="inlineStr"/>
      <c r="E15" s="590" t="inlineStr"/>
      <c r="F15" s="590" t="inlineStr"/>
      <c r="G15" s="813" t="inlineStr"/>
      <c r="H15" s="813" t="inlineStr"/>
      <c r="I15" s="813" t="inlineStr"/>
      <c r="J15" s="813" t="inlineStr"/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853" t="inlineStr"/>
      <c r="C16" s="853" t="inlineStr"/>
      <c r="D16" s="853" t="inlineStr"/>
      <c r="E16" s="801" t="inlineStr"/>
      <c r="F16" s="801" t="inlineStr"/>
      <c r="G16" s="853" t="inlineStr"/>
      <c r="H16" s="853" t="inlineStr"/>
      <c r="I16" s="853" t="inlineStr"/>
      <c r="J16" s="853" t="inlineStr"/>
      <c r="K16" s="853" t="inlineStr"/>
      <c r="L16" s="853" t="inlineStr"/>
      <c r="M16" s="856" t="inlineStr"/>
    </row>
    <row r="17" ht="14.5" customHeight="1">
      <c r="A17" s="748" t="inlineStr">
        <is>
          <t>Start</t>
        </is>
      </c>
      <c r="B17" s="813" t="inlineStr"/>
      <c r="C17" s="813" t="inlineStr"/>
      <c r="D17" s="813" t="inlineStr"/>
      <c r="E17" s="590" t="inlineStr"/>
      <c r="F17" s="590" t="inlineStr"/>
      <c r="G17" s="813" t="inlineStr"/>
      <c r="H17" s="813" t="inlineStr"/>
      <c r="I17" s="813" t="inlineStr"/>
      <c r="J17" s="813" t="inlineStr"/>
      <c r="K17" s="813" t="inlineStr"/>
      <c r="L17" s="813" t="inlineStr"/>
      <c r="M17" s="776" t="inlineStr"/>
    </row>
    <row r="18" ht="14.5" customHeight="1">
      <c r="A18" s="748" t="inlineStr">
        <is>
          <t>End</t>
        </is>
      </c>
      <c r="B18" s="813" t="inlineStr"/>
      <c r="C18" s="813" t="inlineStr"/>
      <c r="D18" s="813" t="inlineStr"/>
      <c r="E18" s="590" t="inlineStr"/>
      <c r="F18" s="590" t="inlineStr"/>
      <c r="G18" s="813" t="inlineStr"/>
      <c r="H18" s="813" t="inlineStr"/>
      <c r="I18" s="813" t="inlineStr"/>
      <c r="J18" s="813" t="inlineStr"/>
      <c r="K18" s="813" t="inlineStr"/>
      <c r="L18" s="813" t="inlineStr"/>
      <c r="M18" s="776" t="inlineStr"/>
    </row>
    <row r="19" ht="14.5" customHeight="1">
      <c r="A19" s="745" t="inlineStr">
        <is>
          <t>Percentage expectancy</t>
        </is>
      </c>
      <c r="B19" s="854" t="inlineStr"/>
      <c r="C19" s="854" t="inlineStr"/>
      <c r="D19" s="854" t="inlineStr"/>
      <c r="E19" s="854" t="inlineStr"/>
      <c r="F19" s="854" t="inlineStr"/>
      <c r="G19" s="854" t="inlineStr"/>
      <c r="H19" s="854" t="inlineStr"/>
      <c r="I19" s="854" t="inlineStr"/>
      <c r="J19" s="854" t="inlineStr"/>
      <c r="K19" s="854" t="inlineStr"/>
      <c r="L19" s="854" t="inlineStr"/>
      <c r="M19" s="757" t="inlineStr"/>
    </row>
    <row r="20" ht="14.5" customHeight="1">
      <c r="A20" s="764" t="inlineStr">
        <is>
          <t>R expectancy</t>
        </is>
      </c>
      <c r="B20" s="784" t="inlineStr"/>
      <c r="C20" s="784" t="inlineStr"/>
      <c r="D20" s="784" t="inlineStr"/>
      <c r="E20" s="784" t="inlineStr"/>
      <c r="F20" s="784" t="inlineStr"/>
      <c r="G20" s="784" t="inlineStr"/>
      <c r="H20" s="784" t="inlineStr"/>
      <c r="I20" s="784" t="inlineStr"/>
      <c r="J20" s="784" t="inlineStr"/>
      <c r="K20" s="784" t="inlineStr"/>
      <c r="L20" s="784" t="inlineStr"/>
      <c r="M20" s="767" t="inlineStr"/>
    </row>
    <row r="21" ht="14.5" customHeight="1">
      <c r="A21" s="768" t="inlineStr">
        <is>
          <t>Avg stop %</t>
        </is>
      </c>
      <c r="B21" s="857" t="inlineStr"/>
      <c r="C21" s="857" t="inlineStr"/>
      <c r="D21" s="857" t="inlineStr"/>
      <c r="E21" s="857" t="inlineStr"/>
      <c r="F21" s="857" t="inlineStr"/>
      <c r="G21" s="857" t="inlineStr"/>
      <c r="H21" s="857" t="inlineStr"/>
      <c r="I21" s="857" t="inlineStr"/>
      <c r="J21" s="857" t="inlineStr"/>
      <c r="K21" s="857" t="inlineStr"/>
      <c r="L21" s="857" t="inlineStr"/>
      <c r="M21" s="770" t="inlineStr"/>
    </row>
    <row r="22" ht="14.5" customHeight="1">
      <c r="A22" s="745" t="inlineStr">
        <is>
          <t>Avg target %</t>
        </is>
      </c>
      <c r="B22" s="854" t="inlineStr"/>
      <c r="C22" s="854" t="inlineStr"/>
      <c r="D22" s="854" t="inlineStr"/>
      <c r="E22" s="854" t="inlineStr"/>
      <c r="F22" s="854" t="inlineStr"/>
      <c r="G22" s="854" t="inlineStr"/>
      <c r="H22" s="854" t="inlineStr"/>
      <c r="I22" s="854" t="inlineStr"/>
      <c r="J22" s="854" t="inlineStr"/>
      <c r="K22" s="854" t="inlineStr"/>
      <c r="L22" s="854" t="inlineStr"/>
      <c r="M22" s="757" t="inlineStr"/>
    </row>
    <row r="23" ht="14.5" customHeight="1">
      <c r="A23" s="745" t="inlineStr">
        <is>
          <t>Min stop %</t>
        </is>
      </c>
      <c r="B23" s="854" t="inlineStr"/>
      <c r="C23" s="854" t="inlineStr"/>
      <c r="D23" s="854" t="inlineStr"/>
      <c r="E23" s="854" t="inlineStr"/>
      <c r="F23" s="854" t="inlineStr"/>
      <c r="G23" s="854" t="inlineStr"/>
      <c r="H23" s="854" t="inlineStr"/>
      <c r="I23" s="854" t="inlineStr"/>
      <c r="J23" s="854" t="inlineStr"/>
      <c r="K23" s="854" t="inlineStr"/>
      <c r="L23" s="854" t="inlineStr"/>
      <c r="M23" s="757" t="inlineStr"/>
    </row>
    <row r="24" ht="14.5" customHeight="1">
      <c r="A24" s="745" t="inlineStr">
        <is>
          <t>Max stop %</t>
        </is>
      </c>
      <c r="B24" s="854" t="inlineStr"/>
      <c r="C24" s="854" t="inlineStr"/>
      <c r="D24" s="854" t="inlineStr"/>
      <c r="E24" s="854" t="inlineStr"/>
      <c r="F24" s="854" t="inlineStr"/>
      <c r="G24" s="854" t="inlineStr"/>
      <c r="H24" s="854" t="inlineStr"/>
      <c r="I24" s="854" t="inlineStr"/>
      <c r="J24" s="854" t="inlineStr"/>
      <c r="K24" s="854" t="inlineStr"/>
      <c r="L24" s="854" t="inlineStr"/>
      <c r="M24" s="757" t="inlineStr"/>
    </row>
    <row r="25" ht="14.5" customHeight="1">
      <c r="A25" s="745" t="inlineStr">
        <is>
          <t>Min target %</t>
        </is>
      </c>
      <c r="B25" s="854" t="inlineStr"/>
      <c r="C25" s="854" t="inlineStr"/>
      <c r="D25" s="854" t="inlineStr"/>
      <c r="E25" s="854" t="inlineStr"/>
      <c r="F25" s="854" t="inlineStr"/>
      <c r="G25" s="854" t="inlineStr"/>
      <c r="H25" s="854" t="inlineStr"/>
      <c r="I25" s="854" t="inlineStr"/>
      <c r="J25" s="854" t="inlineStr"/>
      <c r="K25" s="854" t="inlineStr"/>
      <c r="L25" s="854" t="inlineStr"/>
      <c r="M25" s="757" t="inlineStr"/>
    </row>
    <row r="26" ht="14.5" customHeight="1">
      <c r="A26" s="764" t="inlineStr">
        <is>
          <t>Max target %</t>
        </is>
      </c>
      <c r="B26" s="858" t="inlineStr"/>
      <c r="C26" s="858" t="inlineStr"/>
      <c r="D26" s="858" t="inlineStr"/>
      <c r="E26" s="858" t="inlineStr"/>
      <c r="F26" s="858" t="inlineStr"/>
      <c r="G26" s="858" t="inlineStr"/>
      <c r="H26" s="858" t="inlineStr"/>
      <c r="I26" s="858" t="inlineStr"/>
      <c r="J26" s="858" t="inlineStr"/>
      <c r="K26" s="858" t="inlineStr"/>
      <c r="L26" s="858" t="inlineStr"/>
      <c r="M26" s="773" t="inlineStr"/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812" t="inlineStr"/>
      <c r="E27" s="812" t="inlineStr"/>
      <c r="F27" s="812" t="inlineStr"/>
      <c r="G27" s="812" t="inlineStr"/>
      <c r="H27" s="812" t="inlineStr"/>
      <c r="I27" s="812" t="inlineStr"/>
      <c r="J27" s="812" t="inlineStr"/>
      <c r="K27" s="812" t="inlineStr"/>
      <c r="L27" s="812" t="inlineStr"/>
      <c r="M27" s="775" t="inlineStr"/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813" t="inlineStr"/>
      <c r="E28" s="813" t="inlineStr"/>
      <c r="F28" s="813" t="inlineStr"/>
      <c r="G28" s="813" t="inlineStr"/>
      <c r="H28" s="813" t="inlineStr"/>
      <c r="I28" s="813" t="inlineStr"/>
      <c r="J28" s="813" t="inlineStr"/>
      <c r="K28" s="813" t="inlineStr"/>
      <c r="L28" s="813" t="inlineStr"/>
      <c r="M28" s="776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850" t="inlineStr"/>
      <c r="E29" s="850" t="inlineStr"/>
      <c r="F29" s="850" t="inlineStr"/>
      <c r="G29" s="850" t="inlineStr"/>
      <c r="H29" s="850" t="inlineStr"/>
      <c r="I29" s="850" t="inlineStr"/>
      <c r="J29" s="850" t="inlineStr"/>
      <c r="K29" s="850" t="inlineStr"/>
      <c r="L29" s="850" t="inlineStr"/>
      <c r="M29" s="777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857" t="inlineStr"/>
      <c r="E30" s="857" t="inlineStr"/>
      <c r="F30" s="857" t="inlineStr"/>
      <c r="G30" s="857" t="inlineStr"/>
      <c r="H30" s="857" t="inlineStr"/>
      <c r="I30" s="857" t="inlineStr"/>
      <c r="J30" s="857" t="inlineStr"/>
      <c r="K30" s="857" t="inlineStr"/>
      <c r="L30" s="857" t="inlineStr"/>
      <c r="M30" s="770" t="inlineStr"/>
    </row>
    <row r="31" ht="14.5" customHeight="1">
      <c r="A31" s="745" t="inlineStr">
        <is>
          <t>Max loss %</t>
        </is>
      </c>
      <c r="B31" s="854" t="inlineStr"/>
      <c r="C31" s="854" t="inlineStr"/>
      <c r="D31" s="854" t="inlineStr"/>
      <c r="E31" s="753" t="inlineStr"/>
      <c r="F31" s="753" t="inlineStr"/>
      <c r="G31" s="854" t="inlineStr"/>
      <c r="H31" s="854" t="inlineStr"/>
      <c r="I31" s="854" t="inlineStr"/>
      <c r="J31" s="854" t="inlineStr"/>
      <c r="K31" s="854" t="inlineStr"/>
      <c r="L31" s="854" t="inlineStr"/>
      <c r="M31" s="757" t="inlineStr"/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859" t="inlineStr"/>
      <c r="C34" s="859" t="inlineStr"/>
      <c r="D34" s="859" t="inlineStr"/>
      <c r="E34" s="859" t="inlineStr"/>
      <c r="F34" s="859" t="inlineStr"/>
      <c r="G34" s="859" t="inlineStr"/>
      <c r="H34" s="859" t="inlineStr"/>
      <c r="I34" s="859" t="inlineStr"/>
      <c r="J34" s="859" t="inlineStr"/>
      <c r="K34" s="859" t="inlineStr"/>
      <c r="L34" s="859" t="inlineStr"/>
      <c r="M34" s="786" t="inlineStr"/>
    </row>
    <row r="35" ht="14.5" customHeight="1">
      <c r="A35" s="764" t="inlineStr">
        <is>
          <t>Longest (DD:HH:MM:SS)</t>
        </is>
      </c>
      <c r="B35" s="850" t="inlineStr"/>
      <c r="C35" s="850" t="inlineStr"/>
      <c r="D35" s="850" t="inlineStr"/>
      <c r="E35" s="850" t="inlineStr"/>
      <c r="F35" s="850" t="inlineStr"/>
      <c r="G35" s="850" t="inlineStr"/>
      <c r="H35" s="850" t="inlineStr"/>
      <c r="I35" s="850" t="inlineStr"/>
      <c r="J35" s="850" t="inlineStr"/>
      <c r="K35" s="850" t="inlineStr"/>
      <c r="L35" s="850" t="inlineStr"/>
      <c r="M35" s="777" t="inlineStr"/>
    </row>
    <row r="36" ht="14.5" customHeight="1">
      <c r="A36" s="768" t="inlineStr">
        <is>
          <t>Winners</t>
        </is>
      </c>
      <c r="B36" s="859" t="inlineStr"/>
      <c r="C36" s="859" t="inlineStr"/>
      <c r="D36" s="859" t="inlineStr"/>
      <c r="E36" s="859" t="inlineStr"/>
      <c r="F36" s="859" t="inlineStr"/>
      <c r="G36" s="859" t="inlineStr"/>
      <c r="H36" s="859" t="inlineStr"/>
      <c r="I36" s="859" t="inlineStr"/>
      <c r="J36" s="859" t="inlineStr"/>
      <c r="K36" s="859" t="inlineStr"/>
      <c r="L36" s="859" t="inlineStr"/>
      <c r="M36" s="786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854" t="inlineStr"/>
      <c r="E37" s="854" t="inlineStr"/>
      <c r="F37" s="854" t="inlineStr"/>
      <c r="G37" s="854" t="inlineStr"/>
      <c r="H37" s="854" t="inlineStr"/>
      <c r="I37" s="854" t="inlineStr"/>
      <c r="J37" s="854" t="inlineStr"/>
      <c r="K37" s="854" t="inlineStr"/>
      <c r="L37" s="854" t="inlineStr"/>
      <c r="M37" s="757" t="inlineStr"/>
    </row>
    <row r="38" ht="14.5" customHeight="1">
      <c r="A38" s="745" t="inlineStr">
        <is>
          <t>Avg target %</t>
        </is>
      </c>
      <c r="B38" s="593" t="inlineStr"/>
      <c r="C38" s="593" t="inlineStr"/>
      <c r="D38" s="593" t="inlineStr"/>
      <c r="E38" s="593" t="inlineStr"/>
      <c r="F38" s="593" t="inlineStr"/>
      <c r="G38" s="593" t="inlineStr"/>
      <c r="H38" s="593" t="inlineStr"/>
      <c r="I38" s="593" t="inlineStr"/>
      <c r="J38" s="593" t="inlineStr"/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854" t="inlineStr"/>
      <c r="C39" s="854" t="inlineStr"/>
      <c r="D39" s="854" t="inlineStr"/>
      <c r="E39" s="854" t="inlineStr"/>
      <c r="F39" s="854" t="inlineStr"/>
      <c r="G39" s="854" t="inlineStr"/>
      <c r="H39" s="854" t="inlineStr"/>
      <c r="I39" s="854" t="inlineStr"/>
      <c r="J39" s="854" t="inlineStr"/>
      <c r="K39" s="854" t="inlineStr"/>
      <c r="L39" s="854" t="inlineStr"/>
      <c r="M39" s="757" t="inlineStr"/>
    </row>
    <row r="40" ht="14.5" customHeight="1">
      <c r="A40" s="745" t="inlineStr">
        <is>
          <t>R expectancy</t>
        </is>
      </c>
      <c r="B40" s="855" t="inlineStr"/>
      <c r="C40" s="855" t="inlineStr"/>
      <c r="D40" s="855" t="inlineStr"/>
      <c r="E40" s="855" t="inlineStr"/>
      <c r="F40" s="855" t="inlineStr"/>
      <c r="G40" s="855" t="inlineStr"/>
      <c r="H40" s="855" t="inlineStr"/>
      <c r="I40" s="855" t="inlineStr"/>
      <c r="J40" s="855" t="inlineStr"/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813" t="inlineStr"/>
      <c r="C41" s="813" t="inlineStr"/>
      <c r="D41" s="813" t="inlineStr"/>
      <c r="E41" s="813" t="inlineStr"/>
      <c r="F41" s="813" t="inlineStr"/>
      <c r="G41" s="813" t="inlineStr"/>
      <c r="H41" s="813" t="inlineStr"/>
      <c r="I41" s="813" t="inlineStr"/>
      <c r="J41" s="813" t="inlineStr"/>
      <c r="K41" s="813" t="inlineStr"/>
      <c r="L41" s="813" t="inlineStr"/>
      <c r="M41" s="776" t="inlineStr"/>
    </row>
    <row r="42" ht="14.5" customHeight="1">
      <c r="A42" s="745" t="inlineStr">
        <is>
          <t>Winners avg duration</t>
        </is>
      </c>
      <c r="B42" s="813" t="inlineStr"/>
      <c r="C42" s="813" t="inlineStr"/>
      <c r="D42" s="813" t="inlineStr"/>
      <c r="E42" s="771" t="inlineStr"/>
      <c r="F42" s="771" t="inlineStr"/>
      <c r="G42" s="813" t="inlineStr"/>
      <c r="H42" s="813" t="inlineStr"/>
      <c r="I42" s="813" t="inlineStr"/>
      <c r="J42" s="813" t="inlineStr"/>
      <c r="K42" s="813" t="inlineStr"/>
      <c r="L42" s="813" t="inlineStr"/>
      <c r="M42" s="776" t="inlineStr"/>
    </row>
    <row r="43" ht="14.5" customHeight="1">
      <c r="A43" s="764" t="inlineStr">
        <is>
          <t>Winners max duration</t>
        </is>
      </c>
      <c r="B43" s="850" t="inlineStr"/>
      <c r="C43" s="850" t="inlineStr"/>
      <c r="D43" s="850" t="inlineStr"/>
      <c r="E43" s="772" t="inlineStr"/>
      <c r="F43" s="772" t="inlineStr"/>
      <c r="G43" s="850" t="inlineStr"/>
      <c r="H43" s="850" t="inlineStr"/>
      <c r="I43" s="850" t="inlineStr"/>
      <c r="J43" s="850" t="inlineStr"/>
      <c r="K43" s="850" t="inlineStr"/>
      <c r="L43" s="850" t="inlineStr"/>
      <c r="M43" s="777" t="inlineStr"/>
    </row>
    <row r="44" ht="14.5" customHeight="1">
      <c r="A44" s="768" t="inlineStr">
        <is>
          <t>Losers</t>
        </is>
      </c>
      <c r="B44" s="812" t="inlineStr"/>
      <c r="C44" s="812" t="inlineStr"/>
      <c r="D44" s="812" t="inlineStr"/>
      <c r="E44" s="774" t="inlineStr"/>
      <c r="F44" s="774" t="inlineStr"/>
      <c r="G44" s="812" t="inlineStr"/>
      <c r="H44" s="812" t="inlineStr"/>
      <c r="I44" s="812" t="inlineStr"/>
      <c r="J44" s="812" t="inlineStr"/>
      <c r="K44" s="812" t="inlineStr"/>
      <c r="L44" s="812" t="inlineStr"/>
      <c r="M44" s="775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854" t="inlineStr"/>
      <c r="E45" s="753" t="inlineStr"/>
      <c r="F45" s="753" t="inlineStr"/>
      <c r="G45" s="854" t="inlineStr"/>
      <c r="H45" s="854" t="inlineStr"/>
      <c r="I45" s="854" t="inlineStr"/>
      <c r="J45" s="854" t="inlineStr"/>
      <c r="K45" s="854" t="inlineStr"/>
      <c r="L45" s="854" t="inlineStr"/>
      <c r="M45" s="757" t="inlineStr"/>
    </row>
    <row r="46" ht="14.5" customHeight="1">
      <c r="A46" s="745" t="inlineStr">
        <is>
          <t>Avg target %</t>
        </is>
      </c>
      <c r="B46" s="791" t="inlineStr"/>
      <c r="C46" s="791" t="inlineStr"/>
      <c r="D46" s="791" t="inlineStr"/>
      <c r="E46" s="791" t="inlineStr"/>
      <c r="F46" s="791" t="inlineStr"/>
      <c r="G46" s="791" t="inlineStr"/>
      <c r="H46" s="791" t="inlineStr"/>
      <c r="I46" s="791" t="inlineStr"/>
      <c r="J46" s="791" t="inlineStr"/>
      <c r="K46" s="791" t="inlineStr"/>
      <c r="L46" s="791" t="inlineStr"/>
      <c r="M46" s="792" t="inlineStr"/>
    </row>
    <row r="47" ht="14.5" customHeight="1">
      <c r="A47" s="745" t="inlineStr">
        <is>
          <t>Percentage expectancy</t>
        </is>
      </c>
      <c r="B47" s="854" t="inlineStr"/>
      <c r="C47" s="854" t="inlineStr"/>
      <c r="D47" s="854" t="inlineStr"/>
      <c r="E47" s="854" t="inlineStr"/>
      <c r="F47" s="854" t="inlineStr"/>
      <c r="G47" s="854" t="inlineStr"/>
      <c r="H47" s="854" t="inlineStr"/>
      <c r="I47" s="854" t="inlineStr"/>
      <c r="J47" s="854" t="inlineStr"/>
      <c r="K47" s="854" t="inlineStr"/>
      <c r="L47" s="854" t="inlineStr"/>
      <c r="M47" s="757" t="inlineStr"/>
    </row>
    <row r="48" ht="14.5" customHeight="1">
      <c r="A48" s="745" t="inlineStr">
        <is>
          <t>R expectancy</t>
        </is>
      </c>
      <c r="B48" s="781" t="inlineStr"/>
      <c r="C48" s="781" t="inlineStr"/>
      <c r="D48" s="781" t="inlineStr"/>
      <c r="E48" s="781" t="inlineStr"/>
      <c r="F48" s="781" t="inlineStr"/>
      <c r="G48" s="781" t="inlineStr"/>
      <c r="H48" s="781" t="inlineStr"/>
      <c r="I48" s="781" t="inlineStr"/>
      <c r="J48" s="781" t="inlineStr"/>
      <c r="K48" s="781" t="inlineStr"/>
      <c r="L48" s="781" t="inlineStr"/>
      <c r="M48" s="782" t="inlineStr"/>
    </row>
    <row r="49" ht="14.5" customHeight="1">
      <c r="A49" s="745" t="inlineStr">
        <is>
          <t>Losers min duration</t>
        </is>
      </c>
      <c r="B49" s="861" t="inlineStr"/>
      <c r="C49" s="861" t="inlineStr"/>
      <c r="D49" s="861" t="inlineStr"/>
      <c r="E49" s="861" t="inlineStr"/>
      <c r="F49" s="861" t="inlineStr"/>
      <c r="G49" s="861" t="inlineStr"/>
      <c r="H49" s="861" t="inlineStr"/>
      <c r="I49" s="861" t="inlineStr"/>
      <c r="J49" s="861" t="inlineStr"/>
      <c r="K49" s="861" t="inlineStr"/>
      <c r="L49" s="861" t="inlineStr"/>
      <c r="M49" s="594" t="inlineStr"/>
    </row>
    <row r="50" ht="14.5" customHeight="1">
      <c r="A50" s="745" t="inlineStr">
        <is>
          <t>Losers avg duration</t>
        </is>
      </c>
      <c r="B50" s="861" t="inlineStr"/>
      <c r="C50" s="861" t="inlineStr"/>
      <c r="D50" s="861" t="inlineStr"/>
      <c r="E50" s="861" t="inlineStr"/>
      <c r="F50" s="861" t="inlineStr"/>
      <c r="G50" s="861" t="inlineStr"/>
      <c r="H50" s="861" t="inlineStr"/>
      <c r="I50" s="861" t="inlineStr"/>
      <c r="J50" s="861" t="inlineStr"/>
      <c r="K50" s="861" t="inlineStr"/>
      <c r="L50" s="861" t="inlineStr"/>
      <c r="M50" s="594" t="inlineStr"/>
    </row>
    <row r="51" ht="14.5" customHeight="1">
      <c r="A51" s="764" t="inlineStr">
        <is>
          <t>Losers max duration</t>
        </is>
      </c>
      <c r="B51" s="850" t="inlineStr"/>
      <c r="C51" s="850" t="inlineStr"/>
      <c r="D51" s="850" t="inlineStr"/>
      <c r="E51" s="850" t="inlineStr"/>
      <c r="F51" s="850" t="inlineStr"/>
      <c r="G51" s="850" t="inlineStr"/>
      <c r="H51" s="850" t="inlineStr"/>
      <c r="I51" s="850" t="inlineStr"/>
      <c r="J51" s="850" t="inlineStr"/>
      <c r="K51" s="850" t="inlineStr"/>
      <c r="L51" s="850" t="inlineStr"/>
      <c r="M51" s="777" t="inlineStr"/>
    </row>
    <row r="52" ht="14.5" customHeight="1">
      <c r="A52" s="768" t="inlineStr">
        <is>
          <t>Drawdown</t>
        </is>
      </c>
      <c r="B52" s="812" t="inlineStr"/>
      <c r="C52" s="812" t="inlineStr"/>
      <c r="D52" s="812" t="inlineStr"/>
      <c r="E52" s="812" t="inlineStr"/>
      <c r="F52" s="812" t="inlineStr"/>
      <c r="G52" s="812" t="inlineStr"/>
      <c r="H52" s="812" t="inlineStr"/>
      <c r="I52" s="812" t="inlineStr"/>
      <c r="J52" s="812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854" t="inlineStr"/>
      <c r="E53" s="854" t="inlineStr"/>
      <c r="F53" s="854" t="inlineStr"/>
      <c r="G53" s="854" t="inlineStr"/>
      <c r="H53" s="854" t="inlineStr"/>
      <c r="I53" s="854" t="inlineStr"/>
      <c r="J53" s="854" t="inlineStr"/>
      <c r="K53" s="854" t="inlineStr"/>
      <c r="L53" s="854" t="inlineStr"/>
      <c r="M53" s="757" t="inlineStr"/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/>
      <c r="F54" s="793" t="inlineStr"/>
      <c r="G54" s="793" t="inlineStr"/>
      <c r="H54" s="793" t="inlineStr"/>
      <c r="I54" s="793" t="inlineStr"/>
      <c r="J54" s="793" t="inlineStr"/>
      <c r="K54" s="793" t="inlineStr"/>
      <c r="L54" s="793" t="inlineStr"/>
      <c r="M54" s="794" t="inlineStr"/>
    </row>
    <row r="55" ht="14.5" customHeight="1">
      <c r="A55" s="748" t="inlineStr">
        <is>
          <t>End</t>
        </is>
      </c>
      <c r="B55" s="813" t="inlineStr"/>
      <c r="C55" s="813" t="inlineStr"/>
      <c r="D55" s="813" t="inlineStr"/>
      <c r="E55" s="813" t="inlineStr"/>
      <c r="F55" s="813" t="inlineStr"/>
      <c r="G55" s="813" t="inlineStr"/>
      <c r="H55" s="813" t="inlineStr"/>
      <c r="I55" s="813" t="inlineStr"/>
      <c r="J55" s="813" t="inlineStr"/>
      <c r="K55" s="813" t="inlineStr"/>
      <c r="L55" s="813" t="inlineStr"/>
      <c r="M55" s="776" t="inlineStr"/>
    </row>
    <row r="56" ht="14.5" customHeight="1">
      <c r="A56" s="745" t="inlineStr">
        <is>
          <t>Avg drawdown</t>
        </is>
      </c>
      <c r="B56" s="854" t="inlineStr"/>
      <c r="C56" s="854" t="inlineStr"/>
      <c r="D56" s="854" t="inlineStr"/>
      <c r="E56" s="854" t="inlineStr"/>
      <c r="F56" s="854" t="inlineStr"/>
      <c r="G56" s="854" t="inlineStr"/>
      <c r="H56" s="854" t="inlineStr"/>
      <c r="I56" s="854" t="inlineStr"/>
      <c r="J56" s="854" t="inlineStr"/>
      <c r="K56" s="854" t="inlineStr"/>
      <c r="L56" s="854" t="inlineStr"/>
      <c r="M56" s="757" t="inlineStr"/>
    </row>
    <row r="57" ht="14.5" customHeight="1">
      <c r="A57" s="745" t="inlineStr">
        <is>
          <t>Min drawdown</t>
        </is>
      </c>
      <c r="B57" s="593" t="inlineStr"/>
      <c r="C57" s="593" t="inlineStr"/>
      <c r="D57" s="593" t="inlineStr"/>
      <c r="E57" s="593" t="inlineStr"/>
      <c r="F57" s="593" t="inlineStr"/>
      <c r="G57" s="593" t="inlineStr"/>
      <c r="H57" s="593" t="inlineStr"/>
      <c r="I57" s="593" t="inlineStr"/>
      <c r="J57" s="593" t="inlineStr"/>
      <c r="K57" s="593" t="inlineStr"/>
      <c r="L57" s="593" t="inlineStr"/>
      <c r="M57" s="758" t="inlineStr"/>
    </row>
    <row r="58" ht="14.5" customHeight="1">
      <c r="A58" s="748" t="inlineStr">
        <is>
          <t>Start</t>
        </is>
      </c>
      <c r="B58" s="861" t="inlineStr"/>
      <c r="C58" s="861" t="inlineStr"/>
      <c r="D58" s="861" t="inlineStr"/>
      <c r="E58" s="861" t="inlineStr"/>
      <c r="F58" s="861" t="inlineStr"/>
      <c r="G58" s="861" t="inlineStr"/>
      <c r="H58" s="861" t="inlineStr"/>
      <c r="I58" s="861" t="inlineStr"/>
      <c r="J58" s="861" t="inlineStr"/>
      <c r="K58" s="861" t="inlineStr"/>
      <c r="L58" s="861" t="inlineStr"/>
      <c r="M58" s="594" t="inlineStr"/>
    </row>
    <row r="59" ht="14.5" customHeight="1">
      <c r="A59" s="795" t="inlineStr">
        <is>
          <t>End</t>
        </is>
      </c>
      <c r="B59" s="850" t="inlineStr"/>
      <c r="C59" s="850" t="inlineStr"/>
      <c r="D59" s="850" t="inlineStr"/>
      <c r="E59" s="850" t="inlineStr"/>
      <c r="F59" s="850" t="inlineStr"/>
      <c r="G59" s="850" t="inlineStr"/>
      <c r="H59" s="850" t="inlineStr"/>
      <c r="I59" s="850" t="inlineStr"/>
      <c r="J59" s="850" t="inlineStr"/>
      <c r="K59" s="850" t="inlineStr"/>
      <c r="L59" s="850" t="inlineStr"/>
      <c r="M59" s="777" t="inlineStr"/>
    </row>
    <row r="60" ht="14.5" customHeight="1">
      <c r="A60" s="768" t="inlineStr">
        <is>
          <t>Longs</t>
        </is>
      </c>
      <c r="B60" s="862" t="n">
        <v>0</v>
      </c>
      <c r="C60" s="862" t="inlineStr"/>
      <c r="D60" s="862" t="n">
        <v>0</v>
      </c>
      <c r="E60" s="862" t="n">
        <v>0</v>
      </c>
      <c r="F60" s="862" t="n">
        <v>0</v>
      </c>
      <c r="G60" s="862" t="n">
        <v>0</v>
      </c>
      <c r="H60" s="862" t="n">
        <v>0</v>
      </c>
      <c r="I60" s="862" t="n">
        <v>0</v>
      </c>
      <c r="J60" s="862" t="inlineStr"/>
      <c r="K60" s="862" t="inlineStr"/>
      <c r="L60" s="862" t="inlineStr"/>
      <c r="M60" s="797" t="inlineStr"/>
    </row>
    <row r="61" ht="14.5" customHeight="1">
      <c r="A61" s="748" t="inlineStr">
        <is>
          <t>Long wins</t>
        </is>
      </c>
      <c r="B61" s="878" t="n">
        <v>0</v>
      </c>
      <c r="C61" s="852" t="inlineStr"/>
      <c r="D61" s="878" t="n">
        <v>0</v>
      </c>
      <c r="E61" s="878" t="n">
        <v>0</v>
      </c>
      <c r="F61" s="878" t="n">
        <v>0</v>
      </c>
      <c r="G61" s="878" t="n">
        <v>0</v>
      </c>
      <c r="H61" s="878" t="n">
        <v>0</v>
      </c>
      <c r="I61" s="878" t="n">
        <v>0</v>
      </c>
      <c r="J61" s="852" t="inlineStr"/>
      <c r="K61" s="852" t="inlineStr"/>
      <c r="L61" s="852" t="inlineStr"/>
      <c r="M61" s="816" t="inlineStr"/>
    </row>
    <row r="62" ht="14.5" customHeight="1">
      <c r="A62" s="748" t="inlineStr">
        <is>
          <t>Long losses</t>
        </is>
      </c>
      <c r="B62" s="799" t="n">
        <v>0</v>
      </c>
      <c r="C62" s="863" t="inlineStr"/>
      <c r="D62" s="799" t="n">
        <v>0</v>
      </c>
      <c r="E62" s="799" t="n">
        <v>0</v>
      </c>
      <c r="F62" s="799" t="n">
        <v>0</v>
      </c>
      <c r="G62" s="799" t="n">
        <v>0</v>
      </c>
      <c r="H62" s="799" t="n">
        <v>0</v>
      </c>
      <c r="I62" s="799" t="n">
        <v>0</v>
      </c>
      <c r="J62" s="863" t="inlineStr"/>
      <c r="K62" s="863" t="inlineStr"/>
      <c r="L62" s="863" t="inlineStr"/>
      <c r="M62" s="876" t="inlineStr"/>
    </row>
    <row r="63" ht="14.5" customHeight="1">
      <c r="A63" s="745" t="inlineStr">
        <is>
          <t>Long break-even</t>
        </is>
      </c>
      <c r="B63" s="853" t="n">
        <v>0</v>
      </c>
      <c r="C63" s="853" t="inlineStr"/>
      <c r="D63" s="853" t="n">
        <v>0</v>
      </c>
      <c r="E63" s="801" t="n">
        <v>0</v>
      </c>
      <c r="F63" s="801" t="n">
        <v>0</v>
      </c>
      <c r="G63" s="853" t="n">
        <v>0</v>
      </c>
      <c r="H63" s="853" t="n">
        <v>0</v>
      </c>
      <c r="I63" s="853" t="n">
        <v>0</v>
      </c>
      <c r="J63" s="853" t="inlineStr"/>
      <c r="K63" s="853" t="inlineStr"/>
      <c r="L63" s="853" t="inlineStr"/>
      <c r="M63" s="856" t="inlineStr"/>
    </row>
    <row r="64" ht="14.5" customHeight="1">
      <c r="A64" s="745" t="inlineStr">
        <is>
          <t>Shorts</t>
        </is>
      </c>
      <c r="B64" s="852" t="n">
        <v>0</v>
      </c>
      <c r="C64" s="852" t="inlineStr"/>
      <c r="D64" s="852" t="n">
        <v>0</v>
      </c>
      <c r="E64" s="746" t="n">
        <v>0</v>
      </c>
      <c r="F64" s="746" t="n">
        <v>0</v>
      </c>
      <c r="G64" s="852" t="n">
        <v>0</v>
      </c>
      <c r="H64" s="852" t="n">
        <v>0</v>
      </c>
      <c r="I64" s="852" t="n">
        <v>0</v>
      </c>
      <c r="J64" s="852" t="inlineStr"/>
      <c r="K64" s="852" t="inlineStr"/>
      <c r="L64" s="852" t="inlineStr"/>
      <c r="M64" s="816" t="inlineStr"/>
    </row>
    <row r="65" ht="14.5" customHeight="1">
      <c r="A65" s="748" t="inlineStr">
        <is>
          <t>Short wins</t>
        </is>
      </c>
      <c r="B65" s="878" t="n">
        <v>0</v>
      </c>
      <c r="C65" s="852" t="inlineStr"/>
      <c r="D65" s="878" t="n">
        <v>0</v>
      </c>
      <c r="E65" s="749" t="n">
        <v>0</v>
      </c>
      <c r="F65" s="749" t="n">
        <v>0</v>
      </c>
      <c r="G65" s="878" t="n">
        <v>0</v>
      </c>
      <c r="H65" s="878" t="n">
        <v>0</v>
      </c>
      <c r="I65" s="878" t="n">
        <v>0</v>
      </c>
      <c r="J65" s="852" t="inlineStr"/>
      <c r="K65" s="852" t="inlineStr"/>
      <c r="L65" s="852" t="inlineStr"/>
      <c r="M65" s="816" t="inlineStr"/>
    </row>
    <row r="66" ht="14.5" customHeight="1">
      <c r="A66" s="748" t="inlineStr">
        <is>
          <t>Short losses</t>
        </is>
      </c>
      <c r="B66" s="879" t="n">
        <v>0</v>
      </c>
      <c r="C66" s="853" t="inlineStr"/>
      <c r="D66" s="879" t="n">
        <v>0</v>
      </c>
      <c r="E66" s="751" t="n">
        <v>0</v>
      </c>
      <c r="F66" s="751" t="n">
        <v>0</v>
      </c>
      <c r="G66" s="879" t="n">
        <v>0</v>
      </c>
      <c r="H66" s="879" t="n">
        <v>0</v>
      </c>
      <c r="I66" s="879" t="n">
        <v>0</v>
      </c>
      <c r="J66" s="853" t="inlineStr"/>
      <c r="K66" s="853" t="inlineStr"/>
      <c r="L66" s="853" t="inlineStr"/>
      <c r="M66" s="856" t="inlineStr"/>
    </row>
    <row r="67" ht="14.5" customHeight="1">
      <c r="A67" s="764" t="inlineStr">
        <is>
          <t>Short break-even</t>
        </is>
      </c>
      <c r="B67" s="865" t="n">
        <v>0</v>
      </c>
      <c r="C67" s="865" t="inlineStr"/>
      <c r="D67" s="865" t="n">
        <v>0</v>
      </c>
      <c r="E67" s="802" t="n">
        <v>0</v>
      </c>
      <c r="F67" s="802" t="n">
        <v>0</v>
      </c>
      <c r="G67" s="865" t="n">
        <v>0</v>
      </c>
      <c r="H67" s="865" t="n">
        <v>0</v>
      </c>
      <c r="I67" s="865" t="n">
        <v>0</v>
      </c>
      <c r="J67" s="865" t="inlineStr"/>
      <c r="K67" s="865" t="inlineStr"/>
      <c r="L67" s="865" t="inlineStr"/>
      <c r="M67" s="817" t="inlineStr"/>
    </row>
    <row r="68" ht="14.5" customHeight="1">
      <c r="A68" s="768" t="inlineStr">
        <is>
          <t>Min duration</t>
        </is>
      </c>
      <c r="B68" s="812" t="inlineStr"/>
      <c r="C68" s="812" t="inlineStr"/>
      <c r="D68" s="812" t="inlineStr"/>
      <c r="E68" s="774" t="inlineStr"/>
      <c r="F68" s="774" t="inlineStr"/>
      <c r="G68" s="812" t="inlineStr"/>
      <c r="H68" s="812" t="inlineStr"/>
      <c r="I68" s="812" t="inlineStr"/>
      <c r="J68" s="812" t="inlineStr"/>
      <c r="K68" s="812" t="inlineStr"/>
      <c r="L68" s="812" t="inlineStr"/>
      <c r="M68" s="775" t="inlineStr"/>
    </row>
    <row r="69" ht="14.5" customHeight="1">
      <c r="A69" s="745" t="inlineStr">
        <is>
          <t>Max duration</t>
        </is>
      </c>
      <c r="B69" s="813" t="inlineStr"/>
      <c r="C69" s="813" t="inlineStr"/>
      <c r="D69" s="813" t="inlineStr"/>
      <c r="E69" s="771" t="inlineStr"/>
      <c r="F69" s="771" t="inlineStr"/>
      <c r="G69" s="813" t="inlineStr"/>
      <c r="H69" s="813" t="inlineStr"/>
      <c r="I69" s="813" t="inlineStr"/>
      <c r="J69" s="813" t="inlineStr"/>
      <c r="K69" s="813" t="inlineStr"/>
      <c r="L69" s="813" t="inlineStr"/>
      <c r="M69" s="776" t="inlineStr"/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793" t="inlineStr"/>
      <c r="I70" s="793" t="inlineStr"/>
      <c r="J70" s="793" t="inlineStr"/>
      <c r="K70" s="793" t="inlineStr"/>
      <c r="L70" s="793" t="inlineStr"/>
      <c r="M70" s="794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861" t="inlineStr"/>
      <c r="I71" s="861" t="inlineStr"/>
      <c r="J71" s="861" t="inlineStr"/>
      <c r="K71" s="861" t="inlineStr"/>
      <c r="L71" s="861" t="inlineStr"/>
      <c r="M71" s="594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861" t="inlineStr"/>
      <c r="I72" s="861" t="inlineStr"/>
      <c r="J72" s="861" t="inlineStr"/>
      <c r="K72" s="861" t="inlineStr"/>
      <c r="L72" s="861" t="inlineStr"/>
      <c r="M72" s="594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850" t="inlineStr"/>
      <c r="I73" s="850" t="inlineStr"/>
      <c r="J73" s="850" t="inlineStr"/>
      <c r="K73" s="850" t="inlineStr"/>
      <c r="L73" s="850" t="inlineStr"/>
      <c r="M73" s="777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66" t="inlineStr"/>
      <c r="E74" s="866" t="inlineStr"/>
      <c r="F74" s="866" t="inlineStr"/>
      <c r="G74" s="866" t="inlineStr"/>
      <c r="H74" s="867" t="inlineStr"/>
      <c r="I74" s="867" t="inlineStr"/>
      <c r="J74" s="867" t="inlineStr"/>
      <c r="K74" s="867" t="inlineStr"/>
      <c r="L74" s="867" t="inlineStr"/>
      <c r="M74" s="877" t="inlineStr"/>
    </row>
    <row r="75" ht="14.5" customHeight="1">
      <c r="A75" s="745" t="inlineStr">
        <is>
          <t>Winners max stop %</t>
        </is>
      </c>
      <c r="B75" s="593" t="inlineStr"/>
      <c r="C75" s="593" t="inlineStr"/>
      <c r="D75" s="591" t="inlineStr"/>
      <c r="E75" s="591" t="inlineStr"/>
      <c r="F75" s="591" t="inlineStr"/>
      <c r="G75" s="591" t="inlineStr"/>
      <c r="H75" s="593" t="inlineStr"/>
      <c r="I75" s="593" t="inlineStr"/>
      <c r="J75" s="593" t="inlineStr"/>
      <c r="K75" s="593" t="inlineStr"/>
      <c r="L75" s="593" t="inlineStr"/>
      <c r="M75" s="758" t="inlineStr"/>
    </row>
    <row r="76" ht="14.5" customHeight="1">
      <c r="A76" s="745" t="inlineStr">
        <is>
          <t>Winners min target %</t>
        </is>
      </c>
      <c r="B76" s="593" t="inlineStr"/>
      <c r="C76" s="593" t="inlineStr"/>
      <c r="D76" s="591" t="inlineStr"/>
      <c r="E76" s="591" t="inlineStr"/>
      <c r="F76" s="591" t="inlineStr"/>
      <c r="G76" s="591" t="inlineStr"/>
      <c r="H76" s="593" t="inlineStr"/>
      <c r="I76" s="593" t="inlineStr"/>
      <c r="J76" s="593" t="inlineStr"/>
      <c r="K76" s="593" t="inlineStr"/>
      <c r="L76" s="593" t="inlineStr"/>
      <c r="M76" s="758" t="inlineStr"/>
    </row>
    <row r="77" ht="14.5" customHeight="1">
      <c r="A77" s="745" t="inlineStr">
        <is>
          <t>Winners max target %</t>
        </is>
      </c>
      <c r="B77" s="854" t="inlineStr"/>
      <c r="C77" s="854" t="inlineStr"/>
      <c r="D77" s="753" t="inlineStr"/>
      <c r="E77" s="753" t="inlineStr"/>
      <c r="F77" s="753" t="inlineStr"/>
      <c r="G77" s="753" t="inlineStr"/>
      <c r="H77" s="854" t="inlineStr"/>
      <c r="I77" s="854" t="inlineStr"/>
      <c r="J77" s="854" t="inlineStr"/>
      <c r="K77" s="854" t="inlineStr"/>
      <c r="L77" s="854" t="inlineStr"/>
      <c r="M77" s="757" t="inlineStr"/>
    </row>
    <row r="78" ht="14.5" customHeight="1">
      <c r="A78" s="745" t="inlineStr">
        <is>
          <t>Winners min result %</t>
        </is>
      </c>
      <c r="B78" s="854" t="inlineStr"/>
      <c r="C78" s="854" t="inlineStr"/>
      <c r="D78" s="854" t="inlineStr"/>
      <c r="E78" s="753" t="inlineStr"/>
      <c r="F78" s="753" t="inlineStr"/>
      <c r="G78" s="854" t="inlineStr"/>
      <c r="H78" s="854" t="inlineStr"/>
      <c r="I78" s="854" t="inlineStr"/>
      <c r="J78" s="854" t="inlineStr"/>
      <c r="K78" s="854" t="inlineStr"/>
      <c r="L78" s="854" t="inlineStr"/>
      <c r="M78" s="757" t="inlineStr"/>
    </row>
    <row r="79" ht="14.5" customHeight="1">
      <c r="A79" s="745" t="inlineStr">
        <is>
          <t>Winners max result %</t>
        </is>
      </c>
      <c r="B79" s="854" t="inlineStr"/>
      <c r="C79" s="854" t="inlineStr"/>
      <c r="D79" s="854" t="inlineStr"/>
      <c r="E79" s="753" t="inlineStr"/>
      <c r="F79" s="753" t="inlineStr"/>
      <c r="G79" s="854" t="inlineStr"/>
      <c r="H79" s="854" t="inlineStr"/>
      <c r="I79" s="854" t="inlineStr"/>
      <c r="J79" s="854" t="inlineStr"/>
      <c r="K79" s="854" t="inlineStr"/>
      <c r="L79" s="854" t="inlineStr"/>
      <c r="M79" s="757" t="inlineStr"/>
    </row>
    <row r="80" ht="14.5" customHeight="1">
      <c r="A80" s="745" t="inlineStr">
        <is>
          <t>Winners min R</t>
        </is>
      </c>
      <c r="B80" s="781" t="inlineStr"/>
      <c r="C80" s="781" t="inlineStr"/>
      <c r="D80" s="781" t="inlineStr"/>
      <c r="E80" s="781" t="inlineStr"/>
      <c r="F80" s="781" t="inlineStr"/>
      <c r="G80" s="781" t="inlineStr"/>
      <c r="H80" s="781" t="inlineStr"/>
      <c r="I80" s="781" t="inlineStr"/>
      <c r="J80" s="781" t="inlineStr"/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784" t="inlineStr"/>
      <c r="C81" s="784" t="inlineStr"/>
      <c r="D81" s="784" t="inlineStr"/>
      <c r="E81" s="784" t="inlineStr"/>
      <c r="F81" s="784" t="inlineStr"/>
      <c r="G81" s="784" t="inlineStr"/>
      <c r="H81" s="784" t="inlineStr"/>
      <c r="I81" s="784" t="inlineStr"/>
      <c r="J81" s="784" t="inlineStr"/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57" t="inlineStr"/>
      <c r="C82" s="857" t="inlineStr"/>
      <c r="D82" s="857" t="inlineStr"/>
      <c r="E82" s="857" t="inlineStr"/>
      <c r="F82" s="857" t="inlineStr"/>
      <c r="G82" s="857" t="inlineStr"/>
      <c r="H82" s="857" t="inlineStr"/>
      <c r="I82" s="857" t="inlineStr"/>
      <c r="J82" s="857" t="inlineStr"/>
      <c r="K82" s="857" t="inlineStr"/>
      <c r="L82" s="857" t="inlineStr"/>
      <c r="M82" s="770" t="inlineStr"/>
    </row>
    <row r="83" ht="14.5" customHeight="1">
      <c r="A83" s="745" t="inlineStr">
        <is>
          <t>Losers max stop %</t>
        </is>
      </c>
      <c r="B83" s="854" t="inlineStr"/>
      <c r="C83" s="854" t="inlineStr"/>
      <c r="D83" s="854" t="inlineStr"/>
      <c r="E83" s="854" t="inlineStr"/>
      <c r="F83" s="854" t="inlineStr"/>
      <c r="G83" s="854" t="inlineStr"/>
      <c r="H83" s="854" t="inlineStr"/>
      <c r="I83" s="854" t="inlineStr"/>
      <c r="J83" s="854" t="inlineStr"/>
      <c r="K83" s="854" t="inlineStr"/>
      <c r="L83" s="854" t="inlineStr"/>
      <c r="M83" s="757" t="inlineStr"/>
    </row>
    <row r="84" ht="14.5" customHeight="1">
      <c r="A84" s="745" t="inlineStr">
        <is>
          <t>Losers min target %</t>
        </is>
      </c>
      <c r="B84" s="854" t="inlineStr"/>
      <c r="C84" s="854" t="inlineStr"/>
      <c r="D84" s="854" t="inlineStr"/>
      <c r="E84" s="854" t="inlineStr"/>
      <c r="F84" s="854" t="inlineStr"/>
      <c r="G84" s="854" t="inlineStr"/>
      <c r="H84" s="854" t="inlineStr"/>
      <c r="I84" s="854" t="inlineStr"/>
      <c r="J84" s="854" t="inlineStr"/>
      <c r="K84" s="854" t="inlineStr"/>
      <c r="L84" s="854" t="inlineStr"/>
      <c r="M84" s="757" t="inlineStr"/>
    </row>
    <row r="85" ht="14.5" customHeight="1">
      <c r="A85" s="745" t="inlineStr">
        <is>
          <t>Losers max target %</t>
        </is>
      </c>
      <c r="B85" s="854" t="inlineStr"/>
      <c r="C85" s="854" t="inlineStr"/>
      <c r="D85" s="854" t="inlineStr"/>
      <c r="E85" s="854" t="inlineStr"/>
      <c r="F85" s="854" t="inlineStr"/>
      <c r="G85" s="854" t="inlineStr"/>
      <c r="H85" s="854" t="inlineStr"/>
      <c r="I85" s="854" t="inlineStr"/>
      <c r="J85" s="854" t="inlineStr"/>
      <c r="K85" s="854" t="inlineStr"/>
      <c r="L85" s="854" t="inlineStr"/>
      <c r="M85" s="757" t="inlineStr"/>
    </row>
    <row r="86" ht="14.5" customHeight="1">
      <c r="A86" s="745" t="inlineStr">
        <is>
          <t>Losers min result %</t>
        </is>
      </c>
      <c r="B86" s="854" t="inlineStr"/>
      <c r="C86" s="854" t="inlineStr"/>
      <c r="D86" s="854" t="inlineStr"/>
      <c r="E86" s="854" t="inlineStr"/>
      <c r="F86" s="854" t="inlineStr"/>
      <c r="G86" s="854" t="inlineStr"/>
      <c r="H86" s="854" t="inlineStr"/>
      <c r="I86" s="854" t="inlineStr"/>
      <c r="J86" s="854" t="inlineStr"/>
      <c r="K86" s="854" t="inlineStr"/>
      <c r="L86" s="854" t="inlineStr"/>
      <c r="M86" s="757" t="inlineStr"/>
    </row>
    <row r="87" ht="14.5" customHeight="1">
      <c r="A87" s="745" t="inlineStr">
        <is>
          <t>Losers max result %</t>
        </is>
      </c>
      <c r="B87" s="854" t="inlineStr"/>
      <c r="C87" s="854" t="inlineStr"/>
      <c r="D87" s="854" t="inlineStr"/>
      <c r="E87" s="854" t="inlineStr"/>
      <c r="F87" s="854" t="inlineStr"/>
      <c r="G87" s="854" t="inlineStr"/>
      <c r="H87" s="854" t="inlineStr"/>
      <c r="I87" s="854" t="inlineStr"/>
      <c r="J87" s="854" t="inlineStr"/>
      <c r="K87" s="854" t="inlineStr"/>
      <c r="L87" s="854" t="inlineStr"/>
      <c r="M87" s="757" t="inlineStr"/>
    </row>
    <row r="88" ht="14.5" customHeight="1">
      <c r="A88" s="745" t="inlineStr">
        <is>
          <t>Losers min R</t>
        </is>
      </c>
      <c r="B88" s="781" t="inlineStr"/>
      <c r="C88" s="781" t="inlineStr"/>
      <c r="D88" s="781" t="inlineStr"/>
      <c r="E88" s="781" t="inlineStr"/>
      <c r="F88" s="781" t="inlineStr"/>
      <c r="G88" s="781" t="inlineStr"/>
      <c r="H88" s="781" t="inlineStr"/>
      <c r="I88" s="781" t="inlineStr"/>
      <c r="J88" s="781" t="inlineStr"/>
      <c r="K88" s="781" t="inlineStr"/>
      <c r="L88" s="781" t="inlineStr"/>
      <c r="M88" s="782" t="inlineStr"/>
    </row>
    <row r="89" ht="14.5" customHeight="1">
      <c r="A89" s="764" t="inlineStr">
        <is>
          <t>Losers max R</t>
        </is>
      </c>
      <c r="B89" s="784" t="inlineStr"/>
      <c r="C89" s="784" t="inlineStr"/>
      <c r="D89" s="784" t="inlineStr"/>
      <c r="E89" s="784" t="inlineStr"/>
      <c r="F89" s="784" t="inlineStr"/>
      <c r="G89" s="784" t="inlineStr"/>
      <c r="H89" s="784" t="inlineStr"/>
      <c r="I89" s="784" t="inlineStr"/>
      <c r="J89" s="784" t="inlineStr"/>
      <c r="K89" s="784" t="inlineStr"/>
      <c r="L89" s="784" t="inlineStr"/>
      <c r="M89" s="767" t="inlineStr"/>
    </row>
    <row r="90" ht="14.5" customHeight="1">
      <c r="A90" s="768" t="inlineStr">
        <is>
          <t>Patterns</t>
        </is>
      </c>
      <c r="B90" s="812" t="inlineStr"/>
      <c r="C90" s="812" t="inlineStr"/>
      <c r="D90" s="812" t="inlineStr"/>
      <c r="E90" s="812" t="inlineStr"/>
      <c r="F90" s="812" t="inlineStr"/>
      <c r="G90" s="812" t="inlineStr"/>
      <c r="H90" s="812" t="inlineStr"/>
      <c r="I90" s="812" t="inlineStr"/>
      <c r="J90" s="812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813" t="inlineStr"/>
      <c r="E91" s="813" t="inlineStr"/>
      <c r="F91" s="813" t="inlineStr"/>
      <c r="G91" s="813" t="inlineStr"/>
      <c r="H91" s="813" t="inlineStr"/>
      <c r="I91" s="813" t="inlineStr"/>
      <c r="J91" s="813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861" t="inlineStr"/>
      <c r="C92" s="861" t="inlineStr"/>
      <c r="D92" s="861" t="inlineStr"/>
      <c r="E92" s="861" t="inlineStr"/>
      <c r="F92" s="861" t="inlineStr"/>
      <c r="G92" s="861" t="inlineStr"/>
      <c r="H92" s="861" t="inlineStr"/>
      <c r="I92" s="861" t="inlineStr"/>
      <c r="J92" s="861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861" t="inlineStr"/>
      <c r="D93" s="861" t="inlineStr"/>
      <c r="E93" s="861" t="inlineStr"/>
      <c r="F93" s="861" t="inlineStr"/>
      <c r="G93" s="861" t="inlineStr"/>
      <c r="H93" s="861" t="inlineStr"/>
      <c r="I93" s="861" t="inlineStr"/>
      <c r="J93" s="861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868" t="inlineStr"/>
      <c r="E94" s="868" t="inlineStr"/>
      <c r="F94" s="868" t="inlineStr"/>
      <c r="G94" s="868" t="inlineStr"/>
      <c r="H94" s="868" t="inlineStr"/>
      <c r="I94" s="868" t="inlineStr"/>
      <c r="J94" s="86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859" t="inlineStr"/>
      <c r="E95" s="859" t="inlineStr"/>
      <c r="F95" s="859" t="inlineStr"/>
      <c r="G95" s="859" t="inlineStr"/>
      <c r="H95" s="859" t="inlineStr"/>
      <c r="I95" s="859" t="inlineStr"/>
      <c r="J95" s="859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852" t="n">
        <v>0</v>
      </c>
      <c r="C96" s="852" t="inlineStr"/>
      <c r="D96" s="852" t="n">
        <v>0</v>
      </c>
      <c r="E96" s="852" t="n">
        <v>0</v>
      </c>
      <c r="F96" s="852" t="n">
        <v>0</v>
      </c>
      <c r="G96" s="852" t="n">
        <v>0</v>
      </c>
      <c r="H96" s="852" t="n">
        <v>0</v>
      </c>
      <c r="I96" s="852" t="n">
        <v>0</v>
      </c>
      <c r="J96" s="852" t="inlineStr"/>
      <c r="K96" s="852" t="inlineStr"/>
      <c r="L96" s="852" t="inlineStr"/>
      <c r="M96" s="816" t="inlineStr"/>
    </row>
    <row r="97" ht="14.5" customHeight="1">
      <c r="A97" s="745" t="inlineStr">
        <is>
          <t>5MIN</t>
        </is>
      </c>
      <c r="B97" s="852" t="n">
        <v>0</v>
      </c>
      <c r="C97" s="852" t="inlineStr"/>
      <c r="D97" s="852" t="n">
        <v>0</v>
      </c>
      <c r="E97" s="852" t="n">
        <v>0</v>
      </c>
      <c r="F97" s="852" t="n">
        <v>0</v>
      </c>
      <c r="G97" s="852" t="n">
        <v>0</v>
      </c>
      <c r="H97" s="852" t="n">
        <v>0</v>
      </c>
      <c r="I97" s="852" t="n">
        <v>0</v>
      </c>
      <c r="J97" s="852" t="inlineStr"/>
      <c r="K97" s="852" t="inlineStr"/>
      <c r="L97" s="852" t="inlineStr"/>
      <c r="M97" s="816" t="inlineStr"/>
    </row>
    <row r="98" ht="14.5" customHeight="1">
      <c r="A98" s="745" t="inlineStr">
        <is>
          <t>15MIN</t>
        </is>
      </c>
      <c r="B98" s="852" t="n">
        <v>0</v>
      </c>
      <c r="C98" s="852" t="inlineStr"/>
      <c r="D98" s="852" t="n">
        <v>0</v>
      </c>
      <c r="E98" s="852" t="n">
        <v>0</v>
      </c>
      <c r="F98" s="852" t="n">
        <v>0</v>
      </c>
      <c r="G98" s="852" t="n">
        <v>0</v>
      </c>
      <c r="H98" s="852" t="n">
        <v>0</v>
      </c>
      <c r="I98" s="852" t="n">
        <v>0</v>
      </c>
      <c r="J98" s="852" t="inlineStr"/>
      <c r="K98" s="852" t="inlineStr"/>
      <c r="L98" s="852" t="inlineStr"/>
      <c r="M98" s="816" t="inlineStr"/>
    </row>
    <row r="99" ht="14.5" customHeight="1">
      <c r="A99" s="745" t="inlineStr">
        <is>
          <t>30MIN</t>
        </is>
      </c>
      <c r="B99" s="852" t="n">
        <v>0</v>
      </c>
      <c r="C99" s="852" t="inlineStr"/>
      <c r="D99" s="852" t="n">
        <v>0</v>
      </c>
      <c r="E99" s="852" t="n">
        <v>0</v>
      </c>
      <c r="F99" s="852" t="n">
        <v>0</v>
      </c>
      <c r="G99" s="852" t="n">
        <v>0</v>
      </c>
      <c r="H99" s="852" t="n">
        <v>0</v>
      </c>
      <c r="I99" s="852" t="n">
        <v>0</v>
      </c>
      <c r="J99" s="852" t="inlineStr"/>
      <c r="K99" s="852" t="inlineStr"/>
      <c r="L99" s="852" t="inlineStr"/>
      <c r="M99" s="816" t="inlineStr"/>
    </row>
    <row r="100" ht="14.5" customHeight="1">
      <c r="A100" s="745" t="inlineStr">
        <is>
          <t>1H</t>
        </is>
      </c>
      <c r="B100" s="852" t="n">
        <v>0</v>
      </c>
      <c r="C100" s="852" t="inlineStr"/>
      <c r="D100" s="852" t="n">
        <v>0</v>
      </c>
      <c r="E100" s="852" t="n">
        <v>0</v>
      </c>
      <c r="F100" s="852" t="n">
        <v>0</v>
      </c>
      <c r="G100" s="852" t="n">
        <v>0</v>
      </c>
      <c r="H100" s="852" t="n">
        <v>0</v>
      </c>
      <c r="I100" s="852" t="n">
        <v>0</v>
      </c>
      <c r="J100" s="852" t="inlineStr"/>
      <c r="K100" s="852" t="inlineStr"/>
      <c r="L100" s="852" t="inlineStr"/>
      <c r="M100" s="816" t="inlineStr"/>
    </row>
    <row r="101" ht="14.5" customHeight="1">
      <c r="A101" s="745" t="inlineStr">
        <is>
          <t>4H</t>
        </is>
      </c>
      <c r="B101" s="852" t="n">
        <v>0</v>
      </c>
      <c r="C101" s="852" t="inlineStr"/>
      <c r="D101" s="852" t="n">
        <v>0</v>
      </c>
      <c r="E101" s="852" t="n">
        <v>0</v>
      </c>
      <c r="F101" s="852" t="n">
        <v>0</v>
      </c>
      <c r="G101" s="852" t="n">
        <v>0</v>
      </c>
      <c r="H101" s="852" t="n">
        <v>0</v>
      </c>
      <c r="I101" s="852" t="n">
        <v>0</v>
      </c>
      <c r="J101" s="852" t="inlineStr"/>
      <c r="K101" s="852" t="inlineStr"/>
      <c r="L101" s="852" t="inlineStr"/>
      <c r="M101" s="816" t="inlineStr"/>
    </row>
    <row r="102" ht="14.5" customHeight="1">
      <c r="A102" s="745" t="inlineStr">
        <is>
          <t>DAILY</t>
        </is>
      </c>
      <c r="B102" s="852" t="n">
        <v>0</v>
      </c>
      <c r="C102" s="852" t="inlineStr"/>
      <c r="D102" s="852" t="n">
        <v>0</v>
      </c>
      <c r="E102" s="852" t="n">
        <v>0</v>
      </c>
      <c r="F102" s="852" t="n">
        <v>0</v>
      </c>
      <c r="G102" s="852" t="n">
        <v>0</v>
      </c>
      <c r="H102" s="852" t="n">
        <v>0</v>
      </c>
      <c r="I102" s="852" t="n">
        <v>0</v>
      </c>
      <c r="J102" s="852" t="inlineStr"/>
      <c r="K102" s="852" t="inlineStr"/>
      <c r="L102" s="852" t="inlineStr"/>
      <c r="M102" s="816" t="inlineStr"/>
    </row>
    <row r="103" ht="14.5" customHeight="1">
      <c r="A103" s="745" t="inlineStr">
        <is>
          <t>WEEKLY</t>
        </is>
      </c>
      <c r="B103" s="852" t="n">
        <v>0</v>
      </c>
      <c r="C103" s="852" t="inlineStr"/>
      <c r="D103" s="852" t="n">
        <v>0</v>
      </c>
      <c r="E103" s="852" t="n">
        <v>0</v>
      </c>
      <c r="F103" s="852" t="n">
        <v>0</v>
      </c>
      <c r="G103" s="852" t="n">
        <v>0</v>
      </c>
      <c r="H103" s="852" t="n">
        <v>0</v>
      </c>
      <c r="I103" s="852" t="n">
        <v>0</v>
      </c>
      <c r="J103" s="852" t="inlineStr"/>
      <c r="K103" s="852" t="inlineStr"/>
      <c r="L103" s="852" t="inlineStr"/>
      <c r="M103" s="816" t="inlineStr"/>
    </row>
    <row r="104" ht="14.5" customHeight="1">
      <c r="A104" s="764" t="inlineStr">
        <is>
          <t>MONTHLY</t>
        </is>
      </c>
      <c r="B104" s="865" t="n">
        <v>0</v>
      </c>
      <c r="C104" s="865" t="inlineStr"/>
      <c r="D104" s="865" t="n">
        <v>0</v>
      </c>
      <c r="E104" s="865" t="n">
        <v>0</v>
      </c>
      <c r="F104" s="865" t="n">
        <v>0</v>
      </c>
      <c r="G104" s="865" t="n">
        <v>0</v>
      </c>
      <c r="H104" s="865" t="n">
        <v>0</v>
      </c>
      <c r="I104" s="865" t="n">
        <v>0</v>
      </c>
      <c r="J104" s="865" t="inlineStr"/>
      <c r="K104" s="865" t="inlineStr"/>
      <c r="L104" s="865" t="inlineStr"/>
      <c r="M104" s="817" t="inlineStr"/>
    </row>
    <row r="105" ht="14.5" customHeight="1">
      <c r="A105" s="768" t="inlineStr">
        <is>
          <t>Commission</t>
        </is>
      </c>
      <c r="B105" s="859" t="inlineStr"/>
      <c r="C105" s="859" t="inlineStr"/>
      <c r="D105" s="859" t="inlineStr"/>
      <c r="E105" s="859" t="inlineStr"/>
      <c r="F105" s="859" t="inlineStr"/>
      <c r="G105" s="859" t="inlineStr"/>
      <c r="H105" s="859" t="inlineStr"/>
      <c r="I105" s="859" t="inlineStr"/>
      <c r="J105" s="859" t="inlineStr"/>
      <c r="K105" s="859" t="inlineStr"/>
      <c r="L105" s="859" t="inlineStr"/>
      <c r="M105" s="786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61" t="inlineStr"/>
      <c r="E106" s="861" t="inlineStr"/>
      <c r="F106" s="861" t="inlineStr"/>
      <c r="G106" s="861" t="inlineStr"/>
      <c r="H106" s="861" t="inlineStr"/>
      <c r="I106" s="861" t="inlineStr"/>
      <c r="J106" s="861" t="inlineStr"/>
      <c r="K106" s="861" t="inlineStr"/>
      <c r="L106" s="861" t="inlineStr"/>
      <c r="M106" s="594" t="inlineStr"/>
    </row>
    <row r="107" ht="14.5" customHeight="1">
      <c r="A107" s="748" t="inlineStr">
        <is>
          <t>Avg Commission</t>
        </is>
      </c>
      <c r="B107" s="861" t="inlineStr"/>
      <c r="C107" s="861" t="inlineStr"/>
      <c r="D107" s="861" t="inlineStr"/>
      <c r="E107" s="861" t="inlineStr"/>
      <c r="F107" s="861" t="inlineStr"/>
      <c r="G107" s="861" t="inlineStr"/>
      <c r="H107" s="861" t="inlineStr"/>
      <c r="I107" s="861" t="inlineStr"/>
      <c r="J107" s="861" t="inlineStr"/>
      <c r="K107" s="861" t="inlineStr"/>
      <c r="L107" s="861" t="inlineStr"/>
      <c r="M107" s="594" t="inlineStr"/>
    </row>
    <row r="108" ht="14.5" customHeight="1">
      <c r="A108" s="748" t="inlineStr">
        <is>
          <t>Max Commission</t>
        </is>
      </c>
      <c r="B108" s="793" t="inlineStr"/>
      <c r="C108" s="793" t="inlineStr"/>
      <c r="D108" s="793" t="inlineStr"/>
      <c r="E108" s="793" t="inlineStr"/>
      <c r="F108" s="793" t="inlineStr"/>
      <c r="G108" s="793" t="inlineStr"/>
      <c r="H108" s="793" t="inlineStr"/>
      <c r="I108" s="793" t="inlineStr"/>
      <c r="J108" s="793" t="inlineStr"/>
      <c r="K108" s="793" t="inlineStr"/>
      <c r="L108" s="793" t="inlineStr"/>
      <c r="M108" s="794" t="inlineStr"/>
    </row>
    <row r="109" ht="14.5" customHeight="1">
      <c r="A109" s="795" t="inlineStr">
        <is>
          <t>Total Commission</t>
        </is>
      </c>
      <c r="B109" s="850" t="inlineStr"/>
      <c r="C109" s="850" t="inlineStr"/>
      <c r="D109" s="850" t="inlineStr"/>
      <c r="E109" s="850" t="inlineStr"/>
      <c r="F109" s="850" t="inlineStr"/>
      <c r="G109" s="850" t="inlineStr"/>
      <c r="H109" s="850" t="inlineStr"/>
      <c r="I109" s="850" t="inlineStr"/>
      <c r="J109" s="850" t="inlineStr"/>
      <c r="K109" s="850" t="inlineStr"/>
      <c r="L109" s="850" t="inlineStr"/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2026-08-24T02:07:48Z</dcterms:modified>
  <cp:lastModifiedBy>A S</cp:lastModifiedBy>
</cp:coreProperties>
</file>