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3DB3BCE0-AB7E-4207-BF93-9423D4D8F5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3" r:id="rId2"/>
    <sheet name="SYMBOLS" sheetId="4" r:id="rId3"/>
    <sheet name="Trade Log" sheetId="5" r:id="rId4"/>
    <sheet name="P&amp;L Calendar" sheetId="6" r:id="rId5"/>
    <sheet name=" SIM" sheetId="7" r:id="rId6"/>
    <sheet name="YEARLY REPORT" sheetId="8" r:id="rId7"/>
    <sheet name="2018" sheetId="9" r:id="rId8"/>
    <sheet name="2019" sheetId="10" r:id="rId9"/>
    <sheet name="2020" sheetId="11" r:id="rId10"/>
    <sheet name="2021" sheetId="12" r:id="rId11"/>
    <sheet name="2022" sheetId="13" r:id="rId12"/>
    <sheet name="2023" sheetId="14" r:id="rId13"/>
    <sheet name="2024" sheetId="15" r:id="rId14"/>
    <sheet name="2025" sheetId="16" r:id="rId15"/>
    <sheet name="2026" sheetId="17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C109" i="7" s="1"/>
  <c r="D109" i="7" s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C103" i="7"/>
  <c r="D103" i="7" s="1"/>
  <c r="B103" i="7"/>
  <c r="B102" i="7"/>
  <c r="C102" i="7" s="1"/>
  <c r="D102" i="7" s="1"/>
  <c r="B101" i="7"/>
  <c r="C101" i="7" s="1"/>
  <c r="D101" i="7" s="1"/>
  <c r="B100" i="7"/>
  <c r="C100" i="7" s="1"/>
  <c r="D100" i="7" s="1"/>
  <c r="C99" i="7"/>
  <c r="D99" i="7" s="1"/>
  <c r="B99" i="7"/>
  <c r="B98" i="7"/>
  <c r="C98" i="7" s="1"/>
  <c r="D98" i="7" s="1"/>
  <c r="B97" i="7"/>
  <c r="C97" i="7" s="1"/>
  <c r="D97" i="7" s="1"/>
  <c r="B96" i="7"/>
  <c r="C96" i="7" s="1"/>
  <c r="D96" i="7" s="1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B86" i="7"/>
  <c r="C86" i="7" s="1"/>
  <c r="D86" i="7" s="1"/>
  <c r="B85" i="7"/>
  <c r="C85" i="7" s="1"/>
  <c r="D85" i="7" s="1"/>
  <c r="C84" i="7"/>
  <c r="D84" i="7" s="1"/>
  <c r="B84" i="7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D79" i="7"/>
  <c r="C79" i="7"/>
  <c r="B79" i="7"/>
  <c r="B78" i="7"/>
  <c r="C78" i="7" s="1"/>
  <c r="D78" i="7" s="1"/>
  <c r="C77" i="7"/>
  <c r="D77" i="7" s="1"/>
  <c r="B77" i="7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B72" i="7"/>
  <c r="C72" i="7" s="1"/>
  <c r="D72" i="7" s="1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C67" i="7"/>
  <c r="D67" i="7" s="1"/>
  <c r="B67" i="7"/>
  <c r="B66" i="7"/>
  <c r="C66" i="7" s="1"/>
  <c r="D66" i="7" s="1"/>
  <c r="B65" i="7"/>
  <c r="C65" i="7" s="1"/>
  <c r="D65" i="7" s="1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C60" i="7"/>
  <c r="D60" i="7" s="1"/>
  <c r="B60" i="7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C55" i="7"/>
  <c r="D55" i="7" s="1"/>
  <c r="B55" i="7"/>
  <c r="B54" i="7"/>
  <c r="C54" i="7" s="1"/>
  <c r="D54" i="7" s="1"/>
  <c r="B53" i="7"/>
  <c r="C53" i="7" s="1"/>
  <c r="D53" i="7" s="1"/>
  <c r="B52" i="7"/>
  <c r="C52" i="7" s="1"/>
  <c r="D52" i="7" s="1"/>
  <c r="B51" i="7"/>
  <c r="C51" i="7" s="1"/>
  <c r="D51" i="7" s="1"/>
  <c r="B50" i="7"/>
  <c r="C50" i="7" s="1"/>
  <c r="D50" i="7" s="1"/>
  <c r="B49" i="7"/>
  <c r="C49" i="7" s="1"/>
  <c r="D49" i="7" s="1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C43" i="7"/>
  <c r="D43" i="7" s="1"/>
  <c r="B43" i="7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B32" i="7"/>
  <c r="C32" i="7" s="1"/>
  <c r="D32" i="7" s="1"/>
  <c r="B31" i="7"/>
  <c r="C31" i="7" s="1"/>
  <c r="D31" i="7" s="1"/>
  <c r="C30" i="7"/>
  <c r="D30" i="7" s="1"/>
  <c r="B30" i="7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B22" i="7"/>
  <c r="C22" i="7" s="1"/>
  <c r="D22" i="7" s="1"/>
  <c r="B21" i="7"/>
  <c r="C21" i="7" s="1"/>
  <c r="D21" i="7" s="1"/>
  <c r="C20" i="7"/>
  <c r="D20" i="7" s="1"/>
  <c r="B20" i="7"/>
  <c r="B19" i="7"/>
  <c r="C19" i="7" s="1"/>
  <c r="D19" i="7" s="1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C12" i="7"/>
  <c r="D12" i="7" s="1"/>
  <c r="B12" i="7"/>
  <c r="C11" i="7"/>
  <c r="D11" i="7" s="1"/>
  <c r="B11" i="7"/>
  <c r="B10" i="7"/>
  <c r="C10" i="7" s="1"/>
  <c r="F9" i="7"/>
  <c r="B4" i="7"/>
  <c r="F4" i="7" l="1"/>
  <c r="F6" i="7" s="1"/>
  <c r="F5" i="7"/>
  <c r="D10" i="7"/>
  <c r="B5" i="7" s="1"/>
  <c r="H2" i="7" s="1"/>
  <c r="L1" i="7"/>
  <c r="M1" i="7" s="1"/>
  <c r="F10" i="7"/>
  <c r="F11" i="7" l="1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E17" i="7" l="1"/>
  <c r="F18" i="7"/>
  <c r="F19" i="7" l="1"/>
  <c r="E18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F27" i="7" l="1"/>
  <c r="E26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E33" i="7" l="1"/>
  <c r="F34" i="7"/>
  <c r="F35" i="7" l="1"/>
  <c r="E34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E41" i="7" l="1"/>
  <c r="F42" i="7"/>
  <c r="F43" i="7" l="1"/>
  <c r="E42" i="7"/>
  <c r="F44" i="7" l="1"/>
  <c r="E43" i="7"/>
  <c r="F45" i="7" l="1"/>
  <c r="E44" i="7"/>
  <c r="E45" i="7" l="1"/>
  <c r="F46" i="7"/>
  <c r="E46" i="7" l="1"/>
  <c r="F47" i="7"/>
  <c r="F48" i="7" l="1"/>
  <c r="E47" i="7"/>
  <c r="E48" i="7" l="1"/>
  <c r="F49" i="7"/>
  <c r="E49" i="7" l="1"/>
  <c r="F50" i="7"/>
  <c r="F51" i="7" l="1"/>
  <c r="E50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F59" i="7" l="1"/>
  <c r="E58" i="7"/>
  <c r="F60" i="7" l="1"/>
  <c r="E59" i="7"/>
  <c r="F61" i="7" l="1"/>
  <c r="E60" i="7"/>
  <c r="E61" i="7" l="1"/>
  <c r="F62" i="7"/>
  <c r="E62" i="7" l="1"/>
  <c r="F63" i="7"/>
  <c r="F64" i="7" l="1"/>
  <c r="E63" i="7"/>
  <c r="E64" i="7" l="1"/>
  <c r="F65" i="7"/>
  <c r="E65" i="7" l="1"/>
  <c r="F66" i="7"/>
  <c r="F67" i="7" l="1"/>
  <c r="E66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E73" i="7" l="1"/>
  <c r="F74" i="7"/>
  <c r="F75" i="7" l="1"/>
  <c r="E74" i="7"/>
  <c r="F76" i="7" l="1"/>
  <c r="E75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F83" i="7" l="1"/>
  <c r="E82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E89" i="7" l="1"/>
  <c r="F90" i="7"/>
  <c r="F91" i="7" l="1"/>
  <c r="E90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F99" i="7" l="1"/>
  <c r="E98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E108" i="7"/>
  <c r="L2" i="7" l="1"/>
  <c r="M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<sst xmlns="http://schemas.openxmlformats.org/spreadsheetml/2006/main" count="24501" uniqueCount="6544">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</sst>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992.37386641351873</c:v>
                </c:pt>
                <c:pt idx="2">
                  <c:v>1009.2554886031014</c:v>
                </c:pt>
                <c:pt idx="3">
                  <c:v>1024.4299025210235</c:v>
                </c:pt>
                <c:pt idx="4">
                  <c:v>1014.3871248627781</c:v>
                </c:pt>
                <c:pt idx="5">
                  <c:v>1003.900949610876</c:v>
                </c:pt>
                <c:pt idx="6">
                  <c:v>995.46429898398526</c:v>
                </c:pt>
                <c:pt idx="7">
                  <c:v>987.98736234013757</c:v>
                </c:pt>
                <c:pt idx="8">
                  <c:v>977.17559832945642</c:v>
                </c:pt>
                <c:pt idx="9">
                  <c:v>968.81239413280844</c:v>
                </c:pt>
                <c:pt idx="10">
                  <c:v>958.94032631431617</c:v>
                </c:pt>
                <c:pt idx="11">
                  <c:v>979.37510252042091</c:v>
                </c:pt>
                <c:pt idx="12">
                  <c:v>968.81843354078808</c:v>
                </c:pt>
                <c:pt idx="13">
                  <c:v>960.762715369273</c:v>
                </c:pt>
                <c:pt idx="14">
                  <c:v>978.95492630590093</c:v>
                </c:pt>
                <c:pt idx="15">
                  <c:v>969.694425616849</c:v>
                </c:pt>
                <c:pt idx="16">
                  <c:v>959.80947271174432</c:v>
                </c:pt>
                <c:pt idx="17">
                  <c:v>979.85084923039892</c:v>
                </c:pt>
                <c:pt idx="18">
                  <c:v>969.30330364572251</c:v>
                </c:pt>
                <c:pt idx="19">
                  <c:v>961.4618590847474</c:v>
                </c:pt>
                <c:pt idx="20">
                  <c:v>976.85813461440318</c:v>
                </c:pt>
                <c:pt idx="21">
                  <c:v>966.19348686946546</c:v>
                </c:pt>
                <c:pt idx="22">
                  <c:v>955.68290344187699</c:v>
                </c:pt>
                <c:pt idx="23">
                  <c:v>977.29180713726043</c:v>
                </c:pt>
                <c:pt idx="24">
                  <c:v>967.09082814966689</c:v>
                </c:pt>
                <c:pt idx="25">
                  <c:v>958.24921323786464</c:v>
                </c:pt>
                <c:pt idx="26">
                  <c:v>974.63400017448112</c:v>
                </c:pt>
                <c:pt idx="27">
                  <c:v>966.2144144179058</c:v>
                </c:pt>
                <c:pt idx="28">
                  <c:v>957.44013023486093</c:v>
                </c:pt>
                <c:pt idx="29">
                  <c:v>978.13069024663514</c:v>
                </c:pt>
                <c:pt idx="30">
                  <c:v>969.09779932842741</c:v>
                </c:pt>
                <c:pt idx="31">
                  <c:v>961.52291001643891</c:v>
                </c:pt>
                <c:pt idx="32">
                  <c:v>951.18324816285224</c:v>
                </c:pt>
                <c:pt idx="33">
                  <c:v>943.58993777542059</c:v>
                </c:pt>
                <c:pt idx="34">
                  <c:v>964.29446152823493</c:v>
                </c:pt>
                <c:pt idx="35">
                  <c:v>954.2667831135858</c:v>
                </c:pt>
                <c:pt idx="36">
                  <c:v>944.39533773988057</c:v>
                </c:pt>
                <c:pt idx="37">
                  <c:v>962.25138822519432</c:v>
                </c:pt>
                <c:pt idx="38">
                  <c:v>953.57457234755248</c:v>
                </c:pt>
                <c:pt idx="39">
                  <c:v>945.33575142873588</c:v>
                </c:pt>
                <c:pt idx="40">
                  <c:v>937.23792447054404</c:v>
                </c:pt>
                <c:pt idx="41">
                  <c:v>958.28335861543849</c:v>
                </c:pt>
                <c:pt idx="42">
                  <c:v>950.17185061493149</c:v>
                </c:pt>
                <c:pt idx="43">
                  <c:v>941.88257010013285</c:v>
                </c:pt>
                <c:pt idx="44">
                  <c:v>931.65473653429149</c:v>
                </c:pt>
                <c:pt idx="45">
                  <c:v>949.25891364440804</c:v>
                </c:pt>
                <c:pt idx="46">
                  <c:v>939.32434317178252</c:v>
                </c:pt>
                <c:pt idx="47">
                  <c:v>931.64512950736514</c:v>
                </c:pt>
                <c:pt idx="48">
                  <c:v>949.17234525299887</c:v>
                </c:pt>
                <c:pt idx="49">
                  <c:v>939.35927081692773</c:v>
                </c:pt>
                <c:pt idx="50">
                  <c:v>930.75809146585948</c:v>
                </c:pt>
                <c:pt idx="51">
                  <c:v>923.77149695119635</c:v>
                </c:pt>
                <c:pt idx="52">
                  <c:v>916.554457718565</c:v>
                </c:pt>
                <c:pt idx="53">
                  <c:v>909.46264672310951</c:v>
                </c:pt>
                <c:pt idx="54">
                  <c:v>901.91820616529492</c:v>
                </c:pt>
                <c:pt idx="55">
                  <c:v>919.17303808261192</c:v>
                </c:pt>
                <c:pt idx="56">
                  <c:v>911.15518169259394</c:v>
                </c:pt>
                <c:pt idx="57">
                  <c:v>902.47692561857116</c:v>
                </c:pt>
                <c:pt idx="58">
                  <c:v>894.99060374730209</c:v>
                </c:pt>
                <c:pt idx="59">
                  <c:v>886.40375210770083</c:v>
                </c:pt>
                <c:pt idx="60">
                  <c:v>906.60897419512048</c:v>
                </c:pt>
                <c:pt idx="61">
                  <c:v>898.72272765831292</c:v>
                </c:pt>
                <c:pt idx="62">
                  <c:v>917.61312299627048</c:v>
                </c:pt>
                <c:pt idx="63">
                  <c:v>909.46224781618184</c:v>
                </c:pt>
                <c:pt idx="64">
                  <c:v>902.50351988242949</c:v>
                </c:pt>
                <c:pt idx="65">
                  <c:v>916.41039940677979</c:v>
                </c:pt>
                <c:pt idx="66">
                  <c:v>934.62227513724554</c:v>
                </c:pt>
                <c:pt idx="67">
                  <c:v>955.06508254853156</c:v>
                </c:pt>
                <c:pt idx="68">
                  <c:v>947.21595951162317</c:v>
                </c:pt>
                <c:pt idx="69">
                  <c:v>967.64587097841661</c:v>
                </c:pt>
                <c:pt idx="70">
                  <c:v>958.99260097653109</c:v>
                </c:pt>
                <c:pt idx="71">
                  <c:v>950.06779310832212</c:v>
                </c:pt>
                <c:pt idx="72">
                  <c:v>940.33171702001766</c:v>
                </c:pt>
                <c:pt idx="73">
                  <c:v>932.208996479451</c:v>
                </c:pt>
                <c:pt idx="74">
                  <c:v>924.36597226142726</c:v>
                </c:pt>
                <c:pt idx="75">
                  <c:v>915.43443378000416</c:v>
                </c:pt>
                <c:pt idx="76">
                  <c:v>906.59109717015133</c:v>
                </c:pt>
                <c:pt idx="77">
                  <c:v>899.12655502224493</c:v>
                </c:pt>
                <c:pt idx="78">
                  <c:v>919.3855433471781</c:v>
                </c:pt>
                <c:pt idx="79">
                  <c:v>934.32090407334726</c:v>
                </c:pt>
                <c:pt idx="80">
                  <c:v>925.13774983394865</c:v>
                </c:pt>
                <c:pt idx="81">
                  <c:v>940.35691325823177</c:v>
                </c:pt>
                <c:pt idx="82">
                  <c:v>932.86415745504667</c:v>
                </c:pt>
                <c:pt idx="83">
                  <c:v>923.1648587660635</c:v>
                </c:pt>
                <c:pt idx="84">
                  <c:v>938.41999674455678</c:v>
                </c:pt>
                <c:pt idx="85">
                  <c:v>928.50429735873013</c:v>
                </c:pt>
                <c:pt idx="86">
                  <c:v>948.44691884532347</c:v>
                </c:pt>
                <c:pt idx="87">
                  <c:v>938.97137410991525</c:v>
                </c:pt>
                <c:pt idx="88">
                  <c:v>953.87218184181313</c:v>
                </c:pt>
                <c:pt idx="89">
                  <c:v>943.88251808127677</c:v>
                </c:pt>
                <c:pt idx="90">
                  <c:v>935.03655678821235</c:v>
                </c:pt>
                <c:pt idx="91">
                  <c:v>953.435060092512</c:v>
                </c:pt>
                <c:pt idx="92">
                  <c:v>974.47045896587713</c:v>
                </c:pt>
                <c:pt idx="93">
                  <c:v>965.35479166197683</c:v>
                </c:pt>
                <c:pt idx="94">
                  <c:v>958.07511455521865</c:v>
                </c:pt>
                <c:pt idx="95">
                  <c:v>979.51971936315658</c:v>
                </c:pt>
                <c:pt idx="96">
                  <c:v>971.30034162882293</c:v>
                </c:pt>
                <c:pt idx="97">
                  <c:v>961.5491630460433</c:v>
                </c:pt>
                <c:pt idx="98">
                  <c:v>953.34384193464871</c:v>
                </c:pt>
                <c:pt idx="99">
                  <c:v>944.58313303789294</c:v>
                </c:pt>
                <c:pt idx="100">
                  <c:v>937.14763027365223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D8-4257-AB9D-28B4ACD4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-7.6261335864812319E-3</c:v>
                </c:pt>
                <c:pt idx="2">
                  <c:v>0</c:v>
                </c:pt>
                <c:pt idx="3">
                  <c:v>0</c:v>
                </c:pt>
                <c:pt idx="4">
                  <c:v>-9.8032843765405442E-3</c:v>
                </c:pt>
                <c:pt idx="5">
                  <c:v>-2.0039392504677678E-2</c:v>
                </c:pt>
                <c:pt idx="6">
                  <c:v>-2.8274851667016598E-2</c:v>
                </c:pt>
                <c:pt idx="7">
                  <c:v>-3.5573483447919996E-2</c:v>
                </c:pt>
                <c:pt idx="8">
                  <c:v>-4.6127415917163961E-2</c:v>
                </c:pt>
                <c:pt idx="9">
                  <c:v>-5.4291180149413476E-2</c:v>
                </c:pt>
                <c:pt idx="10">
                  <c:v>-6.3927825657513204E-2</c:v>
                </c:pt>
                <c:pt idx="11">
                  <c:v>-4.3980363995356875E-2</c:v>
                </c:pt>
                <c:pt idx="12">
                  <c:v>-5.4285284765097974E-2</c:v>
                </c:pt>
                <c:pt idx="13">
                  <c:v>-6.214889568829618E-2</c:v>
                </c:pt>
                <c:pt idx="14">
                  <c:v>-4.4390520135358158E-2</c:v>
                </c:pt>
                <c:pt idx="15">
                  <c:v>-5.3430182747961297E-2</c:v>
                </c:pt>
                <c:pt idx="16">
                  <c:v>-6.3079406067954924E-2</c:v>
                </c:pt>
                <c:pt idx="17">
                  <c:v>-4.3515962567004074E-2</c:v>
                </c:pt>
                <c:pt idx="18">
                  <c:v>-5.3811977510261788E-2</c:v>
                </c:pt>
                <c:pt idx="19">
                  <c:v>-6.1466424673194076E-2</c:v>
                </c:pt>
                <c:pt idx="20">
                  <c:v>-4.6437308975021852E-2</c:v>
                </c:pt>
                <c:pt idx="21">
                  <c:v>-5.6847633506444728E-2</c:v>
                </c:pt>
                <c:pt idx="22">
                  <c:v>-6.7107567740815388E-2</c:v>
                </c:pt>
                <c:pt idx="23">
                  <c:v>-4.6013978377398734E-2</c:v>
                </c:pt>
                <c:pt idx="24">
                  <c:v>-5.5971691406362267E-2</c:v>
                </c:pt>
                <c:pt idx="25">
                  <c:v>-6.4602457542770386E-2</c:v>
                </c:pt>
                <c:pt idx="26">
                  <c:v>-4.860840378048259E-2</c:v>
                </c:pt>
                <c:pt idx="27">
                  <c:v>-5.6827205023842975E-2</c:v>
                </c:pt>
                <c:pt idx="28">
                  <c:v>-6.5392246088587513E-2</c:v>
                </c:pt>
                <c:pt idx="29">
                  <c:v>-4.5195100377732444E-2</c:v>
                </c:pt>
                <c:pt idx="30">
                  <c:v>-5.4012581101380408E-2</c:v>
                </c:pt>
                <c:pt idx="31">
                  <c:v>-6.1406829642298155E-2</c:v>
                </c:pt>
                <c:pt idx="32">
                  <c:v>-7.1499918323272516E-2</c:v>
                </c:pt>
                <c:pt idx="33">
                  <c:v>-7.891214864644569E-2</c:v>
                </c:pt>
                <c:pt idx="34">
                  <c:v>-5.8701372192280776E-2</c:v>
                </c:pt>
                <c:pt idx="35">
                  <c:v>-6.8489917401642564E-2</c:v>
                </c:pt>
                <c:pt idx="36">
                  <c:v>-7.8125955308592121E-2</c:v>
                </c:pt>
                <c:pt idx="37">
                  <c:v>-6.069572368281495E-2</c:v>
                </c:pt>
                <c:pt idx="38">
                  <c:v>-6.9165620799532368E-2</c:v>
                </c:pt>
                <c:pt idx="39">
                  <c:v>-7.720796796115037E-2</c:v>
                </c:pt>
                <c:pt idx="40">
                  <c:v>-8.5112683489527496E-2</c:v>
                </c:pt>
                <c:pt idx="41">
                  <c:v>-6.4569126440769287E-2</c:v>
                </c:pt>
                <c:pt idx="42">
                  <c:v>-7.248719675533688E-2</c:v>
                </c:pt>
                <c:pt idx="43">
                  <c:v>-8.0578800187059652E-2</c:v>
                </c:pt>
                <c:pt idx="44">
                  <c:v>-9.056272738468607E-2</c:v>
                </c:pt>
                <c:pt idx="45">
                  <c:v>-7.3378362630402316E-2</c:v>
                </c:pt>
                <c:pt idx="46">
                  <c:v>-8.3076020272157547E-2</c:v>
                </c:pt>
                <c:pt idx="47">
                  <c:v>-9.0572105309815631E-2</c:v>
                </c:pt>
                <c:pt idx="48">
                  <c:v>-7.3462866598117627E-2</c:v>
                </c:pt>
                <c:pt idx="49">
                  <c:v>-8.3041925557566287E-2</c:v>
                </c:pt>
                <c:pt idx="50">
                  <c:v>-9.1437989875780334E-2</c:v>
                </c:pt>
                <c:pt idx="51">
                  <c:v>-9.8257972870682941E-2</c:v>
                </c:pt>
                <c:pt idx="52">
                  <c:v>-0.10530290509578777</c:v>
                </c:pt>
                <c:pt idx="53">
                  <c:v>-0.11222559544092825</c:v>
                </c:pt>
                <c:pt idx="54">
                  <c:v>-0.11959012134870239</c:v>
                </c:pt>
                <c:pt idx="55">
                  <c:v>-0.10274677084238215</c:v>
                </c:pt>
                <c:pt idx="56">
                  <c:v>-0.11057342288591077</c:v>
                </c:pt>
                <c:pt idx="57">
                  <c:v>-0.11904472585419246</c:v>
                </c:pt>
                <c:pt idx="58">
                  <c:v>-0.12635251905004308</c:v>
                </c:pt>
                <c:pt idx="59">
                  <c:v>-0.13473459733423787</c:v>
                </c:pt>
                <c:pt idx="60">
                  <c:v>-0.11501121554140215</c:v>
                </c:pt>
                <c:pt idx="61">
                  <c:v>-0.12270939627333921</c:v>
                </c:pt>
                <c:pt idx="62">
                  <c:v>-0.10426948614237752</c:v>
                </c:pt>
                <c:pt idx="63">
                  <c:v>-0.11222598483499679</c:v>
                </c:pt>
                <c:pt idx="64">
                  <c:v>-0.11901876579212001</c:v>
                </c:pt>
                <c:pt idx="65">
                  <c:v>-0.10544352800364187</c:v>
                </c:pt>
                <c:pt idx="66">
                  <c:v>-8.7665956609398021E-2</c:v>
                </c:pt>
                <c:pt idx="67">
                  <c:v>-6.7710655264739628E-2</c:v>
                </c:pt>
                <c:pt idx="68">
                  <c:v>-7.5372597792571439E-2</c:v>
                </c:pt>
                <c:pt idx="69">
                  <c:v>-5.5429884858755885E-2</c:v>
                </c:pt>
                <c:pt idx="70">
                  <c:v>-6.3876797605631586E-2</c:v>
                </c:pt>
                <c:pt idx="71">
                  <c:v>-7.2588772769814014E-2</c:v>
                </c:pt>
                <c:pt idx="72">
                  <c:v>-8.2092669585345224E-2</c:v>
                </c:pt>
                <c:pt idx="73">
                  <c:v>-9.0021685050998279E-2</c:v>
                </c:pt>
                <c:pt idx="74">
                  <c:v>-9.7677674200400078E-2</c:v>
                </c:pt>
                <c:pt idx="75">
                  <c:v>-0.10639621947074362</c:v>
                </c:pt>
                <c:pt idx="76">
                  <c:v>-0.11502866624732655</c:v>
                </c:pt>
                <c:pt idx="77">
                  <c:v>-0.12231519910773692</c:v>
                </c:pt>
                <c:pt idx="78">
                  <c:v>-0.10253933325778686</c:v>
                </c:pt>
                <c:pt idx="79">
                  <c:v>-8.7960140782621266E-2</c:v>
                </c:pt>
                <c:pt idx="80">
                  <c:v>-9.6924301450715511E-2</c:v>
                </c:pt>
                <c:pt idx="81">
                  <c:v>-8.2068074209759145E-2</c:v>
                </c:pt>
                <c:pt idx="82">
                  <c:v>-8.9382147905525122E-2</c:v>
                </c:pt>
                <c:pt idx="83">
                  <c:v>-9.8850144363959336E-2</c:v>
                </c:pt>
                <c:pt idx="84">
                  <c:v>-8.3958800465316896E-2</c:v>
                </c:pt>
                <c:pt idx="85">
                  <c:v>-9.3638037045023381E-2</c:v>
                </c:pt>
                <c:pt idx="86">
                  <c:v>-7.4170993533782203E-2</c:v>
                </c:pt>
                <c:pt idx="87">
                  <c:v>-8.342057196964181E-2</c:v>
                </c:pt>
                <c:pt idx="88">
                  <c:v>-6.8875108492610915E-2</c:v>
                </c:pt>
                <c:pt idx="89">
                  <c:v>-7.8626545595288921E-2</c:v>
                </c:pt>
                <c:pt idx="90">
                  <c:v>-8.7261554463436419E-2</c:v>
                </c:pt>
                <c:pt idx="91">
                  <c:v>-6.9301806061888627E-2</c:v>
                </c:pt>
                <c:pt idx="92">
                  <c:v>-4.8768044970379121E-2</c:v>
                </c:pt>
                <c:pt idx="93">
                  <c:v>-5.7666328085180352E-2</c:v>
                </c:pt>
                <c:pt idx="94">
                  <c:v>-6.4772404439300435E-2</c:v>
                </c:pt>
                <c:pt idx="95">
                  <c:v>-4.3839195876015702E-2</c:v>
                </c:pt>
                <c:pt idx="96">
                  <c:v>-5.1862563520894689E-2</c:v>
                </c:pt>
                <c:pt idx="97">
                  <c:v>-6.1381202676958901E-2</c:v>
                </c:pt>
                <c:pt idx="98">
                  <c:v>-6.9390848911612957E-2</c:v>
                </c:pt>
                <c:pt idx="99">
                  <c:v>-7.794263842419602E-2</c:v>
                </c:pt>
                <c:pt idx="100">
                  <c:v>-8.5200824412268616E-2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82-4B20-9A7F-53EE403E5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tabSelected="1" zoomScale="115" zoomScaleNormal="115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6" t="s">
        <v>192</v>
      </c>
      <c r="B1" s="500" t="s">
        <v>193</v>
      </c>
      <c r="C1" s="500" t="s">
        <v>3</v>
      </c>
      <c r="D1" s="512" t="s">
        <v>4</v>
      </c>
      <c r="E1" s="500" t="s">
        <v>5</v>
      </c>
      <c r="F1" s="514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7"/>
      <c r="B2" s="501"/>
      <c r="C2" s="501"/>
      <c r="D2" s="513"/>
      <c r="E2" s="501"/>
      <c r="F2" s="515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8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8" t="s">
        <v>741</v>
      </c>
      <c r="K1" s="530" t="s">
        <v>742</v>
      </c>
      <c r="L1" s="528" t="s">
        <v>743</v>
      </c>
      <c r="M1" s="530" t="s">
        <v>744</v>
      </c>
      <c r="N1" s="518" t="s">
        <v>161</v>
      </c>
      <c r="O1" s="528" t="s">
        <v>745</v>
      </c>
      <c r="P1" s="527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5" t="s">
        <v>768</v>
      </c>
    </row>
    <row r="2" spans="1:50" ht="15" customHeight="1" thickTop="1" x14ac:dyDescent="0.35">
      <c r="A2" s="519"/>
      <c r="B2" s="529"/>
      <c r="C2" s="531"/>
      <c r="D2" s="519"/>
      <c r="E2" s="519"/>
      <c r="F2" s="519"/>
      <c r="G2" s="519"/>
      <c r="H2" s="519"/>
      <c r="I2" s="519"/>
      <c r="J2" s="529"/>
      <c r="K2" s="531"/>
      <c r="L2" s="529"/>
      <c r="M2" s="531"/>
      <c r="N2" s="519"/>
      <c r="O2" s="529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6"/>
    </row>
    <row r="3" spans="1:50" ht="15" customHeight="1" x14ac:dyDescent="0.35">
      <c r="A3" s="519"/>
      <c r="B3" s="529"/>
      <c r="C3" s="531"/>
      <c r="D3" s="519"/>
      <c r="E3" s="519"/>
      <c r="F3" s="519"/>
      <c r="G3" s="519"/>
      <c r="H3" s="519"/>
      <c r="I3" s="519"/>
      <c r="J3" s="529"/>
      <c r="K3" s="531"/>
      <c r="L3" s="529"/>
      <c r="M3" s="531"/>
      <c r="N3" s="519"/>
      <c r="O3" s="529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6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-5.6160194097123225E-4</v>
      </c>
      <c r="M1" s="99">
        <f ca="1">L1/E2</f>
        <v>-5.6160194097123223E-2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937.14763027365211</v>
      </c>
      <c r="J2" s="105" t="s">
        <v>4433</v>
      </c>
      <c r="K2" s="106"/>
      <c r="L2" s="107">
        <f ca="1">MIN(E10:E109)</f>
        <v>-0.13473459733423787</v>
      </c>
      <c r="M2" s="108">
        <f ca="1">L2/E2</f>
        <v>-13.473459733423788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0.3</v>
      </c>
      <c r="E4" s="116" t="s">
        <v>4435</v>
      </c>
      <c r="F4" s="117">
        <f ca="1">AVERAGE(B10:B109)</f>
        <v>-5.6160194097123257E-2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-6.285236972634789E-2</v>
      </c>
      <c r="E5" s="121" t="s">
        <v>4437</v>
      </c>
      <c r="F5" s="122">
        <f ca="1">STDEV(B10:B109)</f>
        <v>1.3330887223928358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-4.2127874277053494E-2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-0.76261335864812563</v>
      </c>
      <c r="C10" s="138">
        <f t="shared" ref="C10:C41" ca="1" si="1">B10*$E$2</f>
        <v>-7.6261335864812561E-3</v>
      </c>
      <c r="D10" s="139">
        <f t="shared" ref="D10:D41" ca="1" si="2">C10+1</f>
        <v>0.99237386641351877</v>
      </c>
      <c r="E10" s="134">
        <f ca="1">F10/MAX($F$9:F10)-1</f>
        <v>-7.6261335864812319E-3</v>
      </c>
      <c r="F10" s="135">
        <f t="shared" ref="F10:F41" ca="1" si="3">F9*D10</f>
        <v>992.37386641351873</v>
      </c>
    </row>
    <row r="11" spans="1:13" x14ac:dyDescent="0.35">
      <c r="A11" s="136">
        <v>2</v>
      </c>
      <c r="B11" s="137">
        <f t="shared" ca="1" si="0"/>
        <v>1.7011353040355257</v>
      </c>
      <c r="C11" s="138">
        <f t="shared" ca="1" si="1"/>
        <v>1.7011353040355257E-2</v>
      </c>
      <c r="D11" s="139">
        <f t="shared" ca="1" si="2"/>
        <v>1.0170113530403553</v>
      </c>
      <c r="E11" s="134">
        <f ca="1">F11/MAX($F$9:F11)-1</f>
        <v>0</v>
      </c>
      <c r="F11" s="135">
        <f t="shared" ca="1" si="3"/>
        <v>1009.2554886031014</v>
      </c>
    </row>
    <row r="12" spans="1:13" x14ac:dyDescent="0.35">
      <c r="A12" s="136">
        <v>3</v>
      </c>
      <c r="B12" s="137">
        <f t="shared" ca="1" si="0"/>
        <v>1.5035255283996185</v>
      </c>
      <c r="C12" s="138">
        <f t="shared" ca="1" si="1"/>
        <v>1.5035255283996185E-2</v>
      </c>
      <c r="D12" s="139">
        <f t="shared" ca="1" si="2"/>
        <v>1.0150352552839963</v>
      </c>
      <c r="E12" s="134">
        <f ca="1">F12/MAX($F$9:F12)-1</f>
        <v>0</v>
      </c>
      <c r="F12" s="135">
        <f t="shared" ca="1" si="3"/>
        <v>1024.4299025210235</v>
      </c>
    </row>
    <row r="13" spans="1:13" x14ac:dyDescent="0.35">
      <c r="A13" s="136">
        <v>4</v>
      </c>
      <c r="B13" s="137">
        <f t="shared" ca="1" si="0"/>
        <v>-0.98032843765405187</v>
      </c>
      <c r="C13" s="138">
        <f t="shared" ca="1" si="1"/>
        <v>-9.8032843765405182E-3</v>
      </c>
      <c r="D13" s="139">
        <f t="shared" ca="1" si="2"/>
        <v>0.99019671562345946</v>
      </c>
      <c r="E13" s="134">
        <f ca="1">F13/MAX($F$9:F13)-1</f>
        <v>-9.8032843765405442E-3</v>
      </c>
      <c r="F13" s="135">
        <f t="shared" ca="1" si="3"/>
        <v>1014.3871248627781</v>
      </c>
    </row>
    <row r="14" spans="1:13" x14ac:dyDescent="0.35">
      <c r="A14" s="136">
        <v>5</v>
      </c>
      <c r="B14" s="137">
        <f t="shared" ca="1" si="0"/>
        <v>-1.0337449081208239</v>
      </c>
      <c r="C14" s="138">
        <f t="shared" ca="1" si="1"/>
        <v>-1.0337449081208238E-2</v>
      </c>
      <c r="D14" s="139">
        <f t="shared" ca="1" si="2"/>
        <v>0.98966255091879174</v>
      </c>
      <c r="E14" s="134">
        <f ca="1">F14/MAX($F$9:F14)-1</f>
        <v>-2.0039392504677678E-2</v>
      </c>
      <c r="F14" s="135">
        <f t="shared" ca="1" si="3"/>
        <v>1003.900949610876</v>
      </c>
    </row>
    <row r="15" spans="1:13" x14ac:dyDescent="0.35">
      <c r="A15" s="136">
        <v>6</v>
      </c>
      <c r="B15" s="137">
        <f t="shared" ca="1" si="0"/>
        <v>-0.84038675629908999</v>
      </c>
      <c r="C15" s="138">
        <f t="shared" ca="1" si="1"/>
        <v>-8.4038675629908993E-3</v>
      </c>
      <c r="D15" s="139">
        <f t="shared" ca="1" si="2"/>
        <v>0.99159613243700906</v>
      </c>
      <c r="E15" s="134">
        <f ca="1">F15/MAX($F$9:F15)-1</f>
        <v>-2.8274851667016598E-2</v>
      </c>
      <c r="F15" s="135">
        <f t="shared" ca="1" si="3"/>
        <v>995.46429898398526</v>
      </c>
    </row>
    <row r="16" spans="1:13" x14ac:dyDescent="0.35">
      <c r="A16" s="136">
        <v>7</v>
      </c>
      <c r="B16" s="137">
        <f t="shared" ca="1" si="0"/>
        <v>-0.75110043137448834</v>
      </c>
      <c r="C16" s="138">
        <f t="shared" ca="1" si="1"/>
        <v>-7.5110043137448833E-3</v>
      </c>
      <c r="D16" s="139">
        <f t="shared" ca="1" si="2"/>
        <v>0.99248899568625515</v>
      </c>
      <c r="E16" s="134">
        <f ca="1">F16/MAX($F$9:F16)-1</f>
        <v>-3.5573483447919996E-2</v>
      </c>
      <c r="F16" s="135">
        <f t="shared" ca="1" si="3"/>
        <v>987.98736234013757</v>
      </c>
    </row>
    <row r="17" spans="1:6" x14ac:dyDescent="0.35">
      <c r="A17" s="136">
        <v>8</v>
      </c>
      <c r="B17" s="137">
        <f t="shared" ca="1" si="0"/>
        <v>-1.0943220958892057</v>
      </c>
      <c r="C17" s="138">
        <f t="shared" ca="1" si="1"/>
        <v>-1.0943220958892058E-2</v>
      </c>
      <c r="D17" s="139">
        <f t="shared" ca="1" si="2"/>
        <v>0.98905677904110789</v>
      </c>
      <c r="E17" s="134">
        <f ca="1">F17/MAX($F$9:F17)-1</f>
        <v>-4.6127415917163961E-2</v>
      </c>
      <c r="F17" s="135">
        <f t="shared" ca="1" si="3"/>
        <v>977.17559832945642</v>
      </c>
    </row>
    <row r="18" spans="1:6" x14ac:dyDescent="0.35">
      <c r="A18" s="136">
        <v>9</v>
      </c>
      <c r="B18" s="137">
        <f t="shared" ca="1" si="0"/>
        <v>-0.85585479323731262</v>
      </c>
      <c r="C18" s="138">
        <f t="shared" ca="1" si="1"/>
        <v>-8.5585479323731263E-3</v>
      </c>
      <c r="D18" s="139">
        <f t="shared" ca="1" si="2"/>
        <v>0.9914414520676269</v>
      </c>
      <c r="E18" s="134">
        <f ca="1">F18/MAX($F$9:F18)-1</f>
        <v>-5.4291180149413476E-2</v>
      </c>
      <c r="F18" s="135">
        <f t="shared" ca="1" si="3"/>
        <v>968.81239413280844</v>
      </c>
    </row>
    <row r="19" spans="1:6" x14ac:dyDescent="0.35">
      <c r="A19" s="136">
        <v>10</v>
      </c>
      <c r="B19" s="137">
        <f t="shared" ca="1" si="0"/>
        <v>-1.0189865321994429</v>
      </c>
      <c r="C19" s="138">
        <f t="shared" ca="1" si="1"/>
        <v>-1.0189865321994429E-2</v>
      </c>
      <c r="D19" s="139">
        <f t="shared" ca="1" si="2"/>
        <v>0.9898101346780056</v>
      </c>
      <c r="E19" s="134">
        <f ca="1">F19/MAX($F$9:F19)-1</f>
        <v>-6.3927825657513204E-2</v>
      </c>
      <c r="F19" s="135">
        <f t="shared" ca="1" si="3"/>
        <v>958.94032631431617</v>
      </c>
    </row>
    <row r="20" spans="1:6" x14ac:dyDescent="0.35">
      <c r="A20" s="136">
        <v>11</v>
      </c>
      <c r="B20" s="137">
        <f t="shared" ca="1" si="0"/>
        <v>2.1309747484127257</v>
      </c>
      <c r="C20" s="138">
        <f t="shared" ca="1" si="1"/>
        <v>2.1309747484127256E-2</v>
      </c>
      <c r="D20" s="139">
        <f t="shared" ca="1" si="2"/>
        <v>1.0213097474841273</v>
      </c>
      <c r="E20" s="134">
        <f ca="1">F20/MAX($F$9:F20)-1</f>
        <v>-4.3980363995356875E-2</v>
      </c>
      <c r="F20" s="135">
        <f t="shared" ca="1" si="3"/>
        <v>979.37510252042091</v>
      </c>
    </row>
    <row r="21" spans="1:6" x14ac:dyDescent="0.35">
      <c r="A21" s="136">
        <v>12</v>
      </c>
      <c r="B21" s="137">
        <f t="shared" ca="1" si="0"/>
        <v>-1.077898442840262</v>
      </c>
      <c r="C21" s="138">
        <f t="shared" ca="1" si="1"/>
        <v>-1.0778984428402621E-2</v>
      </c>
      <c r="D21" s="139">
        <f t="shared" ca="1" si="2"/>
        <v>0.98922101557159736</v>
      </c>
      <c r="E21" s="134">
        <f ca="1">F21/MAX($F$9:F21)-1</f>
        <v>-5.4285284765097974E-2</v>
      </c>
      <c r="F21" s="135">
        <f t="shared" ca="1" si="3"/>
        <v>968.81843354078808</v>
      </c>
    </row>
    <row r="22" spans="1:6" x14ac:dyDescent="0.35">
      <c r="A22" s="136">
        <v>13</v>
      </c>
      <c r="B22" s="137">
        <f t="shared" ca="1" si="0"/>
        <v>-0.83149926680001429</v>
      </c>
      <c r="C22" s="138">
        <f t="shared" ca="1" si="1"/>
        <v>-8.3149926680001433E-3</v>
      </c>
      <c r="D22" s="139">
        <f t="shared" ca="1" si="2"/>
        <v>0.99168500733199982</v>
      </c>
      <c r="E22" s="134">
        <f ca="1">F22/MAX($F$9:F22)-1</f>
        <v>-6.214889568829618E-2</v>
      </c>
      <c r="F22" s="135">
        <f t="shared" ca="1" si="3"/>
        <v>960.762715369273</v>
      </c>
    </row>
    <row r="23" spans="1:6" x14ac:dyDescent="0.35">
      <c r="A23" s="136">
        <v>14</v>
      </c>
      <c r="B23" s="137">
        <f t="shared" ca="1" si="0"/>
        <v>1.8935175819802395</v>
      </c>
      <c r="C23" s="138">
        <f t="shared" ca="1" si="1"/>
        <v>1.8935175819802395E-2</v>
      </c>
      <c r="D23" s="139">
        <f t="shared" ca="1" si="2"/>
        <v>1.0189351758198024</v>
      </c>
      <c r="E23" s="134">
        <f ca="1">F23/MAX($F$9:F23)-1</f>
        <v>-4.4390520135358158E-2</v>
      </c>
      <c r="F23" s="135">
        <f t="shared" ca="1" si="3"/>
        <v>978.95492630590093</v>
      </c>
    </row>
    <row r="24" spans="1:6" x14ac:dyDescent="0.35">
      <c r="A24" s="136">
        <v>15</v>
      </c>
      <c r="B24" s="137">
        <f t="shared" ca="1" si="0"/>
        <v>-0.94595782095878123</v>
      </c>
      <c r="C24" s="138">
        <f t="shared" ca="1" si="1"/>
        <v>-9.4595782095878121E-3</v>
      </c>
      <c r="D24" s="139">
        <f t="shared" ca="1" si="2"/>
        <v>0.99054042179041224</v>
      </c>
      <c r="E24" s="134">
        <f ca="1">F24/MAX($F$9:F24)-1</f>
        <v>-5.3430182747961297E-2</v>
      </c>
      <c r="F24" s="135">
        <f t="shared" ca="1" si="3"/>
        <v>969.694425616849</v>
      </c>
    </row>
    <row r="25" spans="1:6" x14ac:dyDescent="0.35">
      <c r="A25" s="136">
        <v>16</v>
      </c>
      <c r="B25" s="137">
        <f t="shared" ca="1" si="0"/>
        <v>-1.0193884427887252</v>
      </c>
      <c r="C25" s="138">
        <f t="shared" ca="1" si="1"/>
        <v>-1.0193884427887252E-2</v>
      </c>
      <c r="D25" s="139">
        <f t="shared" ca="1" si="2"/>
        <v>0.98980611557211273</v>
      </c>
      <c r="E25" s="134">
        <f ca="1">F25/MAX($F$9:F25)-1</f>
        <v>-6.3079406067954924E-2</v>
      </c>
      <c r="F25" s="135">
        <f t="shared" ca="1" si="3"/>
        <v>959.80947271174432</v>
      </c>
    </row>
    <row r="26" spans="1:6" x14ac:dyDescent="0.35">
      <c r="A26" s="136">
        <v>17</v>
      </c>
      <c r="B26" s="137">
        <f t="shared" ca="1" si="0"/>
        <v>2.0880577956822948</v>
      </c>
      <c r="C26" s="138">
        <f t="shared" ca="1" si="1"/>
        <v>2.0880577956822948E-2</v>
      </c>
      <c r="D26" s="139">
        <f t="shared" ca="1" si="2"/>
        <v>1.0208805779568229</v>
      </c>
      <c r="E26" s="134">
        <f ca="1">F26/MAX($F$9:F26)-1</f>
        <v>-4.3515962567004074E-2</v>
      </c>
      <c r="F26" s="135">
        <f t="shared" ca="1" si="3"/>
        <v>979.85084923039892</v>
      </c>
    </row>
    <row r="27" spans="1:6" x14ac:dyDescent="0.35">
      <c r="A27" s="136">
        <v>18</v>
      </c>
      <c r="B27" s="137">
        <f t="shared" ca="1" si="0"/>
        <v>-1.0764439907319379</v>
      </c>
      <c r="C27" s="138">
        <f t="shared" ca="1" si="1"/>
        <v>-1.0764439907319378E-2</v>
      </c>
      <c r="D27" s="139">
        <f t="shared" ca="1" si="2"/>
        <v>0.98923556009268065</v>
      </c>
      <c r="E27" s="134">
        <f ca="1">F27/MAX($F$9:F27)-1</f>
        <v>-5.3811977510261788E-2</v>
      </c>
      <c r="F27" s="135">
        <f t="shared" ca="1" si="3"/>
        <v>969.30330364572251</v>
      </c>
    </row>
    <row r="28" spans="1:6" x14ac:dyDescent="0.35">
      <c r="A28" s="136">
        <v>19</v>
      </c>
      <c r="B28" s="137">
        <f t="shared" ca="1" si="0"/>
        <v>-0.80897738937668107</v>
      </c>
      <c r="C28" s="138">
        <f t="shared" ca="1" si="1"/>
        <v>-8.0897738937668103E-3</v>
      </c>
      <c r="D28" s="139">
        <f t="shared" ca="1" si="2"/>
        <v>0.99191022610623314</v>
      </c>
      <c r="E28" s="134">
        <f ca="1">F28/MAX($F$9:F28)-1</f>
        <v>-6.1466424673194076E-2</v>
      </c>
      <c r="F28" s="135">
        <f t="shared" ca="1" si="3"/>
        <v>961.4618590847474</v>
      </c>
    </row>
    <row r="29" spans="1:6" x14ac:dyDescent="0.35">
      <c r="A29" s="136">
        <v>20</v>
      </c>
      <c r="B29" s="137">
        <f t="shared" ca="1" si="0"/>
        <v>1.6013402283385523</v>
      </c>
      <c r="C29" s="138">
        <f t="shared" ca="1" si="1"/>
        <v>1.6013402283385523E-2</v>
      </c>
      <c r="D29" s="139">
        <f t="shared" ca="1" si="2"/>
        <v>1.0160134022833855</v>
      </c>
      <c r="E29" s="134">
        <f ca="1">F29/MAX($F$9:F29)-1</f>
        <v>-4.6437308975021852E-2</v>
      </c>
      <c r="F29" s="135">
        <f t="shared" ca="1" si="3"/>
        <v>976.85813461440318</v>
      </c>
    </row>
    <row r="30" spans="1:6" x14ac:dyDescent="0.35">
      <c r="A30" s="136">
        <v>21</v>
      </c>
      <c r="B30" s="137">
        <f t="shared" ca="1" si="0"/>
        <v>-1.0917294300003284</v>
      </c>
      <c r="C30" s="138">
        <f t="shared" ca="1" si="1"/>
        <v>-1.0917294300003284E-2</v>
      </c>
      <c r="D30" s="139">
        <f t="shared" ca="1" si="2"/>
        <v>0.98908270569999668</v>
      </c>
      <c r="E30" s="134">
        <f ca="1">F30/MAX($F$9:F30)-1</f>
        <v>-5.6847633506444728E-2</v>
      </c>
      <c r="F30" s="135">
        <f t="shared" ca="1" si="3"/>
        <v>966.19348686946546</v>
      </c>
    </row>
    <row r="31" spans="1:6" x14ac:dyDescent="0.35">
      <c r="A31" s="136">
        <v>22</v>
      </c>
      <c r="B31" s="137">
        <f t="shared" ca="1" si="0"/>
        <v>-1.0878342247621036</v>
      </c>
      <c r="C31" s="138">
        <f t="shared" ca="1" si="1"/>
        <v>-1.0878342247621036E-2</v>
      </c>
      <c r="D31" s="139">
        <f t="shared" ca="1" si="2"/>
        <v>0.98912165775237892</v>
      </c>
      <c r="E31" s="134">
        <f ca="1">F31/MAX($F$9:F31)-1</f>
        <v>-6.7107567740815388E-2</v>
      </c>
      <c r="F31" s="135">
        <f t="shared" ca="1" si="3"/>
        <v>955.68290344187699</v>
      </c>
    </row>
    <row r="32" spans="1:6" x14ac:dyDescent="0.35">
      <c r="A32" s="136">
        <v>23</v>
      </c>
      <c r="B32" s="137">
        <f t="shared" ca="1" si="0"/>
        <v>2.2610955597886346</v>
      </c>
      <c r="C32" s="138">
        <f t="shared" ca="1" si="1"/>
        <v>2.2610955597886347E-2</v>
      </c>
      <c r="D32" s="139">
        <f t="shared" ca="1" si="2"/>
        <v>1.0226109555978864</v>
      </c>
      <c r="E32" s="134">
        <f ca="1">F32/MAX($F$9:F32)-1</f>
        <v>-4.6013978377398734E-2</v>
      </c>
      <c r="F32" s="135">
        <f t="shared" ca="1" si="3"/>
        <v>977.29180713726043</v>
      </c>
    </row>
    <row r="33" spans="1:6" x14ac:dyDescent="0.35">
      <c r="A33" s="136">
        <v>24</v>
      </c>
      <c r="B33" s="137">
        <f t="shared" ca="1" si="0"/>
        <v>-1.0438007269778344</v>
      </c>
      <c r="C33" s="138">
        <f t="shared" ca="1" si="1"/>
        <v>-1.0438007269778345E-2</v>
      </c>
      <c r="D33" s="139">
        <f t="shared" ca="1" si="2"/>
        <v>0.98956199273022161</v>
      </c>
      <c r="E33" s="134">
        <f ca="1">F33/MAX($F$9:F33)-1</f>
        <v>-5.5971691406362267E-2</v>
      </c>
      <c r="F33" s="135">
        <f t="shared" ca="1" si="3"/>
        <v>967.09082814966689</v>
      </c>
    </row>
    <row r="34" spans="1:6" x14ac:dyDescent="0.35">
      <c r="A34" s="136">
        <v>25</v>
      </c>
      <c r="B34" s="137">
        <f t="shared" ca="1" si="0"/>
        <v>-0.91424865735919569</v>
      </c>
      <c r="C34" s="138">
        <f t="shared" ca="1" si="1"/>
        <v>-9.1424865735919569E-3</v>
      </c>
      <c r="D34" s="139">
        <f t="shared" ca="1" si="2"/>
        <v>0.99085751342640804</v>
      </c>
      <c r="E34" s="134">
        <f ca="1">F34/MAX($F$9:F34)-1</f>
        <v>-6.4602457542770386E-2</v>
      </c>
      <c r="F34" s="135">
        <f t="shared" ca="1" si="3"/>
        <v>958.24921323786464</v>
      </c>
    </row>
    <row r="35" spans="1:6" x14ac:dyDescent="0.35">
      <c r="A35" s="136">
        <v>26</v>
      </c>
      <c r="B35" s="137">
        <f t="shared" ca="1" si="0"/>
        <v>1.7098669855676878</v>
      </c>
      <c r="C35" s="138">
        <f t="shared" ca="1" si="1"/>
        <v>1.7098669855676877E-2</v>
      </c>
      <c r="D35" s="139">
        <f t="shared" ca="1" si="2"/>
        <v>1.017098669855677</v>
      </c>
      <c r="E35" s="134">
        <f ca="1">F35/MAX($F$9:F35)-1</f>
        <v>-4.860840378048259E-2</v>
      </c>
      <c r="F35" s="135">
        <f t="shared" ca="1" si="3"/>
        <v>974.63400017448112</v>
      </c>
    </row>
    <row r="36" spans="1:6" x14ac:dyDescent="0.35">
      <c r="A36" s="136">
        <v>27</v>
      </c>
      <c r="B36" s="137">
        <f t="shared" ca="1" si="0"/>
        <v>-0.86387154101621388</v>
      </c>
      <c r="C36" s="138">
        <f t="shared" ca="1" si="1"/>
        <v>-8.6387154101621386E-3</v>
      </c>
      <c r="D36" s="139">
        <f t="shared" ca="1" si="2"/>
        <v>0.99136128458983785</v>
      </c>
      <c r="E36" s="134">
        <f ca="1">F36/MAX($F$9:F36)-1</f>
        <v>-5.6827205023842975E-2</v>
      </c>
      <c r="F36" s="135">
        <f t="shared" ca="1" si="3"/>
        <v>966.2144144179058</v>
      </c>
    </row>
    <row r="37" spans="1:6" x14ac:dyDescent="0.35">
      <c r="A37" s="136">
        <v>28</v>
      </c>
      <c r="B37" s="137">
        <f t="shared" ca="1" si="0"/>
        <v>-0.9081094270706892</v>
      </c>
      <c r="C37" s="138">
        <f t="shared" ca="1" si="1"/>
        <v>-9.0810942707068923E-3</v>
      </c>
      <c r="D37" s="139">
        <f t="shared" ca="1" si="2"/>
        <v>0.99091890572929309</v>
      </c>
      <c r="E37" s="134">
        <f ca="1">F37/MAX($F$9:F37)-1</f>
        <v>-6.5392246088587513E-2</v>
      </c>
      <c r="F37" s="135">
        <f t="shared" ca="1" si="3"/>
        <v>957.44013023486093</v>
      </c>
    </row>
    <row r="38" spans="1:6" x14ac:dyDescent="0.35">
      <c r="A38" s="136">
        <v>29</v>
      </c>
      <c r="B38" s="137">
        <f t="shared" ca="1" si="0"/>
        <v>2.1610291190425377</v>
      </c>
      <c r="C38" s="138">
        <f t="shared" ca="1" si="1"/>
        <v>2.1610291190425377E-2</v>
      </c>
      <c r="D38" s="139">
        <f t="shared" ca="1" si="2"/>
        <v>1.0216102911904255</v>
      </c>
      <c r="E38" s="134">
        <f ca="1">F38/MAX($F$9:F38)-1</f>
        <v>-4.5195100377732444E-2</v>
      </c>
      <c r="F38" s="135">
        <f t="shared" ca="1" si="3"/>
        <v>978.13069024663514</v>
      </c>
    </row>
    <row r="39" spans="1:6" x14ac:dyDescent="0.35">
      <c r="A39" s="136">
        <v>30</v>
      </c>
      <c r="B39" s="137">
        <f t="shared" ca="1" si="0"/>
        <v>-0.92348507293335835</v>
      </c>
      <c r="C39" s="138">
        <f t="shared" ca="1" si="1"/>
        <v>-9.2348507293335842E-3</v>
      </c>
      <c r="D39" s="139">
        <f t="shared" ca="1" si="2"/>
        <v>0.99076514927066639</v>
      </c>
      <c r="E39" s="134">
        <f ca="1">F39/MAX($F$9:F39)-1</f>
        <v>-5.4012581101380408E-2</v>
      </c>
      <c r="F39" s="135">
        <f t="shared" ca="1" si="3"/>
        <v>969.09779932842741</v>
      </c>
    </row>
    <row r="40" spans="1:6" x14ac:dyDescent="0.35">
      <c r="A40" s="136">
        <v>31</v>
      </c>
      <c r="B40" s="137">
        <f t="shared" ca="1" si="0"/>
        <v>-0.78164343343239651</v>
      </c>
      <c r="C40" s="138">
        <f t="shared" ca="1" si="1"/>
        <v>-7.8164343343239649E-3</v>
      </c>
      <c r="D40" s="139">
        <f t="shared" ca="1" si="2"/>
        <v>0.992183565665676</v>
      </c>
      <c r="E40" s="134">
        <f ca="1">F40/MAX($F$9:F40)-1</f>
        <v>-6.1406829642298155E-2</v>
      </c>
      <c r="F40" s="135">
        <f t="shared" ca="1" si="3"/>
        <v>961.52291001643891</v>
      </c>
    </row>
    <row r="41" spans="1:6" x14ac:dyDescent="0.35">
      <c r="A41" s="136">
        <v>32</v>
      </c>
      <c r="B41" s="137">
        <f t="shared" ca="1" si="0"/>
        <v>-1.0753422249096365</v>
      </c>
      <c r="C41" s="138">
        <f t="shared" ca="1" si="1"/>
        <v>-1.0753422249096365E-2</v>
      </c>
      <c r="D41" s="139">
        <f t="shared" ca="1" si="2"/>
        <v>0.98924657775090363</v>
      </c>
      <c r="E41" s="134">
        <f ca="1">F41/MAX($F$9:F41)-1</f>
        <v>-7.1499918323272516E-2</v>
      </c>
      <c r="F41" s="135">
        <f t="shared" ca="1" si="3"/>
        <v>951.18324816285224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-0.79830152624088579</v>
      </c>
      <c r="C42" s="138">
        <f t="shared" ref="C42:C73" ca="1" si="5">B42*$E$2</f>
        <v>-7.9830152624088581E-3</v>
      </c>
      <c r="D42" s="139">
        <f t="shared" ref="D42:D73" ca="1" si="6">C42+1</f>
        <v>0.99201698473759115</v>
      </c>
      <c r="E42" s="134">
        <f ca="1">F42/MAX($F$9:F42)-1</f>
        <v>-7.891214864644569E-2</v>
      </c>
      <c r="F42" s="135">
        <f t="shared" ref="F42:F73" ca="1" si="7">F41*D42</f>
        <v>943.58993777542059</v>
      </c>
    </row>
    <row r="43" spans="1:6" x14ac:dyDescent="0.35">
      <c r="A43" s="136">
        <v>34</v>
      </c>
      <c r="B43" s="137">
        <f t="shared" ca="1" si="4"/>
        <v>2.1942289678953859</v>
      </c>
      <c r="C43" s="138">
        <f t="shared" ca="1" si="5"/>
        <v>2.1942289678953859E-2</v>
      </c>
      <c r="D43" s="139">
        <f t="shared" ca="1" si="6"/>
        <v>1.0219422896789538</v>
      </c>
      <c r="E43" s="134">
        <f ca="1">F43/MAX($F$9:F43)-1</f>
        <v>-5.8701372192280776E-2</v>
      </c>
      <c r="F43" s="135">
        <f t="shared" ca="1" si="7"/>
        <v>964.29446152823493</v>
      </c>
    </row>
    <row r="44" spans="1:6" x14ac:dyDescent="0.35">
      <c r="A44" s="136">
        <v>35</v>
      </c>
      <c r="B44" s="137">
        <f t="shared" ca="1" si="4"/>
        <v>-1.0398979580114034</v>
      </c>
      <c r="C44" s="138">
        <f t="shared" ca="1" si="5"/>
        <v>-1.0398979580114034E-2</v>
      </c>
      <c r="D44" s="139">
        <f t="shared" ca="1" si="6"/>
        <v>0.98960102041988596</v>
      </c>
      <c r="E44" s="134">
        <f ca="1">F44/MAX($F$9:F44)-1</f>
        <v>-6.8489917401642564E-2</v>
      </c>
      <c r="F44" s="135">
        <f t="shared" ca="1" si="7"/>
        <v>954.2667831135858</v>
      </c>
    </row>
    <row r="45" spans="1:6" x14ac:dyDescent="0.35">
      <c r="A45" s="136">
        <v>36</v>
      </c>
      <c r="B45" s="137">
        <f t="shared" ca="1" si="4"/>
        <v>-1.034453419985619</v>
      </c>
      <c r="C45" s="138">
        <f t="shared" ca="1" si="5"/>
        <v>-1.034453419985619E-2</v>
      </c>
      <c r="D45" s="139">
        <f t="shared" ca="1" si="6"/>
        <v>0.98965546580014385</v>
      </c>
      <c r="E45" s="134">
        <f ca="1">F45/MAX($F$9:F45)-1</f>
        <v>-7.8125955308592121E-2</v>
      </c>
      <c r="F45" s="135">
        <f t="shared" ca="1" si="7"/>
        <v>944.39533773988057</v>
      </c>
    </row>
    <row r="46" spans="1:6" x14ac:dyDescent="0.35">
      <c r="A46" s="136">
        <v>37</v>
      </c>
      <c r="B46" s="137">
        <f t="shared" ca="1" si="4"/>
        <v>1.8907389492250815</v>
      </c>
      <c r="C46" s="138">
        <f t="shared" ca="1" si="5"/>
        <v>1.8907389492250817E-2</v>
      </c>
      <c r="D46" s="139">
        <f t="shared" ca="1" si="6"/>
        <v>1.0189073894922509</v>
      </c>
      <c r="E46" s="134">
        <f ca="1">F46/MAX($F$9:F46)-1</f>
        <v>-6.069572368281495E-2</v>
      </c>
      <c r="F46" s="135">
        <f t="shared" ca="1" si="7"/>
        <v>962.25138822519432</v>
      </c>
    </row>
    <row r="47" spans="1:6" x14ac:dyDescent="0.35">
      <c r="A47" s="136">
        <v>38</v>
      </c>
      <c r="B47" s="137">
        <f t="shared" ca="1" si="4"/>
        <v>-0.90172027640776564</v>
      </c>
      <c r="C47" s="138">
        <f t="shared" ca="1" si="5"/>
        <v>-9.0172027640776573E-3</v>
      </c>
      <c r="D47" s="139">
        <f t="shared" ca="1" si="6"/>
        <v>0.99098279723592231</v>
      </c>
      <c r="E47" s="134">
        <f ca="1">F47/MAX($F$9:F47)-1</f>
        <v>-6.9165620799532368E-2</v>
      </c>
      <c r="F47" s="135">
        <f t="shared" ca="1" si="7"/>
        <v>953.57457234755248</v>
      </c>
    </row>
    <row r="48" spans="1:6" x14ac:dyDescent="0.35">
      <c r="A48" s="136">
        <v>39</v>
      </c>
      <c r="B48" s="137">
        <f t="shared" ca="1" si="4"/>
        <v>-0.86399335277302336</v>
      </c>
      <c r="C48" s="138">
        <f t="shared" ca="1" si="5"/>
        <v>-8.6399335277302335E-3</v>
      </c>
      <c r="D48" s="139">
        <f t="shared" ca="1" si="6"/>
        <v>0.99136006647226982</v>
      </c>
      <c r="E48" s="134">
        <f ca="1">F48/MAX($F$9:F48)-1</f>
        <v>-7.720796796115037E-2</v>
      </c>
      <c r="F48" s="135">
        <f t="shared" ca="1" si="7"/>
        <v>945.33575142873588</v>
      </c>
    </row>
    <row r="49" spans="1:6" x14ac:dyDescent="0.35">
      <c r="A49" s="136">
        <v>40</v>
      </c>
      <c r="B49" s="137">
        <f t="shared" ca="1" si="4"/>
        <v>-0.85660855901758837</v>
      </c>
      <c r="C49" s="138">
        <f t="shared" ca="1" si="5"/>
        <v>-8.5660855901758832E-3</v>
      </c>
      <c r="D49" s="139">
        <f t="shared" ca="1" si="6"/>
        <v>0.99143391440982409</v>
      </c>
      <c r="E49" s="134">
        <f ca="1">F49/MAX($F$9:F49)-1</f>
        <v>-8.5112683489527496E-2</v>
      </c>
      <c r="F49" s="135">
        <f t="shared" ca="1" si="7"/>
        <v>937.23792447054404</v>
      </c>
    </row>
    <row r="50" spans="1:6" x14ac:dyDescent="0.35">
      <c r="A50" s="136">
        <v>41</v>
      </c>
      <c r="B50" s="137">
        <f t="shared" ca="1" si="4"/>
        <v>2.2454740248356071</v>
      </c>
      <c r="C50" s="138">
        <f t="shared" ca="1" si="5"/>
        <v>2.2454740248356073E-2</v>
      </c>
      <c r="D50" s="139">
        <f t="shared" ca="1" si="6"/>
        <v>1.0224547402483561</v>
      </c>
      <c r="E50" s="134">
        <f ca="1">F50/MAX($F$9:F50)-1</f>
        <v>-6.4569126440769287E-2</v>
      </c>
      <c r="F50" s="135">
        <f t="shared" ca="1" si="7"/>
        <v>958.28335861543849</v>
      </c>
    </row>
    <row r="51" spans="1:6" x14ac:dyDescent="0.35">
      <c r="A51" s="136">
        <v>42</v>
      </c>
      <c r="B51" s="137">
        <f t="shared" ca="1" si="4"/>
        <v>-0.84646236706299249</v>
      </c>
      <c r="C51" s="138">
        <f t="shared" ca="1" si="5"/>
        <v>-8.4646236706299258E-3</v>
      </c>
      <c r="D51" s="139">
        <f t="shared" ca="1" si="6"/>
        <v>0.99153537632937006</v>
      </c>
      <c r="E51" s="134">
        <f ca="1">F51/MAX($F$9:F51)-1</f>
        <v>-7.248719675533688E-2</v>
      </c>
      <c r="F51" s="135">
        <f t="shared" ca="1" si="7"/>
        <v>950.17185061493149</v>
      </c>
    </row>
    <row r="52" spans="1:6" x14ac:dyDescent="0.35">
      <c r="A52" s="136">
        <v>43</v>
      </c>
      <c r="B52" s="137">
        <f t="shared" ca="1" si="4"/>
        <v>-0.87239803088608525</v>
      </c>
      <c r="C52" s="138">
        <f t="shared" ca="1" si="5"/>
        <v>-8.7239803088608528E-3</v>
      </c>
      <c r="D52" s="139">
        <f t="shared" ca="1" si="6"/>
        <v>0.9912760196911391</v>
      </c>
      <c r="E52" s="134">
        <f ca="1">F52/MAX($F$9:F52)-1</f>
        <v>-8.0578800187059652E-2</v>
      </c>
      <c r="F52" s="135">
        <f t="shared" ca="1" si="7"/>
        <v>941.88257010013285</v>
      </c>
    </row>
    <row r="53" spans="1:6" x14ac:dyDescent="0.35">
      <c r="A53" s="136">
        <v>44</v>
      </c>
      <c r="B53" s="137">
        <f t="shared" ca="1" si="4"/>
        <v>-1.0858926463363741</v>
      </c>
      <c r="C53" s="138">
        <f t="shared" ca="1" si="5"/>
        <v>-1.0858926463363741E-2</v>
      </c>
      <c r="D53" s="139">
        <f t="shared" ca="1" si="6"/>
        <v>0.98914107353663627</v>
      </c>
      <c r="E53" s="134">
        <f ca="1">F53/MAX($F$9:F53)-1</f>
        <v>-9.056272738468607E-2</v>
      </c>
      <c r="F53" s="135">
        <f t="shared" ca="1" si="7"/>
        <v>931.65473653429149</v>
      </c>
    </row>
    <row r="54" spans="1:6" x14ac:dyDescent="0.35">
      <c r="A54" s="136">
        <v>45</v>
      </c>
      <c r="B54" s="137">
        <f t="shared" ca="1" si="4"/>
        <v>1.8895602007674155</v>
      </c>
      <c r="C54" s="138">
        <f t="shared" ca="1" si="5"/>
        <v>1.8895602007674154E-2</v>
      </c>
      <c r="D54" s="139">
        <f t="shared" ca="1" si="6"/>
        <v>1.0188956020076743</v>
      </c>
      <c r="E54" s="134">
        <f ca="1">F54/MAX($F$9:F54)-1</f>
        <v>-7.3378362630402316E-2</v>
      </c>
      <c r="F54" s="135">
        <f t="shared" ca="1" si="7"/>
        <v>949.25891364440804</v>
      </c>
    </row>
    <row r="55" spans="1:6" x14ac:dyDescent="0.35">
      <c r="A55" s="136">
        <v>46</v>
      </c>
      <c r="B55" s="137">
        <f t="shared" ca="1" si="4"/>
        <v>-1.0465606727341243</v>
      </c>
      <c r="C55" s="138">
        <f t="shared" ca="1" si="5"/>
        <v>-1.0465606727341243E-2</v>
      </c>
      <c r="D55" s="139">
        <f t="shared" ca="1" si="6"/>
        <v>0.9895343932726588</v>
      </c>
      <c r="E55" s="134">
        <f ca="1">F55/MAX($F$9:F55)-1</f>
        <v>-8.3076020272157547E-2</v>
      </c>
      <c r="F55" s="135">
        <f t="shared" ca="1" si="7"/>
        <v>939.32434317178252</v>
      </c>
    </row>
    <row r="56" spans="1:6" x14ac:dyDescent="0.35">
      <c r="A56" s="136">
        <v>47</v>
      </c>
      <c r="B56" s="137">
        <f t="shared" ca="1" si="4"/>
        <v>-0.81752524782731351</v>
      </c>
      <c r="C56" s="138">
        <f t="shared" ca="1" si="5"/>
        <v>-8.1752524782731355E-3</v>
      </c>
      <c r="D56" s="139">
        <f t="shared" ca="1" si="6"/>
        <v>0.99182474752172689</v>
      </c>
      <c r="E56" s="134">
        <f ca="1">F56/MAX($F$9:F56)-1</f>
        <v>-9.0572105309815631E-2</v>
      </c>
      <c r="F56" s="135">
        <f t="shared" ca="1" si="7"/>
        <v>931.64512950736514</v>
      </c>
    </row>
    <row r="57" spans="1:6" x14ac:dyDescent="0.35">
      <c r="A57" s="136">
        <v>48</v>
      </c>
      <c r="B57" s="137">
        <f t="shared" ca="1" si="4"/>
        <v>1.8813188831783678</v>
      </c>
      <c r="C57" s="138">
        <f t="shared" ca="1" si="5"/>
        <v>1.8813188831783678E-2</v>
      </c>
      <c r="D57" s="139">
        <f t="shared" ca="1" si="6"/>
        <v>1.0188131888317837</v>
      </c>
      <c r="E57" s="134">
        <f ca="1">F57/MAX($F$9:F57)-1</f>
        <v>-7.3462866598117627E-2</v>
      </c>
      <c r="F57" s="135">
        <f t="shared" ca="1" si="7"/>
        <v>949.17234525299887</v>
      </c>
    </row>
    <row r="58" spans="1:6" x14ac:dyDescent="0.35">
      <c r="A58" s="136">
        <v>49</v>
      </c>
      <c r="B58" s="137">
        <f t="shared" ca="1" si="4"/>
        <v>-1.0338559151189208</v>
      </c>
      <c r="C58" s="138">
        <f t="shared" ca="1" si="5"/>
        <v>-1.0338559151189209E-2</v>
      </c>
      <c r="D58" s="139">
        <f t="shared" ca="1" si="6"/>
        <v>0.9896614408488108</v>
      </c>
      <c r="E58" s="134">
        <f ca="1">F58/MAX($F$9:F58)-1</f>
        <v>-8.3041925557566287E-2</v>
      </c>
      <c r="F58" s="135">
        <f t="shared" ca="1" si="7"/>
        <v>939.35927081692773</v>
      </c>
    </row>
    <row r="59" spans="1:6" x14ac:dyDescent="0.35">
      <c r="A59" s="136">
        <v>50</v>
      </c>
      <c r="B59" s="137">
        <f t="shared" ca="1" si="4"/>
        <v>-0.91564320684119394</v>
      </c>
      <c r="C59" s="138">
        <f t="shared" ca="1" si="5"/>
        <v>-9.1564320684119401E-3</v>
      </c>
      <c r="D59" s="139">
        <f t="shared" ca="1" si="6"/>
        <v>0.99084356793158801</v>
      </c>
      <c r="E59" s="134">
        <f ca="1">F59/MAX($F$9:F59)-1</f>
        <v>-9.1437989875780334E-2</v>
      </c>
      <c r="F59" s="135">
        <f t="shared" ca="1" si="7"/>
        <v>930.75809146585948</v>
      </c>
    </row>
    <row r="60" spans="1:6" x14ac:dyDescent="0.35">
      <c r="A60" s="136">
        <v>51</v>
      </c>
      <c r="B60" s="137">
        <f t="shared" ca="1" si="4"/>
        <v>-0.75063484042990203</v>
      </c>
      <c r="C60" s="138">
        <f t="shared" ca="1" si="5"/>
        <v>-7.5063484042990208E-3</v>
      </c>
      <c r="D60" s="139">
        <f t="shared" ca="1" si="6"/>
        <v>0.99249365159570102</v>
      </c>
      <c r="E60" s="134">
        <f ca="1">F60/MAX($F$9:F60)-1</f>
        <v>-9.8257972870682941E-2</v>
      </c>
      <c r="F60" s="135">
        <f t="shared" ca="1" si="7"/>
        <v>923.77149695119635</v>
      </c>
    </row>
    <row r="61" spans="1:6" x14ac:dyDescent="0.35">
      <c r="A61" s="136">
        <v>52</v>
      </c>
      <c r="B61" s="137">
        <f t="shared" ca="1" si="4"/>
        <v>-0.78125805531458692</v>
      </c>
      <c r="C61" s="138">
        <f t="shared" ca="1" si="5"/>
        <v>-7.8125805531458689E-3</v>
      </c>
      <c r="D61" s="139">
        <f t="shared" ca="1" si="6"/>
        <v>0.99218741944685418</v>
      </c>
      <c r="E61" s="134">
        <f ca="1">F61/MAX($F$9:F61)-1</f>
        <v>-0.10530290509578777</v>
      </c>
      <c r="F61" s="135">
        <f t="shared" ca="1" si="7"/>
        <v>916.554457718565</v>
      </c>
    </row>
    <row r="62" spans="1:6" x14ac:dyDescent="0.35">
      <c r="A62" s="136">
        <v>53</v>
      </c>
      <c r="B62" s="137">
        <f t="shared" ca="1" si="4"/>
        <v>-0.77374682275923112</v>
      </c>
      <c r="C62" s="138">
        <f t="shared" ca="1" si="5"/>
        <v>-7.7374682275923113E-3</v>
      </c>
      <c r="D62" s="139">
        <f t="shared" ca="1" si="6"/>
        <v>0.99226253177240764</v>
      </c>
      <c r="E62" s="134">
        <f ca="1">F62/MAX($F$9:F62)-1</f>
        <v>-0.11222559544092825</v>
      </c>
      <c r="F62" s="135">
        <f t="shared" ca="1" si="7"/>
        <v>909.46264672310951</v>
      </c>
    </row>
    <row r="63" spans="1:6" x14ac:dyDescent="0.35">
      <c r="A63" s="136">
        <v>54</v>
      </c>
      <c r="B63" s="137">
        <f t="shared" ca="1" si="4"/>
        <v>-0.82954924921854556</v>
      </c>
      <c r="C63" s="138">
        <f t="shared" ca="1" si="5"/>
        <v>-8.2954924921854554E-3</v>
      </c>
      <c r="D63" s="139">
        <f t="shared" ca="1" si="6"/>
        <v>0.99170450750781458</v>
      </c>
      <c r="E63" s="134">
        <f ca="1">F63/MAX($F$9:F63)-1</f>
        <v>-0.11959012134870239</v>
      </c>
      <c r="F63" s="135">
        <f t="shared" ca="1" si="7"/>
        <v>901.91820616529492</v>
      </c>
    </row>
    <row r="64" spans="1:6" x14ac:dyDescent="0.35">
      <c r="A64" s="136">
        <v>55</v>
      </c>
      <c r="B64" s="137">
        <f t="shared" ca="1" si="4"/>
        <v>1.9131260239972065</v>
      </c>
      <c r="C64" s="138">
        <f t="shared" ca="1" si="5"/>
        <v>1.9131260239972067E-2</v>
      </c>
      <c r="D64" s="139">
        <f t="shared" ca="1" si="6"/>
        <v>1.019131260239972</v>
      </c>
      <c r="E64" s="134">
        <f ca="1">F64/MAX($F$9:F64)-1</f>
        <v>-0.10274677084238215</v>
      </c>
      <c r="F64" s="135">
        <f t="shared" ca="1" si="7"/>
        <v>919.17303808261192</v>
      </c>
    </row>
    <row r="65" spans="1:6" x14ac:dyDescent="0.35">
      <c r="A65" s="136">
        <v>56</v>
      </c>
      <c r="B65" s="137">
        <f t="shared" ca="1" si="4"/>
        <v>-0.87229020628620568</v>
      </c>
      <c r="C65" s="138">
        <f t="shared" ca="1" si="5"/>
        <v>-8.722902062862057E-3</v>
      </c>
      <c r="D65" s="139">
        <f t="shared" ca="1" si="6"/>
        <v>0.99127709793713792</v>
      </c>
      <c r="E65" s="134">
        <f ca="1">F65/MAX($F$9:F65)-1</f>
        <v>-0.11057342288591077</v>
      </c>
      <c r="F65" s="135">
        <f t="shared" ca="1" si="7"/>
        <v>911.15518169259394</v>
      </c>
    </row>
    <row r="66" spans="1:6" x14ac:dyDescent="0.35">
      <c r="A66" s="136">
        <v>57</v>
      </c>
      <c r="B66" s="137">
        <f t="shared" ca="1" si="4"/>
        <v>-0.95244545038987716</v>
      </c>
      <c r="C66" s="138">
        <f t="shared" ca="1" si="5"/>
        <v>-9.5244545038987716E-3</v>
      </c>
      <c r="D66" s="139">
        <f t="shared" ca="1" si="6"/>
        <v>0.99047554549610117</v>
      </c>
      <c r="E66" s="134">
        <f ca="1">F66/MAX($F$9:F66)-1</f>
        <v>-0.11904472585419246</v>
      </c>
      <c r="F66" s="135">
        <f t="shared" ca="1" si="7"/>
        <v>902.47692561857116</v>
      </c>
    </row>
    <row r="67" spans="1:6" x14ac:dyDescent="0.35">
      <c r="A67" s="136">
        <v>58</v>
      </c>
      <c r="B67" s="137">
        <f t="shared" ca="1" si="4"/>
        <v>-0.82953055737550241</v>
      </c>
      <c r="C67" s="138">
        <f t="shared" ca="1" si="5"/>
        <v>-8.2953055737550237E-3</v>
      </c>
      <c r="D67" s="139">
        <f t="shared" ca="1" si="6"/>
        <v>0.99170469442624498</v>
      </c>
      <c r="E67" s="134">
        <f ca="1">F67/MAX($F$9:F67)-1</f>
        <v>-0.12635251905004308</v>
      </c>
      <c r="F67" s="135">
        <f t="shared" ca="1" si="7"/>
        <v>894.99060374730209</v>
      </c>
    </row>
    <row r="68" spans="1:6" x14ac:dyDescent="0.35">
      <c r="A68" s="136">
        <v>59</v>
      </c>
      <c r="B68" s="137">
        <f t="shared" ca="1" si="4"/>
        <v>-0.95943483692994291</v>
      </c>
      <c r="C68" s="138">
        <f t="shared" ca="1" si="5"/>
        <v>-9.5943483692994286E-3</v>
      </c>
      <c r="D68" s="139">
        <f t="shared" ca="1" si="6"/>
        <v>0.9904056516307006</v>
      </c>
      <c r="E68" s="134">
        <f ca="1">F68/MAX($F$9:F68)-1</f>
        <v>-0.13473459733423787</v>
      </c>
      <c r="F68" s="135">
        <f t="shared" ca="1" si="7"/>
        <v>886.40375210770083</v>
      </c>
    </row>
    <row r="69" spans="1:6" x14ac:dyDescent="0.35">
      <c r="A69" s="136">
        <v>60</v>
      </c>
      <c r="B69" s="137">
        <f t="shared" ca="1" si="4"/>
        <v>2.2794603519418288</v>
      </c>
      <c r="C69" s="138">
        <f t="shared" ca="1" si="5"/>
        <v>2.279460351941829E-2</v>
      </c>
      <c r="D69" s="139">
        <f t="shared" ca="1" si="6"/>
        <v>1.0227946035194182</v>
      </c>
      <c r="E69" s="134">
        <f ca="1">F69/MAX($F$9:F69)-1</f>
        <v>-0.11501121554140215</v>
      </c>
      <c r="F69" s="135">
        <f t="shared" ca="1" si="7"/>
        <v>906.60897419512048</v>
      </c>
    </row>
    <row r="70" spans="1:6" x14ac:dyDescent="0.35">
      <c r="A70" s="136">
        <v>61</v>
      </c>
      <c r="B70" s="137">
        <f t="shared" ca="1" si="4"/>
        <v>-0.86986195386041998</v>
      </c>
      <c r="C70" s="138">
        <f t="shared" ca="1" si="5"/>
        <v>-8.6986195386042006E-3</v>
      </c>
      <c r="D70" s="139">
        <f t="shared" ca="1" si="6"/>
        <v>0.99130138046139582</v>
      </c>
      <c r="E70" s="134">
        <f ca="1">F70/MAX($F$9:F70)-1</f>
        <v>-0.12270939627333921</v>
      </c>
      <c r="F70" s="135">
        <f t="shared" ca="1" si="7"/>
        <v>898.72272765831292</v>
      </c>
    </row>
    <row r="71" spans="1:6" x14ac:dyDescent="0.35">
      <c r="A71" s="136">
        <v>62</v>
      </c>
      <c r="B71" s="137">
        <f t="shared" ca="1" si="4"/>
        <v>2.1019158363979331</v>
      </c>
      <c r="C71" s="138">
        <f t="shared" ca="1" si="5"/>
        <v>2.1019158363979332E-2</v>
      </c>
      <c r="D71" s="139">
        <f t="shared" ca="1" si="6"/>
        <v>1.0210191583639794</v>
      </c>
      <c r="E71" s="134">
        <f ca="1">F71/MAX($F$9:F71)-1</f>
        <v>-0.10426948614237752</v>
      </c>
      <c r="F71" s="135">
        <f t="shared" ca="1" si="7"/>
        <v>917.61312299627048</v>
      </c>
    </row>
    <row r="72" spans="1:6" x14ac:dyDescent="0.35">
      <c r="A72" s="136">
        <v>63</v>
      </c>
      <c r="B72" s="137">
        <f t="shared" ca="1" si="4"/>
        <v>-0.88826924722628831</v>
      </c>
      <c r="C72" s="138">
        <f t="shared" ca="1" si="5"/>
        <v>-8.8826924722628826E-3</v>
      </c>
      <c r="D72" s="139">
        <f t="shared" ca="1" si="6"/>
        <v>0.99111730752773708</v>
      </c>
      <c r="E72" s="134">
        <f ca="1">F72/MAX($F$9:F72)-1</f>
        <v>-0.11222598483499679</v>
      </c>
      <c r="F72" s="135">
        <f t="shared" ca="1" si="7"/>
        <v>909.46224781618184</v>
      </c>
    </row>
    <row r="73" spans="1:6" x14ac:dyDescent="0.35">
      <c r="A73" s="136">
        <v>64</v>
      </c>
      <c r="B73" s="137">
        <f t="shared" ca="1" si="4"/>
        <v>-0.76514753091310905</v>
      </c>
      <c r="C73" s="138">
        <f t="shared" ca="1" si="5"/>
        <v>-7.651475309131091E-3</v>
      </c>
      <c r="D73" s="139">
        <f t="shared" ca="1" si="6"/>
        <v>0.99234852469086887</v>
      </c>
      <c r="E73" s="134">
        <f ca="1">F73/MAX($F$9:F73)-1</f>
        <v>-0.11901876579212001</v>
      </c>
      <c r="F73" s="135">
        <f t="shared" ca="1" si="7"/>
        <v>902.50351988242949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1.5409224693286334</v>
      </c>
      <c r="C74" s="138">
        <f t="shared" ref="C74:C105" ca="1" si="9">B74*$E$2</f>
        <v>1.5409224693286334E-2</v>
      </c>
      <c r="D74" s="139">
        <f t="shared" ref="D74:D105" ca="1" si="10">C74+1</f>
        <v>1.0154092246932864</v>
      </c>
      <c r="E74" s="134">
        <f ca="1">F74/MAX($F$9:F74)-1</f>
        <v>-0.10544352800364187</v>
      </c>
      <c r="F74" s="135">
        <f t="shared" ref="F74:F109" ca="1" si="11">F73*D74</f>
        <v>916.41039940677979</v>
      </c>
    </row>
    <row r="75" spans="1:6" x14ac:dyDescent="0.35">
      <c r="A75" s="136">
        <v>66</v>
      </c>
      <c r="B75" s="137">
        <f t="shared" ca="1" si="8"/>
        <v>1.9873056593699583</v>
      </c>
      <c r="C75" s="138">
        <f t="shared" ca="1" si="9"/>
        <v>1.9873056593699583E-2</v>
      </c>
      <c r="D75" s="139">
        <f t="shared" ca="1" si="10"/>
        <v>1.0198730565936995</v>
      </c>
      <c r="E75" s="134">
        <f ca="1">F75/MAX($F$9:F75)-1</f>
        <v>-8.7665956609398021E-2</v>
      </c>
      <c r="F75" s="135">
        <f t="shared" ca="1" si="11"/>
        <v>934.62227513724554</v>
      </c>
    </row>
    <row r="76" spans="1:6" x14ac:dyDescent="0.35">
      <c r="A76" s="136">
        <v>67</v>
      </c>
      <c r="B76" s="137">
        <f t="shared" ca="1" si="8"/>
        <v>2.187280140341612</v>
      </c>
      <c r="C76" s="138">
        <f t="shared" ca="1" si="9"/>
        <v>2.1872801403416121E-2</v>
      </c>
      <c r="D76" s="139">
        <f t="shared" ca="1" si="10"/>
        <v>1.0218728014034162</v>
      </c>
      <c r="E76" s="134">
        <f ca="1">F76/MAX($F$9:F76)-1</f>
        <v>-6.7710655264739628E-2</v>
      </c>
      <c r="F76" s="135">
        <f t="shared" ca="1" si="11"/>
        <v>955.06508254853156</v>
      </c>
    </row>
    <row r="77" spans="1:6" x14ac:dyDescent="0.35">
      <c r="A77" s="136">
        <v>68</v>
      </c>
      <c r="B77" s="137">
        <f t="shared" ca="1" si="8"/>
        <v>-0.82184169229215254</v>
      </c>
      <c r="C77" s="138">
        <f t="shared" ca="1" si="9"/>
        <v>-8.2184169229215249E-3</v>
      </c>
      <c r="D77" s="139">
        <f t="shared" ca="1" si="10"/>
        <v>0.99178158307707842</v>
      </c>
      <c r="E77" s="134">
        <f ca="1">F77/MAX($F$9:F77)-1</f>
        <v>-7.5372597792571439E-2</v>
      </c>
      <c r="F77" s="135">
        <f t="shared" ca="1" si="11"/>
        <v>947.21595951162317</v>
      </c>
    </row>
    <row r="78" spans="1:6" x14ac:dyDescent="0.35">
      <c r="A78" s="136">
        <v>69</v>
      </c>
      <c r="B78" s="137">
        <f t="shared" ca="1" si="8"/>
        <v>2.1568377582369855</v>
      </c>
      <c r="C78" s="138">
        <f t="shared" ca="1" si="9"/>
        <v>2.1568377582369857E-2</v>
      </c>
      <c r="D78" s="139">
        <f t="shared" ca="1" si="10"/>
        <v>1.0215683775823698</v>
      </c>
      <c r="E78" s="134">
        <f ca="1">F78/MAX($F$9:F78)-1</f>
        <v>-5.5429884858755885E-2</v>
      </c>
      <c r="F78" s="135">
        <f t="shared" ca="1" si="11"/>
        <v>967.64587097841661</v>
      </c>
    </row>
    <row r="79" spans="1:6" x14ac:dyDescent="0.35">
      <c r="A79" s="136">
        <v>70</v>
      </c>
      <c r="B79" s="137">
        <f t="shared" ca="1" si="8"/>
        <v>-0.89426000372800796</v>
      </c>
      <c r="C79" s="138">
        <f t="shared" ca="1" si="9"/>
        <v>-8.9426000372800803E-3</v>
      </c>
      <c r="D79" s="139">
        <f t="shared" ca="1" si="10"/>
        <v>0.99105739996271991</v>
      </c>
      <c r="E79" s="134">
        <f ca="1">F79/MAX($F$9:F79)-1</f>
        <v>-6.3876797605631586E-2</v>
      </c>
      <c r="F79" s="135">
        <f t="shared" ca="1" si="11"/>
        <v>958.99260097653109</v>
      </c>
    </row>
    <row r="80" spans="1:6" x14ac:dyDescent="0.35">
      <c r="A80" s="136">
        <v>71</v>
      </c>
      <c r="B80" s="137">
        <f t="shared" ca="1" si="8"/>
        <v>-0.93064407995649689</v>
      </c>
      <c r="C80" s="138">
        <f t="shared" ca="1" si="9"/>
        <v>-9.3064407995649689E-3</v>
      </c>
      <c r="D80" s="139">
        <f t="shared" ca="1" si="10"/>
        <v>0.990693559200435</v>
      </c>
      <c r="E80" s="134">
        <f ca="1">F80/MAX($F$9:F80)-1</f>
        <v>-7.2588772769814014E-2</v>
      </c>
      <c r="F80" s="135">
        <f t="shared" ca="1" si="11"/>
        <v>950.06779310832212</v>
      </c>
    </row>
    <row r="81" spans="1:6" x14ac:dyDescent="0.35">
      <c r="A81" s="136">
        <v>72</v>
      </c>
      <c r="B81" s="137">
        <f t="shared" ca="1" si="8"/>
        <v>-1.024776985277134</v>
      </c>
      <c r="C81" s="138">
        <f t="shared" ca="1" si="9"/>
        <v>-1.024776985277134E-2</v>
      </c>
      <c r="D81" s="139">
        <f t="shared" ca="1" si="10"/>
        <v>0.98975223014722868</v>
      </c>
      <c r="E81" s="134">
        <f ca="1">F81/MAX($F$9:F81)-1</f>
        <v>-8.2092669585345224E-2</v>
      </c>
      <c r="F81" s="135">
        <f t="shared" ca="1" si="11"/>
        <v>940.33171702001766</v>
      </c>
    </row>
    <row r="82" spans="1:6" x14ac:dyDescent="0.35">
      <c r="A82" s="136">
        <v>73</v>
      </c>
      <c r="B82" s="137">
        <f t="shared" ca="1" si="8"/>
        <v>-0.86381437460263866</v>
      </c>
      <c r="C82" s="138">
        <f t="shared" ca="1" si="9"/>
        <v>-8.6381437460263874E-3</v>
      </c>
      <c r="D82" s="139">
        <f t="shared" ca="1" si="10"/>
        <v>0.99136185625397366</v>
      </c>
      <c r="E82" s="134">
        <f ca="1">F82/MAX($F$9:F82)-1</f>
        <v>-9.0021685050998279E-2</v>
      </c>
      <c r="F82" s="135">
        <f t="shared" ca="1" si="11"/>
        <v>932.208996479451</v>
      </c>
    </row>
    <row r="83" spans="1:6" x14ac:dyDescent="0.35">
      <c r="A83" s="136">
        <v>74</v>
      </c>
      <c r="B83" s="137">
        <f t="shared" ca="1" si="8"/>
        <v>-0.84133753778856979</v>
      </c>
      <c r="C83" s="138">
        <f t="shared" ca="1" si="9"/>
        <v>-8.4133753778856974E-3</v>
      </c>
      <c r="D83" s="139">
        <f t="shared" ca="1" si="10"/>
        <v>0.99158662462211433</v>
      </c>
      <c r="E83" s="134">
        <f ca="1">F83/MAX($F$9:F83)-1</f>
        <v>-9.7677674200400078E-2</v>
      </c>
      <c r="F83" s="135">
        <f t="shared" ca="1" si="11"/>
        <v>924.36597226142726</v>
      </c>
    </row>
    <row r="84" spans="1:6" x14ac:dyDescent="0.35">
      <c r="A84" s="136">
        <v>75</v>
      </c>
      <c r="B84" s="137">
        <f t="shared" ca="1" si="8"/>
        <v>-0.96623401871581216</v>
      </c>
      <c r="C84" s="138">
        <f t="shared" ca="1" si="9"/>
        <v>-9.6623401871581225E-3</v>
      </c>
      <c r="D84" s="139">
        <f t="shared" ca="1" si="10"/>
        <v>0.99033765981284183</v>
      </c>
      <c r="E84" s="134">
        <f ca="1">F84/MAX($F$9:F84)-1</f>
        <v>-0.10639621947074362</v>
      </c>
      <c r="F84" s="135">
        <f t="shared" ca="1" si="11"/>
        <v>915.43443378000416</v>
      </c>
    </row>
    <row r="85" spans="1:6" x14ac:dyDescent="0.35">
      <c r="A85" s="136">
        <v>76</v>
      </c>
      <c r="B85" s="137">
        <f t="shared" ca="1" si="8"/>
        <v>-0.96602621482534912</v>
      </c>
      <c r="C85" s="138">
        <f t="shared" ca="1" si="9"/>
        <v>-9.6602621482534921E-3</v>
      </c>
      <c r="D85" s="139">
        <f t="shared" ca="1" si="10"/>
        <v>0.99033973785174656</v>
      </c>
      <c r="E85" s="134">
        <f ca="1">F85/MAX($F$9:F85)-1</f>
        <v>-0.11502866624732655</v>
      </c>
      <c r="F85" s="135">
        <f t="shared" ca="1" si="11"/>
        <v>906.59109717015133</v>
      </c>
    </row>
    <row r="86" spans="1:6" x14ac:dyDescent="0.35">
      <c r="A86" s="136">
        <v>77</v>
      </c>
      <c r="B86" s="137">
        <f t="shared" ca="1" si="8"/>
        <v>-0.82336371614571624</v>
      </c>
      <c r="C86" s="138">
        <f t="shared" ca="1" si="9"/>
        <v>-8.2336371614571621E-3</v>
      </c>
      <c r="D86" s="139">
        <f t="shared" ca="1" si="10"/>
        <v>0.9917663628385428</v>
      </c>
      <c r="E86" s="134">
        <f ca="1">F86/MAX($F$9:F86)-1</f>
        <v>-0.12231519910773692</v>
      </c>
      <c r="F86" s="135">
        <f t="shared" ca="1" si="11"/>
        <v>899.12655502224493</v>
      </c>
    </row>
    <row r="87" spans="1:6" x14ac:dyDescent="0.35">
      <c r="A87" s="136">
        <v>78</v>
      </c>
      <c r="B87" s="137">
        <f t="shared" ca="1" si="8"/>
        <v>2.2531854066341146</v>
      </c>
      <c r="C87" s="138">
        <f t="shared" ca="1" si="9"/>
        <v>2.2531854066341145E-2</v>
      </c>
      <c r="D87" s="139">
        <f t="shared" ca="1" si="10"/>
        <v>1.0225318540663411</v>
      </c>
      <c r="E87" s="134">
        <f ca="1">F87/MAX($F$9:F87)-1</f>
        <v>-0.10253933325778686</v>
      </c>
      <c r="F87" s="135">
        <f t="shared" ca="1" si="11"/>
        <v>919.3855433471781</v>
      </c>
    </row>
    <row r="88" spans="1:6" x14ac:dyDescent="0.35">
      <c r="A88" s="136">
        <v>79</v>
      </c>
      <c r="B88" s="137">
        <f t="shared" ca="1" si="8"/>
        <v>1.6244937539255357</v>
      </c>
      <c r="C88" s="138">
        <f t="shared" ca="1" si="9"/>
        <v>1.6244937539255357E-2</v>
      </c>
      <c r="D88" s="139">
        <f t="shared" ca="1" si="10"/>
        <v>1.0162449375392553</v>
      </c>
      <c r="E88" s="134">
        <f ca="1">F88/MAX($F$9:F88)-1</f>
        <v>-8.7960140782621266E-2</v>
      </c>
      <c r="F88" s="135">
        <f t="shared" ca="1" si="11"/>
        <v>934.32090407334726</v>
      </c>
    </row>
    <row r="89" spans="1:6" x14ac:dyDescent="0.35">
      <c r="A89" s="136">
        <v>80</v>
      </c>
      <c r="B89" s="137">
        <f t="shared" ca="1" si="8"/>
        <v>-0.98286939737331869</v>
      </c>
      <c r="C89" s="138">
        <f t="shared" ca="1" si="9"/>
        <v>-9.8286939737331873E-3</v>
      </c>
      <c r="D89" s="139">
        <f t="shared" ca="1" si="10"/>
        <v>0.9901713060262668</v>
      </c>
      <c r="E89" s="134">
        <f ca="1">F89/MAX($F$9:F89)-1</f>
        <v>-9.6924301450715511E-2</v>
      </c>
      <c r="F89" s="135">
        <f t="shared" ca="1" si="11"/>
        <v>925.13774983394865</v>
      </c>
    </row>
    <row r="90" spans="1:6" x14ac:dyDescent="0.35">
      <c r="A90" s="136">
        <v>81</v>
      </c>
      <c r="B90" s="137">
        <f t="shared" ca="1" si="8"/>
        <v>1.6450699830392592</v>
      </c>
      <c r="C90" s="138">
        <f t="shared" ca="1" si="9"/>
        <v>1.6450699830392594E-2</v>
      </c>
      <c r="D90" s="139">
        <f t="shared" ca="1" si="10"/>
        <v>1.0164506998303926</v>
      </c>
      <c r="E90" s="134">
        <f ca="1">F90/MAX($F$9:F90)-1</f>
        <v>-8.2068074209759145E-2</v>
      </c>
      <c r="F90" s="135">
        <f t="shared" ca="1" si="11"/>
        <v>940.35691325823177</v>
      </c>
    </row>
    <row r="91" spans="1:6" x14ac:dyDescent="0.35">
      <c r="A91" s="136">
        <v>82</v>
      </c>
      <c r="B91" s="137">
        <f t="shared" ca="1" si="8"/>
        <v>-0.79679914057563583</v>
      </c>
      <c r="C91" s="138">
        <f t="shared" ca="1" si="9"/>
        <v>-7.967991405756358E-3</v>
      </c>
      <c r="D91" s="139">
        <f t="shared" ca="1" si="10"/>
        <v>0.99203200859424367</v>
      </c>
      <c r="E91" s="134">
        <f ca="1">F91/MAX($F$9:F91)-1</f>
        <v>-8.9382147905525122E-2</v>
      </c>
      <c r="F91" s="135">
        <f t="shared" ca="1" si="11"/>
        <v>932.86415745504667</v>
      </c>
    </row>
    <row r="92" spans="1:6" x14ac:dyDescent="0.35">
      <c r="A92" s="136">
        <v>83</v>
      </c>
      <c r="B92" s="137">
        <f t="shared" ca="1" si="8"/>
        <v>-1.0397332356989559</v>
      </c>
      <c r="C92" s="138">
        <f t="shared" ca="1" si="9"/>
        <v>-1.039733235698956E-2</v>
      </c>
      <c r="D92" s="139">
        <f t="shared" ca="1" si="10"/>
        <v>0.98960266764301041</v>
      </c>
      <c r="E92" s="134">
        <f ca="1">F92/MAX($F$9:F92)-1</f>
        <v>-9.8850144363959336E-2</v>
      </c>
      <c r="F92" s="135">
        <f t="shared" ca="1" si="11"/>
        <v>923.1648587660635</v>
      </c>
    </row>
    <row r="93" spans="1:6" x14ac:dyDescent="0.35">
      <c r="A93" s="136">
        <v>84</v>
      </c>
      <c r="B93" s="137">
        <f t="shared" ca="1" si="8"/>
        <v>1.6524825261312344</v>
      </c>
      <c r="C93" s="138">
        <f t="shared" ca="1" si="9"/>
        <v>1.6524825261312343E-2</v>
      </c>
      <c r="D93" s="139">
        <f t="shared" ca="1" si="10"/>
        <v>1.0165248252613124</v>
      </c>
      <c r="E93" s="134">
        <f ca="1">F93/MAX($F$9:F93)-1</f>
        <v>-8.3958800465316896E-2</v>
      </c>
      <c r="F93" s="135">
        <f t="shared" ca="1" si="11"/>
        <v>938.41999674455678</v>
      </c>
    </row>
    <row r="94" spans="1:6" x14ac:dyDescent="0.35">
      <c r="A94" s="136">
        <v>85</v>
      </c>
      <c r="B94" s="137">
        <f t="shared" ca="1" si="8"/>
        <v>-1.0566376910365205</v>
      </c>
      <c r="C94" s="138">
        <f t="shared" ca="1" si="9"/>
        <v>-1.0566376910365206E-2</v>
      </c>
      <c r="D94" s="139">
        <f t="shared" ca="1" si="10"/>
        <v>0.98943362308963478</v>
      </c>
      <c r="E94" s="134">
        <f ca="1">F94/MAX($F$9:F94)-1</f>
        <v>-9.3638037045023381E-2</v>
      </c>
      <c r="F94" s="135">
        <f t="shared" ca="1" si="11"/>
        <v>928.50429735873013</v>
      </c>
    </row>
    <row r="95" spans="1:6" x14ac:dyDescent="0.35">
      <c r="A95" s="136">
        <v>86</v>
      </c>
      <c r="B95" s="137">
        <f t="shared" ca="1" si="8"/>
        <v>2.1478222064586223</v>
      </c>
      <c r="C95" s="138">
        <f t="shared" ca="1" si="9"/>
        <v>2.1478222064586223E-2</v>
      </c>
      <c r="D95" s="139">
        <f t="shared" ca="1" si="10"/>
        <v>1.0214782220645862</v>
      </c>
      <c r="E95" s="134">
        <f ca="1">F95/MAX($F$9:F95)-1</f>
        <v>-7.4170993533782203E-2</v>
      </c>
      <c r="F95" s="135">
        <f t="shared" ca="1" si="11"/>
        <v>948.44691884532347</v>
      </c>
    </row>
    <row r="96" spans="1:6" x14ac:dyDescent="0.35">
      <c r="A96" s="136">
        <v>87</v>
      </c>
      <c r="B96" s="137">
        <f t="shared" ca="1" si="8"/>
        <v>-0.99905904559678127</v>
      </c>
      <c r="C96" s="138">
        <f t="shared" ca="1" si="9"/>
        <v>-9.9905904559678127E-3</v>
      </c>
      <c r="D96" s="139">
        <f t="shared" ca="1" si="10"/>
        <v>0.99000940954403216</v>
      </c>
      <c r="E96" s="134">
        <f ca="1">F96/MAX($F$9:F96)-1</f>
        <v>-8.342057196964181E-2</v>
      </c>
      <c r="F96" s="135">
        <f t="shared" ca="1" si="11"/>
        <v>938.97137410991525</v>
      </c>
    </row>
    <row r="97" spans="1:6" x14ac:dyDescent="0.35">
      <c r="A97" s="136">
        <v>88</v>
      </c>
      <c r="B97" s="137">
        <f t="shared" ca="1" si="8"/>
        <v>1.5869288609594554</v>
      </c>
      <c r="C97" s="138">
        <f t="shared" ca="1" si="9"/>
        <v>1.5869288609594554E-2</v>
      </c>
      <c r="D97" s="139">
        <f t="shared" ca="1" si="10"/>
        <v>1.0158692886095946</v>
      </c>
      <c r="E97" s="134">
        <f ca="1">F97/MAX($F$9:F97)-1</f>
        <v>-6.8875108492610915E-2</v>
      </c>
      <c r="F97" s="135">
        <f t="shared" ca="1" si="11"/>
        <v>953.87218184181313</v>
      </c>
    </row>
    <row r="98" spans="1:6" x14ac:dyDescent="0.35">
      <c r="A98" s="136">
        <v>89</v>
      </c>
      <c r="B98" s="137">
        <f t="shared" ca="1" si="8"/>
        <v>-1.0472748813418089</v>
      </c>
      <c r="C98" s="138">
        <f t="shared" ca="1" si="9"/>
        <v>-1.0472748813418089E-2</v>
      </c>
      <c r="D98" s="139">
        <f t="shared" ca="1" si="10"/>
        <v>0.98952725118658191</v>
      </c>
      <c r="E98" s="134">
        <f ca="1">F98/MAX($F$9:F98)-1</f>
        <v>-7.8626545595288921E-2</v>
      </c>
      <c r="F98" s="135">
        <f t="shared" ca="1" si="11"/>
        <v>943.88251808127677</v>
      </c>
    </row>
    <row r="99" spans="1:6" x14ac:dyDescent="0.35">
      <c r="A99" s="136">
        <v>90</v>
      </c>
      <c r="B99" s="137">
        <f t="shared" ca="1" si="8"/>
        <v>-0.93718880513291425</v>
      </c>
      <c r="C99" s="138">
        <f t="shared" ca="1" si="9"/>
        <v>-9.3718880513291424E-3</v>
      </c>
      <c r="D99" s="139">
        <f t="shared" ca="1" si="10"/>
        <v>0.99062811194867084</v>
      </c>
      <c r="E99" s="134">
        <f ca="1">F99/MAX($F$9:F99)-1</f>
        <v>-8.7261554463436419E-2</v>
      </c>
      <c r="F99" s="135">
        <f t="shared" ca="1" si="11"/>
        <v>935.03655678821235</v>
      </c>
    </row>
    <row r="100" spans="1:6" x14ac:dyDescent="0.35">
      <c r="A100" s="136">
        <v>91</v>
      </c>
      <c r="B100" s="137">
        <f t="shared" ca="1" si="8"/>
        <v>1.9676774315110444</v>
      </c>
      <c r="C100" s="138">
        <f t="shared" ca="1" si="9"/>
        <v>1.9676774315110442E-2</v>
      </c>
      <c r="D100" s="139">
        <f t="shared" ca="1" si="10"/>
        <v>1.0196767743151105</v>
      </c>
      <c r="E100" s="134">
        <f ca="1">F100/MAX($F$9:F100)-1</f>
        <v>-6.9301806061888627E-2</v>
      </c>
      <c r="F100" s="135">
        <f t="shared" ca="1" si="11"/>
        <v>953.435060092512</v>
      </c>
    </row>
    <row r="101" spans="1:6" x14ac:dyDescent="0.35">
      <c r="A101" s="136">
        <v>92</v>
      </c>
      <c r="B101" s="137">
        <f t="shared" ca="1" si="8"/>
        <v>2.2062749476953432</v>
      </c>
      <c r="C101" s="138">
        <f t="shared" ca="1" si="9"/>
        <v>2.2062749476953431E-2</v>
      </c>
      <c r="D101" s="139">
        <f t="shared" ca="1" si="10"/>
        <v>1.0220627494769534</v>
      </c>
      <c r="E101" s="134">
        <f ca="1">F101/MAX($F$9:F101)-1</f>
        <v>-4.8768044970379121E-2</v>
      </c>
      <c r="F101" s="135">
        <f t="shared" ca="1" si="11"/>
        <v>974.47045896587713</v>
      </c>
    </row>
    <row r="102" spans="1:6" x14ac:dyDescent="0.35">
      <c r="A102" s="136">
        <v>93</v>
      </c>
      <c r="B102" s="137">
        <f t="shared" ca="1" si="8"/>
        <v>-0.93544829604931967</v>
      </c>
      <c r="C102" s="138">
        <f t="shared" ca="1" si="9"/>
        <v>-9.3544829604931962E-3</v>
      </c>
      <c r="D102" s="139">
        <f t="shared" ca="1" si="10"/>
        <v>0.99064551703950676</v>
      </c>
      <c r="E102" s="134">
        <f ca="1">F102/MAX($F$9:F102)-1</f>
        <v>-5.7666328085180352E-2</v>
      </c>
      <c r="F102" s="135">
        <f t="shared" ca="1" si="11"/>
        <v>965.35479166197683</v>
      </c>
    </row>
    <row r="103" spans="1:6" x14ac:dyDescent="0.35">
      <c r="A103" s="136">
        <v>94</v>
      </c>
      <c r="B103" s="137">
        <f t="shared" ca="1" si="8"/>
        <v>-0.75409343483190117</v>
      </c>
      <c r="C103" s="138">
        <f t="shared" ca="1" si="9"/>
        <v>-7.5409343483190117E-3</v>
      </c>
      <c r="D103" s="139">
        <f t="shared" ca="1" si="10"/>
        <v>0.99245906565168096</v>
      </c>
      <c r="E103" s="134">
        <f ca="1">F103/MAX($F$9:F103)-1</f>
        <v>-6.4772404439300435E-2</v>
      </c>
      <c r="F103" s="135">
        <f t="shared" ca="1" si="11"/>
        <v>958.07511455521865</v>
      </c>
    </row>
    <row r="104" spans="1:6" x14ac:dyDescent="0.35">
      <c r="A104" s="136">
        <v>95</v>
      </c>
      <c r="B104" s="137">
        <f t="shared" ca="1" si="8"/>
        <v>2.2383009935388607</v>
      </c>
      <c r="C104" s="138">
        <f t="shared" ca="1" si="9"/>
        <v>2.2383009935388606E-2</v>
      </c>
      <c r="D104" s="139">
        <f t="shared" ca="1" si="10"/>
        <v>1.0223830099353886</v>
      </c>
      <c r="E104" s="134">
        <f ca="1">F104/MAX($F$9:F104)-1</f>
        <v>-4.3839195876015702E-2</v>
      </c>
      <c r="F104" s="135">
        <f t="shared" ca="1" si="11"/>
        <v>979.51971936315658</v>
      </c>
    </row>
    <row r="105" spans="1:6" x14ac:dyDescent="0.35">
      <c r="A105" s="136">
        <v>96</v>
      </c>
      <c r="B105" s="137">
        <f t="shared" ca="1" si="8"/>
        <v>-0.83912325314671388</v>
      </c>
      <c r="C105" s="138">
        <f t="shared" ca="1" si="9"/>
        <v>-8.3912325314671396E-3</v>
      </c>
      <c r="D105" s="139">
        <f t="shared" ca="1" si="10"/>
        <v>0.99160876746853288</v>
      </c>
      <c r="E105" s="134">
        <f ca="1">F105/MAX($F$9:F105)-1</f>
        <v>-5.1862563520894689E-2</v>
      </c>
      <c r="F105" s="135">
        <f t="shared" ca="1" si="11"/>
        <v>971.30034162882293</v>
      </c>
    </row>
    <row r="106" spans="1:6" x14ac:dyDescent="0.35">
      <c r="A106" s="136">
        <v>97</v>
      </c>
      <c r="B106" s="137">
        <f t="shared" ca="1" si="8"/>
        <v>-1.0039303153571875</v>
      </c>
      <c r="C106" s="138">
        <f t="shared" ref="C106:C137" ca="1" si="12">B106*$E$2</f>
        <v>-1.0039303153571875E-2</v>
      </c>
      <c r="D106" s="139">
        <f t="shared" ref="D106:D137" ca="1" si="13">C106+1</f>
        <v>0.98996069684642818</v>
      </c>
      <c r="E106" s="134">
        <f ca="1">F106/MAX($F$9:F106)-1</f>
        <v>-6.1381202676958901E-2</v>
      </c>
      <c r="F106" s="135">
        <f t="shared" ca="1" si="11"/>
        <v>961.5491630460433</v>
      </c>
    </row>
    <row r="107" spans="1:6" x14ac:dyDescent="0.35">
      <c r="A107" s="136">
        <v>98</v>
      </c>
      <c r="B107" s="137">
        <f t="shared" ca="1" si="8"/>
        <v>-0.85334389823618784</v>
      </c>
      <c r="C107" s="138">
        <f t="shared" ca="1" si="12"/>
        <v>-8.5334389823618784E-3</v>
      </c>
      <c r="D107" s="139">
        <f t="shared" ca="1" si="13"/>
        <v>0.99146656101763808</v>
      </c>
      <c r="E107" s="134">
        <f ca="1">F107/MAX($F$9:F107)-1</f>
        <v>-6.9390848911612957E-2</v>
      </c>
      <c r="F107" s="135">
        <f t="shared" ca="1" si="11"/>
        <v>953.34384193464871</v>
      </c>
    </row>
    <row r="108" spans="1:6" x14ac:dyDescent="0.35">
      <c r="A108" s="136">
        <v>99</v>
      </c>
      <c r="B108" s="137">
        <f t="shared" ca="1" si="8"/>
        <v>-0.91894534913840376</v>
      </c>
      <c r="C108" s="138">
        <f t="shared" ca="1" si="12"/>
        <v>-9.1894534913840378E-3</v>
      </c>
      <c r="D108" s="139">
        <f t="shared" ca="1" si="13"/>
        <v>0.990810546508616</v>
      </c>
      <c r="E108" s="134">
        <f ca="1">F108/MAX($F$9:F108)-1</f>
        <v>-7.794263842419602E-2</v>
      </c>
      <c r="F108" s="135">
        <f t="shared" ca="1" si="11"/>
        <v>944.58313303789294</v>
      </c>
    </row>
    <row r="109" spans="1:6" ht="15" customHeight="1" thickBot="1" x14ac:dyDescent="0.4">
      <c r="A109" s="140">
        <v>100</v>
      </c>
      <c r="B109" s="141">
        <f t="shared" ca="1" si="8"/>
        <v>-0.78717293419449919</v>
      </c>
      <c r="C109" s="142">
        <f t="shared" ca="1" si="12"/>
        <v>-7.8717293419449923E-3</v>
      </c>
      <c r="D109" s="143">
        <f t="shared" ca="1" si="13"/>
        <v>0.99212827065805498</v>
      </c>
      <c r="E109" s="144">
        <f ca="1">F109/MAX($F$9:F109)-1</f>
        <v>-8.5200824412268616E-2</v>
      </c>
      <c r="F109" s="145">
        <f t="shared" ca="1" si="11"/>
        <v>937.14763027365223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2026-08-25T06:53:07Z</dcterms:modified>
</cp:coreProperties>
</file>